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4FCD4E5E-1227-4A7B-8BBB-564B0F5024E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Resumen_Producto" sheetId="3" r:id="rId2"/>
    <sheet name="Stock_por_Lote" sheetId="2" r:id="rId3"/>
    <sheet name="Listas" sheetId="4" r:id="rId4"/>
    <sheet name="Instructivo" sheetId="5" r:id="rId5"/>
  </sheets>
  <definedNames>
    <definedName name="_xlnm._FilterDatabase" localSheetId="2" hidden="1">Stock_por_Lote!$A$1:$K$1003</definedName>
    <definedName name="_xlnm._FilterDatabase" localSheetId="1" hidden="1">Resumen_Producto!$A$1:$H$1</definedName>
    <definedName name="_xlnm._FilterDatabase" localSheetId="0" hidden="1">Movimientos!$C$12003:$C$12003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997" i="1" l="1"/>
  <c r="R231" i="1"/>
  <c r="S231" i="1"/>
  <c r="T231" i="1"/>
  <c r="G63" i="3"/>
  <c r="G66" i="3"/>
  <c r="G69" i="3"/>
  <c r="G72" i="3"/>
  <c r="G75" i="3"/>
  <c r="B94" i="3"/>
  <c r="C94" i="3"/>
  <c r="D94" i="3"/>
  <c r="E94" i="3"/>
  <c r="F94" i="3"/>
  <c r="G94" i="3"/>
  <c r="H94" i="3"/>
  <c r="B95" i="3"/>
  <c r="C95" i="3"/>
  <c r="D95" i="3"/>
  <c r="E95" i="3"/>
  <c r="F95" i="3"/>
  <c r="G95" i="3"/>
  <c r="H95" i="3"/>
  <c r="B96" i="3"/>
  <c r="C96" i="3"/>
  <c r="D96" i="3"/>
  <c r="E96" i="3"/>
  <c r="F96" i="3"/>
  <c r="G96" i="3"/>
  <c r="H96" i="3"/>
  <c r="B97" i="3"/>
  <c r="C97" i="3"/>
  <c r="D97" i="3"/>
  <c r="E97" i="3"/>
  <c r="F97" i="3"/>
  <c r="G97" i="3"/>
  <c r="H97" i="3"/>
  <c r="B98" i="3"/>
  <c r="C98" i="3"/>
  <c r="D98" i="3"/>
  <c r="E98" i="3"/>
  <c r="F98" i="3"/>
  <c r="G98" i="3"/>
  <c r="H98" i="3"/>
  <c r="B99" i="3"/>
  <c r="C99" i="3"/>
  <c r="D99" i="3"/>
  <c r="E99" i="3"/>
  <c r="F99" i="3"/>
  <c r="G99" i="3"/>
  <c r="H99" i="3"/>
  <c r="B100" i="3"/>
  <c r="C100" i="3"/>
  <c r="D100" i="3"/>
  <c r="E100" i="3"/>
  <c r="F100" i="3"/>
  <c r="G100" i="3"/>
  <c r="H100" i="3"/>
  <c r="B101" i="3"/>
  <c r="C101" i="3"/>
  <c r="D101" i="3"/>
  <c r="E101" i="3"/>
  <c r="F101" i="3"/>
  <c r="G101" i="3"/>
  <c r="H101" i="3"/>
  <c r="B102" i="3"/>
  <c r="C102" i="3"/>
  <c r="D102" i="3"/>
  <c r="E102" i="3"/>
  <c r="F102" i="3"/>
  <c r="G102" i="3"/>
  <c r="H102" i="3"/>
  <c r="B103" i="3"/>
  <c r="C103" i="3"/>
  <c r="D103" i="3"/>
  <c r="E103" i="3"/>
  <c r="F103" i="3"/>
  <c r="G103" i="3"/>
  <c r="H103" i="3"/>
  <c r="B104" i="3"/>
  <c r="C104" i="3"/>
  <c r="D104" i="3"/>
  <c r="E104" i="3"/>
  <c r="F104" i="3"/>
  <c r="G104" i="3"/>
  <c r="H104" i="3"/>
  <c r="B105" i="3"/>
  <c r="C105" i="3"/>
  <c r="D105" i="3"/>
  <c r="E105" i="3"/>
  <c r="F105" i="3"/>
  <c r="G105" i="3"/>
  <c r="H105" i="3"/>
  <c r="B106" i="3"/>
  <c r="C106" i="3"/>
  <c r="D106" i="3"/>
  <c r="E106" i="3"/>
  <c r="F106" i="3"/>
  <c r="G106" i="3"/>
  <c r="H106" i="3"/>
  <c r="B107" i="3"/>
  <c r="C107" i="3"/>
  <c r="D107" i="3"/>
  <c r="E107" i="3"/>
  <c r="F107" i="3"/>
  <c r="G107" i="3"/>
  <c r="H107" i="3"/>
  <c r="B108" i="3"/>
  <c r="C108" i="3"/>
  <c r="D108" i="3"/>
  <c r="E108" i="3"/>
  <c r="F108" i="3"/>
  <c r="G108" i="3"/>
  <c r="H108" i="3"/>
  <c r="B109" i="3"/>
  <c r="C109" i="3"/>
  <c r="D109" i="3"/>
  <c r="E109" i="3"/>
  <c r="F109" i="3"/>
  <c r="G109" i="3"/>
  <c r="H109" i="3"/>
  <c r="B110" i="3"/>
  <c r="C110" i="3"/>
  <c r="D110" i="3"/>
  <c r="E110" i="3"/>
  <c r="F110" i="3"/>
  <c r="G110" i="3"/>
  <c r="H110" i="3"/>
  <c r="B111" i="3"/>
  <c r="C111" i="3"/>
  <c r="D111" i="3"/>
  <c r="E111" i="3"/>
  <c r="F111" i="3"/>
  <c r="G111" i="3"/>
  <c r="H111" i="3"/>
  <c r="B112" i="3"/>
  <c r="C112" i="3"/>
  <c r="D112" i="3"/>
  <c r="E112" i="3"/>
  <c r="F112" i="3"/>
  <c r="G112" i="3"/>
  <c r="H112" i="3"/>
  <c r="T11996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G53" i="3" s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G54" i="3" s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G78" i="3" s="1"/>
  <c r="K484" i="1"/>
  <c r="K485" i="1"/>
  <c r="K486" i="1"/>
  <c r="K487" i="1"/>
  <c r="K488" i="1"/>
  <c r="K489" i="1"/>
  <c r="K490" i="1"/>
  <c r="G67" i="3" s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G70" i="3" s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G73" i="3" s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G90" i="3" s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G92" i="3" s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G85" i="3" s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4" i="1"/>
  <c r="T11995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5" i="1"/>
  <c r="T615" i="1"/>
  <c r="S626" i="1"/>
  <c r="T626" i="1"/>
  <c r="S637" i="1"/>
  <c r="T637" i="1"/>
  <c r="S648" i="1"/>
  <c r="T648" i="1"/>
  <c r="S659" i="1"/>
  <c r="T659" i="1"/>
  <c r="S670" i="1"/>
  <c r="T670" i="1"/>
  <c r="S681" i="1"/>
  <c r="T681" i="1"/>
  <c r="S692" i="1"/>
  <c r="T692" i="1"/>
  <c r="S703" i="1"/>
  <c r="T703" i="1"/>
  <c r="S714" i="1"/>
  <c r="T714" i="1"/>
  <c r="S725" i="1"/>
  <c r="T725" i="1"/>
  <c r="S736" i="1"/>
  <c r="T736" i="1"/>
  <c r="S747" i="1"/>
  <c r="T747" i="1"/>
  <c r="S758" i="1"/>
  <c r="T758" i="1"/>
  <c r="S769" i="1"/>
  <c r="T769" i="1"/>
  <c r="S780" i="1"/>
  <c r="T780" i="1"/>
  <c r="S791" i="1"/>
  <c r="T791" i="1"/>
  <c r="S802" i="1"/>
  <c r="T802" i="1"/>
  <c r="S813" i="1"/>
  <c r="T813" i="1"/>
  <c r="S824" i="1"/>
  <c r="T824" i="1"/>
  <c r="S835" i="1"/>
  <c r="T835" i="1"/>
  <c r="S846" i="1"/>
  <c r="T846" i="1"/>
  <c r="S857" i="1"/>
  <c r="T857" i="1"/>
  <c r="S868" i="1"/>
  <c r="T868" i="1"/>
  <c r="S879" i="1"/>
  <c r="T879" i="1"/>
  <c r="S890" i="1"/>
  <c r="T890" i="1"/>
  <c r="S901" i="1"/>
  <c r="T901" i="1"/>
  <c r="S912" i="1"/>
  <c r="T912" i="1"/>
  <c r="S923" i="1"/>
  <c r="T923" i="1"/>
  <c r="S934" i="1"/>
  <c r="T934" i="1"/>
  <c r="S945" i="1"/>
  <c r="T945" i="1"/>
  <c r="S956" i="1"/>
  <c r="T956" i="1"/>
  <c r="S967" i="1"/>
  <c r="T967" i="1"/>
  <c r="S978" i="1"/>
  <c r="T978" i="1"/>
  <c r="S989" i="1"/>
  <c r="T989" i="1"/>
  <c r="S1000" i="1"/>
  <c r="T1000" i="1"/>
  <c r="S1011" i="1"/>
  <c r="T1011" i="1"/>
  <c r="S1022" i="1"/>
  <c r="T1022" i="1"/>
  <c r="S1033" i="1"/>
  <c r="T1033" i="1"/>
  <c r="S1044" i="1"/>
  <c r="T1044" i="1"/>
  <c r="S1055" i="1"/>
  <c r="T1055" i="1"/>
  <c r="S1066" i="1"/>
  <c r="T1066" i="1"/>
  <c r="S1077" i="1"/>
  <c r="T1077" i="1"/>
  <c r="S1088" i="1"/>
  <c r="T1088" i="1"/>
  <c r="S1099" i="1"/>
  <c r="T1099" i="1"/>
  <c r="S1110" i="1"/>
  <c r="T1110" i="1"/>
  <c r="S1121" i="1"/>
  <c r="T1121" i="1"/>
  <c r="S1132" i="1"/>
  <c r="T1132" i="1"/>
  <c r="S1143" i="1"/>
  <c r="T1143" i="1"/>
  <c r="S1154" i="1"/>
  <c r="T1154" i="1"/>
  <c r="S1165" i="1"/>
  <c r="T1165" i="1"/>
  <c r="S1176" i="1"/>
  <c r="T1176" i="1"/>
  <c r="S1187" i="1"/>
  <c r="T1187" i="1"/>
  <c r="S1198" i="1"/>
  <c r="T1198" i="1"/>
  <c r="S1200" i="1"/>
  <c r="T1200" i="1"/>
  <c r="S1201" i="1"/>
  <c r="T1201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H373" i="1" s="1"/>
  <c r="S374" i="1"/>
  <c r="T374" i="1"/>
  <c r="S376" i="1"/>
  <c r="T376" i="1"/>
  <c r="S377" i="1"/>
  <c r="T377" i="1"/>
  <c r="S378" i="1"/>
  <c r="T378" i="1"/>
  <c r="S379" i="1"/>
  <c r="T379" i="1"/>
  <c r="S380" i="1"/>
  <c r="T380" i="1"/>
  <c r="H380" i="1" s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6" i="1"/>
  <c r="T616" i="1"/>
  <c r="S617" i="1"/>
  <c r="T617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7" i="1"/>
  <c r="T627" i="1"/>
  <c r="S628" i="1"/>
  <c r="T628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8" i="1"/>
  <c r="T638" i="1"/>
  <c r="S639" i="1"/>
  <c r="T639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9" i="1"/>
  <c r="T649" i="1"/>
  <c r="S650" i="1"/>
  <c r="T650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60" i="1"/>
  <c r="T660" i="1"/>
  <c r="S661" i="1"/>
  <c r="T661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1" i="1"/>
  <c r="T671" i="1"/>
  <c r="S672" i="1"/>
  <c r="T672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2" i="1"/>
  <c r="T682" i="1"/>
  <c r="S683" i="1"/>
  <c r="T683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3" i="1"/>
  <c r="T693" i="1"/>
  <c r="S694" i="1"/>
  <c r="T694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4" i="1"/>
  <c r="T704" i="1"/>
  <c r="S705" i="1"/>
  <c r="T705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5" i="1"/>
  <c r="T715" i="1"/>
  <c r="S716" i="1"/>
  <c r="T716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6" i="1"/>
  <c r="T726" i="1"/>
  <c r="S727" i="1"/>
  <c r="T727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7" i="1"/>
  <c r="T737" i="1"/>
  <c r="S738" i="1"/>
  <c r="T738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8" i="1"/>
  <c r="T748" i="1"/>
  <c r="S749" i="1"/>
  <c r="T749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9" i="1"/>
  <c r="T759" i="1"/>
  <c r="S760" i="1"/>
  <c r="T760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70" i="1"/>
  <c r="T770" i="1"/>
  <c r="S771" i="1"/>
  <c r="T771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1" i="1"/>
  <c r="T781" i="1"/>
  <c r="S782" i="1"/>
  <c r="T782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2" i="1"/>
  <c r="T792" i="1"/>
  <c r="S793" i="1"/>
  <c r="T793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3" i="1"/>
  <c r="T803" i="1"/>
  <c r="S804" i="1"/>
  <c r="T804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4" i="1"/>
  <c r="T814" i="1"/>
  <c r="S815" i="1"/>
  <c r="T815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5" i="1"/>
  <c r="T825" i="1"/>
  <c r="S826" i="1"/>
  <c r="T826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6" i="1"/>
  <c r="T836" i="1"/>
  <c r="S837" i="1"/>
  <c r="T837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7" i="1"/>
  <c r="T847" i="1"/>
  <c r="S848" i="1"/>
  <c r="T848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8" i="1"/>
  <c r="T858" i="1"/>
  <c r="S859" i="1"/>
  <c r="T859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9" i="1"/>
  <c r="T869" i="1"/>
  <c r="S870" i="1"/>
  <c r="T870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80" i="1"/>
  <c r="T880" i="1"/>
  <c r="S881" i="1"/>
  <c r="T881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1" i="1"/>
  <c r="T891" i="1"/>
  <c r="S892" i="1"/>
  <c r="T892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2" i="1"/>
  <c r="T902" i="1"/>
  <c r="S903" i="1"/>
  <c r="T903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3" i="1"/>
  <c r="T913" i="1"/>
  <c r="S914" i="1"/>
  <c r="T914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4" i="1"/>
  <c r="T924" i="1"/>
  <c r="S925" i="1"/>
  <c r="T925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5" i="1"/>
  <c r="T935" i="1"/>
  <c r="S936" i="1"/>
  <c r="T936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6" i="1"/>
  <c r="T946" i="1"/>
  <c r="S947" i="1"/>
  <c r="T947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7" i="1"/>
  <c r="T957" i="1"/>
  <c r="S958" i="1"/>
  <c r="T958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8" i="1"/>
  <c r="T968" i="1"/>
  <c r="S969" i="1"/>
  <c r="T969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9" i="1"/>
  <c r="T979" i="1"/>
  <c r="S980" i="1"/>
  <c r="T980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90" i="1"/>
  <c r="T990" i="1"/>
  <c r="S991" i="1"/>
  <c r="T991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1" i="1"/>
  <c r="T1001" i="1"/>
  <c r="S1002" i="1"/>
  <c r="T1002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2" i="1"/>
  <c r="T1012" i="1"/>
  <c r="S1013" i="1"/>
  <c r="T1013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3" i="1"/>
  <c r="T1023" i="1"/>
  <c r="S1024" i="1"/>
  <c r="T1024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4" i="1"/>
  <c r="T1034" i="1"/>
  <c r="S1035" i="1"/>
  <c r="T1035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5" i="1"/>
  <c r="T1045" i="1"/>
  <c r="S1046" i="1"/>
  <c r="T1046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6" i="1"/>
  <c r="T1056" i="1"/>
  <c r="S1057" i="1"/>
  <c r="T1057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7" i="1"/>
  <c r="T1067" i="1"/>
  <c r="S1068" i="1"/>
  <c r="T1068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8" i="1"/>
  <c r="T1078" i="1"/>
  <c r="S1079" i="1"/>
  <c r="T1079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9" i="1"/>
  <c r="T1089" i="1"/>
  <c r="S1090" i="1"/>
  <c r="T1090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100" i="1"/>
  <c r="T1100" i="1"/>
  <c r="S1101" i="1"/>
  <c r="T1101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1" i="1"/>
  <c r="T1111" i="1"/>
  <c r="S1112" i="1"/>
  <c r="T1112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2" i="1"/>
  <c r="T1122" i="1"/>
  <c r="S1123" i="1"/>
  <c r="T1123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3" i="1"/>
  <c r="T1133" i="1"/>
  <c r="S1134" i="1"/>
  <c r="T1134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4" i="1"/>
  <c r="T1144" i="1"/>
  <c r="S1145" i="1"/>
  <c r="T1145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5" i="1"/>
  <c r="T1155" i="1"/>
  <c r="S1156" i="1"/>
  <c r="T1156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6" i="1"/>
  <c r="T1166" i="1"/>
  <c r="S1167" i="1"/>
  <c r="T1167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7" i="1"/>
  <c r="T1177" i="1"/>
  <c r="S1178" i="1"/>
  <c r="T1178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8" i="1"/>
  <c r="T1188" i="1"/>
  <c r="S1189" i="1"/>
  <c r="T1189" i="1"/>
  <c r="S1190" i="1"/>
  <c r="T1190" i="1"/>
  <c r="S1191" i="1"/>
  <c r="T1191" i="1"/>
  <c r="S1192" i="1"/>
  <c r="T1192" i="1"/>
  <c r="S1193" i="1"/>
  <c r="T1193" i="1"/>
  <c r="S1194" i="1"/>
  <c r="T1194" i="1"/>
  <c r="R1195" i="1"/>
  <c r="S1195" i="1"/>
  <c r="T1195" i="1"/>
  <c r="R1196" i="1"/>
  <c r="S1196" i="1"/>
  <c r="T1196" i="1"/>
  <c r="R1197" i="1"/>
  <c r="S1197" i="1"/>
  <c r="T1197" i="1"/>
  <c r="R1199" i="1"/>
  <c r="S1199" i="1"/>
  <c r="T1199" i="1"/>
  <c r="R2002" i="1"/>
  <c r="S2002" i="1"/>
  <c r="T2002" i="1"/>
  <c r="R2003" i="1"/>
  <c r="S2003" i="1"/>
  <c r="T2003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5" i="1"/>
  <c r="S6005" i="1"/>
  <c r="T6005" i="1"/>
  <c r="R6006" i="1"/>
  <c r="S6006" i="1"/>
  <c r="T6006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3" i="1"/>
  <c r="S6183" i="1"/>
  <c r="T6183" i="1"/>
  <c r="R6184" i="1"/>
  <c r="S6184" i="1"/>
  <c r="T6184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R276" i="1"/>
  <c r="R287" i="1"/>
  <c r="R298" i="1"/>
  <c r="R309" i="1"/>
  <c r="R320" i="1"/>
  <c r="R331" i="1"/>
  <c r="R342" i="1"/>
  <c r="R353" i="1"/>
  <c r="R364" i="1"/>
  <c r="H375" i="1"/>
  <c r="R375" i="1"/>
  <c r="R386" i="1"/>
  <c r="R397" i="1"/>
  <c r="R408" i="1"/>
  <c r="R419" i="1"/>
  <c r="R430" i="1"/>
  <c r="R441" i="1"/>
  <c r="R452" i="1"/>
  <c r="R463" i="1"/>
  <c r="R474" i="1"/>
  <c r="R485" i="1"/>
  <c r="R496" i="1"/>
  <c r="R507" i="1"/>
  <c r="R518" i="1"/>
  <c r="H529" i="1"/>
  <c r="R529" i="1"/>
  <c r="R540" i="1"/>
  <c r="R551" i="1"/>
  <c r="R562" i="1"/>
  <c r="R573" i="1"/>
  <c r="R584" i="1"/>
  <c r="R595" i="1"/>
  <c r="R606" i="1"/>
  <c r="R615" i="1"/>
  <c r="R626" i="1"/>
  <c r="R637" i="1"/>
  <c r="R648" i="1"/>
  <c r="R659" i="1"/>
  <c r="R670" i="1"/>
  <c r="R681" i="1"/>
  <c r="R692" i="1"/>
  <c r="R703" i="1"/>
  <c r="R714" i="1"/>
  <c r="R725" i="1"/>
  <c r="R736" i="1"/>
  <c r="R747" i="1"/>
  <c r="R758" i="1"/>
  <c r="H769" i="1"/>
  <c r="R769" i="1"/>
  <c r="R780" i="1"/>
  <c r="R791" i="1"/>
  <c r="R802" i="1"/>
  <c r="R813" i="1"/>
  <c r="R824" i="1"/>
  <c r="H835" i="1"/>
  <c r="R835" i="1"/>
  <c r="H846" i="1"/>
  <c r="R846" i="1"/>
  <c r="H857" i="1"/>
  <c r="R857" i="1"/>
  <c r="H868" i="1"/>
  <c r="R868" i="1"/>
  <c r="H879" i="1"/>
  <c r="R879" i="1"/>
  <c r="H890" i="1"/>
  <c r="R890" i="1"/>
  <c r="H901" i="1"/>
  <c r="R901" i="1"/>
  <c r="H912" i="1"/>
  <c r="R912" i="1"/>
  <c r="H923" i="1"/>
  <c r="R923" i="1"/>
  <c r="H934" i="1"/>
  <c r="R934" i="1"/>
  <c r="H945" i="1"/>
  <c r="R945" i="1"/>
  <c r="H956" i="1"/>
  <c r="R956" i="1"/>
  <c r="H967" i="1"/>
  <c r="R967" i="1"/>
  <c r="H978" i="1"/>
  <c r="R978" i="1"/>
  <c r="H989" i="1"/>
  <c r="R989" i="1"/>
  <c r="H1000" i="1"/>
  <c r="R1000" i="1"/>
  <c r="H1011" i="1"/>
  <c r="R1011" i="1"/>
  <c r="H1022" i="1"/>
  <c r="R1022" i="1"/>
  <c r="H1033" i="1"/>
  <c r="R1033" i="1"/>
  <c r="H1044" i="1"/>
  <c r="R1044" i="1"/>
  <c r="H1055" i="1"/>
  <c r="R1055" i="1"/>
  <c r="H1066" i="1"/>
  <c r="R1066" i="1"/>
  <c r="H1077" i="1"/>
  <c r="R1077" i="1"/>
  <c r="H1088" i="1"/>
  <c r="R1088" i="1"/>
  <c r="H1099" i="1"/>
  <c r="R1099" i="1"/>
  <c r="H1110" i="1"/>
  <c r="R1110" i="1"/>
  <c r="H1121" i="1"/>
  <c r="R1121" i="1"/>
  <c r="H1132" i="1"/>
  <c r="R1132" i="1"/>
  <c r="H1143" i="1"/>
  <c r="R1143" i="1"/>
  <c r="H1154" i="1"/>
  <c r="R1154" i="1"/>
  <c r="H1165" i="1"/>
  <c r="R1165" i="1"/>
  <c r="H1176" i="1"/>
  <c r="R1176" i="1"/>
  <c r="H1187" i="1"/>
  <c r="R1187" i="1"/>
  <c r="H1198" i="1"/>
  <c r="R1198" i="1"/>
  <c r="H1200" i="1"/>
  <c r="R1200" i="1"/>
  <c r="H1201" i="1"/>
  <c r="R1201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3" i="1"/>
  <c r="H4" i="1"/>
  <c r="H5" i="1"/>
  <c r="H6" i="1"/>
  <c r="H7" i="1"/>
  <c r="H8" i="1"/>
  <c r="H2" i="1"/>
  <c r="H1498" i="1"/>
  <c r="R1498" i="1"/>
  <c r="H1499" i="1"/>
  <c r="R1499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R266" i="1"/>
  <c r="R267" i="1"/>
  <c r="R268" i="1"/>
  <c r="R269" i="1"/>
  <c r="R270" i="1"/>
  <c r="R271" i="1"/>
  <c r="R272" i="1"/>
  <c r="R273" i="1"/>
  <c r="R274" i="1"/>
  <c r="R275" i="1"/>
  <c r="R277" i="1"/>
  <c r="R278" i="1"/>
  <c r="R279" i="1"/>
  <c r="R280" i="1"/>
  <c r="R281" i="1"/>
  <c r="R282" i="1"/>
  <c r="H283" i="1"/>
  <c r="R283" i="1"/>
  <c r="R284" i="1"/>
  <c r="R285" i="1"/>
  <c r="R286" i="1"/>
  <c r="R288" i="1"/>
  <c r="H289" i="1"/>
  <c r="R289" i="1"/>
  <c r="H290" i="1"/>
  <c r="R290" i="1"/>
  <c r="R291" i="1"/>
  <c r="R292" i="1"/>
  <c r="R293" i="1"/>
  <c r="R294" i="1"/>
  <c r="H295" i="1"/>
  <c r="R295" i="1"/>
  <c r="R296" i="1"/>
  <c r="R297" i="1"/>
  <c r="R299" i="1"/>
  <c r="R300" i="1"/>
  <c r="R301" i="1"/>
  <c r="R302" i="1"/>
  <c r="R303" i="1"/>
  <c r="R304" i="1"/>
  <c r="R305" i="1"/>
  <c r="R306" i="1"/>
  <c r="R307" i="1"/>
  <c r="R308" i="1"/>
  <c r="R310" i="1"/>
  <c r="R311" i="1"/>
  <c r="R312" i="1"/>
  <c r="H313" i="1"/>
  <c r="R313" i="1"/>
  <c r="R314" i="1"/>
  <c r="R315" i="1"/>
  <c r="R316" i="1"/>
  <c r="R317" i="1"/>
  <c r="R318" i="1"/>
  <c r="R319" i="1"/>
  <c r="R321" i="1"/>
  <c r="R322" i="1"/>
  <c r="R323" i="1"/>
  <c r="R324" i="1"/>
  <c r="R325" i="1"/>
  <c r="R326" i="1"/>
  <c r="R327" i="1"/>
  <c r="H328" i="1"/>
  <c r="R328" i="1"/>
  <c r="H329" i="1"/>
  <c r="R329" i="1"/>
  <c r="R330" i="1"/>
  <c r="R332" i="1"/>
  <c r="R333" i="1"/>
  <c r="R334" i="1"/>
  <c r="R335" i="1"/>
  <c r="R336" i="1"/>
  <c r="R337" i="1"/>
  <c r="R338" i="1"/>
  <c r="R339" i="1"/>
  <c r="R340" i="1"/>
  <c r="R341" i="1"/>
  <c r="H343" i="1"/>
  <c r="R343" i="1"/>
  <c r="R344" i="1"/>
  <c r="R345" i="1"/>
  <c r="R346" i="1"/>
  <c r="R347" i="1"/>
  <c r="R348" i="1"/>
  <c r="R349" i="1"/>
  <c r="R350" i="1"/>
  <c r="R351" i="1"/>
  <c r="R352" i="1"/>
  <c r="R354" i="1"/>
  <c r="R355" i="1"/>
  <c r="R356" i="1"/>
  <c r="R357" i="1"/>
  <c r="R358" i="1"/>
  <c r="R359" i="1"/>
  <c r="R360" i="1"/>
  <c r="R361" i="1"/>
  <c r="R362" i="1"/>
  <c r="R363" i="1"/>
  <c r="R365" i="1"/>
  <c r="R366" i="1"/>
  <c r="R367" i="1"/>
  <c r="R368" i="1"/>
  <c r="R369" i="1"/>
  <c r="R370" i="1"/>
  <c r="R371" i="1"/>
  <c r="R372" i="1"/>
  <c r="R373" i="1"/>
  <c r="H374" i="1"/>
  <c r="R374" i="1"/>
  <c r="R376" i="1"/>
  <c r="R377" i="1"/>
  <c r="R378" i="1"/>
  <c r="R379" i="1"/>
  <c r="R380" i="1"/>
  <c r="H381" i="1"/>
  <c r="R381" i="1"/>
  <c r="R382" i="1"/>
  <c r="R383" i="1"/>
  <c r="R384" i="1"/>
  <c r="R385" i="1"/>
  <c r="R387" i="1"/>
  <c r="R388" i="1"/>
  <c r="H389" i="1"/>
  <c r="R389" i="1"/>
  <c r="R390" i="1"/>
  <c r="R391" i="1"/>
  <c r="R392" i="1"/>
  <c r="H393" i="1"/>
  <c r="R393" i="1"/>
  <c r="R394" i="1"/>
  <c r="R395" i="1"/>
  <c r="H396" i="1"/>
  <c r="R396" i="1"/>
  <c r="R398" i="1"/>
  <c r="H399" i="1"/>
  <c r="R399" i="1"/>
  <c r="R400" i="1"/>
  <c r="R401" i="1"/>
  <c r="R402" i="1"/>
  <c r="R403" i="1"/>
  <c r="R404" i="1"/>
  <c r="R405" i="1"/>
  <c r="R406" i="1"/>
  <c r="R407" i="1"/>
  <c r="R409" i="1"/>
  <c r="R410" i="1"/>
  <c r="R411" i="1"/>
  <c r="R412" i="1"/>
  <c r="R413" i="1"/>
  <c r="R414" i="1"/>
  <c r="R415" i="1"/>
  <c r="R416" i="1"/>
  <c r="R417" i="1"/>
  <c r="R418" i="1"/>
  <c r="R420" i="1"/>
  <c r="R421" i="1"/>
  <c r="R422" i="1"/>
  <c r="R423" i="1"/>
  <c r="R424" i="1"/>
  <c r="R425" i="1"/>
  <c r="R426" i="1"/>
  <c r="R427" i="1"/>
  <c r="R428" i="1"/>
  <c r="R429" i="1"/>
  <c r="R431" i="1"/>
  <c r="R432" i="1"/>
  <c r="R433" i="1"/>
  <c r="R434" i="1"/>
  <c r="R435" i="1"/>
  <c r="R436" i="1"/>
  <c r="R437" i="1"/>
  <c r="R438" i="1"/>
  <c r="R439" i="1"/>
  <c r="R440" i="1"/>
  <c r="R442" i="1"/>
  <c r="R443" i="1"/>
  <c r="R444" i="1"/>
  <c r="R445" i="1"/>
  <c r="R446" i="1"/>
  <c r="R447" i="1"/>
  <c r="R448" i="1"/>
  <c r="H449" i="1"/>
  <c r="R449" i="1"/>
  <c r="R450" i="1"/>
  <c r="R451" i="1"/>
  <c r="R453" i="1"/>
  <c r="R454" i="1"/>
  <c r="R455" i="1"/>
  <c r="R456" i="1"/>
  <c r="R457" i="1"/>
  <c r="R458" i="1"/>
  <c r="R459" i="1"/>
  <c r="R460" i="1"/>
  <c r="R461" i="1"/>
  <c r="R462" i="1"/>
  <c r="R464" i="1"/>
  <c r="R465" i="1"/>
  <c r="R466" i="1"/>
  <c r="R467" i="1"/>
  <c r="R468" i="1"/>
  <c r="R469" i="1"/>
  <c r="R470" i="1"/>
  <c r="R471" i="1"/>
  <c r="H472" i="1"/>
  <c r="R472" i="1"/>
  <c r="H473" i="1"/>
  <c r="R473" i="1"/>
  <c r="R475" i="1"/>
  <c r="H476" i="1"/>
  <c r="R476" i="1"/>
  <c r="R477" i="1"/>
  <c r="R478" i="1"/>
  <c r="R479" i="1"/>
  <c r="H480" i="1"/>
  <c r="R480" i="1"/>
  <c r="H481" i="1"/>
  <c r="R481" i="1"/>
  <c r="H482" i="1"/>
  <c r="R482" i="1"/>
  <c r="H483" i="1"/>
  <c r="R483" i="1"/>
  <c r="H484" i="1"/>
  <c r="R484" i="1"/>
  <c r="R486" i="1"/>
  <c r="H487" i="1"/>
  <c r="R487" i="1"/>
  <c r="H488" i="1"/>
  <c r="R488" i="1"/>
  <c r="H489" i="1"/>
  <c r="R489" i="1"/>
  <c r="H490" i="1"/>
  <c r="R490" i="1"/>
  <c r="H491" i="1"/>
  <c r="R491" i="1"/>
  <c r="R492" i="1"/>
  <c r="R493" i="1"/>
  <c r="R494" i="1"/>
  <c r="R495" i="1"/>
  <c r="R497" i="1"/>
  <c r="R498" i="1"/>
  <c r="R499" i="1"/>
  <c r="R500" i="1"/>
  <c r="R501" i="1"/>
  <c r="R502" i="1"/>
  <c r="R503" i="1"/>
  <c r="R504" i="1"/>
  <c r="R505" i="1"/>
  <c r="R506" i="1"/>
  <c r="R508" i="1"/>
  <c r="R509" i="1"/>
  <c r="R510" i="1"/>
  <c r="R511" i="1"/>
  <c r="R512" i="1"/>
  <c r="R513" i="1"/>
  <c r="R514" i="1"/>
  <c r="R515" i="1"/>
  <c r="R516" i="1"/>
  <c r="R517" i="1"/>
  <c r="R519" i="1"/>
  <c r="R520" i="1"/>
  <c r="R521" i="1"/>
  <c r="R522" i="1"/>
  <c r="R523" i="1"/>
  <c r="R524" i="1"/>
  <c r="R525" i="1"/>
  <c r="R526" i="1"/>
  <c r="R527" i="1"/>
  <c r="R528" i="1"/>
  <c r="R530" i="1"/>
  <c r="H531" i="1"/>
  <c r="R531" i="1"/>
  <c r="R532" i="1"/>
  <c r="R533" i="1"/>
  <c r="R534" i="1"/>
  <c r="R535" i="1"/>
  <c r="R536" i="1"/>
  <c r="R537" i="1"/>
  <c r="R538" i="1"/>
  <c r="R539" i="1"/>
  <c r="R541" i="1"/>
  <c r="R542" i="1"/>
  <c r="R543" i="1"/>
  <c r="R544" i="1"/>
  <c r="R545" i="1"/>
  <c r="R546" i="1"/>
  <c r="R547" i="1"/>
  <c r="R548" i="1"/>
  <c r="R549" i="1"/>
  <c r="R550" i="1"/>
  <c r="R552" i="1"/>
  <c r="R553" i="1"/>
  <c r="R554" i="1"/>
  <c r="R555" i="1"/>
  <c r="R556" i="1"/>
  <c r="R557" i="1"/>
  <c r="R558" i="1"/>
  <c r="R559" i="1"/>
  <c r="R560" i="1"/>
  <c r="R561" i="1"/>
  <c r="R563" i="1"/>
  <c r="R564" i="1"/>
  <c r="R565" i="1"/>
  <c r="R566" i="1"/>
  <c r="R567" i="1"/>
  <c r="R568" i="1"/>
  <c r="R569" i="1"/>
  <c r="R570" i="1"/>
  <c r="R571" i="1"/>
  <c r="R572" i="1"/>
  <c r="R574" i="1"/>
  <c r="R575" i="1"/>
  <c r="R576" i="1"/>
  <c r="R577" i="1"/>
  <c r="R578" i="1"/>
  <c r="R579" i="1"/>
  <c r="R580" i="1"/>
  <c r="R581" i="1"/>
  <c r="R582" i="1"/>
  <c r="R583" i="1"/>
  <c r="R585" i="1"/>
  <c r="R586" i="1"/>
  <c r="R587" i="1"/>
  <c r="R588" i="1"/>
  <c r="R589" i="1"/>
  <c r="R590" i="1"/>
  <c r="R591" i="1"/>
  <c r="R592" i="1"/>
  <c r="R593" i="1"/>
  <c r="R594" i="1"/>
  <c r="R596" i="1"/>
  <c r="H597" i="1"/>
  <c r="R597" i="1"/>
  <c r="R598" i="1"/>
  <c r="R599" i="1"/>
  <c r="R600" i="1"/>
  <c r="R601" i="1"/>
  <c r="R602" i="1"/>
  <c r="R603" i="1"/>
  <c r="R604" i="1"/>
  <c r="R605" i="1"/>
  <c r="R607" i="1"/>
  <c r="R608" i="1"/>
  <c r="R609" i="1"/>
  <c r="R610" i="1"/>
  <c r="R611" i="1"/>
  <c r="R612" i="1"/>
  <c r="R613" i="1"/>
  <c r="R614" i="1"/>
  <c r="R616" i="1"/>
  <c r="R617" i="1"/>
  <c r="R618" i="1"/>
  <c r="H619" i="1"/>
  <c r="R619" i="1"/>
  <c r="H620" i="1"/>
  <c r="R620" i="1"/>
  <c r="H621" i="1"/>
  <c r="R621" i="1"/>
  <c r="R622" i="1"/>
  <c r="H623" i="1"/>
  <c r="R623" i="1"/>
  <c r="H624" i="1"/>
  <c r="R624" i="1"/>
  <c r="H625" i="1"/>
  <c r="R625" i="1"/>
  <c r="R627" i="1"/>
  <c r="H628" i="1"/>
  <c r="R628" i="1"/>
  <c r="R629" i="1"/>
  <c r="R630" i="1"/>
  <c r="R631" i="1"/>
  <c r="R632" i="1"/>
  <c r="R633" i="1"/>
  <c r="R634" i="1"/>
  <c r="R635" i="1"/>
  <c r="R636" i="1"/>
  <c r="R638" i="1"/>
  <c r="R639" i="1"/>
  <c r="R640" i="1"/>
  <c r="R641" i="1"/>
  <c r="R642" i="1"/>
  <c r="R643" i="1"/>
  <c r="R644" i="1"/>
  <c r="R645" i="1"/>
  <c r="R646" i="1"/>
  <c r="R647" i="1"/>
  <c r="R649" i="1"/>
  <c r="R650" i="1"/>
  <c r="R651" i="1"/>
  <c r="R652" i="1"/>
  <c r="R653" i="1"/>
  <c r="R654" i="1"/>
  <c r="R655" i="1"/>
  <c r="R656" i="1"/>
  <c r="R657" i="1"/>
  <c r="R658" i="1"/>
  <c r="R660" i="1"/>
  <c r="H661" i="1"/>
  <c r="R661" i="1"/>
  <c r="R662" i="1"/>
  <c r="R663" i="1"/>
  <c r="R664" i="1"/>
  <c r="R665" i="1"/>
  <c r="R666" i="1"/>
  <c r="R667" i="1"/>
  <c r="R668" i="1"/>
  <c r="R669" i="1"/>
  <c r="R671" i="1"/>
  <c r="R672" i="1"/>
  <c r="R673" i="1"/>
  <c r="R674" i="1"/>
  <c r="R675" i="1"/>
  <c r="R676" i="1"/>
  <c r="R677" i="1"/>
  <c r="R678" i="1"/>
  <c r="R679" i="1"/>
  <c r="R680" i="1"/>
  <c r="R682" i="1"/>
  <c r="R683" i="1"/>
  <c r="R684" i="1"/>
  <c r="R685" i="1"/>
  <c r="R686" i="1"/>
  <c r="R687" i="1"/>
  <c r="R688" i="1"/>
  <c r="R689" i="1"/>
  <c r="R690" i="1"/>
  <c r="R691" i="1"/>
  <c r="R693" i="1"/>
  <c r="R694" i="1"/>
  <c r="R695" i="1"/>
  <c r="H696" i="1"/>
  <c r="R696" i="1"/>
  <c r="R697" i="1"/>
  <c r="R698" i="1"/>
  <c r="R699" i="1"/>
  <c r="R700" i="1"/>
  <c r="R701" i="1"/>
  <c r="R702" i="1"/>
  <c r="R704" i="1"/>
  <c r="R705" i="1"/>
  <c r="R706" i="1"/>
  <c r="R707" i="1"/>
  <c r="R708" i="1"/>
  <c r="R709" i="1"/>
  <c r="R710" i="1"/>
  <c r="R711" i="1"/>
  <c r="R712" i="1"/>
  <c r="R713" i="1"/>
  <c r="R715" i="1"/>
  <c r="H716" i="1"/>
  <c r="R716" i="1"/>
  <c r="H717" i="1"/>
  <c r="R717" i="1"/>
  <c r="H718" i="1"/>
  <c r="R718" i="1"/>
  <c r="R719" i="1"/>
  <c r="R720" i="1"/>
  <c r="R721" i="1"/>
  <c r="R722" i="1"/>
  <c r="R723" i="1"/>
  <c r="R724" i="1"/>
  <c r="R726" i="1"/>
  <c r="R727" i="1"/>
  <c r="R728" i="1"/>
  <c r="R729" i="1"/>
  <c r="R730" i="1"/>
  <c r="R731" i="1"/>
  <c r="R732" i="1"/>
  <c r="R733" i="1"/>
  <c r="R734" i="1"/>
  <c r="R735" i="1"/>
  <c r="R737" i="1"/>
  <c r="R738" i="1"/>
  <c r="H739" i="1"/>
  <c r="R739" i="1"/>
  <c r="R740" i="1"/>
  <c r="R741" i="1"/>
  <c r="R742" i="1"/>
  <c r="H743" i="1"/>
  <c r="R743" i="1"/>
  <c r="R744" i="1"/>
  <c r="R745" i="1"/>
  <c r="R746" i="1"/>
  <c r="R748" i="1"/>
  <c r="R749" i="1"/>
  <c r="R750" i="1"/>
  <c r="R751" i="1"/>
  <c r="R752" i="1"/>
  <c r="R753" i="1"/>
  <c r="R754" i="1"/>
  <c r="R755" i="1"/>
  <c r="R756" i="1"/>
  <c r="R757" i="1"/>
  <c r="R759" i="1"/>
  <c r="R760" i="1"/>
  <c r="R761" i="1"/>
  <c r="R762" i="1"/>
  <c r="R763" i="1"/>
  <c r="R764" i="1"/>
  <c r="R765" i="1"/>
  <c r="H766" i="1"/>
  <c r="R766" i="1"/>
  <c r="R767" i="1"/>
  <c r="H768" i="1"/>
  <c r="R768" i="1"/>
  <c r="R770" i="1"/>
  <c r="R771" i="1"/>
  <c r="R772" i="1"/>
  <c r="R773" i="1"/>
  <c r="R774" i="1"/>
  <c r="R775" i="1"/>
  <c r="R776" i="1"/>
  <c r="R777" i="1"/>
  <c r="R778" i="1"/>
  <c r="R779" i="1"/>
  <c r="R781" i="1"/>
  <c r="R782" i="1"/>
  <c r="R783" i="1"/>
  <c r="R784" i="1"/>
  <c r="R785" i="1"/>
  <c r="R786" i="1"/>
  <c r="R787" i="1"/>
  <c r="R788" i="1"/>
  <c r="R789" i="1"/>
  <c r="R790" i="1"/>
  <c r="R792" i="1"/>
  <c r="R793" i="1"/>
  <c r="R794" i="1"/>
  <c r="R795" i="1"/>
  <c r="R796" i="1"/>
  <c r="R797" i="1"/>
  <c r="R798" i="1"/>
  <c r="R799" i="1"/>
  <c r="R800" i="1"/>
  <c r="R801" i="1"/>
  <c r="H803" i="1"/>
  <c r="R803" i="1"/>
  <c r="R804" i="1"/>
  <c r="R805" i="1"/>
  <c r="R806" i="1"/>
  <c r="R807" i="1"/>
  <c r="R808" i="1"/>
  <c r="R809" i="1"/>
  <c r="R810" i="1"/>
  <c r="R811" i="1"/>
  <c r="R812" i="1"/>
  <c r="R814" i="1"/>
  <c r="R815" i="1"/>
  <c r="R816" i="1"/>
  <c r="R817" i="1"/>
  <c r="R818" i="1"/>
  <c r="R819" i="1"/>
  <c r="R820" i="1"/>
  <c r="R821" i="1"/>
  <c r="R822" i="1"/>
  <c r="R823" i="1"/>
  <c r="R825" i="1"/>
  <c r="R826" i="1"/>
  <c r="R827" i="1"/>
  <c r="R828" i="1"/>
  <c r="R829" i="1"/>
  <c r="R830" i="1"/>
  <c r="R831" i="1"/>
  <c r="R832" i="1"/>
  <c r="R833" i="1"/>
  <c r="R834" i="1"/>
  <c r="H836" i="1"/>
  <c r="R836" i="1"/>
  <c r="R837" i="1"/>
  <c r="R838" i="1"/>
  <c r="R839" i="1"/>
  <c r="R840" i="1"/>
  <c r="R841" i="1"/>
  <c r="R842" i="1"/>
  <c r="R843" i="1"/>
  <c r="R844" i="1"/>
  <c r="R845" i="1"/>
  <c r="R847" i="1"/>
  <c r="R848" i="1"/>
  <c r="R849" i="1"/>
  <c r="R850" i="1"/>
  <c r="R851" i="1"/>
  <c r="R852" i="1"/>
  <c r="R853" i="1"/>
  <c r="R854" i="1"/>
  <c r="R855" i="1"/>
  <c r="R856" i="1"/>
  <c r="H858" i="1"/>
  <c r="R858" i="1"/>
  <c r="H859" i="1"/>
  <c r="R859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9" i="1"/>
  <c r="R869" i="1"/>
  <c r="H870" i="1"/>
  <c r="R870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80" i="1"/>
  <c r="R880" i="1"/>
  <c r="H881" i="1"/>
  <c r="R881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1" i="1"/>
  <c r="R891" i="1"/>
  <c r="H892" i="1"/>
  <c r="R892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2" i="1"/>
  <c r="R902" i="1"/>
  <c r="H903" i="1"/>
  <c r="R903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3" i="1"/>
  <c r="R913" i="1"/>
  <c r="H914" i="1"/>
  <c r="R914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4" i="1"/>
  <c r="R924" i="1"/>
  <c r="H925" i="1"/>
  <c r="R925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5" i="1"/>
  <c r="R935" i="1"/>
  <c r="H936" i="1"/>
  <c r="R936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6" i="1"/>
  <c r="R946" i="1"/>
  <c r="H947" i="1"/>
  <c r="R947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7" i="1"/>
  <c r="R957" i="1"/>
  <c r="H958" i="1"/>
  <c r="R958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8" i="1"/>
  <c r="R968" i="1"/>
  <c r="H969" i="1"/>
  <c r="R969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9" i="1"/>
  <c r="R979" i="1"/>
  <c r="H980" i="1"/>
  <c r="R980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90" i="1"/>
  <c r="R990" i="1"/>
  <c r="H991" i="1"/>
  <c r="R991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1" i="1"/>
  <c r="R1001" i="1"/>
  <c r="H1002" i="1"/>
  <c r="R1002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2" i="1"/>
  <c r="R1012" i="1"/>
  <c r="H1013" i="1"/>
  <c r="R1013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3" i="1"/>
  <c r="R1023" i="1"/>
  <c r="H1024" i="1"/>
  <c r="R1024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4" i="1"/>
  <c r="R1034" i="1"/>
  <c r="H1035" i="1"/>
  <c r="R1035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5" i="1"/>
  <c r="R1045" i="1"/>
  <c r="H1046" i="1"/>
  <c r="R1046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6" i="1"/>
  <c r="R1056" i="1"/>
  <c r="H1057" i="1"/>
  <c r="R1057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7" i="1"/>
  <c r="R1067" i="1"/>
  <c r="H1068" i="1"/>
  <c r="R1068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8" i="1"/>
  <c r="R1078" i="1"/>
  <c r="H1079" i="1"/>
  <c r="R1079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9" i="1"/>
  <c r="R1089" i="1"/>
  <c r="H1090" i="1"/>
  <c r="R1090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100" i="1"/>
  <c r="R1100" i="1"/>
  <c r="H1101" i="1"/>
  <c r="R1101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1" i="1"/>
  <c r="R1111" i="1"/>
  <c r="H1112" i="1"/>
  <c r="R1112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2" i="1"/>
  <c r="R1122" i="1"/>
  <c r="H1123" i="1"/>
  <c r="R1123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3" i="1"/>
  <c r="R1133" i="1"/>
  <c r="H1134" i="1"/>
  <c r="R1134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4" i="1"/>
  <c r="R1144" i="1"/>
  <c r="H1145" i="1"/>
  <c r="R1145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5" i="1"/>
  <c r="R1155" i="1"/>
  <c r="H1156" i="1"/>
  <c r="R1156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6" i="1"/>
  <c r="R1166" i="1"/>
  <c r="H1167" i="1"/>
  <c r="R1167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7" i="1"/>
  <c r="R1177" i="1"/>
  <c r="H1178" i="1"/>
  <c r="R1178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8" i="1"/>
  <c r="R1188" i="1"/>
  <c r="H1189" i="1"/>
  <c r="R1189" i="1"/>
  <c r="H1190" i="1"/>
  <c r="R1190" i="1"/>
  <c r="H1191" i="1"/>
  <c r="R1191" i="1"/>
  <c r="H1192" i="1"/>
  <c r="R1192" i="1"/>
  <c r="H1193" i="1"/>
  <c r="R1193" i="1"/>
  <c r="H1194" i="1"/>
  <c r="R1194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999" i="1"/>
  <c r="T11902" i="1"/>
  <c r="T11901" i="1"/>
  <c r="T6002" i="1"/>
  <c r="T6003" i="1"/>
  <c r="T11900" i="1"/>
  <c r="T11992" i="1"/>
  <c r="T11993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6000" i="1"/>
  <c r="T2000" i="1"/>
  <c r="T2001" i="1"/>
  <c r="T6182" i="1"/>
  <c r="T6004" i="1"/>
  <c r="T6001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869" i="1"/>
  <c r="T11870" i="1"/>
  <c r="T11988" i="1"/>
  <c r="T11989" i="1"/>
  <c r="T11990" i="1"/>
  <c r="T11991" i="1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J50" i="2"/>
  <c r="J51" i="2"/>
  <c r="J52" i="2"/>
  <c r="J53" i="2"/>
  <c r="J54" i="2"/>
  <c r="J55" i="2"/>
  <c r="J56" i="2"/>
  <c r="J57" i="2"/>
  <c r="J58" i="2"/>
  <c r="K58" i="2"/>
  <c r="J59" i="2"/>
  <c r="J60" i="2"/>
  <c r="J61" i="2"/>
  <c r="J62" i="2"/>
  <c r="K62" i="2"/>
  <c r="J63" i="2"/>
  <c r="K63" i="2"/>
  <c r="J64" i="2"/>
  <c r="J65" i="2"/>
  <c r="J66" i="2"/>
  <c r="J67" i="2"/>
  <c r="J68" i="2"/>
  <c r="J69" i="2"/>
  <c r="J70" i="2"/>
  <c r="K70" i="2"/>
  <c r="J71" i="2"/>
  <c r="J72" i="2"/>
  <c r="J73" i="2"/>
  <c r="J74" i="2"/>
  <c r="J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K49" i="2" s="1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K53" i="2" s="1"/>
  <c r="B54" i="2"/>
  <c r="C54" i="2"/>
  <c r="D54" i="2"/>
  <c r="E54" i="2"/>
  <c r="F54" i="2"/>
  <c r="G54" i="2"/>
  <c r="H54" i="2"/>
  <c r="K54" i="2" s="1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K57" i="2" s="1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K59" i="2" s="1"/>
  <c r="B60" i="2"/>
  <c r="C60" i="2"/>
  <c r="D60" i="2"/>
  <c r="E60" i="2"/>
  <c r="F60" i="2"/>
  <c r="G60" i="2"/>
  <c r="H60" i="2"/>
  <c r="K60" i="2" s="1"/>
  <c r="B61" i="2"/>
  <c r="C61" i="2"/>
  <c r="D61" i="2"/>
  <c r="E61" i="2"/>
  <c r="F61" i="2"/>
  <c r="G61" i="2"/>
  <c r="H61" i="2"/>
  <c r="K61" i="2" s="1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K66" i="2" s="1"/>
  <c r="B67" i="2"/>
  <c r="C67" i="2"/>
  <c r="D67" i="2"/>
  <c r="E67" i="2"/>
  <c r="F67" i="2"/>
  <c r="G67" i="2"/>
  <c r="H67" i="2"/>
  <c r="K67" i="2" s="1"/>
  <c r="B68" i="2"/>
  <c r="C68" i="2"/>
  <c r="D68" i="2"/>
  <c r="E68" i="2"/>
  <c r="F68" i="2"/>
  <c r="G68" i="2"/>
  <c r="H68" i="2"/>
  <c r="K68" i="2" s="1"/>
  <c r="B69" i="2"/>
  <c r="C69" i="2"/>
  <c r="D69" i="2"/>
  <c r="E69" i="2"/>
  <c r="F69" i="2"/>
  <c r="G69" i="2"/>
  <c r="H69" i="2"/>
  <c r="K69" i="2" s="1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K71" i="2" s="1"/>
  <c r="B72" i="2"/>
  <c r="C72" i="2"/>
  <c r="D72" i="2"/>
  <c r="E72" i="2"/>
  <c r="F72" i="2"/>
  <c r="G72" i="2"/>
  <c r="H72" i="2"/>
  <c r="K72" i="2" s="1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K75" i="2" s="1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I34" i="2"/>
  <c r="I33" i="2"/>
  <c r="I32" i="2"/>
  <c r="I31" i="2"/>
  <c r="I30" i="2"/>
  <c r="I29" i="2"/>
  <c r="I28" i="2"/>
  <c r="I27" i="2"/>
  <c r="I26" i="2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B84" i="3" l="1"/>
  <c r="C84" i="3"/>
  <c r="D84" i="3"/>
  <c r="E84" i="3"/>
  <c r="B85" i="3"/>
  <c r="C85" i="3"/>
  <c r="D85" i="3"/>
  <c r="E85" i="3"/>
  <c r="B86" i="3"/>
  <c r="C86" i="3"/>
  <c r="D86" i="3"/>
  <c r="E86" i="3"/>
  <c r="B87" i="3"/>
  <c r="C87" i="3"/>
  <c r="D87" i="3"/>
  <c r="E87" i="3"/>
  <c r="B88" i="3"/>
  <c r="C88" i="3"/>
  <c r="D88" i="3"/>
  <c r="E88" i="3"/>
  <c r="B89" i="3"/>
  <c r="C89" i="3"/>
  <c r="D89" i="3"/>
  <c r="E89" i="3"/>
  <c r="B90" i="3"/>
  <c r="C90" i="3"/>
  <c r="D90" i="3"/>
  <c r="E90" i="3"/>
  <c r="B91" i="3"/>
  <c r="C91" i="3"/>
  <c r="D91" i="3"/>
  <c r="E91" i="3"/>
  <c r="B92" i="3"/>
  <c r="C92" i="3"/>
  <c r="D92" i="3"/>
  <c r="E92" i="3"/>
  <c r="B93" i="3"/>
  <c r="C93" i="3"/>
  <c r="D93" i="3"/>
  <c r="E93" i="3"/>
  <c r="G83" i="3"/>
  <c r="G86" i="3"/>
  <c r="G93" i="3"/>
  <c r="G89" i="3"/>
  <c r="G87" i="3"/>
  <c r="G91" i="3"/>
  <c r="G88" i="3"/>
  <c r="G84" i="3"/>
  <c r="B83" i="3"/>
  <c r="C83" i="3"/>
  <c r="D83" i="3"/>
  <c r="E83" i="3"/>
  <c r="G82" i="3"/>
  <c r="G61" i="3"/>
  <c r="B60" i="3"/>
  <c r="C60" i="3"/>
  <c r="D60" i="3"/>
  <c r="E60" i="3"/>
  <c r="B62" i="3"/>
  <c r="C62" i="3"/>
  <c r="D62" i="3"/>
  <c r="E62" i="3"/>
  <c r="B65" i="3"/>
  <c r="C65" i="3"/>
  <c r="D65" i="3"/>
  <c r="E65" i="3"/>
  <c r="B74" i="3"/>
  <c r="C74" i="3"/>
  <c r="D74" i="3"/>
  <c r="E74" i="3"/>
  <c r="B76" i="3"/>
  <c r="C76" i="3"/>
  <c r="D76" i="3"/>
  <c r="E76" i="3"/>
  <c r="B77" i="3"/>
  <c r="C77" i="3"/>
  <c r="D77" i="3"/>
  <c r="E77" i="3"/>
  <c r="B78" i="3"/>
  <c r="C78" i="3"/>
  <c r="D78" i="3"/>
  <c r="E78" i="3"/>
  <c r="B79" i="3"/>
  <c r="C79" i="3"/>
  <c r="D79" i="3"/>
  <c r="E79" i="3"/>
  <c r="G62" i="3"/>
  <c r="G71" i="3"/>
  <c r="G64" i="3"/>
  <c r="G59" i="3"/>
  <c r="G81" i="3"/>
  <c r="G65" i="3"/>
  <c r="G68" i="3"/>
  <c r="G74" i="3"/>
  <c r="G60" i="3"/>
  <c r="G77" i="3"/>
  <c r="G76" i="3"/>
  <c r="G79" i="3"/>
  <c r="G80" i="3"/>
  <c r="B64" i="3"/>
  <c r="C64" i="3"/>
  <c r="D64" i="3"/>
  <c r="E64" i="3"/>
  <c r="B70" i="3"/>
  <c r="C70" i="3"/>
  <c r="D70" i="3"/>
  <c r="E70" i="3"/>
  <c r="B71" i="3"/>
  <c r="C71" i="3"/>
  <c r="D71" i="3"/>
  <c r="E71" i="3"/>
  <c r="B73" i="3"/>
  <c r="C73" i="3"/>
  <c r="D73" i="3"/>
  <c r="E73" i="3"/>
  <c r="B80" i="3"/>
  <c r="C80" i="3"/>
  <c r="D80" i="3"/>
  <c r="E80" i="3"/>
  <c r="B81" i="3"/>
  <c r="C81" i="3"/>
  <c r="D81" i="3"/>
  <c r="E81" i="3"/>
  <c r="B82" i="3"/>
  <c r="C82" i="3"/>
  <c r="D82" i="3"/>
  <c r="E82" i="3"/>
  <c r="B61" i="3"/>
  <c r="C61" i="3"/>
  <c r="D61" i="3"/>
  <c r="E61" i="3"/>
  <c r="B63" i="3"/>
  <c r="C63" i="3"/>
  <c r="D63" i="3"/>
  <c r="E63" i="3"/>
  <c r="B66" i="3"/>
  <c r="C66" i="3"/>
  <c r="D66" i="3"/>
  <c r="E66" i="3"/>
  <c r="B67" i="3"/>
  <c r="C67" i="3"/>
  <c r="D67" i="3"/>
  <c r="E67" i="3"/>
  <c r="B68" i="3"/>
  <c r="C68" i="3"/>
  <c r="D68" i="3"/>
  <c r="E68" i="3"/>
  <c r="B69" i="3"/>
  <c r="C69" i="3"/>
  <c r="D69" i="3"/>
  <c r="E69" i="3"/>
  <c r="B72" i="3"/>
  <c r="C72" i="3"/>
  <c r="D72" i="3"/>
  <c r="E72" i="3"/>
  <c r="B75" i="3"/>
  <c r="C75" i="3"/>
  <c r="D75" i="3"/>
  <c r="E75" i="3"/>
  <c r="B57" i="3"/>
  <c r="C57" i="3"/>
  <c r="D57" i="3"/>
  <c r="E57" i="3"/>
  <c r="B58" i="3"/>
  <c r="C58" i="3"/>
  <c r="D58" i="3"/>
  <c r="E58" i="3"/>
  <c r="B59" i="3"/>
  <c r="C59" i="3"/>
  <c r="D59" i="3"/>
  <c r="E59" i="3"/>
  <c r="G58" i="3"/>
  <c r="G57" i="3"/>
  <c r="K74" i="2"/>
  <c r="K73" i="2"/>
  <c r="B46" i="2"/>
  <c r="K65" i="2"/>
  <c r="K64" i="2"/>
  <c r="G55" i="3"/>
  <c r="F56" i="3"/>
  <c r="H56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G52" i="3"/>
  <c r="G56" i="3"/>
  <c r="G51" i="3"/>
  <c r="F51" i="3"/>
  <c r="H51" i="3"/>
  <c r="F52" i="3"/>
  <c r="H52" i="3"/>
  <c r="F53" i="3"/>
  <c r="H53" i="3"/>
  <c r="F54" i="3"/>
  <c r="H54" i="3"/>
  <c r="F55" i="3"/>
  <c r="H55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K56" i="2"/>
  <c r="K55" i="2"/>
  <c r="K51" i="2"/>
  <c r="K52" i="2"/>
  <c r="K50" i="2"/>
  <c r="J18" i="2"/>
  <c r="D49" i="2"/>
  <c r="F84" i="3" l="1"/>
  <c r="H84" i="3"/>
  <c r="F85" i="3"/>
  <c r="H85" i="3"/>
  <c r="F86" i="3"/>
  <c r="H86" i="3"/>
  <c r="F87" i="3"/>
  <c r="H87" i="3"/>
  <c r="F89" i="3"/>
  <c r="H89" i="3"/>
  <c r="F90" i="3"/>
  <c r="H90" i="3"/>
  <c r="F92" i="3"/>
  <c r="H92" i="3"/>
  <c r="F93" i="3"/>
  <c r="H93" i="3"/>
  <c r="F91" i="3"/>
  <c r="H91" i="3"/>
  <c r="F88" i="3"/>
  <c r="H88" i="3"/>
  <c r="F83" i="3"/>
  <c r="H83" i="3"/>
  <c r="F60" i="3"/>
  <c r="H60" i="3"/>
  <c r="F61" i="3"/>
  <c r="H61" i="3"/>
  <c r="F62" i="3"/>
  <c r="H62" i="3"/>
  <c r="F63" i="3"/>
  <c r="H63" i="3"/>
  <c r="F64" i="3"/>
  <c r="H64" i="3"/>
  <c r="F65" i="3"/>
  <c r="H65" i="3"/>
  <c r="F66" i="3"/>
  <c r="H66" i="3"/>
  <c r="F67" i="3"/>
  <c r="H67" i="3"/>
  <c r="F68" i="3"/>
  <c r="H68" i="3"/>
  <c r="F69" i="3"/>
  <c r="H69" i="3"/>
  <c r="F70" i="3"/>
  <c r="H70" i="3"/>
  <c r="F71" i="3"/>
  <c r="H71" i="3"/>
  <c r="F72" i="3"/>
  <c r="H72" i="3"/>
  <c r="F73" i="3"/>
  <c r="H73" i="3"/>
  <c r="F74" i="3"/>
  <c r="H74" i="3"/>
  <c r="F75" i="3"/>
  <c r="H75" i="3"/>
  <c r="F76" i="3"/>
  <c r="H76" i="3"/>
  <c r="F77" i="3"/>
  <c r="H77" i="3"/>
  <c r="F78" i="3"/>
  <c r="H78" i="3"/>
  <c r="F79" i="3"/>
  <c r="H79" i="3"/>
  <c r="F80" i="3"/>
  <c r="H80" i="3"/>
  <c r="F81" i="3"/>
  <c r="H81" i="3"/>
  <c r="F82" i="3"/>
  <c r="H82" i="3"/>
  <c r="F57" i="3"/>
  <c r="H57" i="3"/>
  <c r="F58" i="3"/>
  <c r="H58" i="3"/>
  <c r="F59" i="3"/>
  <c r="H59" i="3"/>
  <c r="H37" i="3"/>
  <c r="F37" i="3"/>
  <c r="H32" i="3"/>
  <c r="H33" i="3"/>
  <c r="H34" i="3"/>
  <c r="H35" i="3"/>
  <c r="H36" i="3"/>
  <c r="F32" i="3"/>
  <c r="F33" i="3"/>
  <c r="F34" i="3"/>
  <c r="F35" i="3"/>
  <c r="F36" i="3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K18" i="2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<sst xmlns="http://schemas.openxmlformats.org/spreadsheetml/2006/main" count="10650" uniqueCount="3392">
  <si>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</si>
  <si>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</si>
  <si>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</si>
  <si>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</si>
  <si>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</si>
  <si>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</si>
  <si>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</si>
  <si>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</si>
  <si>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</si>
  <si>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</si>
  <si>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</si>
  <si>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</si>
  <si>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</si>
  <si>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</si>
  <si>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</si>
  <si>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</si>
  <si>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</si>
  <si>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</si>
  <si>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</si>
  <si>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</si>
  <si>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</si>
  <si>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 xml:space="preserve">Retira 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</si>
  <si>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</si>
  <si>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</si>
  <si>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</si>
  <si>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</si>
  <si>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</si>
  <si>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</si>
  <si>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</si>
  <si>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</si>
  <si>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</si>
  <si>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</si>
  <si>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</si>
  <si>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</si>
  <si>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</si>
  <si>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</si>
  <si>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</si>
  <si>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</si>
  <si>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</si>
  <si>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</si>
  <si>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</si>
  <si>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</si>
  <si>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</si>
  <si>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</si>
  <si>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</si>
  <si>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</si>
  <si>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</si>
  <si>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</si>
  <si>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</si>
  <si>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</si>
  <si>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</si>
  <si>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</si>
  <si>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</si>
  <si>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</si>
  <si>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</si>
  <si>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</si>
  <si>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</si>
  <si>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</si>
  <si>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</si>
  <si>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</si>
  <si>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</si>
  <si>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</si>
  <si>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</si>
  <si>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</si>
  <si>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</si>
  <si>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</si>
  <si>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</si>
  <si>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</si>
  <si>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</si>
  <si>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</si>
  <si>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</si>
  <si>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</si>
  <si>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</si>
  <si>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</si>
  <si>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</si>
  <si>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</si>
  <si>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</si>
  <si>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</si>
  <si>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</si>
  <si>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</si>
  <si>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</si>
  <si>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</si>
  <si>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</si>
  <si>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</si>
  <si>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</si>
  <si>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</si>
  <si>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</si>
  <si>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</si>
  <si>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</si>
  <si>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</si>
  <si>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</si>
  <si>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</si>
  <si>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</si>
  <si>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</si>
  <si>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</si>
  <si>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</si>
  <si>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</si>
  <si>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</si>
  <si>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</si>
  <si>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</si>
  <si>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</si>
  <si>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</si>
  <si>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</si>
  <si>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</si>
  <si>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</si>
  <si>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</si>
  <si>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</si>
  <si>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</si>
  <si>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</si>
  <si>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</si>
  <si>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</si>
  <si>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</si>
  <si>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</si>
  <si>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</si>
  <si>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</si>
  <si>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</si>
  <si>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</si>
  <si>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</si>
  <si>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</si>
  <si>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</si>
  <si>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</si>
  <si>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</si>
  <si>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</si>
  <si>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</si>
  <si>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</si>
  <si>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</si>
  <si>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</si>
  <si>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</si>
  <si>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Avena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</si>
  <si>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</si>
  <si>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</si>
  <si>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</si>
  <si>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</si>
  <si>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</si>
  <si>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</si>
  <si>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</si>
  <si>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</si>
  <si>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</si>
  <si>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</si>
  <si>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</si>
  <si>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</si>
  <si>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</si>
  <si>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</si>
  <si>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</si>
  <si>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</si>
  <si>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</si>
  <si>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</si>
  <si>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</si>
  <si>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</si>
  <si>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</si>
  <si>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</si>
  <si>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</si>
  <si>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</si>
  <si>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</si>
  <si>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</si>
  <si>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</si>
  <si>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</si>
  <si>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</si>
  <si>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</si>
  <si>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</si>
  <si>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</si>
  <si>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</si>
  <si>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</si>
  <si>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</si>
  <si>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</si>
  <si>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</si>
  <si>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</si>
  <si>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</si>
  <si>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</si>
  <si>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</si>
  <si>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</si>
  <si>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</si>
  <si>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</si>
  <si>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</si>
  <si>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</si>
  <si>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</si>
  <si>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</si>
  <si>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</si>
  <si>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</si>
  <si>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</si>
  <si>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</si>
  <si>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</si>
  <si>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</si>
  <si>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</si>
  <si>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</si>
  <si>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</si>
  <si>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</si>
  <si>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</si>
  <si>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</si>
  <si>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</si>
  <si>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</si>
  <si>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</si>
  <si>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</si>
  <si>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</si>
  <si>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</si>
  <si>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</si>
  <si>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</si>
  <si>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</si>
  <si>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</si>
  <si>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</si>
  <si>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</si>
  <si>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</si>
  <si>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</si>
  <si>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</si>
  <si>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</si>
  <si>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</si>
  <si>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</si>
  <si>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</si>
  <si>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</si>
  <si>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</si>
  <si>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</si>
  <si>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</si>
  <si>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</si>
  <si>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</si>
  <si>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</si>
  <si>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</si>
  <si>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</si>
  <si>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</si>
  <si>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</si>
  <si>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</si>
  <si>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</si>
  <si>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</si>
  <si>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</si>
  <si>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</si>
  <si>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</si>
  <si>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</si>
  <si>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</si>
  <si>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</si>
  <si>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</si>
  <si>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</si>
  <si>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</si>
  <si>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</si>
  <si>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</si>
  <si>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</si>
  <si>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</si>
  <si>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</si>
  <si>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</si>
  <si>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</si>
  <si>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</si>
  <si>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</si>
  <si>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</si>
  <si>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</si>
  <si>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</si>
  <si>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</si>
  <si>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</si>
  <si>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</si>
  <si>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</si>
  <si>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</si>
  <si>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</si>
  <si>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</si>
  <si>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</si>
  <si>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</si>
  <si>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</si>
  <si>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</si>
  <si>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</si>
  <si>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</si>
  <si>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</si>
  <si>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</si>
  <si>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</si>
  <si>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</si>
  <si>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</si>
  <si>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</si>
  <si>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</si>
  <si>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</si>
  <si>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</si>
  <si>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</si>
  <si>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</si>
  <si>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</si>
  <si>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</si>
  <si>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</si>
  <si>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</si>
  <si>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</si>
  <si>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</si>
  <si>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</si>
  <si>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</si>
  <si>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</si>
  <si>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</si>
  <si>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</si>
  <si>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</si>
  <si>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</si>
  <si>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</si>
  <si>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</si>
  <si>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</si>
  <si>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</si>
  <si>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</si>
  <si>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</si>
  <si>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</si>
  <si>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</si>
  <si>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</si>
  <si>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</si>
  <si>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</si>
  <si>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</si>
  <si>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</si>
  <si>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</si>
  <si>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</si>
  <si>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</si>
  <si>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</si>
  <si>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</si>
  <si>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</si>
  <si>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</si>
  <si>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</si>
  <si>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</si>
  <si>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</si>
  <si>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</si>
  <si>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</si>
  <si>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</si>
  <si>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</si>
  <si>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</si>
  <si>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</si>
  <si>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</si>
  <si>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</si>
  <si>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</si>
  <si>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</si>
  <si>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</si>
  <si>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</si>
  <si>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</si>
  <si>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</si>
  <si>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</si>
  <si>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</si>
  <si>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</si>
  <si>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</si>
  <si>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</si>
  <si>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</si>
  <si>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</si>
  <si>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</si>
  <si>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</si>
  <si>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</si>
  <si>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</si>
  <si>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</si>
  <si>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</si>
  <si>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</si>
  <si>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</si>
  <si>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</si>
  <si>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</si>
  <si>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</si>
  <si>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</si>
  <si>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</si>
  <si>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</si>
  <si>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</si>
  <si>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</si>
  <si>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</si>
  <si>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</si>
  <si>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</si>
  <si>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</si>
  <si>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</si>
  <si>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</si>
  <si>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</si>
  <si>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</si>
  <si>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</si>
  <si>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</si>
  <si>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</si>
  <si>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</si>
  <si>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</si>
  <si>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</si>
  <si>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</si>
  <si>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</si>
  <si>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</si>
  <si>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</si>
  <si>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</si>
  <si>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</si>
  <si>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</si>
  <si>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</si>
  <si>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</si>
  <si>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</si>
  <si>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</si>
  <si>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</si>
  <si>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</si>
  <si>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</si>
  <si>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</si>
  <si>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</si>
  <si>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</si>
  <si>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</si>
  <si>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</si>
  <si>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</si>
  <si>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</si>
  <si>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</si>
  <si>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</si>
  <si>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</si>
  <si>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</si>
  <si>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</si>
  <si>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</si>
  <si>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</si>
  <si>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</si>
  <si>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</si>
  <si>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</si>
  <si>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</si>
  <si>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</si>
  <si>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</si>
  <si>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</si>
  <si>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</si>
  <si>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</si>
  <si>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</si>
  <si>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</si>
  <si>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</si>
  <si>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</si>
  <si>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</si>
  <si>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</si>
  <si>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</si>
  <si>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</si>
  <si>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</si>
  <si>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</si>
  <si>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</si>
  <si>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</si>
  <si>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</si>
  <si>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</si>
  <si>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</si>
  <si>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</si>
  <si>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</si>
  <si>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</si>
  <si>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</si>
  <si>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</si>
  <si>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</si>
  <si>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</si>
  <si>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</si>
  <si>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</si>
  <si>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</si>
  <si>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</si>
  <si>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</si>
  <si>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</si>
  <si>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</si>
  <si>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</si>
  <si>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</si>
  <si>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</si>
  <si>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</si>
  <si>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</si>
  <si>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</si>
  <si>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</si>
  <si>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Trigo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</si>
  <si>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</si>
  <si>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</si>
  <si>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</si>
  <si>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</si>
  <si>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</si>
  <si>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</si>
  <si>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</si>
  <si>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</si>
  <si>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</si>
  <si>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</si>
  <si>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</si>
  <si>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</si>
  <si>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</si>
  <si>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</si>
  <si>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</si>
  <si>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</si>
  <si>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</si>
  <si>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</si>
  <si>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</si>
  <si>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</si>
  <si>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</si>
  <si>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</si>
  <si>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</si>
  <si>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</si>
  <si>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</si>
  <si>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</si>
  <si>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</si>
  <si>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</si>
  <si>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</si>
  <si>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</si>
  <si>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</si>
  <si>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</si>
  <si>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</si>
  <si>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</si>
  <si>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</si>
  <si>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</si>
  <si>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</si>
  <si>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</si>
  <si>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</si>
  <si>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</si>
  <si>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</si>
  <si>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</si>
  <si>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</si>
  <si>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</si>
  <si>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</si>
  <si>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</si>
  <si>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</si>
  <si>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</si>
  <si>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</si>
  <si>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</si>
  <si>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</si>
  <si>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</si>
  <si>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</si>
  <si>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</si>
  <si>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</si>
  <si>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</si>
  <si>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</si>
  <si>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</si>
  <si>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</si>
  <si>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</si>
  <si>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</si>
  <si>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</si>
  <si>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</si>
  <si>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 xml:space="preserve">Zinc Plus </t>
  </si>
  <si>
    <t xml:space="preserve">Keylate Zinc Plus </t>
  </si>
  <si>
    <t>Fertilizante</t>
  </si>
  <si>
    <t>MOV-266</t>
  </si>
  <si>
    <t>260610-265</t>
  </si>
  <si>
    <t>MOV-267</t>
  </si>
  <si>
    <t>260429-102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</si>
  <si>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</si>
  <si>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</si>
  <si>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</si>
  <si>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</si>
  <si>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</si>
  <si>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</si>
  <si>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</si>
  <si>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</si>
  <si>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</si>
  <si>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</si>
  <si>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</si>
  <si>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</si>
  <si>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</si>
  <si>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</si>
  <si>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</si>
  <si>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</si>
  <si>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Unico Max</t>
  </si>
  <si>
    <t>(Protioconazol 175 g/L + Piraclostrobin 142 g/L + Bixafen 125 g/L – SC)</t>
  </si>
  <si>
    <t>Fungicida</t>
  </si>
  <si>
    <t>MOV-284</t>
  </si>
  <si>
    <t>MOV-285</t>
  </si>
  <si>
    <t>k</t>
  </si>
  <si>
    <t>MOV-286</t>
  </si>
  <si>
    <t>MOV-287</t>
  </si>
  <si>
    <t>MOV-288</t>
  </si>
  <si>
    <t>MOV-289</t>
  </si>
  <si>
    <t xml:space="preserve">cripton xpro </t>
  </si>
  <si>
    <t>Protioconazol 175g/l trifloxistrobin 150g/l bixafen 125g/l</t>
  </si>
  <si>
    <t>MOV-290</t>
  </si>
  <si>
    <t>vitagrow</t>
  </si>
  <si>
    <t xml:space="preserve">fertilizante foliar </t>
  </si>
  <si>
    <t>MOV-291</t>
  </si>
  <si>
    <t>MOV-292</t>
  </si>
  <si>
    <t>MOV-293</t>
  </si>
  <si>
    <t>MOV-294</t>
  </si>
  <si>
    <t>MOV-295</t>
  </si>
  <si>
    <t>Paradigm</t>
  </si>
  <si>
    <t>Florasulam 20,0% Halauxyfen metil 20,85% Equivalente ácido Halauxyfen metil 20,0%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</si>
  <si>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</si>
  <si>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</si>
  <si>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</si>
  <si>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</si>
  <si>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</si>
  <si>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</si>
  <si>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</si>
  <si>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</si>
  <si>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</si>
  <si>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</si>
  <si>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</si>
  <si>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</si>
  <si>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</si>
  <si>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</si>
  <si>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</si>
  <si>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260623-290</t>
  </si>
  <si>
    <t>MOV-311</t>
  </si>
  <si>
    <t>260623-289</t>
  </si>
  <si>
    <t>MOV-312</t>
  </si>
  <si>
    <t>MOV-313</t>
  </si>
  <si>
    <t xml:space="preserve">semilla comprada cebada </t>
  </si>
  <si>
    <t>cebada osiris</t>
  </si>
  <si>
    <t>Cebada</t>
  </si>
  <si>
    <t>MOV-314</t>
  </si>
  <si>
    <t>260623-295</t>
  </si>
  <si>
    <t>MOV-315</t>
  </si>
  <si>
    <t>MOV-316</t>
  </si>
  <si>
    <t>260415-032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</si>
  <si>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</si>
  <si>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</si>
  <si>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</si>
  <si>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</si>
  <si>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</si>
  <si>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</si>
  <si>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</si>
  <si>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</si>
  <si>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</si>
  <si>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</si>
  <si>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</si>
  <si>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</si>
  <si>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Acrecio</t>
  </si>
  <si>
    <t>Ácidos Húmicos / L-Triptofano puro / L- Metionina pura / Acreciactiv</t>
  </si>
  <si>
    <t xml:space="preserve">Bioestimulante </t>
  </si>
  <si>
    <t>MOV-329</t>
  </si>
  <si>
    <t xml:space="preserve">Bioavanza plus </t>
  </si>
  <si>
    <t>MOV-330</t>
  </si>
  <si>
    <t>MOV-331</t>
  </si>
  <si>
    <t>MOV-332</t>
  </si>
  <si>
    <t>MOV-333</t>
  </si>
  <si>
    <t>MOV-334</t>
  </si>
  <si>
    <t>MOV-335</t>
  </si>
  <si>
    <t>260618-283</t>
  </si>
  <si>
    <t>MOV-336</t>
  </si>
  <si>
    <t>260702-328</t>
  </si>
  <si>
    <t>Lit. Norte San Luis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</si>
  <si>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</si>
  <si>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</si>
  <si>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</si>
  <si>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</si>
  <si>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</si>
  <si>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</si>
  <si>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</si>
  <si>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</si>
  <si>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</si>
  <si>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</si>
  <si>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</si>
  <si>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260827-472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</si>
  <si>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</si>
  <si>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</si>
  <si>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</si>
  <si>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</si>
  <si>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</si>
  <si>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</si>
  <si>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</si>
  <si>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</si>
  <si>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</si>
  <si>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</si>
  <si>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</si>
  <si>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</si>
  <si>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</si>
  <si>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</si>
  <si>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</si>
  <si>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</si>
  <si>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260702-329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</si>
  <si>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</si>
  <si>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</si>
  <si>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</si>
  <si>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</si>
  <si>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</si>
  <si>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</si>
  <si>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</si>
  <si>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</si>
  <si>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</si>
  <si>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</si>
  <si>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semilla maiz DK 69-62 TRE</t>
  </si>
  <si>
    <t xml:space="preserve">semilla comprada maíz </t>
  </si>
  <si>
    <t>Maíz</t>
  </si>
  <si>
    <t>bolsa</t>
  </si>
  <si>
    <t>MOV-374</t>
  </si>
  <si>
    <t>semilla maiz DK 72-10 RR2C5 refugio</t>
  </si>
  <si>
    <t>MOV-375</t>
  </si>
  <si>
    <t>semilla maiz DK 73-03 TRE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</si>
  <si>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</si>
  <si>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</si>
  <si>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</si>
  <si>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</si>
  <si>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</si>
  <si>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</si>
  <si>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</si>
  <si>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</si>
  <si>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</si>
  <si>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</si>
  <si>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</si>
  <si>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</si>
  <si>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</si>
  <si>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</si>
  <si>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packs</t>
  </si>
  <si>
    <t>MOV-390</t>
  </si>
  <si>
    <t>MOV-391</t>
  </si>
  <si>
    <t>MOV-392</t>
  </si>
  <si>
    <t>MOV-393</t>
  </si>
  <si>
    <t xml:space="preserve">Harrier Drone </t>
  </si>
  <si>
    <t>alcohol láurico etixolado 32.7 %</t>
  </si>
  <si>
    <t>MOV-394</t>
  </si>
  <si>
    <t>260729-393</t>
  </si>
  <si>
    <t>MOV-395</t>
  </si>
  <si>
    <t>260729-389</t>
  </si>
  <si>
    <t>MOV-396</t>
  </si>
  <si>
    <t>MOV-397</t>
  </si>
  <si>
    <t>260730-396</t>
  </si>
  <si>
    <t>MOV-398</t>
  </si>
  <si>
    <t>MOV-399</t>
  </si>
  <si>
    <t>MOV-400</t>
  </si>
  <si>
    <t>260727-381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</si>
  <si>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</si>
  <si>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</si>
  <si>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</si>
  <si>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</si>
  <si>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</si>
  <si>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</si>
  <si>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</si>
  <si>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</si>
  <si>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</si>
  <si>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</si>
  <si>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</si>
  <si>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</si>
  <si>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</si>
  <si>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</si>
  <si>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</si>
  <si>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</si>
  <si>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</si>
  <si>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</si>
  <si>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AJUSTE que se hizo en el primer control de stock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</si>
  <si>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</si>
  <si>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</si>
  <si>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</si>
  <si>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</si>
  <si>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</si>
  <si>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</si>
  <si>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</si>
  <si>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</si>
  <si>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</si>
  <si>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</si>
  <si>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</si>
  <si>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</si>
  <si>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</si>
  <si>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</si>
  <si>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</si>
  <si>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</si>
  <si>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</si>
  <si>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</si>
  <si>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</si>
  <si>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</si>
  <si>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</si>
  <si>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</si>
  <si>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</si>
  <si>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</si>
  <si>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</si>
  <si>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</si>
  <si>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</si>
  <si>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</si>
  <si>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</si>
  <si>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</si>
  <si>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</si>
  <si>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 xml:space="preserve">Gamina </t>
  </si>
  <si>
    <t>2,4-D Sal Dimetilamina | 578g/L  2,4-D Equivalente Ácido | 480g/L</t>
  </si>
  <si>
    <t>MOV-450</t>
  </si>
  <si>
    <t>260821-449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</si>
  <si>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</si>
  <si>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</si>
  <si>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</si>
  <si>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</si>
  <si>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</si>
  <si>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</si>
  <si>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</si>
  <si>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</si>
  <si>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</si>
  <si>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</si>
  <si>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</si>
  <si>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</si>
  <si>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</si>
  <si>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</si>
  <si>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</si>
  <si>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260706-343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</si>
  <si>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</si>
  <si>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</si>
  <si>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</si>
  <si>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</si>
  <si>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</si>
  <si>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</si>
  <si>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</si>
  <si>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</si>
  <si>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</si>
  <si>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</si>
  <si>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260827-473</t>
  </si>
  <si>
    <t>MOV-476</t>
  </si>
  <si>
    <t>Fluroxipir Forte 480</t>
  </si>
  <si>
    <t>Fluroxipir-Meptil 480g/l</t>
  </si>
  <si>
    <t>MOV-477</t>
  </si>
  <si>
    <t>260813-476</t>
  </si>
  <si>
    <t>MOV-478</t>
  </si>
  <si>
    <t>MOV-479</t>
  </si>
  <si>
    <t>MOV-480</t>
  </si>
  <si>
    <t>semilla comprada maiz illinois 2773</t>
  </si>
  <si>
    <t xml:space="preserve">sem maiz illinois 2773 trecepta Maiz 1era </t>
  </si>
  <si>
    <t>MOV-481</t>
  </si>
  <si>
    <t xml:space="preserve">semilla comprada maiz illinois 7.24 </t>
  </si>
  <si>
    <t>sem maiz illinois 7.24 trecepta Maiz 1era</t>
  </si>
  <si>
    <t>MOV-482</t>
  </si>
  <si>
    <t xml:space="preserve">refugio semilla maiz illinois </t>
  </si>
  <si>
    <t>refugio semi maiz illinoiz b2 z</t>
  </si>
  <si>
    <t>MOV-483</t>
  </si>
  <si>
    <t>semilla maiz NK842</t>
  </si>
  <si>
    <t xml:space="preserve">semilla maiz nk 842 viptera Maiz 1era </t>
  </si>
  <si>
    <t>MOV-484</t>
  </si>
  <si>
    <t xml:space="preserve">Paraquat </t>
  </si>
  <si>
    <t>Gea paraquat 200 SL</t>
  </si>
  <si>
    <t xml:space="preserve">Dapama </t>
  </si>
  <si>
    <t>MOV-485</t>
  </si>
  <si>
    <t>MOV-486</t>
  </si>
  <si>
    <t>MOV-487</t>
  </si>
  <si>
    <t>Acuron uno</t>
  </si>
  <si>
    <t>Biciclopirona</t>
  </si>
  <si>
    <t>Maccio</t>
  </si>
  <si>
    <t>MOV-488</t>
  </si>
  <si>
    <t xml:space="preserve">Voraxor </t>
  </si>
  <si>
    <t xml:space="preserve">safuflenacil + trifludimoxazin </t>
  </si>
  <si>
    <t>MOV-489</t>
  </si>
  <si>
    <t>Pyroxate</t>
  </si>
  <si>
    <t>pyroxasulfone 85%</t>
  </si>
  <si>
    <t>MOV-490</t>
  </si>
  <si>
    <t xml:space="preserve">Super Gun </t>
  </si>
  <si>
    <t>urea 11.33 % acido fosforico 27.13%</t>
  </si>
  <si>
    <t>MOV-491</t>
  </si>
  <si>
    <t>zinex</t>
  </si>
  <si>
    <t>flumioxazim 480g/l</t>
  </si>
  <si>
    <t>MOV-492</t>
  </si>
  <si>
    <t>MOV-493</t>
  </si>
  <si>
    <t>MOV-494</t>
  </si>
  <si>
    <t>MOV-495</t>
  </si>
  <si>
    <t>MOV-496</t>
  </si>
  <si>
    <t>MOV-497</t>
  </si>
  <si>
    <t>260801-489</t>
  </si>
  <si>
    <t>MOV-498</t>
  </si>
  <si>
    <t>MOV-499</t>
  </si>
  <si>
    <t>MOV-500</t>
  </si>
  <si>
    <t>MOV-501</t>
  </si>
  <si>
    <t>MOV-502</t>
  </si>
  <si>
    <t>MOV-503</t>
  </si>
  <si>
    <t>MOV-504</t>
  </si>
  <si>
    <t>260821-481</t>
  </si>
  <si>
    <t>MOV-505</t>
  </si>
  <si>
    <t>260821-482</t>
  </si>
  <si>
    <t>MOV-506</t>
  </si>
  <si>
    <t>260821-480</t>
  </si>
  <si>
    <t>MOV-507</t>
  </si>
  <si>
    <t>MOV-508</t>
  </si>
  <si>
    <t>260910-622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</si>
  <si>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</si>
  <si>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</si>
  <si>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</si>
  <si>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</si>
  <si>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</si>
  <si>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</si>
  <si>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</si>
  <si>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</si>
  <si>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</si>
  <si>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260617-373</t>
  </si>
  <si>
    <t>MOV-518</t>
  </si>
  <si>
    <t>260617-374</t>
  </si>
  <si>
    <t>MOV-519</t>
  </si>
  <si>
    <t>MOV-520</t>
  </si>
  <si>
    <t>MOV-521</t>
  </si>
  <si>
    <t>MOV-522</t>
  </si>
  <si>
    <t>260826-484</t>
  </si>
  <si>
    <t>MOV-523</t>
  </si>
  <si>
    <t>MOV-524</t>
  </si>
  <si>
    <t>MOV-525</t>
  </si>
  <si>
    <t>MOV-526</t>
  </si>
  <si>
    <t>MOV-527</t>
  </si>
  <si>
    <t>MOV-528</t>
  </si>
  <si>
    <t>260730-399</t>
  </si>
  <si>
    <t>MOV-529</t>
  </si>
  <si>
    <t xml:space="preserve">maiz Nk 825 vip3cl </t>
  </si>
  <si>
    <t>MOV-530</t>
  </si>
  <si>
    <t xml:space="preserve">Maiz Nk 800 tgcl refugio </t>
  </si>
  <si>
    <t>260903-531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</si>
  <si>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</si>
  <si>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</si>
  <si>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</si>
  <si>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</si>
  <si>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</si>
  <si>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</si>
  <si>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</si>
  <si>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</si>
  <si>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</si>
  <si>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</si>
  <si>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</si>
  <si>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</si>
  <si>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260902-487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</si>
  <si>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</si>
  <si>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</si>
  <si>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</si>
  <si>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</si>
  <si>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</si>
  <si>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</si>
  <si>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</si>
  <si>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</si>
  <si>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</si>
  <si>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</si>
  <si>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</si>
  <si>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</si>
  <si>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</si>
  <si>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</si>
  <si>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</si>
  <si>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</si>
  <si>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</si>
  <si>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</si>
  <si>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</si>
  <si>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</si>
  <si>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</si>
  <si>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</si>
  <si>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</si>
  <si>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</si>
  <si>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</si>
  <si>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</si>
  <si>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</si>
  <si>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</si>
  <si>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</si>
  <si>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</si>
  <si>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</si>
  <si>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</si>
  <si>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</si>
  <si>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</si>
  <si>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</si>
  <si>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</si>
  <si>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</si>
  <si>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</si>
  <si>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</si>
  <si>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</si>
  <si>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</si>
  <si>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</si>
  <si>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</si>
  <si>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</si>
  <si>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</si>
  <si>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</si>
  <si>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</si>
  <si>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</si>
  <si>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</si>
  <si>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</si>
  <si>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</si>
  <si>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</si>
  <si>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</si>
  <si>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</si>
  <si>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</si>
  <si>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maiz dk 7447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</si>
  <si>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</si>
  <si>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</si>
  <si>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</si>
  <si>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</si>
  <si>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</si>
  <si>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</si>
  <si>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</si>
  <si>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</si>
  <si>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</si>
  <si>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MOV-608</t>
  </si>
  <si>
    <t>MOV-609</t>
  </si>
  <si>
    <t>MOV-610</t>
  </si>
  <si>
    <t>MOV-611</t>
  </si>
  <si>
    <t>MOV-612</t>
  </si>
  <si>
    <t>MOV-613</t>
  </si>
  <si>
    <t>MOV-614</t>
  </si>
  <si>
    <t>MOV-616</t>
  </si>
  <si>
    <t>MOV-617</t>
  </si>
  <si>
    <t>MOV-618</t>
  </si>
  <si>
    <t>MOV-619</t>
  </si>
  <si>
    <t>MOV-620</t>
  </si>
  <si>
    <t>MOV-621</t>
  </si>
  <si>
    <t>swing plus</t>
  </si>
  <si>
    <t>epoxiconazol 37.5g/l metconazol 27.5g/l</t>
  </si>
  <si>
    <t>MOV-622</t>
  </si>
  <si>
    <t>MOV-623</t>
  </si>
  <si>
    <t>MOV-624</t>
  </si>
  <si>
    <t>260727-380</t>
  </si>
  <si>
    <t>MOV-625</t>
  </si>
  <si>
    <t>yesca</t>
  </si>
  <si>
    <t>Dibromuro de diquat</t>
  </si>
  <si>
    <t>MOV-626</t>
  </si>
  <si>
    <t>Miravis triple pack</t>
  </si>
  <si>
    <t>Adepidyn 75 g/l — Solatenol 50 g/l — Propiconazole 250 g/l</t>
  </si>
  <si>
    <t>MOV-627</t>
  </si>
  <si>
    <t>MOV-628</t>
  </si>
  <si>
    <t>260917-627</t>
  </si>
  <si>
    <t>MOV-629</t>
  </si>
  <si>
    <t>MOV-630</t>
  </si>
  <si>
    <t>refugio dk 72-72 RR2</t>
  </si>
  <si>
    <t>refugio Dk 72-72 RR2</t>
  </si>
  <si>
    <t>MOV-631</t>
  </si>
  <si>
    <t>260915-625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</si>
  <si>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</si>
  <si>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</si>
  <si>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</si>
  <si>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</si>
  <si>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</si>
  <si>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</si>
  <si>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</si>
  <si>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</si>
  <si>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</si>
  <si>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</si>
  <si>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</si>
  <si>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260617-375</t>
  </si>
  <si>
    <t>MOV-643</t>
  </si>
  <si>
    <t>MOV-644</t>
  </si>
  <si>
    <t>MOV-645</t>
  </si>
  <si>
    <t>260917-626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</si>
  <si>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</si>
  <si>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</si>
  <si>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</si>
  <si>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</si>
  <si>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</si>
  <si>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</si>
  <si>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</si>
  <si>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</si>
  <si>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</si>
  <si>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260918-630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</si>
  <si>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</si>
  <si>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</si>
  <si>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</si>
  <si>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</si>
  <si>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</si>
  <si>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</si>
  <si>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</si>
  <si>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</si>
  <si>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</si>
  <si>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semilla comprada maiz P 2123 Pwue</t>
  </si>
  <si>
    <t>maiz p2123 paioner</t>
  </si>
  <si>
    <t>MOV-664</t>
  </si>
  <si>
    <t>260914-621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</si>
  <si>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</si>
  <si>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</si>
  <si>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</si>
  <si>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</si>
  <si>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</si>
  <si>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</si>
  <si>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</si>
  <si>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</si>
  <si>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</si>
  <si>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</si>
  <si>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</si>
  <si>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</si>
  <si>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</si>
  <si>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</si>
  <si>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</si>
  <si>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</si>
  <si>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</si>
  <si>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</si>
  <si>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</si>
  <si>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</si>
  <si>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</si>
  <si>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</si>
  <si>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</si>
  <si>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</si>
  <si>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260801-488</t>
  </si>
  <si>
    <t>MOV-689</t>
  </si>
  <si>
    <t>MOV-690</t>
  </si>
  <si>
    <t>MOV-691</t>
  </si>
  <si>
    <t>MOV-692</t>
  </si>
  <si>
    <t xml:space="preserve">Santa graciana </t>
  </si>
  <si>
    <t>MOV-693</t>
  </si>
  <si>
    <t>MOV-694</t>
  </si>
  <si>
    <t>MOV-695</t>
  </si>
  <si>
    <t>MOV-696</t>
  </si>
  <si>
    <t>MOV-697</t>
  </si>
  <si>
    <t>MOV-698</t>
  </si>
  <si>
    <t xml:space="preserve">Sauquat super </t>
  </si>
  <si>
    <t>Dicloruro de paraquat 276 g/l + paraquat 200 g/l SL</t>
  </si>
  <si>
    <t>saudu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</si>
  <si>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</si>
  <si>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</si>
  <si>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</si>
  <si>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</si>
  <si>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</si>
  <si>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</si>
  <si>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</si>
  <si>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</si>
  <si>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</si>
  <si>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Perdida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</si>
  <si>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</si>
  <si>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</si>
  <si>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</si>
  <si>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</si>
  <si>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</si>
  <si>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</si>
  <si>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</si>
  <si>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</si>
  <si>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</si>
  <si>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</si>
  <si>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</si>
  <si>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Sorgo forrajero adv 2800</t>
  </si>
  <si>
    <t xml:space="preserve">ADV 2800 (C+BIO) X20KG </t>
  </si>
  <si>
    <t>Sorgo</t>
  </si>
  <si>
    <t>MOV-719</t>
  </si>
  <si>
    <t>sorgo forrajero adv2850</t>
  </si>
  <si>
    <t xml:space="preserve">ADV F2850 FOTO BMR IG CURADO </t>
  </si>
  <si>
    <t>MOV-720</t>
  </si>
  <si>
    <t xml:space="preserve">Semar </t>
  </si>
  <si>
    <t>Imazapir + Imazapic SEMAR WG</t>
  </si>
  <si>
    <t>MOV-721</t>
  </si>
  <si>
    <t>MOV-722</t>
  </si>
  <si>
    <t>MOV-723</t>
  </si>
  <si>
    <t>MOV-724</t>
  </si>
  <si>
    <t>261006-718</t>
  </si>
  <si>
    <t>MOV-725</t>
  </si>
  <si>
    <t>MOV-726</t>
  </si>
  <si>
    <t>MOV-727</t>
  </si>
  <si>
    <t>MOV-728</t>
  </si>
  <si>
    <t>MOV-729</t>
  </si>
  <si>
    <t>MOV-730</t>
  </si>
  <si>
    <t>MOV-731</t>
  </si>
  <si>
    <t>pack</t>
  </si>
  <si>
    <t>MOV-732</t>
  </si>
  <si>
    <t>MOV-733</t>
  </si>
  <si>
    <t>MOV-734</t>
  </si>
  <si>
    <t>261006-719</t>
  </si>
  <si>
    <t>Nicolas Amaro</t>
  </si>
  <si>
    <t>MOV-735</t>
  </si>
  <si>
    <t>Martin Fagundez</t>
  </si>
  <si>
    <t>MOV-736</t>
  </si>
  <si>
    <t>261006-720</t>
  </si>
  <si>
    <t>MOV-737</t>
  </si>
  <si>
    <t>MOV-738</t>
  </si>
  <si>
    <t>MOV-739</t>
  </si>
  <si>
    <t>MOV-740</t>
  </si>
  <si>
    <t>MOV-741</t>
  </si>
  <si>
    <t>Angel Marquez</t>
  </si>
  <si>
    <t>MOV-742</t>
  </si>
  <si>
    <t>MOV-743</t>
  </si>
  <si>
    <t>MOV-744</t>
  </si>
  <si>
    <t>MOV-745</t>
  </si>
  <si>
    <t xml:space="preserve">irvix full </t>
  </si>
  <si>
    <t>Haloxifop-P-metil | 540g/L</t>
  </si>
  <si>
    <t>MOV-746</t>
  </si>
  <si>
    <t>MOV-747</t>
  </si>
  <si>
    <t>260928-698</t>
  </si>
  <si>
    <t>Richard de Agrisat</t>
  </si>
  <si>
    <t>MOV-748</t>
  </si>
  <si>
    <t>MOV-749</t>
  </si>
  <si>
    <t>MOV-750</t>
  </si>
  <si>
    <t>MOV-751</t>
  </si>
  <si>
    <t>MOV-752</t>
  </si>
  <si>
    <t xml:space="preserve">Fabricio Leiva </t>
  </si>
  <si>
    <t>MOV-753</t>
  </si>
  <si>
    <t>MOV-754</t>
  </si>
  <si>
    <t>MOV-755</t>
  </si>
  <si>
    <t>MOV-756</t>
  </si>
  <si>
    <t>anibal</t>
  </si>
  <si>
    <t>MOV-757</t>
  </si>
  <si>
    <t>MOV-758</t>
  </si>
  <si>
    <t>MOV-759</t>
  </si>
  <si>
    <t>MOV-760</t>
  </si>
  <si>
    <t>MOV-761</t>
  </si>
  <si>
    <t>MOV-762</t>
  </si>
  <si>
    <t>Martin fagundez</t>
  </si>
  <si>
    <t>MOV-763</t>
  </si>
  <si>
    <t>valentin tianil</t>
  </si>
  <si>
    <t>MOV-764</t>
  </si>
  <si>
    <t>MOV-765</t>
  </si>
  <si>
    <t>MOV-766</t>
  </si>
  <si>
    <t>MOV-767</t>
  </si>
  <si>
    <t xml:space="preserve">esteban </t>
  </si>
  <si>
    <t>MOV-768</t>
  </si>
  <si>
    <t xml:space="preserve">bravo </t>
  </si>
  <si>
    <t>MOV-769</t>
  </si>
  <si>
    <t>pablo cufre</t>
  </si>
  <si>
    <t>MOV-770</t>
  </si>
  <si>
    <t xml:space="preserve">vitogrow ts </t>
  </si>
  <si>
    <t>Acidos Fulvicos</t>
  </si>
  <si>
    <t>MOV-771</t>
  </si>
  <si>
    <t>Rizopack 206 hc</t>
  </si>
  <si>
    <t>inoculante+curasemilla</t>
  </si>
  <si>
    <t>MOV-772</t>
  </si>
  <si>
    <t>261014-771</t>
  </si>
  <si>
    <t>MOV-773</t>
  </si>
  <si>
    <t>261014-770</t>
  </si>
  <si>
    <t>MOV-774</t>
  </si>
  <si>
    <t>matias cabillon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</si>
  <si>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</si>
  <si>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</si>
  <si>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</si>
  <si>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</si>
  <si>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</si>
  <si>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</si>
  <si>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</si>
  <si>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</si>
  <si>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</si>
  <si>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 xml:space="preserve">tianil brian 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</si>
  <si>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</si>
  <si>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</si>
  <si>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</si>
  <si>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</si>
  <si>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</si>
  <si>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</si>
  <si>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</si>
  <si>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</si>
  <si>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</si>
  <si>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</si>
  <si>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</si>
  <si>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</si>
  <si>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</si>
  <si>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martin fagundez</t>
  </si>
  <si>
    <t>MOV-797</t>
  </si>
  <si>
    <t>MOV-798</t>
  </si>
  <si>
    <t>MOV-799</t>
  </si>
  <si>
    <t>261014-768</t>
  </si>
  <si>
    <t>MOV-800</t>
  </si>
  <si>
    <t>260801-491</t>
  </si>
  <si>
    <t>MOV-801</t>
  </si>
  <si>
    <t>MOV-802</t>
  </si>
  <si>
    <t>MOV-803</t>
  </si>
  <si>
    <t>MOV-804</t>
  </si>
  <si>
    <t>MOV-805</t>
  </si>
  <si>
    <t xml:space="preserve">unico </t>
  </si>
  <si>
    <t>Protioconazole 200g/l piraclostribin 190g/l</t>
  </si>
  <si>
    <t>sistemico</t>
  </si>
  <si>
    <t>MOV-806</t>
  </si>
  <si>
    <t>MOV-807</t>
  </si>
  <si>
    <t>yony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</si>
  <si>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</si>
  <si>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</si>
  <si>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</si>
  <si>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</si>
  <si>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</si>
  <si>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</si>
  <si>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</si>
  <si>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</si>
  <si>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</si>
  <si>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esteban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</si>
  <si>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</si>
  <si>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</si>
  <si>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</si>
  <si>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</si>
  <si>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</si>
  <si>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</si>
  <si>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</si>
  <si>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</si>
  <si>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</si>
  <si>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</si>
  <si>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 xml:space="preserve">valentin </t>
  </si>
  <si>
    <t>MOV-827</t>
  </si>
  <si>
    <t>valentin</t>
  </si>
  <si>
    <t>MOV-828</t>
  </si>
  <si>
    <t>gutierrez y ronald</t>
  </si>
  <si>
    <t>MOV-829</t>
  </si>
  <si>
    <t>MOV-830</t>
  </si>
  <si>
    <t>MOV-831</t>
  </si>
  <si>
    <t>facundo Ibarra</t>
  </si>
  <si>
    <t>MOV-832</t>
  </si>
  <si>
    <t>MOV-833</t>
  </si>
  <si>
    <t>MOV-834</t>
  </si>
  <si>
    <t>MOV-835</t>
  </si>
  <si>
    <t>MOV-836</t>
  </si>
  <si>
    <t>MOV-837</t>
  </si>
  <si>
    <t>Burner 200</t>
  </si>
  <si>
    <t>Dicuat Sal Dibromuro 374 g/l</t>
  </si>
  <si>
    <t>Secante</t>
  </si>
  <si>
    <t>MOV-838</t>
  </si>
  <si>
    <t>Megamix</t>
  </si>
  <si>
    <t>Semillas</t>
  </si>
  <si>
    <t>Serkan SA</t>
  </si>
  <si>
    <t>MOV-839</t>
  </si>
  <si>
    <t>MOV-840</t>
  </si>
  <si>
    <t>MOV-841</t>
  </si>
  <si>
    <t>MOV-842</t>
  </si>
  <si>
    <t>MOV-843</t>
  </si>
  <si>
    <t>MOV-844</t>
  </si>
  <si>
    <t>Vornicov</t>
  </si>
  <si>
    <t>MOV-845</t>
  </si>
  <si>
    <t>261026-837</t>
  </si>
  <si>
    <t>Beltranchini</t>
  </si>
  <si>
    <t>MOV-846</t>
  </si>
  <si>
    <t>rotura</t>
  </si>
  <si>
    <t>MOV-847</t>
  </si>
  <si>
    <t>MOV-848</t>
  </si>
  <si>
    <t>Rainsima Plus</t>
  </si>
  <si>
    <t xml:space="preserve">Mesotrione 12% + Simaz 76% </t>
  </si>
  <si>
    <t>MOV-849</t>
  </si>
  <si>
    <t>MOV-850</t>
  </si>
  <si>
    <t>MOV-851</t>
  </si>
  <si>
    <t>MOV-852</t>
  </si>
  <si>
    <t>MOV-853</t>
  </si>
  <si>
    <t>A. Carroccio</t>
  </si>
  <si>
    <t>MOV-854</t>
  </si>
  <si>
    <t>MOV-855</t>
  </si>
  <si>
    <t>MOV-856</t>
  </si>
  <si>
    <t>MOV-857</t>
  </si>
  <si>
    <t>MOV-858</t>
  </si>
  <si>
    <t>Nicolas avoletta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</si>
  <si>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</si>
  <si>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</si>
  <si>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</si>
  <si>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</si>
  <si>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</si>
  <si>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</si>
  <si>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</si>
  <si>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</si>
  <si>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</si>
  <si>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</si>
  <si>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</si>
  <si>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</si>
  <si>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</si>
  <si>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</si>
  <si>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</si>
  <si>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</si>
  <si>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</si>
  <si>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</si>
  <si>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</si>
  <si>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</si>
  <si>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</si>
  <si>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</si>
  <si>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</si>
  <si>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</si>
  <si>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</si>
  <si>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</si>
  <si>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</si>
  <si>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</si>
  <si>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</si>
  <si>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</si>
  <si>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</si>
  <si>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</si>
  <si>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</si>
  <si>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</si>
  <si>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</si>
  <si>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</si>
  <si>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</si>
  <si>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</si>
  <si>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</si>
  <si>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</si>
  <si>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</si>
  <si>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</si>
  <si>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</si>
  <si>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</si>
  <si>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</si>
  <si>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</si>
  <si>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</si>
  <si>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</si>
  <si>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</si>
  <si>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</si>
  <si>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</si>
  <si>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</si>
  <si>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</si>
  <si>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</si>
  <si>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</si>
  <si>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</si>
  <si>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</si>
  <si>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</si>
  <si>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</si>
  <si>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</si>
  <si>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</si>
  <si>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</si>
  <si>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</si>
  <si>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</si>
  <si>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</si>
  <si>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</si>
  <si>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</si>
  <si>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</si>
  <si>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</si>
  <si>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</si>
  <si>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</si>
  <si>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</si>
  <si>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</si>
  <si>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</si>
  <si>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</si>
  <si>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</si>
  <si>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</si>
  <si>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</si>
  <si>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</si>
  <si>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</si>
  <si>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</si>
  <si>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</si>
  <si>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</si>
  <si>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</si>
  <si>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</si>
  <si>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</si>
  <si>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</si>
  <si>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</si>
  <si>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</si>
  <si>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</si>
  <si>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</si>
  <si>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</si>
  <si>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</si>
  <si>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</si>
  <si>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</si>
  <si>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</si>
  <si>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</si>
  <si>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</si>
  <si>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</si>
  <si>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</si>
  <si>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</si>
  <si>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</si>
  <si>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</si>
  <si>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</si>
  <si>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</si>
  <si>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</si>
  <si>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</si>
  <si>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</si>
  <si>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</si>
  <si>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</si>
  <si>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</si>
  <si>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</si>
  <si>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</si>
  <si>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</si>
  <si>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</si>
  <si>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</si>
  <si>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</si>
  <si>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</si>
  <si>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</si>
  <si>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</si>
  <si>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</si>
  <si>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</si>
  <si>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</si>
  <si>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</si>
  <si>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</si>
  <si>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</si>
  <si>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</si>
  <si>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</si>
  <si>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</si>
  <si>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</si>
  <si>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</si>
  <si>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</si>
  <si>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</si>
  <si>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</si>
  <si>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</si>
  <si>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</si>
  <si>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</si>
  <si>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</si>
  <si>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</si>
  <si>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</si>
  <si>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</si>
  <si>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</si>
  <si>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</si>
  <si>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</si>
  <si>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</si>
  <si>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</si>
  <si>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</si>
  <si>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</si>
  <si>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</si>
  <si>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</si>
  <si>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</si>
  <si>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</si>
  <si>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</si>
  <si>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</si>
  <si>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</si>
  <si>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</si>
  <si>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</si>
  <si>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</si>
  <si>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</si>
  <si>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</si>
  <si>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</si>
  <si>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</si>
  <si>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</si>
  <si>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</si>
  <si>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</si>
  <si>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</si>
  <si>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</si>
  <si>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</si>
  <si>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</si>
  <si>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</si>
  <si>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</si>
  <si>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</si>
  <si>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</si>
  <si>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</si>
  <si>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</si>
  <si>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</si>
  <si>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</si>
  <si>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</si>
  <si>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</si>
  <si>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</si>
  <si>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</si>
  <si>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</si>
  <si>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</si>
  <si>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</si>
  <si>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</si>
  <si>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</si>
  <si>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</si>
  <si>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</si>
  <si>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</si>
  <si>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</si>
  <si>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</si>
  <si>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</si>
  <si>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</si>
  <si>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</si>
  <si>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</si>
  <si>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</si>
  <si>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</si>
  <si>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</si>
  <si>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</si>
  <si>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</si>
  <si>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</si>
  <si>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</si>
  <si>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</si>
  <si>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</si>
  <si>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</si>
  <si>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</si>
  <si>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</si>
  <si>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</si>
  <si>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</si>
  <si>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</si>
  <si>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</si>
  <si>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</si>
  <si>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</si>
  <si>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</si>
  <si>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</si>
  <si>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</si>
  <si>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</si>
  <si>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</si>
  <si>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</si>
  <si>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</si>
  <si>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</si>
  <si>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</si>
  <si>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</si>
  <si>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</si>
  <si>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</si>
  <si>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</si>
  <si>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</si>
  <si>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</si>
  <si>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</si>
  <si>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</si>
  <si>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</si>
  <si>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</si>
  <si>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</si>
  <si>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</si>
  <si>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</si>
  <si>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</si>
  <si>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</si>
  <si>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</si>
  <si>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</si>
  <si>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</si>
  <si>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</si>
  <si>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</si>
  <si>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</si>
  <si>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</si>
  <si>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</si>
  <si>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</si>
  <si>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</si>
  <si>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</si>
  <si>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</si>
  <si>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</si>
  <si>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</si>
  <si>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</si>
  <si>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</si>
  <si>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</si>
  <si>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</si>
  <si>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</si>
  <si>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</si>
  <si>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</si>
  <si>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</si>
  <si>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</si>
  <si>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</si>
  <si>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</si>
  <si>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</si>
  <si>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</si>
  <si>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</si>
  <si>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</si>
  <si>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</si>
  <si>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</si>
  <si>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</si>
  <si>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</si>
  <si>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</si>
  <si>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</si>
  <si>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</si>
  <si>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</si>
  <si>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</si>
  <si>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</si>
  <si>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</si>
  <si>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</si>
  <si>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</si>
  <si>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</si>
  <si>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</si>
  <si>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</si>
  <si>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</si>
  <si>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</si>
  <si>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</si>
  <si>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</si>
  <si>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</si>
  <si>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</si>
  <si>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</si>
  <si>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</si>
  <si>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</si>
  <si>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</si>
  <si>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</si>
  <si>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</si>
  <si>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</si>
  <si>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</si>
  <si>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</si>
  <si>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</si>
  <si>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</si>
  <si>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</si>
  <si>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</si>
  <si>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</si>
  <si>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</si>
  <si>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</si>
  <si>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</si>
  <si>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</si>
  <si>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</si>
  <si>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</si>
  <si>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</si>
  <si>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</si>
  <si>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</si>
  <si>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</si>
  <si>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</si>
  <si>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</si>
  <si>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</si>
  <si>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</si>
  <si>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</si>
  <si>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</si>
  <si>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</si>
  <si>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</si>
  <si>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</si>
  <si>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</si>
  <si>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</si>
  <si>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</si>
  <si>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</si>
  <si>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</si>
  <si>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</si>
  <si>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</si>
  <si>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</si>
  <si>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</si>
  <si>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</si>
  <si>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</si>
  <si>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</si>
  <si>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</si>
  <si>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</si>
  <si>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</si>
  <si>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</si>
  <si>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</si>
  <si>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</si>
  <si>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</si>
  <si>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</si>
  <si>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</si>
  <si>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</si>
  <si>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</si>
  <si>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</si>
  <si>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</si>
  <si>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</si>
  <si>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</si>
  <si>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</si>
  <si>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</si>
  <si>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</si>
  <si>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</si>
  <si>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</si>
  <si>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</si>
  <si>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</si>
  <si>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</si>
  <si>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</si>
  <si>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</si>
  <si>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</si>
  <si>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</si>
  <si>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</si>
  <si>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</si>
  <si>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</si>
  <si>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</si>
  <si>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</si>
  <si>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</si>
  <si>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</si>
  <si>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</si>
  <si>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</si>
  <si>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</si>
  <si>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</si>
  <si>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</si>
  <si>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</si>
  <si>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</si>
  <si>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</si>
  <si>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</si>
  <si>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</si>
  <si>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</si>
  <si>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</si>
  <si>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</si>
  <si>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</si>
  <si>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</si>
  <si>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</si>
  <si>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</si>
  <si>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</si>
  <si>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</si>
  <si>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</si>
  <si>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</si>
  <si>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</si>
  <si>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</si>
  <si>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</si>
  <si>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</si>
  <si>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</si>
  <si>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</si>
  <si>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</si>
  <si>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</si>
  <si>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</si>
  <si>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</si>
  <si>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</si>
  <si>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</si>
  <si>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</si>
  <si>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</si>
  <si>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</si>
  <si>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</si>
  <si>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</si>
  <si>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</si>
  <si>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</si>
  <si>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</si>
  <si>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</si>
  <si>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</si>
  <si>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</si>
  <si>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</si>
  <si>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</si>
  <si>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</si>
  <si>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</si>
  <si>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</si>
  <si>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</si>
  <si>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</si>
  <si>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</si>
  <si>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</si>
  <si>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</si>
  <si>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</si>
  <si>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</si>
  <si>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</si>
  <si>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</si>
  <si>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</si>
  <si>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</si>
  <si>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</si>
  <si>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</si>
  <si>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</si>
  <si>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</si>
  <si>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</si>
  <si>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</si>
  <si>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</si>
  <si>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</si>
  <si>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</si>
  <si>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</si>
  <si>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</si>
  <si>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</si>
  <si>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</si>
  <si>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</si>
  <si>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</si>
  <si>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</si>
  <si>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</si>
  <si>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</si>
  <si>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</si>
  <si>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</si>
  <si>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</si>
  <si>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</si>
  <si>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</si>
  <si>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</si>
  <si>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</si>
  <si>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</si>
  <si>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</si>
  <si>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</si>
  <si>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</si>
  <si>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</si>
  <si>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</si>
  <si>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</si>
  <si>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</si>
  <si>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</si>
  <si>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</si>
  <si>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</si>
  <si>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</si>
  <si>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</si>
  <si>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</si>
  <si>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</si>
  <si>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</si>
  <si>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</si>
  <si>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</si>
  <si>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</si>
  <si>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</si>
  <si>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</si>
  <si>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</si>
  <si>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</si>
  <si>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</si>
  <si>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</si>
  <si>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</si>
  <si>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</si>
  <si>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</si>
  <si>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</si>
  <si>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</si>
  <si>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</si>
  <si>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</si>
  <si>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</si>
  <si>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</si>
  <si>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</si>
  <si>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</si>
  <si>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</si>
  <si>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</si>
  <si>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</si>
  <si>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</si>
  <si>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</si>
  <si>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</si>
  <si>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</si>
  <si>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</si>
  <si>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</si>
  <si>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</si>
  <si>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</si>
  <si>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</si>
  <si>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</si>
  <si>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</si>
  <si>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</si>
  <si>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</si>
  <si>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</si>
  <si>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</si>
  <si>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</si>
  <si>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</si>
  <si>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</si>
  <si>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</si>
  <si>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</si>
  <si>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</si>
  <si>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</si>
  <si>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</si>
  <si>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</si>
  <si>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</si>
  <si>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</si>
  <si>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</si>
  <si>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</si>
  <si>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</si>
  <si>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</si>
  <si>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</si>
  <si>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</si>
  <si>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</si>
  <si>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</si>
  <si>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</si>
  <si>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</si>
  <si>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</si>
  <si>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</si>
  <si>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</si>
  <si>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</si>
  <si>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</si>
  <si>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</si>
  <si>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</si>
  <si>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</si>
  <si>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</si>
  <si>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</si>
  <si>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</si>
  <si>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</si>
  <si>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</si>
  <si>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</si>
  <si>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</si>
  <si>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</si>
  <si>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</si>
  <si>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</si>
  <si>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</si>
  <si>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</si>
  <si>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</si>
  <si>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</si>
  <si>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</si>
  <si>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</si>
  <si>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</si>
  <si>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</si>
  <si>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</si>
  <si>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</si>
  <si>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</si>
  <si>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</si>
  <si>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</si>
  <si>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</si>
  <si>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</si>
  <si>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</si>
  <si>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</si>
  <si>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</si>
  <si>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</si>
  <si>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</si>
  <si>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</si>
  <si>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</si>
  <si>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</si>
  <si>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</si>
  <si>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</si>
  <si>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</si>
  <si>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</si>
  <si>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</si>
  <si>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</si>
  <si>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</si>
  <si>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</si>
  <si>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</si>
  <si>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</si>
  <si>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</si>
  <si>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</si>
  <si>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</si>
  <si>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</si>
  <si>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</si>
  <si>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</si>
  <si>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</si>
  <si>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</si>
  <si>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</si>
  <si>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</si>
  <si>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</si>
  <si>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</si>
  <si>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</si>
  <si>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</si>
  <si>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</si>
  <si>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</si>
  <si>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</si>
  <si>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</si>
  <si>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</si>
  <si>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</si>
  <si>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</si>
  <si>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</si>
  <si>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</si>
  <si>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</si>
  <si>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</si>
  <si>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</si>
  <si>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</si>
  <si>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</si>
  <si>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</si>
  <si>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</si>
  <si>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</si>
  <si>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</si>
  <si>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</si>
  <si>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</si>
  <si>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</si>
  <si>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</si>
  <si>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</si>
  <si>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</si>
  <si>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</si>
  <si>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</si>
  <si>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</si>
  <si>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</si>
  <si>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</si>
  <si>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</si>
  <si>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</si>
  <si>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</si>
  <si>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</si>
  <si>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</si>
  <si>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</si>
  <si>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</si>
  <si>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</si>
  <si>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</si>
  <si>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</si>
  <si>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</si>
  <si>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</si>
  <si>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</si>
  <si>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</si>
  <si>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</si>
  <si>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</si>
  <si>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</si>
  <si>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</si>
  <si>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</si>
  <si>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</si>
  <si>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</si>
  <si>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</si>
  <si>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</si>
  <si>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</si>
  <si>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</si>
  <si>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</si>
  <si>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</si>
  <si>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</si>
  <si>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</si>
  <si>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</si>
  <si>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</si>
  <si>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</si>
  <si>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</si>
  <si>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</si>
  <si>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</si>
  <si>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</si>
  <si>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</si>
  <si>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</si>
  <si>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</si>
  <si>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</si>
  <si>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</si>
  <si>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</si>
  <si>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</si>
  <si>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</si>
  <si>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</si>
  <si>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</si>
  <si>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</si>
  <si>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</si>
  <si>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</si>
  <si>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</si>
  <si>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</si>
  <si>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</si>
  <si>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</si>
  <si>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</si>
  <si>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</si>
  <si>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</si>
  <si>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</si>
  <si>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</si>
  <si>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</si>
  <si>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</si>
  <si>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</si>
  <si>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</si>
  <si>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</si>
  <si>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</si>
  <si>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</si>
  <si>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</si>
  <si>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</si>
  <si>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</si>
  <si>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</si>
  <si>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</si>
  <si>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</si>
  <si>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</si>
  <si>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</si>
  <si>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</si>
  <si>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</si>
  <si>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</si>
  <si>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</si>
  <si>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</si>
  <si>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</si>
  <si>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</si>
  <si>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</si>
  <si>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</si>
  <si>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</si>
  <si>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</si>
  <si>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</si>
  <si>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</si>
  <si>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</si>
  <si>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</si>
  <si>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</si>
  <si>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</si>
  <si>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</si>
  <si>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</si>
  <si>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</si>
  <si>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</si>
  <si>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</si>
  <si>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</si>
  <si>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</si>
  <si>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</si>
  <si>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</si>
  <si>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</si>
  <si>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</si>
  <si>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</si>
  <si>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</si>
  <si>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</si>
  <si>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</si>
  <si>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</si>
  <si>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</si>
  <si>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</si>
  <si>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</si>
  <si>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</si>
  <si>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</si>
  <si>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</si>
  <si>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</si>
  <si>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</si>
  <si>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</si>
  <si>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</si>
  <si>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</si>
  <si>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</si>
  <si>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</si>
  <si>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</si>
  <si>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</si>
  <si>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</si>
  <si>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</si>
  <si>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</si>
  <si>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</si>
  <si>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</si>
  <si>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</si>
  <si>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</si>
  <si>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</si>
  <si>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</si>
  <si>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</si>
  <si>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</si>
  <si>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</si>
  <si>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</si>
  <si>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</si>
  <si>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</si>
  <si>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</si>
  <si>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</si>
  <si>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</si>
  <si>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</si>
  <si>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</si>
  <si>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</si>
  <si>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</si>
  <si>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</si>
  <si>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</si>
  <si>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</si>
  <si>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</si>
  <si>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</si>
  <si>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</si>
  <si>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</si>
  <si>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</si>
  <si>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</si>
  <si>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</si>
  <si>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</si>
  <si>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</si>
  <si>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</si>
  <si>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</si>
  <si>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</si>
  <si>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</si>
  <si>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</si>
  <si>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</si>
  <si>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</si>
  <si>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</si>
  <si>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</si>
  <si>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</si>
  <si>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</si>
  <si>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</si>
  <si>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</si>
  <si>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</si>
  <si>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</si>
  <si>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</si>
  <si>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</si>
  <si>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</si>
  <si>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</si>
  <si>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</si>
  <si>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</si>
  <si>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</si>
  <si>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</si>
  <si>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</si>
  <si>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</si>
  <si>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</si>
  <si>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</si>
  <si>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</si>
  <si>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</si>
  <si>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</si>
  <si>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</si>
  <si>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</si>
  <si>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</si>
  <si>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</si>
  <si>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</si>
  <si>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</si>
  <si>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</si>
  <si>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</si>
  <si>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</si>
  <si>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</si>
  <si>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</si>
  <si>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</si>
  <si>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</si>
  <si>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</si>
  <si>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</si>
  <si>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</si>
  <si>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</si>
  <si>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</si>
  <si>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</si>
  <si>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</si>
  <si>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</si>
  <si>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</si>
  <si>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</si>
  <si>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</si>
  <si>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</si>
  <si>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</si>
  <si>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</si>
  <si>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</si>
  <si>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</si>
  <si>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</si>
  <si>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</si>
  <si>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</si>
  <si>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</si>
  <si>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</si>
  <si>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</si>
  <si>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</si>
  <si>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</si>
  <si>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</si>
  <si>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</si>
  <si>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</si>
  <si>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</si>
  <si>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</si>
  <si>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</si>
  <si>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</si>
  <si>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</si>
  <si>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</si>
  <si>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</si>
  <si>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</si>
  <si>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</si>
  <si>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</si>
  <si>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</si>
  <si>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</si>
  <si>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</si>
  <si>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</si>
  <si>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</si>
  <si>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</si>
  <si>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</si>
  <si>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</si>
  <si>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</si>
  <si>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</si>
  <si>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</si>
  <si>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</si>
  <si>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</si>
  <si>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</si>
  <si>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</si>
  <si>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</si>
  <si>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</si>
  <si>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</si>
  <si>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</si>
  <si>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</si>
  <si>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</si>
  <si>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</si>
  <si>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</si>
  <si>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</si>
  <si>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</si>
  <si>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</si>
  <si>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</si>
  <si>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</si>
  <si>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</si>
  <si>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</si>
  <si>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</si>
  <si>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</si>
  <si>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</si>
  <si>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</si>
  <si>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</si>
  <si>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</si>
  <si>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</si>
  <si>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</si>
  <si>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</si>
  <si>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</si>
  <si>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</si>
  <si>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</si>
  <si>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</si>
  <si>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</si>
  <si>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</si>
  <si>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</si>
  <si>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</si>
  <si>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</si>
  <si>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</si>
  <si>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</si>
  <si>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</si>
  <si>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</si>
  <si>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</si>
  <si>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</si>
  <si>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</si>
  <si>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</si>
  <si>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</si>
  <si>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</si>
  <si>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</si>
  <si>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</si>
  <si>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</si>
  <si>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</si>
  <si>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</si>
  <si>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</si>
  <si>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</si>
  <si>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</si>
  <si>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</si>
  <si>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</si>
  <si>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</si>
  <si>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</si>
  <si>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</si>
  <si>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</si>
  <si>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</si>
  <si>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</si>
  <si>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</si>
  <si>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</si>
  <si>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</si>
  <si>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</si>
  <si>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</si>
  <si>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</si>
  <si>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</si>
  <si>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</si>
  <si>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</si>
  <si>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</si>
  <si>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</si>
  <si>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</si>
  <si>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</si>
  <si>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</si>
  <si>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</si>
  <si>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</si>
  <si>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</si>
  <si>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</si>
  <si>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</si>
  <si>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</si>
  <si>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</si>
  <si>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</si>
  <si>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</si>
  <si>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</si>
  <si>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</si>
  <si>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</si>
  <si>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</si>
  <si>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</si>
  <si>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</si>
  <si>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</si>
  <si>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</si>
  <si>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</si>
  <si>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</si>
  <si>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</si>
  <si>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</si>
  <si>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</si>
  <si>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</si>
  <si>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</si>
  <si>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</si>
  <si>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</si>
  <si>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</si>
  <si>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</si>
  <si>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</si>
  <si>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</si>
  <si>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</si>
  <si>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</si>
  <si>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</si>
  <si>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</si>
  <si>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</si>
  <si>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</si>
  <si>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</si>
  <si>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</si>
  <si>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</si>
  <si>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</si>
  <si>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</si>
  <si>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</si>
  <si>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</si>
  <si>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</si>
  <si>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</si>
  <si>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</si>
  <si>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</si>
  <si>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</si>
  <si>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</si>
  <si>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</si>
  <si>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</si>
  <si>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</si>
  <si>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</si>
  <si>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</si>
  <si>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</si>
  <si>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</si>
  <si>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</si>
  <si>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</si>
  <si>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</si>
  <si>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</si>
  <si>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</si>
  <si>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</si>
  <si>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</si>
  <si>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</si>
  <si>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</si>
  <si>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</si>
  <si>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</si>
  <si>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</si>
  <si>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</si>
  <si>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</si>
  <si>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</si>
  <si>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</si>
  <si>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</si>
  <si>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</si>
  <si>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</si>
  <si>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</si>
  <si>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</si>
  <si>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</si>
  <si>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</si>
  <si>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</si>
  <si>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</si>
  <si>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</si>
  <si>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</si>
  <si>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</si>
  <si>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</si>
  <si>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</si>
  <si>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</si>
  <si>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</si>
  <si>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</si>
  <si>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</si>
  <si>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</si>
  <si>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</si>
  <si>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</si>
  <si>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</si>
  <si>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</si>
  <si>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</si>
  <si>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</si>
  <si>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</si>
  <si>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</si>
  <si>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</si>
  <si>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</si>
  <si>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</si>
  <si>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</si>
  <si>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</si>
  <si>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</si>
  <si>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</si>
  <si>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</si>
  <si>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</si>
  <si>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</si>
  <si>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</si>
  <si>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</si>
  <si>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</si>
  <si>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</si>
  <si>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</si>
  <si>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</si>
  <si>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</si>
  <si>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</si>
  <si>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</si>
  <si>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</si>
  <si>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</si>
  <si>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</si>
  <si>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</si>
  <si>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</si>
  <si>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</si>
  <si>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</si>
  <si>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</si>
  <si>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</si>
  <si>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</si>
  <si>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</si>
  <si>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</si>
  <si>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</si>
  <si>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</si>
  <si>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</si>
  <si>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</si>
  <si>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</si>
  <si>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</si>
  <si>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</si>
  <si>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</si>
  <si>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</si>
  <si>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</si>
  <si>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</si>
  <si>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</si>
  <si>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</si>
  <si>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</si>
  <si>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</si>
  <si>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</si>
  <si>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</si>
  <si>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</si>
  <si>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</si>
  <si>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</si>
  <si>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</si>
  <si>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</si>
  <si>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</si>
  <si>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</si>
  <si>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</si>
  <si>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</si>
  <si>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</si>
  <si>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</si>
  <si>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</si>
  <si>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</si>
  <si>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</si>
  <si>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</si>
  <si>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</si>
  <si>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</si>
  <si>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</si>
  <si>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</si>
  <si>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</si>
  <si>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</si>
  <si>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</si>
  <si>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</si>
  <si>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</si>
  <si>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</si>
  <si>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</si>
  <si>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</si>
  <si>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</si>
  <si>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</si>
  <si>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</si>
  <si>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</si>
  <si>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</si>
  <si>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</si>
  <si>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</si>
  <si>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</si>
  <si>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</si>
  <si>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</si>
  <si>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</si>
  <si>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</si>
  <si>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</si>
  <si>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</si>
  <si>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</si>
  <si>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</si>
  <si>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</si>
  <si>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</si>
  <si>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</si>
  <si>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</si>
  <si>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</si>
  <si>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</si>
  <si>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</si>
  <si>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</si>
  <si>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Producto</t>
  </si>
  <si>
    <t>Principio
Activo/Variedad</t>
  </si>
  <si>
    <t>Lotes
Activos</t>
  </si>
  <si>
    <t>Stock
Total</t>
  </si>
  <si>
    <t>Venc.
Más Próximo</t>
  </si>
  <si>
    <t>Paraquat</t>
  </si>
  <si>
    <t>Maiz Nk 800 tgcl refugio</t>
  </si>
  <si>
    <t>Sauquat super</t>
  </si>
  <si>
    <t>maiz Nk 825 vip3cl</t>
  </si>
  <si>
    <t>refugio semilla maiz illinois</t>
  </si>
  <si>
    <t>semilla comprada maiz illinois 7.24</t>
  </si>
  <si>
    <t>ID_Lote
(escribir aquí)</t>
  </si>
  <si>
    <t>Principio Activo/Variedad</t>
  </si>
  <si>
    <t>Vencimiento</t>
  </si>
  <si>
    <t>Días a vencimiento</t>
  </si>
  <si>
    <t>Stock
Actual</t>
  </si>
  <si>
    <t>Estado</t>
  </si>
  <si>
    <t>260401-005</t>
  </si>
  <si>
    <t>260423-083</t>
  </si>
  <si>
    <t>260521-206</t>
  </si>
  <si>
    <t>260626-313</t>
  </si>
  <si>
    <t>260831-483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</si>
  <si>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</si>
  <si>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</si>
  <si>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</si>
  <si>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</si>
  <si>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</si>
  <si>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</si>
  <si>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</si>
  <si>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</si>
  <si>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</si>
  <si>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</si>
  <si>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</si>
  <si>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</si>
  <si>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</si>
  <si>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</si>
  <si>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</si>
  <si>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</si>
  <si>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</si>
  <si>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</si>
  <si>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</si>
  <si>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</si>
  <si>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</si>
  <si>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</si>
  <si>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</si>
  <si>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</si>
  <si>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</si>
  <si>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</si>
  <si>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</si>
  <si>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</si>
  <si>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</si>
  <si>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</si>
  <si>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</si>
  <si>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</si>
  <si>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</si>
  <si>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</si>
  <si>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</si>
  <si>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</si>
  <si>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</si>
  <si>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</si>
  <si>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</si>
  <si>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</si>
  <si>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</si>
  <si>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</si>
  <si>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</si>
  <si>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</si>
  <si>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</si>
  <si>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</si>
  <si>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</si>
  <si>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</si>
  <si>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</si>
  <si>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</si>
  <si>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</si>
  <si>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</si>
  <si>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</si>
  <si>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</si>
  <si>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</si>
  <si>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</si>
  <si>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</si>
  <si>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</si>
  <si>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</si>
  <si>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</si>
  <si>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</si>
  <si>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</si>
  <si>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</si>
  <si>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</si>
  <si>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</si>
  <si>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</si>
  <si>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</si>
  <si>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</si>
  <si>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</si>
  <si>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</si>
  <si>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</si>
  <si>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</si>
  <si>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</si>
  <si>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</si>
  <si>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</si>
  <si>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</si>
  <si>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</si>
  <si>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</si>
  <si>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</si>
  <si>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</si>
  <si>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</si>
  <si>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</si>
  <si>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</si>
  <si>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</si>
  <si>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</si>
  <si>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</si>
  <si>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</si>
  <si>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</si>
  <si>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</si>
  <si>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</si>
  <si>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</si>
  <si>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</si>
  <si>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</si>
  <si>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</si>
  <si>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</si>
  <si>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</si>
  <si>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</si>
  <si>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</si>
  <si>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</si>
  <si>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</si>
  <si>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</si>
  <si>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</si>
  <si>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</si>
  <si>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</si>
  <si>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</si>
  <si>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</si>
  <si>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</si>
  <si>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</si>
  <si>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</si>
  <si>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</si>
  <si>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</si>
  <si>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</si>
  <si>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</si>
  <si>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</si>
  <si>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</si>
  <si>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</si>
  <si>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</si>
  <si>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</si>
  <si>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</si>
  <si>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</si>
  <si>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</si>
  <si>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</si>
  <si>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</si>
  <si>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</si>
  <si>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</si>
  <si>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</si>
  <si>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</si>
  <si>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</si>
  <si>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</si>
  <si>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</si>
  <si>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</si>
  <si>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</si>
  <si>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</si>
  <si>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</si>
  <si>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</si>
  <si>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</si>
  <si>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</si>
  <si>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</si>
  <si>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</si>
  <si>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</si>
  <si>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</si>
  <si>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</si>
  <si>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</si>
  <si>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</si>
  <si>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</si>
  <si>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</si>
  <si>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</si>
  <si>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</si>
  <si>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</si>
  <si>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</si>
  <si>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</si>
  <si>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</si>
  <si>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</si>
  <si>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</si>
  <si>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</si>
  <si>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</si>
  <si>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</si>
  <si>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</si>
  <si>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</si>
  <si>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</si>
  <si>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</si>
  <si>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</si>
  <si>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</si>
  <si>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</si>
  <si>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</si>
  <si>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</si>
  <si>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</si>
  <si>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</si>
  <si>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</si>
  <si>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</si>
  <si>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</si>
  <si>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</si>
  <si>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</si>
  <si>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</si>
  <si>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</si>
  <si>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</si>
  <si>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</si>
  <si>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</si>
  <si>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</si>
  <si>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</si>
  <si>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</si>
  <si>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</si>
  <si>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</si>
  <si>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</si>
  <si>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</si>
  <si>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</si>
  <si>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</si>
  <si>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</si>
  <si>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</si>
  <si>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</si>
  <si>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</si>
  <si>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</si>
  <si>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</si>
  <si>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</si>
  <si>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</si>
  <si>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</si>
  <si>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</si>
  <si>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</si>
  <si>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</si>
  <si>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</si>
  <si>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</si>
  <si>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</si>
  <si>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</si>
  <si>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</si>
  <si>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</si>
  <si>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</si>
  <si>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</si>
  <si>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</si>
  <si>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</si>
  <si>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</si>
  <si>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</si>
  <si>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</si>
  <si>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</si>
  <si>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</si>
  <si>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</si>
  <si>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</si>
  <si>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</si>
  <si>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</si>
  <si>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</si>
  <si>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</si>
  <si>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</si>
  <si>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</si>
  <si>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</si>
  <si>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</si>
  <si>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</si>
  <si>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</si>
  <si>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</si>
  <si>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</si>
  <si>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</si>
  <si>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</si>
  <si>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</si>
  <si>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</si>
  <si>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</si>
  <si>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</si>
  <si>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</si>
  <si>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</si>
  <si>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</si>
  <si>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</si>
  <si>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</si>
  <si>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</si>
  <si>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</si>
  <si>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</si>
  <si>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</si>
  <si>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</si>
  <si>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</si>
  <si>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</si>
  <si>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</si>
  <si>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</si>
  <si>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</si>
  <si>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</si>
  <si>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</si>
  <si>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</si>
  <si>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</si>
  <si>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</si>
  <si>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</si>
  <si>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</si>
  <si>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</si>
  <si>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</si>
  <si>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</si>
  <si>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</si>
  <si>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</si>
  <si>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</si>
  <si>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</si>
  <si>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</si>
  <si>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</si>
  <si>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</si>
  <si>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</si>
  <si>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</si>
  <si>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</si>
  <si>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</si>
  <si>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</si>
  <si>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</si>
  <si>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</si>
  <si>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</si>
  <si>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</si>
  <si>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</si>
  <si>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</si>
  <si>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</si>
  <si>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</si>
  <si>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</si>
  <si>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</si>
  <si>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</si>
  <si>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</si>
  <si>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</si>
  <si>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</si>
  <si>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</si>
  <si>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</si>
  <si>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</si>
  <si>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</si>
  <si>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</si>
  <si>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</si>
  <si>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</si>
  <si>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</si>
  <si>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</si>
  <si>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</si>
  <si>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</si>
  <si>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</si>
  <si>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</si>
  <si>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</si>
  <si>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</si>
  <si>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</si>
  <si>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</si>
  <si>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</si>
  <si>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</si>
  <si>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</si>
  <si>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</si>
  <si>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</si>
  <si>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</si>
  <si>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</si>
  <si>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</si>
  <si>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</si>
  <si>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</si>
  <si>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</si>
  <si>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</si>
  <si>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</si>
  <si>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</si>
  <si>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</si>
  <si>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</si>
  <si>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</si>
  <si>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</si>
  <si>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</si>
  <si>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</si>
  <si>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</si>
  <si>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</si>
  <si>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</si>
  <si>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</si>
  <si>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</si>
  <si>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</si>
  <si>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</si>
  <si>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</si>
  <si>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</si>
  <si>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</si>
  <si>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</si>
  <si>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</si>
  <si>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</si>
  <si>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</si>
  <si>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</si>
  <si>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</si>
  <si>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</si>
  <si>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</si>
  <si>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</si>
  <si>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</si>
  <si>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</si>
  <si>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</si>
  <si>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</si>
  <si>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</si>
  <si>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</si>
  <si>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</si>
  <si>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</si>
  <si>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</si>
  <si>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</si>
  <si>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</si>
  <si>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</si>
  <si>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</si>
  <si>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</si>
  <si>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</si>
  <si>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</si>
  <si>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</si>
  <si>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</si>
  <si>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</si>
  <si>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</si>
  <si>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</si>
  <si>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</si>
  <si>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</si>
  <si>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</si>
  <si>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</si>
  <si>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</si>
  <si>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</si>
  <si>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</si>
  <si>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</si>
  <si>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</si>
  <si>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</si>
  <si>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</si>
  <si>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</si>
  <si>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</si>
  <si>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</si>
  <si>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</si>
  <si>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</si>
  <si>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</si>
  <si>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</si>
  <si>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</si>
  <si>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</si>
  <si>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</si>
  <si>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</si>
  <si>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</si>
  <si>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</si>
  <si>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</si>
  <si>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</si>
  <si>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</si>
  <si>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</si>
  <si>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</si>
  <si>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</si>
  <si>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</si>
  <si>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</si>
  <si>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</si>
  <si>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</si>
  <si>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</si>
  <si>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</si>
  <si>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</si>
  <si>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</si>
  <si>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</si>
  <si>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</si>
  <si>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</si>
  <si>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</si>
  <si>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</si>
  <si>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</si>
  <si>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</si>
  <si>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</si>
  <si>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</si>
  <si>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</si>
  <si>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</si>
  <si>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</si>
  <si>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</si>
  <si>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</si>
  <si>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</si>
  <si>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</si>
  <si>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</si>
  <si>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</si>
  <si>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</si>
  <si>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</si>
  <si>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</si>
  <si>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</si>
  <si>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</si>
  <si>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</si>
  <si>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</si>
  <si>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</si>
  <si>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</si>
  <si>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</si>
  <si>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</si>
  <si>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</si>
  <si>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</si>
  <si>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</si>
  <si>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</si>
  <si>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</si>
  <si>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</si>
  <si>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</si>
  <si>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</si>
  <si>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</si>
  <si>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</si>
  <si>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</si>
  <si>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</si>
  <si>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</si>
  <si>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</si>
  <si>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</si>
  <si>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</si>
  <si>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</si>
  <si>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</si>
  <si>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</si>
  <si>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</si>
  <si>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</si>
  <si>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</si>
  <si>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</si>
  <si>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</si>
  <si>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</si>
  <si>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</si>
  <si>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</si>
  <si>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</si>
  <si>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</si>
  <si>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</si>
  <si>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</si>
  <si>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</si>
  <si>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</si>
  <si>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</si>
  <si>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</si>
  <si>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</si>
  <si>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</si>
  <si>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</si>
  <si>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</si>
  <si>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</si>
  <si>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</si>
  <si>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</si>
  <si>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</si>
  <si>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</si>
  <si>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</si>
  <si>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</si>
  <si>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</si>
  <si>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</si>
  <si>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</si>
  <si>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</si>
  <si>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</si>
  <si>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</si>
  <si>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</si>
  <si>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</si>
  <si>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</si>
  <si>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</si>
  <si>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</si>
  <si>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</si>
  <si>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</si>
  <si>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</si>
  <si>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</si>
  <si>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</si>
  <si>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</si>
  <si>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</si>
  <si>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</si>
  <si>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</si>
  <si>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</si>
  <si>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</si>
  <si>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</si>
  <si>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</si>
  <si>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</si>
  <si>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</si>
  <si>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</si>
  <si>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</si>
  <si>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</si>
  <si>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</si>
  <si>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</si>
  <si>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</si>
  <si>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</si>
  <si>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</si>
  <si>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</si>
  <si>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</si>
  <si>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</si>
  <si>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</si>
  <si>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</si>
  <si>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</si>
  <si>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</si>
  <si>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</si>
  <si>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</si>
  <si>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</si>
  <si>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</si>
  <si>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</si>
  <si>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</si>
  <si>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</si>
  <si>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</si>
  <si>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</si>
  <si>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</si>
  <si>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</si>
  <si>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</si>
  <si>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</si>
  <si>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</si>
  <si>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</si>
  <si>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</si>
  <si>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</si>
  <si>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</si>
  <si>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</si>
  <si>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</si>
  <si>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</si>
  <si>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</si>
  <si>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</si>
  <si>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</si>
  <si>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</si>
  <si>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</si>
  <si>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</si>
  <si>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</si>
  <si>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</si>
  <si>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</si>
  <si>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</si>
  <si>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</si>
  <si>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</si>
  <si>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</si>
  <si>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</si>
  <si>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</si>
  <si>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</si>
  <si>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</si>
  <si>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</si>
  <si>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</si>
  <si>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</si>
  <si>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</si>
  <si>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</si>
  <si>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</si>
  <si>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</si>
  <si>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</si>
  <si>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</si>
  <si>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</si>
  <si>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</si>
  <si>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</si>
  <si>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</si>
  <si>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</si>
  <si>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</si>
  <si>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</si>
  <si>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</si>
  <si>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</si>
  <si>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</si>
  <si>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</si>
  <si>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</si>
  <si>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</si>
  <si>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</si>
  <si>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</si>
  <si>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</si>
  <si>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</si>
  <si>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</si>
  <si>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</si>
  <si>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</si>
  <si>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</si>
  <si>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</si>
  <si>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</si>
  <si>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</si>
  <si>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</si>
  <si>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</si>
  <si>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</si>
  <si>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</si>
  <si>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</si>
  <si>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</si>
  <si>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</si>
  <si>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</si>
  <si>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</si>
  <si>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</si>
  <si>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</si>
  <si>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</si>
  <si>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</si>
  <si>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</si>
  <si>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</si>
  <si>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</si>
  <si>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</si>
  <si>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</si>
  <si>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</si>
  <si>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</si>
  <si>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</si>
  <si>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</si>
  <si>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</si>
  <si>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</si>
  <si>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</si>
  <si>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</si>
  <si>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</si>
  <si>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</si>
  <si>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</si>
  <si>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</si>
  <si>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</si>
  <si>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</si>
  <si>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</si>
  <si>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</si>
  <si>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</si>
  <si>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</si>
  <si>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</si>
  <si>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</si>
  <si>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</si>
  <si>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</si>
  <si>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</si>
  <si>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</si>
  <si>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</si>
  <si>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</si>
  <si>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</si>
  <si>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</si>
  <si>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</si>
  <si>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</si>
  <si>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</si>
  <si>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</si>
  <si>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</si>
  <si>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</si>
  <si>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</si>
  <si>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</si>
  <si>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</si>
  <si>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</si>
  <si>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</si>
  <si>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</si>
  <si>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</si>
  <si>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</si>
  <si>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</si>
  <si>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</si>
  <si>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</si>
  <si>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</si>
  <si>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</si>
  <si>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</si>
  <si>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</si>
  <si>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</si>
  <si>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</si>
  <si>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</si>
  <si>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</si>
  <si>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</si>
  <si>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</si>
  <si>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</si>
  <si>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</si>
  <si>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</si>
  <si>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</si>
  <si>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</si>
  <si>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</si>
  <si>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</si>
  <si>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</si>
  <si>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</si>
  <si>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</si>
  <si>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</si>
  <si>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</si>
  <si>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</si>
  <si>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</si>
  <si>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</si>
  <si>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</si>
  <si>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</si>
  <si>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</si>
  <si>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</si>
  <si>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</si>
  <si>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</si>
  <si>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</si>
  <si>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</si>
  <si>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</si>
  <si>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</si>
  <si>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</si>
  <si>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</si>
  <si>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</si>
  <si>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</si>
  <si>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</si>
  <si>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</si>
  <si>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</si>
  <si>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</si>
  <si>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</si>
  <si>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</si>
  <si>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</si>
  <si>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</si>
  <si>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</si>
  <si>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</si>
  <si>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</si>
  <si>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</si>
  <si>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</si>
  <si>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</si>
  <si>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</si>
  <si>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</si>
  <si>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</si>
  <si>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</si>
  <si>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</si>
  <si>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</si>
  <si>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</si>
  <si>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</si>
  <si>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</si>
  <si>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</si>
  <si>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</si>
  <si>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</si>
  <si>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</si>
  <si>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</si>
  <si>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</si>
  <si>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</si>
  <si>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</si>
  <si>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</si>
  <si>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</si>
  <si>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</si>
  <si>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</si>
  <si>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</si>
  <si>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</si>
  <si>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</si>
  <si>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</si>
  <si>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</si>
  <si>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</si>
  <si>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</si>
  <si>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</si>
  <si>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</si>
  <si>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</si>
  <si>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</si>
  <si>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</si>
  <si>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</si>
  <si>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</si>
  <si>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</si>
  <si>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</si>
  <si>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</si>
  <si>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</si>
  <si>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</si>
  <si>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</si>
  <si>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</si>
  <si>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</si>
  <si>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</si>
  <si>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</si>
  <si>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</si>
  <si>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</si>
  <si>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</si>
  <si>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</si>
  <si>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</si>
  <si>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</si>
  <si>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</si>
  <si>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</si>
  <si>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</si>
  <si>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</si>
  <si>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</si>
  <si>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</si>
  <si>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</si>
  <si>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</si>
  <si>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</si>
  <si>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</si>
  <si>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</si>
  <si>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</si>
  <si>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</si>
  <si>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</si>
  <si>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</si>
  <si>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</si>
  <si>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</si>
  <si>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</si>
  <si>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</si>
  <si>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</si>
  <si>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</si>
  <si>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</si>
  <si>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</si>
  <si>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</si>
  <si>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</si>
  <si>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</si>
  <si>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</si>
  <si>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</si>
  <si>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</si>
  <si>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</si>
  <si>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</si>
  <si>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</si>
  <si>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</si>
  <si>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</si>
  <si>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</si>
  <si>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</si>
  <si>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</si>
  <si>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</si>
  <si>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</si>
  <si>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</si>
  <si>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</si>
  <si>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</si>
  <si>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</si>
  <si>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</si>
  <si>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</si>
  <si>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</si>
  <si>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</si>
  <si>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</si>
  <si>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</si>
  <si>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</si>
  <si>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</si>
  <si>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</si>
  <si>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</si>
  <si>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</si>
  <si>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</si>
  <si>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</si>
  <si>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</si>
  <si>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</si>
  <si>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</si>
  <si>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</si>
  <si>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</si>
  <si>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</si>
  <si>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</si>
  <si>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</si>
  <si>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</si>
  <si>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</si>
  <si>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</si>
  <si>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</si>
  <si>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</si>
  <si>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</si>
  <si>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</si>
  <si>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</si>
  <si>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</si>
  <si>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</si>
  <si>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</si>
  <si>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</si>
  <si>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</si>
  <si>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</si>
  <si>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</si>
  <si>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</si>
  <si>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</si>
  <si>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</si>
  <si>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</si>
  <si>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</si>
  <si>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</si>
  <si>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</si>
  <si>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</si>
  <si>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</si>
  <si>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</si>
  <si>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</si>
  <si>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</si>
  <si>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</si>
  <si>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</si>
  <si>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</si>
  <si>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</si>
  <si>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</si>
  <si>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</si>
  <si>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</si>
  <si>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</si>
  <si>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</si>
  <si>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</si>
  <si>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</si>
  <si>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</si>
  <si>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</si>
  <si>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</si>
  <si>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</si>
  <si>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</si>
  <si>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</si>
  <si>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</si>
  <si>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</si>
  <si>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</si>
  <si>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</si>
  <si>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</si>
  <si>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</si>
  <si>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</si>
  <si>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</si>
  <si>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</si>
  <si>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</si>
  <si>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</si>
  <si>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</si>
  <si>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</si>
  <si>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</si>
  <si>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</si>
  <si>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</si>
  <si>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</si>
  <si>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</si>
  <si>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</si>
  <si>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</si>
  <si>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</si>
  <si>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</si>
  <si>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</si>
  <si>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</si>
  <si>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</si>
  <si>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</si>
  <si>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</si>
  <si>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</si>
  <si>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</si>
  <si>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</si>
  <si>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</si>
  <si>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</si>
  <si>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</si>
  <si>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</si>
  <si>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</si>
  <si>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</si>
  <si>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</si>
  <si>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</si>
  <si>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</si>
  <si>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</si>
  <si>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</si>
  <si>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</si>
  <si>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</si>
  <si>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</si>
  <si>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</si>
  <si>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</si>
  <si>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</si>
  <si>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</si>
  <si>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</si>
  <si>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</si>
  <si>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</si>
  <si>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</si>
  <si>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</si>
  <si>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</si>
  <si>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</si>
  <si>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</si>
  <si>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</si>
  <si>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</si>
  <si>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 Activo/variedad</t>
  </si>
  <si>
    <t>Tipo_Movimiento</t>
  </si>
  <si>
    <t>Destino / Origen</t>
  </si>
  <si>
    <t>Insecticida</t>
  </si>
  <si>
    <t>Lagarticida</t>
  </si>
  <si>
    <t>Triazol</t>
  </si>
  <si>
    <t>g</t>
  </si>
  <si>
    <t>Estrobilurina</t>
  </si>
  <si>
    <t>ml</t>
  </si>
  <si>
    <t>Graminicida</t>
  </si>
  <si>
    <t>Inoculante</t>
  </si>
  <si>
    <t>Bolson</t>
  </si>
  <si>
    <t xml:space="preserve">secante </t>
  </si>
  <si>
    <t>Carinata</t>
  </si>
  <si>
    <t>Gentos</t>
  </si>
  <si>
    <t>Agroenfoque</t>
  </si>
  <si>
    <t>Soja</t>
  </si>
  <si>
    <t>Girasol</t>
  </si>
  <si>
    <t xml:space="preserve">tipa </t>
  </si>
  <si>
    <t>aromo</t>
  </si>
  <si>
    <t xml:space="preserve">Semilla comprada trigo tipa </t>
  </si>
  <si>
    <t xml:space="preserve">semilla comprada maiz </t>
  </si>
  <si>
    <t xml:space="preserve">yesca </t>
  </si>
  <si>
    <r>
      <t>Haloxifop-P-metil</t>
    </r>
    <r>
      <rPr>
        <sz val="12"/>
        <color rgb="FF3DAF29"/>
        <rFont val="AvenirLight"/>
        <charset val="1"/>
      </rPr>
      <t xml:space="preserve"> | 540g/L</t>
    </r>
  </si>
  <si>
    <t xml:space="preserve">Semillas 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</si>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</sst>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1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  <font>
      <sz val="12"/>
      <color rgb="FF3DAF29"/>
      <name val="AvenirLight"/>
      <charset val="1"/>
    </font>
  </fonts>
  <fills count="13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0" fontId="5" fillId="10" borderId="5" xfId="0" applyFont="1" applyFill="1" applyBorder="1" applyAlignment="1">
      <alignment horizontal="left" vertical="center"/>
    </xf>
    <xf numFmtId="2" fontId="5" fillId="0" borderId="2" xfId="0" applyNumberFormat="1" applyFon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11" borderId="0" xfId="0" applyFill="1"/>
    <xf numFmtId="2" fontId="0" fillId="11" borderId="0" xfId="0" applyNumberFormat="1" applyFill="1" applyAlignment="1">
      <alignment horizontal="center"/>
    </xf>
    <xf numFmtId="0" fontId="0" fillId="0" borderId="0" xfId="0" applyAlignment="1">
      <alignment horizontal="right"/>
    </xf>
    <xf numFmtId="0" fontId="3" fillId="12" borderId="2" xfId="0" applyFont="1" applyFill="1" applyBorder="1" applyAlignment="1">
      <alignment horizontal="left" vertical="center"/>
    </xf>
    <xf numFmtId="14" fontId="3" fillId="0" borderId="2" xfId="0" applyNumberFormat="1" applyFont="1" applyBorder="1" applyAlignment="1">
      <alignment horizontal="right" vertical="center"/>
    </xf>
    <xf numFmtId="0" fontId="3" fillId="0" borderId="2" xfId="0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3" fillId="9" borderId="2" xfId="0" applyFont="1" applyFill="1" applyBorder="1" applyAlignment="1">
      <alignment horizontal="right" vertical="center"/>
    </xf>
    <xf numFmtId="14" fontId="5" fillId="0" borderId="0" xfId="0" applyNumberFormat="1" applyFont="1" applyAlignment="1">
      <alignment horizontal="left" vertical="center"/>
    </xf>
    <xf numFmtId="0" fontId="0" fillId="12" borderId="5" xfId="0" applyFill="1" applyBorder="1"/>
    <xf numFmtId="0" fontId="0" fillId="10" borderId="5" xfId="0" applyFill="1" applyBorder="1"/>
  </cellXfs>
  <cellStyles count="1">
    <cellStyle name="Normal" xfId="0" builtinId="0"/>
  </cellStyles>
  <dxfs count="21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V11997" totalsRowShown="0">
  <autoFilter ref="A1:V11997" xr:uid="{AB419160-9C2F-4406-84A3-963E72448A76}"/>
  <sortState xmlns:xlrd2="http://schemas.microsoft.com/office/spreadsheetml/2017/richdata2" ref="A2:U11993">
    <sortCondition ref="B2:B11993"/>
  </sortState>
  <tableColumns count="22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14">
      <calculatedColumnFormula>IF(C2="","",UPPER(LEFT(SUBSTITUTE(C2," ",""),3))&amp;"-"&amp;TEXT(B2,"AAMMDD")&amp;"-1")</calculatedColumnFormula>
    </tableColumn>
    <tableColumn id="21" xr3:uid="{8F548C6F-637B-4FE8-801A-5552B50EE69F}" name="Ubicación"/>
    <tableColumn id="22" xr3:uid="{E5C3F6C0-16BE-4BB5-8B49-6D0BC05A6F72}" name="Retira 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V11997"/>
  <sheetViews>
    <sheetView showGridLines="0" tabSelected="1" topLeftCell="F840" workbookViewId="0">
      <selection activeCell="Q855" sqref="Q855"/>
    </sheetView>
  </sheetViews>
  <sheetFormatPr defaultColWidth="9.140625" defaultRowHeight="15"/>
  <cols>
    <col min="1" max="1" width="11.85546875" customWidth="1"/>
    <col min="2" max="2" width="12" customWidth="1"/>
    <col min="3" max="3" width="31.42578125" customWidth="1"/>
    <col min="4" max="4" width="35.85546875" customWidth="1"/>
    <col min="5" max="5" width="20.42578125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8.140625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9.5703125" customWidth="1"/>
    <col min="22" max="22" width="15.7109375" customWidth="1"/>
  </cols>
  <sheetData>
    <row r="1" spans="1:22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  <c r="V1" s="18" t="s">
        <v>21</v>
      </c>
    </row>
    <row r="2" spans="1:22">
      <c r="A2" s="20" t="s">
        <v>22</v>
      </c>
      <c r="B2" s="21">
        <v>46105</v>
      </c>
      <c r="C2" s="20" t="s">
        <v>23</v>
      </c>
      <c r="D2" s="20" t="s">
        <v>24</v>
      </c>
      <c r="E2" s="20" t="s">
        <v>25</v>
      </c>
      <c r="F2" s="20" t="s">
        <v>26</v>
      </c>
      <c r="G2" s="20" t="s">
        <v>27</v>
      </c>
      <c r="H2" s="20" t="str">
        <f>+T2</f>
        <v>260324-001</v>
      </c>
      <c r="I2" s="20" t="s">
        <v>28</v>
      </c>
      <c r="J2" s="28">
        <v>3400</v>
      </c>
      <c r="K2" s="22">
        <f>IF(I2="","",IF(I2="ENTRADA",ABS(J2),-ABS(J2)))</f>
        <v>3400</v>
      </c>
      <c r="L2" s="20" t="s">
        <v>29</v>
      </c>
      <c r="M2" s="21"/>
      <c r="N2" s="20">
        <v>47144</v>
      </c>
      <c r="O2" s="20"/>
      <c r="P2" s="57">
        <v>14229</v>
      </c>
      <c r="Q2" s="56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30</v>
      </c>
    </row>
    <row r="3" spans="1:22">
      <c r="A3" s="20" t="s">
        <v>31</v>
      </c>
      <c r="B3" s="21">
        <v>46113</v>
      </c>
      <c r="C3" s="20" t="s">
        <v>32</v>
      </c>
      <c r="D3" s="20" t="s">
        <v>33</v>
      </c>
      <c r="E3" s="20" t="s">
        <v>34</v>
      </c>
      <c r="F3" s="20" t="s">
        <v>35</v>
      </c>
      <c r="G3" s="20" t="s">
        <v>36</v>
      </c>
      <c r="H3" s="20" t="str">
        <f>+T3</f>
        <v>260401-002</v>
      </c>
      <c r="I3" s="20" t="s">
        <v>28</v>
      </c>
      <c r="J3" s="28">
        <v>700</v>
      </c>
      <c r="K3" s="22">
        <f>IF(I3="","",IF(I3="ENTRADA",ABS(J3),-ABS(J3)))</f>
        <v>700</v>
      </c>
      <c r="L3" s="20" t="s">
        <v>37</v>
      </c>
      <c r="M3" s="21">
        <v>46710</v>
      </c>
      <c r="N3" s="20">
        <v>12383</v>
      </c>
      <c r="O3" s="20"/>
      <c r="P3" s="57">
        <v>14327</v>
      </c>
      <c r="Q3" s="56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38</v>
      </c>
    </row>
    <row r="4" spans="1:22">
      <c r="A4" s="20" t="s">
        <v>39</v>
      </c>
      <c r="B4" s="21">
        <v>46113</v>
      </c>
      <c r="C4" s="20" t="s">
        <v>40</v>
      </c>
      <c r="D4" s="20" t="s">
        <v>41</v>
      </c>
      <c r="E4" s="20" t="s">
        <v>34</v>
      </c>
      <c r="F4" s="20" t="s">
        <v>35</v>
      </c>
      <c r="G4" s="20" t="s">
        <v>36</v>
      </c>
      <c r="H4" s="20" t="str">
        <f>+T4</f>
        <v>260401-003</v>
      </c>
      <c r="I4" s="20" t="s">
        <v>28</v>
      </c>
      <c r="J4" s="28">
        <v>300</v>
      </c>
      <c r="K4" s="22">
        <f>IF(I4="","",IF(I4="ENTRADA",ABS(J4),-ABS(J4)))</f>
        <v>300</v>
      </c>
      <c r="L4" s="20" t="s">
        <v>37</v>
      </c>
      <c r="M4" s="21">
        <v>46500</v>
      </c>
      <c r="N4" s="20">
        <v>12383</v>
      </c>
      <c r="O4" s="20"/>
      <c r="P4" s="57">
        <v>14327</v>
      </c>
      <c r="Q4" s="56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42</v>
      </c>
    </row>
    <row r="5" spans="1:22">
      <c r="A5" s="20" t="s">
        <v>43</v>
      </c>
      <c r="B5" s="21">
        <v>46113</v>
      </c>
      <c r="C5" s="20" t="s">
        <v>44</v>
      </c>
      <c r="D5" s="20" t="s">
        <v>45</v>
      </c>
      <c r="E5" s="20" t="s">
        <v>34</v>
      </c>
      <c r="F5" s="20" t="s">
        <v>46</v>
      </c>
      <c r="G5" s="20" t="s">
        <v>36</v>
      </c>
      <c r="H5" s="20" t="str">
        <f>+T5</f>
        <v>260401-004</v>
      </c>
      <c r="I5" s="20" t="s">
        <v>28</v>
      </c>
      <c r="J5" s="28">
        <v>2700</v>
      </c>
      <c r="K5" s="22">
        <v>2700</v>
      </c>
      <c r="L5" s="20" t="s">
        <v>37</v>
      </c>
      <c r="M5" s="21">
        <v>46528</v>
      </c>
      <c r="N5" s="20">
        <v>12383</v>
      </c>
      <c r="O5" s="20"/>
      <c r="P5" s="57">
        <v>14327</v>
      </c>
      <c r="Q5" s="56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47</v>
      </c>
    </row>
    <row r="6" spans="1:22">
      <c r="A6" s="20" t="s">
        <v>48</v>
      </c>
      <c r="B6" s="21">
        <v>46113</v>
      </c>
      <c r="C6" s="20" t="s">
        <v>44</v>
      </c>
      <c r="D6" s="20" t="s">
        <v>45</v>
      </c>
      <c r="E6" s="20" t="s">
        <v>34</v>
      </c>
      <c r="F6" s="20" t="s">
        <v>46</v>
      </c>
      <c r="G6" s="20" t="s">
        <v>36</v>
      </c>
      <c r="H6" s="20" t="str">
        <f>+T6</f>
        <v>260401-005</v>
      </c>
      <c r="I6" s="20" t="s">
        <v>28</v>
      </c>
      <c r="J6" s="28">
        <v>100</v>
      </c>
      <c r="K6" s="22">
        <f>IF(I6="","",IF(I6="ENTRADA",ABS(J6),-ABS(J6)))</f>
        <v>100</v>
      </c>
      <c r="L6" s="20" t="s">
        <v>37</v>
      </c>
      <c r="M6" s="21">
        <v>46761</v>
      </c>
      <c r="N6" s="20">
        <v>12383</v>
      </c>
      <c r="O6" s="20"/>
      <c r="P6" s="57">
        <v>14327</v>
      </c>
      <c r="Q6" s="56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47</v>
      </c>
    </row>
    <row r="7" spans="1:22">
      <c r="A7" s="20" t="s">
        <v>49</v>
      </c>
      <c r="B7" s="21">
        <v>46113</v>
      </c>
      <c r="C7" s="20" t="s">
        <v>50</v>
      </c>
      <c r="D7" s="20" t="s">
        <v>51</v>
      </c>
      <c r="E7" s="20" t="s">
        <v>34</v>
      </c>
      <c r="F7" s="20" t="s">
        <v>35</v>
      </c>
      <c r="G7" s="20" t="s">
        <v>36</v>
      </c>
      <c r="H7" s="20" t="str">
        <f>+T7</f>
        <v>260401-006</v>
      </c>
      <c r="I7" s="20" t="s">
        <v>28</v>
      </c>
      <c r="J7" s="28">
        <v>300</v>
      </c>
      <c r="K7" s="22">
        <f>IF(I7="","",IF(I7="ENTRADA",ABS(J7),-ABS(J7)))</f>
        <v>300</v>
      </c>
      <c r="L7" s="20" t="s">
        <v>37</v>
      </c>
      <c r="M7" s="21">
        <v>46517</v>
      </c>
      <c r="N7" s="20">
        <v>12383</v>
      </c>
      <c r="O7" s="20"/>
      <c r="P7" s="57">
        <v>14327</v>
      </c>
      <c r="Q7" s="56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52</v>
      </c>
    </row>
    <row r="8" spans="1:22">
      <c r="A8" s="20" t="s">
        <v>53</v>
      </c>
      <c r="B8" s="21">
        <v>46113</v>
      </c>
      <c r="C8" s="20" t="s">
        <v>54</v>
      </c>
      <c r="D8" s="20" t="s">
        <v>55</v>
      </c>
      <c r="E8" s="20" t="s">
        <v>34</v>
      </c>
      <c r="F8" s="20" t="s">
        <v>35</v>
      </c>
      <c r="G8" s="20" t="s">
        <v>36</v>
      </c>
      <c r="H8" s="20" t="str">
        <f>+T8</f>
        <v>260401-007</v>
      </c>
      <c r="I8" s="20" t="s">
        <v>28</v>
      </c>
      <c r="J8" s="28">
        <v>300</v>
      </c>
      <c r="K8" s="22">
        <f>IF(I8="","",IF(I8="ENTRADA",ABS(J8),-ABS(J8)))</f>
        <v>300</v>
      </c>
      <c r="L8" s="20" t="s">
        <v>56</v>
      </c>
      <c r="M8" s="21">
        <v>46443</v>
      </c>
      <c r="N8" s="20">
        <v>12383</v>
      </c>
      <c r="O8" s="20"/>
      <c r="P8" s="57">
        <v>14327</v>
      </c>
      <c r="Q8" s="56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57</v>
      </c>
    </row>
    <row r="9" spans="1:22">
      <c r="A9" s="20" t="s">
        <v>58</v>
      </c>
      <c r="B9" s="21">
        <v>46113</v>
      </c>
      <c r="C9" s="20" t="s">
        <v>59</v>
      </c>
      <c r="D9" s="20" t="s">
        <v>60</v>
      </c>
      <c r="E9" s="20" t="s">
        <v>34</v>
      </c>
      <c r="F9" s="20" t="s">
        <v>35</v>
      </c>
      <c r="G9" s="20" t="s">
        <v>36</v>
      </c>
      <c r="H9" s="20" t="str">
        <f>+T9</f>
        <v>260401-008</v>
      </c>
      <c r="I9" s="20" t="s">
        <v>28</v>
      </c>
      <c r="J9" s="28">
        <v>4800</v>
      </c>
      <c r="K9" s="22">
        <f>IF(I9="","",IF(I9="ENTRADA",ABS(J9),-ABS(J9)))</f>
        <v>4800</v>
      </c>
      <c r="L9" s="20" t="s">
        <v>37</v>
      </c>
      <c r="M9" s="21">
        <v>46737</v>
      </c>
      <c r="N9" s="20">
        <v>12383</v>
      </c>
      <c r="O9" s="20"/>
      <c r="P9" s="57">
        <v>14327</v>
      </c>
      <c r="Q9" s="56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61</v>
      </c>
    </row>
    <row r="10" spans="1:22">
      <c r="A10" s="20" t="s">
        <v>62</v>
      </c>
      <c r="B10" s="21">
        <v>46113</v>
      </c>
      <c r="C10" t="s">
        <v>44</v>
      </c>
      <c r="D10" t="s">
        <v>63</v>
      </c>
      <c r="E10" t="s">
        <v>34</v>
      </c>
      <c r="F10" t="s">
        <v>46</v>
      </c>
      <c r="G10" t="s">
        <v>36</v>
      </c>
      <c r="H10" s="20" t="s">
        <v>64</v>
      </c>
      <c r="I10" t="s">
        <v>65</v>
      </c>
      <c r="J10" s="29">
        <v>100</v>
      </c>
      <c r="K10" s="22">
        <f>IF(I10="","",IF(I10="ENTRADA",ABS(J10),-ABS(J10)))</f>
        <v>-100</v>
      </c>
      <c r="L10" t="s">
        <v>37</v>
      </c>
      <c r="M10" s="21"/>
      <c r="N10" s="3">
        <v>59309</v>
      </c>
      <c r="O10" t="s">
        <v>66</v>
      </c>
      <c r="P10" s="58">
        <v>1624</v>
      </c>
      <c r="Q10" s="56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2">
      <c r="A11" s="20" t="s">
        <v>67</v>
      </c>
      <c r="B11" s="21">
        <v>46113</v>
      </c>
      <c r="C11" t="s">
        <v>59</v>
      </c>
      <c r="D11" t="s">
        <v>60</v>
      </c>
      <c r="E11" t="s">
        <v>34</v>
      </c>
      <c r="F11" t="s">
        <v>35</v>
      </c>
      <c r="H11" s="20" t="s">
        <v>68</v>
      </c>
      <c r="I11" t="s">
        <v>65</v>
      </c>
      <c r="J11" s="29">
        <v>360</v>
      </c>
      <c r="K11" s="22">
        <f>IF(I11="","",IF(I11="ENTRADA",ABS(J11),-ABS(J11)))</f>
        <v>-360</v>
      </c>
      <c r="L11" t="s">
        <v>37</v>
      </c>
      <c r="M11" s="21"/>
      <c r="N11" s="3">
        <v>59309</v>
      </c>
      <c r="O11" t="s">
        <v>66</v>
      </c>
      <c r="P11" s="58">
        <v>1624</v>
      </c>
      <c r="Q11" s="56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2">
      <c r="A12" s="20" t="s">
        <v>69</v>
      </c>
      <c r="B12" s="21">
        <v>46118</v>
      </c>
      <c r="C12" t="s">
        <v>70</v>
      </c>
      <c r="D12" t="s">
        <v>71</v>
      </c>
      <c r="E12" t="s">
        <v>70</v>
      </c>
      <c r="G12" t="s">
        <v>72</v>
      </c>
      <c r="H12" s="20" t="str">
        <f>+T12</f>
        <v>260406-011</v>
      </c>
      <c r="I12" t="s">
        <v>28</v>
      </c>
      <c r="J12" s="29">
        <v>3</v>
      </c>
      <c r="K12" s="22">
        <f>IF(I12="","",IF(I12="ENTRADA",ABS(J12),-ABS(J12)))</f>
        <v>3</v>
      </c>
      <c r="L12" t="s">
        <v>73</v>
      </c>
      <c r="M12" s="21"/>
      <c r="N12" s="3">
        <v>3141</v>
      </c>
      <c r="P12" s="57">
        <v>14311</v>
      </c>
      <c r="Q12" s="56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2">
      <c r="A13" s="20" t="s">
        <v>74</v>
      </c>
      <c r="B13" s="21">
        <v>46119</v>
      </c>
      <c r="C13" t="s">
        <v>75</v>
      </c>
      <c r="D13" t="s">
        <v>76</v>
      </c>
      <c r="E13" t="s">
        <v>34</v>
      </c>
      <c r="F13" t="s">
        <v>35</v>
      </c>
      <c r="G13" t="s">
        <v>77</v>
      </c>
      <c r="H13" s="20" t="str">
        <f>+T13</f>
        <v>260407-012</v>
      </c>
      <c r="I13" t="s">
        <v>28</v>
      </c>
      <c r="J13" s="29">
        <v>12500</v>
      </c>
      <c r="K13" s="22">
        <f>IF(I13="","",IF(I13="ENTRADA",ABS(J13),-ABS(J13)))</f>
        <v>12500</v>
      </c>
      <c r="L13" t="s">
        <v>37</v>
      </c>
      <c r="M13" s="21">
        <v>46725</v>
      </c>
      <c r="N13" s="3">
        <v>69750</v>
      </c>
      <c r="P13">
        <v>14291</v>
      </c>
      <c r="Q13" s="56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78</v>
      </c>
    </row>
    <row r="14" spans="1:22">
      <c r="A14" s="20" t="s">
        <v>79</v>
      </c>
      <c r="B14" s="21">
        <v>46120</v>
      </c>
      <c r="C14" t="s">
        <v>80</v>
      </c>
      <c r="D14" t="s">
        <v>81</v>
      </c>
      <c r="E14" t="s">
        <v>25</v>
      </c>
      <c r="F14" t="s">
        <v>82</v>
      </c>
      <c r="G14" t="s">
        <v>83</v>
      </c>
      <c r="H14" s="20" t="str">
        <f>+T14</f>
        <v>260408-013</v>
      </c>
      <c r="I14" t="s">
        <v>28</v>
      </c>
      <c r="J14" s="29">
        <v>14000</v>
      </c>
      <c r="K14" s="22">
        <f>IF(I14="","",IF(I14="ENTRADA",ABS(J14),-ABS(J14)))</f>
        <v>14000</v>
      </c>
      <c r="L14" t="s">
        <v>29</v>
      </c>
      <c r="M14" s="21"/>
      <c r="N14" s="3">
        <v>42865</v>
      </c>
      <c r="P14" s="57">
        <v>14310</v>
      </c>
      <c r="Q14" s="56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84</v>
      </c>
    </row>
    <row r="15" spans="1:22">
      <c r="A15" s="20" t="s">
        <v>85</v>
      </c>
      <c r="B15" s="21">
        <v>46120</v>
      </c>
      <c r="C15" t="s">
        <v>86</v>
      </c>
      <c r="D15" t="s">
        <v>87</v>
      </c>
      <c r="E15" t="s">
        <v>34</v>
      </c>
      <c r="F15" t="s">
        <v>35</v>
      </c>
      <c r="G15" t="s">
        <v>36</v>
      </c>
      <c r="H15" s="20" t="str">
        <f>+T15</f>
        <v>260408-014</v>
      </c>
      <c r="I15" t="s">
        <v>28</v>
      </c>
      <c r="J15" s="29">
        <v>1140</v>
      </c>
      <c r="K15" s="22">
        <f>IF(I15="","",IF(I15="ENTRADA",ABS(J15),-ABS(J15)))</f>
        <v>1140</v>
      </c>
      <c r="L15" t="s">
        <v>37</v>
      </c>
      <c r="M15" s="21">
        <v>46509</v>
      </c>
      <c r="N15" s="3">
        <v>12416</v>
      </c>
      <c r="P15" s="57">
        <v>14326</v>
      </c>
      <c r="Q15" s="56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88</v>
      </c>
    </row>
    <row r="16" spans="1:22">
      <c r="A16" s="20" t="s">
        <v>89</v>
      </c>
      <c r="B16" s="21">
        <v>46120</v>
      </c>
      <c r="C16" t="s">
        <v>90</v>
      </c>
      <c r="D16" t="s">
        <v>91</v>
      </c>
      <c r="E16" t="s">
        <v>34</v>
      </c>
      <c r="F16" t="s">
        <v>35</v>
      </c>
      <c r="G16" t="s">
        <v>36</v>
      </c>
      <c r="H16" s="20" t="str">
        <f>+T16</f>
        <v>260408-015</v>
      </c>
      <c r="I16" t="s">
        <v>28</v>
      </c>
      <c r="J16" s="29">
        <v>500</v>
      </c>
      <c r="K16" s="22">
        <f>IF(I16="","",IF(I16="ENTRADA",ABS(J16),-ABS(J16)))</f>
        <v>500</v>
      </c>
      <c r="L16" t="s">
        <v>37</v>
      </c>
      <c r="M16" s="21">
        <v>46397</v>
      </c>
      <c r="N16" s="3">
        <v>12416</v>
      </c>
      <c r="P16" s="57">
        <v>14326</v>
      </c>
      <c r="Q16" s="56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92</v>
      </c>
    </row>
    <row r="17" spans="1:21">
      <c r="A17" s="20" t="s">
        <v>93</v>
      </c>
      <c r="B17" s="21">
        <v>46120</v>
      </c>
      <c r="C17" t="s">
        <v>75</v>
      </c>
      <c r="D17" t="s">
        <v>76</v>
      </c>
      <c r="E17" t="s">
        <v>34</v>
      </c>
      <c r="F17" t="s">
        <v>35</v>
      </c>
      <c r="G17" t="s">
        <v>77</v>
      </c>
      <c r="H17" s="20" t="s">
        <v>94</v>
      </c>
      <c r="I17" t="s">
        <v>65</v>
      </c>
      <c r="J17" s="29">
        <v>600</v>
      </c>
      <c r="K17" s="22">
        <f>IF(I17="","",IF(I17="ENTRADA",ABS(J17),-ABS(J17)))</f>
        <v>-600</v>
      </c>
      <c r="L17" t="s">
        <v>37</v>
      </c>
      <c r="M17" s="21"/>
      <c r="N17" s="3">
        <v>59310</v>
      </c>
      <c r="O17" t="s">
        <v>95</v>
      </c>
      <c r="P17" s="57">
        <v>1625</v>
      </c>
      <c r="Q17" s="56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96</v>
      </c>
      <c r="B18" s="21">
        <v>46120</v>
      </c>
      <c r="C18" t="s">
        <v>54</v>
      </c>
      <c r="D18" t="s">
        <v>55</v>
      </c>
      <c r="E18" t="s">
        <v>34</v>
      </c>
      <c r="F18" t="s">
        <v>35</v>
      </c>
      <c r="H18" s="20" t="s">
        <v>97</v>
      </c>
      <c r="I18" t="s">
        <v>65</v>
      </c>
      <c r="J18" s="29">
        <v>15</v>
      </c>
      <c r="K18" s="22">
        <f>IF(I18="","",IF(I18="ENTRADA",ABS(J18),-ABS(J18)))</f>
        <v>-15</v>
      </c>
      <c r="L18" t="s">
        <v>56</v>
      </c>
      <c r="M18" s="21"/>
      <c r="N18" s="3">
        <v>59310</v>
      </c>
      <c r="O18" t="s">
        <v>95</v>
      </c>
      <c r="P18" s="57">
        <v>1625</v>
      </c>
      <c r="Q18" s="56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98</v>
      </c>
      <c r="B19" s="21">
        <v>46120</v>
      </c>
      <c r="C19" t="s">
        <v>44</v>
      </c>
      <c r="D19" t="s">
        <v>63</v>
      </c>
      <c r="E19" t="s">
        <v>34</v>
      </c>
      <c r="F19" t="s">
        <v>46</v>
      </c>
      <c r="G19" t="s">
        <v>36</v>
      </c>
      <c r="H19" s="20" t="s">
        <v>64</v>
      </c>
      <c r="I19" t="s">
        <v>65</v>
      </c>
      <c r="J19" s="29">
        <v>560</v>
      </c>
      <c r="K19" s="22">
        <f>IF(I19="","",IF(I19="ENTRADA",ABS(J19),-ABS(J19)))</f>
        <v>-560</v>
      </c>
      <c r="L19" t="s">
        <v>37</v>
      </c>
      <c r="M19" s="21"/>
      <c r="N19" s="3">
        <v>59310</v>
      </c>
      <c r="O19" t="s">
        <v>95</v>
      </c>
      <c r="P19" s="57">
        <v>1625</v>
      </c>
      <c r="Q19" s="56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99</v>
      </c>
      <c r="B20" s="21">
        <v>46120</v>
      </c>
      <c r="C20" t="s">
        <v>86</v>
      </c>
      <c r="D20" t="s">
        <v>87</v>
      </c>
      <c r="E20" t="s">
        <v>34</v>
      </c>
      <c r="F20" t="s">
        <v>35</v>
      </c>
      <c r="G20" t="s">
        <v>36</v>
      </c>
      <c r="H20" s="20" t="s">
        <v>100</v>
      </c>
      <c r="I20" t="s">
        <v>65</v>
      </c>
      <c r="J20" s="29">
        <v>600</v>
      </c>
      <c r="K20" s="22">
        <f>IF(I20="","",IF(I20="ENTRADA",ABS(J20),-ABS(J20)))</f>
        <v>-600</v>
      </c>
      <c r="L20" t="s">
        <v>37</v>
      </c>
      <c r="M20" s="21"/>
      <c r="N20" s="3">
        <v>59310</v>
      </c>
      <c r="O20" t="s">
        <v>95</v>
      </c>
      <c r="P20" s="57">
        <v>1625</v>
      </c>
      <c r="Q20" s="56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101</v>
      </c>
      <c r="B21" s="21">
        <v>46120</v>
      </c>
      <c r="C21" t="s">
        <v>59</v>
      </c>
      <c r="D21" t="s">
        <v>60</v>
      </c>
      <c r="E21" t="s">
        <v>34</v>
      </c>
      <c r="F21" t="s">
        <v>35</v>
      </c>
      <c r="H21" s="20" t="s">
        <v>68</v>
      </c>
      <c r="I21" t="s">
        <v>65</v>
      </c>
      <c r="J21" s="29">
        <v>2100</v>
      </c>
      <c r="K21" s="22">
        <f>IF(I21="","",IF(I21="ENTRADA",ABS(J21),-ABS(J21)))</f>
        <v>-2100</v>
      </c>
      <c r="L21" t="s">
        <v>37</v>
      </c>
      <c r="M21" s="21"/>
      <c r="N21" s="3">
        <v>59310</v>
      </c>
      <c r="O21" t="s">
        <v>95</v>
      </c>
      <c r="P21" s="57">
        <v>1625</v>
      </c>
      <c r="Q21" s="56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102</v>
      </c>
      <c r="B22" s="21">
        <v>46120</v>
      </c>
      <c r="C22" t="s">
        <v>90</v>
      </c>
      <c r="D22" t="s">
        <v>91</v>
      </c>
      <c r="E22" t="s">
        <v>34</v>
      </c>
      <c r="F22" t="s">
        <v>35</v>
      </c>
      <c r="G22" t="s">
        <v>36</v>
      </c>
      <c r="H22" s="20" t="s">
        <v>103</v>
      </c>
      <c r="I22" t="s">
        <v>65</v>
      </c>
      <c r="J22" s="29">
        <v>300</v>
      </c>
      <c r="K22" s="22">
        <f>IF(I22="","",IF(I22="ENTRADA",ABS(J22),-ABS(J22)))</f>
        <v>-300</v>
      </c>
      <c r="L22" t="s">
        <v>37</v>
      </c>
      <c r="M22" s="21"/>
      <c r="N22" s="3">
        <v>59310</v>
      </c>
      <c r="O22" t="s">
        <v>95</v>
      </c>
      <c r="P22" s="57">
        <v>1625</v>
      </c>
      <c r="Q22" s="56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104</v>
      </c>
      <c r="B23" s="21">
        <v>46120</v>
      </c>
      <c r="C23" t="s">
        <v>32</v>
      </c>
      <c r="D23" t="s">
        <v>105</v>
      </c>
      <c r="E23" t="s">
        <v>34</v>
      </c>
      <c r="F23" t="s">
        <v>35</v>
      </c>
      <c r="H23" s="20" t="s">
        <v>106</v>
      </c>
      <c r="I23" t="s">
        <v>65</v>
      </c>
      <c r="J23" s="29">
        <v>200</v>
      </c>
      <c r="K23" s="22">
        <f>IF(I23="","",IF(I23="ENTRADA",ABS(J23),-ABS(J23)))</f>
        <v>-200</v>
      </c>
      <c r="L23" t="s">
        <v>37</v>
      </c>
      <c r="M23" s="21"/>
      <c r="N23" s="3">
        <v>59310</v>
      </c>
      <c r="O23" t="s">
        <v>95</v>
      </c>
      <c r="P23" s="57">
        <v>1625</v>
      </c>
      <c r="Q23" s="56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107</v>
      </c>
      <c r="B24" s="21">
        <v>46122</v>
      </c>
      <c r="C24" t="s">
        <v>108</v>
      </c>
      <c r="D24" t="s">
        <v>109</v>
      </c>
      <c r="E24" t="s">
        <v>25</v>
      </c>
      <c r="F24" t="s">
        <v>26</v>
      </c>
      <c r="G24" t="s">
        <v>27</v>
      </c>
      <c r="H24" s="20" t="str">
        <f>+T24</f>
        <v>260410-023</v>
      </c>
      <c r="I24" t="s">
        <v>28</v>
      </c>
      <c r="J24" s="29">
        <v>2860</v>
      </c>
      <c r="K24" s="22">
        <f>IF(I24="","",IF(I24="ENTRADA",ABS(J24),-ABS(J24)))</f>
        <v>2860</v>
      </c>
      <c r="L24" t="s">
        <v>29</v>
      </c>
      <c r="M24" s="21"/>
      <c r="N24" s="3">
        <v>47418</v>
      </c>
      <c r="P24" s="57">
        <v>14331</v>
      </c>
      <c r="Q24" s="56" t="s">
        <v>110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111</v>
      </c>
      <c r="B25" s="21">
        <v>46122</v>
      </c>
      <c r="C25" t="s">
        <v>112</v>
      </c>
      <c r="D25" t="s">
        <v>113</v>
      </c>
      <c r="E25" t="s">
        <v>25</v>
      </c>
      <c r="F25" t="s">
        <v>26</v>
      </c>
      <c r="G25" t="s">
        <v>27</v>
      </c>
      <c r="H25" s="20" t="str">
        <f>+T25</f>
        <v>260410-024</v>
      </c>
      <c r="I25" t="s">
        <v>28</v>
      </c>
      <c r="J25" s="29">
        <v>200</v>
      </c>
      <c r="K25" s="22">
        <f>IF(I25="","",IF(I25="ENTRADA",ABS(J25),-ABS(J25)))</f>
        <v>200</v>
      </c>
      <c r="L25" t="s">
        <v>29</v>
      </c>
      <c r="M25" s="21"/>
      <c r="N25" s="3">
        <v>47413</v>
      </c>
      <c r="P25" s="59">
        <v>14330</v>
      </c>
      <c r="Q25" s="56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114</v>
      </c>
      <c r="B26" s="21">
        <v>46122</v>
      </c>
      <c r="C26" t="s">
        <v>115</v>
      </c>
      <c r="D26" t="s">
        <v>116</v>
      </c>
      <c r="E26" t="s">
        <v>34</v>
      </c>
      <c r="F26" t="s">
        <v>35</v>
      </c>
      <c r="G26" t="s">
        <v>117</v>
      </c>
      <c r="H26" s="20" t="str">
        <f>+T26</f>
        <v>260410-025</v>
      </c>
      <c r="I26" t="s">
        <v>28</v>
      </c>
      <c r="J26" s="29">
        <v>21120</v>
      </c>
      <c r="K26" s="22">
        <f>IF(I26="","",IF(I26="ENTRADA",ABS(J26),-ABS(J26)))</f>
        <v>21120</v>
      </c>
      <c r="L26" t="s">
        <v>37</v>
      </c>
      <c r="M26" s="21">
        <v>46692</v>
      </c>
      <c r="N26" s="3">
        <v>48776</v>
      </c>
      <c r="P26" s="57">
        <v>14328</v>
      </c>
      <c r="Q26" s="56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118</v>
      </c>
    </row>
    <row r="27" spans="1:21">
      <c r="A27" s="20" t="s">
        <v>119</v>
      </c>
      <c r="B27" s="21">
        <v>46122</v>
      </c>
      <c r="C27" t="s">
        <v>115</v>
      </c>
      <c r="D27" t="s">
        <v>116</v>
      </c>
      <c r="E27" t="s">
        <v>34</v>
      </c>
      <c r="F27" t="s">
        <v>35</v>
      </c>
      <c r="G27" t="s">
        <v>117</v>
      </c>
      <c r="H27" s="20" t="s">
        <v>120</v>
      </c>
      <c r="I27" t="s">
        <v>28</v>
      </c>
      <c r="J27" s="29">
        <v>2880</v>
      </c>
      <c r="K27" s="22">
        <f>IF(I27="","",IF(I27="ENTRADA",ABS(J27),-ABS(J27)))</f>
        <v>2880</v>
      </c>
      <c r="L27" t="s">
        <v>37</v>
      </c>
      <c r="M27" s="21">
        <v>46692</v>
      </c>
      <c r="N27" s="3">
        <v>48786</v>
      </c>
      <c r="P27" s="57">
        <v>14329</v>
      </c>
      <c r="Q27" s="56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118</v>
      </c>
    </row>
    <row r="28" spans="1:21">
      <c r="A28" s="20" t="s">
        <v>121</v>
      </c>
      <c r="B28" s="21">
        <v>46122</v>
      </c>
      <c r="C28" t="s">
        <v>122</v>
      </c>
      <c r="D28" t="s">
        <v>123</v>
      </c>
      <c r="E28" t="s">
        <v>34</v>
      </c>
      <c r="F28" t="s">
        <v>35</v>
      </c>
      <c r="G28" t="s">
        <v>117</v>
      </c>
      <c r="H28" s="20" t="str">
        <f>+T28</f>
        <v>260410-027</v>
      </c>
      <c r="I28" t="s">
        <v>28</v>
      </c>
      <c r="J28" s="29">
        <v>17940</v>
      </c>
      <c r="K28" s="22">
        <f>IF(I28="","",IF(I28="ENTRADA",ABS(J28),-ABS(J28)))</f>
        <v>17940</v>
      </c>
      <c r="L28" t="s">
        <v>37</v>
      </c>
      <c r="M28" s="21">
        <v>46753</v>
      </c>
      <c r="N28" s="3">
        <v>48786</v>
      </c>
      <c r="P28" s="57">
        <v>14329</v>
      </c>
      <c r="Q28" s="56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124</v>
      </c>
    </row>
    <row r="29" spans="1:21">
      <c r="A29" s="20" t="s">
        <v>125</v>
      </c>
      <c r="B29" s="32">
        <v>46122</v>
      </c>
      <c r="C29" s="34" t="s">
        <v>126</v>
      </c>
      <c r="D29" s="34" t="s">
        <v>127</v>
      </c>
      <c r="E29" s="34" t="s">
        <v>25</v>
      </c>
      <c r="F29" s="34" t="s">
        <v>128</v>
      </c>
      <c r="G29" s="34"/>
      <c r="H29" s="20" t="str">
        <f>+T29</f>
        <v>260410-078</v>
      </c>
      <c r="I29" s="34" t="s">
        <v>28</v>
      </c>
      <c r="J29" s="39">
        <v>30000</v>
      </c>
      <c r="K29" s="22">
        <f>IF(I29="","",IF(I29="ENTRADA",ABS(J29),-ABS(J29)))</f>
        <v>30000</v>
      </c>
      <c r="L29" s="34" t="s">
        <v>29</v>
      </c>
      <c r="M29" s="4"/>
      <c r="N29" s="40">
        <v>59237</v>
      </c>
      <c r="O29" s="34" t="s">
        <v>95</v>
      </c>
      <c r="P29" s="45"/>
      <c r="Q29" s="56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129</v>
      </c>
      <c r="B30" s="21">
        <v>46126</v>
      </c>
      <c r="C30" t="s">
        <v>130</v>
      </c>
      <c r="D30" s="33" t="s">
        <v>131</v>
      </c>
      <c r="E30" t="s">
        <v>132</v>
      </c>
      <c r="F30" s="33"/>
      <c r="G30" t="s">
        <v>133</v>
      </c>
      <c r="H30" s="20" t="str">
        <f>+T30</f>
        <v>260414-028</v>
      </c>
      <c r="I30" s="33" t="s">
        <v>28</v>
      </c>
      <c r="J30" s="29">
        <v>1000</v>
      </c>
      <c r="K30" s="22">
        <f>IF(I30="","",IF(I30="ENTRADA",ABS(J30),-ABS(J30)))</f>
        <v>1000</v>
      </c>
      <c r="L30" s="33" t="s">
        <v>37</v>
      </c>
      <c r="M30" s="21">
        <v>46661</v>
      </c>
      <c r="N30" s="20">
        <v>390</v>
      </c>
      <c r="O30" s="33"/>
      <c r="P30" s="57">
        <v>14339</v>
      </c>
      <c r="Q30" s="56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134</v>
      </c>
    </row>
    <row r="31" spans="1:21">
      <c r="A31" s="20" t="s">
        <v>135</v>
      </c>
      <c r="B31" s="32">
        <v>46126</v>
      </c>
      <c r="C31" t="s">
        <v>130</v>
      </c>
      <c r="D31" s="4" t="s">
        <v>131</v>
      </c>
      <c r="E31" t="s">
        <v>132</v>
      </c>
      <c r="F31" s="4"/>
      <c r="G31" t="s">
        <v>133</v>
      </c>
      <c r="H31" s="20" t="str">
        <f>+T31</f>
        <v>260414-029</v>
      </c>
      <c r="I31" s="4" t="s">
        <v>28</v>
      </c>
      <c r="J31" s="29">
        <v>5000</v>
      </c>
      <c r="K31" s="22">
        <f>IF(I31="","",IF(I31="ENTRADA",ABS(J31),-ABS(J31)))</f>
        <v>5000</v>
      </c>
      <c r="L31" s="4" t="s">
        <v>37</v>
      </c>
      <c r="M31" s="32">
        <v>46813</v>
      </c>
      <c r="N31" s="4">
        <v>390</v>
      </c>
      <c r="O31" s="4"/>
      <c r="P31" s="57">
        <v>14339</v>
      </c>
      <c r="Q31" s="56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134</v>
      </c>
    </row>
    <row r="32" spans="1:21">
      <c r="A32" s="20" t="s">
        <v>136</v>
      </c>
      <c r="B32" s="32">
        <v>46126</v>
      </c>
      <c r="C32" t="s">
        <v>137</v>
      </c>
      <c r="D32" s="4" t="s">
        <v>138</v>
      </c>
      <c r="E32" t="s">
        <v>132</v>
      </c>
      <c r="F32" s="4"/>
      <c r="G32" t="s">
        <v>133</v>
      </c>
      <c r="H32" s="20" t="str">
        <f>+T32</f>
        <v>260414-030</v>
      </c>
      <c r="I32" s="4" t="s">
        <v>28</v>
      </c>
      <c r="J32" s="29">
        <v>1200</v>
      </c>
      <c r="K32" s="22">
        <f>IF(I32="","",IF(I32="ENTRADA",ABS(J32),-ABS(J32)))</f>
        <v>1200</v>
      </c>
      <c r="L32" s="4" t="s">
        <v>37</v>
      </c>
      <c r="M32" s="32">
        <v>46661</v>
      </c>
      <c r="N32" s="4">
        <v>390</v>
      </c>
      <c r="O32" s="4"/>
      <c r="P32" s="57">
        <v>14339</v>
      </c>
      <c r="Q32" s="56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139</v>
      </c>
    </row>
    <row r="33" spans="1:21">
      <c r="A33" s="20" t="s">
        <v>140</v>
      </c>
      <c r="B33" s="32">
        <v>46126</v>
      </c>
      <c r="C33" t="s">
        <v>141</v>
      </c>
      <c r="D33" s="4" t="s">
        <v>142</v>
      </c>
      <c r="E33" t="s">
        <v>132</v>
      </c>
      <c r="F33" s="4"/>
      <c r="G33" t="s">
        <v>133</v>
      </c>
      <c r="H33" s="20" t="str">
        <f>+T33</f>
        <v>260414-031</v>
      </c>
      <c r="I33" s="4" t="s">
        <v>28</v>
      </c>
      <c r="J33" s="29">
        <v>195</v>
      </c>
      <c r="K33" s="22">
        <f>IF(I33="","",IF(I33="ENTRADA",ABS(J33),-ABS(J33)))</f>
        <v>195</v>
      </c>
      <c r="L33" s="4" t="s">
        <v>37</v>
      </c>
      <c r="M33" s="32">
        <v>46388</v>
      </c>
      <c r="N33" s="4">
        <v>390</v>
      </c>
      <c r="O33" s="4"/>
      <c r="P33" s="57">
        <v>14339</v>
      </c>
      <c r="Q33" s="56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143</v>
      </c>
    </row>
    <row r="34" spans="1:21">
      <c r="A34" s="20" t="s">
        <v>144</v>
      </c>
      <c r="B34" s="32">
        <v>46126</v>
      </c>
      <c r="C34" s="4" t="s">
        <v>126</v>
      </c>
      <c r="D34" s="4" t="s">
        <v>127</v>
      </c>
      <c r="E34" s="4" t="s">
        <v>25</v>
      </c>
      <c r="F34" s="4" t="s">
        <v>128</v>
      </c>
      <c r="G34" s="4"/>
      <c r="H34" s="20" t="s">
        <v>145</v>
      </c>
      <c r="I34" s="4" t="s">
        <v>28</v>
      </c>
      <c r="J34" s="39">
        <v>30000</v>
      </c>
      <c r="K34" s="22">
        <f>IF(I34="","",IF(I34="ENTRADA",ABS(J34),-ABS(J34)))</f>
        <v>30000</v>
      </c>
      <c r="L34" s="4" t="s">
        <v>29</v>
      </c>
      <c r="M34" s="4"/>
      <c r="N34" s="4">
        <v>59238</v>
      </c>
      <c r="O34" s="4" t="s">
        <v>95</v>
      </c>
      <c r="P34" s="45"/>
      <c r="Q34" s="56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146</v>
      </c>
      <c r="B35" s="32">
        <v>46127</v>
      </c>
      <c r="C35" s="33" t="s">
        <v>147</v>
      </c>
      <c r="D35" s="4" t="s">
        <v>148</v>
      </c>
      <c r="E35" s="33" t="s">
        <v>34</v>
      </c>
      <c r="F35" s="4" t="s">
        <v>35</v>
      </c>
      <c r="G35" s="33" t="s">
        <v>36</v>
      </c>
      <c r="H35" s="20" t="str">
        <f>+T35</f>
        <v>260415-032</v>
      </c>
      <c r="I35" s="4" t="s">
        <v>28</v>
      </c>
      <c r="J35" s="29">
        <v>2000</v>
      </c>
      <c r="K35" s="22">
        <f>IF(I35="","",IF(I35="ENTRADA",ABS(J35),-ABS(J35)))</f>
        <v>2000</v>
      </c>
      <c r="L35" s="4" t="s">
        <v>37</v>
      </c>
      <c r="M35" s="32">
        <v>46419</v>
      </c>
      <c r="N35" s="4">
        <v>12482</v>
      </c>
      <c r="O35" s="4"/>
      <c r="P35" s="57">
        <v>14340</v>
      </c>
      <c r="Q35" s="56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149</v>
      </c>
    </row>
    <row r="36" spans="1:21">
      <c r="A36" s="20" t="s">
        <v>150</v>
      </c>
      <c r="B36" s="32">
        <v>46127</v>
      </c>
      <c r="C36" s="4" t="s">
        <v>80</v>
      </c>
      <c r="D36" s="4" t="s">
        <v>81</v>
      </c>
      <c r="E36" s="4" t="s">
        <v>25</v>
      </c>
      <c r="F36" s="4" t="s">
        <v>82</v>
      </c>
      <c r="G36" s="4" t="s">
        <v>83</v>
      </c>
      <c r="H36" s="20" t="s">
        <v>151</v>
      </c>
      <c r="I36" s="4" t="s">
        <v>65</v>
      </c>
      <c r="J36" s="29">
        <v>1250</v>
      </c>
      <c r="K36" s="22">
        <f>IF(I36="","",IF(I36="ENTRADA",ABS(J36),-ABS(J36)))</f>
        <v>-1250</v>
      </c>
      <c r="L36" s="4" t="s">
        <v>29</v>
      </c>
      <c r="M36" s="4"/>
      <c r="N36" s="4">
        <v>59311</v>
      </c>
      <c r="O36" s="4" t="s">
        <v>152</v>
      </c>
      <c r="P36" s="57">
        <v>1628</v>
      </c>
      <c r="Q36" s="56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153</v>
      </c>
      <c r="B37" s="32">
        <v>46128</v>
      </c>
      <c r="C37" s="4" t="s">
        <v>70</v>
      </c>
      <c r="D37" s="4" t="s">
        <v>71</v>
      </c>
      <c r="E37" s="4" t="s">
        <v>70</v>
      </c>
      <c r="F37" s="4"/>
      <c r="G37" s="4" t="s">
        <v>72</v>
      </c>
      <c r="H37" s="20" t="s">
        <v>154</v>
      </c>
      <c r="I37" s="4" t="s">
        <v>28</v>
      </c>
      <c r="J37" s="29">
        <v>30</v>
      </c>
      <c r="K37" s="22">
        <f>IF(I37="","",IF(I37="ENTRADA",ABS(J37),-ABS(J37)))</f>
        <v>30</v>
      </c>
      <c r="L37" s="4" t="s">
        <v>73</v>
      </c>
      <c r="M37" s="4"/>
      <c r="N37" s="4">
        <v>3160</v>
      </c>
      <c r="O37" s="4"/>
      <c r="P37" s="57">
        <v>14365</v>
      </c>
      <c r="Q37" s="56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155</v>
      </c>
      <c r="B38" s="32">
        <v>46128</v>
      </c>
      <c r="C38" s="4" t="s">
        <v>156</v>
      </c>
      <c r="D38" s="4" t="s">
        <v>157</v>
      </c>
      <c r="E38" s="4" t="s">
        <v>25</v>
      </c>
      <c r="F38" s="4" t="s">
        <v>26</v>
      </c>
      <c r="G38" s="4" t="s">
        <v>158</v>
      </c>
      <c r="H38" s="20" t="str">
        <f>+T38</f>
        <v>260416-035</v>
      </c>
      <c r="I38" s="4" t="s">
        <v>28</v>
      </c>
      <c r="J38" s="29">
        <v>3200</v>
      </c>
      <c r="K38" s="22">
        <f>IF(I38="","",IF(I38="ENTRADA",ABS(J38),-ABS(J38)))</f>
        <v>3200</v>
      </c>
      <c r="L38" s="4" t="s">
        <v>29</v>
      </c>
      <c r="M38" s="4"/>
      <c r="N38" s="4">
        <v>30271</v>
      </c>
      <c r="O38" s="4"/>
      <c r="P38" s="57">
        <v>14363</v>
      </c>
      <c r="Q38" s="56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159</v>
      </c>
      <c r="B39" s="32">
        <v>46128</v>
      </c>
      <c r="C39" s="4" t="s">
        <v>160</v>
      </c>
      <c r="D39" s="4" t="s">
        <v>161</v>
      </c>
      <c r="E39" s="4" t="s">
        <v>25</v>
      </c>
      <c r="F39" s="4" t="s">
        <v>26</v>
      </c>
      <c r="G39" s="4" t="s">
        <v>158</v>
      </c>
      <c r="H39" s="20" t="str">
        <f>+T39</f>
        <v>260416-036</v>
      </c>
      <c r="I39" s="4" t="s">
        <v>28</v>
      </c>
      <c r="J39" s="29">
        <v>1520</v>
      </c>
      <c r="K39" s="22">
        <f>IF(I39="","",IF(I39="ENTRADA",ABS(J39),-ABS(J39)))</f>
        <v>1520</v>
      </c>
      <c r="L39" s="4" t="s">
        <v>29</v>
      </c>
      <c r="M39" s="4"/>
      <c r="N39" s="4">
        <v>30279</v>
      </c>
      <c r="O39" s="4"/>
      <c r="P39" s="57">
        <v>14364</v>
      </c>
      <c r="Q39" s="56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162</v>
      </c>
    </row>
    <row r="40" spans="1:21">
      <c r="A40" s="20" t="s">
        <v>163</v>
      </c>
      <c r="B40" s="43">
        <v>46129</v>
      </c>
      <c r="C40" s="4" t="s">
        <v>164</v>
      </c>
      <c r="D40" s="4" t="s">
        <v>164</v>
      </c>
      <c r="E40" s="4" t="s">
        <v>25</v>
      </c>
      <c r="F40" s="4" t="s">
        <v>165</v>
      </c>
      <c r="G40" s="4" t="s">
        <v>166</v>
      </c>
      <c r="H40" s="20" t="str">
        <f>+T40</f>
        <v>260417-037</v>
      </c>
      <c r="I40" s="4" t="s">
        <v>28</v>
      </c>
      <c r="J40" s="29">
        <v>3400</v>
      </c>
      <c r="K40" s="22">
        <f>IF(I40="","",IF(I40="ENTRADA",ABS(J40),-ABS(J40)))</f>
        <v>3400</v>
      </c>
      <c r="L40" s="4" t="s">
        <v>29</v>
      </c>
      <c r="M40" s="4"/>
      <c r="N40" s="4">
        <v>94518</v>
      </c>
      <c r="O40" s="4"/>
      <c r="P40" s="57">
        <v>14410</v>
      </c>
      <c r="Q40" s="56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167</v>
      </c>
      <c r="B41" s="32">
        <v>46129</v>
      </c>
      <c r="C41" s="4" t="s">
        <v>168</v>
      </c>
      <c r="D41" s="4" t="s">
        <v>169</v>
      </c>
      <c r="E41" s="4" t="s">
        <v>25</v>
      </c>
      <c r="F41" s="4" t="s">
        <v>170</v>
      </c>
      <c r="G41" s="4" t="s">
        <v>166</v>
      </c>
      <c r="H41" s="20" t="str">
        <f>+T41</f>
        <v>260417-038</v>
      </c>
      <c r="I41" s="4" t="s">
        <v>28</v>
      </c>
      <c r="J41" s="29">
        <v>375</v>
      </c>
      <c r="K41" s="22">
        <f>IF(I41="","",IF(I41="ENTRADA",ABS(J41),-ABS(J41)))</f>
        <v>375</v>
      </c>
      <c r="L41" s="4" t="s">
        <v>29</v>
      </c>
      <c r="M41" s="4"/>
      <c r="N41" s="4">
        <v>94518</v>
      </c>
      <c r="O41" s="4"/>
      <c r="P41" s="57">
        <v>14410</v>
      </c>
      <c r="Q41" s="56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171</v>
      </c>
      <c r="B42" s="32">
        <v>46129</v>
      </c>
      <c r="C42" s="4" t="s">
        <v>172</v>
      </c>
      <c r="D42" s="4" t="s">
        <v>173</v>
      </c>
      <c r="E42" s="4" t="s">
        <v>25</v>
      </c>
      <c r="F42" s="4" t="s">
        <v>174</v>
      </c>
      <c r="G42" s="4" t="s">
        <v>166</v>
      </c>
      <c r="H42" s="20" t="str">
        <f>+T42</f>
        <v>260417-039</v>
      </c>
      <c r="I42" s="4" t="s">
        <v>28</v>
      </c>
      <c r="J42" s="29">
        <v>750</v>
      </c>
      <c r="K42" s="22">
        <f>IF(I42="","",IF(I42="ENTRADA",ABS(J42),-ABS(J42)))</f>
        <v>750</v>
      </c>
      <c r="L42" s="4" t="s">
        <v>29</v>
      </c>
      <c r="M42" s="4"/>
      <c r="N42" s="4">
        <v>94518</v>
      </c>
      <c r="O42" s="4"/>
      <c r="P42" s="57">
        <v>14410</v>
      </c>
      <c r="Q42" s="56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175</v>
      </c>
      <c r="B43" s="32">
        <v>46129</v>
      </c>
      <c r="C43" s="4" t="s">
        <v>156</v>
      </c>
      <c r="D43" s="4" t="s">
        <v>157</v>
      </c>
      <c r="E43" s="4" t="s">
        <v>25</v>
      </c>
      <c r="F43" s="4" t="s">
        <v>26</v>
      </c>
      <c r="G43" s="4" t="s">
        <v>176</v>
      </c>
      <c r="H43" s="20" t="str">
        <f>+T43</f>
        <v>260417-040</v>
      </c>
      <c r="I43" s="4" t="s">
        <v>28</v>
      </c>
      <c r="J43" s="29">
        <v>1600</v>
      </c>
      <c r="K43" s="22">
        <f>IF(I43="","",IF(I43="ENTRADA",ABS(J43),-ABS(J43)))</f>
        <v>1600</v>
      </c>
      <c r="L43" s="4" t="s">
        <v>29</v>
      </c>
      <c r="M43" s="4"/>
      <c r="N43" s="4">
        <v>6868</v>
      </c>
      <c r="O43" s="4"/>
      <c r="P43" s="57">
        <v>14482</v>
      </c>
      <c r="Q43" s="56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177</v>
      </c>
      <c r="B44" s="43">
        <v>46129</v>
      </c>
      <c r="C44" s="4" t="s">
        <v>178</v>
      </c>
      <c r="D44" s="4" t="s">
        <v>179</v>
      </c>
      <c r="E44" s="4" t="s">
        <v>25</v>
      </c>
      <c r="F44" s="4" t="s">
        <v>165</v>
      </c>
      <c r="G44" s="4" t="s">
        <v>180</v>
      </c>
      <c r="H44" s="20" t="str">
        <f>+T44</f>
        <v>260417-041</v>
      </c>
      <c r="I44" s="4" t="s">
        <v>28</v>
      </c>
      <c r="J44" s="29">
        <v>6800</v>
      </c>
      <c r="K44" s="22">
        <f>IF(I44="","",IF(I44="ENTRADA",ABS(J44),-ABS(J44)))</f>
        <v>6800</v>
      </c>
      <c r="L44" s="4" t="s">
        <v>29</v>
      </c>
      <c r="M44" s="4"/>
      <c r="N44" s="4">
        <v>7485</v>
      </c>
      <c r="O44" s="4"/>
      <c r="P44" s="57">
        <v>14402</v>
      </c>
      <c r="Q44" s="56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181</v>
      </c>
      <c r="B45" s="32">
        <v>46129</v>
      </c>
      <c r="C45" s="4" t="s">
        <v>182</v>
      </c>
      <c r="D45" s="4" t="s">
        <v>183</v>
      </c>
      <c r="E45" s="4" t="s">
        <v>25</v>
      </c>
      <c r="F45" s="4" t="s">
        <v>184</v>
      </c>
      <c r="G45" s="4" t="s">
        <v>180</v>
      </c>
      <c r="H45" s="20" t="str">
        <f>+T45</f>
        <v>260417-042</v>
      </c>
      <c r="I45" s="4" t="s">
        <v>28</v>
      </c>
      <c r="J45" s="29">
        <v>975</v>
      </c>
      <c r="K45" s="22">
        <f>IF(I45="","",IF(I45="ENTRADA",ABS(J45),-ABS(J45)))</f>
        <v>975</v>
      </c>
      <c r="L45" s="4" t="s">
        <v>29</v>
      </c>
      <c r="M45" s="4"/>
      <c r="N45" s="4">
        <v>7485</v>
      </c>
      <c r="O45" s="4"/>
      <c r="P45" s="57">
        <v>14402</v>
      </c>
      <c r="Q45" s="56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185</v>
      </c>
      <c r="B46" s="32">
        <v>46129</v>
      </c>
      <c r="C46" s="4" t="s">
        <v>186</v>
      </c>
      <c r="D46" s="4" t="s">
        <v>187</v>
      </c>
      <c r="E46" s="4" t="s">
        <v>25</v>
      </c>
      <c r="F46" s="4" t="s">
        <v>188</v>
      </c>
      <c r="G46" s="4" t="s">
        <v>180</v>
      </c>
      <c r="H46" s="20" t="str">
        <f>+T46</f>
        <v>260417-043</v>
      </c>
      <c r="I46" s="4" t="s">
        <v>28</v>
      </c>
      <c r="J46" s="29">
        <v>1375</v>
      </c>
      <c r="K46" s="22">
        <f>IF(I46="","",IF(I46="ENTRADA",ABS(J46),-ABS(J46)))</f>
        <v>1375</v>
      </c>
      <c r="L46" s="4" t="s">
        <v>29</v>
      </c>
      <c r="M46" s="4"/>
      <c r="N46" s="4">
        <v>7485</v>
      </c>
      <c r="O46" s="4"/>
      <c r="P46" s="57">
        <v>14402</v>
      </c>
      <c r="Q46" s="56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189</v>
      </c>
      <c r="B47" s="32">
        <v>46129</v>
      </c>
      <c r="C47" s="4" t="s">
        <v>190</v>
      </c>
      <c r="D47" s="4" t="s">
        <v>191</v>
      </c>
      <c r="E47" s="4" t="s">
        <v>25</v>
      </c>
      <c r="F47" s="4" t="s">
        <v>192</v>
      </c>
      <c r="G47" s="4" t="s">
        <v>180</v>
      </c>
      <c r="H47" s="20" t="str">
        <f>+T47</f>
        <v>260417-044</v>
      </c>
      <c r="I47" s="4" t="s">
        <v>28</v>
      </c>
      <c r="J47" s="28">
        <v>450</v>
      </c>
      <c r="K47" s="22">
        <f>IF(I47="","",IF(I47="ENTRADA",ABS(J47),-ABS(J47)))</f>
        <v>450</v>
      </c>
      <c r="L47" s="4" t="s">
        <v>29</v>
      </c>
      <c r="M47" s="4"/>
      <c r="N47" s="4">
        <v>7485</v>
      </c>
      <c r="O47" s="4"/>
      <c r="P47" s="57">
        <v>14402</v>
      </c>
      <c r="Q47" s="56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193</v>
      </c>
      <c r="B48" s="32">
        <v>46129</v>
      </c>
      <c r="C48" s="4" t="s">
        <v>194</v>
      </c>
      <c r="D48" s="4" t="s">
        <v>194</v>
      </c>
      <c r="E48" s="4" t="s">
        <v>25</v>
      </c>
      <c r="F48" s="4" t="s">
        <v>195</v>
      </c>
      <c r="G48" s="4" t="s">
        <v>180</v>
      </c>
      <c r="H48" s="20" t="str">
        <f>+T48</f>
        <v>260417-045</v>
      </c>
      <c r="I48" s="4" t="s">
        <v>28</v>
      </c>
      <c r="J48" s="28">
        <v>275</v>
      </c>
      <c r="K48" s="22">
        <f>IF(I48="","",IF(I48="ENTRADA",ABS(J48),-ABS(J48)))</f>
        <v>275</v>
      </c>
      <c r="L48" s="4" t="s">
        <v>29</v>
      </c>
      <c r="M48" s="4"/>
      <c r="N48" s="4">
        <v>7485</v>
      </c>
      <c r="O48" s="4"/>
      <c r="P48" s="57">
        <v>14402</v>
      </c>
      <c r="Q48" s="56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196</v>
      </c>
      <c r="B49" s="32">
        <v>46129</v>
      </c>
      <c r="C49" s="4" t="s">
        <v>115</v>
      </c>
      <c r="D49" s="4" t="s">
        <v>116</v>
      </c>
      <c r="E49" s="4" t="s">
        <v>34</v>
      </c>
      <c r="F49" s="4" t="s">
        <v>35</v>
      </c>
      <c r="G49" s="4" t="s">
        <v>117</v>
      </c>
      <c r="H49" s="20" t="s">
        <v>120</v>
      </c>
      <c r="I49" s="4" t="s">
        <v>28</v>
      </c>
      <c r="J49" s="31">
        <v>21120</v>
      </c>
      <c r="K49" s="22">
        <f>IF(I49="","",IF(I49="ENTRADA",ABS(J49),-ABS(J49)))</f>
        <v>21120</v>
      </c>
      <c r="L49" s="4" t="s">
        <v>37</v>
      </c>
      <c r="M49" s="32">
        <v>46692</v>
      </c>
      <c r="N49" s="4">
        <v>48800</v>
      </c>
      <c r="O49" s="4"/>
      <c r="P49" s="45">
        <v>14366</v>
      </c>
      <c r="Q49" s="56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197</v>
      </c>
      <c r="B50" s="32">
        <v>46132</v>
      </c>
      <c r="C50" s="4" t="s">
        <v>23</v>
      </c>
      <c r="D50" s="4" t="s">
        <v>24</v>
      </c>
      <c r="E50" s="4" t="s">
        <v>25</v>
      </c>
      <c r="F50" s="4" t="s">
        <v>26</v>
      </c>
      <c r="G50" s="4" t="s">
        <v>27</v>
      </c>
      <c r="H50" s="20" t="s">
        <v>198</v>
      </c>
      <c r="I50" s="4" t="s">
        <v>65</v>
      </c>
      <c r="J50" s="31">
        <v>1200</v>
      </c>
      <c r="K50" s="22">
        <f>IF(I50="","",IF(I50="ENTRADA",ABS(J50),-ABS(J50)))</f>
        <v>-1200</v>
      </c>
      <c r="L50" s="4" t="s">
        <v>29</v>
      </c>
      <c r="M50" s="4"/>
      <c r="N50" s="4">
        <v>59312</v>
      </c>
      <c r="O50" s="4" t="s">
        <v>152</v>
      </c>
      <c r="P50" s="45">
        <v>1638</v>
      </c>
      <c r="Q50" s="56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199</v>
      </c>
      <c r="B51" s="32">
        <v>46132</v>
      </c>
      <c r="C51" s="4" t="s">
        <v>80</v>
      </c>
      <c r="D51" s="4" t="s">
        <v>81</v>
      </c>
      <c r="E51" s="4" t="s">
        <v>25</v>
      </c>
      <c r="F51" s="4" t="s">
        <v>82</v>
      </c>
      <c r="G51" s="4" t="s">
        <v>83</v>
      </c>
      <c r="H51" s="20" t="s">
        <v>151</v>
      </c>
      <c r="I51" s="4" t="s">
        <v>65</v>
      </c>
      <c r="J51" s="31">
        <v>625</v>
      </c>
      <c r="K51" s="22">
        <f>IF(I51="","",IF(I51="ENTRADA",ABS(J51),-ABS(J51)))</f>
        <v>-625</v>
      </c>
      <c r="L51" s="4" t="s">
        <v>29</v>
      </c>
      <c r="M51" s="4"/>
      <c r="N51" s="4">
        <v>59312</v>
      </c>
      <c r="O51" s="4" t="s">
        <v>152</v>
      </c>
      <c r="P51" s="45">
        <v>1638</v>
      </c>
      <c r="Q51" s="56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200</v>
      </c>
      <c r="B52" s="32">
        <v>46132</v>
      </c>
      <c r="C52" s="4" t="s">
        <v>115</v>
      </c>
      <c r="D52" s="4" t="s">
        <v>116</v>
      </c>
      <c r="E52" s="4" t="s">
        <v>34</v>
      </c>
      <c r="F52" s="4" t="s">
        <v>35</v>
      </c>
      <c r="G52" s="4" t="s">
        <v>117</v>
      </c>
      <c r="H52" s="20" t="s">
        <v>120</v>
      </c>
      <c r="I52" s="4" t="s">
        <v>65</v>
      </c>
      <c r="J52" s="31">
        <v>340</v>
      </c>
      <c r="K52" s="22">
        <f>IF(I52="","",IF(I52="ENTRADA",ABS(J52),-ABS(J52)))</f>
        <v>-340</v>
      </c>
      <c r="L52" s="4" t="s">
        <v>37</v>
      </c>
      <c r="M52" s="4"/>
      <c r="N52" s="4">
        <v>59313</v>
      </c>
      <c r="O52" s="4" t="s">
        <v>201</v>
      </c>
      <c r="P52" s="45">
        <v>1637</v>
      </c>
      <c r="Q52" s="56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202</v>
      </c>
      <c r="B53" s="32">
        <v>46132</v>
      </c>
      <c r="C53" s="4" t="s">
        <v>122</v>
      </c>
      <c r="D53" s="4" t="s">
        <v>123</v>
      </c>
      <c r="E53" s="4" t="s">
        <v>34</v>
      </c>
      <c r="F53" s="4" t="s">
        <v>35</v>
      </c>
      <c r="G53" s="4" t="s">
        <v>117</v>
      </c>
      <c r="H53" s="20" t="s">
        <v>203</v>
      </c>
      <c r="I53" s="4" t="s">
        <v>65</v>
      </c>
      <c r="J53" s="31">
        <v>100</v>
      </c>
      <c r="K53" s="22">
        <f>IF(I53="","",IF(I53="ENTRADA",ABS(J53),-ABS(J53)))</f>
        <v>-100</v>
      </c>
      <c r="L53" s="4" t="s">
        <v>37</v>
      </c>
      <c r="M53" s="4"/>
      <c r="N53" s="4">
        <v>59313</v>
      </c>
      <c r="O53" s="4" t="s">
        <v>201</v>
      </c>
      <c r="P53" s="45">
        <v>1637</v>
      </c>
      <c r="Q53" s="56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204</v>
      </c>
      <c r="B54" s="32">
        <v>46132</v>
      </c>
      <c r="C54" s="4" t="s">
        <v>86</v>
      </c>
      <c r="D54" s="4" t="s">
        <v>87</v>
      </c>
      <c r="E54" s="4" t="s">
        <v>34</v>
      </c>
      <c r="F54" s="4" t="s">
        <v>35</v>
      </c>
      <c r="G54" s="4" t="s">
        <v>36</v>
      </c>
      <c r="H54" s="20" t="s">
        <v>100</v>
      </c>
      <c r="I54" s="4" t="s">
        <v>65</v>
      </c>
      <c r="J54" s="31">
        <v>40</v>
      </c>
      <c r="K54" s="22">
        <f>IF(I54="","",IF(I54="ENTRADA",ABS(J54),-ABS(J54)))</f>
        <v>-40</v>
      </c>
      <c r="L54" s="4" t="s">
        <v>37</v>
      </c>
      <c r="M54" s="4"/>
      <c r="N54" s="4">
        <v>59313</v>
      </c>
      <c r="O54" s="4" t="s">
        <v>201</v>
      </c>
      <c r="P54" s="45">
        <v>1637</v>
      </c>
      <c r="Q54" s="56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205</v>
      </c>
      <c r="B55" s="32">
        <v>46132</v>
      </c>
      <c r="C55" s="4" t="s">
        <v>70</v>
      </c>
      <c r="D55" s="4" t="s">
        <v>71</v>
      </c>
      <c r="E55" s="4" t="s">
        <v>70</v>
      </c>
      <c r="F55" s="4"/>
      <c r="G55" s="4" t="s">
        <v>72</v>
      </c>
      <c r="H55" s="20" t="s">
        <v>154</v>
      </c>
      <c r="I55" s="4" t="s">
        <v>65</v>
      </c>
      <c r="J55" s="31">
        <v>3</v>
      </c>
      <c r="K55" s="22">
        <f>IF(I55="","",IF(I55="ENTRADA",ABS(J55),-ABS(J55)))</f>
        <v>-3</v>
      </c>
      <c r="L55" s="4" t="s">
        <v>73</v>
      </c>
      <c r="M55" s="4"/>
      <c r="N55" s="4">
        <v>59314</v>
      </c>
      <c r="O55" s="4" t="s">
        <v>66</v>
      </c>
      <c r="P55" s="45">
        <v>1636</v>
      </c>
      <c r="Q55" s="56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206</v>
      </c>
      <c r="B56" s="32">
        <v>46132</v>
      </c>
      <c r="C56" s="4" t="s">
        <v>115</v>
      </c>
      <c r="D56" s="4" t="s">
        <v>116</v>
      </c>
      <c r="E56" s="4" t="s">
        <v>34</v>
      </c>
      <c r="F56" s="4" t="s">
        <v>35</v>
      </c>
      <c r="G56" s="4" t="s">
        <v>117</v>
      </c>
      <c r="H56" s="20" t="s">
        <v>120</v>
      </c>
      <c r="I56" s="4" t="s">
        <v>28</v>
      </c>
      <c r="J56" s="31">
        <v>11520</v>
      </c>
      <c r="K56" s="22">
        <f>IF(I56="","",IF(I56="ENTRADA",ABS(J56),-ABS(J56)))</f>
        <v>11520</v>
      </c>
      <c r="L56" s="4" t="s">
        <v>37</v>
      </c>
      <c r="M56" s="21">
        <v>46692</v>
      </c>
      <c r="N56" s="4">
        <v>48917</v>
      </c>
      <c r="O56" s="4"/>
      <c r="P56" s="45">
        <v>14367</v>
      </c>
      <c r="Q56" s="56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207</v>
      </c>
      <c r="B57" s="32">
        <v>46132</v>
      </c>
      <c r="C57" s="4" t="s">
        <v>115</v>
      </c>
      <c r="D57" s="4" t="s">
        <v>116</v>
      </c>
      <c r="E57" s="4" t="s">
        <v>34</v>
      </c>
      <c r="F57" s="4" t="s">
        <v>35</v>
      </c>
      <c r="G57" s="4" t="s">
        <v>117</v>
      </c>
      <c r="H57" s="20" t="s">
        <v>120</v>
      </c>
      <c r="I57" s="4" t="s">
        <v>65</v>
      </c>
      <c r="J57" s="31">
        <v>280</v>
      </c>
      <c r="K57" s="22">
        <f>IF(I57="","",IF(I57="ENTRADA",ABS(J57),-ABS(J57)))</f>
        <v>-280</v>
      </c>
      <c r="L57" s="4" t="s">
        <v>37</v>
      </c>
      <c r="M57" s="4"/>
      <c r="N57" s="4">
        <v>59317</v>
      </c>
      <c r="O57" s="4" t="s">
        <v>201</v>
      </c>
      <c r="P57" s="45">
        <v>1635</v>
      </c>
      <c r="Q57" s="56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208</v>
      </c>
      <c r="B58" s="32">
        <v>46132</v>
      </c>
      <c r="C58" s="4" t="s">
        <v>130</v>
      </c>
      <c r="D58" s="4" t="s">
        <v>131</v>
      </c>
      <c r="E58" s="4" t="s">
        <v>132</v>
      </c>
      <c r="F58" s="4"/>
      <c r="G58" s="4" t="s">
        <v>133</v>
      </c>
      <c r="H58" s="20" t="s">
        <v>209</v>
      </c>
      <c r="I58" s="4" t="s">
        <v>65</v>
      </c>
      <c r="J58" s="31">
        <v>60</v>
      </c>
      <c r="K58" s="22">
        <f>IF(I58="","",IF(I58="ENTRADA",ABS(J58),-ABS(J58)))</f>
        <v>-60</v>
      </c>
      <c r="L58" s="4" t="s">
        <v>37</v>
      </c>
      <c r="M58" s="4"/>
      <c r="N58" s="4">
        <v>59317</v>
      </c>
      <c r="O58" s="4" t="s">
        <v>201</v>
      </c>
      <c r="P58" s="45">
        <v>1635</v>
      </c>
      <c r="Q58" s="56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210</v>
      </c>
      <c r="B59" s="32">
        <v>46132</v>
      </c>
      <c r="C59" s="4" t="s">
        <v>137</v>
      </c>
      <c r="D59" s="4" t="s">
        <v>138</v>
      </c>
      <c r="E59" s="4" t="s">
        <v>132</v>
      </c>
      <c r="F59" s="4"/>
      <c r="G59" s="4" t="s">
        <v>133</v>
      </c>
      <c r="H59" s="20" t="s">
        <v>211</v>
      </c>
      <c r="I59" s="4" t="s">
        <v>65</v>
      </c>
      <c r="J59" s="49">
        <v>15</v>
      </c>
      <c r="K59" s="22">
        <f>IF(I59="","",IF(I59="ENTRADA",ABS(J59),-ABS(J59)))</f>
        <v>-15</v>
      </c>
      <c r="L59" s="4" t="s">
        <v>37</v>
      </c>
      <c r="M59" s="4"/>
      <c r="N59" s="4">
        <v>59317</v>
      </c>
      <c r="O59" s="4" t="s">
        <v>201</v>
      </c>
      <c r="P59" s="45">
        <v>1635</v>
      </c>
      <c r="Q59" s="56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212</v>
      </c>
      <c r="B60" s="32">
        <v>46132</v>
      </c>
      <c r="C60" s="4" t="s">
        <v>23</v>
      </c>
      <c r="D60" s="4" t="s">
        <v>24</v>
      </c>
      <c r="E60" s="4" t="s">
        <v>25</v>
      </c>
      <c r="F60" s="4" t="s">
        <v>26</v>
      </c>
      <c r="G60" s="4" t="s">
        <v>27</v>
      </c>
      <c r="H60" s="20" t="s">
        <v>198</v>
      </c>
      <c r="I60" s="4" t="s">
        <v>65</v>
      </c>
      <c r="J60" s="31">
        <v>1000</v>
      </c>
      <c r="K60" s="22">
        <f>IF(I60="","",IF(I60="ENTRADA",ABS(J60),-ABS(J60)))</f>
        <v>-1000</v>
      </c>
      <c r="L60" s="4" t="s">
        <v>29</v>
      </c>
      <c r="M60" s="4"/>
      <c r="N60" s="4">
        <v>59315</v>
      </c>
      <c r="O60" s="4" t="s">
        <v>213</v>
      </c>
      <c r="P60" s="45">
        <v>1634</v>
      </c>
      <c r="Q60" s="56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214</v>
      </c>
      <c r="B61" s="32">
        <v>46132</v>
      </c>
      <c r="C61" s="4" t="s">
        <v>112</v>
      </c>
      <c r="D61" s="4" t="s">
        <v>113</v>
      </c>
      <c r="E61" s="4" t="s">
        <v>25</v>
      </c>
      <c r="F61" s="4" t="s">
        <v>26</v>
      </c>
      <c r="G61" s="4" t="s">
        <v>27</v>
      </c>
      <c r="H61" s="20" t="s">
        <v>215</v>
      </c>
      <c r="I61" s="4" t="s">
        <v>65</v>
      </c>
      <c r="J61" s="31">
        <v>200</v>
      </c>
      <c r="K61" s="22">
        <f>IF(I61="","",IF(I61="ENTRADA",ABS(J61),-ABS(J61)))</f>
        <v>-200</v>
      </c>
      <c r="L61" s="4" t="s">
        <v>29</v>
      </c>
      <c r="M61" s="4"/>
      <c r="N61" s="4">
        <v>59315</v>
      </c>
      <c r="O61" s="4" t="s">
        <v>213</v>
      </c>
      <c r="P61" s="45">
        <v>1634</v>
      </c>
      <c r="Q61" s="56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216</v>
      </c>
      <c r="B62" s="32">
        <v>46133</v>
      </c>
      <c r="C62" s="4" t="s">
        <v>80</v>
      </c>
      <c r="D62" s="4" t="s">
        <v>81</v>
      </c>
      <c r="E62" s="4" t="s">
        <v>25</v>
      </c>
      <c r="F62" s="4" t="s">
        <v>26</v>
      </c>
      <c r="G62" s="4" t="s">
        <v>83</v>
      </c>
      <c r="H62" s="20" t="s">
        <v>151</v>
      </c>
      <c r="I62" s="4" t="s">
        <v>65</v>
      </c>
      <c r="J62" s="31">
        <v>2500</v>
      </c>
      <c r="K62" s="22">
        <f>IF(I62="","",IF(I62="ENTRADA",ABS(J62),-ABS(J62)))</f>
        <v>-2500</v>
      </c>
      <c r="L62" s="4" t="s">
        <v>29</v>
      </c>
      <c r="M62" s="4"/>
      <c r="N62" s="4">
        <v>59318</v>
      </c>
      <c r="O62" s="4" t="s">
        <v>152</v>
      </c>
      <c r="P62" s="45">
        <v>1632</v>
      </c>
      <c r="Q62" s="56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217</v>
      </c>
      <c r="B63" s="32">
        <v>46133</v>
      </c>
      <c r="C63" s="4" t="s">
        <v>23</v>
      </c>
      <c r="D63" s="4" t="s">
        <v>24</v>
      </c>
      <c r="E63" s="4" t="s">
        <v>25</v>
      </c>
      <c r="F63" s="4" t="s">
        <v>26</v>
      </c>
      <c r="G63" s="4" t="s">
        <v>27</v>
      </c>
      <c r="H63" s="20" t="s">
        <v>198</v>
      </c>
      <c r="I63" s="4" t="s">
        <v>65</v>
      </c>
      <c r="J63" s="31">
        <v>360</v>
      </c>
      <c r="K63" s="22">
        <f>IF(I63="","",IF(I63="ENTRADA",ABS(J63),-ABS(J63)))</f>
        <v>-360</v>
      </c>
      <c r="L63" s="4" t="s">
        <v>29</v>
      </c>
      <c r="M63" s="4"/>
      <c r="N63" s="4">
        <v>59316</v>
      </c>
      <c r="O63" s="4" t="s">
        <v>218</v>
      </c>
      <c r="P63" s="45">
        <v>1633</v>
      </c>
      <c r="Q63" s="56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219</v>
      </c>
      <c r="B64" s="32">
        <v>46133</v>
      </c>
      <c r="C64" s="4" t="s">
        <v>115</v>
      </c>
      <c r="D64" s="4" t="s">
        <v>116</v>
      </c>
      <c r="E64" s="4" t="s">
        <v>34</v>
      </c>
      <c r="F64" s="4" t="s">
        <v>35</v>
      </c>
      <c r="G64" s="4" t="s">
        <v>117</v>
      </c>
      <c r="H64" s="20" t="s">
        <v>120</v>
      </c>
      <c r="I64" s="4" t="s">
        <v>65</v>
      </c>
      <c r="J64" s="31">
        <v>2200</v>
      </c>
      <c r="K64" s="22">
        <f>IF(I64="","",IF(I64="ENTRADA",ABS(J64),-ABS(J64)))</f>
        <v>-2200</v>
      </c>
      <c r="L64" s="4" t="s">
        <v>37</v>
      </c>
      <c r="M64" s="4"/>
      <c r="N64" s="4">
        <v>59319</v>
      </c>
      <c r="O64" s="4" t="s">
        <v>152</v>
      </c>
      <c r="P64" s="45">
        <v>1639</v>
      </c>
      <c r="Q64" s="56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220</v>
      </c>
      <c r="B65" s="32">
        <v>46133</v>
      </c>
      <c r="C65" s="4" t="s">
        <v>130</v>
      </c>
      <c r="D65" s="4" t="s">
        <v>131</v>
      </c>
      <c r="E65" s="4" t="s">
        <v>132</v>
      </c>
      <c r="F65" s="4"/>
      <c r="G65" s="4" t="s">
        <v>133</v>
      </c>
      <c r="H65" s="20" t="s">
        <v>209</v>
      </c>
      <c r="I65" s="4" t="s">
        <v>65</v>
      </c>
      <c r="J65" s="31">
        <v>60</v>
      </c>
      <c r="K65" s="22">
        <f>IF(I65="","",IF(I65="ENTRADA",ABS(J65),-ABS(J65)))</f>
        <v>-60</v>
      </c>
      <c r="L65" s="4" t="s">
        <v>37</v>
      </c>
      <c r="M65" s="4"/>
      <c r="N65" s="4">
        <v>59319</v>
      </c>
      <c r="O65" s="4" t="s">
        <v>152</v>
      </c>
      <c r="P65" s="45">
        <v>1639</v>
      </c>
      <c r="Q65" s="56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220</v>
      </c>
      <c r="B66" s="32">
        <v>46133</v>
      </c>
      <c r="C66" s="4" t="s">
        <v>130</v>
      </c>
      <c r="D66" s="4" t="s">
        <v>131</v>
      </c>
      <c r="E66" s="4" t="s">
        <v>132</v>
      </c>
      <c r="F66" s="4"/>
      <c r="G66" s="4" t="s">
        <v>133</v>
      </c>
      <c r="H66" s="20" t="s">
        <v>221</v>
      </c>
      <c r="I66" s="4" t="s">
        <v>65</v>
      </c>
      <c r="J66" s="31">
        <v>20</v>
      </c>
      <c r="K66" s="22">
        <f>IF(I66="","",IF(I66="ENTRADA",ABS(J66),-ABS(J66)))</f>
        <v>-20</v>
      </c>
      <c r="L66" s="4" t="s">
        <v>37</v>
      </c>
      <c r="M66" s="4"/>
      <c r="N66" s="4">
        <v>59319</v>
      </c>
      <c r="O66" s="4" t="s">
        <v>152</v>
      </c>
      <c r="P66" s="45">
        <v>1639</v>
      </c>
      <c r="Q66" s="56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222</v>
      </c>
      <c r="B67" s="32">
        <v>46133</v>
      </c>
      <c r="C67" s="4" t="s">
        <v>137</v>
      </c>
      <c r="D67" s="4" t="s">
        <v>138</v>
      </c>
      <c r="E67" s="4" t="s">
        <v>132</v>
      </c>
      <c r="F67" s="4"/>
      <c r="G67" s="4" t="s">
        <v>133</v>
      </c>
      <c r="H67" s="20" t="s">
        <v>211</v>
      </c>
      <c r="I67" s="4" t="s">
        <v>65</v>
      </c>
      <c r="J67" s="49">
        <v>15</v>
      </c>
      <c r="K67" s="22">
        <f>IF(I67="","",IF(I67="ENTRADA",ABS(J67),-ABS(J67)))</f>
        <v>-15</v>
      </c>
      <c r="L67" s="4" t="s">
        <v>37</v>
      </c>
      <c r="M67" s="4"/>
      <c r="N67" s="4">
        <v>59319</v>
      </c>
      <c r="O67" s="4" t="s">
        <v>152</v>
      </c>
      <c r="P67" s="45">
        <v>1639</v>
      </c>
      <c r="Q67" s="56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223</v>
      </c>
      <c r="B68" s="32">
        <v>46133</v>
      </c>
      <c r="C68" s="4" t="s">
        <v>115</v>
      </c>
      <c r="D68" s="4" t="s">
        <v>116</v>
      </c>
      <c r="E68" s="4" t="s">
        <v>34</v>
      </c>
      <c r="F68" s="4"/>
      <c r="G68" s="4" t="s">
        <v>117</v>
      </c>
      <c r="H68" s="20" t="s">
        <v>120</v>
      </c>
      <c r="I68" s="4" t="s">
        <v>65</v>
      </c>
      <c r="J68" s="31">
        <v>960</v>
      </c>
      <c r="K68" s="22">
        <f>IF(I68="","",IF(I68="ENTRADA",ABS(J68),-ABS(J68)))</f>
        <v>-960</v>
      </c>
      <c r="L68" s="4" t="s">
        <v>37</v>
      </c>
      <c r="M68" s="4"/>
      <c r="N68" s="4">
        <v>59320</v>
      </c>
      <c r="O68" s="4" t="s">
        <v>201</v>
      </c>
      <c r="P68" s="45">
        <v>1640</v>
      </c>
      <c r="Q68" s="56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224</v>
      </c>
      <c r="B69" s="32">
        <v>46133</v>
      </c>
      <c r="C69" s="4" t="s">
        <v>122</v>
      </c>
      <c r="D69" s="4" t="s">
        <v>123</v>
      </c>
      <c r="E69" s="4" t="s">
        <v>34</v>
      </c>
      <c r="F69" s="4" t="s">
        <v>35</v>
      </c>
      <c r="G69" s="4" t="s">
        <v>117</v>
      </c>
      <c r="H69" s="20" t="s">
        <v>203</v>
      </c>
      <c r="I69" s="4" t="s">
        <v>65</v>
      </c>
      <c r="J69" s="31">
        <v>320</v>
      </c>
      <c r="K69" s="22">
        <f>IF(I69="","",IF(I69="ENTRADA",ABS(J69),-ABS(J69)))</f>
        <v>-320</v>
      </c>
      <c r="L69" s="4" t="s">
        <v>37</v>
      </c>
      <c r="M69" s="4"/>
      <c r="N69" s="4">
        <v>59320</v>
      </c>
      <c r="O69" s="4" t="s">
        <v>201</v>
      </c>
      <c r="P69" s="45">
        <v>1640</v>
      </c>
      <c r="Q69" s="56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225</v>
      </c>
      <c r="B70" s="32">
        <v>46133</v>
      </c>
      <c r="C70" s="4" t="s">
        <v>130</v>
      </c>
      <c r="D70" s="4" t="s">
        <v>131</v>
      </c>
      <c r="E70" s="4" t="s">
        <v>132</v>
      </c>
      <c r="F70" s="4"/>
      <c r="G70" s="4" t="s">
        <v>133</v>
      </c>
      <c r="H70" s="20" t="s">
        <v>221</v>
      </c>
      <c r="I70" s="4" t="s">
        <v>65</v>
      </c>
      <c r="J70" s="31">
        <v>40</v>
      </c>
      <c r="K70" s="22">
        <f>IF(I70="","",IF(I70="ENTRADA",ABS(J70),-ABS(J70)))</f>
        <v>-40</v>
      </c>
      <c r="L70" s="4" t="s">
        <v>37</v>
      </c>
      <c r="M70" s="4"/>
      <c r="N70" s="4">
        <v>59320</v>
      </c>
      <c r="O70" s="4" t="s">
        <v>201</v>
      </c>
      <c r="P70" s="45">
        <v>1640</v>
      </c>
      <c r="Q70" s="56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226</v>
      </c>
      <c r="B71" s="32">
        <v>46133</v>
      </c>
      <c r="C71" s="4" t="s">
        <v>137</v>
      </c>
      <c r="D71" s="4" t="s">
        <v>138</v>
      </c>
      <c r="E71" s="4" t="s">
        <v>132</v>
      </c>
      <c r="F71" s="4"/>
      <c r="G71" s="4" t="s">
        <v>133</v>
      </c>
      <c r="H71" s="20" t="s">
        <v>211</v>
      </c>
      <c r="I71" s="4" t="s">
        <v>65</v>
      </c>
      <c r="J71" s="49">
        <v>15</v>
      </c>
      <c r="K71" s="22">
        <f>IF(I71="","",IF(I71="ENTRADA",ABS(J71),-ABS(J71)))</f>
        <v>-15</v>
      </c>
      <c r="L71" s="4" t="s">
        <v>37</v>
      </c>
      <c r="M71" s="4"/>
      <c r="N71" s="4">
        <v>59320</v>
      </c>
      <c r="O71" s="4" t="s">
        <v>201</v>
      </c>
      <c r="P71" s="45">
        <v>1640</v>
      </c>
      <c r="Q71" s="56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227</v>
      </c>
      <c r="B72" s="32">
        <v>46133</v>
      </c>
      <c r="C72" s="4" t="s">
        <v>228</v>
      </c>
      <c r="D72" s="4" t="s">
        <v>229</v>
      </c>
      <c r="E72" s="4" t="s">
        <v>25</v>
      </c>
      <c r="F72" s="4" t="s">
        <v>26</v>
      </c>
      <c r="G72" s="4" t="s">
        <v>27</v>
      </c>
      <c r="H72" s="20" t="str">
        <f>+T72</f>
        <v>260421-067</v>
      </c>
      <c r="I72" s="4" t="s">
        <v>28</v>
      </c>
      <c r="J72" s="31">
        <v>3000</v>
      </c>
      <c r="K72" s="22">
        <f>IF(I72="","",IF(I72="ENTRADA",ABS(J72),-ABS(J72)))</f>
        <v>3000</v>
      </c>
      <c r="L72" s="4" t="s">
        <v>29</v>
      </c>
      <c r="M72" s="4"/>
      <c r="N72" s="4">
        <v>47726</v>
      </c>
      <c r="O72" s="4"/>
      <c r="P72" s="45">
        <v>14381</v>
      </c>
      <c r="Q72" s="56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230</v>
      </c>
      <c r="B73" s="32">
        <v>46133</v>
      </c>
      <c r="C73" s="4" t="s">
        <v>231</v>
      </c>
      <c r="D73" s="4" t="s">
        <v>231</v>
      </c>
      <c r="E73" s="4" t="s">
        <v>25</v>
      </c>
      <c r="F73" s="4" t="s">
        <v>26</v>
      </c>
      <c r="G73" s="4" t="s">
        <v>27</v>
      </c>
      <c r="H73" s="20" t="str">
        <f>+T73</f>
        <v>260421-068</v>
      </c>
      <c r="I73" s="4" t="s">
        <v>28</v>
      </c>
      <c r="J73" s="31">
        <v>3200</v>
      </c>
      <c r="K73" s="22">
        <f>IF(I73="","",IF(I73="ENTRADA",ABS(J73),-ABS(J73)))</f>
        <v>3200</v>
      </c>
      <c r="L73" s="4" t="s">
        <v>29</v>
      </c>
      <c r="M73" s="4"/>
      <c r="N73" s="4">
        <v>47726</v>
      </c>
      <c r="O73" s="4"/>
      <c r="P73" s="45">
        <v>14381</v>
      </c>
      <c r="Q73" s="56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232</v>
      </c>
      <c r="B74" s="32">
        <v>46134</v>
      </c>
      <c r="C74" s="4" t="s">
        <v>80</v>
      </c>
      <c r="D74" s="4" t="s">
        <v>81</v>
      </c>
      <c r="E74" s="4" t="s">
        <v>25</v>
      </c>
      <c r="F74" s="4" t="s">
        <v>82</v>
      </c>
      <c r="G74" s="4" t="s">
        <v>83</v>
      </c>
      <c r="H74" s="20" t="s">
        <v>151</v>
      </c>
      <c r="I74" s="4" t="s">
        <v>65</v>
      </c>
      <c r="J74" s="31">
        <v>700</v>
      </c>
      <c r="K74" s="22">
        <f>IF(I74="","",IF(I74="ENTRADA",ABS(J74),-ABS(J74)))</f>
        <v>-700</v>
      </c>
      <c r="L74" s="4" t="s">
        <v>29</v>
      </c>
      <c r="M74" s="4"/>
      <c r="N74" s="4">
        <v>59321</v>
      </c>
      <c r="O74" s="4" t="s">
        <v>152</v>
      </c>
      <c r="P74" s="45">
        <v>1641</v>
      </c>
      <c r="Q74" s="56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233</v>
      </c>
      <c r="B75" s="32">
        <v>46134</v>
      </c>
      <c r="C75" s="4" t="s">
        <v>86</v>
      </c>
      <c r="D75" s="4" t="s">
        <v>87</v>
      </c>
      <c r="E75" s="4" t="s">
        <v>34</v>
      </c>
      <c r="F75" s="4" t="s">
        <v>35</v>
      </c>
      <c r="G75" s="4" t="s">
        <v>36</v>
      </c>
      <c r="H75" s="20" t="s">
        <v>100</v>
      </c>
      <c r="I75" s="4" t="s">
        <v>65</v>
      </c>
      <c r="J75" s="31">
        <v>120</v>
      </c>
      <c r="K75" s="22">
        <f>IF(I75="","",IF(I75="ENTRADA",ABS(J75),-ABS(J75)))</f>
        <v>-120</v>
      </c>
      <c r="L75" s="4" t="s">
        <v>37</v>
      </c>
      <c r="M75" s="4"/>
      <c r="N75" s="4">
        <v>59323</v>
      </c>
      <c r="O75" s="4" t="s">
        <v>201</v>
      </c>
      <c r="P75" s="45">
        <v>1643</v>
      </c>
      <c r="Q75" s="56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234</v>
      </c>
      <c r="B76" s="32">
        <v>46134</v>
      </c>
      <c r="C76" s="4" t="s">
        <v>122</v>
      </c>
      <c r="D76" s="4" t="s">
        <v>123</v>
      </c>
      <c r="E76" s="4" t="s">
        <v>34</v>
      </c>
      <c r="F76" s="4" t="s">
        <v>35</v>
      </c>
      <c r="G76" s="4"/>
      <c r="H76" s="20" t="s">
        <v>203</v>
      </c>
      <c r="I76" s="4" t="s">
        <v>65</v>
      </c>
      <c r="J76" s="31">
        <v>300</v>
      </c>
      <c r="K76" s="22">
        <f>IF(I76="","",IF(I76="ENTRADA",ABS(J76),-ABS(J76)))</f>
        <v>-300</v>
      </c>
      <c r="L76" s="4" t="s">
        <v>37</v>
      </c>
      <c r="M76" s="4"/>
      <c r="N76" s="4">
        <v>59323</v>
      </c>
      <c r="O76" s="4" t="s">
        <v>201</v>
      </c>
      <c r="P76" s="45">
        <v>1643</v>
      </c>
      <c r="Q76" s="56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235</v>
      </c>
      <c r="B77" s="32">
        <v>46134</v>
      </c>
      <c r="C77" s="4" t="s">
        <v>126</v>
      </c>
      <c r="D77" s="4" t="s">
        <v>127</v>
      </c>
      <c r="E77" s="4" t="s">
        <v>25</v>
      </c>
      <c r="F77" s="4" t="s">
        <v>128</v>
      </c>
      <c r="G77" s="4"/>
      <c r="H77" s="20" t="s">
        <v>145</v>
      </c>
      <c r="I77" s="4" t="s">
        <v>65</v>
      </c>
      <c r="J77" s="31">
        <v>24000</v>
      </c>
      <c r="K77" s="22">
        <f>IF(I77="","",IF(I77="ENTRADA",ABS(J77),-ABS(J77)))</f>
        <v>-24000</v>
      </c>
      <c r="L77" s="4" t="s">
        <v>29</v>
      </c>
      <c r="M77" s="4"/>
      <c r="N77" s="4">
        <v>59322</v>
      </c>
      <c r="O77" s="4" t="s">
        <v>152</v>
      </c>
      <c r="P77" s="45">
        <v>1642</v>
      </c>
      <c r="Q77" s="56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236</v>
      </c>
      <c r="B78" s="32">
        <v>46135</v>
      </c>
      <c r="C78" s="4" t="s">
        <v>23</v>
      </c>
      <c r="D78" s="4" t="s">
        <v>24</v>
      </c>
      <c r="E78" s="4" t="s">
        <v>25</v>
      </c>
      <c r="F78" s="4" t="s">
        <v>26</v>
      </c>
      <c r="G78" s="4" t="s">
        <v>27</v>
      </c>
      <c r="H78" s="20" t="s">
        <v>198</v>
      </c>
      <c r="I78" s="4" t="s">
        <v>65</v>
      </c>
      <c r="J78" s="31">
        <v>500</v>
      </c>
      <c r="K78" s="22">
        <f>IF(I78="","",IF(I78="ENTRADA",ABS(J78),-ABS(J78)))</f>
        <v>-500</v>
      </c>
      <c r="L78" s="4" t="s">
        <v>29</v>
      </c>
      <c r="M78" s="4"/>
      <c r="N78" s="4">
        <v>59324</v>
      </c>
      <c r="O78" s="4" t="s">
        <v>237</v>
      </c>
      <c r="P78" s="45">
        <v>1644</v>
      </c>
      <c r="Q78" s="56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238</v>
      </c>
      <c r="B79" s="32">
        <v>46135</v>
      </c>
      <c r="C79" s="4" t="s">
        <v>160</v>
      </c>
      <c r="D79" s="4" t="s">
        <v>161</v>
      </c>
      <c r="E79" s="4" t="s">
        <v>25</v>
      </c>
      <c r="F79" s="4" t="s">
        <v>26</v>
      </c>
      <c r="G79" s="4" t="s">
        <v>158</v>
      </c>
      <c r="H79" s="20" t="s">
        <v>239</v>
      </c>
      <c r="I79" s="4" t="s">
        <v>65</v>
      </c>
      <c r="J79" s="31">
        <v>832</v>
      </c>
      <c r="K79" s="22">
        <f>IF(I79="","",IF(I79="ENTRADA",ABS(J79),-ABS(J79)))</f>
        <v>-832</v>
      </c>
      <c r="L79" s="4" t="s">
        <v>29</v>
      </c>
      <c r="M79" s="4"/>
      <c r="N79" s="4">
        <v>59324</v>
      </c>
      <c r="O79" s="4" t="s">
        <v>237</v>
      </c>
      <c r="P79" s="45">
        <v>1644</v>
      </c>
      <c r="Q79" s="56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240</v>
      </c>
      <c r="B80" s="32">
        <v>46135</v>
      </c>
      <c r="C80" s="4" t="s">
        <v>90</v>
      </c>
      <c r="D80" s="4" t="s">
        <v>91</v>
      </c>
      <c r="E80" s="4" t="s">
        <v>34</v>
      </c>
      <c r="F80" s="4" t="s">
        <v>35</v>
      </c>
      <c r="G80" s="4" t="s">
        <v>36</v>
      </c>
      <c r="H80" s="20" t="s">
        <v>103</v>
      </c>
      <c r="I80" s="4" t="s">
        <v>65</v>
      </c>
      <c r="J80" s="31">
        <v>80</v>
      </c>
      <c r="K80" s="22">
        <f>IF(I80="","",IF(I80="ENTRADA",ABS(J80),-ABS(J80)))</f>
        <v>-80</v>
      </c>
      <c r="L80" s="4" t="s">
        <v>37</v>
      </c>
      <c r="M80" s="4"/>
      <c r="N80" s="4">
        <v>59324</v>
      </c>
      <c r="O80" s="4" t="s">
        <v>237</v>
      </c>
      <c r="P80" s="45">
        <v>1644</v>
      </c>
      <c r="Q80" s="56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241</v>
      </c>
      <c r="B81" s="32">
        <v>46135</v>
      </c>
      <c r="C81" s="4" t="s">
        <v>86</v>
      </c>
      <c r="D81" s="4" t="s">
        <v>87</v>
      </c>
      <c r="E81" s="4" t="s">
        <v>34</v>
      </c>
      <c r="F81" s="4" t="s">
        <v>35</v>
      </c>
      <c r="G81" s="4" t="s">
        <v>36</v>
      </c>
      <c r="H81" s="20" t="s">
        <v>100</v>
      </c>
      <c r="I81" s="4" t="s">
        <v>65</v>
      </c>
      <c r="J81" s="31">
        <v>50</v>
      </c>
      <c r="K81" s="22">
        <f>IF(I81="","",IF(I81="ENTRADA",ABS(J81),-ABS(J81)))</f>
        <v>-50</v>
      </c>
      <c r="L81" s="4" t="s">
        <v>37</v>
      </c>
      <c r="M81" s="4"/>
      <c r="N81" s="4">
        <v>59324</v>
      </c>
      <c r="O81" s="4" t="s">
        <v>237</v>
      </c>
      <c r="P81" s="45">
        <v>1644</v>
      </c>
      <c r="Q81" s="56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242</v>
      </c>
      <c r="B82" s="32">
        <v>46135</v>
      </c>
      <c r="C82" s="4" t="s">
        <v>59</v>
      </c>
      <c r="D82" s="4" t="s">
        <v>60</v>
      </c>
      <c r="E82" s="4" t="s">
        <v>34</v>
      </c>
      <c r="F82" s="4" t="s">
        <v>35</v>
      </c>
      <c r="G82" s="4"/>
      <c r="H82" s="20" t="s">
        <v>68</v>
      </c>
      <c r="I82" s="4" t="s">
        <v>65</v>
      </c>
      <c r="J82" s="31">
        <v>500</v>
      </c>
      <c r="K82" s="22">
        <f>IF(I82="","",IF(I82="ENTRADA",ABS(J82),-ABS(J82)))</f>
        <v>-500</v>
      </c>
      <c r="L82" s="4" t="s">
        <v>37</v>
      </c>
      <c r="M82" s="4"/>
      <c r="N82" s="4">
        <v>59324</v>
      </c>
      <c r="O82" s="4" t="s">
        <v>237</v>
      </c>
      <c r="P82" s="45">
        <v>1644</v>
      </c>
      <c r="Q82" s="56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243</v>
      </c>
      <c r="B83" s="32">
        <v>46135</v>
      </c>
      <c r="C83" s="4" t="s">
        <v>70</v>
      </c>
      <c r="D83" s="4" t="s">
        <v>71</v>
      </c>
      <c r="E83" s="4" t="s">
        <v>70</v>
      </c>
      <c r="F83" s="4"/>
      <c r="G83" s="4" t="s">
        <v>72</v>
      </c>
      <c r="H83" s="20" t="s">
        <v>154</v>
      </c>
      <c r="I83" s="4" t="s">
        <v>65</v>
      </c>
      <c r="J83" s="31">
        <v>30</v>
      </c>
      <c r="K83" s="22">
        <f>IF(I83="","",IF(I83="ENTRADA",ABS(J83),-ABS(J83)))</f>
        <v>-30</v>
      </c>
      <c r="L83" s="4" t="s">
        <v>73</v>
      </c>
      <c r="M83" s="4"/>
      <c r="N83" s="4">
        <v>59324</v>
      </c>
      <c r="O83" s="4" t="s">
        <v>237</v>
      </c>
      <c r="P83" s="45">
        <v>1644</v>
      </c>
      <c r="Q83" s="56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244</v>
      </c>
      <c r="B84" s="32">
        <v>46135</v>
      </c>
      <c r="C84" s="4" t="s">
        <v>245</v>
      </c>
      <c r="D84" s="4" t="s">
        <v>246</v>
      </c>
      <c r="E84" s="4" t="s">
        <v>34</v>
      </c>
      <c r="F84" s="4" t="s">
        <v>35</v>
      </c>
      <c r="G84" s="4" t="s">
        <v>27</v>
      </c>
      <c r="H84" s="20" t="str">
        <f>+T84</f>
        <v>260423-080</v>
      </c>
      <c r="I84" s="4" t="s">
        <v>28</v>
      </c>
      <c r="J84" s="31">
        <v>200</v>
      </c>
      <c r="K84" s="22">
        <f>IF(I84="","",IF(I84="ENTRADA",ABS(J84),-ABS(J84)))</f>
        <v>200</v>
      </c>
      <c r="L84" s="4" t="s">
        <v>37</v>
      </c>
      <c r="M84" s="32">
        <v>46174</v>
      </c>
      <c r="N84" s="4">
        <v>130505</v>
      </c>
      <c r="O84" s="4"/>
      <c r="P84" s="45">
        <v>14394</v>
      </c>
      <c r="Q84" s="56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247</v>
      </c>
    </row>
    <row r="85" spans="1:21">
      <c r="A85" s="20" t="s">
        <v>248</v>
      </c>
      <c r="B85" s="32">
        <v>46135</v>
      </c>
      <c r="C85" s="4" t="s">
        <v>249</v>
      </c>
      <c r="D85" s="4" t="s">
        <v>250</v>
      </c>
      <c r="E85" s="4" t="s">
        <v>132</v>
      </c>
      <c r="F85" s="4"/>
      <c r="G85" s="4" t="s">
        <v>27</v>
      </c>
      <c r="H85" s="20" t="str">
        <f>+T85</f>
        <v>260423-083</v>
      </c>
      <c r="I85" s="4" t="s">
        <v>28</v>
      </c>
      <c r="J85" s="31">
        <v>188</v>
      </c>
      <c r="K85" s="22">
        <f>IF(I85="","",IF(I85="ENTRADA",ABS(J85),-ABS(J85)))</f>
        <v>188</v>
      </c>
      <c r="L85" s="4" t="s">
        <v>37</v>
      </c>
      <c r="M85" s="32">
        <v>47574</v>
      </c>
      <c r="N85" s="4">
        <v>130505</v>
      </c>
      <c r="O85" s="4"/>
      <c r="P85" s="45">
        <v>14394</v>
      </c>
      <c r="Q85" s="56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247</v>
      </c>
    </row>
    <row r="86" spans="1:21">
      <c r="A86" s="20" t="s">
        <v>251</v>
      </c>
      <c r="B86" s="32">
        <v>46135</v>
      </c>
      <c r="C86" s="4" t="s">
        <v>115</v>
      </c>
      <c r="D86" s="4" t="s">
        <v>116</v>
      </c>
      <c r="E86" s="4" t="s">
        <v>34</v>
      </c>
      <c r="F86" s="4" t="s">
        <v>35</v>
      </c>
      <c r="G86" s="4" t="s">
        <v>117</v>
      </c>
      <c r="H86" s="20" t="s">
        <v>120</v>
      </c>
      <c r="I86" s="4" t="s">
        <v>28</v>
      </c>
      <c r="J86" s="31">
        <v>19120</v>
      </c>
      <c r="K86" s="22">
        <f>IF(I86="","",IF(I86="ENTRADA",ABS(J86),-ABS(J86)))</f>
        <v>19120</v>
      </c>
      <c r="L86" s="4" t="s">
        <v>37</v>
      </c>
      <c r="M86" s="32">
        <v>46692</v>
      </c>
      <c r="N86" s="4">
        <v>48959</v>
      </c>
      <c r="O86" s="4"/>
      <c r="P86" s="45">
        <v>14391</v>
      </c>
      <c r="Q86" s="56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252</v>
      </c>
      <c r="B87" s="32">
        <v>46135</v>
      </c>
      <c r="C87" s="4" t="s">
        <v>126</v>
      </c>
      <c r="D87" s="4" t="s">
        <v>127</v>
      </c>
      <c r="E87" s="4" t="s">
        <v>25</v>
      </c>
      <c r="F87" s="4" t="s">
        <v>128</v>
      </c>
      <c r="G87" s="4"/>
      <c r="H87" s="20" t="s">
        <v>145</v>
      </c>
      <c r="I87" s="4" t="s">
        <v>65</v>
      </c>
      <c r="J87" s="31">
        <v>25600</v>
      </c>
      <c r="K87" s="22">
        <f>IF(I87="","",IF(I87="ENTRADA",ABS(J87),-ABS(J87)))</f>
        <v>-25600</v>
      </c>
      <c r="L87" s="4" t="s">
        <v>29</v>
      </c>
      <c r="M87" s="4"/>
      <c r="N87" s="4">
        <v>59325</v>
      </c>
      <c r="O87" s="4" t="s">
        <v>152</v>
      </c>
      <c r="P87" s="45">
        <v>1645</v>
      </c>
      <c r="Q87" s="56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253</v>
      </c>
      <c r="B88" s="32">
        <v>46136</v>
      </c>
      <c r="C88" s="4" t="s">
        <v>130</v>
      </c>
      <c r="D88" s="4" t="s">
        <v>131</v>
      </c>
      <c r="E88" s="4" t="s">
        <v>132</v>
      </c>
      <c r="F88" s="4"/>
      <c r="G88" s="4" t="s">
        <v>133</v>
      </c>
      <c r="H88" s="20" t="s">
        <v>221</v>
      </c>
      <c r="I88" s="4" t="s">
        <v>65</v>
      </c>
      <c r="J88" s="31">
        <v>120</v>
      </c>
      <c r="K88" s="22">
        <f>IF(I88="","",IF(I88="ENTRADA",ABS(J88),-ABS(J88)))</f>
        <v>-120</v>
      </c>
      <c r="L88" s="4" t="s">
        <v>37</v>
      </c>
      <c r="M88" s="4"/>
      <c r="N88" s="4">
        <v>59326</v>
      </c>
      <c r="O88" s="4" t="s">
        <v>152</v>
      </c>
      <c r="P88" s="45">
        <v>1655</v>
      </c>
      <c r="Q88" s="56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254</v>
      </c>
      <c r="B89" s="32">
        <v>46136</v>
      </c>
      <c r="C89" s="4" t="s">
        <v>137</v>
      </c>
      <c r="D89" s="4" t="s">
        <v>138</v>
      </c>
      <c r="E89" s="4" t="s">
        <v>132</v>
      </c>
      <c r="F89" s="4"/>
      <c r="G89" s="4" t="s">
        <v>133</v>
      </c>
      <c r="H89" s="20" t="s">
        <v>211</v>
      </c>
      <c r="I89" s="4" t="s">
        <v>65</v>
      </c>
      <c r="J89" s="49">
        <v>15</v>
      </c>
      <c r="K89" s="22">
        <f>IF(I89="","",IF(I89="ENTRADA",ABS(J89),-ABS(J89)))</f>
        <v>-15</v>
      </c>
      <c r="L89" s="4" t="s">
        <v>37</v>
      </c>
      <c r="M89" s="4"/>
      <c r="N89" s="4">
        <v>59326</v>
      </c>
      <c r="O89" s="4" t="s">
        <v>152</v>
      </c>
      <c r="P89" s="45">
        <v>1655</v>
      </c>
      <c r="Q89" s="56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255</v>
      </c>
      <c r="B90" s="32">
        <v>46136</v>
      </c>
      <c r="C90" s="4" t="s">
        <v>256</v>
      </c>
      <c r="D90" s="4" t="s">
        <v>257</v>
      </c>
      <c r="E90" s="4" t="s">
        <v>25</v>
      </c>
      <c r="F90" s="4" t="s">
        <v>258</v>
      </c>
      <c r="G90" s="4" t="s">
        <v>259</v>
      </c>
      <c r="H90" s="20" t="str">
        <f>+T90</f>
        <v>260424-088</v>
      </c>
      <c r="I90" s="4" t="s">
        <v>28</v>
      </c>
      <c r="J90" s="31">
        <v>5200</v>
      </c>
      <c r="K90" s="22">
        <f>IF(I90="","",IF(I90="ENTRADA",ABS(J90),-ABS(J90)))</f>
        <v>5200</v>
      </c>
      <c r="L90" s="4" t="s">
        <v>29</v>
      </c>
      <c r="M90" s="4"/>
      <c r="N90" s="4">
        <v>19967</v>
      </c>
      <c r="O90" s="4"/>
      <c r="P90" s="45">
        <v>14401</v>
      </c>
      <c r="Q90" s="56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260</v>
      </c>
      <c r="B91" s="32">
        <v>46136</v>
      </c>
      <c r="C91" s="4" t="s">
        <v>261</v>
      </c>
      <c r="D91" s="4" t="s">
        <v>262</v>
      </c>
      <c r="E91" s="4" t="s">
        <v>25</v>
      </c>
      <c r="F91" s="4" t="s">
        <v>184</v>
      </c>
      <c r="G91" s="4" t="s">
        <v>259</v>
      </c>
      <c r="H91" s="20" t="str">
        <f>+T91</f>
        <v>260424-089</v>
      </c>
      <c r="I91" s="4" t="s">
        <v>28</v>
      </c>
      <c r="J91" s="31">
        <v>1200</v>
      </c>
      <c r="K91" s="22">
        <f>IF(I91="","",IF(I91="ENTRADA",ABS(J91),-ABS(J91)))</f>
        <v>1200</v>
      </c>
      <c r="L91" s="4" t="s">
        <v>29</v>
      </c>
      <c r="M91" s="4"/>
      <c r="N91" s="4">
        <v>19967</v>
      </c>
      <c r="O91" s="4"/>
      <c r="P91" s="45">
        <v>14401</v>
      </c>
      <c r="Q91" s="56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263</v>
      </c>
      <c r="B92" s="32">
        <v>46136</v>
      </c>
      <c r="C92" s="4" t="s">
        <v>264</v>
      </c>
      <c r="D92" s="4" t="s">
        <v>265</v>
      </c>
      <c r="E92" s="4" t="s">
        <v>25</v>
      </c>
      <c r="F92" s="4" t="s">
        <v>170</v>
      </c>
      <c r="G92" s="4" t="s">
        <v>259</v>
      </c>
      <c r="H92" s="20" t="str">
        <f>+T92</f>
        <v>260424-090</v>
      </c>
      <c r="I92" s="4" t="s">
        <v>28</v>
      </c>
      <c r="J92" s="31">
        <v>375</v>
      </c>
      <c r="K92" s="22">
        <f>IF(I92="","",IF(I92="ENTRADA",ABS(J92),-ABS(J92)))</f>
        <v>375</v>
      </c>
      <c r="L92" s="4" t="s">
        <v>29</v>
      </c>
      <c r="M92" s="4"/>
      <c r="N92" s="4">
        <v>19967</v>
      </c>
      <c r="O92" s="4"/>
      <c r="P92" s="45">
        <v>14401</v>
      </c>
      <c r="Q92" s="56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266</v>
      </c>
      <c r="B93" s="32">
        <v>46136</v>
      </c>
      <c r="C93" s="4" t="s">
        <v>267</v>
      </c>
      <c r="D93" s="4" t="s">
        <v>267</v>
      </c>
      <c r="E93" s="4" t="s">
        <v>25</v>
      </c>
      <c r="F93" s="4" t="s">
        <v>26</v>
      </c>
      <c r="G93" s="4" t="s">
        <v>36</v>
      </c>
      <c r="H93" s="20" t="str">
        <f>+T93</f>
        <v>260424-091</v>
      </c>
      <c r="I93" s="4" t="s">
        <v>28</v>
      </c>
      <c r="J93" s="31">
        <v>200</v>
      </c>
      <c r="K93" s="22">
        <f>IF(I93="","",IF(I93="ENTRADA",ABS(J93),-ABS(J93)))</f>
        <v>200</v>
      </c>
      <c r="L93" s="4" t="s">
        <v>29</v>
      </c>
      <c r="M93" s="4"/>
      <c r="N93" s="4">
        <v>12590</v>
      </c>
      <c r="O93" s="4"/>
      <c r="P93" s="45">
        <v>14483</v>
      </c>
      <c r="Q93" s="56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268</v>
      </c>
    </row>
    <row r="94" spans="1:21">
      <c r="A94" s="20" t="s">
        <v>269</v>
      </c>
      <c r="B94" s="32">
        <v>46136</v>
      </c>
      <c r="C94" s="4" t="s">
        <v>115</v>
      </c>
      <c r="D94" s="4" t="s">
        <v>116</v>
      </c>
      <c r="E94" s="4" t="s">
        <v>34</v>
      </c>
      <c r="F94" s="4" t="s">
        <v>35</v>
      </c>
      <c r="G94" s="4" t="s">
        <v>117</v>
      </c>
      <c r="H94" s="20" t="s">
        <v>120</v>
      </c>
      <c r="I94" s="4" t="s">
        <v>65</v>
      </c>
      <c r="J94" s="31">
        <v>960</v>
      </c>
      <c r="K94" s="22">
        <f>IF(I94="","",IF(I94="ENTRADA",ABS(J94),-ABS(J94)))</f>
        <v>-960</v>
      </c>
      <c r="L94" s="4" t="s">
        <v>37</v>
      </c>
      <c r="M94" s="4"/>
      <c r="N94" s="4">
        <v>59327</v>
      </c>
      <c r="O94" s="4" t="s">
        <v>201</v>
      </c>
      <c r="P94" s="45">
        <v>1647</v>
      </c>
      <c r="Q94" s="56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270</v>
      </c>
      <c r="B95" s="32">
        <v>46136</v>
      </c>
      <c r="C95" s="4" t="s">
        <v>122</v>
      </c>
      <c r="D95" s="4" t="s">
        <v>123</v>
      </c>
      <c r="E95" s="4" t="s">
        <v>34</v>
      </c>
      <c r="F95" s="4" t="s">
        <v>35</v>
      </c>
      <c r="G95" s="4" t="s">
        <v>117</v>
      </c>
      <c r="H95" s="20" t="s">
        <v>203</v>
      </c>
      <c r="I95" s="4" t="s">
        <v>65</v>
      </c>
      <c r="J95" s="31">
        <v>300</v>
      </c>
      <c r="K95" s="22">
        <f>IF(I95="","",IF(I95="ENTRADA",ABS(J95),-ABS(J95)))</f>
        <v>-300</v>
      </c>
      <c r="L95" s="4" t="s">
        <v>37</v>
      </c>
      <c r="M95" s="4"/>
      <c r="N95" s="4">
        <v>59327</v>
      </c>
      <c r="O95" s="4" t="s">
        <v>201</v>
      </c>
      <c r="P95" s="45">
        <v>1647</v>
      </c>
      <c r="Q95" s="56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271</v>
      </c>
      <c r="B96" s="32">
        <v>46137</v>
      </c>
      <c r="C96" s="4" t="s">
        <v>126</v>
      </c>
      <c r="D96" s="4" t="s">
        <v>127</v>
      </c>
      <c r="E96" s="4" t="s">
        <v>25</v>
      </c>
      <c r="F96" s="4" t="s">
        <v>128</v>
      </c>
      <c r="G96" s="4"/>
      <c r="H96" s="20" t="s">
        <v>145</v>
      </c>
      <c r="I96" s="4" t="s">
        <v>65</v>
      </c>
      <c r="J96" s="31">
        <v>10400</v>
      </c>
      <c r="K96" s="22">
        <f>IF(I96="","",IF(I96="ENTRADA",ABS(J96),-ABS(J96)))</f>
        <v>-10400</v>
      </c>
      <c r="L96" s="4" t="s">
        <v>29</v>
      </c>
      <c r="M96" s="4"/>
      <c r="N96" s="4">
        <v>59328</v>
      </c>
      <c r="O96" s="4" t="s">
        <v>201</v>
      </c>
      <c r="P96" s="45">
        <v>1646</v>
      </c>
      <c r="Q96" s="56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272</v>
      </c>
      <c r="B97" s="32">
        <v>46139</v>
      </c>
      <c r="C97" s="4" t="s">
        <v>23</v>
      </c>
      <c r="D97" s="4" t="s">
        <v>24</v>
      </c>
      <c r="E97" s="4" t="s">
        <v>25</v>
      </c>
      <c r="F97" s="4" t="s">
        <v>26</v>
      </c>
      <c r="G97" s="4" t="s">
        <v>27</v>
      </c>
      <c r="H97" s="20" t="s">
        <v>198</v>
      </c>
      <c r="I97" s="4" t="s">
        <v>65</v>
      </c>
      <c r="J97" s="31">
        <v>340</v>
      </c>
      <c r="K97" s="22">
        <f>IF(I97="","",IF(I97="ENTRADA",ABS(J97),-ABS(J97)))</f>
        <v>-340</v>
      </c>
      <c r="L97" s="4" t="s">
        <v>29</v>
      </c>
      <c r="M97" s="4"/>
      <c r="N97" s="4">
        <v>59329</v>
      </c>
      <c r="O97" s="4" t="s">
        <v>152</v>
      </c>
      <c r="P97" s="45">
        <v>1648</v>
      </c>
      <c r="Q97" s="56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273</v>
      </c>
      <c r="B98" s="32">
        <v>46139</v>
      </c>
      <c r="C98" s="4" t="s">
        <v>115</v>
      </c>
      <c r="D98" s="4" t="s">
        <v>116</v>
      </c>
      <c r="E98" s="4" t="s">
        <v>34</v>
      </c>
      <c r="F98" s="4" t="s">
        <v>35</v>
      </c>
      <c r="G98" s="4" t="s">
        <v>117</v>
      </c>
      <c r="H98" s="20" t="s">
        <v>120</v>
      </c>
      <c r="I98" s="4" t="s">
        <v>65</v>
      </c>
      <c r="J98" s="31">
        <v>400</v>
      </c>
      <c r="K98" s="22">
        <f>IF(I98="","",IF(I98="ENTRADA",ABS(J98),-ABS(J98)))</f>
        <v>-400</v>
      </c>
      <c r="L98" s="4" t="s">
        <v>37</v>
      </c>
      <c r="M98" s="4"/>
      <c r="N98" s="4">
        <v>59330</v>
      </c>
      <c r="O98" s="4" t="s">
        <v>201</v>
      </c>
      <c r="P98" s="45">
        <v>1649</v>
      </c>
      <c r="Q98" s="56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274</v>
      </c>
      <c r="B99" s="32">
        <v>46139</v>
      </c>
      <c r="C99" s="4" t="s">
        <v>86</v>
      </c>
      <c r="D99" s="4" t="s">
        <v>87</v>
      </c>
      <c r="E99" s="4" t="s">
        <v>34</v>
      </c>
      <c r="F99" s="4" t="s">
        <v>35</v>
      </c>
      <c r="G99" s="4" t="s">
        <v>36</v>
      </c>
      <c r="H99" s="20" t="s">
        <v>100</v>
      </c>
      <c r="I99" s="4" t="s">
        <v>65</v>
      </c>
      <c r="J99" s="31">
        <v>50</v>
      </c>
      <c r="K99" s="22">
        <f>IF(I99="","",IF(I99="ENTRADA",ABS(J99),-ABS(J99)))</f>
        <v>-50</v>
      </c>
      <c r="L99" s="4" t="s">
        <v>37</v>
      </c>
      <c r="M99" s="4"/>
      <c r="N99" s="4">
        <v>59330</v>
      </c>
      <c r="O99" s="4" t="s">
        <v>201</v>
      </c>
      <c r="P99" s="45">
        <v>1649</v>
      </c>
      <c r="Q99" s="56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275</v>
      </c>
      <c r="B100" s="32">
        <v>46139</v>
      </c>
      <c r="C100" s="4" t="s">
        <v>130</v>
      </c>
      <c r="D100" s="4" t="s">
        <v>131</v>
      </c>
      <c r="E100" s="4" t="s">
        <v>132</v>
      </c>
      <c r="F100" s="4"/>
      <c r="G100" s="4" t="s">
        <v>133</v>
      </c>
      <c r="H100" s="20" t="s">
        <v>221</v>
      </c>
      <c r="I100" s="4" t="s">
        <v>65</v>
      </c>
      <c r="J100" s="31">
        <v>20</v>
      </c>
      <c r="K100" s="22">
        <f>IF(I100="","",IF(I100="ENTRADA",ABS(J100),-ABS(J100)))</f>
        <v>-20</v>
      </c>
      <c r="L100" s="4" t="s">
        <v>37</v>
      </c>
      <c r="M100" s="4"/>
      <c r="N100" s="4">
        <v>59330</v>
      </c>
      <c r="O100" s="4" t="s">
        <v>201</v>
      </c>
      <c r="P100" s="45">
        <v>1649</v>
      </c>
      <c r="Q100" s="56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276</v>
      </c>
      <c r="B101" s="32">
        <v>46139</v>
      </c>
      <c r="C101" s="4" t="s">
        <v>44</v>
      </c>
      <c r="D101" s="4" t="s">
        <v>63</v>
      </c>
      <c r="E101" s="4" t="s">
        <v>34</v>
      </c>
      <c r="F101" s="4" t="s">
        <v>46</v>
      </c>
      <c r="G101" s="4" t="s">
        <v>36</v>
      </c>
      <c r="H101" s="20" t="s">
        <v>64</v>
      </c>
      <c r="I101" s="4" t="s">
        <v>65</v>
      </c>
      <c r="J101" s="31">
        <v>50</v>
      </c>
      <c r="K101" s="22">
        <f>IF(I101="","",IF(I101="ENTRADA",ABS(J101),-ABS(J101)))</f>
        <v>-50</v>
      </c>
      <c r="L101" s="4" t="s">
        <v>37</v>
      </c>
      <c r="M101" s="4"/>
      <c r="N101" s="4">
        <v>59330</v>
      </c>
      <c r="O101" s="4" t="s">
        <v>201</v>
      </c>
      <c r="P101" s="45">
        <v>1649</v>
      </c>
      <c r="Q101" s="56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277</v>
      </c>
      <c r="B102" s="32">
        <v>46141</v>
      </c>
      <c r="C102" s="4" t="s">
        <v>108</v>
      </c>
      <c r="D102" s="4" t="s">
        <v>109</v>
      </c>
      <c r="E102" s="4" t="s">
        <v>25</v>
      </c>
      <c r="F102" s="4" t="s">
        <v>26</v>
      </c>
      <c r="G102" s="4" t="s">
        <v>27</v>
      </c>
      <c r="H102" s="20" t="s">
        <v>278</v>
      </c>
      <c r="I102" s="4" t="s">
        <v>65</v>
      </c>
      <c r="J102" s="31">
        <v>460</v>
      </c>
      <c r="K102" s="22">
        <f>IF(I102="","",IF(I102="ENTRADA",ABS(J102),-ABS(J102)))</f>
        <v>-460</v>
      </c>
      <c r="L102" s="4" t="s">
        <v>29</v>
      </c>
      <c r="M102" s="4"/>
      <c r="N102" s="4">
        <v>59331</v>
      </c>
      <c r="O102" s="4" t="s">
        <v>237</v>
      </c>
      <c r="P102" s="45">
        <v>1651</v>
      </c>
      <c r="Q102" s="56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279</v>
      </c>
      <c r="B103" s="32">
        <v>46141</v>
      </c>
      <c r="C103" s="4" t="s">
        <v>50</v>
      </c>
      <c r="D103" s="4" t="s">
        <v>280</v>
      </c>
      <c r="E103" s="4" t="s">
        <v>34</v>
      </c>
      <c r="F103" s="4" t="s">
        <v>35</v>
      </c>
      <c r="G103" s="4" t="s">
        <v>36</v>
      </c>
      <c r="H103" s="20" t="s">
        <v>281</v>
      </c>
      <c r="I103" s="4" t="s">
        <v>65</v>
      </c>
      <c r="J103" s="31">
        <v>100</v>
      </c>
      <c r="K103" s="22">
        <f>IF(I103="","",IF(I103="ENTRADA",ABS(J103),-ABS(J103)))</f>
        <v>-100</v>
      </c>
      <c r="L103" s="4" t="s">
        <v>37</v>
      </c>
      <c r="M103" s="21">
        <v>46517</v>
      </c>
      <c r="N103" s="4">
        <v>59331</v>
      </c>
      <c r="O103" s="4" t="s">
        <v>237</v>
      </c>
      <c r="P103" s="45">
        <v>1651</v>
      </c>
      <c r="Q103" s="56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282</v>
      </c>
      <c r="B104" s="32">
        <v>46141</v>
      </c>
      <c r="C104" s="4" t="s">
        <v>283</v>
      </c>
      <c r="D104" s="4" t="s">
        <v>284</v>
      </c>
      <c r="E104" s="4" t="s">
        <v>285</v>
      </c>
      <c r="F104" s="4" t="s">
        <v>286</v>
      </c>
      <c r="G104" s="4" t="s">
        <v>83</v>
      </c>
      <c r="H104" s="20" t="str">
        <f>+T104</f>
        <v>260429-102</v>
      </c>
      <c r="I104" s="4" t="s">
        <v>28</v>
      </c>
      <c r="J104" s="31">
        <v>18500</v>
      </c>
      <c r="K104" s="22">
        <f>IF(I104="","",IF(I104="ENTRADA",ABS(J104),-ABS(J104)))</f>
        <v>18500</v>
      </c>
      <c r="L104" s="4" t="s">
        <v>37</v>
      </c>
      <c r="M104" s="32">
        <v>46634</v>
      </c>
      <c r="N104" s="4">
        <v>23869</v>
      </c>
      <c r="O104" s="4"/>
      <c r="P104" s="45">
        <v>14420</v>
      </c>
      <c r="Q104" s="56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84</v>
      </c>
    </row>
    <row r="105" spans="1:21">
      <c r="A105" s="20" t="s">
        <v>287</v>
      </c>
      <c r="B105" s="32">
        <v>46141</v>
      </c>
      <c r="C105" s="4" t="s">
        <v>80</v>
      </c>
      <c r="D105" s="4" t="s">
        <v>81</v>
      </c>
      <c r="E105" s="4" t="s">
        <v>25</v>
      </c>
      <c r="F105" s="4" t="s">
        <v>82</v>
      </c>
      <c r="G105" s="4" t="s">
        <v>83</v>
      </c>
      <c r="H105" s="20" t="s">
        <v>151</v>
      </c>
      <c r="I105" s="4" t="s">
        <v>65</v>
      </c>
      <c r="J105" s="31">
        <v>2500</v>
      </c>
      <c r="K105" s="22">
        <f>IF(I105="","",IF(I105="ENTRADA",ABS(J105),-ABS(J105)))</f>
        <v>-2500</v>
      </c>
      <c r="L105" s="4" t="s">
        <v>29</v>
      </c>
      <c r="M105" s="4"/>
      <c r="N105" s="4">
        <v>59332</v>
      </c>
      <c r="O105" s="4" t="s">
        <v>152</v>
      </c>
      <c r="P105" s="45">
        <v>1652</v>
      </c>
      <c r="Q105" s="56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288</v>
      </c>
      <c r="B106" s="32">
        <v>46141</v>
      </c>
      <c r="C106" s="4" t="s">
        <v>108</v>
      </c>
      <c r="D106" s="4" t="s">
        <v>109</v>
      </c>
      <c r="E106" s="4" t="s">
        <v>25</v>
      </c>
      <c r="F106" s="4" t="s">
        <v>26</v>
      </c>
      <c r="G106" s="4" t="s">
        <v>27</v>
      </c>
      <c r="H106" s="20" t="s">
        <v>278</v>
      </c>
      <c r="I106" s="4" t="s">
        <v>65</v>
      </c>
      <c r="J106" s="31">
        <v>540</v>
      </c>
      <c r="K106" s="22">
        <f>IF(I106="","",IF(I106="ENTRADA",ABS(J106),-ABS(J106)))</f>
        <v>-540</v>
      </c>
      <c r="L106" s="4" t="s">
        <v>29</v>
      </c>
      <c r="M106" s="4"/>
      <c r="N106" s="4">
        <v>59333</v>
      </c>
      <c r="O106" s="4" t="s">
        <v>152</v>
      </c>
      <c r="P106" s="45">
        <v>1653</v>
      </c>
      <c r="Q106" s="56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289</v>
      </c>
      <c r="B107" s="32">
        <v>46141</v>
      </c>
      <c r="C107" s="4" t="s">
        <v>70</v>
      </c>
      <c r="D107" s="4" t="s">
        <v>71</v>
      </c>
      <c r="E107" s="4" t="s">
        <v>70</v>
      </c>
      <c r="F107" s="4"/>
      <c r="G107" s="4" t="s">
        <v>72</v>
      </c>
      <c r="H107" s="20" t="str">
        <f>+T107</f>
        <v>260429-105</v>
      </c>
      <c r="I107" s="4" t="s">
        <v>28</v>
      </c>
      <c r="J107" s="31">
        <v>10</v>
      </c>
      <c r="K107" s="22">
        <f>IF(I107="","",IF(I107="ENTRADA",ABS(J107),-ABS(J107)))</f>
        <v>10</v>
      </c>
      <c r="L107" s="4" t="s">
        <v>73</v>
      </c>
      <c r="M107" s="4"/>
      <c r="N107" s="4">
        <v>3170</v>
      </c>
      <c r="O107" s="4"/>
      <c r="P107" s="45">
        <v>14421</v>
      </c>
      <c r="Q107" s="56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290</v>
      </c>
      <c r="B108" s="32">
        <v>46141</v>
      </c>
      <c r="C108" s="4" t="s">
        <v>115</v>
      </c>
      <c r="D108" s="4" t="s">
        <v>116</v>
      </c>
      <c r="E108" s="4" t="s">
        <v>34</v>
      </c>
      <c r="F108" s="4" t="s">
        <v>35</v>
      </c>
      <c r="G108" s="4" t="s">
        <v>117</v>
      </c>
      <c r="H108" s="20" t="s">
        <v>120</v>
      </c>
      <c r="I108" s="4" t="s">
        <v>65</v>
      </c>
      <c r="J108" s="31">
        <v>1500</v>
      </c>
      <c r="K108" s="22">
        <f>IF(I108="","",IF(I108="ENTRADA",ABS(J108),-ABS(J108)))</f>
        <v>-1500</v>
      </c>
      <c r="L108" s="4" t="s">
        <v>37</v>
      </c>
      <c r="M108" s="4"/>
      <c r="N108" s="4">
        <v>59334</v>
      </c>
      <c r="O108" s="4" t="s">
        <v>66</v>
      </c>
      <c r="P108" s="45">
        <v>1654</v>
      </c>
      <c r="Q108" s="56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291</v>
      </c>
      <c r="B109" s="42">
        <v>46141</v>
      </c>
      <c r="C109" s="33" t="s">
        <v>122</v>
      </c>
      <c r="D109" s="33" t="s">
        <v>123</v>
      </c>
      <c r="E109" s="33" t="s">
        <v>34</v>
      </c>
      <c r="F109" s="33" t="s">
        <v>35</v>
      </c>
      <c r="G109" s="33" t="s">
        <v>117</v>
      </c>
      <c r="H109" s="20" t="s">
        <v>203</v>
      </c>
      <c r="I109" s="33" t="s">
        <v>65</v>
      </c>
      <c r="J109" s="37">
        <v>300</v>
      </c>
      <c r="K109" s="22">
        <f>IF(I109="","",IF(I109="ENTRADA",ABS(J109),-ABS(J109)))</f>
        <v>-300</v>
      </c>
      <c r="L109" s="33" t="s">
        <v>37</v>
      </c>
      <c r="M109" s="33"/>
      <c r="N109" s="33">
        <v>59334</v>
      </c>
      <c r="O109" s="33" t="s">
        <v>66</v>
      </c>
      <c r="P109" s="45">
        <v>1654</v>
      </c>
      <c r="Q109" s="56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292</v>
      </c>
      <c r="B110" s="42">
        <v>46141</v>
      </c>
      <c r="C110" s="33" t="s">
        <v>130</v>
      </c>
      <c r="D110" s="33" t="s">
        <v>131</v>
      </c>
      <c r="E110" s="33" t="s">
        <v>132</v>
      </c>
      <c r="F110" s="33"/>
      <c r="G110" s="33" t="s">
        <v>133</v>
      </c>
      <c r="H110" s="20" t="s">
        <v>221</v>
      </c>
      <c r="I110" s="33" t="s">
        <v>65</v>
      </c>
      <c r="J110" s="37">
        <v>60</v>
      </c>
      <c r="K110" s="22">
        <f>IF(I110="","",IF(I110="ENTRADA",ABS(J110),-ABS(J110)))</f>
        <v>-60</v>
      </c>
      <c r="L110" s="33" t="s">
        <v>37</v>
      </c>
      <c r="M110" s="33"/>
      <c r="N110" s="33">
        <v>59334</v>
      </c>
      <c r="O110" s="33" t="s">
        <v>66</v>
      </c>
      <c r="P110" s="45">
        <v>1654</v>
      </c>
      <c r="Q110" s="56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293</v>
      </c>
      <c r="B111" s="42">
        <v>46141</v>
      </c>
      <c r="C111" s="33" t="s">
        <v>137</v>
      </c>
      <c r="D111" s="33" t="s">
        <v>138</v>
      </c>
      <c r="E111" s="33" t="s">
        <v>132</v>
      </c>
      <c r="F111" s="33"/>
      <c r="G111" s="33" t="s">
        <v>133</v>
      </c>
      <c r="H111" s="20" t="s">
        <v>211</v>
      </c>
      <c r="I111" s="33" t="s">
        <v>65</v>
      </c>
      <c r="J111" s="50">
        <v>15</v>
      </c>
      <c r="K111" s="22">
        <f>IF(I111="","",IF(I111="ENTRADA",ABS(J111),-ABS(J111)))</f>
        <v>-15</v>
      </c>
      <c r="L111" s="33" t="s">
        <v>37</v>
      </c>
      <c r="M111" s="33"/>
      <c r="N111" s="33">
        <v>59334</v>
      </c>
      <c r="O111" s="33" t="s">
        <v>66</v>
      </c>
      <c r="P111" s="45">
        <v>1654</v>
      </c>
      <c r="Q111" s="56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294</v>
      </c>
      <c r="B112" s="42">
        <v>46141</v>
      </c>
      <c r="C112" s="33" t="s">
        <v>156</v>
      </c>
      <c r="D112" s="33" t="s">
        <v>157</v>
      </c>
      <c r="E112" s="33" t="s">
        <v>25</v>
      </c>
      <c r="F112" s="33" t="s">
        <v>26</v>
      </c>
      <c r="G112" s="33" t="s">
        <v>158</v>
      </c>
      <c r="H112" s="20" t="s">
        <v>295</v>
      </c>
      <c r="I112" s="33" t="s">
        <v>65</v>
      </c>
      <c r="J112" s="37">
        <v>660</v>
      </c>
      <c r="K112" s="22">
        <f>IF(I112="","",IF(I112="ENTRADA",ABS(J112),-ABS(J112)))</f>
        <v>-660</v>
      </c>
      <c r="L112" s="33" t="s">
        <v>29</v>
      </c>
      <c r="M112" s="33"/>
      <c r="N112" s="33">
        <v>59334</v>
      </c>
      <c r="O112" s="33" t="s">
        <v>66</v>
      </c>
      <c r="P112" s="45">
        <v>1654</v>
      </c>
      <c r="Q112" s="56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296</v>
      </c>
      <c r="B113" s="42">
        <v>46141</v>
      </c>
      <c r="C113" s="33" t="s">
        <v>70</v>
      </c>
      <c r="D113" s="33" t="s">
        <v>71</v>
      </c>
      <c r="E113" s="33" t="s">
        <v>70</v>
      </c>
      <c r="F113" s="33"/>
      <c r="G113" s="33" t="s">
        <v>72</v>
      </c>
      <c r="H113" s="20" t="s">
        <v>297</v>
      </c>
      <c r="I113" s="33" t="s">
        <v>65</v>
      </c>
      <c r="J113" s="37">
        <v>10</v>
      </c>
      <c r="K113" s="22">
        <f>IF(I113="","",IF(I113="ENTRADA",ABS(J113),-ABS(J113)))</f>
        <v>-10</v>
      </c>
      <c r="L113" s="33" t="s">
        <v>73</v>
      </c>
      <c r="M113" s="33"/>
      <c r="N113" s="33">
        <v>59334</v>
      </c>
      <c r="O113" s="33" t="s">
        <v>66</v>
      </c>
      <c r="P113" s="45">
        <v>1654</v>
      </c>
      <c r="Q113" s="56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298</v>
      </c>
      <c r="B114" s="44">
        <v>46141</v>
      </c>
      <c r="C114" s="33" t="s">
        <v>299</v>
      </c>
      <c r="D114" s="33" t="s">
        <v>300</v>
      </c>
      <c r="E114" s="33" t="s">
        <v>25</v>
      </c>
      <c r="F114" s="33" t="s">
        <v>165</v>
      </c>
      <c r="G114" s="33" t="s">
        <v>301</v>
      </c>
      <c r="H114" s="20" t="str">
        <f>+T114</f>
        <v>260429-112</v>
      </c>
      <c r="I114" s="33" t="s">
        <v>28</v>
      </c>
      <c r="J114" s="37">
        <v>2840</v>
      </c>
      <c r="K114" s="22">
        <f>IF(I114="","",IF(I114="ENTRADA",ABS(J114),-ABS(J114)))</f>
        <v>2840</v>
      </c>
      <c r="L114" s="33" t="s">
        <v>29</v>
      </c>
      <c r="M114" s="33"/>
      <c r="N114" s="33" t="s">
        <v>302</v>
      </c>
      <c r="O114" s="33"/>
      <c r="P114" s="33">
        <v>14443</v>
      </c>
      <c r="Q114" s="42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303</v>
      </c>
      <c r="B115" s="42">
        <v>46141</v>
      </c>
      <c r="C115" s="33" t="s">
        <v>304</v>
      </c>
      <c r="D115" s="33" t="s">
        <v>305</v>
      </c>
      <c r="E115" s="33" t="s">
        <v>25</v>
      </c>
      <c r="F115" s="33" t="s">
        <v>188</v>
      </c>
      <c r="G115" s="33" t="s">
        <v>301</v>
      </c>
      <c r="H115" s="20" t="str">
        <f>+T115</f>
        <v>260429-113</v>
      </c>
      <c r="I115" s="33" t="s">
        <v>28</v>
      </c>
      <c r="J115" s="37">
        <v>300</v>
      </c>
      <c r="K115" s="22">
        <f>IF(I115="","",IF(I115="ENTRADA",ABS(J115),-ABS(J115)))</f>
        <v>300</v>
      </c>
      <c r="L115" s="33" t="s">
        <v>29</v>
      </c>
      <c r="M115" s="33"/>
      <c r="N115" s="33" t="s">
        <v>302</v>
      </c>
      <c r="O115" s="33"/>
      <c r="P115" s="33">
        <v>14443</v>
      </c>
      <c r="Q115" s="42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306</v>
      </c>
      <c r="B116" s="42">
        <v>46142</v>
      </c>
      <c r="C116" s="33" t="s">
        <v>108</v>
      </c>
      <c r="D116" s="33" t="s">
        <v>109</v>
      </c>
      <c r="E116" s="33" t="s">
        <v>25</v>
      </c>
      <c r="F116" s="33" t="s">
        <v>26</v>
      </c>
      <c r="G116" s="33" t="s">
        <v>27</v>
      </c>
      <c r="H116" s="20" t="s">
        <v>278</v>
      </c>
      <c r="I116" s="33" t="s">
        <v>65</v>
      </c>
      <c r="J116" s="37">
        <v>200</v>
      </c>
      <c r="K116" s="22">
        <f>IF(I116="","",IF(I116="ENTRADA",ABS(J116),-ABS(J116)))</f>
        <v>-200</v>
      </c>
      <c r="L116" s="33" t="s">
        <v>29</v>
      </c>
      <c r="M116" s="33"/>
      <c r="N116" s="33">
        <v>59335</v>
      </c>
      <c r="O116" s="33" t="s">
        <v>152</v>
      </c>
      <c r="P116" s="33">
        <v>1656</v>
      </c>
      <c r="Q116" s="42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307</v>
      </c>
      <c r="B117" s="44">
        <v>46146</v>
      </c>
      <c r="C117" s="33" t="s">
        <v>178</v>
      </c>
      <c r="D117" s="33" t="s">
        <v>179</v>
      </c>
      <c r="E117" s="33" t="s">
        <v>25</v>
      </c>
      <c r="F117" s="33" t="s">
        <v>165</v>
      </c>
      <c r="G117" s="33" t="s">
        <v>180</v>
      </c>
      <c r="H117" s="20" t="s">
        <v>308</v>
      </c>
      <c r="I117" s="33" t="s">
        <v>65</v>
      </c>
      <c r="J117" s="37">
        <v>3900</v>
      </c>
      <c r="K117" s="22">
        <f>IF(I117="","",IF(I117="ENTRADA",ABS(J117),-ABS(J117)))</f>
        <v>-3900</v>
      </c>
      <c r="L117" s="33" t="s">
        <v>29</v>
      </c>
      <c r="M117" s="33"/>
      <c r="N117" s="33">
        <v>59336</v>
      </c>
      <c r="O117" s="33" t="s">
        <v>309</v>
      </c>
      <c r="P117" s="33">
        <v>1658</v>
      </c>
      <c r="Q117" s="42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310</v>
      </c>
      <c r="B118" s="44">
        <v>46146</v>
      </c>
      <c r="C118" s="33" t="s">
        <v>178</v>
      </c>
      <c r="D118" s="33" t="s">
        <v>179</v>
      </c>
      <c r="E118" s="33" t="s">
        <v>25</v>
      </c>
      <c r="F118" s="33" t="s">
        <v>165</v>
      </c>
      <c r="G118" s="33" t="s">
        <v>180</v>
      </c>
      <c r="H118" s="20" t="s">
        <v>308</v>
      </c>
      <c r="I118" s="33" t="s">
        <v>65</v>
      </c>
      <c r="J118" s="37">
        <v>1800</v>
      </c>
      <c r="K118" s="22">
        <f>IF(I118="","",IF(I118="ENTRADA",ABS(J118),-ABS(J118)))</f>
        <v>-1800</v>
      </c>
      <c r="L118" s="33" t="s">
        <v>29</v>
      </c>
      <c r="M118" s="33"/>
      <c r="N118" s="33">
        <v>59336</v>
      </c>
      <c r="O118" s="33" t="s">
        <v>311</v>
      </c>
      <c r="P118" s="33">
        <v>1659</v>
      </c>
      <c r="Q118" s="42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312</v>
      </c>
      <c r="B119" s="42">
        <v>46146</v>
      </c>
      <c r="C119" s="33" t="s">
        <v>256</v>
      </c>
      <c r="D119" s="33" t="s">
        <v>257</v>
      </c>
      <c r="E119" s="33" t="s">
        <v>25</v>
      </c>
      <c r="F119" s="33" t="s">
        <v>258</v>
      </c>
      <c r="G119" s="33" t="s">
        <v>259</v>
      </c>
      <c r="H119" s="20" t="s">
        <v>313</v>
      </c>
      <c r="I119" s="33" t="s">
        <v>65</v>
      </c>
      <c r="J119" s="37">
        <v>3200</v>
      </c>
      <c r="K119" s="22">
        <f>IF(I119="","",IF(I119="ENTRADA",ABS(J119),-ABS(J119)))</f>
        <v>-3200</v>
      </c>
      <c r="L119" s="33" t="s">
        <v>29</v>
      </c>
      <c r="M119" s="33"/>
      <c r="N119" s="33">
        <v>59336</v>
      </c>
      <c r="O119" s="33" t="s">
        <v>309</v>
      </c>
      <c r="P119" s="33">
        <v>1658</v>
      </c>
      <c r="Q119" s="42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314</v>
      </c>
      <c r="B120" s="42">
        <v>46146</v>
      </c>
      <c r="C120" s="33" t="s">
        <v>172</v>
      </c>
      <c r="D120" s="33" t="s">
        <v>173</v>
      </c>
      <c r="E120" s="33" t="s">
        <v>25</v>
      </c>
      <c r="F120" s="33" t="s">
        <v>174</v>
      </c>
      <c r="G120" s="33" t="s">
        <v>166</v>
      </c>
      <c r="H120" s="20" t="s">
        <v>315</v>
      </c>
      <c r="I120" s="33" t="s">
        <v>65</v>
      </c>
      <c r="J120" s="37">
        <v>325</v>
      </c>
      <c r="K120" s="22">
        <f>IF(I120="","",IF(I120="ENTRADA",ABS(J120),-ABS(J120)))</f>
        <v>-325</v>
      </c>
      <c r="L120" s="33" t="s">
        <v>29</v>
      </c>
      <c r="M120" s="33"/>
      <c r="N120" s="33">
        <v>59336</v>
      </c>
      <c r="O120" s="33" t="s">
        <v>309</v>
      </c>
      <c r="P120" s="33">
        <v>1658</v>
      </c>
      <c r="Q120" s="42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316</v>
      </c>
      <c r="B121" s="44">
        <v>46146</v>
      </c>
      <c r="C121" s="33" t="s">
        <v>164</v>
      </c>
      <c r="D121" s="33" t="s">
        <v>164</v>
      </c>
      <c r="E121" s="33" t="s">
        <v>25</v>
      </c>
      <c r="F121" s="33" t="s">
        <v>165</v>
      </c>
      <c r="G121" s="33" t="s">
        <v>166</v>
      </c>
      <c r="H121" s="20" t="s">
        <v>317</v>
      </c>
      <c r="I121" s="33" t="s">
        <v>65</v>
      </c>
      <c r="J121" s="37">
        <v>3400</v>
      </c>
      <c r="K121" s="22">
        <f>IF(I121="","",IF(I121="ENTRADA",ABS(J121),-ABS(J121)))</f>
        <v>-3400</v>
      </c>
      <c r="L121" s="33" t="s">
        <v>29</v>
      </c>
      <c r="M121" s="33"/>
      <c r="N121" s="33">
        <v>59336</v>
      </c>
      <c r="O121" s="33" t="s">
        <v>311</v>
      </c>
      <c r="P121" s="33">
        <v>1659</v>
      </c>
      <c r="Q121" s="42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318</v>
      </c>
      <c r="B122" s="42">
        <v>46146</v>
      </c>
      <c r="C122" s="33" t="s">
        <v>186</v>
      </c>
      <c r="D122" s="33" t="s">
        <v>187</v>
      </c>
      <c r="E122" s="33" t="s">
        <v>25</v>
      </c>
      <c r="F122" s="33" t="s">
        <v>188</v>
      </c>
      <c r="G122" s="33" t="s">
        <v>180</v>
      </c>
      <c r="H122" s="20" t="s">
        <v>319</v>
      </c>
      <c r="I122" s="33" t="s">
        <v>65</v>
      </c>
      <c r="J122" s="37">
        <v>300</v>
      </c>
      <c r="K122" s="22">
        <f>IF(I122="","",IF(I122="ENTRADA",ABS(J122),-ABS(J122)))</f>
        <v>-300</v>
      </c>
      <c r="L122" s="33" t="s">
        <v>29</v>
      </c>
      <c r="M122" s="33"/>
      <c r="N122" s="33">
        <v>59336</v>
      </c>
      <c r="O122" s="33" t="s">
        <v>309</v>
      </c>
      <c r="P122" s="33">
        <v>1658</v>
      </c>
      <c r="Q122" s="42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320</v>
      </c>
      <c r="B123" s="42">
        <v>46146</v>
      </c>
      <c r="C123" s="33" t="s">
        <v>190</v>
      </c>
      <c r="D123" s="33" t="s">
        <v>191</v>
      </c>
      <c r="E123" s="33" t="s">
        <v>25</v>
      </c>
      <c r="F123" s="33" t="s">
        <v>192</v>
      </c>
      <c r="G123" s="33" t="s">
        <v>180</v>
      </c>
      <c r="H123" s="20" t="s">
        <v>321</v>
      </c>
      <c r="I123" s="33" t="s">
        <v>65</v>
      </c>
      <c r="J123" s="37">
        <v>450</v>
      </c>
      <c r="K123" s="22">
        <f>IF(I123="","",IF(I123="ENTRADA",ABS(J123),-ABS(J123)))</f>
        <v>-450</v>
      </c>
      <c r="L123" s="33" t="s">
        <v>29</v>
      </c>
      <c r="M123" s="33"/>
      <c r="N123" s="33">
        <v>59337</v>
      </c>
      <c r="O123" s="33" t="s">
        <v>309</v>
      </c>
      <c r="P123" s="33">
        <v>1658</v>
      </c>
      <c r="Q123" s="42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322</v>
      </c>
      <c r="B124" s="42">
        <v>46146</v>
      </c>
      <c r="C124" s="33" t="s">
        <v>261</v>
      </c>
      <c r="D124" s="33" t="s">
        <v>262</v>
      </c>
      <c r="E124" s="33" t="s">
        <v>25</v>
      </c>
      <c r="F124" s="33" t="s">
        <v>184</v>
      </c>
      <c r="G124" s="33" t="s">
        <v>259</v>
      </c>
      <c r="H124" s="20" t="s">
        <v>323</v>
      </c>
      <c r="I124" s="33" t="s">
        <v>65</v>
      </c>
      <c r="J124" s="37">
        <v>1200</v>
      </c>
      <c r="K124" s="22">
        <f>IF(I124="","",IF(I124="ENTRADA",ABS(J124),-ABS(J124)))</f>
        <v>-1200</v>
      </c>
      <c r="L124" s="33" t="s">
        <v>29</v>
      </c>
      <c r="M124" s="33"/>
      <c r="N124" s="33">
        <v>59337</v>
      </c>
      <c r="O124" s="33" t="s">
        <v>309</v>
      </c>
      <c r="P124" s="33">
        <v>1658</v>
      </c>
      <c r="Q124" s="42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324</v>
      </c>
      <c r="B125" s="42">
        <v>46146</v>
      </c>
      <c r="C125" s="33" t="s">
        <v>194</v>
      </c>
      <c r="D125" s="33" t="s">
        <v>194</v>
      </c>
      <c r="E125" s="33" t="s">
        <v>25</v>
      </c>
      <c r="F125" s="33" t="s">
        <v>195</v>
      </c>
      <c r="G125" s="33" t="s">
        <v>180</v>
      </c>
      <c r="H125" s="20" t="s">
        <v>325</v>
      </c>
      <c r="I125" s="33" t="s">
        <v>65</v>
      </c>
      <c r="J125" s="37">
        <v>275</v>
      </c>
      <c r="K125" s="22">
        <f>IF(I125="","",IF(I125="ENTRADA",ABS(J125),-ABS(J125)))</f>
        <v>-275</v>
      </c>
      <c r="L125" s="33" t="s">
        <v>29</v>
      </c>
      <c r="M125" s="33"/>
      <c r="N125" s="33">
        <v>59337</v>
      </c>
      <c r="O125" s="33" t="s">
        <v>309</v>
      </c>
      <c r="P125" s="33">
        <v>1658</v>
      </c>
      <c r="Q125" s="42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326</v>
      </c>
      <c r="B126" s="42">
        <v>46146</v>
      </c>
      <c r="C126" s="33" t="s">
        <v>228</v>
      </c>
      <c r="D126" s="33" t="s">
        <v>229</v>
      </c>
      <c r="E126" s="33" t="s">
        <v>25</v>
      </c>
      <c r="F126" s="33" t="s">
        <v>26</v>
      </c>
      <c r="G126" s="33" t="s">
        <v>27</v>
      </c>
      <c r="H126" s="20" t="s">
        <v>327</v>
      </c>
      <c r="I126" s="33" t="s">
        <v>65</v>
      </c>
      <c r="J126" s="37">
        <v>1500</v>
      </c>
      <c r="K126" s="22">
        <f>IF(I126="","",IF(I126="ENTRADA",ABS(J126),-ABS(J126)))</f>
        <v>-1500</v>
      </c>
      <c r="L126" s="33" t="s">
        <v>29</v>
      </c>
      <c r="M126" s="33"/>
      <c r="N126" s="33">
        <v>59337</v>
      </c>
      <c r="O126" s="33" t="s">
        <v>309</v>
      </c>
      <c r="P126" s="33">
        <v>1658</v>
      </c>
      <c r="Q126" s="42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328</v>
      </c>
      <c r="B127" s="42">
        <v>46146</v>
      </c>
      <c r="C127" s="33" t="s">
        <v>231</v>
      </c>
      <c r="D127" s="33" t="s">
        <v>231</v>
      </c>
      <c r="E127" s="33" t="s">
        <v>25</v>
      </c>
      <c r="F127" s="33" t="s">
        <v>26</v>
      </c>
      <c r="G127" s="33" t="s">
        <v>27</v>
      </c>
      <c r="H127" s="20" t="s">
        <v>329</v>
      </c>
      <c r="I127" s="33" t="s">
        <v>65</v>
      </c>
      <c r="J127" s="37">
        <v>1180</v>
      </c>
      <c r="K127" s="22">
        <f>IF(I127="","",IF(I127="ENTRADA",ABS(J127),-ABS(J127)))</f>
        <v>-1180</v>
      </c>
      <c r="L127" s="33" t="s">
        <v>29</v>
      </c>
      <c r="M127" s="33"/>
      <c r="N127" s="33">
        <v>59337</v>
      </c>
      <c r="O127" s="33" t="s">
        <v>309</v>
      </c>
      <c r="P127" s="33">
        <v>1658</v>
      </c>
      <c r="Q127" s="42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330</v>
      </c>
      <c r="B128" s="42">
        <v>46146</v>
      </c>
      <c r="C128" s="33" t="s">
        <v>108</v>
      </c>
      <c r="D128" s="33" t="s">
        <v>109</v>
      </c>
      <c r="E128" s="33" t="s">
        <v>25</v>
      </c>
      <c r="F128" s="33" t="s">
        <v>26</v>
      </c>
      <c r="G128" s="33" t="s">
        <v>27</v>
      </c>
      <c r="H128" s="20" t="s">
        <v>278</v>
      </c>
      <c r="I128" s="33" t="s">
        <v>65</v>
      </c>
      <c r="J128" s="37">
        <v>1080</v>
      </c>
      <c r="K128" s="22">
        <f>IF(I128="","",IF(I128="ENTRADA",ABS(J128),-ABS(J128)))</f>
        <v>-1080</v>
      </c>
      <c r="L128" s="33" t="s">
        <v>29</v>
      </c>
      <c r="M128" s="33"/>
      <c r="N128" s="33">
        <v>59337</v>
      </c>
      <c r="O128" s="33" t="s">
        <v>331</v>
      </c>
      <c r="P128" s="33">
        <v>1660</v>
      </c>
      <c r="Q128" s="42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332</v>
      </c>
      <c r="B129" s="42">
        <v>46146</v>
      </c>
      <c r="C129" s="33" t="s">
        <v>80</v>
      </c>
      <c r="D129" s="33" t="s">
        <v>81</v>
      </c>
      <c r="E129" s="33" t="s">
        <v>25</v>
      </c>
      <c r="F129" s="33" t="s">
        <v>82</v>
      </c>
      <c r="G129" s="33" t="s">
        <v>83</v>
      </c>
      <c r="H129" s="20" t="s">
        <v>151</v>
      </c>
      <c r="I129" s="33" t="s">
        <v>65</v>
      </c>
      <c r="J129" s="37">
        <v>625</v>
      </c>
      <c r="K129" s="22">
        <f>IF(I129="","",IF(I129="ENTRADA",ABS(J129),-ABS(J129)))</f>
        <v>-625</v>
      </c>
      <c r="L129" s="33" t="s">
        <v>29</v>
      </c>
      <c r="M129" s="33"/>
      <c r="N129" s="33">
        <v>59340</v>
      </c>
      <c r="O129" s="33" t="s">
        <v>152</v>
      </c>
      <c r="P129" s="33">
        <v>1661</v>
      </c>
      <c r="Q129" s="42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333</v>
      </c>
      <c r="B130" s="42">
        <v>46146</v>
      </c>
      <c r="C130" s="33" t="s">
        <v>115</v>
      </c>
      <c r="D130" s="33" t="s">
        <v>116</v>
      </c>
      <c r="E130" s="33" t="s">
        <v>34</v>
      </c>
      <c r="F130" s="33" t="s">
        <v>35</v>
      </c>
      <c r="G130" s="33" t="s">
        <v>117</v>
      </c>
      <c r="H130" s="20" t="s">
        <v>120</v>
      </c>
      <c r="I130" s="33" t="s">
        <v>65</v>
      </c>
      <c r="J130" s="37">
        <v>2880</v>
      </c>
      <c r="K130" s="22">
        <f>IF(I130="","",IF(I130="ENTRADA",ABS(J130),-ABS(J130)))</f>
        <v>-2880</v>
      </c>
      <c r="L130" s="33" t="s">
        <v>37</v>
      </c>
      <c r="M130" s="33"/>
      <c r="N130" s="33">
        <v>59339</v>
      </c>
      <c r="O130" s="33" t="s">
        <v>213</v>
      </c>
      <c r="P130" s="33">
        <v>1662</v>
      </c>
      <c r="Q130" s="42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334</v>
      </c>
      <c r="B131" s="42">
        <v>46146</v>
      </c>
      <c r="C131" s="33" t="s">
        <v>122</v>
      </c>
      <c r="D131" s="33" t="s">
        <v>123</v>
      </c>
      <c r="E131" s="33" t="s">
        <v>34</v>
      </c>
      <c r="F131" s="33" t="s">
        <v>35</v>
      </c>
      <c r="G131" s="33" t="s">
        <v>117</v>
      </c>
      <c r="H131" s="20" t="s">
        <v>203</v>
      </c>
      <c r="I131" s="33" t="s">
        <v>65</v>
      </c>
      <c r="J131" s="37">
        <v>1000</v>
      </c>
      <c r="K131" s="22">
        <f>IF(I131="","",IF(I131="ENTRADA",ABS(J131),-ABS(J131)))</f>
        <v>-1000</v>
      </c>
      <c r="L131" s="33" t="s">
        <v>37</v>
      </c>
      <c r="M131" s="33"/>
      <c r="N131" s="33">
        <v>59339</v>
      </c>
      <c r="O131" s="33" t="s">
        <v>213</v>
      </c>
      <c r="P131" s="33">
        <v>1662</v>
      </c>
      <c r="Q131" s="42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335</v>
      </c>
      <c r="B132" s="42">
        <v>46146</v>
      </c>
      <c r="C132" s="33" t="s">
        <v>86</v>
      </c>
      <c r="D132" s="33" t="s">
        <v>87</v>
      </c>
      <c r="E132" s="33" t="s">
        <v>34</v>
      </c>
      <c r="F132" s="33" t="s">
        <v>35</v>
      </c>
      <c r="G132" s="33" t="s">
        <v>36</v>
      </c>
      <c r="H132" s="20" t="s">
        <v>100</v>
      </c>
      <c r="I132" s="33" t="s">
        <v>65</v>
      </c>
      <c r="J132" s="37">
        <v>200</v>
      </c>
      <c r="K132" s="22">
        <f>IF(I132="","",IF(I132="ENTRADA",ABS(J132),-ABS(J132)))</f>
        <v>-200</v>
      </c>
      <c r="L132" s="33" t="s">
        <v>37</v>
      </c>
      <c r="M132" s="33"/>
      <c r="N132" s="33">
        <v>59339</v>
      </c>
      <c r="O132" s="33" t="s">
        <v>213</v>
      </c>
      <c r="P132" s="33">
        <v>1662</v>
      </c>
      <c r="Q132" s="42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336</v>
      </c>
      <c r="B133" s="42">
        <v>46117</v>
      </c>
      <c r="C133" s="33" t="s">
        <v>108</v>
      </c>
      <c r="D133" s="33" t="s">
        <v>109</v>
      </c>
      <c r="E133" s="33" t="s">
        <v>25</v>
      </c>
      <c r="F133" s="33" t="s">
        <v>26</v>
      </c>
      <c r="G133" s="33" t="s">
        <v>27</v>
      </c>
      <c r="H133" s="20" t="s">
        <v>278</v>
      </c>
      <c r="I133" s="33" t="s">
        <v>65</v>
      </c>
      <c r="J133" s="37">
        <v>20</v>
      </c>
      <c r="K133" s="22">
        <f>IF(I133="","",IF(I133="ENTRADA",ABS(J133),-ABS(J133)))</f>
        <v>-20</v>
      </c>
      <c r="L133" s="33" t="s">
        <v>29</v>
      </c>
      <c r="M133" s="33"/>
      <c r="N133" s="33">
        <v>59341</v>
      </c>
      <c r="O133" s="33" t="s">
        <v>152</v>
      </c>
      <c r="P133" s="33">
        <v>1663</v>
      </c>
      <c r="Q133" s="42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337</v>
      </c>
      <c r="B134" s="42">
        <v>46117</v>
      </c>
      <c r="C134" s="33" t="s">
        <v>90</v>
      </c>
      <c r="D134" s="33" t="s">
        <v>91</v>
      </c>
      <c r="E134" s="33" t="s">
        <v>34</v>
      </c>
      <c r="F134" s="33" t="s">
        <v>35</v>
      </c>
      <c r="G134" s="33" t="s">
        <v>36</v>
      </c>
      <c r="H134" s="20" t="str">
        <f>+T134</f>
        <v>260405-132</v>
      </c>
      <c r="I134" s="33" t="s">
        <v>28</v>
      </c>
      <c r="J134" s="37">
        <v>4500</v>
      </c>
      <c r="K134" s="22">
        <f>IF(I134="","",IF(I134="ENTRADA",ABS(J134),-ABS(J134)))</f>
        <v>4500</v>
      </c>
      <c r="L134" s="33" t="s">
        <v>37</v>
      </c>
      <c r="M134" s="42">
        <v>46801</v>
      </c>
      <c r="N134" s="33">
        <v>12707</v>
      </c>
      <c r="O134" s="33"/>
      <c r="P134" s="33">
        <v>14471</v>
      </c>
      <c r="Q134" s="42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338</v>
      </c>
      <c r="B135" s="42">
        <v>46146</v>
      </c>
      <c r="C135" s="33" t="s">
        <v>115</v>
      </c>
      <c r="D135" s="33" t="s">
        <v>116</v>
      </c>
      <c r="E135" s="33" t="s">
        <v>34</v>
      </c>
      <c r="F135" s="33" t="s">
        <v>35</v>
      </c>
      <c r="G135" s="33" t="s">
        <v>117</v>
      </c>
      <c r="H135" s="20" t="s">
        <v>120</v>
      </c>
      <c r="I135" s="33" t="s">
        <v>65</v>
      </c>
      <c r="J135" s="37">
        <v>900</v>
      </c>
      <c r="K135" s="22">
        <f>IF(I135="","",IF(I135="ENTRADA",ABS(J135),-ABS(J135)))</f>
        <v>-900</v>
      </c>
      <c r="L135" s="33" t="s">
        <v>37</v>
      </c>
      <c r="M135" s="33"/>
      <c r="N135" s="33">
        <v>59338</v>
      </c>
      <c r="O135" s="33" t="s">
        <v>218</v>
      </c>
      <c r="P135" s="33">
        <v>1657</v>
      </c>
      <c r="Q135" s="42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339</v>
      </c>
      <c r="B136" s="42">
        <v>46146</v>
      </c>
      <c r="C136" s="33" t="s">
        <v>122</v>
      </c>
      <c r="D136" s="33" t="s">
        <v>123</v>
      </c>
      <c r="E136" s="33" t="s">
        <v>34</v>
      </c>
      <c r="F136" s="33" t="s">
        <v>35</v>
      </c>
      <c r="G136" s="33" t="s">
        <v>117</v>
      </c>
      <c r="H136" s="20" t="s">
        <v>203</v>
      </c>
      <c r="I136" s="33" t="s">
        <v>65</v>
      </c>
      <c r="J136" s="37">
        <v>300</v>
      </c>
      <c r="K136" s="22">
        <f>IF(I136="","",IF(I136="ENTRADA",ABS(J136),-ABS(J136)))</f>
        <v>-300</v>
      </c>
      <c r="L136" s="33" t="s">
        <v>37</v>
      </c>
      <c r="M136" s="33"/>
      <c r="N136" s="33">
        <v>59338</v>
      </c>
      <c r="O136" s="33" t="s">
        <v>218</v>
      </c>
      <c r="P136" s="33">
        <v>1657</v>
      </c>
      <c r="Q136" s="42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340</v>
      </c>
      <c r="B137" s="42">
        <v>46146</v>
      </c>
      <c r="C137" s="33" t="s">
        <v>90</v>
      </c>
      <c r="D137" s="33" t="s">
        <v>91</v>
      </c>
      <c r="E137" s="33" t="s">
        <v>34</v>
      </c>
      <c r="F137" s="33" t="s">
        <v>35</v>
      </c>
      <c r="G137" s="33" t="s">
        <v>36</v>
      </c>
      <c r="H137" s="20" t="s">
        <v>103</v>
      </c>
      <c r="I137" s="33" t="s">
        <v>65</v>
      </c>
      <c r="J137" s="37">
        <v>120</v>
      </c>
      <c r="K137" s="22">
        <f>IF(I137="","",IF(I137="ENTRADA",ABS(J137),-ABS(J137)))</f>
        <v>-120</v>
      </c>
      <c r="L137" s="33" t="s">
        <v>37</v>
      </c>
      <c r="M137" s="33"/>
      <c r="N137" s="33">
        <v>59338</v>
      </c>
      <c r="O137" s="33" t="s">
        <v>218</v>
      </c>
      <c r="P137" s="33">
        <v>1657</v>
      </c>
      <c r="Q137" s="42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341</v>
      </c>
      <c r="B138" s="42">
        <v>46146</v>
      </c>
      <c r="C138" s="33" t="s">
        <v>130</v>
      </c>
      <c r="D138" s="33" t="s">
        <v>131</v>
      </c>
      <c r="E138" s="33" t="s">
        <v>132</v>
      </c>
      <c r="F138" s="33"/>
      <c r="G138" s="33" t="s">
        <v>133</v>
      </c>
      <c r="H138" s="20" t="s">
        <v>221</v>
      </c>
      <c r="I138" s="33" t="s">
        <v>65</v>
      </c>
      <c r="J138" s="37">
        <v>20</v>
      </c>
      <c r="K138" s="22">
        <f>IF(I138="","",IF(I138="ENTRADA",ABS(J138),-ABS(J138)))</f>
        <v>-20</v>
      </c>
      <c r="L138" s="33" t="s">
        <v>37</v>
      </c>
      <c r="M138" s="33"/>
      <c r="N138" s="33">
        <v>59338</v>
      </c>
      <c r="O138" s="33" t="s">
        <v>218</v>
      </c>
      <c r="P138" s="33">
        <v>1657</v>
      </c>
      <c r="Q138" s="42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342</v>
      </c>
      <c r="B139" s="42">
        <v>46154</v>
      </c>
      <c r="C139" s="33" t="s">
        <v>172</v>
      </c>
      <c r="D139" s="33" t="s">
        <v>173</v>
      </c>
      <c r="E139" s="33" t="s">
        <v>25</v>
      </c>
      <c r="F139" s="33" t="s">
        <v>174</v>
      </c>
      <c r="G139" s="33" t="s">
        <v>166</v>
      </c>
      <c r="H139" s="20" t="s">
        <v>315</v>
      </c>
      <c r="I139" s="33" t="s">
        <v>65</v>
      </c>
      <c r="J139" s="37">
        <v>425</v>
      </c>
      <c r="K139" s="22">
        <f>IF(I139="","",IF(I139="ENTRADA",ABS(J139),-ABS(J139)))</f>
        <v>-425</v>
      </c>
      <c r="L139" s="33" t="s">
        <v>29</v>
      </c>
      <c r="M139" s="33"/>
      <c r="N139" s="33">
        <v>59342</v>
      </c>
      <c r="O139" s="33" t="s">
        <v>311</v>
      </c>
      <c r="P139" s="33">
        <v>1669</v>
      </c>
      <c r="Q139" s="42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343</v>
      </c>
      <c r="B140" s="42">
        <v>46154</v>
      </c>
      <c r="C140" s="33" t="s">
        <v>186</v>
      </c>
      <c r="D140" s="33" t="s">
        <v>187</v>
      </c>
      <c r="E140" s="33" t="s">
        <v>25</v>
      </c>
      <c r="F140" s="33" t="s">
        <v>188</v>
      </c>
      <c r="G140" s="33" t="s">
        <v>180</v>
      </c>
      <c r="H140" s="20" t="s">
        <v>319</v>
      </c>
      <c r="I140" s="33" t="s">
        <v>65</v>
      </c>
      <c r="J140" s="37">
        <v>575</v>
      </c>
      <c r="K140" s="22">
        <f>IF(I140="","",IF(I140="ENTRADA",ABS(J140),-ABS(J140)))</f>
        <v>-575</v>
      </c>
      <c r="L140" s="33" t="s">
        <v>29</v>
      </c>
      <c r="M140" s="33"/>
      <c r="N140" s="33">
        <v>59342</v>
      </c>
      <c r="O140" s="33" t="s">
        <v>311</v>
      </c>
      <c r="P140" s="33">
        <v>1669</v>
      </c>
      <c r="Q140" s="42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344</v>
      </c>
      <c r="B141" s="42">
        <v>46154</v>
      </c>
      <c r="C141" s="33" t="s">
        <v>156</v>
      </c>
      <c r="D141" s="33" t="s">
        <v>157</v>
      </c>
      <c r="E141" s="33" t="s">
        <v>25</v>
      </c>
      <c r="F141" s="33" t="s">
        <v>26</v>
      </c>
      <c r="G141" s="33" t="s">
        <v>158</v>
      </c>
      <c r="H141" s="20" t="s">
        <v>295</v>
      </c>
      <c r="I141" s="33" t="s">
        <v>65</v>
      </c>
      <c r="J141" s="37">
        <v>640</v>
      </c>
      <c r="K141" s="22">
        <f>IF(I141="","",IF(I141="ENTRADA",ABS(J141),-ABS(J141)))</f>
        <v>-640</v>
      </c>
      <c r="L141" s="33" t="s">
        <v>29</v>
      </c>
      <c r="M141" s="33"/>
      <c r="N141" s="33">
        <v>59342</v>
      </c>
      <c r="O141" s="33" t="s">
        <v>331</v>
      </c>
      <c r="P141" s="33">
        <v>1670</v>
      </c>
      <c r="Q141" s="42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345</v>
      </c>
      <c r="B142" s="42">
        <v>46154</v>
      </c>
      <c r="C142" s="33" t="s">
        <v>160</v>
      </c>
      <c r="D142" s="33" t="s">
        <v>161</v>
      </c>
      <c r="E142" s="33" t="s">
        <v>25</v>
      </c>
      <c r="F142" s="33" t="s">
        <v>26</v>
      </c>
      <c r="G142" s="33" t="s">
        <v>158</v>
      </c>
      <c r="H142" s="20" t="s">
        <v>239</v>
      </c>
      <c r="I142" s="33" t="s">
        <v>65</v>
      </c>
      <c r="J142" s="37">
        <v>240</v>
      </c>
      <c r="K142" s="22">
        <f>IF(I142="","",IF(I142="ENTRADA",ABS(J142),-ABS(J142)))</f>
        <v>-240</v>
      </c>
      <c r="L142" s="33" t="s">
        <v>29</v>
      </c>
      <c r="M142" s="33"/>
      <c r="N142" s="33">
        <v>59342</v>
      </c>
      <c r="O142" s="33" t="s">
        <v>331</v>
      </c>
      <c r="P142" s="33">
        <v>1670</v>
      </c>
      <c r="Q142" s="42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346</v>
      </c>
      <c r="B143" s="42">
        <v>46154</v>
      </c>
      <c r="C143" s="33" t="s">
        <v>168</v>
      </c>
      <c r="D143" s="33" t="s">
        <v>169</v>
      </c>
      <c r="E143" s="33" t="s">
        <v>25</v>
      </c>
      <c r="F143" s="33" t="s">
        <v>170</v>
      </c>
      <c r="G143" s="33" t="s">
        <v>166</v>
      </c>
      <c r="H143" s="20" t="s">
        <v>347</v>
      </c>
      <c r="I143" s="33" t="s">
        <v>65</v>
      </c>
      <c r="J143" s="37">
        <v>375</v>
      </c>
      <c r="K143" s="22">
        <f>IF(I143="","",IF(I143="ENTRADA",ABS(J143),-ABS(J143)))</f>
        <v>-375</v>
      </c>
      <c r="L143" s="33" t="s">
        <v>29</v>
      </c>
      <c r="M143" s="33"/>
      <c r="N143" s="33">
        <v>59343</v>
      </c>
      <c r="O143" s="33" t="s">
        <v>213</v>
      </c>
      <c r="P143" s="33">
        <v>1671</v>
      </c>
      <c r="Q143" s="42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348</v>
      </c>
      <c r="B144" s="42">
        <v>46154</v>
      </c>
      <c r="C144" s="33" t="s">
        <v>264</v>
      </c>
      <c r="D144" s="33" t="s">
        <v>265</v>
      </c>
      <c r="E144" s="33" t="s">
        <v>25</v>
      </c>
      <c r="F144" s="33" t="s">
        <v>170</v>
      </c>
      <c r="G144" s="33" t="s">
        <v>259</v>
      </c>
      <c r="H144" s="20" t="s">
        <v>349</v>
      </c>
      <c r="I144" s="33" t="s">
        <v>65</v>
      </c>
      <c r="J144" s="37">
        <v>375</v>
      </c>
      <c r="K144" s="22">
        <f>IF(I144="","",IF(I144="ENTRADA",ABS(J144),-ABS(J144)))</f>
        <v>-375</v>
      </c>
      <c r="L144" s="33" t="s">
        <v>29</v>
      </c>
      <c r="M144" s="33"/>
      <c r="N144" s="33">
        <v>59343</v>
      </c>
      <c r="O144" s="33" t="s">
        <v>213</v>
      </c>
      <c r="P144" s="33">
        <v>1671</v>
      </c>
      <c r="Q144" s="42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350</v>
      </c>
      <c r="B145" s="42">
        <v>46154</v>
      </c>
      <c r="C145" s="33" t="s">
        <v>182</v>
      </c>
      <c r="D145" s="33" t="s">
        <v>183</v>
      </c>
      <c r="E145" s="33" t="s">
        <v>25</v>
      </c>
      <c r="F145" s="33" t="s">
        <v>184</v>
      </c>
      <c r="G145" s="33" t="s">
        <v>180</v>
      </c>
      <c r="H145" s="20" t="s">
        <v>351</v>
      </c>
      <c r="I145" s="33" t="s">
        <v>65</v>
      </c>
      <c r="J145" s="37">
        <v>800</v>
      </c>
      <c r="K145" s="22">
        <f>IF(I145="","",IF(I145="ENTRADA",ABS(J145),-ABS(J145)))</f>
        <v>-800</v>
      </c>
      <c r="L145" s="33" t="s">
        <v>29</v>
      </c>
      <c r="M145" s="33"/>
      <c r="N145" s="33">
        <v>59343</v>
      </c>
      <c r="O145" s="33" t="s">
        <v>213</v>
      </c>
      <c r="P145" s="33">
        <v>1671</v>
      </c>
      <c r="Q145" s="42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352</v>
      </c>
      <c r="B146" s="42">
        <v>46154</v>
      </c>
      <c r="C146" s="33" t="s">
        <v>231</v>
      </c>
      <c r="D146" s="33" t="s">
        <v>231</v>
      </c>
      <c r="E146" s="33" t="s">
        <v>25</v>
      </c>
      <c r="F146" s="33" t="s">
        <v>26</v>
      </c>
      <c r="G146" s="33" t="s">
        <v>27</v>
      </c>
      <c r="H146" s="20" t="s">
        <v>329</v>
      </c>
      <c r="I146" s="33" t="s">
        <v>65</v>
      </c>
      <c r="J146" s="37">
        <v>1120</v>
      </c>
      <c r="K146" s="22">
        <f>IF(I146="","",IF(I146="ENTRADA",ABS(J146),-ABS(J146)))</f>
        <v>-1120</v>
      </c>
      <c r="L146" s="33" t="s">
        <v>29</v>
      </c>
      <c r="M146" s="33"/>
      <c r="N146" s="33">
        <v>59343</v>
      </c>
      <c r="O146" s="33" t="s">
        <v>213</v>
      </c>
      <c r="P146" s="33">
        <v>1671</v>
      </c>
      <c r="Q146" s="42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353</v>
      </c>
      <c r="B147" s="42">
        <v>46154</v>
      </c>
      <c r="C147" s="33" t="s">
        <v>80</v>
      </c>
      <c r="D147" s="33" t="s">
        <v>81</v>
      </c>
      <c r="E147" s="33" t="s">
        <v>25</v>
      </c>
      <c r="F147" s="33" t="s">
        <v>82</v>
      </c>
      <c r="G147" s="33" t="s">
        <v>83</v>
      </c>
      <c r="H147" s="20" t="s">
        <v>151</v>
      </c>
      <c r="I147" s="33" t="s">
        <v>65</v>
      </c>
      <c r="J147" s="37">
        <v>2425</v>
      </c>
      <c r="K147" s="22">
        <f>IF(I147="","",IF(I147="ENTRADA",ABS(J147),-ABS(J147)))</f>
        <v>-2425</v>
      </c>
      <c r="L147" s="33" t="s">
        <v>29</v>
      </c>
      <c r="M147" s="33"/>
      <c r="N147" s="33">
        <v>59344</v>
      </c>
      <c r="O147" s="33" t="s">
        <v>152</v>
      </c>
      <c r="P147" s="33">
        <v>1672</v>
      </c>
      <c r="Q147" s="42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354</v>
      </c>
      <c r="B148" s="42">
        <v>46154</v>
      </c>
      <c r="C148" s="33" t="s">
        <v>156</v>
      </c>
      <c r="D148" s="33" t="s">
        <v>157</v>
      </c>
      <c r="E148" s="33" t="s">
        <v>25</v>
      </c>
      <c r="F148" s="33" t="s">
        <v>26</v>
      </c>
      <c r="G148" s="33" t="s">
        <v>158</v>
      </c>
      <c r="H148" s="20" t="s">
        <v>295</v>
      </c>
      <c r="I148" s="33" t="s">
        <v>65</v>
      </c>
      <c r="J148" s="37">
        <v>720</v>
      </c>
      <c r="K148" s="22">
        <f>IF(I148="","",IF(I148="ENTRADA",ABS(J148),-ABS(J148)))</f>
        <v>-720</v>
      </c>
      <c r="L148" s="33" t="s">
        <v>29</v>
      </c>
      <c r="M148" s="33"/>
      <c r="N148" s="33">
        <v>59345</v>
      </c>
      <c r="O148" s="33" t="s">
        <v>152</v>
      </c>
      <c r="P148" s="33">
        <v>1673</v>
      </c>
      <c r="Q148" s="42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355</v>
      </c>
      <c r="B149" s="42">
        <v>46155</v>
      </c>
      <c r="C149" s="33" t="s">
        <v>115</v>
      </c>
      <c r="D149" s="33" t="s">
        <v>116</v>
      </c>
      <c r="E149" s="33" t="s">
        <v>34</v>
      </c>
      <c r="F149" s="33" t="s">
        <v>35</v>
      </c>
      <c r="G149" s="33" t="s">
        <v>117</v>
      </c>
      <c r="H149" s="20" t="s">
        <v>120</v>
      </c>
      <c r="I149" s="33" t="s">
        <v>65</v>
      </c>
      <c r="J149" s="37">
        <v>960</v>
      </c>
      <c r="K149" s="22">
        <f>IF(I149="","",IF(I149="ENTRADA",ABS(J149),-ABS(J149)))</f>
        <v>-960</v>
      </c>
      <c r="L149" s="33" t="s">
        <v>37</v>
      </c>
      <c r="M149" s="33"/>
      <c r="N149" s="33">
        <v>59346</v>
      </c>
      <c r="O149" s="33" t="s">
        <v>213</v>
      </c>
      <c r="P149" s="33">
        <v>1674</v>
      </c>
      <c r="Q149" s="42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356</v>
      </c>
      <c r="B150" s="42">
        <v>46155</v>
      </c>
      <c r="C150" s="33" t="s">
        <v>115</v>
      </c>
      <c r="D150" s="33" t="s">
        <v>116</v>
      </c>
      <c r="E150" s="33" t="s">
        <v>34</v>
      </c>
      <c r="F150" s="33" t="s">
        <v>35</v>
      </c>
      <c r="G150" s="33" t="s">
        <v>117</v>
      </c>
      <c r="H150" s="20" t="s">
        <v>120</v>
      </c>
      <c r="I150" s="33" t="s">
        <v>65</v>
      </c>
      <c r="J150" s="37">
        <v>400</v>
      </c>
      <c r="K150" s="22">
        <f>IF(I150="","",IF(I150="ENTRADA",ABS(J150),-ABS(J150)))</f>
        <v>-400</v>
      </c>
      <c r="L150" s="33" t="s">
        <v>37</v>
      </c>
      <c r="M150" s="33"/>
      <c r="N150" s="33">
        <v>59347</v>
      </c>
      <c r="O150" s="33" t="s">
        <v>218</v>
      </c>
      <c r="P150" s="33">
        <v>1675</v>
      </c>
      <c r="Q150" s="42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357</v>
      </c>
      <c r="B151" s="42">
        <v>46155</v>
      </c>
      <c r="C151" s="33" t="s">
        <v>130</v>
      </c>
      <c r="D151" s="33" t="s">
        <v>131</v>
      </c>
      <c r="E151" s="33" t="s">
        <v>132</v>
      </c>
      <c r="F151" s="33"/>
      <c r="G151" s="33" t="s">
        <v>133</v>
      </c>
      <c r="H151" s="20" t="s">
        <v>221</v>
      </c>
      <c r="I151" s="33" t="s">
        <v>65</v>
      </c>
      <c r="J151" s="37">
        <v>60</v>
      </c>
      <c r="K151" s="22">
        <f>IF(I151="","",IF(I151="ENTRADA",ABS(J151),-ABS(J151)))</f>
        <v>-60</v>
      </c>
      <c r="L151" s="33" t="s">
        <v>37</v>
      </c>
      <c r="M151" s="33"/>
      <c r="N151" s="33">
        <v>59347</v>
      </c>
      <c r="O151" s="33" t="s">
        <v>218</v>
      </c>
      <c r="P151" s="33">
        <v>1675</v>
      </c>
      <c r="Q151" s="42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358</v>
      </c>
      <c r="B152" s="42">
        <v>46155</v>
      </c>
      <c r="C152" s="33" t="s">
        <v>122</v>
      </c>
      <c r="D152" s="33" t="s">
        <v>123</v>
      </c>
      <c r="E152" s="33" t="s">
        <v>34</v>
      </c>
      <c r="F152" s="33" t="s">
        <v>35</v>
      </c>
      <c r="G152" s="33" t="s">
        <v>117</v>
      </c>
      <c r="H152" s="20" t="s">
        <v>203</v>
      </c>
      <c r="I152" s="33" t="s">
        <v>65</v>
      </c>
      <c r="J152" s="37">
        <v>100</v>
      </c>
      <c r="K152" s="22">
        <f>IF(I152="","",IF(I152="ENTRADA",ABS(J152),-ABS(J152)))</f>
        <v>-100</v>
      </c>
      <c r="L152" s="33" t="s">
        <v>37</v>
      </c>
      <c r="M152" s="33"/>
      <c r="N152" s="33">
        <v>59347</v>
      </c>
      <c r="O152" s="33" t="s">
        <v>218</v>
      </c>
      <c r="P152" s="33">
        <v>1675</v>
      </c>
      <c r="Q152" s="42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359</v>
      </c>
      <c r="B153" s="42">
        <v>46155</v>
      </c>
      <c r="C153" s="33" t="s">
        <v>137</v>
      </c>
      <c r="D153" s="33" t="s">
        <v>138</v>
      </c>
      <c r="E153" s="33" t="s">
        <v>132</v>
      </c>
      <c r="F153" s="33"/>
      <c r="G153" s="33" t="s">
        <v>133</v>
      </c>
      <c r="H153" s="20" t="s">
        <v>211</v>
      </c>
      <c r="I153" s="33" t="s">
        <v>65</v>
      </c>
      <c r="J153" s="50">
        <v>15</v>
      </c>
      <c r="K153" s="22">
        <f>IF(I153="","",IF(I153="ENTRADA",ABS(J153),-ABS(J153)))</f>
        <v>-15</v>
      </c>
      <c r="L153" s="33" t="s">
        <v>37</v>
      </c>
      <c r="M153" s="33"/>
      <c r="N153" s="33">
        <v>59347</v>
      </c>
      <c r="O153" s="33" t="s">
        <v>218</v>
      </c>
      <c r="P153" s="33">
        <v>1675</v>
      </c>
      <c r="Q153" s="42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360</v>
      </c>
      <c r="B154" s="42">
        <v>46155</v>
      </c>
      <c r="C154" s="33" t="s">
        <v>44</v>
      </c>
      <c r="D154" s="33" t="s">
        <v>63</v>
      </c>
      <c r="E154" s="33" t="s">
        <v>34</v>
      </c>
      <c r="F154" s="33" t="s">
        <v>46</v>
      </c>
      <c r="G154" s="33" t="s">
        <v>36</v>
      </c>
      <c r="H154" s="20" t="s">
        <v>64</v>
      </c>
      <c r="I154" s="33" t="s">
        <v>65</v>
      </c>
      <c r="J154" s="37">
        <v>25</v>
      </c>
      <c r="K154" s="22">
        <f>IF(I154="","",IF(I154="ENTRADA",ABS(J154),-ABS(J154)))</f>
        <v>-25</v>
      </c>
      <c r="L154" s="33" t="s">
        <v>37</v>
      </c>
      <c r="M154" s="33"/>
      <c r="N154" s="33">
        <v>59347</v>
      </c>
      <c r="O154" s="33" t="s">
        <v>218</v>
      </c>
      <c r="P154" s="33">
        <v>1675</v>
      </c>
      <c r="Q154" s="42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361</v>
      </c>
      <c r="B155" s="42">
        <v>46155</v>
      </c>
      <c r="C155" s="33" t="s">
        <v>256</v>
      </c>
      <c r="D155" s="33" t="s">
        <v>257</v>
      </c>
      <c r="E155" s="33" t="s">
        <v>25</v>
      </c>
      <c r="F155" s="33" t="s">
        <v>258</v>
      </c>
      <c r="G155" s="33" t="s">
        <v>259</v>
      </c>
      <c r="H155" s="20" t="s">
        <v>313</v>
      </c>
      <c r="I155" s="33" t="s">
        <v>65</v>
      </c>
      <c r="J155" s="37">
        <v>775</v>
      </c>
      <c r="K155" s="22">
        <f>IF(I155="","",IF(I155="ENTRADA",ABS(J155),-ABS(J155)))</f>
        <v>-775</v>
      </c>
      <c r="L155" s="33" t="s">
        <v>29</v>
      </c>
      <c r="M155" s="33"/>
      <c r="N155" s="33">
        <v>59348</v>
      </c>
      <c r="O155" s="33" t="s">
        <v>218</v>
      </c>
      <c r="P155" s="33">
        <v>1676</v>
      </c>
      <c r="Q155" s="42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362</v>
      </c>
      <c r="B156" s="42">
        <v>46155</v>
      </c>
      <c r="C156" s="33" t="s">
        <v>186</v>
      </c>
      <c r="D156" s="33" t="s">
        <v>187</v>
      </c>
      <c r="E156" s="33" t="s">
        <v>25</v>
      </c>
      <c r="F156" s="33" t="s">
        <v>188</v>
      </c>
      <c r="G156" s="33" t="s">
        <v>180</v>
      </c>
      <c r="H156" s="20" t="s">
        <v>319</v>
      </c>
      <c r="I156" s="33" t="s">
        <v>65</v>
      </c>
      <c r="J156" s="37">
        <v>200</v>
      </c>
      <c r="K156" s="22">
        <f>IF(I156="","",IF(I156="ENTRADA",ABS(J156),-ABS(J156)))</f>
        <v>-200</v>
      </c>
      <c r="L156" s="33" t="s">
        <v>29</v>
      </c>
      <c r="M156" s="33"/>
      <c r="N156" s="33">
        <v>59348</v>
      </c>
      <c r="O156" s="33" t="s">
        <v>218</v>
      </c>
      <c r="P156" s="33">
        <v>1676</v>
      </c>
      <c r="Q156" s="42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363</v>
      </c>
      <c r="B157" s="44">
        <v>46155</v>
      </c>
      <c r="C157" s="33" t="s">
        <v>178</v>
      </c>
      <c r="D157" s="33" t="s">
        <v>179</v>
      </c>
      <c r="E157" s="33" t="s">
        <v>25</v>
      </c>
      <c r="F157" s="33" t="s">
        <v>165</v>
      </c>
      <c r="G157" s="33" t="s">
        <v>180</v>
      </c>
      <c r="H157" s="20" t="s">
        <v>308</v>
      </c>
      <c r="I157" s="33" t="s">
        <v>65</v>
      </c>
      <c r="J157" s="37">
        <v>650</v>
      </c>
      <c r="K157" s="22">
        <f>IF(I157="","",IF(I157="ENTRADA",ABS(J157),-ABS(J157)))</f>
        <v>-650</v>
      </c>
      <c r="L157" s="33" t="s">
        <v>29</v>
      </c>
      <c r="M157" s="33"/>
      <c r="N157" s="33">
        <v>59348</v>
      </c>
      <c r="O157" s="33" t="s">
        <v>218</v>
      </c>
      <c r="P157" s="33">
        <v>1676</v>
      </c>
      <c r="Q157" s="42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364</v>
      </c>
      <c r="B158" s="44">
        <v>46155</v>
      </c>
      <c r="C158" s="33" t="s">
        <v>299</v>
      </c>
      <c r="D158" s="33" t="s">
        <v>300</v>
      </c>
      <c r="E158" s="33" t="s">
        <v>25</v>
      </c>
      <c r="F158" s="33" t="s">
        <v>165</v>
      </c>
      <c r="G158" s="33" t="s">
        <v>301</v>
      </c>
      <c r="H158" s="20" t="s">
        <v>365</v>
      </c>
      <c r="I158" s="33" t="s">
        <v>65</v>
      </c>
      <c r="J158" s="37">
        <v>1100</v>
      </c>
      <c r="K158" s="22">
        <f>IF(I158="","",IF(I158="ENTRADA",ABS(J158),-ABS(J158)))</f>
        <v>-1100</v>
      </c>
      <c r="L158" s="33" t="s">
        <v>29</v>
      </c>
      <c r="M158" s="33"/>
      <c r="N158" s="33">
        <v>59348</v>
      </c>
      <c r="O158" s="33" t="s">
        <v>218</v>
      </c>
      <c r="P158" s="33">
        <v>1676</v>
      </c>
      <c r="Q158" s="42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366</v>
      </c>
      <c r="B159" s="42">
        <v>46155</v>
      </c>
      <c r="C159" s="33" t="s">
        <v>156</v>
      </c>
      <c r="D159" s="33" t="s">
        <v>157</v>
      </c>
      <c r="E159" s="33" t="s">
        <v>25</v>
      </c>
      <c r="F159" s="33" t="s">
        <v>26</v>
      </c>
      <c r="G159" s="33" t="s">
        <v>158</v>
      </c>
      <c r="H159" s="20" t="s">
        <v>367</v>
      </c>
      <c r="I159" s="33" t="s">
        <v>65</v>
      </c>
      <c r="J159" s="37">
        <v>540</v>
      </c>
      <c r="K159" s="22">
        <f>IF(I159="","",IF(I159="ENTRADA",ABS(J159),-ABS(J159)))</f>
        <v>-540</v>
      </c>
      <c r="L159" s="33" t="s">
        <v>29</v>
      </c>
      <c r="M159" s="33"/>
      <c r="N159" s="33">
        <v>59349</v>
      </c>
      <c r="O159" s="33" t="s">
        <v>213</v>
      </c>
      <c r="P159" s="33">
        <v>1677</v>
      </c>
      <c r="Q159" s="42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368</v>
      </c>
      <c r="B160" s="42">
        <v>46155</v>
      </c>
      <c r="C160" s="33" t="s">
        <v>156</v>
      </c>
      <c r="D160" s="33" t="s">
        <v>157</v>
      </c>
      <c r="E160" s="33" t="s">
        <v>25</v>
      </c>
      <c r="F160" s="33" t="s">
        <v>26</v>
      </c>
      <c r="G160" s="33" t="s">
        <v>176</v>
      </c>
      <c r="H160" s="20" t="s">
        <v>367</v>
      </c>
      <c r="I160" s="33" t="s">
        <v>65</v>
      </c>
      <c r="J160" s="37">
        <v>540</v>
      </c>
      <c r="K160" s="22">
        <f>IF(I160="","",IF(I160="ENTRADA",ABS(J160),-ABS(J160)))</f>
        <v>-540</v>
      </c>
      <c r="L160" s="33" t="s">
        <v>29</v>
      </c>
      <c r="M160" s="33"/>
      <c r="N160" s="33">
        <v>59350</v>
      </c>
      <c r="O160" s="33" t="s">
        <v>213</v>
      </c>
      <c r="P160" s="33">
        <v>1678</v>
      </c>
      <c r="Q160" s="42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369</v>
      </c>
      <c r="B161" s="42">
        <v>46155</v>
      </c>
      <c r="C161" s="33" t="s">
        <v>228</v>
      </c>
      <c r="D161" s="33" t="s">
        <v>229</v>
      </c>
      <c r="E161" s="33" t="s">
        <v>25</v>
      </c>
      <c r="F161" s="33" t="s">
        <v>26</v>
      </c>
      <c r="G161" s="33" t="s">
        <v>27</v>
      </c>
      <c r="H161" s="20" t="s">
        <v>327</v>
      </c>
      <c r="I161" s="33" t="s">
        <v>65</v>
      </c>
      <c r="J161" s="37">
        <v>1020</v>
      </c>
      <c r="K161" s="22">
        <f>IF(I161="","",IF(I161="ENTRADA",ABS(J161),-ABS(J161)))</f>
        <v>-1020</v>
      </c>
      <c r="L161" s="33" t="s">
        <v>29</v>
      </c>
      <c r="M161" s="33"/>
      <c r="N161" s="33">
        <v>58199</v>
      </c>
      <c r="O161" s="33" t="s">
        <v>213</v>
      </c>
      <c r="P161" s="33">
        <v>1679</v>
      </c>
      <c r="Q161" s="42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370</v>
      </c>
      <c r="B162" s="42">
        <v>46155</v>
      </c>
      <c r="C162" s="33" t="s">
        <v>156</v>
      </c>
      <c r="D162" s="33" t="s">
        <v>157</v>
      </c>
      <c r="E162" s="33" t="s">
        <v>25</v>
      </c>
      <c r="F162" s="33" t="s">
        <v>26</v>
      </c>
      <c r="G162" s="33" t="s">
        <v>176</v>
      </c>
      <c r="H162" s="20" t="s">
        <v>367</v>
      </c>
      <c r="I162" s="33" t="s">
        <v>65</v>
      </c>
      <c r="J162" s="37">
        <v>520</v>
      </c>
      <c r="K162" s="22">
        <f>IF(I162="","",IF(I162="ENTRADA",ABS(J162),-ABS(J162)))</f>
        <v>-520</v>
      </c>
      <c r="L162" s="33" t="s">
        <v>29</v>
      </c>
      <c r="M162" s="33"/>
      <c r="N162" s="33">
        <v>58199</v>
      </c>
      <c r="O162" s="33" t="s">
        <v>213</v>
      </c>
      <c r="P162" s="33">
        <v>1679</v>
      </c>
      <c r="Q162" s="42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371</v>
      </c>
      <c r="B163" s="42">
        <v>46155</v>
      </c>
      <c r="C163" s="33" t="s">
        <v>231</v>
      </c>
      <c r="D163" s="33" t="s">
        <v>231</v>
      </c>
      <c r="E163" s="33" t="s">
        <v>25</v>
      </c>
      <c r="F163" s="33" t="s">
        <v>26</v>
      </c>
      <c r="G163" s="33" t="s">
        <v>27</v>
      </c>
      <c r="H163" s="20" t="s">
        <v>329</v>
      </c>
      <c r="I163" s="33" t="s">
        <v>65</v>
      </c>
      <c r="J163" s="37">
        <v>900</v>
      </c>
      <c r="K163" s="22">
        <f>IF(I163="","",IF(I163="ENTRADA",ABS(J163),-ABS(J163)))</f>
        <v>-900</v>
      </c>
      <c r="L163" s="33" t="s">
        <v>29</v>
      </c>
      <c r="M163" s="33"/>
      <c r="N163" s="33">
        <v>58199</v>
      </c>
      <c r="O163" s="33" t="s">
        <v>213</v>
      </c>
      <c r="P163" s="33">
        <v>1679</v>
      </c>
      <c r="Q163" s="42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372</v>
      </c>
      <c r="B164" s="42">
        <v>46155</v>
      </c>
      <c r="C164" s="33" t="s">
        <v>115</v>
      </c>
      <c r="D164" s="33" t="s">
        <v>116</v>
      </c>
      <c r="E164" s="33" t="s">
        <v>34</v>
      </c>
      <c r="F164" s="33" t="s">
        <v>35</v>
      </c>
      <c r="G164" s="33" t="s">
        <v>117</v>
      </c>
      <c r="H164" s="20" t="s">
        <v>120</v>
      </c>
      <c r="I164" s="33" t="s">
        <v>65</v>
      </c>
      <c r="J164" s="37">
        <v>1800</v>
      </c>
      <c r="K164" s="22">
        <f>IF(I164="","",IF(I164="ENTRADA",ABS(J164),-ABS(J164)))</f>
        <v>-1800</v>
      </c>
      <c r="L164" s="33" t="s">
        <v>37</v>
      </c>
      <c r="M164" s="33"/>
      <c r="N164" s="33">
        <v>58200</v>
      </c>
      <c r="O164" s="33" t="s">
        <v>218</v>
      </c>
      <c r="P164" s="33">
        <v>1680</v>
      </c>
      <c r="Q164" s="42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373</v>
      </c>
      <c r="B165" s="42">
        <v>46155</v>
      </c>
      <c r="C165" s="33" t="s">
        <v>122</v>
      </c>
      <c r="D165" s="33" t="s">
        <v>123</v>
      </c>
      <c r="E165" s="33" t="s">
        <v>34</v>
      </c>
      <c r="F165" s="33" t="s">
        <v>35</v>
      </c>
      <c r="G165" s="33" t="s">
        <v>117</v>
      </c>
      <c r="H165" s="20" t="s">
        <v>203</v>
      </c>
      <c r="I165" s="33" t="s">
        <v>65</v>
      </c>
      <c r="J165" s="37">
        <v>600</v>
      </c>
      <c r="K165" s="22">
        <f>IF(I165="","",IF(I165="ENTRADA",ABS(J165),-ABS(J165)))</f>
        <v>-600</v>
      </c>
      <c r="L165" s="33" t="s">
        <v>37</v>
      </c>
      <c r="M165" s="33"/>
      <c r="N165" s="33">
        <v>58200</v>
      </c>
      <c r="O165" s="33" t="s">
        <v>218</v>
      </c>
      <c r="P165" s="33">
        <v>1680</v>
      </c>
      <c r="Q165" s="42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374</v>
      </c>
      <c r="B166" s="42">
        <v>46155</v>
      </c>
      <c r="C166" s="33" t="s">
        <v>90</v>
      </c>
      <c r="D166" s="33" t="s">
        <v>91</v>
      </c>
      <c r="E166" s="33" t="s">
        <v>34</v>
      </c>
      <c r="F166" s="33" t="s">
        <v>35</v>
      </c>
      <c r="G166" s="33" t="s">
        <v>36</v>
      </c>
      <c r="H166" s="20" t="s">
        <v>375</v>
      </c>
      <c r="I166" s="33" t="s">
        <v>65</v>
      </c>
      <c r="J166" s="37">
        <v>80</v>
      </c>
      <c r="K166" s="22">
        <f>IF(I166="","",IF(I166="ENTRADA",ABS(J166),-ABS(J166)))</f>
        <v>-80</v>
      </c>
      <c r="L166" s="33" t="s">
        <v>37</v>
      </c>
      <c r="M166" s="33"/>
      <c r="N166" s="33">
        <v>58200</v>
      </c>
      <c r="O166" s="33" t="s">
        <v>218</v>
      </c>
      <c r="P166" s="33">
        <v>1680</v>
      </c>
      <c r="Q166" s="42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376</v>
      </c>
      <c r="B167" s="42">
        <v>46156</v>
      </c>
      <c r="C167" s="33" t="s">
        <v>115</v>
      </c>
      <c r="D167" s="33" t="s">
        <v>116</v>
      </c>
      <c r="E167" s="33" t="s">
        <v>34</v>
      </c>
      <c r="F167" s="33" t="s">
        <v>35</v>
      </c>
      <c r="G167" s="33" t="s">
        <v>117</v>
      </c>
      <c r="H167" s="20" t="s">
        <v>120</v>
      </c>
      <c r="I167" s="33" t="s">
        <v>65</v>
      </c>
      <c r="J167" s="37">
        <v>800</v>
      </c>
      <c r="K167" s="22">
        <f>IF(I167="","",IF(I167="ENTRADA",ABS(J167),-ABS(J167)))</f>
        <v>-800</v>
      </c>
      <c r="L167" s="33" t="s">
        <v>37</v>
      </c>
      <c r="M167" s="33"/>
      <c r="N167" s="33">
        <v>65051</v>
      </c>
      <c r="O167" s="33" t="s">
        <v>218</v>
      </c>
      <c r="P167" s="33">
        <v>1681</v>
      </c>
      <c r="Q167" s="42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377</v>
      </c>
      <c r="B168" s="42">
        <v>46156</v>
      </c>
      <c r="C168" s="33" t="s">
        <v>122</v>
      </c>
      <c r="D168" s="33" t="s">
        <v>123</v>
      </c>
      <c r="E168" s="33" t="s">
        <v>34</v>
      </c>
      <c r="F168" s="33" t="s">
        <v>35</v>
      </c>
      <c r="G168" s="33" t="s">
        <v>117</v>
      </c>
      <c r="H168" s="20" t="s">
        <v>203</v>
      </c>
      <c r="I168" s="33" t="s">
        <v>65</v>
      </c>
      <c r="J168" s="37">
        <v>240</v>
      </c>
      <c r="K168" s="22">
        <f>IF(I168="","",IF(I168="ENTRADA",ABS(J168),-ABS(J168)))</f>
        <v>-240</v>
      </c>
      <c r="L168" s="33" t="s">
        <v>37</v>
      </c>
      <c r="M168" s="33"/>
      <c r="N168" s="33">
        <v>65051</v>
      </c>
      <c r="O168" s="33" t="s">
        <v>218</v>
      </c>
      <c r="P168" s="33">
        <v>1681</v>
      </c>
      <c r="Q168" s="42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378</v>
      </c>
      <c r="B169" s="42">
        <v>46156</v>
      </c>
      <c r="C169" s="33" t="s">
        <v>86</v>
      </c>
      <c r="D169" s="33" t="s">
        <v>87</v>
      </c>
      <c r="E169" s="33" t="s">
        <v>34</v>
      </c>
      <c r="F169" s="33" t="s">
        <v>35</v>
      </c>
      <c r="G169" s="33" t="s">
        <v>36</v>
      </c>
      <c r="H169" s="20" t="s">
        <v>100</v>
      </c>
      <c r="I169" s="33" t="s">
        <v>65</v>
      </c>
      <c r="J169" s="37">
        <v>80</v>
      </c>
      <c r="K169" s="22">
        <f>IF(I169="","",IF(I169="ENTRADA",ABS(J169),-ABS(J169)))</f>
        <v>-80</v>
      </c>
      <c r="L169" s="33" t="s">
        <v>37</v>
      </c>
      <c r="M169" s="33"/>
      <c r="N169" s="33">
        <v>65051</v>
      </c>
      <c r="O169" s="33" t="s">
        <v>218</v>
      </c>
      <c r="P169" s="33">
        <v>1681</v>
      </c>
      <c r="Q169" s="42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379</v>
      </c>
      <c r="B170" s="42">
        <v>46156</v>
      </c>
      <c r="C170" s="33" t="s">
        <v>130</v>
      </c>
      <c r="D170" s="33" t="s">
        <v>131</v>
      </c>
      <c r="E170" s="33" t="s">
        <v>132</v>
      </c>
      <c r="F170" s="33"/>
      <c r="G170" s="33" t="s">
        <v>133</v>
      </c>
      <c r="H170" s="20" t="s">
        <v>209</v>
      </c>
      <c r="I170" s="33" t="s">
        <v>65</v>
      </c>
      <c r="J170" s="37">
        <v>40</v>
      </c>
      <c r="K170" s="22">
        <f>IF(I170="","",IF(I170="ENTRADA",ABS(J170),-ABS(J170)))</f>
        <v>-40</v>
      </c>
      <c r="L170" s="33" t="s">
        <v>37</v>
      </c>
      <c r="M170" s="33"/>
      <c r="N170" s="33">
        <v>65051</v>
      </c>
      <c r="O170" s="33" t="s">
        <v>218</v>
      </c>
      <c r="P170" s="33">
        <v>1681</v>
      </c>
      <c r="Q170" s="42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380</v>
      </c>
      <c r="B171" s="42">
        <v>46156</v>
      </c>
      <c r="C171" s="33" t="s">
        <v>137</v>
      </c>
      <c r="D171" s="33" t="s">
        <v>138</v>
      </c>
      <c r="E171" s="33" t="s">
        <v>132</v>
      </c>
      <c r="F171" s="33"/>
      <c r="G171" s="33" t="s">
        <v>133</v>
      </c>
      <c r="H171" s="20" t="s">
        <v>211</v>
      </c>
      <c r="I171" s="33" t="s">
        <v>65</v>
      </c>
      <c r="J171" s="50">
        <v>15</v>
      </c>
      <c r="K171" s="22">
        <f>IF(I171="","",IF(I171="ENTRADA",ABS(J171),-ABS(J171)))</f>
        <v>-15</v>
      </c>
      <c r="L171" s="33" t="s">
        <v>37</v>
      </c>
      <c r="M171" s="33"/>
      <c r="N171" s="33">
        <v>65051</v>
      </c>
      <c r="O171" s="33" t="s">
        <v>218</v>
      </c>
      <c r="P171" s="33">
        <v>1681</v>
      </c>
      <c r="Q171" s="42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381</v>
      </c>
      <c r="B172" s="42">
        <v>46156</v>
      </c>
      <c r="C172" s="33" t="s">
        <v>115</v>
      </c>
      <c r="D172" s="33" t="s">
        <v>116</v>
      </c>
      <c r="E172" s="33" t="s">
        <v>34</v>
      </c>
      <c r="F172" s="33" t="s">
        <v>35</v>
      </c>
      <c r="G172" s="33" t="s">
        <v>117</v>
      </c>
      <c r="H172" s="20" t="s">
        <v>120</v>
      </c>
      <c r="I172" s="33" t="s">
        <v>65</v>
      </c>
      <c r="J172" s="37">
        <v>600</v>
      </c>
      <c r="K172" s="22">
        <f>IF(I172="","",IF(I172="ENTRADA",ABS(J172),-ABS(J172)))</f>
        <v>-600</v>
      </c>
      <c r="L172" s="33" t="s">
        <v>37</v>
      </c>
      <c r="M172" s="33"/>
      <c r="N172" s="33">
        <v>65052</v>
      </c>
      <c r="O172" s="33" t="s">
        <v>382</v>
      </c>
      <c r="P172" s="33">
        <v>1682</v>
      </c>
      <c r="Q172" s="42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383</v>
      </c>
      <c r="B173" s="42">
        <v>46156</v>
      </c>
      <c r="C173" s="33" t="s">
        <v>122</v>
      </c>
      <c r="D173" s="33" t="s">
        <v>123</v>
      </c>
      <c r="E173" s="33" t="s">
        <v>34</v>
      </c>
      <c r="F173" s="33" t="s">
        <v>35</v>
      </c>
      <c r="G173" s="33" t="s">
        <v>117</v>
      </c>
      <c r="H173" s="20" t="s">
        <v>203</v>
      </c>
      <c r="I173" s="33" t="s">
        <v>65</v>
      </c>
      <c r="J173" s="37">
        <v>200</v>
      </c>
      <c r="K173" s="22">
        <f>IF(I173="","",IF(I173="ENTRADA",ABS(J173),-ABS(J173)))</f>
        <v>-200</v>
      </c>
      <c r="L173" s="33" t="s">
        <v>37</v>
      </c>
      <c r="M173" s="33"/>
      <c r="N173" s="33">
        <v>65052</v>
      </c>
      <c r="O173" s="33" t="s">
        <v>382</v>
      </c>
      <c r="P173" s="33">
        <v>1682</v>
      </c>
      <c r="Q173" s="42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384</v>
      </c>
      <c r="B174" s="42">
        <v>46156</v>
      </c>
      <c r="C174" s="33" t="s">
        <v>90</v>
      </c>
      <c r="D174" s="33" t="s">
        <v>91</v>
      </c>
      <c r="E174" s="33" t="s">
        <v>34</v>
      </c>
      <c r="F174" s="33" t="s">
        <v>35</v>
      </c>
      <c r="G174" s="33" t="s">
        <v>36</v>
      </c>
      <c r="H174" s="20" t="s">
        <v>375</v>
      </c>
      <c r="I174" s="33" t="s">
        <v>65</v>
      </c>
      <c r="J174" s="37">
        <v>120</v>
      </c>
      <c r="K174" s="22">
        <f>IF(I174="","",IF(I174="ENTRADA",ABS(J174),-ABS(J174)))</f>
        <v>-120</v>
      </c>
      <c r="L174" s="33" t="s">
        <v>385</v>
      </c>
      <c r="M174" s="33"/>
      <c r="N174" s="33">
        <v>65054</v>
      </c>
      <c r="O174" s="33" t="s">
        <v>237</v>
      </c>
      <c r="P174" s="33">
        <v>1684</v>
      </c>
      <c r="Q174" s="42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386</v>
      </c>
      <c r="B175" s="42">
        <v>46157</v>
      </c>
      <c r="C175" s="33" t="s">
        <v>115</v>
      </c>
      <c r="D175" s="33" t="s">
        <v>116</v>
      </c>
      <c r="E175" s="33" t="s">
        <v>34</v>
      </c>
      <c r="F175" s="33" t="s">
        <v>35</v>
      </c>
      <c r="G175" s="33" t="s">
        <v>117</v>
      </c>
      <c r="H175" s="20" t="s">
        <v>120</v>
      </c>
      <c r="I175" s="33" t="s">
        <v>65</v>
      </c>
      <c r="J175" s="37">
        <v>2200</v>
      </c>
      <c r="K175" s="22">
        <f>IF(I175="","",IF(I175="ENTRADA",ABS(J175),-ABS(J175)))</f>
        <v>-2200</v>
      </c>
      <c r="L175" s="33" t="s">
        <v>37</v>
      </c>
      <c r="M175" s="33"/>
      <c r="N175" s="33">
        <v>65055</v>
      </c>
      <c r="O175" s="33" t="s">
        <v>387</v>
      </c>
      <c r="P175" s="33">
        <v>1685</v>
      </c>
      <c r="Q175" s="42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388</v>
      </c>
      <c r="B176" s="42">
        <v>46157</v>
      </c>
      <c r="C176" s="33" t="s">
        <v>122</v>
      </c>
      <c r="D176" s="33" t="s">
        <v>123</v>
      </c>
      <c r="E176" s="33" t="s">
        <v>34</v>
      </c>
      <c r="F176" s="33" t="s">
        <v>35</v>
      </c>
      <c r="G176" s="33" t="s">
        <v>117</v>
      </c>
      <c r="H176" s="20" t="s">
        <v>203</v>
      </c>
      <c r="I176" s="33" t="s">
        <v>65</v>
      </c>
      <c r="J176" s="37">
        <v>40</v>
      </c>
      <c r="K176" s="22">
        <f>IF(I176="","",IF(I176="ENTRADA",ABS(J176),-ABS(J176)))</f>
        <v>-40</v>
      </c>
      <c r="L176" s="33" t="s">
        <v>37</v>
      </c>
      <c r="M176" s="33"/>
      <c r="N176" s="33">
        <v>65055</v>
      </c>
      <c r="O176" s="33" t="s">
        <v>387</v>
      </c>
      <c r="P176" s="33">
        <v>1685</v>
      </c>
      <c r="Q176" s="42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389</v>
      </c>
      <c r="B177" s="42">
        <v>46157</v>
      </c>
      <c r="C177" s="33" t="s">
        <v>115</v>
      </c>
      <c r="D177" s="33" t="s">
        <v>116</v>
      </c>
      <c r="E177" s="33" t="s">
        <v>34</v>
      </c>
      <c r="F177" s="33" t="s">
        <v>35</v>
      </c>
      <c r="G177" s="33" t="s">
        <v>117</v>
      </c>
      <c r="H177" s="20" t="s">
        <v>120</v>
      </c>
      <c r="I177" s="33" t="s">
        <v>65</v>
      </c>
      <c r="J177" s="37">
        <v>400</v>
      </c>
      <c r="K177" s="22">
        <f>IF(I177="","",IF(I177="ENTRADA",ABS(J177),-ABS(J177)))</f>
        <v>-400</v>
      </c>
      <c r="L177" s="33" t="s">
        <v>37</v>
      </c>
      <c r="M177" s="33"/>
      <c r="N177" s="33">
        <v>65056</v>
      </c>
      <c r="O177" s="33" t="s">
        <v>218</v>
      </c>
      <c r="P177" s="33">
        <v>1686</v>
      </c>
      <c r="Q177" s="42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390</v>
      </c>
      <c r="B178" s="42">
        <v>46157</v>
      </c>
      <c r="C178" s="33" t="s">
        <v>122</v>
      </c>
      <c r="D178" s="33" t="s">
        <v>123</v>
      </c>
      <c r="E178" s="33" t="s">
        <v>34</v>
      </c>
      <c r="F178" s="33" t="s">
        <v>35</v>
      </c>
      <c r="G178" s="33" t="s">
        <v>117</v>
      </c>
      <c r="H178" s="20" t="s">
        <v>203</v>
      </c>
      <c r="I178" s="33" t="s">
        <v>65</v>
      </c>
      <c r="J178" s="37">
        <v>120</v>
      </c>
      <c r="K178" s="22">
        <f>IF(I178="","",IF(I178="ENTRADA",ABS(J178),-ABS(J178)))</f>
        <v>-120</v>
      </c>
      <c r="L178" s="33" t="s">
        <v>37</v>
      </c>
      <c r="M178" s="33"/>
      <c r="N178" s="33">
        <v>65056</v>
      </c>
      <c r="O178" s="33" t="s">
        <v>218</v>
      </c>
      <c r="P178" s="33">
        <v>1686</v>
      </c>
      <c r="Q178" s="42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391</v>
      </c>
      <c r="B179" s="42">
        <v>46156</v>
      </c>
      <c r="C179" s="4" t="s">
        <v>108</v>
      </c>
      <c r="D179" s="4" t="s">
        <v>109</v>
      </c>
      <c r="E179" s="4" t="s">
        <v>25</v>
      </c>
      <c r="F179" s="4" t="s">
        <v>26</v>
      </c>
      <c r="G179" s="4" t="s">
        <v>27</v>
      </c>
      <c r="H179" s="20" t="s">
        <v>278</v>
      </c>
      <c r="I179" s="4" t="s">
        <v>65</v>
      </c>
      <c r="J179" s="31">
        <v>560</v>
      </c>
      <c r="K179" s="22">
        <f>IF(I179="","",IF(I179="ENTRADA",ABS(J179),-ABS(J179)))</f>
        <v>-560</v>
      </c>
      <c r="L179" s="4" t="s">
        <v>29</v>
      </c>
      <c r="M179" s="4"/>
      <c r="N179" s="4">
        <v>65053</v>
      </c>
      <c r="O179" s="4" t="s">
        <v>387</v>
      </c>
      <c r="P179" s="45">
        <v>1683</v>
      </c>
      <c r="Q179" s="42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392</v>
      </c>
      <c r="B180" s="42">
        <v>46158</v>
      </c>
      <c r="C180" s="33" t="s">
        <v>115</v>
      </c>
      <c r="D180" s="33" t="s">
        <v>116</v>
      </c>
      <c r="E180" s="33" t="s">
        <v>34</v>
      </c>
      <c r="F180" s="33" t="s">
        <v>35</v>
      </c>
      <c r="G180" s="33" t="s">
        <v>117</v>
      </c>
      <c r="H180" s="20" t="s">
        <v>120</v>
      </c>
      <c r="I180" s="33" t="s">
        <v>65</v>
      </c>
      <c r="J180" s="37">
        <v>500</v>
      </c>
      <c r="K180" s="22">
        <f>IF(I180="","",IF(I180="ENTRADA",ABS(J180),-ABS(J180)))</f>
        <v>-500</v>
      </c>
      <c r="L180" s="33" t="s">
        <v>37</v>
      </c>
      <c r="M180" s="33"/>
      <c r="N180" s="33">
        <v>65057</v>
      </c>
      <c r="O180" s="33" t="s">
        <v>213</v>
      </c>
      <c r="P180" s="33">
        <v>1688</v>
      </c>
      <c r="Q180" s="42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393</v>
      </c>
      <c r="B181" s="42">
        <v>46158</v>
      </c>
      <c r="C181" s="33" t="s">
        <v>130</v>
      </c>
      <c r="D181" s="33" t="s">
        <v>131</v>
      </c>
      <c r="E181" s="33" t="s">
        <v>132</v>
      </c>
      <c r="F181" s="33"/>
      <c r="G181" s="33" t="s">
        <v>133</v>
      </c>
      <c r="H181" s="20" t="s">
        <v>209</v>
      </c>
      <c r="I181" s="33" t="s">
        <v>65</v>
      </c>
      <c r="J181" s="37">
        <v>40</v>
      </c>
      <c r="K181" s="22">
        <f>IF(I181="","",IF(I181="ENTRADA",ABS(J181),-ABS(J181)))</f>
        <v>-40</v>
      </c>
      <c r="L181" s="33" t="s">
        <v>37</v>
      </c>
      <c r="M181" s="33"/>
      <c r="N181" s="33">
        <v>65058</v>
      </c>
      <c r="O181" s="33" t="s">
        <v>218</v>
      </c>
      <c r="P181" s="33">
        <v>1687</v>
      </c>
      <c r="Q181" s="42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394</v>
      </c>
      <c r="B182" s="42">
        <v>46158</v>
      </c>
      <c r="C182" s="33" t="s">
        <v>44</v>
      </c>
      <c r="D182" s="33" t="s">
        <v>63</v>
      </c>
      <c r="E182" s="33" t="s">
        <v>34</v>
      </c>
      <c r="F182" s="33" t="s">
        <v>46</v>
      </c>
      <c r="G182" s="33" t="s">
        <v>36</v>
      </c>
      <c r="H182" s="20" t="s">
        <v>64</v>
      </c>
      <c r="I182" s="33" t="s">
        <v>65</v>
      </c>
      <c r="J182" s="37">
        <v>80</v>
      </c>
      <c r="K182" s="22">
        <f>IF(I182="","",IF(I182="ENTRADA",ABS(J182),-ABS(J182)))</f>
        <v>-80</v>
      </c>
      <c r="L182" s="33" t="s">
        <v>37</v>
      </c>
      <c r="M182" s="33"/>
      <c r="N182" s="33">
        <v>65058</v>
      </c>
      <c r="O182" s="33" t="s">
        <v>218</v>
      </c>
      <c r="P182" s="33">
        <v>1687</v>
      </c>
      <c r="Q182" s="42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395</v>
      </c>
      <c r="B183" s="42">
        <v>46158</v>
      </c>
      <c r="C183" s="33" t="s">
        <v>115</v>
      </c>
      <c r="D183" s="33" t="s">
        <v>116</v>
      </c>
      <c r="E183" s="33" t="s">
        <v>34</v>
      </c>
      <c r="F183" s="33" t="s">
        <v>35</v>
      </c>
      <c r="G183" s="33" t="s">
        <v>117</v>
      </c>
      <c r="H183" s="20" t="s">
        <v>120</v>
      </c>
      <c r="I183" s="33" t="s">
        <v>65</v>
      </c>
      <c r="J183" s="37">
        <v>560</v>
      </c>
      <c r="K183" s="22">
        <f>IF(I183="","",IF(I183="ENTRADA",ABS(J183),-ABS(J183)))</f>
        <v>-560</v>
      </c>
      <c r="L183" s="33" t="s">
        <v>37</v>
      </c>
      <c r="M183" s="33"/>
      <c r="N183" s="33">
        <v>65058</v>
      </c>
      <c r="O183" s="33" t="s">
        <v>218</v>
      </c>
      <c r="P183" s="33">
        <v>1687</v>
      </c>
      <c r="Q183" s="42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396</v>
      </c>
      <c r="B184" s="42">
        <v>46158</v>
      </c>
      <c r="C184" s="33" t="s">
        <v>80</v>
      </c>
      <c r="D184" s="33" t="s">
        <v>81</v>
      </c>
      <c r="E184" s="33" t="s">
        <v>25</v>
      </c>
      <c r="F184" s="33" t="s">
        <v>82</v>
      </c>
      <c r="G184" s="33" t="s">
        <v>83</v>
      </c>
      <c r="H184" s="20" t="s">
        <v>151</v>
      </c>
      <c r="I184" s="33" t="s">
        <v>65</v>
      </c>
      <c r="J184" s="37">
        <v>250</v>
      </c>
      <c r="K184" s="22">
        <f>IF(I184="","",IF(I184="ENTRADA",ABS(J184),-ABS(J184)))</f>
        <v>-250</v>
      </c>
      <c r="L184" s="33" t="s">
        <v>29</v>
      </c>
      <c r="M184" s="33"/>
      <c r="N184" s="33">
        <v>65059</v>
      </c>
      <c r="O184" s="33" t="s">
        <v>387</v>
      </c>
      <c r="P184" s="33">
        <v>1689</v>
      </c>
      <c r="Q184" s="42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397</v>
      </c>
      <c r="B185" s="42">
        <v>46158</v>
      </c>
      <c r="C185" s="33" t="s">
        <v>156</v>
      </c>
      <c r="D185" s="33" t="s">
        <v>157</v>
      </c>
      <c r="E185" s="33" t="s">
        <v>25</v>
      </c>
      <c r="F185" s="33" t="s">
        <v>26</v>
      </c>
      <c r="G185" s="33" t="s">
        <v>158</v>
      </c>
      <c r="H185" s="20" t="s">
        <v>295</v>
      </c>
      <c r="I185" s="33" t="s">
        <v>65</v>
      </c>
      <c r="J185" s="37">
        <v>660</v>
      </c>
      <c r="K185" s="22">
        <f>IF(I185="","",IF(I185="ENTRADA",ABS(J185),-ABS(J185)))</f>
        <v>-660</v>
      </c>
      <c r="L185" s="33" t="s">
        <v>29</v>
      </c>
      <c r="M185" s="33"/>
      <c r="N185" s="33">
        <v>65059</v>
      </c>
      <c r="O185" s="33" t="s">
        <v>387</v>
      </c>
      <c r="P185" s="33">
        <v>1689</v>
      </c>
      <c r="Q185" s="42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398</v>
      </c>
      <c r="B186" s="42">
        <v>46160</v>
      </c>
      <c r="C186" s="33" t="s">
        <v>115</v>
      </c>
      <c r="D186" s="33" t="s">
        <v>116</v>
      </c>
      <c r="E186" s="33" t="s">
        <v>34</v>
      </c>
      <c r="F186" s="33" t="s">
        <v>35</v>
      </c>
      <c r="G186" s="33" t="s">
        <v>117</v>
      </c>
      <c r="H186" s="20" t="s">
        <v>120</v>
      </c>
      <c r="I186" s="33" t="s">
        <v>65</v>
      </c>
      <c r="J186" s="37">
        <v>2000</v>
      </c>
      <c r="K186" s="22">
        <f>IF(I186="","",IF(I186="ENTRADA",ABS(J186),-ABS(J186)))</f>
        <v>-2000</v>
      </c>
      <c r="L186" s="33" t="s">
        <v>37</v>
      </c>
      <c r="M186" s="33"/>
      <c r="N186" s="33">
        <v>65061</v>
      </c>
      <c r="O186" s="33" t="s">
        <v>213</v>
      </c>
      <c r="P186" s="33">
        <v>1690</v>
      </c>
      <c r="Q186" s="42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399</v>
      </c>
      <c r="B187" s="42">
        <v>46160</v>
      </c>
      <c r="C187" s="33" t="s">
        <v>90</v>
      </c>
      <c r="D187" s="33" t="s">
        <v>91</v>
      </c>
      <c r="E187" s="33" t="s">
        <v>34</v>
      </c>
      <c r="F187" s="33" t="s">
        <v>35</v>
      </c>
      <c r="G187" s="33" t="s">
        <v>36</v>
      </c>
      <c r="H187" s="20" t="s">
        <v>375</v>
      </c>
      <c r="I187" s="33" t="s">
        <v>65</v>
      </c>
      <c r="J187" s="37">
        <v>100</v>
      </c>
      <c r="K187" s="22">
        <f>IF(I187="","",IF(I187="ENTRADA",ABS(J187),-ABS(J187)))</f>
        <v>-100</v>
      </c>
      <c r="L187" s="33" t="s">
        <v>37</v>
      </c>
      <c r="M187" s="33"/>
      <c r="N187" s="33">
        <v>65061</v>
      </c>
      <c r="O187" s="33" t="s">
        <v>213</v>
      </c>
      <c r="P187" s="33">
        <v>1690</v>
      </c>
      <c r="Q187" s="42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400</v>
      </c>
      <c r="B188" s="42">
        <v>46160</v>
      </c>
      <c r="C188" s="33" t="s">
        <v>115</v>
      </c>
      <c r="D188" s="33" t="s">
        <v>116</v>
      </c>
      <c r="E188" s="33" t="s">
        <v>34</v>
      </c>
      <c r="F188" s="33" t="s">
        <v>35</v>
      </c>
      <c r="G188" s="33" t="s">
        <v>117</v>
      </c>
      <c r="H188" s="20" t="s">
        <v>120</v>
      </c>
      <c r="I188" s="33" t="s">
        <v>65</v>
      </c>
      <c r="J188" s="37">
        <v>960</v>
      </c>
      <c r="K188" s="22">
        <f>IF(I188="","",IF(I188="ENTRADA",ABS(J188),-ABS(J188)))</f>
        <v>-960</v>
      </c>
      <c r="L188" s="33" t="s">
        <v>37</v>
      </c>
      <c r="M188" s="33"/>
      <c r="N188" s="33">
        <v>65063</v>
      </c>
      <c r="O188" s="33" t="s">
        <v>237</v>
      </c>
      <c r="P188" s="33">
        <v>1691</v>
      </c>
      <c r="Q188" s="42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401</v>
      </c>
      <c r="B189" s="42">
        <v>46160</v>
      </c>
      <c r="C189" s="33" t="s">
        <v>90</v>
      </c>
      <c r="D189" s="33" t="s">
        <v>91</v>
      </c>
      <c r="E189" s="33" t="s">
        <v>34</v>
      </c>
      <c r="F189" s="33" t="s">
        <v>35</v>
      </c>
      <c r="G189" s="33" t="s">
        <v>36</v>
      </c>
      <c r="H189" s="20" t="s">
        <v>375</v>
      </c>
      <c r="I189" s="33" t="s">
        <v>65</v>
      </c>
      <c r="J189" s="37">
        <v>40</v>
      </c>
      <c r="K189" s="22">
        <f>IF(I189="","",IF(I189="ENTRADA",ABS(J189),-ABS(J189)))</f>
        <v>-40</v>
      </c>
      <c r="L189" s="33" t="s">
        <v>37</v>
      </c>
      <c r="M189" s="33"/>
      <c r="N189" s="33">
        <v>65063</v>
      </c>
      <c r="O189" s="33" t="s">
        <v>237</v>
      </c>
      <c r="P189" s="33">
        <v>1691</v>
      </c>
      <c r="Q189" s="42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402</v>
      </c>
      <c r="B190" s="42">
        <v>46160</v>
      </c>
      <c r="C190" s="4" t="s">
        <v>156</v>
      </c>
      <c r="D190" s="4" t="s">
        <v>157</v>
      </c>
      <c r="E190" s="4" t="s">
        <v>25</v>
      </c>
      <c r="F190" s="4" t="s">
        <v>26</v>
      </c>
      <c r="G190" s="4" t="s">
        <v>158</v>
      </c>
      <c r="H190" s="20" t="s">
        <v>295</v>
      </c>
      <c r="I190" s="4" t="s">
        <v>65</v>
      </c>
      <c r="J190" s="31">
        <v>40</v>
      </c>
      <c r="K190" s="22">
        <f>IF(I190="","",IF(I190="ENTRADA",ABS(J190),-ABS(J190)))</f>
        <v>-40</v>
      </c>
      <c r="L190" s="4" t="s">
        <v>29</v>
      </c>
      <c r="M190" s="4"/>
      <c r="N190" s="4">
        <v>65064</v>
      </c>
      <c r="O190" s="4" t="s">
        <v>387</v>
      </c>
      <c r="P190" s="45">
        <v>1692</v>
      </c>
      <c r="Q190" s="42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403</v>
      </c>
      <c r="B191" s="42">
        <v>46160</v>
      </c>
      <c r="C191" s="33" t="s">
        <v>115</v>
      </c>
      <c r="D191" s="33" t="s">
        <v>116</v>
      </c>
      <c r="E191" s="33" t="s">
        <v>34</v>
      </c>
      <c r="F191" s="33" t="s">
        <v>35</v>
      </c>
      <c r="G191" s="33" t="s">
        <v>117</v>
      </c>
      <c r="H191" s="20" t="s">
        <v>120</v>
      </c>
      <c r="I191" s="33" t="s">
        <v>65</v>
      </c>
      <c r="J191" s="37">
        <v>3340</v>
      </c>
      <c r="K191" s="22">
        <f>IF(I191="","",IF(I191="ENTRADA",ABS(J191),-ABS(J191)))</f>
        <v>-3340</v>
      </c>
      <c r="L191" s="33" t="s">
        <v>37</v>
      </c>
      <c r="M191" s="33"/>
      <c r="N191" s="33">
        <v>65065</v>
      </c>
      <c r="O191" s="33" t="s">
        <v>382</v>
      </c>
      <c r="P191" s="33">
        <v>1693</v>
      </c>
      <c r="Q191" s="42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404</v>
      </c>
      <c r="B192" s="42">
        <v>46160</v>
      </c>
      <c r="C192" s="33" t="s">
        <v>90</v>
      </c>
      <c r="D192" s="33" t="s">
        <v>91</v>
      </c>
      <c r="E192" s="33" t="s">
        <v>34</v>
      </c>
      <c r="F192" s="33" t="s">
        <v>35</v>
      </c>
      <c r="G192" s="33" t="s">
        <v>36</v>
      </c>
      <c r="H192" s="20" t="s">
        <v>375</v>
      </c>
      <c r="I192" s="33" t="s">
        <v>65</v>
      </c>
      <c r="J192" s="37">
        <v>380</v>
      </c>
      <c r="K192" s="22">
        <f>IF(I192="","",IF(I192="ENTRADA",ABS(J192),-ABS(J192)))</f>
        <v>-380</v>
      </c>
      <c r="L192" s="33" t="s">
        <v>37</v>
      </c>
      <c r="M192" s="33"/>
      <c r="N192" s="33">
        <v>65065</v>
      </c>
      <c r="O192" s="33" t="s">
        <v>382</v>
      </c>
      <c r="P192" s="33">
        <v>1693</v>
      </c>
      <c r="Q192" s="42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405</v>
      </c>
      <c r="B193" s="42">
        <v>46160</v>
      </c>
      <c r="C193" s="33" t="s">
        <v>130</v>
      </c>
      <c r="D193" s="33" t="s">
        <v>131</v>
      </c>
      <c r="E193" s="33" t="s">
        <v>132</v>
      </c>
      <c r="F193" s="33"/>
      <c r="G193" s="33" t="s">
        <v>133</v>
      </c>
      <c r="H193" s="20" t="s">
        <v>209</v>
      </c>
      <c r="I193" s="33" t="s">
        <v>65</v>
      </c>
      <c r="J193" s="37">
        <v>120</v>
      </c>
      <c r="K193" s="22">
        <f>IF(I193="","",IF(I193="ENTRADA",ABS(J193),-ABS(J193)))</f>
        <v>-120</v>
      </c>
      <c r="L193" s="33" t="s">
        <v>37</v>
      </c>
      <c r="M193" s="33"/>
      <c r="N193" s="33">
        <v>65065</v>
      </c>
      <c r="O193" s="33" t="s">
        <v>382</v>
      </c>
      <c r="P193" s="33">
        <v>1693</v>
      </c>
      <c r="Q193" s="42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406</v>
      </c>
      <c r="B194" s="42">
        <v>46160</v>
      </c>
      <c r="C194" s="33" t="s">
        <v>137</v>
      </c>
      <c r="D194" s="33" t="s">
        <v>138</v>
      </c>
      <c r="E194" s="33" t="s">
        <v>132</v>
      </c>
      <c r="F194" s="33"/>
      <c r="G194" s="33" t="s">
        <v>133</v>
      </c>
      <c r="H194" s="20" t="s">
        <v>211</v>
      </c>
      <c r="I194" s="33" t="s">
        <v>65</v>
      </c>
      <c r="J194" s="50">
        <v>15</v>
      </c>
      <c r="K194" s="22">
        <f>IF(I194="","",IF(I194="ENTRADA",ABS(J194),-ABS(J194)))</f>
        <v>-15</v>
      </c>
      <c r="L194" s="33" t="s">
        <v>37</v>
      </c>
      <c r="M194" s="33"/>
      <c r="N194" s="33">
        <v>65065</v>
      </c>
      <c r="O194" s="33" t="s">
        <v>382</v>
      </c>
      <c r="P194" s="33">
        <v>1693</v>
      </c>
      <c r="Q194" s="42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407</v>
      </c>
      <c r="B195" s="42">
        <v>46160</v>
      </c>
      <c r="C195" s="33" t="s">
        <v>186</v>
      </c>
      <c r="D195" s="33" t="s">
        <v>187</v>
      </c>
      <c r="E195" s="33" t="s">
        <v>25</v>
      </c>
      <c r="F195" s="33" t="s">
        <v>188</v>
      </c>
      <c r="G195" s="33" t="s">
        <v>180</v>
      </c>
      <c r="H195" s="20" t="s">
        <v>319</v>
      </c>
      <c r="I195" s="33" t="s">
        <v>65</v>
      </c>
      <c r="J195" s="37">
        <v>300</v>
      </c>
      <c r="K195" s="22">
        <f>IF(I195="","",IF(I195="ENTRADA",ABS(J195),-ABS(J195)))</f>
        <v>-300</v>
      </c>
      <c r="L195" s="33" t="s">
        <v>29</v>
      </c>
      <c r="M195" s="33"/>
      <c r="N195" s="33">
        <v>65066</v>
      </c>
      <c r="O195" s="33" t="s">
        <v>218</v>
      </c>
      <c r="P195" s="33">
        <v>1694</v>
      </c>
      <c r="Q195" s="42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408</v>
      </c>
      <c r="B196" s="42">
        <v>46160</v>
      </c>
      <c r="C196" s="33" t="s">
        <v>304</v>
      </c>
      <c r="D196" s="33" t="s">
        <v>305</v>
      </c>
      <c r="E196" s="33" t="s">
        <v>25</v>
      </c>
      <c r="F196" s="33" t="s">
        <v>188</v>
      </c>
      <c r="G196" s="33" t="s">
        <v>301</v>
      </c>
      <c r="H196" s="20" t="s">
        <v>409</v>
      </c>
      <c r="I196" s="33" t="s">
        <v>65</v>
      </c>
      <c r="J196" s="37">
        <v>25</v>
      </c>
      <c r="K196" s="22">
        <f>IF(I196="","",IF(I196="ENTRADA",ABS(J196),-ABS(J196)))</f>
        <v>-25</v>
      </c>
      <c r="L196" s="33" t="s">
        <v>29</v>
      </c>
      <c r="M196" s="33"/>
      <c r="N196" s="33">
        <v>65066</v>
      </c>
      <c r="O196" s="33" t="s">
        <v>218</v>
      </c>
      <c r="P196" s="33">
        <v>1694</v>
      </c>
      <c r="Q196" s="42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410</v>
      </c>
      <c r="B197" s="42">
        <v>46160</v>
      </c>
      <c r="C197" s="33" t="s">
        <v>160</v>
      </c>
      <c r="D197" s="33" t="s">
        <v>161</v>
      </c>
      <c r="E197" s="33" t="s">
        <v>25</v>
      </c>
      <c r="F197" s="33" t="s">
        <v>26</v>
      </c>
      <c r="G197" s="33" t="s">
        <v>158</v>
      </c>
      <c r="H197" s="20" t="s">
        <v>239</v>
      </c>
      <c r="I197" s="33" t="s">
        <v>65</v>
      </c>
      <c r="J197" s="37">
        <v>448</v>
      </c>
      <c r="K197" s="22">
        <f>IF(I197="","",IF(I197="ENTRADA",ABS(J197),-ABS(J197)))</f>
        <v>-448</v>
      </c>
      <c r="L197" s="33" t="s">
        <v>29</v>
      </c>
      <c r="M197" s="33"/>
      <c r="N197" s="33">
        <v>65068</v>
      </c>
      <c r="O197" s="33" t="s">
        <v>213</v>
      </c>
      <c r="P197" s="33">
        <v>1695</v>
      </c>
      <c r="Q197" s="42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411</v>
      </c>
      <c r="B198" s="42">
        <v>46160</v>
      </c>
      <c r="C198" s="33" t="s">
        <v>156</v>
      </c>
      <c r="D198" s="33" t="s">
        <v>157</v>
      </c>
      <c r="E198" s="33" t="s">
        <v>25</v>
      </c>
      <c r="F198" s="33" t="s">
        <v>26</v>
      </c>
      <c r="G198" s="33" t="s">
        <v>158</v>
      </c>
      <c r="H198" s="20" t="s">
        <v>295</v>
      </c>
      <c r="I198" s="33" t="s">
        <v>65</v>
      </c>
      <c r="J198" s="37">
        <v>200</v>
      </c>
      <c r="K198" s="22">
        <f>IF(I198="","",IF(I198="ENTRADA",ABS(J198),-ABS(J198)))</f>
        <v>-200</v>
      </c>
      <c r="L198" s="33" t="s">
        <v>29</v>
      </c>
      <c r="M198" s="33"/>
      <c r="N198" s="33">
        <v>65068</v>
      </c>
      <c r="O198" s="33" t="s">
        <v>213</v>
      </c>
      <c r="P198" s="33">
        <v>1695</v>
      </c>
      <c r="Q198" s="42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412</v>
      </c>
      <c r="B199" s="42">
        <v>46160</v>
      </c>
      <c r="C199" s="33" t="s">
        <v>137</v>
      </c>
      <c r="D199" s="33" t="s">
        <v>138</v>
      </c>
      <c r="E199" s="33" t="s">
        <v>132</v>
      </c>
      <c r="F199" s="33"/>
      <c r="G199" s="33" t="s">
        <v>133</v>
      </c>
      <c r="H199" s="20" t="s">
        <v>211</v>
      </c>
      <c r="I199" s="33" t="s">
        <v>65</v>
      </c>
      <c r="J199" s="50">
        <v>15</v>
      </c>
      <c r="K199" s="22">
        <f>IF(I199="","",IF(I199="ENTRADA",ABS(J199),-ABS(J199)))</f>
        <v>-15</v>
      </c>
      <c r="L199" s="33" t="s">
        <v>37</v>
      </c>
      <c r="M199" s="33"/>
      <c r="N199" s="33">
        <v>65067</v>
      </c>
      <c r="O199" s="33" t="s">
        <v>382</v>
      </c>
      <c r="P199" s="33">
        <v>1696</v>
      </c>
      <c r="Q199" s="42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413</v>
      </c>
      <c r="B200" s="42">
        <v>46160</v>
      </c>
      <c r="C200" s="33" t="s">
        <v>115</v>
      </c>
      <c r="D200" s="33" t="s">
        <v>116</v>
      </c>
      <c r="E200" s="33" t="s">
        <v>34</v>
      </c>
      <c r="F200" s="33" t="s">
        <v>35</v>
      </c>
      <c r="G200" s="33" t="s">
        <v>117</v>
      </c>
      <c r="H200" s="20" t="s">
        <v>120</v>
      </c>
      <c r="I200" s="33" t="s">
        <v>65</v>
      </c>
      <c r="J200" s="37">
        <v>600</v>
      </c>
      <c r="K200" s="22">
        <f>IF(I200="","",IF(I200="ENTRADA",ABS(J200),-ABS(J200)))</f>
        <v>-600</v>
      </c>
      <c r="L200" s="33" t="s">
        <v>37</v>
      </c>
      <c r="M200" s="33"/>
      <c r="N200" s="33">
        <v>65067</v>
      </c>
      <c r="O200" s="33" t="s">
        <v>382</v>
      </c>
      <c r="P200" s="33">
        <v>1696</v>
      </c>
      <c r="Q200" s="42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414</v>
      </c>
      <c r="B201" s="42">
        <v>46160</v>
      </c>
      <c r="C201" s="34" t="s">
        <v>90</v>
      </c>
      <c r="D201" s="34" t="s">
        <v>91</v>
      </c>
      <c r="E201" s="34" t="s">
        <v>34</v>
      </c>
      <c r="F201" s="34" t="s">
        <v>35</v>
      </c>
      <c r="G201" s="34" t="s">
        <v>36</v>
      </c>
      <c r="H201" s="20" t="s">
        <v>375</v>
      </c>
      <c r="I201" s="34" t="s">
        <v>65</v>
      </c>
      <c r="J201" s="36">
        <v>80</v>
      </c>
      <c r="K201" s="22">
        <f>IF(I201="","",IF(I201="ENTRADA",ABS(J201),-ABS(J201)))</f>
        <v>-80</v>
      </c>
      <c r="L201" s="34" t="s">
        <v>37</v>
      </c>
      <c r="M201" s="34"/>
      <c r="N201" s="33">
        <v>65067</v>
      </c>
      <c r="O201" s="34" t="s">
        <v>382</v>
      </c>
      <c r="P201" s="46">
        <v>1696</v>
      </c>
      <c r="Q201" s="42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415</v>
      </c>
      <c r="B202" s="42">
        <v>46160</v>
      </c>
      <c r="C202" t="s">
        <v>130</v>
      </c>
      <c r="D202" t="s">
        <v>131</v>
      </c>
      <c r="E202" t="s">
        <v>132</v>
      </c>
      <c r="G202" t="s">
        <v>133</v>
      </c>
      <c r="H202" s="20" t="s">
        <v>221</v>
      </c>
      <c r="I202" t="s">
        <v>65</v>
      </c>
      <c r="J202" s="30">
        <v>40</v>
      </c>
      <c r="K202" s="22">
        <f>IF(I202="","",IF(I202="ENTRADA",ABS(J202),-ABS(J202)))</f>
        <v>-40</v>
      </c>
      <c r="L202" t="s">
        <v>37</v>
      </c>
      <c r="N202">
        <v>65067</v>
      </c>
      <c r="O202" t="s">
        <v>382</v>
      </c>
      <c r="P202">
        <v>1696</v>
      </c>
      <c r="Q202" s="42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416</v>
      </c>
      <c r="B203" s="42">
        <v>46160</v>
      </c>
      <c r="C203" t="s">
        <v>299</v>
      </c>
      <c r="D203" t="s">
        <v>300</v>
      </c>
      <c r="E203" t="s">
        <v>25</v>
      </c>
      <c r="F203" t="s">
        <v>165</v>
      </c>
      <c r="G203" t="s">
        <v>301</v>
      </c>
      <c r="H203" s="20" t="s">
        <v>365</v>
      </c>
      <c r="I203" t="s">
        <v>65</v>
      </c>
      <c r="J203" s="30">
        <v>1740</v>
      </c>
      <c r="K203" s="22">
        <f>IF(I203="","",IF(I203="ENTRADA",ABS(J203),-ABS(J203)))</f>
        <v>-1740</v>
      </c>
      <c r="L203" t="s">
        <v>29</v>
      </c>
      <c r="N203">
        <v>65062</v>
      </c>
      <c r="O203" t="s">
        <v>218</v>
      </c>
      <c r="P203">
        <v>1697</v>
      </c>
      <c r="Q203" s="42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417</v>
      </c>
      <c r="B204" s="42">
        <v>46160</v>
      </c>
      <c r="C204" t="s">
        <v>256</v>
      </c>
      <c r="D204" t="s">
        <v>257</v>
      </c>
      <c r="E204" t="s">
        <v>25</v>
      </c>
      <c r="F204" t="s">
        <v>258</v>
      </c>
      <c r="G204" t="s">
        <v>259</v>
      </c>
      <c r="H204" s="20" t="s">
        <v>313</v>
      </c>
      <c r="I204" t="s">
        <v>65</v>
      </c>
      <c r="J204" s="30">
        <v>1225</v>
      </c>
      <c r="K204" s="22">
        <f>IF(I204="","",IF(I204="ENTRADA",ABS(J204),-ABS(J204)))</f>
        <v>-1225</v>
      </c>
      <c r="L204" t="s">
        <v>29</v>
      </c>
      <c r="N204">
        <v>65062</v>
      </c>
      <c r="O204" t="s">
        <v>218</v>
      </c>
      <c r="P204">
        <v>1697</v>
      </c>
      <c r="Q204" s="42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418</v>
      </c>
      <c r="B205" s="42">
        <v>46160</v>
      </c>
      <c r="C205" t="s">
        <v>228</v>
      </c>
      <c r="D205" t="s">
        <v>229</v>
      </c>
      <c r="E205" t="s">
        <v>25</v>
      </c>
      <c r="F205" t="s">
        <v>26</v>
      </c>
      <c r="G205" t="s">
        <v>27</v>
      </c>
      <c r="H205" s="20" t="s">
        <v>327</v>
      </c>
      <c r="I205" t="s">
        <v>65</v>
      </c>
      <c r="J205" s="30">
        <v>480</v>
      </c>
      <c r="K205" s="22">
        <f>IF(I205="","",IF(I205="ENTRADA",ABS(J205),-ABS(J205)))</f>
        <v>-480</v>
      </c>
      <c r="L205" t="s">
        <v>29</v>
      </c>
      <c r="N205">
        <v>65069</v>
      </c>
      <c r="O205" t="s">
        <v>218</v>
      </c>
      <c r="P205">
        <v>1698</v>
      </c>
      <c r="Q205" s="42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419</v>
      </c>
      <c r="B206" s="42">
        <v>46160</v>
      </c>
      <c r="C206" t="s">
        <v>156</v>
      </c>
      <c r="D206" t="s">
        <v>157</v>
      </c>
      <c r="E206" t="s">
        <v>25</v>
      </c>
      <c r="F206" t="s">
        <v>26</v>
      </c>
      <c r="G206" t="s">
        <v>158</v>
      </c>
      <c r="H206" s="20" t="s">
        <v>295</v>
      </c>
      <c r="I206" t="s">
        <v>65</v>
      </c>
      <c r="J206" s="30">
        <v>180</v>
      </c>
      <c r="K206" s="22">
        <f>IF(I206="","",IF(I206="ENTRADA",ABS(J206),-ABS(J206)))</f>
        <v>-180</v>
      </c>
      <c r="L206" t="s">
        <v>29</v>
      </c>
      <c r="N206">
        <v>65069</v>
      </c>
      <c r="O206" t="s">
        <v>218</v>
      </c>
      <c r="P206">
        <v>1698</v>
      </c>
      <c r="Q206" s="42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420</v>
      </c>
      <c r="B207" s="42">
        <v>46160</v>
      </c>
      <c r="C207" t="s">
        <v>156</v>
      </c>
      <c r="D207" t="s">
        <v>157</v>
      </c>
      <c r="E207" t="s">
        <v>25</v>
      </c>
      <c r="F207" t="s">
        <v>26</v>
      </c>
      <c r="G207" t="s">
        <v>158</v>
      </c>
      <c r="H207" s="20" t="s">
        <v>295</v>
      </c>
      <c r="I207" t="s">
        <v>65</v>
      </c>
      <c r="J207" s="30">
        <v>100</v>
      </c>
      <c r="K207" s="22">
        <f>IF(I207="","",IF(I207="ENTRADA",ABS(J207),-ABS(J207)))</f>
        <v>-100</v>
      </c>
      <c r="L207" t="s">
        <v>29</v>
      </c>
      <c r="N207">
        <v>65070</v>
      </c>
      <c r="O207" t="s">
        <v>66</v>
      </c>
      <c r="P207">
        <v>1699</v>
      </c>
      <c r="Q207" s="42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421</v>
      </c>
      <c r="B208" s="47">
        <v>46164</v>
      </c>
      <c r="C208" t="s">
        <v>115</v>
      </c>
      <c r="D208" t="s">
        <v>116</v>
      </c>
      <c r="E208" t="s">
        <v>34</v>
      </c>
      <c r="F208" t="s">
        <v>35</v>
      </c>
      <c r="G208" t="s">
        <v>117</v>
      </c>
      <c r="H208" s="20" t="s">
        <v>120</v>
      </c>
      <c r="I208" t="s">
        <v>65</v>
      </c>
      <c r="J208" s="30">
        <v>500</v>
      </c>
      <c r="K208" s="22">
        <f>IF(I208="","",IF(I208="ENTRADA",ABS(J208),-ABS(J208)))</f>
        <v>-500</v>
      </c>
      <c r="L208" t="s">
        <v>37</v>
      </c>
      <c r="N208">
        <v>65071</v>
      </c>
      <c r="O208" t="s">
        <v>382</v>
      </c>
      <c r="P208">
        <v>1701</v>
      </c>
      <c r="Q208" s="42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422</v>
      </c>
      <c r="B209" s="47">
        <v>46164</v>
      </c>
      <c r="C209" t="s">
        <v>137</v>
      </c>
      <c r="D209" t="s">
        <v>138</v>
      </c>
      <c r="E209" t="s">
        <v>132</v>
      </c>
      <c r="G209" t="s">
        <v>133</v>
      </c>
      <c r="H209" s="20" t="s">
        <v>211</v>
      </c>
      <c r="I209" t="s">
        <v>65</v>
      </c>
      <c r="J209" s="51">
        <v>15</v>
      </c>
      <c r="K209" s="22">
        <f>IF(I209="","",IF(I209="ENTRADA",ABS(J209),-ABS(J209)))</f>
        <v>-15</v>
      </c>
      <c r="L209" t="s">
        <v>37</v>
      </c>
      <c r="N209">
        <v>65071</v>
      </c>
      <c r="O209" t="s">
        <v>382</v>
      </c>
      <c r="P209">
        <v>1701</v>
      </c>
      <c r="Q209" s="42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423</v>
      </c>
      <c r="B210" s="47">
        <v>46164</v>
      </c>
      <c r="C210" t="s">
        <v>130</v>
      </c>
      <c r="D210" t="s">
        <v>131</v>
      </c>
      <c r="E210" t="s">
        <v>132</v>
      </c>
      <c r="G210" t="s">
        <v>133</v>
      </c>
      <c r="H210" s="20" t="s">
        <v>221</v>
      </c>
      <c r="I210" t="s">
        <v>65</v>
      </c>
      <c r="J210" s="30">
        <v>20</v>
      </c>
      <c r="K210" s="22">
        <f>IF(I210="","",IF(I210="ENTRADA",ABS(J210),-ABS(J210)))</f>
        <v>-20</v>
      </c>
      <c r="L210" t="s">
        <v>37</v>
      </c>
      <c r="N210">
        <v>65071</v>
      </c>
      <c r="O210" t="s">
        <v>382</v>
      </c>
      <c r="P210">
        <v>1701</v>
      </c>
      <c r="Q210" s="42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424</v>
      </c>
      <c r="B211" s="47">
        <v>46164</v>
      </c>
      <c r="C211" s="34" t="s">
        <v>425</v>
      </c>
      <c r="D211" s="34" t="s">
        <v>426</v>
      </c>
      <c r="E211" s="34" t="s">
        <v>25</v>
      </c>
      <c r="F211" s="34" t="s">
        <v>427</v>
      </c>
      <c r="G211" s="34" t="s">
        <v>27</v>
      </c>
      <c r="H211" s="20" t="str">
        <f>+T211</f>
        <v>260522-210</v>
      </c>
      <c r="I211" s="34" t="s">
        <v>28</v>
      </c>
      <c r="J211" s="36">
        <v>12000</v>
      </c>
      <c r="K211" s="22">
        <f>IF(I211="","",IF(I211="ENTRADA",ABS(J211),-ABS(J211)))</f>
        <v>12000</v>
      </c>
      <c r="L211" s="34" t="s">
        <v>29</v>
      </c>
      <c r="M211" s="34"/>
      <c r="N211" s="34">
        <v>48489</v>
      </c>
      <c r="O211" s="34"/>
      <c r="P211">
        <v>14559</v>
      </c>
      <c r="Q211" s="42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>
      <c r="A212" s="20" t="s">
        <v>428</v>
      </c>
      <c r="B212" s="47">
        <v>46164</v>
      </c>
      <c r="C212" t="s">
        <v>429</v>
      </c>
      <c r="D212" t="s">
        <v>430</v>
      </c>
      <c r="E212" t="s">
        <v>25</v>
      </c>
      <c r="F212" t="s">
        <v>427</v>
      </c>
      <c r="G212" t="s">
        <v>27</v>
      </c>
      <c r="H212" s="20" t="str">
        <f>+T212</f>
        <v>260522-211</v>
      </c>
      <c r="I212" t="s">
        <v>28</v>
      </c>
      <c r="J212" s="30">
        <v>600</v>
      </c>
      <c r="K212" s="22">
        <f>IF(I212="","",IF(I212="ENTRADA",ABS(J212),-ABS(J212)))</f>
        <v>600</v>
      </c>
      <c r="L212" t="s">
        <v>29</v>
      </c>
      <c r="N212" s="34">
        <v>48489</v>
      </c>
      <c r="P212">
        <v>14559</v>
      </c>
      <c r="Q212" s="42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>
      <c r="A213" s="20" t="s">
        <v>431</v>
      </c>
      <c r="B213" s="47">
        <v>46164</v>
      </c>
      <c r="C213" t="s">
        <v>122</v>
      </c>
      <c r="D213" t="s">
        <v>123</v>
      </c>
      <c r="E213" t="s">
        <v>34</v>
      </c>
      <c r="F213" t="s">
        <v>35</v>
      </c>
      <c r="G213" t="s">
        <v>117</v>
      </c>
      <c r="H213" s="20" t="s">
        <v>203</v>
      </c>
      <c r="I213" t="s">
        <v>65</v>
      </c>
      <c r="J213" s="30">
        <v>110</v>
      </c>
      <c r="K213" s="22">
        <f>IF(I213="","",IF(I213="ENTRADA",ABS(J213),-ABS(J213)))</f>
        <v>-110</v>
      </c>
      <c r="L213" t="s">
        <v>37</v>
      </c>
      <c r="N213">
        <v>65073</v>
      </c>
      <c r="O213" t="s">
        <v>218</v>
      </c>
      <c r="P213">
        <v>1702</v>
      </c>
      <c r="Q213" s="42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432</v>
      </c>
      <c r="B214" s="47">
        <v>46164</v>
      </c>
      <c r="C214" t="s">
        <v>115</v>
      </c>
      <c r="D214" t="s">
        <v>116</v>
      </c>
      <c r="E214" t="s">
        <v>34</v>
      </c>
      <c r="F214" t="s">
        <v>35</v>
      </c>
      <c r="G214" t="s">
        <v>117</v>
      </c>
      <c r="H214" s="20" t="s">
        <v>120</v>
      </c>
      <c r="I214" t="s">
        <v>65</v>
      </c>
      <c r="J214" s="30">
        <v>500</v>
      </c>
      <c r="K214" s="22">
        <f>IF(I214="","",IF(I214="ENTRADA",ABS(J214),-ABS(J214)))</f>
        <v>-500</v>
      </c>
      <c r="L214" t="s">
        <v>37</v>
      </c>
      <c r="N214">
        <v>65073</v>
      </c>
      <c r="O214" t="s">
        <v>218</v>
      </c>
      <c r="P214">
        <v>1702</v>
      </c>
      <c r="Q214" s="42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433</v>
      </c>
      <c r="B215" s="47">
        <v>46164</v>
      </c>
      <c r="C215" t="s">
        <v>137</v>
      </c>
      <c r="D215" t="s">
        <v>138</v>
      </c>
      <c r="E215" t="s">
        <v>132</v>
      </c>
      <c r="G215" t="s">
        <v>133</v>
      </c>
      <c r="H215" s="20" t="s">
        <v>211</v>
      </c>
      <c r="I215" t="s">
        <v>65</v>
      </c>
      <c r="J215" s="51">
        <v>15</v>
      </c>
      <c r="K215" s="22">
        <f>IF(I215="","",IF(I215="ENTRADA",ABS(J215),-ABS(J215)))</f>
        <v>-15</v>
      </c>
      <c r="L215" t="s">
        <v>37</v>
      </c>
      <c r="N215">
        <v>65073</v>
      </c>
      <c r="O215" t="s">
        <v>218</v>
      </c>
      <c r="P215">
        <v>1702</v>
      </c>
      <c r="Q215" s="42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434</v>
      </c>
      <c r="B216" s="47">
        <v>46164</v>
      </c>
      <c r="C216" t="s">
        <v>130</v>
      </c>
      <c r="D216" t="s">
        <v>131</v>
      </c>
      <c r="E216" t="s">
        <v>132</v>
      </c>
      <c r="G216" t="s">
        <v>133</v>
      </c>
      <c r="H216" s="20" t="s">
        <v>221</v>
      </c>
      <c r="I216" t="s">
        <v>65</v>
      </c>
      <c r="J216" s="30">
        <v>60</v>
      </c>
      <c r="K216" s="22">
        <f>IF(I216="","",IF(I216="ENTRADA",ABS(J216),-ABS(J216)))</f>
        <v>-60</v>
      </c>
      <c r="L216" t="s">
        <v>37</v>
      </c>
      <c r="N216">
        <v>65073</v>
      </c>
      <c r="O216" t="s">
        <v>218</v>
      </c>
      <c r="P216">
        <v>1702</v>
      </c>
      <c r="Q216" s="42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435</v>
      </c>
      <c r="B217" s="47">
        <v>46165</v>
      </c>
      <c r="C217" t="s">
        <v>90</v>
      </c>
      <c r="D217" t="s">
        <v>91</v>
      </c>
      <c r="E217" t="s">
        <v>34</v>
      </c>
      <c r="F217" t="s">
        <v>35</v>
      </c>
      <c r="G217" t="s">
        <v>36</v>
      </c>
      <c r="H217" s="20" t="s">
        <v>375</v>
      </c>
      <c r="I217" t="s">
        <v>65</v>
      </c>
      <c r="J217" s="30">
        <v>300</v>
      </c>
      <c r="K217" s="22">
        <f>IF(I217="","",IF(I217="ENTRADA",ABS(J217),-ABS(J217)))</f>
        <v>-300</v>
      </c>
      <c r="L217" t="s">
        <v>37</v>
      </c>
      <c r="N217">
        <v>65076</v>
      </c>
      <c r="O217" t="s">
        <v>331</v>
      </c>
      <c r="P217">
        <v>1704</v>
      </c>
      <c r="Q217" s="42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436</v>
      </c>
      <c r="B218" s="47">
        <v>46103</v>
      </c>
      <c r="C218" t="s">
        <v>80</v>
      </c>
      <c r="D218" t="s">
        <v>81</v>
      </c>
      <c r="E218" t="s">
        <v>25</v>
      </c>
      <c r="F218" t="s">
        <v>82</v>
      </c>
      <c r="G218" t="s">
        <v>83</v>
      </c>
      <c r="H218" s="20" t="s">
        <v>151</v>
      </c>
      <c r="I218" t="s">
        <v>65</v>
      </c>
      <c r="J218" s="30">
        <v>2500</v>
      </c>
      <c r="K218" s="22">
        <f>IF(I218="","",IF(I218="ENTRADA",ABS(J218),-ABS(J218)))</f>
        <v>-2500</v>
      </c>
      <c r="L218" t="s">
        <v>29</v>
      </c>
      <c r="N218">
        <v>65075</v>
      </c>
      <c r="O218" t="s">
        <v>387</v>
      </c>
      <c r="P218">
        <v>1703</v>
      </c>
      <c r="Q218" s="42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437</v>
      </c>
      <c r="B219" s="47">
        <v>46167</v>
      </c>
      <c r="C219" t="s">
        <v>90</v>
      </c>
      <c r="D219" t="s">
        <v>91</v>
      </c>
      <c r="E219" t="s">
        <v>34</v>
      </c>
      <c r="F219" t="s">
        <v>35</v>
      </c>
      <c r="G219" t="s">
        <v>36</v>
      </c>
      <c r="H219" s="20" t="s">
        <v>375</v>
      </c>
      <c r="I219" t="s">
        <v>65</v>
      </c>
      <c r="J219" s="30">
        <v>10</v>
      </c>
      <c r="K219" s="22">
        <f>IF(I219="","",IF(I219="ENTRADA",ABS(J219),-ABS(J219)))</f>
        <v>-10</v>
      </c>
      <c r="L219" t="s">
        <v>37</v>
      </c>
      <c r="N219">
        <v>65077</v>
      </c>
      <c r="O219" t="s">
        <v>382</v>
      </c>
      <c r="P219">
        <v>1708</v>
      </c>
      <c r="Q219" s="42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438</v>
      </c>
      <c r="B220" s="47">
        <v>46167</v>
      </c>
      <c r="C220" t="s">
        <v>90</v>
      </c>
      <c r="D220" t="s">
        <v>91</v>
      </c>
      <c r="E220" t="s">
        <v>34</v>
      </c>
      <c r="F220" t="s">
        <v>35</v>
      </c>
      <c r="G220" t="s">
        <v>36</v>
      </c>
      <c r="H220" s="20" t="s">
        <v>375</v>
      </c>
      <c r="I220" t="s">
        <v>65</v>
      </c>
      <c r="J220" s="30">
        <v>50</v>
      </c>
      <c r="K220" s="22">
        <f>IF(I220="","",IF(I220="ENTRADA",ABS(J220),-ABS(J220)))</f>
        <v>-50</v>
      </c>
      <c r="L220" t="s">
        <v>37</v>
      </c>
      <c r="N220">
        <v>65078</v>
      </c>
      <c r="O220" t="s">
        <v>237</v>
      </c>
      <c r="P220">
        <v>1709</v>
      </c>
      <c r="Q220" s="42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439</v>
      </c>
      <c r="B221" s="47">
        <v>46167</v>
      </c>
      <c r="C221" s="34" t="s">
        <v>90</v>
      </c>
      <c r="D221" s="34" t="s">
        <v>91</v>
      </c>
      <c r="E221" s="34" t="s">
        <v>34</v>
      </c>
      <c r="F221" s="34" t="s">
        <v>35</v>
      </c>
      <c r="G221" s="34" t="s">
        <v>36</v>
      </c>
      <c r="H221" s="20" t="s">
        <v>375</v>
      </c>
      <c r="I221" s="34" t="s">
        <v>65</v>
      </c>
      <c r="J221" s="36">
        <v>80</v>
      </c>
      <c r="K221" s="22">
        <f>IF(I221="","",IF(I221="ENTRADA",ABS(J221),-ABS(J221)))</f>
        <v>-80</v>
      </c>
      <c r="L221" s="34" t="s">
        <v>37</v>
      </c>
      <c r="M221" s="34"/>
      <c r="N221">
        <v>65079</v>
      </c>
      <c r="O221" s="34" t="s">
        <v>218</v>
      </c>
      <c r="P221">
        <v>1711</v>
      </c>
      <c r="Q221" s="42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440</v>
      </c>
      <c r="B222" s="47">
        <v>46167</v>
      </c>
      <c r="C222" t="s">
        <v>115</v>
      </c>
      <c r="D222" t="s">
        <v>116</v>
      </c>
      <c r="E222" t="s">
        <v>34</v>
      </c>
      <c r="F222" t="s">
        <v>35</v>
      </c>
      <c r="G222" t="s">
        <v>117</v>
      </c>
      <c r="H222" s="20" t="s">
        <v>120</v>
      </c>
      <c r="I222" t="s">
        <v>65</v>
      </c>
      <c r="J222" s="30">
        <v>500</v>
      </c>
      <c r="K222" s="22">
        <f>IF(I222="","",IF(I222="ENTRADA",ABS(J222),-ABS(J222)))</f>
        <v>-500</v>
      </c>
      <c r="L222" t="s">
        <v>37</v>
      </c>
      <c r="N222">
        <v>65079</v>
      </c>
      <c r="O222" t="s">
        <v>218</v>
      </c>
      <c r="P222">
        <v>1711</v>
      </c>
      <c r="Q222" s="42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441</v>
      </c>
      <c r="B223" s="47">
        <v>46167</v>
      </c>
      <c r="C223" t="s">
        <v>137</v>
      </c>
      <c r="D223" t="s">
        <v>138</v>
      </c>
      <c r="E223" t="s">
        <v>132</v>
      </c>
      <c r="G223" t="s">
        <v>133</v>
      </c>
      <c r="H223" s="20" t="s">
        <v>211</v>
      </c>
      <c r="I223" t="s">
        <v>65</v>
      </c>
      <c r="J223" s="51">
        <v>15</v>
      </c>
      <c r="K223" s="22">
        <f>IF(I223="","",IF(I223="ENTRADA",ABS(J223),-ABS(J223)))</f>
        <v>-15</v>
      </c>
      <c r="L223" t="s">
        <v>37</v>
      </c>
      <c r="N223">
        <v>65079</v>
      </c>
      <c r="O223" t="s">
        <v>218</v>
      </c>
      <c r="P223">
        <v>1711</v>
      </c>
      <c r="Q223" s="42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442</v>
      </c>
      <c r="B224" s="47">
        <v>46167</v>
      </c>
      <c r="C224" t="s">
        <v>130</v>
      </c>
      <c r="D224" t="s">
        <v>131</v>
      </c>
      <c r="E224" t="s">
        <v>132</v>
      </c>
      <c r="G224" t="s">
        <v>133</v>
      </c>
      <c r="H224" s="20" t="s">
        <v>221</v>
      </c>
      <c r="I224" t="s">
        <v>65</v>
      </c>
      <c r="J224" s="30">
        <v>60</v>
      </c>
      <c r="K224" s="22">
        <f>IF(I224="","",IF(I224="ENTRADA",ABS(J224),-ABS(J224)))</f>
        <v>-60</v>
      </c>
      <c r="L224" t="s">
        <v>37</v>
      </c>
      <c r="N224">
        <v>65079</v>
      </c>
      <c r="O224" t="s">
        <v>218</v>
      </c>
      <c r="P224">
        <v>1711</v>
      </c>
      <c r="Q224" s="42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443</v>
      </c>
      <c r="B225" s="47">
        <v>46167</v>
      </c>
      <c r="C225" t="s">
        <v>115</v>
      </c>
      <c r="D225" t="s">
        <v>116</v>
      </c>
      <c r="E225" t="s">
        <v>34</v>
      </c>
      <c r="F225" t="s">
        <v>35</v>
      </c>
      <c r="G225" t="s">
        <v>117</v>
      </c>
      <c r="H225" s="20" t="s">
        <v>120</v>
      </c>
      <c r="I225" t="s">
        <v>65</v>
      </c>
      <c r="J225" s="30">
        <v>2880</v>
      </c>
      <c r="K225" s="22">
        <f>IF(I225="","",IF(I225="ENTRADA",ABS(J225),-ABS(J225)))</f>
        <v>-2880</v>
      </c>
      <c r="L225" t="s">
        <v>37</v>
      </c>
      <c r="N225">
        <v>65080</v>
      </c>
      <c r="O225" t="s">
        <v>213</v>
      </c>
      <c r="P225">
        <v>1712</v>
      </c>
      <c r="Q225" s="42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444</v>
      </c>
      <c r="B226" s="47">
        <v>46168</v>
      </c>
      <c r="C226" t="s">
        <v>156</v>
      </c>
      <c r="D226" t="s">
        <v>157</v>
      </c>
      <c r="E226" t="s">
        <v>25</v>
      </c>
      <c r="F226" t="s">
        <v>26</v>
      </c>
      <c r="G226" t="s">
        <v>301</v>
      </c>
      <c r="H226" s="20" t="str">
        <f>+T226</f>
        <v>260526-226</v>
      </c>
      <c r="I226" t="s">
        <v>28</v>
      </c>
      <c r="J226" s="30">
        <v>1000</v>
      </c>
      <c r="K226" s="22">
        <f>IF(I226="","",IF(I226="ENTRADA",ABS(J226),-ABS(J226)))</f>
        <v>1000</v>
      </c>
      <c r="L226" t="s">
        <v>29</v>
      </c>
      <c r="N226">
        <v>21574</v>
      </c>
      <c r="P226">
        <v>14546</v>
      </c>
      <c r="Q226" s="42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>
      <c r="A227" s="20" t="s">
        <v>445</v>
      </c>
      <c r="B227" s="47">
        <v>46170</v>
      </c>
      <c r="C227" t="s">
        <v>156</v>
      </c>
      <c r="D227" t="s">
        <v>157</v>
      </c>
      <c r="E227" t="s">
        <v>25</v>
      </c>
      <c r="F227" t="s">
        <v>26</v>
      </c>
      <c r="G227" t="s">
        <v>301</v>
      </c>
      <c r="H227" s="20" t="s">
        <v>446</v>
      </c>
      <c r="I227" t="s">
        <v>65</v>
      </c>
      <c r="J227" s="30">
        <v>180</v>
      </c>
      <c r="K227" s="22">
        <f>IF(I227="","",IF(I227="ENTRADA",ABS(J227),-ABS(J227)))</f>
        <v>-180</v>
      </c>
      <c r="L227" t="s">
        <v>29</v>
      </c>
      <c r="N227">
        <v>65081</v>
      </c>
      <c r="O227" t="s">
        <v>309</v>
      </c>
      <c r="P227">
        <v>1707</v>
      </c>
      <c r="Q227" s="42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447</v>
      </c>
      <c r="B228" s="47">
        <v>46171</v>
      </c>
      <c r="C228" t="s">
        <v>267</v>
      </c>
      <c r="D228" t="s">
        <v>267</v>
      </c>
      <c r="E228" t="s">
        <v>25</v>
      </c>
      <c r="F228" t="s">
        <v>26</v>
      </c>
      <c r="G228" t="s">
        <v>36</v>
      </c>
      <c r="H228" s="20" t="s">
        <v>448</v>
      </c>
      <c r="I228" t="s">
        <v>65</v>
      </c>
      <c r="J228" s="30">
        <v>200</v>
      </c>
      <c r="K228" s="22">
        <f>IF(I228="","",IF(I228="ENTRADA",ABS(J228),-ABS(J228)))</f>
        <v>-200</v>
      </c>
      <c r="L228" t="s">
        <v>29</v>
      </c>
      <c r="N228">
        <v>65083</v>
      </c>
      <c r="O228" t="s">
        <v>387</v>
      </c>
      <c r="P228">
        <v>1716</v>
      </c>
      <c r="Q228" s="42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449</v>
      </c>
      <c r="B229" s="47">
        <v>46171</v>
      </c>
      <c r="C229" t="s">
        <v>156</v>
      </c>
      <c r="D229" t="s">
        <v>157</v>
      </c>
      <c r="E229" t="s">
        <v>25</v>
      </c>
      <c r="F229" t="s">
        <v>26</v>
      </c>
      <c r="G229" t="s">
        <v>301</v>
      </c>
      <c r="H229" s="20" t="s">
        <v>446</v>
      </c>
      <c r="I229" t="s">
        <v>65</v>
      </c>
      <c r="J229" s="30">
        <v>200</v>
      </c>
      <c r="K229" s="22">
        <f>IF(I229="","",IF(I229="ENTRADA",ABS(J229),-ABS(J229)))</f>
        <v>-200</v>
      </c>
      <c r="L229" t="s">
        <v>29</v>
      </c>
      <c r="N229">
        <v>65083</v>
      </c>
      <c r="O229" t="s">
        <v>387</v>
      </c>
      <c r="P229">
        <v>1716</v>
      </c>
      <c r="Q229" s="42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450</v>
      </c>
      <c r="B230" s="47">
        <v>46171</v>
      </c>
      <c r="C230" t="s">
        <v>115</v>
      </c>
      <c r="D230" t="s">
        <v>116</v>
      </c>
      <c r="E230" t="s">
        <v>34</v>
      </c>
      <c r="F230" t="s">
        <v>35</v>
      </c>
      <c r="G230" t="s">
        <v>117</v>
      </c>
      <c r="H230" s="20" t="s">
        <v>120</v>
      </c>
      <c r="I230" t="s">
        <v>65</v>
      </c>
      <c r="J230" s="30">
        <v>1500</v>
      </c>
      <c r="K230" s="22">
        <f>IF(I230="","",IF(I230="ENTRADA",ABS(J230),-ABS(J230)))</f>
        <v>-1500</v>
      </c>
      <c r="L230" t="s">
        <v>37</v>
      </c>
      <c r="N230">
        <v>65084</v>
      </c>
      <c r="O230" t="s">
        <v>382</v>
      </c>
      <c r="P230">
        <v>1717</v>
      </c>
      <c r="Q230" s="42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451</v>
      </c>
      <c r="B231" s="47">
        <v>46171</v>
      </c>
      <c r="C231" t="s">
        <v>137</v>
      </c>
      <c r="D231" t="s">
        <v>138</v>
      </c>
      <c r="E231" t="s">
        <v>132</v>
      </c>
      <c r="G231" t="s">
        <v>133</v>
      </c>
      <c r="H231" s="20" t="s">
        <v>211</v>
      </c>
      <c r="I231" t="s">
        <v>65</v>
      </c>
      <c r="J231" s="51">
        <v>15</v>
      </c>
      <c r="K231" s="22">
        <f>IF(I231="","",IF(I231="ENTRADA",ABS(J231),-ABS(J231)))</f>
        <v>-15</v>
      </c>
      <c r="L231" t="s">
        <v>37</v>
      </c>
      <c r="N231">
        <v>65084</v>
      </c>
      <c r="O231" t="s">
        <v>382</v>
      </c>
      <c r="P231">
        <v>1717</v>
      </c>
      <c r="Q231" s="42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452</v>
      </c>
      <c r="B232" s="47">
        <v>46171</v>
      </c>
      <c r="C232" s="34" t="s">
        <v>130</v>
      </c>
      <c r="D232" s="34" t="s">
        <v>131</v>
      </c>
      <c r="E232" s="34" t="s">
        <v>132</v>
      </c>
      <c r="F232" s="34"/>
      <c r="G232" s="34" t="s">
        <v>133</v>
      </c>
      <c r="H232" s="20" t="s">
        <v>221</v>
      </c>
      <c r="I232" s="34" t="s">
        <v>65</v>
      </c>
      <c r="J232" s="36">
        <v>60</v>
      </c>
      <c r="K232" s="22">
        <f>IF(I232="","",IF(I232="ENTRADA",ABS(J232),-ABS(J232)))</f>
        <v>-60</v>
      </c>
      <c r="L232" s="34" t="s">
        <v>37</v>
      </c>
      <c r="M232" s="34"/>
      <c r="N232" s="34">
        <v>65084</v>
      </c>
      <c r="O232" s="34" t="s">
        <v>382</v>
      </c>
      <c r="P232">
        <v>1717</v>
      </c>
      <c r="Q232" s="42">
        <v>46174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453</v>
      </c>
      <c r="B233" s="47">
        <v>46171</v>
      </c>
      <c r="C233" t="s">
        <v>156</v>
      </c>
      <c r="D233" t="s">
        <v>157</v>
      </c>
      <c r="E233" t="s">
        <v>25</v>
      </c>
      <c r="F233" t="s">
        <v>26</v>
      </c>
      <c r="G233" t="s">
        <v>301</v>
      </c>
      <c r="H233" s="20" t="s">
        <v>446</v>
      </c>
      <c r="I233" t="s">
        <v>65</v>
      </c>
      <c r="J233" s="30">
        <v>400</v>
      </c>
      <c r="K233" s="22">
        <f>IF(I233="","",IF(I233="ENTRADA",ABS(J233),-ABS(J233)))</f>
        <v>-400</v>
      </c>
      <c r="L233" t="s">
        <v>29</v>
      </c>
      <c r="N233">
        <v>65085</v>
      </c>
      <c r="O233" t="s">
        <v>382</v>
      </c>
      <c r="P233">
        <v>1718</v>
      </c>
      <c r="Q233" s="42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454</v>
      </c>
      <c r="B234" s="47">
        <v>46171</v>
      </c>
      <c r="C234" t="s">
        <v>115</v>
      </c>
      <c r="D234" t="s">
        <v>116</v>
      </c>
      <c r="E234" t="s">
        <v>34</v>
      </c>
      <c r="F234" t="s">
        <v>35</v>
      </c>
      <c r="G234" t="s">
        <v>117</v>
      </c>
      <c r="H234" s="20" t="s">
        <v>120</v>
      </c>
      <c r="I234" t="s">
        <v>65</v>
      </c>
      <c r="J234" s="30">
        <v>600</v>
      </c>
      <c r="K234" s="22">
        <f>IF(I234="","",IF(I234="ENTRADA",ABS(J234),-ABS(J234)))</f>
        <v>-600</v>
      </c>
      <c r="L234" t="s">
        <v>37</v>
      </c>
      <c r="N234">
        <v>65086</v>
      </c>
      <c r="O234" t="s">
        <v>387</v>
      </c>
      <c r="P234">
        <v>1719</v>
      </c>
      <c r="Q234" s="42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455</v>
      </c>
      <c r="B235" s="47">
        <v>46171</v>
      </c>
      <c r="C235" t="s">
        <v>90</v>
      </c>
      <c r="D235" t="s">
        <v>91</v>
      </c>
      <c r="E235" t="s">
        <v>34</v>
      </c>
      <c r="F235" t="s">
        <v>35</v>
      </c>
      <c r="G235" t="s">
        <v>36</v>
      </c>
      <c r="H235" s="20" t="s">
        <v>375</v>
      </c>
      <c r="I235" t="s">
        <v>65</v>
      </c>
      <c r="J235" s="30">
        <v>135</v>
      </c>
      <c r="K235" s="22">
        <f>IF(I235="","",IF(I235="ENTRADA",ABS(J235),-ABS(J235)))</f>
        <v>-135</v>
      </c>
      <c r="L235" t="s">
        <v>37</v>
      </c>
      <c r="N235">
        <v>65086</v>
      </c>
      <c r="O235" t="s">
        <v>387</v>
      </c>
      <c r="P235">
        <v>1719</v>
      </c>
      <c r="Q235" s="42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456</v>
      </c>
      <c r="B236" s="47">
        <v>46171</v>
      </c>
      <c r="C236" t="s">
        <v>156</v>
      </c>
      <c r="D236" t="s">
        <v>157</v>
      </c>
      <c r="E236" t="s">
        <v>25</v>
      </c>
      <c r="F236" t="s">
        <v>26</v>
      </c>
      <c r="G236" t="s">
        <v>301</v>
      </c>
      <c r="H236" s="20" t="s">
        <v>446</v>
      </c>
      <c r="I236" t="s">
        <v>65</v>
      </c>
      <c r="J236" s="30">
        <v>220</v>
      </c>
      <c r="K236" s="22">
        <f>IF(I236="","",IF(I236="ENTRADA",ABS(J236),-ABS(J236)))</f>
        <v>-220</v>
      </c>
      <c r="L236" t="s">
        <v>29</v>
      </c>
      <c r="N236">
        <v>65086</v>
      </c>
      <c r="O236" t="s">
        <v>387</v>
      </c>
      <c r="P236">
        <v>1719</v>
      </c>
      <c r="Q236" s="42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457</v>
      </c>
      <c r="B237" s="47">
        <v>46174</v>
      </c>
      <c r="C237" t="s">
        <v>115</v>
      </c>
      <c r="D237" t="s">
        <v>116</v>
      </c>
      <c r="E237" t="s">
        <v>34</v>
      </c>
      <c r="F237" t="s">
        <v>35</v>
      </c>
      <c r="G237" t="s">
        <v>117</v>
      </c>
      <c r="H237" s="20" t="s">
        <v>120</v>
      </c>
      <c r="I237" t="s">
        <v>65</v>
      </c>
      <c r="J237" s="30">
        <v>1060</v>
      </c>
      <c r="K237" s="22">
        <f>IF(I237="","",IF(I237="ENTRADA",ABS(J237),-ABS(J237)))</f>
        <v>-1060</v>
      </c>
      <c r="L237" t="s">
        <v>37</v>
      </c>
      <c r="N237">
        <v>65087</v>
      </c>
      <c r="O237" t="s">
        <v>218</v>
      </c>
      <c r="P237">
        <v>1720</v>
      </c>
      <c r="Q237" s="42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458</v>
      </c>
      <c r="B238" s="47">
        <v>46174</v>
      </c>
      <c r="C238" t="s">
        <v>90</v>
      </c>
      <c r="D238" t="s">
        <v>91</v>
      </c>
      <c r="E238" t="s">
        <v>34</v>
      </c>
      <c r="F238" t="s">
        <v>35</v>
      </c>
      <c r="G238" t="s">
        <v>36</v>
      </c>
      <c r="H238" s="20" t="s">
        <v>375</v>
      </c>
      <c r="I238" t="s">
        <v>65</v>
      </c>
      <c r="J238" s="30">
        <v>120</v>
      </c>
      <c r="K238" s="22">
        <f>IF(I238="","",IF(I238="ENTRADA",ABS(J238),-ABS(J238)))</f>
        <v>-120</v>
      </c>
      <c r="L238" t="s">
        <v>37</v>
      </c>
      <c r="N238">
        <v>65087</v>
      </c>
      <c r="O238" t="s">
        <v>218</v>
      </c>
      <c r="P238">
        <v>1720</v>
      </c>
      <c r="Q238" s="42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459</v>
      </c>
      <c r="B239" s="47">
        <v>46174</v>
      </c>
      <c r="C239" t="s">
        <v>80</v>
      </c>
      <c r="D239" t="s">
        <v>81</v>
      </c>
      <c r="E239" t="s">
        <v>25</v>
      </c>
      <c r="F239" t="s">
        <v>82</v>
      </c>
      <c r="G239" t="s">
        <v>83</v>
      </c>
      <c r="H239" s="20" t="s">
        <v>151</v>
      </c>
      <c r="I239" t="s">
        <v>65</v>
      </c>
      <c r="J239" s="30">
        <v>625</v>
      </c>
      <c r="K239" s="22">
        <f>IF(I239="","",IF(I239="ENTRADA",ABS(J239),-ABS(J239)))</f>
        <v>-625</v>
      </c>
      <c r="L239" t="s">
        <v>29</v>
      </c>
      <c r="N239">
        <v>65088</v>
      </c>
      <c r="O239" t="s">
        <v>387</v>
      </c>
      <c r="P239">
        <v>1721</v>
      </c>
      <c r="Q239" s="42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460</v>
      </c>
      <c r="B240" s="47">
        <v>46174</v>
      </c>
      <c r="C240" t="s">
        <v>122</v>
      </c>
      <c r="D240" t="s">
        <v>123</v>
      </c>
      <c r="E240" t="s">
        <v>34</v>
      </c>
      <c r="F240" t="s">
        <v>35</v>
      </c>
      <c r="G240" t="s">
        <v>117</v>
      </c>
      <c r="H240" s="20" t="s">
        <v>203</v>
      </c>
      <c r="I240" t="s">
        <v>65</v>
      </c>
      <c r="J240" s="30">
        <v>200</v>
      </c>
      <c r="K240" s="22">
        <f>IF(I240="","",IF(I240="ENTRADA",ABS(J240),-ABS(J240)))</f>
        <v>-200</v>
      </c>
      <c r="L240" t="s">
        <v>37</v>
      </c>
      <c r="N240">
        <v>65089</v>
      </c>
      <c r="O240" t="s">
        <v>213</v>
      </c>
      <c r="P240">
        <v>1722</v>
      </c>
      <c r="Q240" s="42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461</v>
      </c>
      <c r="B241" s="47">
        <v>46174</v>
      </c>
      <c r="C241" t="s">
        <v>130</v>
      </c>
      <c r="D241" t="s">
        <v>131</v>
      </c>
      <c r="E241" t="s">
        <v>132</v>
      </c>
      <c r="G241" t="s">
        <v>133</v>
      </c>
      <c r="H241" s="20" t="s">
        <v>221</v>
      </c>
      <c r="I241" t="s">
        <v>65</v>
      </c>
      <c r="J241" s="30">
        <v>200</v>
      </c>
      <c r="K241" s="22">
        <f>IF(I241="","",IF(I241="ENTRADA",ABS(J241),-ABS(J241)))</f>
        <v>-200</v>
      </c>
      <c r="L241" t="s">
        <v>37</v>
      </c>
      <c r="N241">
        <v>65089</v>
      </c>
      <c r="O241" t="s">
        <v>213</v>
      </c>
      <c r="P241">
        <v>1722</v>
      </c>
      <c r="Q241" s="42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462</v>
      </c>
      <c r="B242" s="47">
        <v>46174</v>
      </c>
      <c r="C242" t="s">
        <v>245</v>
      </c>
      <c r="D242" t="s">
        <v>246</v>
      </c>
      <c r="E242" t="s">
        <v>34</v>
      </c>
      <c r="F242" t="s">
        <v>35</v>
      </c>
      <c r="G242" t="s">
        <v>27</v>
      </c>
      <c r="H242" s="20" t="s">
        <v>463</v>
      </c>
      <c r="I242" t="s">
        <v>65</v>
      </c>
      <c r="J242" s="30">
        <v>60</v>
      </c>
      <c r="K242" s="22">
        <f>IF(I242="","",IF(I242="ENTRADA",ABS(J242),-ABS(J242)))</f>
        <v>-60</v>
      </c>
      <c r="L242" t="s">
        <v>37</v>
      </c>
      <c r="N242">
        <v>65089</v>
      </c>
      <c r="O242" t="s">
        <v>213</v>
      </c>
      <c r="P242">
        <v>1722</v>
      </c>
      <c r="Q242" s="42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464</v>
      </c>
      <c r="B243" s="47">
        <v>46174</v>
      </c>
      <c r="C243" s="34" t="s">
        <v>122</v>
      </c>
      <c r="D243" s="34" t="s">
        <v>123</v>
      </c>
      <c r="E243" s="34" t="s">
        <v>34</v>
      </c>
      <c r="F243" s="34" t="s">
        <v>35</v>
      </c>
      <c r="G243" s="34" t="s">
        <v>117</v>
      </c>
      <c r="H243" s="20" t="s">
        <v>203</v>
      </c>
      <c r="I243" s="34" t="s">
        <v>65</v>
      </c>
      <c r="J243" s="36">
        <v>20</v>
      </c>
      <c r="K243" s="22">
        <f>IF(I243="","",IF(I243="ENTRADA",ABS(J243),-ABS(J243)))</f>
        <v>-20</v>
      </c>
      <c r="L243" s="34" t="s">
        <v>37</v>
      </c>
      <c r="M243" s="34"/>
      <c r="N243" s="34">
        <v>65093</v>
      </c>
      <c r="O243" s="34" t="s">
        <v>382</v>
      </c>
      <c r="P243">
        <v>1723</v>
      </c>
      <c r="Q243" s="42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465</v>
      </c>
      <c r="B244" s="47">
        <v>46175</v>
      </c>
      <c r="C244" t="s">
        <v>115</v>
      </c>
      <c r="D244" t="s">
        <v>116</v>
      </c>
      <c r="E244" t="s">
        <v>34</v>
      </c>
      <c r="F244" t="s">
        <v>35</v>
      </c>
      <c r="G244" t="s">
        <v>117</v>
      </c>
      <c r="H244" s="20" t="s">
        <v>120</v>
      </c>
      <c r="I244" t="s">
        <v>65</v>
      </c>
      <c r="J244" s="30">
        <v>600</v>
      </c>
      <c r="K244" s="22">
        <f>IF(I244="","",IF(I244="ENTRADA",ABS(J244),-ABS(J244)))</f>
        <v>-600</v>
      </c>
      <c r="L244" t="s">
        <v>37</v>
      </c>
      <c r="N244">
        <v>65094</v>
      </c>
      <c r="O244" t="s">
        <v>218</v>
      </c>
      <c r="P244">
        <v>1724</v>
      </c>
      <c r="Q244" s="42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466</v>
      </c>
      <c r="B245" s="47">
        <v>46176</v>
      </c>
      <c r="C245" t="s">
        <v>90</v>
      </c>
      <c r="D245" t="s">
        <v>91</v>
      </c>
      <c r="E245" t="s">
        <v>34</v>
      </c>
      <c r="F245" t="s">
        <v>35</v>
      </c>
      <c r="G245" t="s">
        <v>36</v>
      </c>
      <c r="H245" s="20" t="s">
        <v>375</v>
      </c>
      <c r="I245" t="s">
        <v>65</v>
      </c>
      <c r="J245" s="30">
        <v>80</v>
      </c>
      <c r="K245" s="22">
        <f>IF(I245="","",IF(I245="ENTRADA",ABS(J245),-ABS(J245)))</f>
        <v>-80</v>
      </c>
      <c r="L245" t="s">
        <v>37</v>
      </c>
      <c r="N245">
        <v>65095</v>
      </c>
      <c r="O245" t="s">
        <v>218</v>
      </c>
      <c r="P245">
        <v>1729</v>
      </c>
      <c r="Q245" s="42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467</v>
      </c>
      <c r="B246" s="47">
        <v>46176</v>
      </c>
      <c r="C246" t="s">
        <v>115</v>
      </c>
      <c r="D246" t="s">
        <v>116</v>
      </c>
      <c r="E246" t="s">
        <v>34</v>
      </c>
      <c r="F246" t="s">
        <v>35</v>
      </c>
      <c r="G246" t="s">
        <v>117</v>
      </c>
      <c r="H246" s="20" t="s">
        <v>120</v>
      </c>
      <c r="I246" t="s">
        <v>65</v>
      </c>
      <c r="J246" s="30">
        <v>1600</v>
      </c>
      <c r="K246" s="22">
        <f>IF(I246="","",IF(I246="ENTRADA",ABS(J246),-ABS(J246)))</f>
        <v>-1600</v>
      </c>
      <c r="L246" t="s">
        <v>37</v>
      </c>
      <c r="N246">
        <v>65095</v>
      </c>
      <c r="O246" t="s">
        <v>218</v>
      </c>
      <c r="P246">
        <v>1729</v>
      </c>
      <c r="Q246" s="42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468</v>
      </c>
      <c r="B247" s="47">
        <v>46176</v>
      </c>
      <c r="C247" t="s">
        <v>141</v>
      </c>
      <c r="D247" t="s">
        <v>142</v>
      </c>
      <c r="E247" t="s">
        <v>132</v>
      </c>
      <c r="G247" t="s">
        <v>133</v>
      </c>
      <c r="H247" s="20" t="s">
        <v>469</v>
      </c>
      <c r="I247" t="s">
        <v>65</v>
      </c>
      <c r="J247" s="30">
        <v>15</v>
      </c>
      <c r="K247" s="22">
        <f>IF(I247="","",IF(I247="ENTRADA",ABS(J247),-ABS(J247)))</f>
        <v>-15</v>
      </c>
      <c r="L247" t="s">
        <v>37</v>
      </c>
      <c r="N247">
        <v>65095</v>
      </c>
      <c r="O247" t="s">
        <v>218</v>
      </c>
      <c r="P247">
        <v>1729</v>
      </c>
      <c r="Q247" s="42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470</v>
      </c>
      <c r="B248" s="47">
        <v>46176</v>
      </c>
      <c r="C248" t="s">
        <v>40</v>
      </c>
      <c r="D248" t="s">
        <v>41</v>
      </c>
      <c r="E248" t="s">
        <v>34</v>
      </c>
      <c r="F248" t="s">
        <v>35</v>
      </c>
      <c r="G248" t="s">
        <v>36</v>
      </c>
      <c r="H248" s="20" t="s">
        <v>471</v>
      </c>
      <c r="I248" t="s">
        <v>65</v>
      </c>
      <c r="J248" s="30">
        <v>10</v>
      </c>
      <c r="K248" s="22">
        <f>IF(I248="","",IF(I248="ENTRADA",ABS(J248),-ABS(J248)))</f>
        <v>-10</v>
      </c>
      <c r="L248" t="s">
        <v>37</v>
      </c>
      <c r="N248">
        <v>65095</v>
      </c>
      <c r="O248" t="s">
        <v>218</v>
      </c>
      <c r="P248">
        <v>1729</v>
      </c>
      <c r="Q248" s="42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472</v>
      </c>
      <c r="B249" s="47">
        <v>46176</v>
      </c>
      <c r="C249" t="s">
        <v>50</v>
      </c>
      <c r="D249" t="s">
        <v>280</v>
      </c>
      <c r="E249" t="s">
        <v>34</v>
      </c>
      <c r="F249" t="s">
        <v>35</v>
      </c>
      <c r="G249" t="s">
        <v>36</v>
      </c>
      <c r="H249" s="20" t="s">
        <v>281</v>
      </c>
      <c r="I249" t="s">
        <v>65</v>
      </c>
      <c r="J249" s="30">
        <v>10</v>
      </c>
      <c r="K249" s="22">
        <f>IF(I249="","",IF(I249="ENTRADA",ABS(J249),-ABS(J249)))</f>
        <v>-10</v>
      </c>
      <c r="L249" t="s">
        <v>37</v>
      </c>
      <c r="N249">
        <v>65095</v>
      </c>
      <c r="O249" t="s">
        <v>218</v>
      </c>
      <c r="P249">
        <v>1729</v>
      </c>
      <c r="Q249" s="42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473</v>
      </c>
      <c r="B250" s="47">
        <v>46176</v>
      </c>
      <c r="C250" t="s">
        <v>130</v>
      </c>
      <c r="D250" t="s">
        <v>131</v>
      </c>
      <c r="E250" t="s">
        <v>132</v>
      </c>
      <c r="G250" t="s">
        <v>133</v>
      </c>
      <c r="H250" s="20" t="s">
        <v>221</v>
      </c>
      <c r="I250" t="s">
        <v>65</v>
      </c>
      <c r="J250" s="30">
        <v>40</v>
      </c>
      <c r="K250" s="22">
        <f>IF(I250="","",IF(I250="ENTRADA",ABS(J250),-ABS(J250)))</f>
        <v>-40</v>
      </c>
      <c r="L250" t="s">
        <v>37</v>
      </c>
      <c r="N250">
        <v>65095</v>
      </c>
      <c r="O250" t="s">
        <v>218</v>
      </c>
      <c r="P250">
        <v>1729</v>
      </c>
      <c r="Q250" s="42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474</v>
      </c>
      <c r="B251" s="47">
        <v>46176</v>
      </c>
      <c r="C251" t="s">
        <v>304</v>
      </c>
      <c r="D251" t="s">
        <v>305</v>
      </c>
      <c r="E251" t="s">
        <v>25</v>
      </c>
      <c r="F251" t="s">
        <v>188</v>
      </c>
      <c r="G251" t="s">
        <v>301</v>
      </c>
      <c r="H251" s="20" t="s">
        <v>409</v>
      </c>
      <c r="I251" t="s">
        <v>65</v>
      </c>
      <c r="J251" s="30">
        <v>125</v>
      </c>
      <c r="K251" s="22">
        <f>IF(I251="","",IF(I251="ENTRADA",ABS(J251),-ABS(J251)))</f>
        <v>-125</v>
      </c>
      <c r="L251" t="s">
        <v>29</v>
      </c>
      <c r="N251">
        <v>65097</v>
      </c>
      <c r="O251" t="s">
        <v>309</v>
      </c>
      <c r="P251">
        <v>1730</v>
      </c>
      <c r="Q251" s="42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475</v>
      </c>
      <c r="B252" s="47">
        <v>46176</v>
      </c>
      <c r="C252" t="s">
        <v>137</v>
      </c>
      <c r="D252" t="s">
        <v>138</v>
      </c>
      <c r="E252" t="s">
        <v>132</v>
      </c>
      <c r="G252" t="s">
        <v>133</v>
      </c>
      <c r="H252" s="20" t="s">
        <v>211</v>
      </c>
      <c r="I252" s="52" t="s">
        <v>65</v>
      </c>
      <c r="J252" s="53">
        <v>30</v>
      </c>
      <c r="K252" s="22">
        <f>IF(I252="","",IF(I252="ENTRADA",ABS(J252),-ABS(J252)))</f>
        <v>-30</v>
      </c>
      <c r="L252" t="s">
        <v>37</v>
      </c>
      <c r="N252">
        <v>65097</v>
      </c>
      <c r="O252" t="s">
        <v>309</v>
      </c>
      <c r="P252">
        <v>1730</v>
      </c>
      <c r="Q252" s="42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476</v>
      </c>
      <c r="B253" s="47">
        <v>46176</v>
      </c>
      <c r="C253" t="s">
        <v>54</v>
      </c>
      <c r="D253" t="s">
        <v>55</v>
      </c>
      <c r="E253" t="s">
        <v>34</v>
      </c>
      <c r="F253" t="s">
        <v>35</v>
      </c>
      <c r="G253" t="s">
        <v>36</v>
      </c>
      <c r="H253" s="20" t="s">
        <v>97</v>
      </c>
      <c r="I253" t="s">
        <v>65</v>
      </c>
      <c r="J253" s="30">
        <v>96</v>
      </c>
      <c r="K253" s="22">
        <f>IF(I253="","",IF(I253="ENTRADA",ABS(J253),-ABS(J253)))</f>
        <v>-96</v>
      </c>
      <c r="L253" t="s">
        <v>56</v>
      </c>
      <c r="N253">
        <v>65098</v>
      </c>
      <c r="O253" t="s">
        <v>237</v>
      </c>
      <c r="P253">
        <v>1738</v>
      </c>
      <c r="Q253" s="42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477</v>
      </c>
      <c r="B254" s="47">
        <v>46177</v>
      </c>
      <c r="C254" s="34" t="s">
        <v>115</v>
      </c>
      <c r="D254" s="34" t="s">
        <v>116</v>
      </c>
      <c r="E254" s="34" t="s">
        <v>34</v>
      </c>
      <c r="F254" s="34" t="s">
        <v>35</v>
      </c>
      <c r="G254" s="34" t="s">
        <v>117</v>
      </c>
      <c r="H254" s="20" t="s">
        <v>120</v>
      </c>
      <c r="I254" s="34" t="s">
        <v>65</v>
      </c>
      <c r="J254" s="36">
        <v>520</v>
      </c>
      <c r="K254" s="22">
        <f>IF(I254="","",IF(I254="ENTRADA",ABS(J254),-ABS(J254)))</f>
        <v>-520</v>
      </c>
      <c r="L254" s="34" t="s">
        <v>37</v>
      </c>
      <c r="M254" s="34"/>
      <c r="N254">
        <v>65099</v>
      </c>
      <c r="O254" s="34" t="s">
        <v>218</v>
      </c>
      <c r="P254">
        <v>1732</v>
      </c>
      <c r="Q254" s="42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478</v>
      </c>
      <c r="B255" s="47">
        <v>46177</v>
      </c>
      <c r="C255" t="s">
        <v>137</v>
      </c>
      <c r="D255" t="s">
        <v>138</v>
      </c>
      <c r="E255" t="s">
        <v>132</v>
      </c>
      <c r="G255" t="s">
        <v>133</v>
      </c>
      <c r="H255" s="20" t="s">
        <v>211</v>
      </c>
      <c r="I255" t="s">
        <v>65</v>
      </c>
      <c r="J255" s="51">
        <v>4</v>
      </c>
      <c r="K255" s="22">
        <f>IF(I255="","",IF(I255="ENTRADA",ABS(J255),-ABS(J255)))</f>
        <v>-4</v>
      </c>
      <c r="L255" t="s">
        <v>37</v>
      </c>
      <c r="N255">
        <v>65099</v>
      </c>
      <c r="O255" t="s">
        <v>218</v>
      </c>
      <c r="P255">
        <v>1732</v>
      </c>
      <c r="Q255" s="42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479</v>
      </c>
      <c r="B256" s="47">
        <v>46177</v>
      </c>
      <c r="C256" t="s">
        <v>130</v>
      </c>
      <c r="D256" t="s">
        <v>131</v>
      </c>
      <c r="E256" t="s">
        <v>132</v>
      </c>
      <c r="G256" t="s">
        <v>133</v>
      </c>
      <c r="H256" s="20" t="s">
        <v>221</v>
      </c>
      <c r="I256" t="s">
        <v>65</v>
      </c>
      <c r="J256" s="30">
        <v>20</v>
      </c>
      <c r="K256" s="22">
        <f>IF(I256="","",IF(I256="ENTRADA",ABS(J256),-ABS(J256)))</f>
        <v>-20</v>
      </c>
      <c r="L256" t="s">
        <v>37</v>
      </c>
      <c r="N256">
        <v>65099</v>
      </c>
      <c r="O256" t="s">
        <v>218</v>
      </c>
      <c r="P256">
        <v>1732</v>
      </c>
      <c r="Q256" s="42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480</v>
      </c>
      <c r="B257" s="47">
        <v>46178</v>
      </c>
      <c r="C257" t="s">
        <v>425</v>
      </c>
      <c r="D257" t="s">
        <v>426</v>
      </c>
      <c r="E257" t="s">
        <v>25</v>
      </c>
      <c r="F257" t="s">
        <v>427</v>
      </c>
      <c r="G257" t="s">
        <v>27</v>
      </c>
      <c r="H257" s="20" t="s">
        <v>481</v>
      </c>
      <c r="I257" t="s">
        <v>65</v>
      </c>
      <c r="J257" s="30">
        <v>2400</v>
      </c>
      <c r="K257" s="22">
        <f>IF(I257="","",IF(I257="ENTRADA",ABS(J257),-ABS(J257)))</f>
        <v>-2400</v>
      </c>
      <c r="L257" t="s">
        <v>29</v>
      </c>
      <c r="N257">
        <v>65100</v>
      </c>
      <c r="O257" t="s">
        <v>218</v>
      </c>
      <c r="P257">
        <v>1733</v>
      </c>
      <c r="Q257" s="42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482</v>
      </c>
      <c r="B258" s="47">
        <v>46178</v>
      </c>
      <c r="C258" t="s">
        <v>425</v>
      </c>
      <c r="D258" t="s">
        <v>426</v>
      </c>
      <c r="E258" t="s">
        <v>25</v>
      </c>
      <c r="F258" t="s">
        <v>427</v>
      </c>
      <c r="G258" t="s">
        <v>27</v>
      </c>
      <c r="H258" s="20" t="s">
        <v>481</v>
      </c>
      <c r="I258" t="s">
        <v>65</v>
      </c>
      <c r="J258" s="30">
        <v>6000</v>
      </c>
      <c r="K258" s="22">
        <f>IF(I258="","",IF(I258="ENTRADA",ABS(J258),-ABS(J258)))</f>
        <v>-6000</v>
      </c>
      <c r="L258" t="s">
        <v>29</v>
      </c>
      <c r="N258">
        <v>65101</v>
      </c>
      <c r="O258" t="s">
        <v>218</v>
      </c>
      <c r="P258">
        <v>1734</v>
      </c>
      <c r="Q258" s="42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483</v>
      </c>
      <c r="B259" s="47">
        <v>46178</v>
      </c>
      <c r="C259" t="s">
        <v>115</v>
      </c>
      <c r="D259" t="s">
        <v>116</v>
      </c>
      <c r="E259" t="s">
        <v>34</v>
      </c>
      <c r="F259" t="s">
        <v>35</v>
      </c>
      <c r="G259" t="s">
        <v>117</v>
      </c>
      <c r="H259" s="20" t="s">
        <v>120</v>
      </c>
      <c r="I259" t="s">
        <v>65</v>
      </c>
      <c r="J259" s="30">
        <v>720</v>
      </c>
      <c r="K259" s="22">
        <f>IF(I259="","",IF(I259="ENTRADA",ABS(J259),-ABS(J259)))</f>
        <v>-720</v>
      </c>
      <c r="L259" t="s">
        <v>37</v>
      </c>
      <c r="N259">
        <v>65102</v>
      </c>
      <c r="O259" t="s">
        <v>218</v>
      </c>
      <c r="P259">
        <v>1735</v>
      </c>
      <c r="Q259" s="42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484</v>
      </c>
      <c r="B260" s="47">
        <v>46178</v>
      </c>
      <c r="C260" t="s">
        <v>130</v>
      </c>
      <c r="D260" t="s">
        <v>131</v>
      </c>
      <c r="E260" t="s">
        <v>132</v>
      </c>
      <c r="G260" t="s">
        <v>133</v>
      </c>
      <c r="H260" s="20" t="s">
        <v>221</v>
      </c>
      <c r="I260" t="s">
        <v>65</v>
      </c>
      <c r="J260" s="30">
        <v>20</v>
      </c>
      <c r="K260" s="22">
        <f>IF(I260="","",IF(I260="ENTRADA",ABS(J260),-ABS(J260)))</f>
        <v>-20</v>
      </c>
      <c r="L260" t="s">
        <v>37</v>
      </c>
      <c r="N260">
        <v>65102</v>
      </c>
      <c r="O260" t="s">
        <v>218</v>
      </c>
      <c r="P260">
        <v>1735</v>
      </c>
      <c r="Q260" s="42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485</v>
      </c>
      <c r="B261" s="47">
        <v>46178</v>
      </c>
      <c r="C261" t="s">
        <v>137</v>
      </c>
      <c r="D261" t="s">
        <v>138</v>
      </c>
      <c r="E261" t="s">
        <v>132</v>
      </c>
      <c r="G261" t="s">
        <v>133</v>
      </c>
      <c r="H261" s="20" t="s">
        <v>211</v>
      </c>
      <c r="I261" t="s">
        <v>65</v>
      </c>
      <c r="J261" s="51">
        <v>3</v>
      </c>
      <c r="K261" s="22">
        <f>IF(I261="","",IF(I261="ENTRADA",ABS(J261),-ABS(J261)))</f>
        <v>-3</v>
      </c>
      <c r="L261" t="s">
        <v>37</v>
      </c>
      <c r="N261">
        <v>65102</v>
      </c>
      <c r="O261" t="s">
        <v>218</v>
      </c>
      <c r="P261">
        <v>1735</v>
      </c>
      <c r="Q261" s="42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486</v>
      </c>
      <c r="B262" s="47">
        <v>46178</v>
      </c>
      <c r="C262" t="s">
        <v>90</v>
      </c>
      <c r="D262" t="s">
        <v>91</v>
      </c>
      <c r="E262" t="s">
        <v>34</v>
      </c>
      <c r="F262" t="s">
        <v>35</v>
      </c>
      <c r="G262" t="s">
        <v>36</v>
      </c>
      <c r="H262" s="20" t="s">
        <v>375</v>
      </c>
      <c r="I262" t="s">
        <v>65</v>
      </c>
      <c r="J262" s="30">
        <v>80</v>
      </c>
      <c r="K262" s="22">
        <f>IF(I262="","",IF(I262="ENTRADA",ABS(J262),-ABS(J262)))</f>
        <v>-80</v>
      </c>
      <c r="L262" t="s">
        <v>37</v>
      </c>
      <c r="N262">
        <v>65102</v>
      </c>
      <c r="O262" t="s">
        <v>218</v>
      </c>
      <c r="P262">
        <v>1735</v>
      </c>
      <c r="Q262" s="42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487</v>
      </c>
      <c r="B263" s="47">
        <v>46178</v>
      </c>
      <c r="C263" t="s">
        <v>425</v>
      </c>
      <c r="D263" t="s">
        <v>426</v>
      </c>
      <c r="E263" t="s">
        <v>25</v>
      </c>
      <c r="F263" t="s">
        <v>427</v>
      </c>
      <c r="G263" t="s">
        <v>27</v>
      </c>
      <c r="H263" s="20" t="s">
        <v>481</v>
      </c>
      <c r="I263" t="s">
        <v>65</v>
      </c>
      <c r="J263" s="30">
        <v>3600</v>
      </c>
      <c r="K263" s="22">
        <f>IF(I263="","",IF(I263="ENTRADA",ABS(J263),-ABS(J263)))</f>
        <v>-3600</v>
      </c>
      <c r="L263" t="s">
        <v>29</v>
      </c>
      <c r="N263">
        <v>65103</v>
      </c>
      <c r="O263" t="s">
        <v>218</v>
      </c>
      <c r="P263">
        <v>1736</v>
      </c>
      <c r="Q263" s="42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488</v>
      </c>
      <c r="B264" s="47">
        <v>46178</v>
      </c>
      <c r="C264" t="s">
        <v>429</v>
      </c>
      <c r="D264" t="s">
        <v>430</v>
      </c>
      <c r="E264" t="s">
        <v>25</v>
      </c>
      <c r="F264" t="s">
        <v>427</v>
      </c>
      <c r="G264" t="s">
        <v>27</v>
      </c>
      <c r="H264" s="20" t="s">
        <v>489</v>
      </c>
      <c r="I264" t="s">
        <v>65</v>
      </c>
      <c r="J264" s="30">
        <v>600</v>
      </c>
      <c r="K264" s="22">
        <f>IF(I264="","",IF(I264="ENTRADA",ABS(J264),-ABS(J264)))</f>
        <v>-600</v>
      </c>
      <c r="L264" t="s">
        <v>29</v>
      </c>
      <c r="N264">
        <v>65103</v>
      </c>
      <c r="O264" t="s">
        <v>218</v>
      </c>
      <c r="P264">
        <v>1736</v>
      </c>
      <c r="Q264" s="42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490</v>
      </c>
      <c r="B265" s="47">
        <v>46183</v>
      </c>
      <c r="C265" s="34" t="s">
        <v>491</v>
      </c>
      <c r="D265" s="34" t="s">
        <v>492</v>
      </c>
      <c r="E265" s="34" t="s">
        <v>493</v>
      </c>
      <c r="F265" s="34"/>
      <c r="G265" s="34" t="s">
        <v>36</v>
      </c>
      <c r="H265" s="20" t="str">
        <f>+T265</f>
        <v>260610-265</v>
      </c>
      <c r="I265" s="34" t="s">
        <v>28</v>
      </c>
      <c r="J265" s="36">
        <v>21120</v>
      </c>
      <c r="K265" s="22">
        <f>IF(I265="","",IF(I265="ENTRADA",ABS(J265),-ABS(J265)))</f>
        <v>21120</v>
      </c>
      <c r="L265" s="34" t="s">
        <v>37</v>
      </c>
      <c r="M265" s="34"/>
      <c r="N265" s="34">
        <v>13080</v>
      </c>
      <c r="O265" s="34"/>
      <c r="P265">
        <v>14750</v>
      </c>
      <c r="Q265" s="42">
        <v>46191</v>
      </c>
      <c r="R265" s="22" t="str">
        <f>IF(H265="","",H265&amp;I265)</f>
        <v>260610-265ENTRADA</v>
      </c>
      <c r="S265" s="22" t="str">
        <f>IF(C265="","",C265&amp;I265)</f>
        <v>Zinc Plus ENTRADA</v>
      </c>
      <c r="T265" t="str">
        <f>IF(OR(C265="",I265&lt;&gt;"ENTRADA"),"",TEXT(B265,"AAMMDD")&amp;"-"&amp;TEXT(VALUE(SUBSTITUTE(A265,"MOV-","")),"000"))</f>
        <v>260610-265</v>
      </c>
    </row>
    <row r="266" spans="1:20">
      <c r="A266" s="20" t="s">
        <v>494</v>
      </c>
      <c r="B266" s="47">
        <v>46183</v>
      </c>
      <c r="C266" t="s">
        <v>491</v>
      </c>
      <c r="D266" t="s">
        <v>492</v>
      </c>
      <c r="E266" t="s">
        <v>493</v>
      </c>
      <c r="G266" t="s">
        <v>36</v>
      </c>
      <c r="H266" s="20" t="s">
        <v>495</v>
      </c>
      <c r="I266" t="s">
        <v>65</v>
      </c>
      <c r="J266" s="30">
        <v>3840</v>
      </c>
      <c r="K266" s="22">
        <f>IF(I266="","",IF(I266="ENTRADA",ABS(J266),-ABS(J266)))</f>
        <v>-3840</v>
      </c>
      <c r="L266" t="s">
        <v>37</v>
      </c>
      <c r="N266">
        <v>65105</v>
      </c>
      <c r="O266" t="s">
        <v>309</v>
      </c>
      <c r="P266">
        <v>1783</v>
      </c>
      <c r="Q266" s="42">
        <v>46191</v>
      </c>
      <c r="R266" s="22" t="str">
        <f>IF(H266="","",H266&amp;I266)</f>
        <v>260610-265SALIDA</v>
      </c>
      <c r="S266" s="22" t="str">
        <f>IF(C266="","",C266&amp;I266)</f>
        <v>Zinc Plus SALIDA</v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496</v>
      </c>
      <c r="B267" s="47">
        <v>46183</v>
      </c>
      <c r="C267" t="s">
        <v>283</v>
      </c>
      <c r="D267" t="s">
        <v>284</v>
      </c>
      <c r="E267" t="s">
        <v>285</v>
      </c>
      <c r="F267" t="s">
        <v>286</v>
      </c>
      <c r="G267" t="s">
        <v>83</v>
      </c>
      <c r="H267" s="20" t="s">
        <v>497</v>
      </c>
      <c r="I267" t="s">
        <v>65</v>
      </c>
      <c r="J267" s="30">
        <v>7300</v>
      </c>
      <c r="K267" s="22">
        <f>IF(I267="","",IF(I267="ENTRADA",ABS(J267),-ABS(J267)))</f>
        <v>-7300</v>
      </c>
      <c r="L267" t="s">
        <v>37</v>
      </c>
      <c r="N267">
        <v>65105</v>
      </c>
      <c r="O267" t="s">
        <v>309</v>
      </c>
      <c r="P267">
        <v>1783</v>
      </c>
      <c r="Q267" s="42">
        <v>46191</v>
      </c>
      <c r="R267" s="22" t="str">
        <f>IF(H267="","",H267&amp;I267)</f>
        <v>260429-102SALIDA</v>
      </c>
      <c r="S267" s="22" t="str">
        <f>IF(C267="","",C267&amp;I267)</f>
        <v>Hydra HumeSALIDA</v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498</v>
      </c>
      <c r="B268" s="47">
        <v>46184</v>
      </c>
      <c r="C268" t="s">
        <v>283</v>
      </c>
      <c r="D268" t="s">
        <v>284</v>
      </c>
      <c r="E268" t="s">
        <v>285</v>
      </c>
      <c r="F268" t="s">
        <v>286</v>
      </c>
      <c r="G268" t="s">
        <v>83</v>
      </c>
      <c r="H268" s="20" t="s">
        <v>497</v>
      </c>
      <c r="I268" t="s">
        <v>65</v>
      </c>
      <c r="J268" s="30">
        <v>1220</v>
      </c>
      <c r="K268" s="22">
        <f>IF(I268="","",IF(I268="ENTRADA",ABS(J268),-ABS(J268)))</f>
        <v>-1220</v>
      </c>
      <c r="L268" t="s">
        <v>37</v>
      </c>
      <c r="N268">
        <v>65106</v>
      </c>
      <c r="O268" t="s">
        <v>66</v>
      </c>
      <c r="P268">
        <v>1784</v>
      </c>
      <c r="Q268" s="42">
        <v>46191</v>
      </c>
      <c r="R268" s="22" t="str">
        <f>IF(H268="","",H268&amp;I268)</f>
        <v>260429-102SALIDA</v>
      </c>
      <c r="S268" s="22" t="str">
        <f>IF(C268="","",C268&amp;I268)</f>
        <v>Hydra HumeSALIDA</v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499</v>
      </c>
      <c r="B269" s="47">
        <v>46184</v>
      </c>
      <c r="C269" t="s">
        <v>491</v>
      </c>
      <c r="D269" t="s">
        <v>492</v>
      </c>
      <c r="E269" t="s">
        <v>493</v>
      </c>
      <c r="G269" t="s">
        <v>36</v>
      </c>
      <c r="H269" s="20" t="s">
        <v>495</v>
      </c>
      <c r="I269" t="s">
        <v>65</v>
      </c>
      <c r="J269" s="30">
        <v>1080</v>
      </c>
      <c r="K269" s="22">
        <f>IF(I269="","",IF(I269="ENTRADA",ABS(J269),-ABS(J269)))</f>
        <v>-1080</v>
      </c>
      <c r="L269" t="s">
        <v>37</v>
      </c>
      <c r="N269">
        <v>65106</v>
      </c>
      <c r="O269" t="s">
        <v>66</v>
      </c>
      <c r="P269">
        <v>1784</v>
      </c>
      <c r="Q269" s="42">
        <v>46191</v>
      </c>
      <c r="R269" s="22" t="str">
        <f>IF(H269="","",H269&amp;I269)</f>
        <v>260610-265SALIDA</v>
      </c>
      <c r="S269" s="22" t="str">
        <f>IF(C269="","",C269&amp;I269)</f>
        <v>Zinc Plus SALIDA</v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500</v>
      </c>
      <c r="B270" s="47">
        <v>46184</v>
      </c>
      <c r="C270" t="s">
        <v>50</v>
      </c>
      <c r="D270" t="s">
        <v>280</v>
      </c>
      <c r="E270" t="s">
        <v>34</v>
      </c>
      <c r="F270" t="s">
        <v>35</v>
      </c>
      <c r="G270" t="s">
        <v>36</v>
      </c>
      <c r="H270" s="20" t="s">
        <v>281</v>
      </c>
      <c r="I270" t="s">
        <v>65</v>
      </c>
      <c r="J270" s="30">
        <v>20</v>
      </c>
      <c r="K270" s="22">
        <f>IF(I270="","",IF(I270="ENTRADA",ABS(J270),-ABS(J270)))</f>
        <v>-20</v>
      </c>
      <c r="L270" t="s">
        <v>37</v>
      </c>
      <c r="N270">
        <v>65106</v>
      </c>
      <c r="O270" t="s">
        <v>66</v>
      </c>
      <c r="P270">
        <v>1784</v>
      </c>
      <c r="Q270" s="42">
        <v>46191</v>
      </c>
      <c r="R270" s="22" t="str">
        <f>IF(H270="","",H270&amp;I270)</f>
        <v>260401-006SALIDA</v>
      </c>
      <c r="S270" s="22" t="str">
        <f>IF(C270="","",C270&amp;I270)</f>
        <v>Tordon 24KSALIDA</v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501</v>
      </c>
      <c r="B271" s="47">
        <v>46185</v>
      </c>
      <c r="C271" t="s">
        <v>90</v>
      </c>
      <c r="D271" t="s">
        <v>91</v>
      </c>
      <c r="E271" t="s">
        <v>34</v>
      </c>
      <c r="F271" t="s">
        <v>35</v>
      </c>
      <c r="G271" t="s">
        <v>36</v>
      </c>
      <c r="H271" s="20" t="s">
        <v>375</v>
      </c>
      <c r="I271" t="s">
        <v>65</v>
      </c>
      <c r="J271" s="30">
        <v>60</v>
      </c>
      <c r="K271" s="22">
        <f>IF(I271="","",IF(I271="ENTRADA",ABS(J271),-ABS(J271)))</f>
        <v>-60</v>
      </c>
      <c r="L271" t="s">
        <v>37</v>
      </c>
      <c r="N271">
        <v>65107</v>
      </c>
      <c r="O271" t="s">
        <v>237</v>
      </c>
      <c r="P271">
        <v>1785</v>
      </c>
      <c r="Q271" s="42">
        <v>46191</v>
      </c>
      <c r="R271" s="22" t="str">
        <f>IF(H271="","",H271&amp;I271)</f>
        <v>260405-132SALIDA</v>
      </c>
      <c r="S271" s="22" t="str">
        <f>IF(C271="","",C271&amp;I271)</f>
        <v>PixxaroSALIDA</v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502</v>
      </c>
      <c r="B272" s="47">
        <v>46185</v>
      </c>
      <c r="C272" t="s">
        <v>115</v>
      </c>
      <c r="D272" t="s">
        <v>116</v>
      </c>
      <c r="E272" t="s">
        <v>34</v>
      </c>
      <c r="F272" t="s">
        <v>35</v>
      </c>
      <c r="G272" t="s">
        <v>117</v>
      </c>
      <c r="H272" s="20" t="s">
        <v>120</v>
      </c>
      <c r="I272" t="s">
        <v>65</v>
      </c>
      <c r="J272" s="30">
        <v>200</v>
      </c>
      <c r="K272" s="22">
        <f>IF(I272="","",IF(I272="ENTRADA",ABS(J272),-ABS(J272)))</f>
        <v>-200</v>
      </c>
      <c r="L272" t="s">
        <v>37</v>
      </c>
      <c r="N272">
        <v>65107</v>
      </c>
      <c r="O272" t="s">
        <v>237</v>
      </c>
      <c r="P272">
        <v>1785</v>
      </c>
      <c r="Q272" s="42">
        <v>46191</v>
      </c>
      <c r="R272" s="22" t="str">
        <f>IF(H272="","",H272&amp;I272)</f>
        <v>260410-025SALIDA</v>
      </c>
      <c r="S272" s="22" t="str">
        <f>IF(C272="","",C272&amp;I272)</f>
        <v>AzukaSALIDA</v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503</v>
      </c>
      <c r="B273" s="47">
        <v>46185</v>
      </c>
      <c r="C273" t="s">
        <v>130</v>
      </c>
      <c r="D273" t="s">
        <v>131</v>
      </c>
      <c r="E273" t="s">
        <v>132</v>
      </c>
      <c r="G273" t="s">
        <v>133</v>
      </c>
      <c r="H273" s="20" t="s">
        <v>221</v>
      </c>
      <c r="I273" t="s">
        <v>65</v>
      </c>
      <c r="J273" s="30">
        <v>180</v>
      </c>
      <c r="K273" s="22">
        <f>IF(I273="","",IF(I273="ENTRADA",ABS(J273),-ABS(J273)))</f>
        <v>-180</v>
      </c>
      <c r="L273" t="s">
        <v>37</v>
      </c>
      <c r="N273">
        <v>65107</v>
      </c>
      <c r="O273" t="s">
        <v>237</v>
      </c>
      <c r="P273">
        <v>1785</v>
      </c>
      <c r="Q273" s="42">
        <v>46191</v>
      </c>
      <c r="R273" s="22" t="str">
        <f>IF(H273="","",H273&amp;I273)</f>
        <v>260414-029SALIDA</v>
      </c>
      <c r="S273" s="22" t="str">
        <f>IF(C273="","",C273&amp;I273)</f>
        <v>HarrierSALIDA</v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504</v>
      </c>
      <c r="B274" s="47">
        <v>46188</v>
      </c>
      <c r="C274" t="s">
        <v>491</v>
      </c>
      <c r="D274" t="s">
        <v>492</v>
      </c>
      <c r="E274" t="s">
        <v>493</v>
      </c>
      <c r="G274" t="s">
        <v>36</v>
      </c>
      <c r="H274" s="20" t="s">
        <v>495</v>
      </c>
      <c r="I274" t="s">
        <v>28</v>
      </c>
      <c r="J274" s="30">
        <v>10560</v>
      </c>
      <c r="K274" s="22">
        <f>IF(I274="","",IF(I274="ENTRADA",ABS(J274),-ABS(J274)))</f>
        <v>10560</v>
      </c>
      <c r="L274" t="s">
        <v>37</v>
      </c>
      <c r="N274">
        <v>13100</v>
      </c>
      <c r="P274">
        <v>14751</v>
      </c>
      <c r="Q274" s="42">
        <v>46191</v>
      </c>
      <c r="R274" s="22" t="str">
        <f>IF(H274="","",H274&amp;I274)</f>
        <v>260610-265ENTRADA</v>
      </c>
      <c r="S274" s="22" t="str">
        <f>IF(C274="","",C274&amp;I274)</f>
        <v>Zinc Plus ENTRADA</v>
      </c>
      <c r="T274" t="str">
        <f>IF(OR(C274="",I274&lt;&gt;"ENTRADA"),"",TEXT(B274,"AAMMDD")&amp;"-"&amp;TEXT(VALUE(SUBSTITUTE(A274,"MOV-","")),"000"))</f>
        <v>260615-274</v>
      </c>
    </row>
    <row r="275" spans="1:20">
      <c r="A275" s="20" t="s">
        <v>505</v>
      </c>
      <c r="B275" s="47">
        <v>46189</v>
      </c>
      <c r="C275" t="s">
        <v>283</v>
      </c>
      <c r="D275" t="s">
        <v>284</v>
      </c>
      <c r="E275" t="s">
        <v>285</v>
      </c>
      <c r="F275" t="s">
        <v>286</v>
      </c>
      <c r="G275" t="s">
        <v>83</v>
      </c>
      <c r="H275" s="20" t="s">
        <v>497</v>
      </c>
      <c r="I275" t="s">
        <v>65</v>
      </c>
      <c r="J275" s="30">
        <v>1000</v>
      </c>
      <c r="K275" s="22">
        <f>IF(I275="","",IF(I275="ENTRADA",ABS(J275),-ABS(J275)))</f>
        <v>-1000</v>
      </c>
      <c r="L275" t="s">
        <v>37</v>
      </c>
      <c r="N275">
        <v>65108</v>
      </c>
      <c r="O275" t="s">
        <v>382</v>
      </c>
      <c r="P275">
        <v>1786</v>
      </c>
      <c r="Q275" s="42">
        <v>46191</v>
      </c>
      <c r="R275" s="22" t="str">
        <f>IF(H275="","",H275&amp;I275)</f>
        <v>260429-102SALIDA</v>
      </c>
      <c r="S275" s="22" t="str">
        <f>IF(C275="","",C275&amp;I275)</f>
        <v>Hydra HumeSALIDA</v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506</v>
      </c>
      <c r="B276" s="47">
        <v>46189</v>
      </c>
      <c r="C276" s="34" t="s">
        <v>130</v>
      </c>
      <c r="D276" s="34" t="s">
        <v>131</v>
      </c>
      <c r="E276" s="34" t="s">
        <v>132</v>
      </c>
      <c r="F276" s="34"/>
      <c r="G276" s="34" t="s">
        <v>133</v>
      </c>
      <c r="H276" s="20" t="s">
        <v>221</v>
      </c>
      <c r="I276" s="34" t="s">
        <v>65</v>
      </c>
      <c r="J276" s="36">
        <v>40</v>
      </c>
      <c r="K276" s="22">
        <f>IF(I276="","",IF(I276="ENTRADA",ABS(J276),-ABS(J276)))</f>
        <v>-40</v>
      </c>
      <c r="L276" s="34" t="s">
        <v>37</v>
      </c>
      <c r="M276" s="34"/>
      <c r="N276" s="34">
        <v>65108</v>
      </c>
      <c r="O276" s="34" t="s">
        <v>382</v>
      </c>
      <c r="P276">
        <v>1786</v>
      </c>
      <c r="Q276" s="42">
        <v>46191</v>
      </c>
      <c r="R276" s="22" t="str">
        <f>IF(H276="","",H276&amp;I276)</f>
        <v>260414-029SALIDA</v>
      </c>
      <c r="S276" s="22" t="str">
        <f>IF(C276="","",C276&amp;I276)</f>
        <v>HarrierSALIDA</v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507</v>
      </c>
      <c r="B277" s="47">
        <v>46189</v>
      </c>
      <c r="C277" t="s">
        <v>122</v>
      </c>
      <c r="D277" t="s">
        <v>123</v>
      </c>
      <c r="E277" t="s">
        <v>34</v>
      </c>
      <c r="F277" t="s">
        <v>35</v>
      </c>
      <c r="G277" t="s">
        <v>117</v>
      </c>
      <c r="H277" s="20" t="s">
        <v>203</v>
      </c>
      <c r="I277" t="s">
        <v>65</v>
      </c>
      <c r="J277" s="30">
        <v>100</v>
      </c>
      <c r="K277" s="22">
        <f>IF(I277="","",IF(I277="ENTRADA",ABS(J277),-ABS(J277)))</f>
        <v>-100</v>
      </c>
      <c r="L277" t="s">
        <v>37</v>
      </c>
      <c r="N277">
        <v>65108</v>
      </c>
      <c r="O277" t="s">
        <v>382</v>
      </c>
      <c r="P277">
        <v>1786</v>
      </c>
      <c r="Q277" s="42">
        <v>46191</v>
      </c>
      <c r="R277" s="22" t="str">
        <f>IF(H277="","",H277&amp;I277)</f>
        <v>260410-027SALIDA</v>
      </c>
      <c r="S277" s="22" t="str">
        <f>IF(C277="","",C277&amp;I277)</f>
        <v>PardoSALIDA</v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508</v>
      </c>
      <c r="B278" s="47">
        <v>46189</v>
      </c>
      <c r="C278" t="s">
        <v>283</v>
      </c>
      <c r="D278" t="s">
        <v>284</v>
      </c>
      <c r="E278" t="s">
        <v>285</v>
      </c>
      <c r="F278" t="s">
        <v>286</v>
      </c>
      <c r="G278" t="s">
        <v>83</v>
      </c>
      <c r="H278" s="20" t="s">
        <v>497</v>
      </c>
      <c r="I278" t="s">
        <v>65</v>
      </c>
      <c r="J278" s="30">
        <v>3500</v>
      </c>
      <c r="K278" s="22">
        <f>IF(I278="","",IF(I278="ENTRADA",ABS(J278),-ABS(J278)))</f>
        <v>-3500</v>
      </c>
      <c r="L278" t="s">
        <v>37</v>
      </c>
      <c r="N278">
        <v>65109</v>
      </c>
      <c r="O278" t="s">
        <v>382</v>
      </c>
      <c r="P278">
        <v>1782</v>
      </c>
      <c r="Q278" s="42">
        <v>46191</v>
      </c>
      <c r="R278" s="22" t="str">
        <f>IF(H278="","",H278&amp;I278)</f>
        <v>260429-102SALIDA</v>
      </c>
      <c r="S278" s="22" t="str">
        <f>IF(C278="","",C278&amp;I278)</f>
        <v>Hydra HumeSALIDA</v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509</v>
      </c>
      <c r="B279" s="47">
        <v>46189</v>
      </c>
      <c r="C279" t="s">
        <v>130</v>
      </c>
      <c r="D279" t="s">
        <v>131</v>
      </c>
      <c r="E279" t="s">
        <v>132</v>
      </c>
      <c r="G279" t="s">
        <v>133</v>
      </c>
      <c r="H279" s="20" t="s">
        <v>221</v>
      </c>
      <c r="I279" t="s">
        <v>65</v>
      </c>
      <c r="J279" s="30">
        <v>60</v>
      </c>
      <c r="K279" s="22">
        <f>IF(I279="","",IF(I279="ENTRADA",ABS(J279),-ABS(J279)))</f>
        <v>-60</v>
      </c>
      <c r="L279" t="s">
        <v>37</v>
      </c>
      <c r="N279">
        <v>65109</v>
      </c>
      <c r="O279" t="s">
        <v>382</v>
      </c>
      <c r="P279">
        <v>1782</v>
      </c>
      <c r="Q279" s="42">
        <v>46191</v>
      </c>
      <c r="R279" s="22" t="str">
        <f>IF(H279="","",H279&amp;I279)</f>
        <v>260414-029SALIDA</v>
      </c>
      <c r="S279" s="22" t="str">
        <f>IF(C279="","",C279&amp;I279)</f>
        <v>HarrierSALIDA</v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510</v>
      </c>
      <c r="B280" s="47">
        <v>46189</v>
      </c>
      <c r="C280" t="s">
        <v>122</v>
      </c>
      <c r="D280" t="s">
        <v>123</v>
      </c>
      <c r="E280" t="s">
        <v>34</v>
      </c>
      <c r="F280" t="s">
        <v>35</v>
      </c>
      <c r="G280" t="s">
        <v>117</v>
      </c>
      <c r="H280" s="20" t="s">
        <v>203</v>
      </c>
      <c r="I280" t="s">
        <v>65</v>
      </c>
      <c r="J280" s="30">
        <v>100</v>
      </c>
      <c r="K280" s="22">
        <f>IF(I280="","",IF(I280="ENTRADA",ABS(J280),-ABS(J280)))</f>
        <v>-100</v>
      </c>
      <c r="L280" t="s">
        <v>37</v>
      </c>
      <c r="N280">
        <v>65109</v>
      </c>
      <c r="O280" t="s">
        <v>382</v>
      </c>
      <c r="P280">
        <v>1782</v>
      </c>
      <c r="Q280" s="42">
        <v>46191</v>
      </c>
      <c r="R280" s="22" t="str">
        <f>IF(H280="","",H280&amp;I280)</f>
        <v>260410-027SALIDA</v>
      </c>
      <c r="S280" s="22" t="str">
        <f>IF(C280="","",C280&amp;I280)</f>
        <v>PardoSALIDA</v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511</v>
      </c>
      <c r="B281" s="47">
        <v>46189</v>
      </c>
      <c r="C281" t="s">
        <v>283</v>
      </c>
      <c r="D281" t="s">
        <v>284</v>
      </c>
      <c r="E281" t="s">
        <v>285</v>
      </c>
      <c r="F281" t="s">
        <v>286</v>
      </c>
      <c r="G281" t="s">
        <v>83</v>
      </c>
      <c r="H281" s="20" t="s">
        <v>497</v>
      </c>
      <c r="I281" t="s">
        <v>65</v>
      </c>
      <c r="J281" s="30">
        <v>2260</v>
      </c>
      <c r="K281" s="22">
        <f>IF(I281="","",IF(I281="ENTRADA",ABS(J281),-ABS(J281)))</f>
        <v>-2260</v>
      </c>
      <c r="L281" t="s">
        <v>37</v>
      </c>
      <c r="N281">
        <v>65110</v>
      </c>
      <c r="O281" t="s">
        <v>218</v>
      </c>
      <c r="P281">
        <v>1780</v>
      </c>
      <c r="Q281" s="42">
        <v>46191</v>
      </c>
      <c r="R281" s="22" t="str">
        <f>IF(H281="","",H281&amp;I281)</f>
        <v>260429-102SALIDA</v>
      </c>
      <c r="S281" s="22" t="str">
        <f>IF(C281="","",C281&amp;I281)</f>
        <v>Hydra HumeSALIDA</v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512</v>
      </c>
      <c r="B282" s="47">
        <v>46190</v>
      </c>
      <c r="C282" t="s">
        <v>54</v>
      </c>
      <c r="D282" t="s">
        <v>55</v>
      </c>
      <c r="E282" t="s">
        <v>34</v>
      </c>
      <c r="F282" t="s">
        <v>35</v>
      </c>
      <c r="G282" t="s">
        <v>36</v>
      </c>
      <c r="H282" s="20" t="s">
        <v>97</v>
      </c>
      <c r="I282" t="s">
        <v>65</v>
      </c>
      <c r="J282" s="30">
        <v>11</v>
      </c>
      <c r="K282" s="22">
        <f>IF(I282="","",IF(I282="ENTRADA",ABS(J282),-ABS(J282)))</f>
        <v>-11</v>
      </c>
      <c r="L282" t="s">
        <v>56</v>
      </c>
      <c r="N282">
        <v>65111</v>
      </c>
      <c r="O282" t="s">
        <v>66</v>
      </c>
      <c r="P282">
        <v>1781</v>
      </c>
      <c r="Q282" s="42">
        <v>46191</v>
      </c>
      <c r="R282" s="22" t="str">
        <f>IF(H282="","",H282&amp;I282)</f>
        <v>260401-007SALIDA</v>
      </c>
      <c r="S282" s="22" t="str">
        <f>IF(C282="","",C282&amp;I282)</f>
        <v>TronadorSALIDA</v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513</v>
      </c>
      <c r="B283" s="47">
        <v>46191</v>
      </c>
      <c r="C283" t="s">
        <v>514</v>
      </c>
      <c r="D283" t="s">
        <v>515</v>
      </c>
      <c r="E283" t="s">
        <v>516</v>
      </c>
      <c r="G283" t="s">
        <v>117</v>
      </c>
      <c r="H283" s="20" t="str">
        <f>+T283</f>
        <v>260618-283</v>
      </c>
      <c r="I283" t="s">
        <v>28</v>
      </c>
      <c r="J283" s="30">
        <v>3000</v>
      </c>
      <c r="K283" s="22">
        <f>IF(I283="","",IF(I283="ENTRADA",ABS(J283),-ABS(J283)))</f>
        <v>3000</v>
      </c>
      <c r="L283" t="s">
        <v>37</v>
      </c>
      <c r="M283" s="47">
        <v>46569</v>
      </c>
      <c r="P283">
        <v>14809</v>
      </c>
      <c r="Q283" s="42">
        <v>46199</v>
      </c>
      <c r="R283" s="22" t="str">
        <f>IF(H283="","",H283&amp;I283)</f>
        <v>260618-283ENTRADA</v>
      </c>
      <c r="S283" s="22" t="str">
        <f>IF(C283="","",C283&amp;I283)</f>
        <v>Unico MaxENTRADA</v>
      </c>
      <c r="T283" t="str">
        <f>IF(OR(C283="",I283&lt;&gt;"ENTRADA"),"",TEXT(B283,"AAMMDD")&amp;"-"&amp;TEXT(VALUE(SUBSTITUTE(A283,"MOV-","")),"000"))</f>
        <v>260618-283</v>
      </c>
    </row>
    <row r="284" spans="1:20">
      <c r="A284" s="20" t="s">
        <v>517</v>
      </c>
      <c r="B284" s="47">
        <v>46189</v>
      </c>
      <c r="C284" t="s">
        <v>182</v>
      </c>
      <c r="D284" t="s">
        <v>183</v>
      </c>
      <c r="E284" t="s">
        <v>25</v>
      </c>
      <c r="F284" t="s">
        <v>184</v>
      </c>
      <c r="G284" t="s">
        <v>180</v>
      </c>
      <c r="H284" s="20" t="s">
        <v>351</v>
      </c>
      <c r="I284" t="s">
        <v>65</v>
      </c>
      <c r="J284" s="30">
        <v>125</v>
      </c>
      <c r="K284" s="22">
        <f>IF(I284="","",IF(I284="ENTRADA",ABS(J284),-ABS(J284)))</f>
        <v>-125</v>
      </c>
      <c r="L284" t="s">
        <v>29</v>
      </c>
      <c r="N284">
        <v>65113</v>
      </c>
      <c r="O284" t="s">
        <v>382</v>
      </c>
      <c r="P284">
        <v>1791</v>
      </c>
      <c r="Q284" s="42">
        <v>46196</v>
      </c>
      <c r="R284" s="22" t="str">
        <f>IF(H284="","",H284&amp;I284)</f>
        <v>260417-042SALIDA</v>
      </c>
      <c r="S284" s="22" t="str">
        <f>IF(C284="","",C284&amp;I284)</f>
        <v>Dactylis DroverSALIDA</v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518</v>
      </c>
      <c r="B285" s="47">
        <v>46189</v>
      </c>
      <c r="C285" t="s">
        <v>304</v>
      </c>
      <c r="D285" t="s">
        <v>305</v>
      </c>
      <c r="E285" t="s">
        <v>25</v>
      </c>
      <c r="F285" t="s">
        <v>188</v>
      </c>
      <c r="G285" t="s">
        <v>301</v>
      </c>
      <c r="H285" s="20" t="s">
        <v>409</v>
      </c>
      <c r="I285" t="s">
        <v>65</v>
      </c>
      <c r="J285" s="30">
        <v>50</v>
      </c>
      <c r="K285" s="22">
        <f>IF(I285="","",IF(I285="ENTRADA",ABS(J285),-ABS(J285)))</f>
        <v>-50</v>
      </c>
      <c r="L285" t="s">
        <v>519</v>
      </c>
      <c r="N285">
        <v>65113</v>
      </c>
      <c r="O285" t="s">
        <v>382</v>
      </c>
      <c r="P285">
        <v>1791</v>
      </c>
      <c r="Q285" s="42">
        <v>46196</v>
      </c>
      <c r="R285" s="22" t="str">
        <f>IF(H285="","",H285&amp;I285)</f>
        <v>260429-113SALIDA</v>
      </c>
      <c r="S285" s="22" t="str">
        <f>IF(C285="","",C285&amp;I285)</f>
        <v>Trebol blanco Zapican inoculado SALIDA</v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520</v>
      </c>
      <c r="B286" s="47">
        <v>46195</v>
      </c>
      <c r="C286" t="s">
        <v>178</v>
      </c>
      <c r="D286" t="s">
        <v>179</v>
      </c>
      <c r="E286" t="s">
        <v>25</v>
      </c>
      <c r="F286" t="s">
        <v>165</v>
      </c>
      <c r="G286" t="s">
        <v>180</v>
      </c>
      <c r="H286" s="20" t="s">
        <v>308</v>
      </c>
      <c r="I286" t="s">
        <v>65</v>
      </c>
      <c r="J286" s="30">
        <v>450</v>
      </c>
      <c r="K286" s="22">
        <f>IF(I286="","",IF(I286="ENTRADA",ABS(J286),-ABS(J286)))</f>
        <v>-450</v>
      </c>
      <c r="L286" t="s">
        <v>29</v>
      </c>
      <c r="O286" t="s">
        <v>309</v>
      </c>
      <c r="P286">
        <v>1789</v>
      </c>
      <c r="Q286" s="42">
        <v>46195</v>
      </c>
      <c r="R286" s="22" t="str">
        <f>IF(H286="","",H286&amp;I286)</f>
        <v>260417-041SALIDA</v>
      </c>
      <c r="S286" s="22" t="str">
        <f>IF(C286="","",C286&amp;I286)</f>
        <v>Festuca Sortija C2 SALIDA</v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521</v>
      </c>
      <c r="B287" s="47">
        <v>46195</v>
      </c>
      <c r="C287" s="34" t="s">
        <v>54</v>
      </c>
      <c r="D287" s="34" t="s">
        <v>55</v>
      </c>
      <c r="E287" s="34" t="s">
        <v>34</v>
      </c>
      <c r="F287" s="34" t="s">
        <v>35</v>
      </c>
      <c r="G287" s="34" t="s">
        <v>36</v>
      </c>
      <c r="H287" s="20" t="s">
        <v>97</v>
      </c>
      <c r="I287" s="34" t="s">
        <v>65</v>
      </c>
      <c r="J287" s="36">
        <v>4</v>
      </c>
      <c r="K287" s="22">
        <f>IF(I287="","",IF(I287="ENTRADA",ABS(J287),-ABS(J287)))</f>
        <v>-4</v>
      </c>
      <c r="L287" s="34" t="s">
        <v>56</v>
      </c>
      <c r="M287" s="34"/>
      <c r="N287" s="34">
        <v>65114</v>
      </c>
      <c r="O287" s="34" t="s">
        <v>66</v>
      </c>
      <c r="P287">
        <v>1792</v>
      </c>
      <c r="Q287" s="42">
        <v>46196</v>
      </c>
      <c r="R287" s="22" t="str">
        <f>IF(H287="","",H287&amp;I287)</f>
        <v>260401-007SALIDA</v>
      </c>
      <c r="S287" s="22" t="str">
        <f>IF(C287="","",C287&amp;I287)</f>
        <v>TronadorSALIDA</v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522</v>
      </c>
      <c r="B288" s="47">
        <v>46195</v>
      </c>
      <c r="C288" t="s">
        <v>54</v>
      </c>
      <c r="D288" t="s">
        <v>55</v>
      </c>
      <c r="E288" t="s">
        <v>34</v>
      </c>
      <c r="F288" t="s">
        <v>35</v>
      </c>
      <c r="G288" t="s">
        <v>36</v>
      </c>
      <c r="H288" s="20" t="s">
        <v>97</v>
      </c>
      <c r="I288" t="s">
        <v>65</v>
      </c>
      <c r="J288" s="30">
        <v>8</v>
      </c>
      <c r="K288" s="22">
        <f>IF(I288="","",IF(I288="ENTRADA",ABS(J288),-ABS(J288)))</f>
        <v>-8</v>
      </c>
      <c r="L288" t="s">
        <v>56</v>
      </c>
      <c r="N288">
        <v>65115</v>
      </c>
      <c r="O288" t="s">
        <v>66</v>
      </c>
      <c r="P288">
        <v>1793</v>
      </c>
      <c r="Q288" s="42">
        <v>46196</v>
      </c>
      <c r="R288" s="22" t="str">
        <f>IF(H288="","",H288&amp;I288)</f>
        <v>260401-007SALIDA</v>
      </c>
      <c r="S288" s="22" t="str">
        <f>IF(C288="","",C288&amp;I288)</f>
        <v>TronadorSALIDA</v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523</v>
      </c>
      <c r="B289" s="47">
        <v>46196</v>
      </c>
      <c r="C289" t="s">
        <v>524</v>
      </c>
      <c r="D289" t="s">
        <v>525</v>
      </c>
      <c r="E289" t="s">
        <v>516</v>
      </c>
      <c r="G289" t="s">
        <v>77</v>
      </c>
      <c r="H289" s="20" t="str">
        <f>+T289</f>
        <v>260623-289</v>
      </c>
      <c r="I289" t="s">
        <v>28</v>
      </c>
      <c r="J289" s="30">
        <v>1500</v>
      </c>
      <c r="K289" s="22">
        <f>IF(I289="","",IF(I289="ENTRADA",ABS(J289),-ABS(J289)))</f>
        <v>1500</v>
      </c>
      <c r="L289" t="s">
        <v>37</v>
      </c>
      <c r="M289" s="47">
        <v>46476</v>
      </c>
      <c r="N289">
        <v>69990</v>
      </c>
      <c r="P289">
        <v>14808</v>
      </c>
      <c r="Q289" s="42">
        <v>46199</v>
      </c>
      <c r="R289" s="22" t="str">
        <f>IF(H289="","",H289&amp;I289)</f>
        <v>260623-289ENTRADA</v>
      </c>
      <c r="S289" s="22" t="str">
        <f>IF(C289="","",C289&amp;I289)</f>
        <v>cripton xpro ENTRADA</v>
      </c>
      <c r="T289" t="str">
        <f>IF(OR(C289="",I289&lt;&gt;"ENTRADA"),"",TEXT(B289,"AAMMDD")&amp;"-"&amp;TEXT(VALUE(SUBSTITUTE(A289,"MOV-","")),"000"))</f>
        <v>260623-289</v>
      </c>
    </row>
    <row r="290" spans="1:20">
      <c r="A290" s="20" t="s">
        <v>526</v>
      </c>
      <c r="B290" s="47">
        <v>46196</v>
      </c>
      <c r="C290" t="s">
        <v>527</v>
      </c>
      <c r="D290" t="s">
        <v>528</v>
      </c>
      <c r="E290" t="s">
        <v>493</v>
      </c>
      <c r="G290" t="s">
        <v>77</v>
      </c>
      <c r="H290" s="20" t="str">
        <f>+T290</f>
        <v>260623-290</v>
      </c>
      <c r="I290" t="s">
        <v>28</v>
      </c>
      <c r="J290" s="30">
        <v>150</v>
      </c>
      <c r="K290" s="22">
        <f>IF(I290="","",IF(I290="ENTRADA",ABS(J290),-ABS(J290)))</f>
        <v>150</v>
      </c>
      <c r="L290" t="s">
        <v>29</v>
      </c>
      <c r="M290" s="47">
        <v>47098</v>
      </c>
      <c r="N290">
        <v>69990</v>
      </c>
      <c r="P290">
        <v>14808</v>
      </c>
      <c r="Q290" s="42">
        <v>46199</v>
      </c>
      <c r="R290" s="22" t="str">
        <f>IF(H290="","",H290&amp;I290)</f>
        <v>260623-290ENTRADA</v>
      </c>
      <c r="S290" s="22" t="str">
        <f>IF(C290="","",C290&amp;I290)</f>
        <v>vitagrowENTRADA</v>
      </c>
      <c r="T290" t="str">
        <f>IF(OR(C290="",I290&lt;&gt;"ENTRADA"),"",TEXT(B290,"AAMMDD")&amp;"-"&amp;TEXT(VALUE(SUBSTITUTE(A290,"MOV-","")),"000"))</f>
        <v>260623-290</v>
      </c>
    </row>
    <row r="291" spans="1:20">
      <c r="A291" s="20" t="s">
        <v>529</v>
      </c>
      <c r="B291" s="47">
        <v>46196</v>
      </c>
      <c r="C291" t="s">
        <v>491</v>
      </c>
      <c r="D291" t="s">
        <v>492</v>
      </c>
      <c r="E291" t="s">
        <v>493</v>
      </c>
      <c r="G291" t="s">
        <v>36</v>
      </c>
      <c r="H291" s="20" t="s">
        <v>495</v>
      </c>
      <c r="I291" t="s">
        <v>65</v>
      </c>
      <c r="J291" s="30">
        <v>2100</v>
      </c>
      <c r="K291" s="22">
        <f>IF(I291="","",IF(I291="ENTRADA",ABS(J291),-ABS(J291)))</f>
        <v>-2100</v>
      </c>
      <c r="L291" t="s">
        <v>37</v>
      </c>
      <c r="N291">
        <v>65116</v>
      </c>
      <c r="O291" t="s">
        <v>237</v>
      </c>
      <c r="P291">
        <v>1794</v>
      </c>
      <c r="Q291" s="42">
        <v>46196</v>
      </c>
      <c r="R291" s="22" t="str">
        <f>IF(H291="","",H291&amp;I291)</f>
        <v>260610-265SALIDA</v>
      </c>
      <c r="S291" s="22" t="str">
        <f>IF(C291="","",C291&amp;I291)</f>
        <v>Zinc Plus SALIDA</v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530</v>
      </c>
      <c r="B292" s="47">
        <v>46196</v>
      </c>
      <c r="C292" t="s">
        <v>283</v>
      </c>
      <c r="D292" t="s">
        <v>284</v>
      </c>
      <c r="E292" t="s">
        <v>285</v>
      </c>
      <c r="F292" t="s">
        <v>286</v>
      </c>
      <c r="G292" t="s">
        <v>83</v>
      </c>
      <c r="H292" s="20" t="s">
        <v>497</v>
      </c>
      <c r="I292" t="s">
        <v>65</v>
      </c>
      <c r="J292" s="30">
        <v>1100</v>
      </c>
      <c r="K292" s="22">
        <f>IF(I292="","",IF(I292="ENTRADA",ABS(J292),-ABS(J292)))</f>
        <v>-1100</v>
      </c>
      <c r="L292" t="s">
        <v>37</v>
      </c>
      <c r="N292">
        <v>65116</v>
      </c>
      <c r="O292" t="s">
        <v>237</v>
      </c>
      <c r="P292">
        <v>1794</v>
      </c>
      <c r="Q292" s="42">
        <v>46196</v>
      </c>
      <c r="R292" s="22" t="str">
        <f>IF(H292="","",H292&amp;I292)</f>
        <v>260429-102SALIDA</v>
      </c>
      <c r="S292" s="22" t="str">
        <f>IF(C292="","",C292&amp;I292)</f>
        <v>Hydra HumeSALIDA</v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531</v>
      </c>
      <c r="B293" s="47">
        <v>46196</v>
      </c>
      <c r="C293" t="s">
        <v>245</v>
      </c>
      <c r="D293" t="s">
        <v>246</v>
      </c>
      <c r="E293" t="s">
        <v>34</v>
      </c>
      <c r="F293" t="s">
        <v>35</v>
      </c>
      <c r="G293" t="s">
        <v>27</v>
      </c>
      <c r="H293" s="20" t="s">
        <v>463</v>
      </c>
      <c r="I293" t="s">
        <v>65</v>
      </c>
      <c r="J293" s="30">
        <v>140</v>
      </c>
      <c r="K293" s="22">
        <f>IF(I293="","",IF(I293="ENTRADA",ABS(J293),-ABS(J293)))</f>
        <v>-140</v>
      </c>
      <c r="L293" t="s">
        <v>37</v>
      </c>
      <c r="N293">
        <v>65116</v>
      </c>
      <c r="O293" t="s">
        <v>237</v>
      </c>
      <c r="P293">
        <v>1794</v>
      </c>
      <c r="Q293" s="42">
        <v>46196</v>
      </c>
      <c r="R293" s="22" t="str">
        <f>IF(H293="","",H293&amp;I293)</f>
        <v>260423-080SALIDA</v>
      </c>
      <c r="S293" s="22" t="str">
        <f>IF(C293="","",C293&amp;I293)</f>
        <v>ArsenalSALIDA</v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532</v>
      </c>
      <c r="B294" s="47">
        <v>46196</v>
      </c>
      <c r="C294" t="s">
        <v>40</v>
      </c>
      <c r="D294" t="s">
        <v>41</v>
      </c>
      <c r="E294" t="s">
        <v>34</v>
      </c>
      <c r="F294" t="s">
        <v>35</v>
      </c>
      <c r="G294" t="s">
        <v>36</v>
      </c>
      <c r="H294" s="20" t="s">
        <v>471</v>
      </c>
      <c r="I294" t="s">
        <v>65</v>
      </c>
      <c r="J294" s="30">
        <v>80</v>
      </c>
      <c r="K294" s="22">
        <f>IF(I294="","",IF(I294="ENTRADA",ABS(J294),-ABS(J294)))</f>
        <v>-80</v>
      </c>
      <c r="L294" t="s">
        <v>37</v>
      </c>
      <c r="N294">
        <v>65116</v>
      </c>
      <c r="O294" t="s">
        <v>237</v>
      </c>
      <c r="P294">
        <v>1794</v>
      </c>
      <c r="Q294" s="42">
        <v>46196</v>
      </c>
      <c r="R294" s="22" t="str">
        <f>IF(H294="","",H294&amp;I294)</f>
        <v>260401-003SALIDA</v>
      </c>
      <c r="S294" s="22" t="str">
        <f>IF(C294="","",C294&amp;I294)</f>
        <v>LontrelSALIDA</v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533</v>
      </c>
      <c r="B295" s="47">
        <v>46196</v>
      </c>
      <c r="C295" t="s">
        <v>534</v>
      </c>
      <c r="D295" t="s">
        <v>535</v>
      </c>
      <c r="E295" t="s">
        <v>34</v>
      </c>
      <c r="F295" t="s">
        <v>35</v>
      </c>
      <c r="G295" t="s">
        <v>36</v>
      </c>
      <c r="H295" s="20" t="str">
        <f>+T295</f>
        <v>260623-295</v>
      </c>
      <c r="I295" t="s">
        <v>28</v>
      </c>
      <c r="J295" s="30">
        <v>11</v>
      </c>
      <c r="K295" s="22">
        <f>IF(I295="","",IF(I295="ENTRADA",ABS(J295),-ABS(J295)))</f>
        <v>11</v>
      </c>
      <c r="L295" t="s">
        <v>29</v>
      </c>
      <c r="N295">
        <v>13154</v>
      </c>
      <c r="P295">
        <v>14871</v>
      </c>
      <c r="Q295" s="42">
        <v>46202</v>
      </c>
      <c r="R295" s="22" t="str">
        <f>IF(H295="","",H295&amp;I295)</f>
        <v>260623-295ENTRADA</v>
      </c>
      <c r="S295" s="22" t="str">
        <f>IF(C295="","",C295&amp;I295)</f>
        <v>ParadigmENTRADA</v>
      </c>
      <c r="T295" t="str">
        <f>IF(OR(C295="",I295&lt;&gt;"ENTRADA"),"",TEXT(B295,"AAMMDD")&amp;"-"&amp;TEXT(VALUE(SUBSTITUTE(A295,"MOV-","")),"000"))</f>
        <v>260623-295</v>
      </c>
    </row>
    <row r="296" spans="1:20">
      <c r="A296" s="20" t="s">
        <v>536</v>
      </c>
      <c r="B296" s="47">
        <v>46197</v>
      </c>
      <c r="C296" s="47" t="s">
        <v>283</v>
      </c>
      <c r="D296" t="s">
        <v>284</v>
      </c>
      <c r="E296" t="s">
        <v>285</v>
      </c>
      <c r="F296" t="s">
        <v>286</v>
      </c>
      <c r="G296" t="s">
        <v>83</v>
      </c>
      <c r="H296" s="20" t="s">
        <v>497</v>
      </c>
      <c r="I296" t="s">
        <v>65</v>
      </c>
      <c r="J296" s="30">
        <v>260</v>
      </c>
      <c r="K296" s="22">
        <f>IF(I296="","",IF(I296="ENTRADA",ABS(J296),-ABS(J296)))</f>
        <v>-260</v>
      </c>
      <c r="L296" t="s">
        <v>37</v>
      </c>
      <c r="N296">
        <v>65117</v>
      </c>
      <c r="O296" t="s">
        <v>382</v>
      </c>
      <c r="P296">
        <v>1796</v>
      </c>
      <c r="Q296" s="42">
        <v>46198</v>
      </c>
      <c r="R296" s="22" t="str">
        <f>IF(H296="","",H296&amp;I296)</f>
        <v>260429-102SALIDA</v>
      </c>
      <c r="S296" s="22" t="str">
        <f>IF(C296="","",C296&amp;I296)</f>
        <v>Hydra HumeSALIDA</v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537</v>
      </c>
      <c r="B297" s="47">
        <v>46197</v>
      </c>
      <c r="C297" t="s">
        <v>75</v>
      </c>
      <c r="D297" t="s">
        <v>76</v>
      </c>
      <c r="E297" t="s">
        <v>34</v>
      </c>
      <c r="F297" t="s">
        <v>35</v>
      </c>
      <c r="G297" t="s">
        <v>77</v>
      </c>
      <c r="H297" s="20" t="s">
        <v>94</v>
      </c>
      <c r="I297" t="s">
        <v>65</v>
      </c>
      <c r="J297" s="30">
        <v>580</v>
      </c>
      <c r="K297" s="22">
        <f>IF(I297="","",IF(I297="ENTRADA",ABS(J297),-ABS(J297)))</f>
        <v>-580</v>
      </c>
      <c r="L297" t="s">
        <v>37</v>
      </c>
      <c r="N297">
        <v>65117</v>
      </c>
      <c r="O297" t="s">
        <v>382</v>
      </c>
      <c r="P297">
        <v>1796</v>
      </c>
      <c r="Q297" s="42">
        <v>46198</v>
      </c>
      <c r="R297" s="22" t="str">
        <f>IF(H297="","",H297&amp;I297)</f>
        <v>260407-012SALIDA</v>
      </c>
      <c r="S297" s="22" t="str">
        <f>IF(C297="","",C297&amp;I297)</f>
        <v>Dedalo eliteSALIDA</v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538</v>
      </c>
      <c r="B298" s="47">
        <v>46197</v>
      </c>
      <c r="C298" s="34" t="s">
        <v>50</v>
      </c>
      <c r="D298" s="34" t="s">
        <v>280</v>
      </c>
      <c r="E298" s="34" t="s">
        <v>34</v>
      </c>
      <c r="F298" s="34" t="s">
        <v>35</v>
      </c>
      <c r="G298" s="34" t="s">
        <v>36</v>
      </c>
      <c r="H298" s="20" t="s">
        <v>281</v>
      </c>
      <c r="I298" s="34" t="s">
        <v>65</v>
      </c>
      <c r="J298" s="36">
        <v>80</v>
      </c>
      <c r="K298" s="22">
        <f>IF(I298="","",IF(I298="ENTRADA",ABS(J298),-ABS(J298)))</f>
        <v>-80</v>
      </c>
      <c r="L298" s="34" t="s">
        <v>37</v>
      </c>
      <c r="M298" s="34"/>
      <c r="N298">
        <v>65117</v>
      </c>
      <c r="O298" t="s">
        <v>382</v>
      </c>
      <c r="P298">
        <v>1796</v>
      </c>
      <c r="Q298" s="42">
        <v>46198</v>
      </c>
      <c r="R298" s="22" t="str">
        <f>IF(H298="","",H298&amp;I298)</f>
        <v>260401-006SALIDA</v>
      </c>
      <c r="S298" s="22" t="str">
        <f>IF(C298="","",C298&amp;I298)</f>
        <v>Tordon 24KSALIDA</v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539</v>
      </c>
      <c r="B299" s="47">
        <v>46197</v>
      </c>
      <c r="C299" t="s">
        <v>130</v>
      </c>
      <c r="D299" t="s">
        <v>131</v>
      </c>
      <c r="E299" t="s">
        <v>132</v>
      </c>
      <c r="G299" t="s">
        <v>133</v>
      </c>
      <c r="H299" s="20" t="s">
        <v>221</v>
      </c>
      <c r="I299" t="s">
        <v>65</v>
      </c>
      <c r="J299" s="30">
        <v>120</v>
      </c>
      <c r="K299" s="22">
        <f>IF(I299="","",IF(I299="ENTRADA",ABS(J299),-ABS(J299)))</f>
        <v>-120</v>
      </c>
      <c r="L299" t="s">
        <v>37</v>
      </c>
      <c r="N299">
        <v>65117</v>
      </c>
      <c r="O299" t="s">
        <v>382</v>
      </c>
      <c r="P299">
        <v>1796</v>
      </c>
      <c r="Q299" s="42">
        <v>46198</v>
      </c>
      <c r="R299" s="22" t="str">
        <f>IF(H299="","",H299&amp;I299)</f>
        <v>260414-029SALIDA</v>
      </c>
      <c r="S299" s="22" t="str">
        <f>IF(C299="","",C299&amp;I299)</f>
        <v>HarrierSALIDA</v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540</v>
      </c>
      <c r="B300" s="47">
        <v>46197</v>
      </c>
      <c r="C300" t="s">
        <v>137</v>
      </c>
      <c r="D300" t="s">
        <v>138</v>
      </c>
      <c r="E300" t="s">
        <v>132</v>
      </c>
      <c r="G300" t="s">
        <v>133</v>
      </c>
      <c r="H300" s="20" t="s">
        <v>211</v>
      </c>
      <c r="I300" t="s">
        <v>65</v>
      </c>
      <c r="J300" s="51">
        <v>15</v>
      </c>
      <c r="K300" s="22">
        <f>IF(I300="","",IF(I300="ENTRADA",ABS(J300),-ABS(J300)))</f>
        <v>-15</v>
      </c>
      <c r="L300" t="s">
        <v>37</v>
      </c>
      <c r="N300">
        <v>65117</v>
      </c>
      <c r="O300" t="s">
        <v>382</v>
      </c>
      <c r="P300">
        <v>1796</v>
      </c>
      <c r="Q300" s="42">
        <v>46198</v>
      </c>
      <c r="R300" s="22" t="str">
        <f>IF(H300="","",H300&amp;I300)</f>
        <v>260414-030SALIDA</v>
      </c>
      <c r="S300" s="22" t="str">
        <f>IF(C300="","",C300&amp;I300)</f>
        <v>Full controlSALIDA</v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541</v>
      </c>
      <c r="B301" s="47">
        <v>46197</v>
      </c>
      <c r="C301" t="s">
        <v>54</v>
      </c>
      <c r="D301" t="s">
        <v>55</v>
      </c>
      <c r="E301" t="s">
        <v>34</v>
      </c>
      <c r="F301" t="s">
        <v>35</v>
      </c>
      <c r="G301" t="s">
        <v>36</v>
      </c>
      <c r="H301" s="20" t="s">
        <v>97</v>
      </c>
      <c r="I301" t="s">
        <v>65</v>
      </c>
      <c r="J301" s="30">
        <v>12</v>
      </c>
      <c r="K301" s="22">
        <f>IF(I301="","",IF(I301="ENTRADA",ABS(J301),-ABS(J301)))</f>
        <v>-12</v>
      </c>
      <c r="L301" t="s">
        <v>56</v>
      </c>
      <c r="N301">
        <v>65117</v>
      </c>
      <c r="O301" t="s">
        <v>382</v>
      </c>
      <c r="P301">
        <v>1796</v>
      </c>
      <c r="Q301" s="42">
        <v>46198</v>
      </c>
      <c r="R301" s="22" t="str">
        <f>IF(H301="","",H301&amp;I301)</f>
        <v>260401-007SALIDA</v>
      </c>
      <c r="S301" s="22" t="str">
        <f>IF(C301="","",C301&amp;I301)</f>
        <v>TronadorSALIDA</v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542</v>
      </c>
      <c r="B302" s="47">
        <v>46197</v>
      </c>
      <c r="C302" t="s">
        <v>491</v>
      </c>
      <c r="D302" t="s">
        <v>492</v>
      </c>
      <c r="E302" t="s">
        <v>493</v>
      </c>
      <c r="G302" t="s">
        <v>36</v>
      </c>
      <c r="H302" s="20" t="s">
        <v>495</v>
      </c>
      <c r="I302" t="s">
        <v>65</v>
      </c>
      <c r="J302" s="30">
        <v>460</v>
      </c>
      <c r="K302" s="22">
        <f>IF(I302="","",IF(I302="ENTRADA",ABS(J302),-ABS(J302)))</f>
        <v>-460</v>
      </c>
      <c r="L302" t="s">
        <v>37</v>
      </c>
      <c r="N302">
        <v>65118</v>
      </c>
      <c r="O302" t="s">
        <v>213</v>
      </c>
      <c r="P302">
        <v>1797</v>
      </c>
      <c r="Q302" s="42">
        <v>46198</v>
      </c>
      <c r="R302" s="22" t="str">
        <f>IF(H302="","",H302&amp;I302)</f>
        <v>260610-265SALIDA</v>
      </c>
      <c r="S302" s="22" t="str">
        <f>IF(C302="","",C302&amp;I302)</f>
        <v>Zinc Plus SALIDA</v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543</v>
      </c>
      <c r="B303" s="47">
        <v>46198</v>
      </c>
      <c r="C303" t="s">
        <v>283</v>
      </c>
      <c r="D303" t="s">
        <v>284</v>
      </c>
      <c r="E303" t="s">
        <v>285</v>
      </c>
      <c r="F303" t="s">
        <v>286</v>
      </c>
      <c r="G303" t="s">
        <v>83</v>
      </c>
      <c r="H303" s="20" t="s">
        <v>497</v>
      </c>
      <c r="I303" t="s">
        <v>65</v>
      </c>
      <c r="J303" s="30">
        <v>540</v>
      </c>
      <c r="K303" s="22">
        <f>IF(I303="","",IF(I303="ENTRADA",ABS(J303),-ABS(J303)))</f>
        <v>-540</v>
      </c>
      <c r="L303" t="s">
        <v>37</v>
      </c>
      <c r="N303">
        <v>65119</v>
      </c>
      <c r="O303" t="s">
        <v>382</v>
      </c>
      <c r="P303">
        <v>1798</v>
      </c>
      <c r="Q303" s="42">
        <v>46198</v>
      </c>
      <c r="R303" s="22" t="str">
        <f>IF(H303="","",H303&amp;I303)</f>
        <v>260429-102SALIDA</v>
      </c>
      <c r="S303" s="22" t="str">
        <f>IF(C303="","",C303&amp;I303)</f>
        <v>Hydra HumeSALIDA</v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544</v>
      </c>
      <c r="B304" s="47">
        <v>46198</v>
      </c>
      <c r="C304" t="s">
        <v>54</v>
      </c>
      <c r="D304" t="s">
        <v>55</v>
      </c>
      <c r="E304" t="s">
        <v>34</v>
      </c>
      <c r="F304" t="s">
        <v>35</v>
      </c>
      <c r="G304" t="s">
        <v>36</v>
      </c>
      <c r="H304" s="20" t="s">
        <v>97</v>
      </c>
      <c r="I304" t="s">
        <v>65</v>
      </c>
      <c r="J304" s="30">
        <v>7</v>
      </c>
      <c r="K304" s="22">
        <f>IF(I304="","",IF(I304="ENTRADA",ABS(J304),-ABS(J304)))</f>
        <v>-7</v>
      </c>
      <c r="L304" t="s">
        <v>56</v>
      </c>
      <c r="N304">
        <v>65119</v>
      </c>
      <c r="O304" t="s">
        <v>382</v>
      </c>
      <c r="P304">
        <v>1798</v>
      </c>
      <c r="Q304" s="42">
        <v>46198</v>
      </c>
      <c r="R304" s="22" t="str">
        <f>IF(H304="","",H304&amp;I304)</f>
        <v>260401-007SALIDA</v>
      </c>
      <c r="S304" s="22" t="str">
        <f>IF(C304="","",C304&amp;I304)</f>
        <v>TronadorSALIDA</v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545</v>
      </c>
      <c r="B305" s="47">
        <v>46198</v>
      </c>
      <c r="C305" t="s">
        <v>32</v>
      </c>
      <c r="D305" t="s">
        <v>105</v>
      </c>
      <c r="E305" t="s">
        <v>34</v>
      </c>
      <c r="F305" t="s">
        <v>35</v>
      </c>
      <c r="H305" s="20" t="s">
        <v>106</v>
      </c>
      <c r="I305" t="s">
        <v>65</v>
      </c>
      <c r="J305" s="30">
        <v>25</v>
      </c>
      <c r="K305" s="22">
        <f>IF(I305="","",IF(I305="ENTRADA",ABS(J305),-ABS(J305)))</f>
        <v>-25</v>
      </c>
      <c r="L305" t="s">
        <v>37</v>
      </c>
      <c r="N305">
        <v>65119</v>
      </c>
      <c r="O305" t="s">
        <v>382</v>
      </c>
      <c r="P305">
        <v>1798</v>
      </c>
      <c r="Q305" s="42">
        <v>46198</v>
      </c>
      <c r="R305" s="22" t="str">
        <f>IF(H305="","",H305&amp;I305)</f>
        <v>260401-002SALIDA</v>
      </c>
      <c r="S305" s="22" t="str">
        <f>IF(C305="","",C305&amp;I305)</f>
        <v>KorvettoSALIDA</v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546</v>
      </c>
      <c r="B306" s="47">
        <v>46198</v>
      </c>
      <c r="C306" t="s">
        <v>130</v>
      </c>
      <c r="D306" t="s">
        <v>131</v>
      </c>
      <c r="E306" t="s">
        <v>132</v>
      </c>
      <c r="G306" t="s">
        <v>133</v>
      </c>
      <c r="H306" s="20" t="s">
        <v>221</v>
      </c>
      <c r="I306" t="s">
        <v>65</v>
      </c>
      <c r="J306" s="30">
        <v>40</v>
      </c>
      <c r="K306" s="22">
        <f>IF(I306="","",IF(I306="ENTRADA",ABS(J306),-ABS(J306)))</f>
        <v>-40</v>
      </c>
      <c r="L306" t="s">
        <v>37</v>
      </c>
      <c r="N306">
        <v>65119</v>
      </c>
      <c r="O306" t="s">
        <v>382</v>
      </c>
      <c r="P306">
        <v>1798</v>
      </c>
      <c r="Q306" s="42">
        <v>46198</v>
      </c>
      <c r="R306" s="22" t="str">
        <f>IF(H306="","",H306&amp;I306)</f>
        <v>260414-029SALIDA</v>
      </c>
      <c r="S306" s="22" t="str">
        <f>IF(C306="","",C306&amp;I306)</f>
        <v>HarrierSALIDA</v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547</v>
      </c>
      <c r="B307" s="47">
        <v>46198</v>
      </c>
      <c r="C307" t="s">
        <v>54</v>
      </c>
      <c r="D307" t="s">
        <v>55</v>
      </c>
      <c r="E307" t="s">
        <v>34</v>
      </c>
      <c r="F307" t="s">
        <v>35</v>
      </c>
      <c r="G307" t="s">
        <v>36</v>
      </c>
      <c r="H307" s="20" t="s">
        <v>97</v>
      </c>
      <c r="I307" t="s">
        <v>65</v>
      </c>
      <c r="J307" s="30">
        <v>31</v>
      </c>
      <c r="K307" s="22">
        <f>IF(I307="","",IF(I307="ENTRADA",ABS(J307),-ABS(J307)))</f>
        <v>-31</v>
      </c>
      <c r="L307" t="s">
        <v>56</v>
      </c>
      <c r="N307">
        <v>65122</v>
      </c>
      <c r="O307" t="s">
        <v>387</v>
      </c>
      <c r="P307">
        <v>1799</v>
      </c>
      <c r="Q307" s="42">
        <v>46199</v>
      </c>
      <c r="R307" s="22" t="str">
        <f>IF(H307="","",H307&amp;I307)</f>
        <v>260401-007SALIDA</v>
      </c>
      <c r="S307" s="22" t="str">
        <f>IF(C307="","",C307&amp;I307)</f>
        <v>TronadorSALIDA</v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548</v>
      </c>
      <c r="B308" s="47">
        <v>46198</v>
      </c>
      <c r="C308" t="s">
        <v>122</v>
      </c>
      <c r="D308" t="s">
        <v>123</v>
      </c>
      <c r="E308" t="s">
        <v>34</v>
      </c>
      <c r="F308" t="s">
        <v>35</v>
      </c>
      <c r="G308" t="s">
        <v>117</v>
      </c>
      <c r="H308" s="20" t="s">
        <v>203</v>
      </c>
      <c r="I308" t="s">
        <v>65</v>
      </c>
      <c r="J308" s="30">
        <v>160</v>
      </c>
      <c r="K308" s="22">
        <f>IF(I308="","",IF(I308="ENTRADA",ABS(J308),-ABS(J308)))</f>
        <v>-160</v>
      </c>
      <c r="L308" t="s">
        <v>37</v>
      </c>
      <c r="N308">
        <v>65122</v>
      </c>
      <c r="O308" t="s">
        <v>387</v>
      </c>
      <c r="P308">
        <v>1799</v>
      </c>
      <c r="Q308" s="42">
        <v>46199</v>
      </c>
      <c r="R308" s="22" t="str">
        <f>IF(H308="","",H308&amp;I308)</f>
        <v>260410-027SALIDA</v>
      </c>
      <c r="S308" s="22" t="str">
        <f>IF(C308="","",C308&amp;I308)</f>
        <v>PardoSALIDA</v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549</v>
      </c>
      <c r="B309" s="47">
        <v>46198</v>
      </c>
      <c r="C309" s="34" t="s">
        <v>283</v>
      </c>
      <c r="D309" s="34" t="s">
        <v>284</v>
      </c>
      <c r="E309" s="34" t="s">
        <v>285</v>
      </c>
      <c r="F309" s="34" t="s">
        <v>286</v>
      </c>
      <c r="G309" s="34" t="s">
        <v>83</v>
      </c>
      <c r="H309" s="20" t="s">
        <v>497</v>
      </c>
      <c r="I309" s="34" t="s">
        <v>65</v>
      </c>
      <c r="J309" s="36">
        <v>160</v>
      </c>
      <c r="K309" s="22">
        <f>IF(I309="","",IF(I309="ENTRADA",ABS(J309),-ABS(J309)))</f>
        <v>-160</v>
      </c>
      <c r="L309" s="34" t="s">
        <v>37</v>
      </c>
      <c r="M309" s="34"/>
      <c r="N309">
        <v>65122</v>
      </c>
      <c r="O309" t="s">
        <v>387</v>
      </c>
      <c r="P309">
        <v>1799</v>
      </c>
      <c r="Q309" s="42">
        <v>46199</v>
      </c>
      <c r="R309" s="22" t="str">
        <f>IF(H309="","",H309&amp;I309)</f>
        <v>260429-102SALIDA</v>
      </c>
      <c r="S309" s="22" t="str">
        <f>IF(C309="","",C309&amp;I309)</f>
        <v>Hydra HumeSALIDA</v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550</v>
      </c>
      <c r="B310" s="47">
        <v>46198</v>
      </c>
      <c r="C310" t="s">
        <v>527</v>
      </c>
      <c r="D310" t="s">
        <v>528</v>
      </c>
      <c r="E310" t="s">
        <v>493</v>
      </c>
      <c r="G310" t="s">
        <v>77</v>
      </c>
      <c r="H310" s="20" t="s">
        <v>551</v>
      </c>
      <c r="I310" t="s">
        <v>65</v>
      </c>
      <c r="J310" s="30">
        <v>30</v>
      </c>
      <c r="K310" s="22">
        <f>IF(I310="","",IF(I310="ENTRADA",ABS(J310),-ABS(J310)))</f>
        <v>-30</v>
      </c>
      <c r="L310" t="s">
        <v>29</v>
      </c>
      <c r="N310">
        <v>65122</v>
      </c>
      <c r="O310" t="s">
        <v>387</v>
      </c>
      <c r="P310">
        <v>1799</v>
      </c>
      <c r="Q310" s="42">
        <v>46199</v>
      </c>
      <c r="R310" s="22" t="str">
        <f>IF(H310="","",H310&amp;I310)</f>
        <v>260623-290SALIDA</v>
      </c>
      <c r="S310" s="22" t="str">
        <f>IF(C310="","",C310&amp;I310)</f>
        <v>vitagrowSALIDA</v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552</v>
      </c>
      <c r="B311" s="47">
        <v>46199</v>
      </c>
      <c r="C311" t="s">
        <v>524</v>
      </c>
      <c r="D311" t="s">
        <v>525</v>
      </c>
      <c r="E311" t="s">
        <v>516</v>
      </c>
      <c r="G311" t="s">
        <v>77</v>
      </c>
      <c r="H311" s="20" t="s">
        <v>553</v>
      </c>
      <c r="I311" t="s">
        <v>65</v>
      </c>
      <c r="J311" s="30">
        <v>70</v>
      </c>
      <c r="K311" s="22">
        <f>IF(I311="","",IF(I311="ENTRADA",ABS(J311),-ABS(J311)))</f>
        <v>-70</v>
      </c>
      <c r="L311" t="s">
        <v>37</v>
      </c>
      <c r="N311">
        <v>65123</v>
      </c>
      <c r="O311" t="s">
        <v>218</v>
      </c>
      <c r="P311">
        <v>1800</v>
      </c>
      <c r="Q311" s="42">
        <v>46199</v>
      </c>
      <c r="R311" s="22" t="str">
        <f>IF(H311="","",H311&amp;I311)</f>
        <v>260623-289SALIDA</v>
      </c>
      <c r="S311" s="22" t="str">
        <f>IF(C311="","",C311&amp;I311)</f>
        <v>cripton xpro SALIDA</v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554</v>
      </c>
      <c r="B312" s="47">
        <v>46199</v>
      </c>
      <c r="C312" t="s">
        <v>137</v>
      </c>
      <c r="D312" t="s">
        <v>138</v>
      </c>
      <c r="E312" t="s">
        <v>132</v>
      </c>
      <c r="G312" t="s">
        <v>133</v>
      </c>
      <c r="H312" s="20" t="s">
        <v>211</v>
      </c>
      <c r="I312" t="s">
        <v>65</v>
      </c>
      <c r="J312" s="51">
        <v>1</v>
      </c>
      <c r="K312" s="22">
        <f>IF(I312="","",IF(I312="ENTRADA",ABS(J312),-ABS(J312)))</f>
        <v>-1</v>
      </c>
      <c r="L312" t="s">
        <v>37</v>
      </c>
      <c r="N312">
        <v>65123</v>
      </c>
      <c r="O312" t="s">
        <v>218</v>
      </c>
      <c r="P312">
        <v>1800</v>
      </c>
      <c r="Q312" s="42">
        <v>46199</v>
      </c>
      <c r="R312" s="22" t="str">
        <f>IF(H312="","",H312&amp;I312)</f>
        <v>260414-030SALIDA</v>
      </c>
      <c r="S312" s="22" t="str">
        <f>IF(C312="","",C312&amp;I312)</f>
        <v>Full controlSALIDA</v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555</v>
      </c>
      <c r="B313" s="47">
        <v>46199</v>
      </c>
      <c r="C313" t="s">
        <v>556</v>
      </c>
      <c r="D313" t="s">
        <v>557</v>
      </c>
      <c r="E313" t="s">
        <v>25</v>
      </c>
      <c r="F313" t="s">
        <v>558</v>
      </c>
      <c r="H313" s="20" t="str">
        <f>+T313</f>
        <v>260626-313</v>
      </c>
      <c r="I313" t="s">
        <v>28</v>
      </c>
      <c r="J313" s="30">
        <v>1700</v>
      </c>
      <c r="K313" s="22">
        <f>IF(I313="","",IF(I313="ENTRADA",ABS(J313),-ABS(J313)))</f>
        <v>1700</v>
      </c>
      <c r="L313" t="s">
        <v>29</v>
      </c>
      <c r="N313">
        <v>65125</v>
      </c>
      <c r="Q313" s="33"/>
      <c r="R313" s="22" t="str">
        <f>IF(H313="","",H313&amp;I313)</f>
        <v>260626-313ENTRADA</v>
      </c>
      <c r="S313" s="22" t="str">
        <f>IF(C313="","",C313&amp;I313)</f>
        <v>semilla comprada cebada ENTRADA</v>
      </c>
      <c r="T313" t="str">
        <f>IF(OR(C313="",I313&lt;&gt;"ENTRADA"),"",TEXT(B313,"AAMMDD")&amp;"-"&amp;TEXT(VALUE(SUBSTITUTE(A313,"MOV-","")),"000"))</f>
        <v>260626-313</v>
      </c>
    </row>
    <row r="314" spans="1:20">
      <c r="A314" s="20" t="s">
        <v>559</v>
      </c>
      <c r="B314" s="47">
        <v>46198</v>
      </c>
      <c r="C314" t="s">
        <v>534</v>
      </c>
      <c r="D314" t="s">
        <v>535</v>
      </c>
      <c r="E314" t="s">
        <v>34</v>
      </c>
      <c r="F314" t="s">
        <v>35</v>
      </c>
      <c r="G314" t="s">
        <v>36</v>
      </c>
      <c r="H314" s="20" t="s">
        <v>560</v>
      </c>
      <c r="I314" t="s">
        <v>65</v>
      </c>
      <c r="J314" s="30">
        <v>8</v>
      </c>
      <c r="K314" s="22">
        <f>IF(I314="","",IF(I314="ENTRADA",ABS(J314),-ABS(J314)))</f>
        <v>-8</v>
      </c>
      <c r="L314" t="s">
        <v>29</v>
      </c>
      <c r="N314">
        <v>65124</v>
      </c>
      <c r="O314" t="s">
        <v>309</v>
      </c>
      <c r="P314">
        <v>1806</v>
      </c>
      <c r="Q314" s="42">
        <v>46202</v>
      </c>
      <c r="R314" s="22" t="str">
        <f>IF(H314="","",H314&amp;I314)</f>
        <v>260623-295SALIDA</v>
      </c>
      <c r="S314" s="22" t="str">
        <f>IF(C314="","",C314&amp;I314)</f>
        <v>ParadigmSALIDA</v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561</v>
      </c>
      <c r="B315" s="47">
        <v>46204</v>
      </c>
      <c r="C315" t="s">
        <v>54</v>
      </c>
      <c r="D315" t="s">
        <v>55</v>
      </c>
      <c r="E315" t="s">
        <v>34</v>
      </c>
      <c r="F315" t="s">
        <v>35</v>
      </c>
      <c r="G315" t="s">
        <v>36</v>
      </c>
      <c r="H315" s="20" t="s">
        <v>97</v>
      </c>
      <c r="I315" t="s">
        <v>65</v>
      </c>
      <c r="J315" s="30">
        <v>50</v>
      </c>
      <c r="K315" s="22">
        <f>IF(I315="","",IF(I315="ENTRADA",ABS(J315),-ABS(J315)))</f>
        <v>-50</v>
      </c>
      <c r="L315" t="s">
        <v>56</v>
      </c>
      <c r="N315">
        <v>65127</v>
      </c>
      <c r="O315" t="s">
        <v>382</v>
      </c>
      <c r="P315">
        <v>1814</v>
      </c>
      <c r="Q315" s="42">
        <v>46204</v>
      </c>
      <c r="R315" s="22" t="str">
        <f>IF(H315="","",H315&amp;I315)</f>
        <v>260401-007SALIDA</v>
      </c>
      <c r="S315" s="22" t="str">
        <f>IF(C315="","",C315&amp;I315)</f>
        <v>TronadorSALIDA</v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562</v>
      </c>
      <c r="B316" s="47">
        <v>46204</v>
      </c>
      <c r="C316" t="s">
        <v>147</v>
      </c>
      <c r="D316" t="s">
        <v>148</v>
      </c>
      <c r="E316" t="s">
        <v>34</v>
      </c>
      <c r="F316" t="s">
        <v>35</v>
      </c>
      <c r="G316" t="s">
        <v>36</v>
      </c>
      <c r="H316" s="20" t="s">
        <v>563</v>
      </c>
      <c r="I316" t="s">
        <v>65</v>
      </c>
      <c r="J316" s="30">
        <v>810</v>
      </c>
      <c r="K316" s="22">
        <f>IF(I316="","",IF(I316="ENTRADA",ABS(J316),-ABS(J316)))</f>
        <v>-810</v>
      </c>
      <c r="L316" t="s">
        <v>37</v>
      </c>
      <c r="N316">
        <v>65127</v>
      </c>
      <c r="O316" t="s">
        <v>382</v>
      </c>
      <c r="P316">
        <v>1814</v>
      </c>
      <c r="Q316" s="42">
        <v>46204</v>
      </c>
      <c r="R316" s="22" t="str">
        <f>IF(H316="","",H316&amp;I316)</f>
        <v>260415-032SALIDA</v>
      </c>
      <c r="S316" s="22" t="str">
        <f>IF(C316="","",C316&amp;I316)</f>
        <v>AxialSALIDA</v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564</v>
      </c>
      <c r="B317" s="47">
        <v>46204</v>
      </c>
      <c r="C317" t="s">
        <v>130</v>
      </c>
      <c r="D317" t="s">
        <v>131</v>
      </c>
      <c r="E317" t="s">
        <v>132</v>
      </c>
      <c r="G317" t="s">
        <v>133</v>
      </c>
      <c r="H317" s="20" t="s">
        <v>221</v>
      </c>
      <c r="I317" t="s">
        <v>65</v>
      </c>
      <c r="J317" s="30">
        <v>110</v>
      </c>
      <c r="K317" s="22">
        <f>IF(I317="","",IF(I317="ENTRADA",ABS(J317),-ABS(J317)))</f>
        <v>-110</v>
      </c>
      <c r="L317" t="s">
        <v>37</v>
      </c>
      <c r="N317">
        <v>65127</v>
      </c>
      <c r="O317" t="s">
        <v>382</v>
      </c>
      <c r="P317">
        <v>1814</v>
      </c>
      <c r="Q317" s="42">
        <v>46204</v>
      </c>
      <c r="R317" s="22" t="str">
        <f>IF(H317="","",H317&amp;I317)</f>
        <v>260414-029SALIDA</v>
      </c>
      <c r="S317" s="22" t="str">
        <f>IF(C317="","",C317&amp;I317)</f>
        <v>HarrierSALIDA</v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565</v>
      </c>
      <c r="B318" s="47">
        <v>46204</v>
      </c>
      <c r="C318" t="s">
        <v>137</v>
      </c>
      <c r="D318" t="s">
        <v>138</v>
      </c>
      <c r="E318" t="s">
        <v>132</v>
      </c>
      <c r="G318" t="s">
        <v>133</v>
      </c>
      <c r="H318" s="20" t="s">
        <v>211</v>
      </c>
      <c r="I318" t="s">
        <v>65</v>
      </c>
      <c r="J318" s="30">
        <v>15</v>
      </c>
      <c r="K318" s="22">
        <f>IF(I318="","",IF(I318="ENTRADA",ABS(J318),-ABS(J318)))</f>
        <v>-15</v>
      </c>
      <c r="L318" t="s">
        <v>37</v>
      </c>
      <c r="N318">
        <v>65127</v>
      </c>
      <c r="O318" t="s">
        <v>382</v>
      </c>
      <c r="P318">
        <v>1814</v>
      </c>
      <c r="Q318" s="42">
        <v>46204</v>
      </c>
      <c r="R318" s="22" t="str">
        <f>IF(H318="","",H318&amp;I318)</f>
        <v>260414-030SALIDA</v>
      </c>
      <c r="S318" s="22" t="str">
        <f>IF(C318="","",C318&amp;I318)</f>
        <v>Full controlSALIDA</v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566</v>
      </c>
      <c r="B319" s="47">
        <v>46204</v>
      </c>
      <c r="C319" t="s">
        <v>32</v>
      </c>
      <c r="D319" t="s">
        <v>105</v>
      </c>
      <c r="E319" t="s">
        <v>34</v>
      </c>
      <c r="F319" t="s">
        <v>35</v>
      </c>
      <c r="H319" s="20" t="s">
        <v>106</v>
      </c>
      <c r="I319" t="s">
        <v>65</v>
      </c>
      <c r="J319" s="30">
        <v>150</v>
      </c>
      <c r="K319" s="22">
        <f>IF(I319="","",IF(I319="ENTRADA",ABS(J319),-ABS(J319)))</f>
        <v>-150</v>
      </c>
      <c r="L319" t="s">
        <v>37</v>
      </c>
      <c r="N319">
        <v>65128</v>
      </c>
      <c r="O319" t="s">
        <v>213</v>
      </c>
      <c r="P319">
        <v>1815</v>
      </c>
      <c r="Q319" s="42">
        <v>46204</v>
      </c>
      <c r="R319" s="22" t="str">
        <f>IF(H319="","",H319&amp;I319)</f>
        <v>260401-002SALIDA</v>
      </c>
      <c r="S319" s="22" t="str">
        <f>IF(C319="","",C319&amp;I319)</f>
        <v>KorvettoSALIDA</v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567</v>
      </c>
      <c r="B320" s="47">
        <v>46204</v>
      </c>
      <c r="C320" s="34" t="s">
        <v>130</v>
      </c>
      <c r="D320" s="34" t="s">
        <v>131</v>
      </c>
      <c r="E320" s="34" t="s">
        <v>132</v>
      </c>
      <c r="F320" s="34"/>
      <c r="G320" s="34" t="s">
        <v>133</v>
      </c>
      <c r="H320" s="20" t="s">
        <v>221</v>
      </c>
      <c r="I320" s="34" t="s">
        <v>65</v>
      </c>
      <c r="J320" s="36">
        <v>400</v>
      </c>
      <c r="K320" s="22">
        <f>IF(I320="","",IF(I320="ENTRADA",ABS(J320),-ABS(J320)))</f>
        <v>-400</v>
      </c>
      <c r="L320" s="34" t="s">
        <v>37</v>
      </c>
      <c r="M320" s="34"/>
      <c r="N320">
        <v>65128</v>
      </c>
      <c r="O320" s="34" t="s">
        <v>213</v>
      </c>
      <c r="P320">
        <v>1815</v>
      </c>
      <c r="Q320" s="42">
        <v>46204</v>
      </c>
      <c r="R320" s="22" t="str">
        <f>IF(H320="","",H320&amp;I320)</f>
        <v>260414-029SALIDA</v>
      </c>
      <c r="S320" s="22" t="str">
        <f>IF(C320="","",C320&amp;I320)</f>
        <v>HarrierSALIDA</v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568</v>
      </c>
      <c r="B321" s="47">
        <v>46204</v>
      </c>
      <c r="C321" t="s">
        <v>90</v>
      </c>
      <c r="D321" t="s">
        <v>91</v>
      </c>
      <c r="E321" t="s">
        <v>34</v>
      </c>
      <c r="F321" t="s">
        <v>35</v>
      </c>
      <c r="G321" t="s">
        <v>36</v>
      </c>
      <c r="H321" s="20" t="s">
        <v>375</v>
      </c>
      <c r="I321" t="s">
        <v>65</v>
      </c>
      <c r="J321" s="30">
        <v>300</v>
      </c>
      <c r="K321" s="22">
        <f>IF(I321="","",IF(I321="ENTRADA",ABS(J321),-ABS(J321)))</f>
        <v>-300</v>
      </c>
      <c r="L321" t="s">
        <v>37</v>
      </c>
      <c r="N321">
        <v>65128</v>
      </c>
      <c r="O321" t="s">
        <v>213</v>
      </c>
      <c r="P321">
        <v>1815</v>
      </c>
      <c r="Q321" s="42">
        <v>46204</v>
      </c>
      <c r="R321" s="22" t="str">
        <f>IF(H321="","",H321&amp;I321)</f>
        <v>260405-132SALIDA</v>
      </c>
      <c r="S321" s="22" t="str">
        <f>IF(C321="","",C321&amp;I321)</f>
        <v>PixxaroSALIDA</v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569</v>
      </c>
      <c r="B322" s="47">
        <v>46204</v>
      </c>
      <c r="C322" t="s">
        <v>147</v>
      </c>
      <c r="D322" t="s">
        <v>148</v>
      </c>
      <c r="E322" t="s">
        <v>34</v>
      </c>
      <c r="F322" t="s">
        <v>35</v>
      </c>
      <c r="G322" t="s">
        <v>36</v>
      </c>
      <c r="H322" s="20" t="s">
        <v>563</v>
      </c>
      <c r="I322" t="s">
        <v>65</v>
      </c>
      <c r="J322" s="30">
        <v>500</v>
      </c>
      <c r="K322" s="22">
        <f>IF(I322="","",IF(I322="ENTRADA",ABS(J322),-ABS(J322)))</f>
        <v>-500</v>
      </c>
      <c r="L322" t="s">
        <v>37</v>
      </c>
      <c r="N322">
        <v>65128</v>
      </c>
      <c r="O322" t="s">
        <v>213</v>
      </c>
      <c r="P322">
        <v>1815</v>
      </c>
      <c r="Q322" s="42">
        <v>46204</v>
      </c>
      <c r="R322" s="22" t="str">
        <f>IF(H322="","",H322&amp;I322)</f>
        <v>260415-032SALIDA</v>
      </c>
      <c r="S322" s="22" t="str">
        <f>IF(C322="","",C322&amp;I322)</f>
        <v>AxialSALIDA</v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570</v>
      </c>
      <c r="B323" s="47">
        <v>46204</v>
      </c>
      <c r="C323" t="s">
        <v>54</v>
      </c>
      <c r="D323" t="s">
        <v>55</v>
      </c>
      <c r="E323" t="s">
        <v>34</v>
      </c>
      <c r="F323" t="s">
        <v>35</v>
      </c>
      <c r="G323" t="s">
        <v>36</v>
      </c>
      <c r="H323" s="20" t="s">
        <v>97</v>
      </c>
      <c r="I323" t="s">
        <v>65</v>
      </c>
      <c r="J323" s="30">
        <v>30</v>
      </c>
      <c r="K323" s="22">
        <f>IF(I323="","",IF(I323="ENTRADA",ABS(J323),-ABS(J323)))</f>
        <v>-30</v>
      </c>
      <c r="L323" t="s">
        <v>56</v>
      </c>
      <c r="N323">
        <v>65128</v>
      </c>
      <c r="O323" t="s">
        <v>213</v>
      </c>
      <c r="P323">
        <v>1815</v>
      </c>
      <c r="Q323" s="42">
        <v>46204</v>
      </c>
      <c r="R323" s="22" t="str">
        <f>IF(H323="","",H323&amp;I323)</f>
        <v>260401-007SALIDA</v>
      </c>
      <c r="S323" s="22" t="str">
        <f>IF(C323="","",C323&amp;I323)</f>
        <v>TronadorSALIDA</v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571</v>
      </c>
      <c r="B324" s="47">
        <v>46204</v>
      </c>
      <c r="C324" t="s">
        <v>527</v>
      </c>
      <c r="D324" t="s">
        <v>528</v>
      </c>
      <c r="E324" t="s">
        <v>493</v>
      </c>
      <c r="G324" t="s">
        <v>77</v>
      </c>
      <c r="H324" s="20" t="s">
        <v>551</v>
      </c>
      <c r="I324" t="s">
        <v>65</v>
      </c>
      <c r="J324" s="30">
        <v>60</v>
      </c>
      <c r="K324" s="22">
        <f>IF(I324="","",IF(I324="ENTRADA",ABS(J324),-ABS(J324)))</f>
        <v>-60</v>
      </c>
      <c r="L324" t="s">
        <v>29</v>
      </c>
      <c r="N324">
        <v>65128</v>
      </c>
      <c r="O324" t="s">
        <v>213</v>
      </c>
      <c r="P324">
        <v>1815</v>
      </c>
      <c r="Q324" s="42">
        <v>46204</v>
      </c>
      <c r="R324" s="22" t="str">
        <f>IF(H324="","",H324&amp;I324)</f>
        <v>260623-290SALIDA</v>
      </c>
      <c r="S324" s="22" t="str">
        <f>IF(C324="","",C324&amp;I324)</f>
        <v>vitagrowSALIDA</v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572</v>
      </c>
      <c r="B325" s="47">
        <v>46204</v>
      </c>
      <c r="C325" t="s">
        <v>283</v>
      </c>
      <c r="D325" t="s">
        <v>284</v>
      </c>
      <c r="E325" t="s">
        <v>285</v>
      </c>
      <c r="F325" t="s">
        <v>286</v>
      </c>
      <c r="G325" t="s">
        <v>83</v>
      </c>
      <c r="H325" s="20" t="s">
        <v>497</v>
      </c>
      <c r="I325" t="s">
        <v>65</v>
      </c>
      <c r="J325" s="30">
        <v>660</v>
      </c>
      <c r="K325" s="22">
        <f>IF(I325="","",IF(I325="ENTRADA",ABS(J325),-ABS(J325)))</f>
        <v>-660</v>
      </c>
      <c r="L325" t="s">
        <v>37</v>
      </c>
      <c r="N325">
        <v>65129</v>
      </c>
      <c r="O325" t="s">
        <v>387</v>
      </c>
      <c r="P325">
        <v>1816</v>
      </c>
      <c r="Q325" s="42">
        <v>46204</v>
      </c>
      <c r="R325" s="22" t="str">
        <f>IF(H325="","",H325&amp;I325)</f>
        <v>260429-102SALIDA</v>
      </c>
      <c r="S325" s="22" t="str">
        <f>IF(C325="","",C325&amp;I325)</f>
        <v>Hydra HumeSALIDA</v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573</v>
      </c>
      <c r="B326" s="47">
        <v>46205</v>
      </c>
      <c r="C326" t="s">
        <v>491</v>
      </c>
      <c r="D326" t="s">
        <v>492</v>
      </c>
      <c r="E326" t="s">
        <v>493</v>
      </c>
      <c r="G326" t="s">
        <v>36</v>
      </c>
      <c r="H326" s="20" t="s">
        <v>495</v>
      </c>
      <c r="I326" t="s">
        <v>65</v>
      </c>
      <c r="J326" s="30">
        <v>2620</v>
      </c>
      <c r="K326" s="22">
        <f>IF(I326="","",IF(I326="ENTRADA",ABS(J326),-ABS(J326)))</f>
        <v>-2620</v>
      </c>
      <c r="L326" t="s">
        <v>37</v>
      </c>
      <c r="N326">
        <v>65130</v>
      </c>
      <c r="O326" t="s">
        <v>213</v>
      </c>
      <c r="P326">
        <v>1817</v>
      </c>
      <c r="Q326" s="42">
        <v>46205</v>
      </c>
      <c r="R326" s="22" t="str">
        <f>IF(H326="","",H326&amp;I326)</f>
        <v>260610-265SALIDA</v>
      </c>
      <c r="S326" s="22" t="str">
        <f>IF(C326="","",C326&amp;I326)</f>
        <v>Zinc Plus SALIDA</v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574</v>
      </c>
      <c r="B327" s="47">
        <v>46205</v>
      </c>
      <c r="C327" t="s">
        <v>524</v>
      </c>
      <c r="D327" t="s">
        <v>525</v>
      </c>
      <c r="E327" t="s">
        <v>516</v>
      </c>
      <c r="G327" t="s">
        <v>158</v>
      </c>
      <c r="H327" s="20" t="s">
        <v>553</v>
      </c>
      <c r="I327" t="s">
        <v>28</v>
      </c>
      <c r="J327" s="30">
        <v>500</v>
      </c>
      <c r="K327" s="22">
        <f>IF(I327="","",IF(I327="ENTRADA",ABS(J327),-ABS(J327)))</f>
        <v>500</v>
      </c>
      <c r="L327" t="s">
        <v>37</v>
      </c>
      <c r="M327" s="47">
        <v>46476</v>
      </c>
      <c r="N327">
        <v>33080</v>
      </c>
      <c r="P327">
        <v>14891</v>
      </c>
      <c r="Q327" s="42">
        <v>46209</v>
      </c>
      <c r="R327" s="22" t="str">
        <f>IF(H327="","",H327&amp;I327)</f>
        <v>260623-289ENTRADA</v>
      </c>
      <c r="S327" s="22" t="str">
        <f>IF(C327="","",C327&amp;I327)</f>
        <v>cripton xpro ENTRADA</v>
      </c>
      <c r="T327" t="str">
        <f>IF(OR(C327="",I327&lt;&gt;"ENTRADA"),"",TEXT(B327,"AAMMDD")&amp;"-"&amp;TEXT(VALUE(SUBSTITUTE(A327,"MOV-","")),"000"))</f>
        <v>260702-327</v>
      </c>
    </row>
    <row r="328" spans="1:20">
      <c r="A328" s="20" t="s">
        <v>575</v>
      </c>
      <c r="B328" s="47">
        <v>46205</v>
      </c>
      <c r="C328" t="s">
        <v>576</v>
      </c>
      <c r="D328" t="s">
        <v>577</v>
      </c>
      <c r="E328" t="s">
        <v>578</v>
      </c>
      <c r="G328" t="s">
        <v>158</v>
      </c>
      <c r="H328" s="20" t="str">
        <f>+T328</f>
        <v>260702-328</v>
      </c>
      <c r="I328" t="s">
        <v>28</v>
      </c>
      <c r="J328" s="30">
        <v>500</v>
      </c>
      <c r="K328" s="22">
        <f>IF(I328="","",IF(I328="ENTRADA",ABS(J328),-ABS(J328)))</f>
        <v>500</v>
      </c>
      <c r="L328" t="s">
        <v>37</v>
      </c>
      <c r="M328" s="47">
        <v>47119</v>
      </c>
      <c r="N328">
        <v>33080</v>
      </c>
      <c r="P328">
        <v>14891</v>
      </c>
      <c r="Q328" s="42">
        <v>46209</v>
      </c>
      <c r="R328" s="22" t="str">
        <f>IF(H328="","",H328&amp;I328)</f>
        <v>260702-328ENTRADA</v>
      </c>
      <c r="S328" s="22" t="str">
        <f>IF(C328="","",C328&amp;I328)</f>
        <v>AcrecioENTRADA</v>
      </c>
      <c r="T328" t="str">
        <f>IF(OR(C328="",I328&lt;&gt;"ENTRADA"),"",TEXT(B328,"AAMMDD")&amp;"-"&amp;TEXT(VALUE(SUBSTITUTE(A328,"MOV-","")),"000"))</f>
        <v>260702-328</v>
      </c>
    </row>
    <row r="329" spans="1:20">
      <c r="A329" s="20" t="s">
        <v>579</v>
      </c>
      <c r="B329" s="47">
        <v>46205</v>
      </c>
      <c r="C329" t="s">
        <v>580</v>
      </c>
      <c r="G329" t="s">
        <v>158</v>
      </c>
      <c r="H329" s="20" t="str">
        <f>+T329</f>
        <v>260702-329</v>
      </c>
      <c r="I329" t="s">
        <v>28</v>
      </c>
      <c r="J329" s="30">
        <v>12</v>
      </c>
      <c r="K329" s="22">
        <f>IF(I329="","",IF(I329="ENTRADA",ABS(J329),-ABS(J329)))</f>
        <v>12</v>
      </c>
      <c r="L329" t="s">
        <v>37</v>
      </c>
      <c r="M329" s="47">
        <v>47146</v>
      </c>
      <c r="N329">
        <v>33080</v>
      </c>
      <c r="P329">
        <v>14891</v>
      </c>
      <c r="Q329" s="42">
        <v>46209</v>
      </c>
      <c r="R329" s="22" t="str">
        <f>IF(H329="","",H329&amp;I329)</f>
        <v>260702-329ENTRADA</v>
      </c>
      <c r="S329" s="22" t="str">
        <f>IF(C329="","",C329&amp;I329)</f>
        <v>Bioavanza plus ENTRADA</v>
      </c>
      <c r="T329" t="str">
        <f>IF(OR(C329="",I329&lt;&gt;"ENTRADA"),"",TEXT(B329,"AAMMDD")&amp;"-"&amp;TEXT(VALUE(SUBSTITUTE(A329,"MOV-","")),"000"))</f>
        <v>260702-329</v>
      </c>
    </row>
    <row r="330" spans="1:20">
      <c r="A330" s="20" t="s">
        <v>581</v>
      </c>
      <c r="B330" s="47">
        <v>46206</v>
      </c>
      <c r="C330" t="s">
        <v>527</v>
      </c>
      <c r="D330" t="s">
        <v>528</v>
      </c>
      <c r="E330" t="s">
        <v>493</v>
      </c>
      <c r="G330" t="s">
        <v>77</v>
      </c>
      <c r="H330" s="20" t="s">
        <v>551</v>
      </c>
      <c r="I330" t="s">
        <v>65</v>
      </c>
      <c r="J330" s="30">
        <v>60</v>
      </c>
      <c r="K330" s="22">
        <f>IF(I330="","",IF(I330="ENTRADA",ABS(J330),-ABS(J330)))</f>
        <v>-60</v>
      </c>
      <c r="L330" t="s">
        <v>29</v>
      </c>
      <c r="N330">
        <v>65131</v>
      </c>
      <c r="O330" t="s">
        <v>218</v>
      </c>
      <c r="P330">
        <v>1822</v>
      </c>
      <c r="Q330" s="42">
        <v>46209</v>
      </c>
      <c r="R330" s="22" t="str">
        <f>IF(H330="","",H330&amp;I330)</f>
        <v>260623-290SALIDA</v>
      </c>
      <c r="S330" s="22" t="str">
        <f>IF(C330="","",C330&amp;I330)</f>
        <v>vitagrowSALIDA</v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582</v>
      </c>
      <c r="B331" s="47">
        <v>46206</v>
      </c>
      <c r="C331" s="34" t="s">
        <v>130</v>
      </c>
      <c r="D331" s="34" t="s">
        <v>131</v>
      </c>
      <c r="E331" s="34" t="s">
        <v>132</v>
      </c>
      <c r="F331" s="34"/>
      <c r="G331" s="34" t="s">
        <v>133</v>
      </c>
      <c r="H331" s="20" t="s">
        <v>221</v>
      </c>
      <c r="I331" s="34" t="s">
        <v>65</v>
      </c>
      <c r="J331" s="36">
        <v>50</v>
      </c>
      <c r="K331" s="22">
        <f>IF(I331="","",IF(I331="ENTRADA",ABS(J331),-ABS(J331)))</f>
        <v>-50</v>
      </c>
      <c r="L331" s="34" t="s">
        <v>37</v>
      </c>
      <c r="M331" s="34"/>
      <c r="N331" s="34">
        <v>65131</v>
      </c>
      <c r="O331" s="34" t="s">
        <v>218</v>
      </c>
      <c r="P331">
        <v>1822</v>
      </c>
      <c r="Q331" s="42">
        <v>46209</v>
      </c>
      <c r="R331" s="22" t="str">
        <f>IF(H331="","",H331&amp;I331)</f>
        <v>260414-029SALIDA</v>
      </c>
      <c r="S331" s="22" t="str">
        <f>IF(C331="","",C331&amp;I331)</f>
        <v>HarrierSALIDA</v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583</v>
      </c>
      <c r="B332" s="47">
        <v>46206</v>
      </c>
      <c r="C332" t="s">
        <v>54</v>
      </c>
      <c r="D332" t="s">
        <v>55</v>
      </c>
      <c r="E332" t="s">
        <v>34</v>
      </c>
      <c r="F332" t="s">
        <v>35</v>
      </c>
      <c r="G332" t="s">
        <v>36</v>
      </c>
      <c r="H332" s="20" t="s">
        <v>97</v>
      </c>
      <c r="I332" t="s">
        <v>65</v>
      </c>
      <c r="J332" s="30">
        <v>15</v>
      </c>
      <c r="K332" s="22">
        <f>IF(I332="","",IF(I332="ENTRADA",ABS(J332),-ABS(J332)))</f>
        <v>-15</v>
      </c>
      <c r="L332" t="s">
        <v>56</v>
      </c>
      <c r="N332">
        <v>65131</v>
      </c>
      <c r="O332" t="s">
        <v>218</v>
      </c>
      <c r="P332">
        <v>1822</v>
      </c>
      <c r="Q332" s="42">
        <v>46209</v>
      </c>
      <c r="R332" s="22" t="str">
        <f>IF(H332="","",H332&amp;I332)</f>
        <v>260401-007SALIDA</v>
      </c>
      <c r="S332" s="22" t="str">
        <f>IF(C332="","",C332&amp;I332)</f>
        <v>TronadorSALIDA</v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584</v>
      </c>
      <c r="B333" s="47">
        <v>46206</v>
      </c>
      <c r="C333" t="s">
        <v>137</v>
      </c>
      <c r="D333" t="s">
        <v>138</v>
      </c>
      <c r="E333" t="s">
        <v>132</v>
      </c>
      <c r="G333" t="s">
        <v>133</v>
      </c>
      <c r="H333" s="20" t="s">
        <v>211</v>
      </c>
      <c r="I333" t="s">
        <v>65</v>
      </c>
      <c r="J333" s="30">
        <v>10</v>
      </c>
      <c r="K333" s="22">
        <f>IF(I333="","",IF(I333="ENTRADA",ABS(J333),-ABS(J333)))</f>
        <v>-10</v>
      </c>
      <c r="L333" t="s">
        <v>37</v>
      </c>
      <c r="N333">
        <v>65131</v>
      </c>
      <c r="O333" t="s">
        <v>218</v>
      </c>
      <c r="P333">
        <v>1822</v>
      </c>
      <c r="Q333" s="42">
        <v>46209</v>
      </c>
      <c r="R333" s="22" t="str">
        <f>IF(H333="","",H333&amp;I333)</f>
        <v>260414-030SALIDA</v>
      </c>
      <c r="S333" s="22" t="str">
        <f>IF(C333="","",C333&amp;I333)</f>
        <v>Full controlSALIDA</v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585</v>
      </c>
      <c r="B334" s="47">
        <v>46206</v>
      </c>
      <c r="C334" t="s">
        <v>147</v>
      </c>
      <c r="D334" t="s">
        <v>148</v>
      </c>
      <c r="E334" t="s">
        <v>34</v>
      </c>
      <c r="F334" t="s">
        <v>35</v>
      </c>
      <c r="G334" t="s">
        <v>36</v>
      </c>
      <c r="H334" s="20" t="s">
        <v>563</v>
      </c>
      <c r="I334" t="s">
        <v>65</v>
      </c>
      <c r="J334" s="30">
        <v>450</v>
      </c>
      <c r="K334" s="22">
        <f>IF(I334="","",IF(I334="ENTRADA",ABS(J334),-ABS(J334)))</f>
        <v>-450</v>
      </c>
      <c r="L334" t="s">
        <v>37</v>
      </c>
      <c r="N334">
        <v>65131</v>
      </c>
      <c r="O334" t="s">
        <v>218</v>
      </c>
      <c r="P334">
        <v>1822</v>
      </c>
      <c r="Q334" s="42">
        <v>46209</v>
      </c>
      <c r="R334" s="22" t="str">
        <f>IF(H334="","",H334&amp;I334)</f>
        <v>260415-032SALIDA</v>
      </c>
      <c r="S334" s="22" t="str">
        <f>IF(C334="","",C334&amp;I334)</f>
        <v>AxialSALIDA</v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586</v>
      </c>
      <c r="B335" s="47">
        <v>46206</v>
      </c>
      <c r="C335" t="s">
        <v>514</v>
      </c>
      <c r="D335" t="s">
        <v>525</v>
      </c>
      <c r="E335" t="s">
        <v>516</v>
      </c>
      <c r="G335" t="s">
        <v>117</v>
      </c>
      <c r="H335" s="20" t="s">
        <v>587</v>
      </c>
      <c r="I335" t="s">
        <v>65</v>
      </c>
      <c r="J335" s="30">
        <v>95</v>
      </c>
      <c r="K335" s="22">
        <f>IF(I335="","",IF(I335="ENTRADA",ABS(J335),-ABS(J335)))</f>
        <v>-95</v>
      </c>
      <c r="L335" t="s">
        <v>37</v>
      </c>
      <c r="N335">
        <v>65131</v>
      </c>
      <c r="O335" t="s">
        <v>218</v>
      </c>
      <c r="P335">
        <v>1822</v>
      </c>
      <c r="Q335" s="42">
        <v>46209</v>
      </c>
      <c r="R335" s="22" t="str">
        <f>IF(H335="","",H335&amp;I335)</f>
        <v>260618-283SALIDA</v>
      </c>
      <c r="S335" s="22" t="str">
        <f>IF(C335="","",C335&amp;I335)</f>
        <v>Unico MaxSALIDA</v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588</v>
      </c>
      <c r="B336" s="47">
        <v>46209</v>
      </c>
      <c r="C336" t="s">
        <v>576</v>
      </c>
      <c r="D336" t="s">
        <v>577</v>
      </c>
      <c r="E336" t="s">
        <v>578</v>
      </c>
      <c r="G336" t="s">
        <v>158</v>
      </c>
      <c r="H336" s="20" t="s">
        <v>589</v>
      </c>
      <c r="I336" t="s">
        <v>65</v>
      </c>
      <c r="J336" s="30">
        <v>160</v>
      </c>
      <c r="K336" s="22">
        <f>IF(I336="","",IF(I336="ENTRADA",ABS(J336),-ABS(J336)))</f>
        <v>-160</v>
      </c>
      <c r="L336" t="s">
        <v>37</v>
      </c>
      <c r="N336">
        <v>65132</v>
      </c>
      <c r="O336" t="s">
        <v>590</v>
      </c>
      <c r="P336">
        <v>1823</v>
      </c>
      <c r="Q336" s="42">
        <v>46209</v>
      </c>
      <c r="R336" s="22" t="str">
        <f>IF(H336="","",H336&amp;I336)</f>
        <v>260702-328SALIDA</v>
      </c>
      <c r="S336" s="22" t="str">
        <f>IF(C336="","",C336&amp;I336)</f>
        <v>AcrecioSALIDA</v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591</v>
      </c>
      <c r="B337" s="47">
        <v>46209</v>
      </c>
      <c r="C337" t="s">
        <v>122</v>
      </c>
      <c r="D337" t="s">
        <v>123</v>
      </c>
      <c r="E337" t="s">
        <v>34</v>
      </c>
      <c r="F337" t="s">
        <v>35</v>
      </c>
      <c r="G337" t="s">
        <v>117</v>
      </c>
      <c r="H337" s="20" t="s">
        <v>203</v>
      </c>
      <c r="I337" t="s">
        <v>65</v>
      </c>
      <c r="J337" s="30">
        <v>160</v>
      </c>
      <c r="K337" s="22">
        <f>IF(I337="","",IF(I337="ENTRADA",ABS(J337),-ABS(J337)))</f>
        <v>-160</v>
      </c>
      <c r="L337" t="s">
        <v>37</v>
      </c>
      <c r="N337">
        <v>65132</v>
      </c>
      <c r="O337" t="s">
        <v>590</v>
      </c>
      <c r="P337">
        <v>1823</v>
      </c>
      <c r="Q337" s="42">
        <v>46209</v>
      </c>
      <c r="R337" s="22" t="str">
        <f>IF(H337="","",H337&amp;I337)</f>
        <v>260410-027SALIDA</v>
      </c>
      <c r="S337" s="22" t="str">
        <f>IF(C337="","",C337&amp;I337)</f>
        <v>PardoSALIDA</v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592</v>
      </c>
      <c r="B338" s="47">
        <v>46209</v>
      </c>
      <c r="C338" t="s">
        <v>32</v>
      </c>
      <c r="D338" t="s">
        <v>105</v>
      </c>
      <c r="E338" t="s">
        <v>34</v>
      </c>
      <c r="F338" t="s">
        <v>35</v>
      </c>
      <c r="H338" s="20" t="s">
        <v>106</v>
      </c>
      <c r="I338" t="s">
        <v>65</v>
      </c>
      <c r="J338" s="30">
        <v>80</v>
      </c>
      <c r="K338" s="22">
        <f>IF(I338="","",IF(I338="ENTRADA",ABS(J338),-ABS(J338)))</f>
        <v>-80</v>
      </c>
      <c r="L338" t="s">
        <v>37</v>
      </c>
      <c r="N338">
        <v>65132</v>
      </c>
      <c r="O338" t="s">
        <v>590</v>
      </c>
      <c r="P338">
        <v>1823</v>
      </c>
      <c r="Q338" s="42">
        <v>46209</v>
      </c>
      <c r="R338" s="22" t="str">
        <f>IF(H338="","",H338&amp;I338)</f>
        <v>260401-002SALIDA</v>
      </c>
      <c r="S338" s="22" t="str">
        <f>IF(C338="","",C338&amp;I338)</f>
        <v>KorvettoSALIDA</v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593</v>
      </c>
      <c r="B339" s="47">
        <v>46209</v>
      </c>
      <c r="C339" t="s">
        <v>130</v>
      </c>
      <c r="D339" t="s">
        <v>131</v>
      </c>
      <c r="E339" t="s">
        <v>132</v>
      </c>
      <c r="G339" t="s">
        <v>133</v>
      </c>
      <c r="H339" s="20" t="s">
        <v>221</v>
      </c>
      <c r="I339" t="s">
        <v>65</v>
      </c>
      <c r="J339" s="30">
        <v>40</v>
      </c>
      <c r="K339" s="22">
        <f>IF(I339="","",IF(I339="ENTRADA",ABS(J339),-ABS(J339)))</f>
        <v>-40</v>
      </c>
      <c r="L339" t="s">
        <v>37</v>
      </c>
      <c r="N339">
        <v>65132</v>
      </c>
      <c r="O339" t="s">
        <v>590</v>
      </c>
      <c r="P339">
        <v>1823</v>
      </c>
      <c r="Q339" s="42">
        <v>46209</v>
      </c>
      <c r="R339" s="22" t="str">
        <f>IF(H339="","",H339&amp;I339)</f>
        <v>260414-029SALIDA</v>
      </c>
      <c r="S339" s="22" t="str">
        <f>IF(C339="","",C339&amp;I339)</f>
        <v>HarrierSALIDA</v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594</v>
      </c>
      <c r="B340" s="47">
        <v>46209</v>
      </c>
      <c r="C340" t="s">
        <v>137</v>
      </c>
      <c r="D340" t="s">
        <v>138</v>
      </c>
      <c r="E340" t="s">
        <v>132</v>
      </c>
      <c r="G340" t="s">
        <v>133</v>
      </c>
      <c r="H340" s="20" t="s">
        <v>211</v>
      </c>
      <c r="I340" t="s">
        <v>65</v>
      </c>
      <c r="J340" s="30">
        <v>8</v>
      </c>
      <c r="K340" s="22">
        <f>IF(I340="","",IF(I340="ENTRADA",ABS(J340),-ABS(J340)))</f>
        <v>-8</v>
      </c>
      <c r="L340" t="s">
        <v>37</v>
      </c>
      <c r="N340">
        <v>65132</v>
      </c>
      <c r="O340" t="s">
        <v>590</v>
      </c>
      <c r="P340">
        <v>1823</v>
      </c>
      <c r="Q340" s="42">
        <v>46209</v>
      </c>
      <c r="R340" s="22" t="str">
        <f>IF(H340="","",H340&amp;I340)</f>
        <v>260414-030SALIDA</v>
      </c>
      <c r="S340" s="22" t="str">
        <f>IF(C340="","",C340&amp;I340)</f>
        <v>Full controlSALIDA</v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595</v>
      </c>
      <c r="B341" s="47">
        <v>46209</v>
      </c>
      <c r="C341" t="s">
        <v>50</v>
      </c>
      <c r="D341" t="s">
        <v>280</v>
      </c>
      <c r="E341" t="s">
        <v>34</v>
      </c>
      <c r="F341" t="s">
        <v>35</v>
      </c>
      <c r="G341" t="s">
        <v>36</v>
      </c>
      <c r="H341" s="20" t="s">
        <v>281</v>
      </c>
      <c r="I341" t="s">
        <v>65</v>
      </c>
      <c r="J341" s="30">
        <v>20</v>
      </c>
      <c r="K341" s="22">
        <f>IF(I341="","",IF(I341="ENTRADA",ABS(J341),-ABS(J341)))</f>
        <v>-20</v>
      </c>
      <c r="L341" t="s">
        <v>37</v>
      </c>
      <c r="N341">
        <v>65132</v>
      </c>
      <c r="O341" t="s">
        <v>590</v>
      </c>
      <c r="P341">
        <v>1823</v>
      </c>
      <c r="Q341" s="42">
        <v>46209</v>
      </c>
      <c r="R341" s="22" t="str">
        <f>IF(H341="","",H341&amp;I341)</f>
        <v>260401-006SALIDA</v>
      </c>
      <c r="S341" s="22" t="str">
        <f>IF(C341="","",C341&amp;I341)</f>
        <v>Tordon 24KSALIDA</v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596</v>
      </c>
      <c r="B342" s="47">
        <v>46209</v>
      </c>
      <c r="C342" s="34" t="s">
        <v>75</v>
      </c>
      <c r="D342" s="34" t="s">
        <v>76</v>
      </c>
      <c r="E342" s="34" t="s">
        <v>34</v>
      </c>
      <c r="F342" s="34" t="s">
        <v>35</v>
      </c>
      <c r="G342" t="s">
        <v>77</v>
      </c>
      <c r="H342" s="20" t="s">
        <v>94</v>
      </c>
      <c r="I342" s="34" t="s">
        <v>65</v>
      </c>
      <c r="J342" s="36">
        <v>140</v>
      </c>
      <c r="K342" s="22">
        <f>IF(I342="","",IF(I342="ENTRADA",ABS(J342),-ABS(J342)))</f>
        <v>-140</v>
      </c>
      <c r="L342" s="34" t="s">
        <v>37</v>
      </c>
      <c r="M342" s="34"/>
      <c r="N342">
        <v>65132</v>
      </c>
      <c r="O342" t="s">
        <v>590</v>
      </c>
      <c r="P342">
        <v>1823</v>
      </c>
      <c r="Q342" s="42">
        <v>46209</v>
      </c>
      <c r="R342" s="22" t="str">
        <f>IF(H342="","",H342&amp;I342)</f>
        <v>260407-012SALIDA</v>
      </c>
      <c r="S342" s="22" t="str">
        <f>IF(C342="","",C342&amp;I342)</f>
        <v>Dedalo eliteSALIDA</v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597</v>
      </c>
      <c r="B343" s="47">
        <v>46209</v>
      </c>
      <c r="C343" t="s">
        <v>524</v>
      </c>
      <c r="D343" t="s">
        <v>525</v>
      </c>
      <c r="E343" t="s">
        <v>516</v>
      </c>
      <c r="G343" t="s">
        <v>158</v>
      </c>
      <c r="H343" s="20" t="str">
        <f>+T343</f>
        <v>260706-343</v>
      </c>
      <c r="I343" t="s">
        <v>28</v>
      </c>
      <c r="J343" s="30">
        <v>1000</v>
      </c>
      <c r="K343" s="22">
        <f>IF(I343="","",IF(I343="ENTRADA",ABS(J343),-ABS(J343)))</f>
        <v>1000</v>
      </c>
      <c r="L343" t="s">
        <v>37</v>
      </c>
      <c r="M343" s="47">
        <v>46584</v>
      </c>
      <c r="N343">
        <v>33146</v>
      </c>
      <c r="P343">
        <v>14892</v>
      </c>
      <c r="Q343" s="42">
        <v>46209</v>
      </c>
      <c r="R343" s="22" t="str">
        <f>IF(H343="","",H343&amp;I343)</f>
        <v>260706-343ENTRADA</v>
      </c>
      <c r="S343" s="22" t="str">
        <f>IF(C343="","",C343&amp;I343)</f>
        <v>cripton xpro ENTRADA</v>
      </c>
      <c r="T343" t="str">
        <f>IF(OR(C343="",I343&lt;&gt;"ENTRADA"),"",TEXT(B343,"AAMMDD")&amp;"-"&amp;TEXT(VALUE(SUBSTITUTE(A343,"MOV-","")),"000"))</f>
        <v>260706-343</v>
      </c>
    </row>
    <row r="344" spans="1:20">
      <c r="A344" s="20" t="s">
        <v>598</v>
      </c>
      <c r="B344" s="47">
        <v>46209</v>
      </c>
      <c r="C344" t="s">
        <v>283</v>
      </c>
      <c r="D344" t="s">
        <v>284</v>
      </c>
      <c r="E344" t="s">
        <v>285</v>
      </c>
      <c r="F344" t="s">
        <v>286</v>
      </c>
      <c r="G344" t="s">
        <v>83</v>
      </c>
      <c r="H344" s="20" t="s">
        <v>497</v>
      </c>
      <c r="I344" t="s">
        <v>65</v>
      </c>
      <c r="J344" s="30">
        <v>500</v>
      </c>
      <c r="K344" s="22">
        <f>IF(I344="","",IF(I344="ENTRADA",ABS(J344),-ABS(J344)))</f>
        <v>-500</v>
      </c>
      <c r="L344" t="s">
        <v>37</v>
      </c>
      <c r="N344">
        <v>65133</v>
      </c>
      <c r="O344" t="s">
        <v>387</v>
      </c>
      <c r="P344">
        <v>1824</v>
      </c>
      <c r="Q344" s="42">
        <v>45480</v>
      </c>
      <c r="R344" s="22" t="str">
        <f>IF(H344="","",H344&amp;I344)</f>
        <v>260429-102SALIDA</v>
      </c>
      <c r="S344" s="22" t="str">
        <f>IF(C344="","",C344&amp;I344)</f>
        <v>Hydra HumeSALIDA</v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599</v>
      </c>
      <c r="B345" s="47">
        <v>46209</v>
      </c>
      <c r="C345" t="s">
        <v>54</v>
      </c>
      <c r="D345" t="s">
        <v>55</v>
      </c>
      <c r="E345" t="s">
        <v>34</v>
      </c>
      <c r="F345" t="s">
        <v>35</v>
      </c>
      <c r="G345" t="s">
        <v>36</v>
      </c>
      <c r="H345" s="20" t="s">
        <v>97</v>
      </c>
      <c r="I345" t="s">
        <v>65</v>
      </c>
      <c r="J345" s="30">
        <v>13</v>
      </c>
      <c r="K345" s="22">
        <f>IF(I345="","",IF(I345="ENTRADA",ABS(J345),-ABS(J345)))</f>
        <v>-13</v>
      </c>
      <c r="L345" t="s">
        <v>56</v>
      </c>
      <c r="N345">
        <v>65133</v>
      </c>
      <c r="O345" t="s">
        <v>387</v>
      </c>
      <c r="P345">
        <v>1824</v>
      </c>
      <c r="Q345" s="42">
        <v>46210</v>
      </c>
      <c r="R345" s="22" t="str">
        <f>IF(H345="","",H345&amp;I345)</f>
        <v>260401-007SALIDA</v>
      </c>
      <c r="S345" s="22" t="str">
        <f>IF(C345="","",C345&amp;I345)</f>
        <v>TronadorSALIDA</v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600</v>
      </c>
      <c r="B346" s="47">
        <v>46210</v>
      </c>
      <c r="C346" t="s">
        <v>115</v>
      </c>
      <c r="D346" t="s">
        <v>116</v>
      </c>
      <c r="E346" t="s">
        <v>34</v>
      </c>
      <c r="F346" t="s">
        <v>35</v>
      </c>
      <c r="G346" t="s">
        <v>117</v>
      </c>
      <c r="H346" s="20" t="s">
        <v>120</v>
      </c>
      <c r="I346" t="s">
        <v>65</v>
      </c>
      <c r="J346" s="30">
        <v>260</v>
      </c>
      <c r="K346" s="22">
        <f>IF(I346="","",IF(I346="ENTRADA",ABS(J346),-ABS(J346)))</f>
        <v>-260</v>
      </c>
      <c r="L346" t="s">
        <v>37</v>
      </c>
      <c r="N346">
        <v>65135</v>
      </c>
      <c r="O346" t="s">
        <v>218</v>
      </c>
      <c r="P346">
        <v>1832</v>
      </c>
      <c r="Q346" s="42">
        <v>46218</v>
      </c>
      <c r="R346" s="22" t="str">
        <f>IF(H346="","",H346&amp;I346)</f>
        <v>260410-025SALIDA</v>
      </c>
      <c r="S346" s="22" t="str">
        <f>IF(C346="","",C346&amp;I346)</f>
        <v>AzukaSALIDA</v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601</v>
      </c>
      <c r="B347" s="47">
        <v>46210</v>
      </c>
      <c r="C347" t="s">
        <v>137</v>
      </c>
      <c r="D347" t="s">
        <v>138</v>
      </c>
      <c r="E347" t="s">
        <v>132</v>
      </c>
      <c r="G347" t="s">
        <v>133</v>
      </c>
      <c r="H347" s="20" t="s">
        <v>602</v>
      </c>
      <c r="I347" t="s">
        <v>65</v>
      </c>
      <c r="J347" s="30">
        <v>2</v>
      </c>
      <c r="K347" s="22">
        <f>IF(I347="","",IF(I347="ENTRADA",ABS(J347),-ABS(J347)))</f>
        <v>-2</v>
      </c>
      <c r="L347" t="s">
        <v>37</v>
      </c>
      <c r="N347">
        <v>65135</v>
      </c>
      <c r="O347" t="s">
        <v>218</v>
      </c>
      <c r="P347">
        <v>1832</v>
      </c>
      <c r="Q347" s="42">
        <v>46218</v>
      </c>
      <c r="R347" s="22" t="str">
        <f>IF(H347="","",H347&amp;I347)</f>
        <v>260827-472SALIDA</v>
      </c>
      <c r="S347" s="22" t="str">
        <f>IF(C347="","",C347&amp;I347)</f>
        <v>Full controlSALIDA</v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603</v>
      </c>
      <c r="B348" s="47">
        <v>46210</v>
      </c>
      <c r="C348" t="s">
        <v>130</v>
      </c>
      <c r="D348" t="s">
        <v>131</v>
      </c>
      <c r="E348" t="s">
        <v>132</v>
      </c>
      <c r="G348" t="s">
        <v>133</v>
      </c>
      <c r="H348" s="20" t="s">
        <v>221</v>
      </c>
      <c r="I348" t="s">
        <v>65</v>
      </c>
      <c r="J348" s="30">
        <v>10</v>
      </c>
      <c r="K348" s="22">
        <f>IF(I348="","",IF(I348="ENTRADA",ABS(J348),-ABS(J348)))</f>
        <v>-10</v>
      </c>
      <c r="L348" t="s">
        <v>37</v>
      </c>
      <c r="N348">
        <v>65135</v>
      </c>
      <c r="O348" t="s">
        <v>218</v>
      </c>
      <c r="P348">
        <v>1832</v>
      </c>
      <c r="Q348" s="42">
        <v>46218</v>
      </c>
      <c r="R348" s="22" t="str">
        <f>IF(H348="","",H348&amp;I348)</f>
        <v>260414-029SALIDA</v>
      </c>
      <c r="S348" s="22" t="str">
        <f>IF(C348="","",C348&amp;I348)</f>
        <v>HarrierSALIDA</v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604</v>
      </c>
      <c r="B349" s="47">
        <v>46210</v>
      </c>
      <c r="C349" t="s">
        <v>130</v>
      </c>
      <c r="D349" t="s">
        <v>131</v>
      </c>
      <c r="E349" t="s">
        <v>132</v>
      </c>
      <c r="G349" t="s">
        <v>133</v>
      </c>
      <c r="H349" s="20" t="s">
        <v>221</v>
      </c>
      <c r="I349" t="s">
        <v>65</v>
      </c>
      <c r="J349" s="30">
        <v>35</v>
      </c>
      <c r="K349" s="22">
        <f>IF(I349="","",IF(I349="ENTRADA",ABS(J349),-ABS(J349)))</f>
        <v>-35</v>
      </c>
      <c r="L349" t="s">
        <v>37</v>
      </c>
      <c r="N349">
        <v>65136</v>
      </c>
      <c r="O349" t="s">
        <v>213</v>
      </c>
      <c r="P349">
        <v>1833</v>
      </c>
      <c r="Q349" s="42">
        <v>46218</v>
      </c>
      <c r="R349" s="22" t="str">
        <f>IF(H349="","",H349&amp;I349)</f>
        <v>260414-029SALIDA</v>
      </c>
      <c r="S349" s="22" t="str">
        <f>IF(C349="","",C349&amp;I349)</f>
        <v>HarrierSALIDA</v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605</v>
      </c>
      <c r="B350" s="47">
        <v>46210</v>
      </c>
      <c r="C350" t="s">
        <v>137</v>
      </c>
      <c r="D350" t="s">
        <v>138</v>
      </c>
      <c r="E350" t="s">
        <v>132</v>
      </c>
      <c r="G350" t="s">
        <v>133</v>
      </c>
      <c r="H350" s="20" t="s">
        <v>211</v>
      </c>
      <c r="I350" t="s">
        <v>65</v>
      </c>
      <c r="J350" s="30">
        <v>7</v>
      </c>
      <c r="K350" s="22">
        <f>IF(I350="","",IF(I350="ENTRADA",ABS(J350),-ABS(J350)))</f>
        <v>-7</v>
      </c>
      <c r="L350" t="s">
        <v>37</v>
      </c>
      <c r="N350">
        <v>65136</v>
      </c>
      <c r="O350" t="s">
        <v>213</v>
      </c>
      <c r="P350">
        <v>1833</v>
      </c>
      <c r="Q350" s="42">
        <v>46218</v>
      </c>
      <c r="R350" s="22" t="str">
        <f>IF(H350="","",H350&amp;I350)</f>
        <v>260414-030SALIDA</v>
      </c>
      <c r="S350" s="22" t="str">
        <f>IF(C350="","",C350&amp;I350)</f>
        <v>Full controlSALIDA</v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606</v>
      </c>
      <c r="B351" s="47">
        <v>46210</v>
      </c>
      <c r="C351" t="s">
        <v>90</v>
      </c>
      <c r="D351" t="s">
        <v>91</v>
      </c>
      <c r="E351" t="s">
        <v>34</v>
      </c>
      <c r="F351" t="s">
        <v>35</v>
      </c>
      <c r="G351" t="s">
        <v>36</v>
      </c>
      <c r="H351" s="20" t="s">
        <v>375</v>
      </c>
      <c r="I351" t="s">
        <v>65</v>
      </c>
      <c r="J351" s="30">
        <v>135</v>
      </c>
      <c r="K351" s="22">
        <f>IF(I351="","",IF(I351="ENTRADA",ABS(J351),-ABS(J351)))</f>
        <v>-135</v>
      </c>
      <c r="L351" t="s">
        <v>37</v>
      </c>
      <c r="N351">
        <v>65136</v>
      </c>
      <c r="O351" t="s">
        <v>213</v>
      </c>
      <c r="P351">
        <v>1833</v>
      </c>
      <c r="Q351" s="42">
        <v>46218</v>
      </c>
      <c r="R351" s="22" t="str">
        <f>IF(H351="","",H351&amp;I351)</f>
        <v>260405-132SALIDA</v>
      </c>
      <c r="S351" s="22" t="str">
        <f>IF(C351="","",C351&amp;I351)</f>
        <v>PixxaroSALIDA</v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607</v>
      </c>
      <c r="B352" s="47">
        <v>46211</v>
      </c>
      <c r="C352" t="s">
        <v>90</v>
      </c>
      <c r="D352" t="s">
        <v>91</v>
      </c>
      <c r="E352" t="s">
        <v>34</v>
      </c>
      <c r="F352" t="s">
        <v>35</v>
      </c>
      <c r="G352" t="s">
        <v>36</v>
      </c>
      <c r="H352" s="20" t="s">
        <v>375</v>
      </c>
      <c r="I352" t="s">
        <v>65</v>
      </c>
      <c r="J352" s="30">
        <v>100</v>
      </c>
      <c r="K352" s="22">
        <f>IF(I352="","",IF(I352="ENTRADA",ABS(J352),-ABS(J352)))</f>
        <v>-100</v>
      </c>
      <c r="L352" t="s">
        <v>37</v>
      </c>
      <c r="N352">
        <v>65137</v>
      </c>
      <c r="O352" t="s">
        <v>213</v>
      </c>
      <c r="P352">
        <v>1834</v>
      </c>
      <c r="Q352" s="42">
        <v>46218</v>
      </c>
      <c r="R352" s="22" t="str">
        <f>IF(H352="","",H352&amp;I352)</f>
        <v>260405-132SALIDA</v>
      </c>
      <c r="S352" s="22" t="str">
        <f>IF(C352="","",C352&amp;I352)</f>
        <v>PixxaroSALIDA</v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608</v>
      </c>
      <c r="B353" s="47">
        <v>46211</v>
      </c>
      <c r="C353" s="34" t="s">
        <v>130</v>
      </c>
      <c r="D353" s="34" t="s">
        <v>131</v>
      </c>
      <c r="E353" s="34" t="s">
        <v>132</v>
      </c>
      <c r="F353" s="34"/>
      <c r="G353" s="34" t="s">
        <v>133</v>
      </c>
      <c r="H353" s="20" t="s">
        <v>221</v>
      </c>
      <c r="I353" s="34" t="s">
        <v>65</v>
      </c>
      <c r="J353" s="36">
        <v>30</v>
      </c>
      <c r="K353" s="22">
        <f>IF(I353="","",IF(I353="ENTRADA",ABS(J353),-ABS(J353)))</f>
        <v>-30</v>
      </c>
      <c r="L353" s="34" t="s">
        <v>37</v>
      </c>
      <c r="M353" s="34"/>
      <c r="N353">
        <v>65137</v>
      </c>
      <c r="O353" t="s">
        <v>213</v>
      </c>
      <c r="P353">
        <v>1834</v>
      </c>
      <c r="Q353" s="42">
        <v>46218</v>
      </c>
      <c r="R353" s="22" t="str">
        <f>IF(H353="","",H353&amp;I353)</f>
        <v>260414-029SALIDA</v>
      </c>
      <c r="S353" s="22" t="str">
        <f>IF(C353="","",C353&amp;I353)</f>
        <v>HarrierSALIDA</v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609</v>
      </c>
      <c r="B354" s="47">
        <v>46211</v>
      </c>
      <c r="C354" t="s">
        <v>137</v>
      </c>
      <c r="D354" t="s">
        <v>138</v>
      </c>
      <c r="E354" t="s">
        <v>132</v>
      </c>
      <c r="G354" t="s">
        <v>133</v>
      </c>
      <c r="H354" s="20" t="s">
        <v>211</v>
      </c>
      <c r="I354" t="s">
        <v>65</v>
      </c>
      <c r="J354" s="30">
        <v>5</v>
      </c>
      <c r="K354" s="22">
        <f>IF(I354="","",IF(I354="ENTRADA",ABS(J354),-ABS(J354)))</f>
        <v>-5</v>
      </c>
      <c r="L354" t="s">
        <v>37</v>
      </c>
      <c r="N354">
        <v>65137</v>
      </c>
      <c r="O354" t="s">
        <v>213</v>
      </c>
      <c r="P354">
        <v>1834</v>
      </c>
      <c r="Q354" s="42">
        <v>46218</v>
      </c>
      <c r="R354" s="22" t="str">
        <f>IF(H354="","",H354&amp;I354)</f>
        <v>260414-030SALIDA</v>
      </c>
      <c r="S354" s="22" t="str">
        <f>IF(C354="","",C354&amp;I354)</f>
        <v>Full controlSALIDA</v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610</v>
      </c>
      <c r="B355" s="47">
        <v>46217</v>
      </c>
      <c r="C355" t="s">
        <v>75</v>
      </c>
      <c r="D355" t="s">
        <v>76</v>
      </c>
      <c r="E355" t="s">
        <v>34</v>
      </c>
      <c r="F355" t="s">
        <v>35</v>
      </c>
      <c r="G355" t="s">
        <v>77</v>
      </c>
      <c r="H355" s="20" t="s">
        <v>94</v>
      </c>
      <c r="I355" t="s">
        <v>65</v>
      </c>
      <c r="J355" s="30">
        <v>140</v>
      </c>
      <c r="K355" s="22">
        <f>IF(I355="","",IF(I355="ENTRADA",ABS(J355),-ABS(J355)))</f>
        <v>-140</v>
      </c>
      <c r="L355" t="s">
        <v>37</v>
      </c>
      <c r="N355">
        <v>65138</v>
      </c>
      <c r="O355" t="s">
        <v>218</v>
      </c>
      <c r="P355">
        <v>1835</v>
      </c>
      <c r="Q355" s="42">
        <v>46218</v>
      </c>
      <c r="R355" s="22" t="str">
        <f>IF(H355="","",H355&amp;I355)</f>
        <v>260407-012SALIDA</v>
      </c>
      <c r="S355" s="22" t="str">
        <f>IF(C355="","",C355&amp;I355)</f>
        <v>Dedalo eliteSALIDA</v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611</v>
      </c>
      <c r="B356" s="47">
        <v>46217</v>
      </c>
      <c r="C356" t="s">
        <v>130</v>
      </c>
      <c r="D356" t="s">
        <v>131</v>
      </c>
      <c r="E356" t="s">
        <v>132</v>
      </c>
      <c r="G356" t="s">
        <v>133</v>
      </c>
      <c r="H356" s="20" t="s">
        <v>221</v>
      </c>
      <c r="I356" t="s">
        <v>65</v>
      </c>
      <c r="J356" s="30">
        <v>25</v>
      </c>
      <c r="K356" s="22">
        <f>IF(I356="","",IF(I356="ENTRADA",ABS(J356),-ABS(J356)))</f>
        <v>-25</v>
      </c>
      <c r="L356" t="s">
        <v>37</v>
      </c>
      <c r="N356">
        <v>65138</v>
      </c>
      <c r="O356" t="s">
        <v>218</v>
      </c>
      <c r="P356">
        <v>1835</v>
      </c>
      <c r="Q356" s="42">
        <v>46218</v>
      </c>
      <c r="R356" s="22" t="str">
        <f>IF(H356="","",H356&amp;I356)</f>
        <v>260414-029SALIDA</v>
      </c>
      <c r="S356" s="22" t="str">
        <f>IF(C356="","",C356&amp;I356)</f>
        <v>HarrierSALIDA</v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612</v>
      </c>
      <c r="B357" s="47">
        <v>46217</v>
      </c>
      <c r="C357" t="s">
        <v>137</v>
      </c>
      <c r="D357" t="s">
        <v>138</v>
      </c>
      <c r="E357" t="s">
        <v>132</v>
      </c>
      <c r="G357" t="s">
        <v>133</v>
      </c>
      <c r="H357" s="20" t="s">
        <v>211</v>
      </c>
      <c r="I357" t="s">
        <v>65</v>
      </c>
      <c r="J357" s="30">
        <v>5</v>
      </c>
      <c r="K357" s="22">
        <f>IF(I357="","",IF(I357="ENTRADA",ABS(J357),-ABS(J357)))</f>
        <v>-5</v>
      </c>
      <c r="L357" t="s">
        <v>37</v>
      </c>
      <c r="N357">
        <v>65138</v>
      </c>
      <c r="O357" t="s">
        <v>218</v>
      </c>
      <c r="P357">
        <v>1835</v>
      </c>
      <c r="Q357" s="42">
        <v>46218</v>
      </c>
      <c r="R357" s="22" t="str">
        <f>IF(H357="","",H357&amp;I357)</f>
        <v>260414-030SALIDA</v>
      </c>
      <c r="S357" s="22" t="str">
        <f>IF(C357="","",C357&amp;I357)</f>
        <v>Full controlSALIDA</v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613</v>
      </c>
      <c r="B358" s="47">
        <v>46217</v>
      </c>
      <c r="C358" t="s">
        <v>491</v>
      </c>
      <c r="D358" t="s">
        <v>492</v>
      </c>
      <c r="E358" t="s">
        <v>493</v>
      </c>
      <c r="G358" t="s">
        <v>36</v>
      </c>
      <c r="H358" s="20" t="s">
        <v>495</v>
      </c>
      <c r="I358" t="s">
        <v>65</v>
      </c>
      <c r="J358" s="30">
        <v>240</v>
      </c>
      <c r="K358" s="22">
        <f>IF(I358="","",IF(I358="ENTRADA",ABS(J358),-ABS(J358)))</f>
        <v>-240</v>
      </c>
      <c r="L358" t="s">
        <v>37</v>
      </c>
      <c r="N358">
        <v>65138</v>
      </c>
      <c r="O358" t="s">
        <v>218</v>
      </c>
      <c r="P358">
        <v>1835</v>
      </c>
      <c r="Q358" s="42">
        <v>46218</v>
      </c>
      <c r="R358" s="22" t="str">
        <f>IF(H358="","",H358&amp;I358)</f>
        <v>260610-265SALIDA</v>
      </c>
      <c r="S358" s="22" t="str">
        <f>IF(C358="","",C358&amp;I358)</f>
        <v>Zinc Plus SALIDA</v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614</v>
      </c>
      <c r="B359" s="47">
        <v>46209</v>
      </c>
      <c r="C359" t="s">
        <v>122</v>
      </c>
      <c r="D359" t="s">
        <v>123</v>
      </c>
      <c r="E359" t="s">
        <v>34</v>
      </c>
      <c r="F359" t="s">
        <v>35</v>
      </c>
      <c r="G359" t="s">
        <v>117</v>
      </c>
      <c r="H359" s="20" t="s">
        <v>203</v>
      </c>
      <c r="I359" t="s">
        <v>65</v>
      </c>
      <c r="J359" s="30">
        <v>560</v>
      </c>
      <c r="K359" s="22">
        <f>IF(I359="","",IF(I359="ENTRADA",ABS(J359),-ABS(J359)))</f>
        <v>-560</v>
      </c>
      <c r="L359" t="s">
        <v>37</v>
      </c>
      <c r="N359">
        <v>65134</v>
      </c>
      <c r="O359" t="s">
        <v>382</v>
      </c>
      <c r="P359">
        <v>1836</v>
      </c>
      <c r="Q359" s="42">
        <v>46218</v>
      </c>
      <c r="R359" s="22" t="str">
        <f>IF(H359="","",H359&amp;I359)</f>
        <v>260410-027SALIDA</v>
      </c>
      <c r="S359" s="22" t="str">
        <f>IF(C359="","",C359&amp;I359)</f>
        <v>PardoSALIDA</v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615</v>
      </c>
      <c r="B360" s="47">
        <v>46209</v>
      </c>
      <c r="C360" t="s">
        <v>576</v>
      </c>
      <c r="D360" t="s">
        <v>577</v>
      </c>
      <c r="E360" t="s">
        <v>578</v>
      </c>
      <c r="G360" t="s">
        <v>158</v>
      </c>
      <c r="H360" s="20" t="s">
        <v>589</v>
      </c>
      <c r="I360" t="s">
        <v>65</v>
      </c>
      <c r="J360" s="30">
        <v>340</v>
      </c>
      <c r="K360" s="22">
        <f>IF(I360="","",IF(I360="ENTRADA",ABS(J360),-ABS(J360)))</f>
        <v>-340</v>
      </c>
      <c r="L360" t="s">
        <v>37</v>
      </c>
      <c r="N360">
        <v>65134</v>
      </c>
      <c r="O360" t="s">
        <v>382</v>
      </c>
      <c r="P360">
        <v>1836</v>
      </c>
      <c r="Q360" s="42">
        <v>46218</v>
      </c>
      <c r="R360" s="22" t="str">
        <f>IF(H360="","",H360&amp;I360)</f>
        <v>260702-328SALIDA</v>
      </c>
      <c r="S360" s="22" t="str">
        <f>IF(C360="","",C360&amp;I360)</f>
        <v>AcrecioSALIDA</v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616</v>
      </c>
      <c r="B361" s="47">
        <v>46209</v>
      </c>
      <c r="C361" t="s">
        <v>130</v>
      </c>
      <c r="D361" t="s">
        <v>131</v>
      </c>
      <c r="E361" t="s">
        <v>132</v>
      </c>
      <c r="G361" t="s">
        <v>133</v>
      </c>
      <c r="H361" s="20" t="s">
        <v>221</v>
      </c>
      <c r="I361" t="s">
        <v>65</v>
      </c>
      <c r="J361" s="30">
        <v>90</v>
      </c>
      <c r="K361" s="22">
        <f>IF(I361="","",IF(I361="ENTRADA",ABS(J361),-ABS(J361)))</f>
        <v>-90</v>
      </c>
      <c r="L361" t="s">
        <v>37</v>
      </c>
      <c r="N361">
        <v>65134</v>
      </c>
      <c r="O361" t="s">
        <v>382</v>
      </c>
      <c r="P361">
        <v>1836</v>
      </c>
      <c r="Q361" s="42">
        <v>46218</v>
      </c>
      <c r="R361" s="22" t="str">
        <f>IF(H361="","",H361&amp;I361)</f>
        <v>260414-029SALIDA</v>
      </c>
      <c r="S361" s="22" t="str">
        <f>IF(C361="","",C361&amp;I361)</f>
        <v>HarrierSALIDA</v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617</v>
      </c>
      <c r="B362" s="47">
        <v>46209</v>
      </c>
      <c r="C362" t="s">
        <v>137</v>
      </c>
      <c r="D362" t="s">
        <v>138</v>
      </c>
      <c r="E362" t="s">
        <v>132</v>
      </c>
      <c r="G362" t="s">
        <v>133</v>
      </c>
      <c r="H362" s="20" t="s">
        <v>211</v>
      </c>
      <c r="I362" t="s">
        <v>65</v>
      </c>
      <c r="J362" s="30">
        <v>15</v>
      </c>
      <c r="K362" s="22">
        <f>IF(I362="","",IF(I362="ENTRADA",ABS(J362),-ABS(J362)))</f>
        <v>-15</v>
      </c>
      <c r="L362" t="s">
        <v>37</v>
      </c>
      <c r="N362">
        <v>65134</v>
      </c>
      <c r="O362" t="s">
        <v>382</v>
      </c>
      <c r="P362">
        <v>1836</v>
      </c>
      <c r="Q362" s="42">
        <v>46218</v>
      </c>
      <c r="R362" s="22" t="str">
        <f>IF(H362="","",H362&amp;I362)</f>
        <v>260414-030SALIDA</v>
      </c>
      <c r="S362" s="22" t="str">
        <f>IF(C362="","",C362&amp;I362)</f>
        <v>Full controlSALIDA</v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618</v>
      </c>
      <c r="B363" s="47">
        <v>46209</v>
      </c>
      <c r="C363" t="s">
        <v>580</v>
      </c>
      <c r="G363" t="s">
        <v>158</v>
      </c>
      <c r="H363" s="20" t="s">
        <v>619</v>
      </c>
      <c r="I363" t="s">
        <v>65</v>
      </c>
      <c r="J363" s="30">
        <v>10</v>
      </c>
      <c r="K363" s="22">
        <f>IF(I363="","",IF(I363="ENTRADA",ABS(J363),-ABS(J363)))</f>
        <v>-10</v>
      </c>
      <c r="L363" t="s">
        <v>37</v>
      </c>
      <c r="M363" s="47">
        <v>47146</v>
      </c>
      <c r="N363">
        <v>65134</v>
      </c>
      <c r="O363" t="s">
        <v>382</v>
      </c>
      <c r="P363">
        <v>1836</v>
      </c>
      <c r="Q363" s="42">
        <v>46218</v>
      </c>
      <c r="R363" s="22" t="str">
        <f>IF(H363="","",H363&amp;I363)</f>
        <v>260702-329SALIDA</v>
      </c>
      <c r="S363" s="22" t="str">
        <f>IF(C363="","",C363&amp;I363)</f>
        <v>Bioavanza plus SALIDA</v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620</v>
      </c>
      <c r="B364" s="47">
        <v>46209</v>
      </c>
      <c r="C364" s="34" t="s">
        <v>32</v>
      </c>
      <c r="D364" s="34" t="s">
        <v>105</v>
      </c>
      <c r="E364" s="34" t="s">
        <v>34</v>
      </c>
      <c r="F364" s="34" t="s">
        <v>35</v>
      </c>
      <c r="G364" s="34"/>
      <c r="H364" s="20" t="s">
        <v>106</v>
      </c>
      <c r="I364" s="34" t="s">
        <v>65</v>
      </c>
      <c r="J364" s="36">
        <v>235</v>
      </c>
      <c r="K364" s="22">
        <f>IF(I364="","",IF(I364="ENTRADA",ABS(J364),-ABS(J364)))</f>
        <v>-235</v>
      </c>
      <c r="L364" s="34" t="s">
        <v>37</v>
      </c>
      <c r="M364" s="34"/>
      <c r="N364">
        <v>65134</v>
      </c>
      <c r="O364" t="s">
        <v>382</v>
      </c>
      <c r="P364">
        <v>1836</v>
      </c>
      <c r="Q364" s="42">
        <v>46218</v>
      </c>
      <c r="R364" s="22" t="str">
        <f>IF(H364="","",H364&amp;I364)</f>
        <v>260401-002SALIDA</v>
      </c>
      <c r="S364" s="22" t="str">
        <f>IF(C364="","",C364&amp;I364)</f>
        <v>KorvettoSALIDA</v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621</v>
      </c>
      <c r="B365" s="47">
        <v>46209</v>
      </c>
      <c r="C365" t="s">
        <v>580</v>
      </c>
      <c r="G365" t="s">
        <v>158</v>
      </c>
      <c r="H365" s="20" t="s">
        <v>619</v>
      </c>
      <c r="I365" t="s">
        <v>65</v>
      </c>
      <c r="J365" s="30">
        <v>2</v>
      </c>
      <c r="K365" s="22">
        <f>IF(I365="","",IF(I365="ENTRADA",ABS(J365),-ABS(J365)))</f>
        <v>-2</v>
      </c>
      <c r="L365" t="s">
        <v>37</v>
      </c>
      <c r="N365">
        <v>65132</v>
      </c>
      <c r="O365" t="s">
        <v>590</v>
      </c>
      <c r="P365">
        <v>1823</v>
      </c>
      <c r="Q365" s="42">
        <v>46209</v>
      </c>
      <c r="R365" s="22" t="str">
        <f>IF(H365="","",H365&amp;I365)</f>
        <v>260702-329SALIDA</v>
      </c>
      <c r="S365" s="22" t="str">
        <f>IF(C365="","",C365&amp;I365)</f>
        <v>Bioavanza plus SALIDA</v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622</v>
      </c>
      <c r="B366" s="47">
        <v>46218</v>
      </c>
      <c r="C366" t="s">
        <v>147</v>
      </c>
      <c r="D366" t="s">
        <v>148</v>
      </c>
      <c r="E366" t="s">
        <v>34</v>
      </c>
      <c r="F366" t="s">
        <v>35</v>
      </c>
      <c r="G366" t="s">
        <v>36</v>
      </c>
      <c r="H366" s="20" t="s">
        <v>563</v>
      </c>
      <c r="I366" t="s">
        <v>65</v>
      </c>
      <c r="J366" s="30">
        <v>60</v>
      </c>
      <c r="K366" s="22">
        <f>IF(I366="","",IF(I366="ENTRADA",ABS(J366),-ABS(J366)))</f>
        <v>-60</v>
      </c>
      <c r="L366" t="s">
        <v>37</v>
      </c>
      <c r="N366">
        <v>65139</v>
      </c>
      <c r="O366" t="s">
        <v>218</v>
      </c>
      <c r="P366">
        <v>1837</v>
      </c>
      <c r="Q366" s="42">
        <v>46219</v>
      </c>
      <c r="R366" s="22" t="str">
        <f>IF(H366="","",H366&amp;I366)</f>
        <v>260415-032SALIDA</v>
      </c>
      <c r="S366" s="22" t="str">
        <f>IF(C366="","",C366&amp;I366)</f>
        <v>AxialSALIDA</v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623</v>
      </c>
      <c r="B367" s="47">
        <v>46218</v>
      </c>
      <c r="C367" t="s">
        <v>75</v>
      </c>
      <c r="D367" t="s">
        <v>76</v>
      </c>
      <c r="E367" t="s">
        <v>34</v>
      </c>
      <c r="F367" t="s">
        <v>35</v>
      </c>
      <c r="G367" t="s">
        <v>77</v>
      </c>
      <c r="H367" s="20" t="s">
        <v>94</v>
      </c>
      <c r="I367" t="s">
        <v>65</v>
      </c>
      <c r="J367" s="30">
        <v>120</v>
      </c>
      <c r="K367" s="22">
        <f>IF(I367="","",IF(I367="ENTRADA",ABS(J367),-ABS(J367)))</f>
        <v>-120</v>
      </c>
      <c r="L367" t="s">
        <v>37</v>
      </c>
      <c r="N367">
        <v>65139</v>
      </c>
      <c r="O367" t="s">
        <v>218</v>
      </c>
      <c r="P367">
        <v>1837</v>
      </c>
      <c r="Q367" s="42">
        <v>46219</v>
      </c>
      <c r="R367" s="22" t="str">
        <f>IF(H367="","",H367&amp;I367)</f>
        <v>260407-012SALIDA</v>
      </c>
      <c r="S367" s="22" t="str">
        <f>IF(C367="","",C367&amp;I367)</f>
        <v>Dedalo eliteSALIDA</v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624</v>
      </c>
      <c r="B368" s="47">
        <v>46218</v>
      </c>
      <c r="C368" t="s">
        <v>130</v>
      </c>
      <c r="D368" t="s">
        <v>131</v>
      </c>
      <c r="E368" t="s">
        <v>132</v>
      </c>
      <c r="G368" t="s">
        <v>133</v>
      </c>
      <c r="H368" s="20" t="s">
        <v>221</v>
      </c>
      <c r="I368" t="s">
        <v>65</v>
      </c>
      <c r="J368" s="30">
        <v>60</v>
      </c>
      <c r="K368" s="22">
        <f>IF(I368="","",IF(I368="ENTRADA",ABS(J368),-ABS(J368)))</f>
        <v>-60</v>
      </c>
      <c r="L368" t="s">
        <v>37</v>
      </c>
      <c r="N368">
        <v>65139</v>
      </c>
      <c r="O368" t="s">
        <v>218</v>
      </c>
      <c r="P368">
        <v>1837</v>
      </c>
      <c r="Q368" s="42">
        <v>46219</v>
      </c>
      <c r="R368" s="22" t="str">
        <f>IF(H368="","",H368&amp;I368)</f>
        <v>260414-029SALIDA</v>
      </c>
      <c r="S368" s="22" t="str">
        <f>IF(C368="","",C368&amp;I368)</f>
        <v>HarrierSALIDA</v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625</v>
      </c>
      <c r="B369" s="47">
        <v>46218</v>
      </c>
      <c r="C369" t="s">
        <v>137</v>
      </c>
      <c r="D369" t="s">
        <v>138</v>
      </c>
      <c r="E369" t="s">
        <v>132</v>
      </c>
      <c r="G369" t="s">
        <v>133</v>
      </c>
      <c r="H369" s="20" t="s">
        <v>211</v>
      </c>
      <c r="I369" t="s">
        <v>65</v>
      </c>
      <c r="J369" s="30">
        <v>12</v>
      </c>
      <c r="K369" s="22">
        <f>IF(I369="","",IF(I369="ENTRADA",ABS(J369),-ABS(J369)))</f>
        <v>-12</v>
      </c>
      <c r="L369" t="s">
        <v>37</v>
      </c>
      <c r="N369">
        <v>65139</v>
      </c>
      <c r="O369" t="s">
        <v>218</v>
      </c>
      <c r="P369">
        <v>1837</v>
      </c>
      <c r="Q369" s="42">
        <v>46219</v>
      </c>
      <c r="R369" s="22" t="str">
        <f>IF(H369="","",H369&amp;I369)</f>
        <v>260414-030SALIDA</v>
      </c>
      <c r="S369" s="22" t="str">
        <f>IF(C369="","",C369&amp;I369)</f>
        <v>Full controlSALIDA</v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626</v>
      </c>
      <c r="B370" s="47">
        <v>46218</v>
      </c>
      <c r="C370" t="s">
        <v>54</v>
      </c>
      <c r="D370" t="s">
        <v>55</v>
      </c>
      <c r="E370" t="s">
        <v>34</v>
      </c>
      <c r="F370" t="s">
        <v>35</v>
      </c>
      <c r="G370" t="s">
        <v>36</v>
      </c>
      <c r="H370" s="20" t="s">
        <v>97</v>
      </c>
      <c r="I370" t="s">
        <v>65</v>
      </c>
      <c r="J370" s="30">
        <v>8</v>
      </c>
      <c r="K370" s="22">
        <f>IF(I370="","",IF(I370="ENTRADA",ABS(J370),-ABS(J370)))</f>
        <v>-8</v>
      </c>
      <c r="L370" t="s">
        <v>56</v>
      </c>
      <c r="N370">
        <v>65139</v>
      </c>
      <c r="O370" t="s">
        <v>218</v>
      </c>
      <c r="P370">
        <v>1837</v>
      </c>
      <c r="Q370" s="42">
        <v>46219</v>
      </c>
      <c r="R370" s="22" t="str">
        <f>IF(H370="","",H370&amp;I370)</f>
        <v>260401-007SALIDA</v>
      </c>
      <c r="S370" s="22" t="str">
        <f>IF(C370="","",C370&amp;I370)</f>
        <v>TronadorSALIDA</v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627</v>
      </c>
      <c r="B371" s="47">
        <v>46219</v>
      </c>
      <c r="C371" t="s">
        <v>491</v>
      </c>
      <c r="D371" t="s">
        <v>492</v>
      </c>
      <c r="E371" t="s">
        <v>493</v>
      </c>
      <c r="G371" t="s">
        <v>36</v>
      </c>
      <c r="H371" s="20" t="s">
        <v>495</v>
      </c>
      <c r="I371" t="s">
        <v>65</v>
      </c>
      <c r="J371" s="30">
        <v>100</v>
      </c>
      <c r="K371" s="22">
        <f>IF(I371="","",IF(I371="ENTRADA",ABS(J371),-ABS(J371)))</f>
        <v>-100</v>
      </c>
      <c r="L371" t="s">
        <v>37</v>
      </c>
      <c r="N371">
        <v>65141</v>
      </c>
      <c r="O371" t="s">
        <v>237</v>
      </c>
      <c r="P371">
        <v>1839</v>
      </c>
      <c r="Q371" s="42">
        <v>46219</v>
      </c>
      <c r="R371" s="22" t="str">
        <f>IF(H371="","",H371&amp;I371)</f>
        <v>260610-265SALIDA</v>
      </c>
      <c r="S371" s="22" t="str">
        <f>IF(C371="","",C371&amp;I371)</f>
        <v>Zinc Plus SALIDA</v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628</v>
      </c>
      <c r="B372" s="47">
        <v>46219</v>
      </c>
      <c r="C372" t="s">
        <v>534</v>
      </c>
      <c r="D372" t="s">
        <v>535</v>
      </c>
      <c r="E372" t="s">
        <v>34</v>
      </c>
      <c r="F372" t="s">
        <v>35</v>
      </c>
      <c r="G372" t="s">
        <v>36</v>
      </c>
      <c r="H372" s="20" t="s">
        <v>560</v>
      </c>
      <c r="I372" t="s">
        <v>65</v>
      </c>
      <c r="J372" s="30">
        <v>3</v>
      </c>
      <c r="K372" s="22">
        <f>IF(I372="","",IF(I372="ENTRADA",ABS(J372),-ABS(J372)))</f>
        <v>-3</v>
      </c>
      <c r="L372" t="s">
        <v>29</v>
      </c>
      <c r="N372">
        <v>65141</v>
      </c>
      <c r="O372" t="s">
        <v>237</v>
      </c>
      <c r="P372">
        <v>1839</v>
      </c>
      <c r="Q372" s="42">
        <v>46219</v>
      </c>
      <c r="R372" s="22" t="str">
        <f>IF(H372="","",H372&amp;I372)</f>
        <v>260623-295SALIDA</v>
      </c>
      <c r="S372" s="22" t="str">
        <f>IF(C372="","",C372&amp;I372)</f>
        <v>ParadigmSALIDA</v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629</v>
      </c>
      <c r="B373" s="47">
        <v>46190</v>
      </c>
      <c r="C373" t="s">
        <v>630</v>
      </c>
      <c r="D373" t="s">
        <v>631</v>
      </c>
      <c r="E373" t="s">
        <v>25</v>
      </c>
      <c r="F373" t="s">
        <v>632</v>
      </c>
      <c r="G373" t="s">
        <v>158</v>
      </c>
      <c r="H373" s="20" t="str">
        <f>+T373</f>
        <v>260617-373</v>
      </c>
      <c r="I373" t="s">
        <v>28</v>
      </c>
      <c r="J373" s="30">
        <v>438</v>
      </c>
      <c r="K373" s="22">
        <f>IF(I373="","",IF(I373="ENTRADA",ABS(J373),-ABS(J373)))</f>
        <v>438</v>
      </c>
      <c r="L373" t="s">
        <v>633</v>
      </c>
      <c r="N373">
        <v>133477</v>
      </c>
      <c r="P373">
        <v>14957</v>
      </c>
      <c r="Q373" s="42">
        <v>46240</v>
      </c>
      <c r="R373" s="22" t="str">
        <f>IF(H373="","",H373&amp;I373)</f>
        <v>260617-373ENTRADA</v>
      </c>
      <c r="S373" s="22" t="str">
        <f>IF(C373="","",C373&amp;I373)</f>
        <v>semilla maiz DK 69-62 TREENTRADA</v>
      </c>
      <c r="T373" t="str">
        <f>IF(OR(C373="",I373&lt;&gt;"ENTRADA"),"",TEXT(B373,"AAMMDD")&amp;"-"&amp;TEXT(VALUE(SUBSTITUTE(A373,"MOV-","")),"000"))</f>
        <v>260617-373</v>
      </c>
    </row>
    <row r="374" spans="1:20">
      <c r="A374" s="20" t="s">
        <v>634</v>
      </c>
      <c r="B374" s="47">
        <v>46190</v>
      </c>
      <c r="C374" t="s">
        <v>635</v>
      </c>
      <c r="D374" t="s">
        <v>631</v>
      </c>
      <c r="E374" t="s">
        <v>25</v>
      </c>
      <c r="F374" t="s">
        <v>632</v>
      </c>
      <c r="G374" t="s">
        <v>158</v>
      </c>
      <c r="H374" s="20" t="str">
        <f>+T374</f>
        <v>260617-374</v>
      </c>
      <c r="I374" t="s">
        <v>28</v>
      </c>
      <c r="J374" s="30">
        <v>66</v>
      </c>
      <c r="K374" s="22">
        <f>IF(I374="","",IF(I374="ENTRADA",ABS(J374),-ABS(J374)))</f>
        <v>66</v>
      </c>
      <c r="L374" t="s">
        <v>633</v>
      </c>
      <c r="N374">
        <v>133477</v>
      </c>
      <c r="P374">
        <v>14957</v>
      </c>
      <c r="Q374" s="42">
        <v>46240</v>
      </c>
      <c r="R374" s="22" t="str">
        <f>IF(H374="","",H374&amp;I374)</f>
        <v>260617-374ENTRADA</v>
      </c>
      <c r="S374" s="22" t="str">
        <f>IF(C374="","",C374&amp;I374)</f>
        <v>semilla maiz DK 72-10 RR2C5 refugioENTRADA</v>
      </c>
      <c r="T374" t="str">
        <f>IF(OR(C374="",I374&lt;&gt;"ENTRADA"),"",TEXT(B374,"AAMMDD")&amp;"-"&amp;TEXT(VALUE(SUBSTITUTE(A374,"MOV-","")),"000"))</f>
        <v>260617-374</v>
      </c>
    </row>
    <row r="375" spans="1:20">
      <c r="A375" s="20" t="s">
        <v>636</v>
      </c>
      <c r="B375" s="47">
        <v>46190</v>
      </c>
      <c r="C375" s="34" t="s">
        <v>637</v>
      </c>
      <c r="D375" s="34" t="s">
        <v>631</v>
      </c>
      <c r="E375" s="34" t="s">
        <v>25</v>
      </c>
      <c r="F375" s="34" t="s">
        <v>632</v>
      </c>
      <c r="G375" s="34" t="s">
        <v>158</v>
      </c>
      <c r="H375" s="20" t="str">
        <f>+T375</f>
        <v>260617-375</v>
      </c>
      <c r="I375" s="34" t="s">
        <v>28</v>
      </c>
      <c r="J375" s="36">
        <v>196</v>
      </c>
      <c r="K375" s="22">
        <f>IF(I375="","",IF(I375="ENTRADA",ABS(J375),-ABS(J375)))</f>
        <v>196</v>
      </c>
      <c r="L375" s="34" t="s">
        <v>633</v>
      </c>
      <c r="M375" s="34"/>
      <c r="N375">
        <v>133477</v>
      </c>
      <c r="O375" s="34"/>
      <c r="P375">
        <v>14957</v>
      </c>
      <c r="Q375" s="42">
        <v>46240</v>
      </c>
      <c r="R375" s="22" t="str">
        <f>IF(H375="","",H375&amp;I375)</f>
        <v>260617-375ENTRADA</v>
      </c>
      <c r="S375" s="22" t="str">
        <f>IF(C375="","",C375&amp;I375)</f>
        <v>semilla maiz DK 73-03 TREENTRADA</v>
      </c>
      <c r="T375" t="str">
        <f>IF(OR(C375="",I375&lt;&gt;"ENTRADA"),"",TEXT(B375,"AAMMDD")&amp;"-"&amp;TEXT(VALUE(SUBSTITUTE(A375,"MOV-","")),"000"))</f>
        <v>260617-375</v>
      </c>
    </row>
    <row r="376" spans="1:20">
      <c r="A376" s="20" t="s">
        <v>638</v>
      </c>
      <c r="B376" s="47">
        <v>46224</v>
      </c>
      <c r="C376" t="s">
        <v>130</v>
      </c>
      <c r="D376" t="s">
        <v>131</v>
      </c>
      <c r="E376" t="s">
        <v>132</v>
      </c>
      <c r="G376" t="s">
        <v>133</v>
      </c>
      <c r="H376" s="20" t="s">
        <v>221</v>
      </c>
      <c r="I376" t="s">
        <v>65</v>
      </c>
      <c r="J376" s="30">
        <v>80</v>
      </c>
      <c r="K376" s="22">
        <f>IF(I376="","",IF(I376="ENTRADA",ABS(J376),-ABS(J376)))</f>
        <v>-80</v>
      </c>
      <c r="L376" t="s">
        <v>37</v>
      </c>
      <c r="N376">
        <v>65142</v>
      </c>
      <c r="O376" t="s">
        <v>237</v>
      </c>
      <c r="P376">
        <v>1843</v>
      </c>
      <c r="Q376" s="42">
        <v>46224</v>
      </c>
      <c r="R376" s="22" t="str">
        <f>IF(H376="","",H376&amp;I376)</f>
        <v>260414-029SALIDA</v>
      </c>
      <c r="S376" s="22" t="str">
        <f>IF(C376="","",C376&amp;I376)</f>
        <v>HarrierSALIDA</v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639</v>
      </c>
      <c r="B377" s="47">
        <v>46224</v>
      </c>
      <c r="C377" t="s">
        <v>137</v>
      </c>
      <c r="D377" t="s">
        <v>138</v>
      </c>
      <c r="E377" t="s">
        <v>132</v>
      </c>
      <c r="G377" t="s">
        <v>133</v>
      </c>
      <c r="H377" s="20" t="s">
        <v>211</v>
      </c>
      <c r="I377" t="s">
        <v>65</v>
      </c>
      <c r="J377" s="30">
        <v>15</v>
      </c>
      <c r="K377" s="22">
        <f>IF(I377="","",IF(I377="ENTRADA",ABS(J377),-ABS(J377)))</f>
        <v>-15</v>
      </c>
      <c r="L377" t="s">
        <v>37</v>
      </c>
      <c r="N377">
        <v>65142</v>
      </c>
      <c r="O377" t="s">
        <v>237</v>
      </c>
      <c r="P377">
        <v>1843</v>
      </c>
      <c r="Q377" s="42">
        <v>46224</v>
      </c>
      <c r="R377" s="22" t="str">
        <f>IF(H377="","",H377&amp;I377)</f>
        <v>260414-030SALIDA</v>
      </c>
      <c r="S377" s="22" t="str">
        <f>IF(C377="","",C377&amp;I377)</f>
        <v>Full controlSALIDA</v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640</v>
      </c>
      <c r="B378" s="47">
        <v>46227</v>
      </c>
      <c r="C378" t="s">
        <v>514</v>
      </c>
      <c r="D378" t="s">
        <v>515</v>
      </c>
      <c r="E378" t="s">
        <v>516</v>
      </c>
      <c r="G378" t="s">
        <v>117</v>
      </c>
      <c r="H378" s="20" t="s">
        <v>587</v>
      </c>
      <c r="I378" t="s">
        <v>65</v>
      </c>
      <c r="J378" s="30">
        <v>1500</v>
      </c>
      <c r="K378" s="22">
        <f>IF(I378="","",IF(I378="ENTRADA",ABS(J378),-ABS(J378)))</f>
        <v>-1500</v>
      </c>
      <c r="L378" t="s">
        <v>37</v>
      </c>
      <c r="N378">
        <v>65144</v>
      </c>
      <c r="O378" t="s">
        <v>213</v>
      </c>
      <c r="P378">
        <v>1855</v>
      </c>
      <c r="Q378" s="42">
        <v>46200</v>
      </c>
      <c r="R378" s="22" t="str">
        <f>IF(H378="","",H378&amp;I378)</f>
        <v>260618-283SALIDA</v>
      </c>
      <c r="S378" s="22" t="str">
        <f>IF(C378="","",C378&amp;I378)</f>
        <v>Unico MaxSALIDA</v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641</v>
      </c>
      <c r="B379" s="47">
        <v>46227</v>
      </c>
      <c r="C379" t="s">
        <v>491</v>
      </c>
      <c r="D379" t="s">
        <v>492</v>
      </c>
      <c r="E379" t="s">
        <v>493</v>
      </c>
      <c r="G379" t="s">
        <v>36</v>
      </c>
      <c r="H379" s="20" t="s">
        <v>495</v>
      </c>
      <c r="I379" t="s">
        <v>65</v>
      </c>
      <c r="J379" s="30">
        <v>1000</v>
      </c>
      <c r="K379" s="22">
        <f>IF(I379="","",IF(I379="ENTRADA",ABS(J379),-ABS(J379)))</f>
        <v>-1000</v>
      </c>
      <c r="L379" t="s">
        <v>37</v>
      </c>
      <c r="N379">
        <v>65144</v>
      </c>
      <c r="O379" t="s">
        <v>213</v>
      </c>
      <c r="P379">
        <v>1855</v>
      </c>
      <c r="Q379" s="42">
        <v>46200</v>
      </c>
      <c r="R379" s="22" t="str">
        <f>IF(H379="","",H379&amp;I379)</f>
        <v>260610-265SALIDA</v>
      </c>
      <c r="S379" s="22" t="str">
        <f>IF(C379="","",C379&amp;I379)</f>
        <v>Zinc Plus SALIDA</v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642</v>
      </c>
      <c r="B380" s="47">
        <v>46230</v>
      </c>
      <c r="C380" t="s">
        <v>122</v>
      </c>
      <c r="D380" t="s">
        <v>123</v>
      </c>
      <c r="E380" t="s">
        <v>34</v>
      </c>
      <c r="F380" t="s">
        <v>35</v>
      </c>
      <c r="G380" t="s">
        <v>117</v>
      </c>
      <c r="H380" s="20" t="str">
        <f>+T380</f>
        <v>260727-380</v>
      </c>
      <c r="I380" t="s">
        <v>28</v>
      </c>
      <c r="J380" s="30">
        <v>1280</v>
      </c>
      <c r="K380" s="22">
        <f>IF(I380="","",IF(I380="ENTRADA",ABS(J380),-ABS(J380)))</f>
        <v>1280</v>
      </c>
      <c r="L380" t="s">
        <v>37</v>
      </c>
      <c r="M380" s="47">
        <v>46813</v>
      </c>
      <c r="N380">
        <v>50210</v>
      </c>
      <c r="P380">
        <v>14931</v>
      </c>
      <c r="Q380" s="42">
        <v>46232</v>
      </c>
      <c r="R380" s="22" t="str">
        <f>IF(H380="","",H380&amp;I380)</f>
        <v>260727-380ENTRADA</v>
      </c>
      <c r="S380" s="22" t="str">
        <f>IF(C380="","",C380&amp;I380)</f>
        <v>PardoENTRADA</v>
      </c>
      <c r="T380" t="str">
        <f>IF(OR(C380="",I380&lt;&gt;"ENTRADA"),"",TEXT(B380,"AAMMDD")&amp;"-"&amp;TEXT(VALUE(SUBSTITUTE(A380,"MOV-","")),"000"))</f>
        <v>260727-380</v>
      </c>
    </row>
    <row r="381" spans="1:20">
      <c r="A381" s="20" t="s">
        <v>643</v>
      </c>
      <c r="B381" s="47">
        <v>46230</v>
      </c>
      <c r="C381" t="s">
        <v>115</v>
      </c>
      <c r="D381" t="s">
        <v>116</v>
      </c>
      <c r="E381" t="s">
        <v>34</v>
      </c>
      <c r="F381" t="s">
        <v>35</v>
      </c>
      <c r="G381" t="s">
        <v>117</v>
      </c>
      <c r="H381" s="20" t="str">
        <f>+T381</f>
        <v>260727-381</v>
      </c>
      <c r="I381" t="s">
        <v>28</v>
      </c>
      <c r="J381" s="30">
        <v>20400</v>
      </c>
      <c r="K381" s="22">
        <f>IF(I381="","",IF(I381="ENTRADA",ABS(J381),-ABS(J381)))</f>
        <v>20400</v>
      </c>
      <c r="L381" t="s">
        <v>37</v>
      </c>
      <c r="M381" s="47">
        <v>46863</v>
      </c>
      <c r="N381">
        <v>50209</v>
      </c>
      <c r="P381">
        <v>14932</v>
      </c>
      <c r="Q381" s="42">
        <v>46232</v>
      </c>
      <c r="R381" s="22" t="str">
        <f>IF(H381="","",H381&amp;I381)</f>
        <v>260727-381ENTRADA</v>
      </c>
      <c r="S381" s="22" t="str">
        <f>IF(C381="","",C381&amp;I381)</f>
        <v>AzukaENTRADA</v>
      </c>
      <c r="T381" t="str">
        <f>IF(OR(C381="",I381&lt;&gt;"ENTRADA"),"",TEXT(B381,"AAMMDD")&amp;"-"&amp;TEXT(VALUE(SUBSTITUTE(A381,"MOV-","")),"000"))</f>
        <v>260727-381</v>
      </c>
    </row>
    <row r="382" spans="1:20">
      <c r="A382" s="20" t="s">
        <v>644</v>
      </c>
      <c r="B382" s="47">
        <v>46230</v>
      </c>
      <c r="C382" t="s">
        <v>491</v>
      </c>
      <c r="D382" t="s">
        <v>492</v>
      </c>
      <c r="E382" t="s">
        <v>493</v>
      </c>
      <c r="G382" t="s">
        <v>36</v>
      </c>
      <c r="H382" s="20" t="s">
        <v>495</v>
      </c>
      <c r="I382" t="s">
        <v>65</v>
      </c>
      <c r="J382" s="30">
        <v>800</v>
      </c>
      <c r="K382" s="22">
        <f>IF(I382="","",IF(I382="ENTRADA",ABS(J382),-ABS(J382)))</f>
        <v>-800</v>
      </c>
      <c r="L382" t="s">
        <v>37</v>
      </c>
      <c r="N382">
        <v>65145</v>
      </c>
      <c r="O382" t="s">
        <v>387</v>
      </c>
      <c r="P382">
        <v>1861</v>
      </c>
      <c r="Q382" s="42">
        <v>46232</v>
      </c>
      <c r="R382" s="22" t="str">
        <f>IF(H382="","",H382&amp;I382)</f>
        <v>260610-265SALIDA</v>
      </c>
      <c r="S382" s="22" t="str">
        <f>IF(C382="","",C382&amp;I382)</f>
        <v>Zinc Plus SALIDA</v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645</v>
      </c>
      <c r="B383" s="47">
        <v>46227</v>
      </c>
      <c r="C383" t="s">
        <v>514</v>
      </c>
      <c r="D383" t="s">
        <v>515</v>
      </c>
      <c r="E383" t="s">
        <v>516</v>
      </c>
      <c r="G383" t="s">
        <v>117</v>
      </c>
      <c r="H383" s="20" t="s">
        <v>587</v>
      </c>
      <c r="I383" t="s">
        <v>65</v>
      </c>
      <c r="J383" s="30">
        <v>340</v>
      </c>
      <c r="K383" s="22">
        <f>IF(I383="","",IF(I383="ENTRADA",ABS(J383),-ABS(J383)))</f>
        <v>-340</v>
      </c>
      <c r="L383" t="s">
        <v>37</v>
      </c>
      <c r="N383">
        <v>65143</v>
      </c>
      <c r="O383" t="s">
        <v>218</v>
      </c>
      <c r="P383">
        <v>1862</v>
      </c>
      <c r="Q383" s="42">
        <v>46232</v>
      </c>
      <c r="R383" s="22" t="str">
        <f>IF(H383="","",H383&amp;I383)</f>
        <v>260618-283SALIDA</v>
      </c>
      <c r="S383" s="22" t="str">
        <f>IF(C383="","",C383&amp;I383)</f>
        <v>Unico MaxSALIDA</v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646</v>
      </c>
      <c r="B384" s="47">
        <v>46227</v>
      </c>
      <c r="C384" t="s">
        <v>491</v>
      </c>
      <c r="D384" t="s">
        <v>492</v>
      </c>
      <c r="E384" t="s">
        <v>493</v>
      </c>
      <c r="G384" t="s">
        <v>36</v>
      </c>
      <c r="H384" s="20" t="s">
        <v>495</v>
      </c>
      <c r="I384" t="s">
        <v>65</v>
      </c>
      <c r="J384" s="30">
        <v>1100</v>
      </c>
      <c r="K384" s="22">
        <f>IF(I384="","",IF(I384="ENTRADA",ABS(J384),-ABS(J384)))</f>
        <v>-1100</v>
      </c>
      <c r="L384" t="s">
        <v>37</v>
      </c>
      <c r="N384">
        <v>65143</v>
      </c>
      <c r="O384" t="s">
        <v>218</v>
      </c>
      <c r="P384">
        <v>1862</v>
      </c>
      <c r="Q384" s="42">
        <v>46232</v>
      </c>
      <c r="R384" s="22" t="str">
        <f>IF(H384="","",H384&amp;I384)</f>
        <v>260610-265SALIDA</v>
      </c>
      <c r="S384" s="22" t="str">
        <f>IF(C384="","",C384&amp;I384)</f>
        <v>Zinc Plus SALIDA</v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647</v>
      </c>
      <c r="B385" s="47">
        <v>46232</v>
      </c>
      <c r="C385" t="s">
        <v>514</v>
      </c>
      <c r="D385" t="s">
        <v>515</v>
      </c>
      <c r="E385" t="s">
        <v>516</v>
      </c>
      <c r="G385" t="s">
        <v>117</v>
      </c>
      <c r="H385" s="20" t="s">
        <v>587</v>
      </c>
      <c r="I385" t="s">
        <v>65</v>
      </c>
      <c r="J385" s="30">
        <v>1000</v>
      </c>
      <c r="K385" s="22">
        <f>IF(I385="","",IF(I385="ENTRADA",ABS(J385),-ABS(J385)))</f>
        <v>-1000</v>
      </c>
      <c r="L385" t="s">
        <v>37</v>
      </c>
      <c r="N385">
        <v>65146</v>
      </c>
      <c r="O385" t="s">
        <v>309</v>
      </c>
      <c r="P385">
        <v>1868</v>
      </c>
      <c r="Q385" s="42">
        <v>46239</v>
      </c>
      <c r="R385" s="22" t="str">
        <f>IF(H385="","",H385&amp;I385)</f>
        <v>260618-283SALIDA</v>
      </c>
      <c r="S385" s="22" t="str">
        <f>IF(C385="","",C385&amp;I385)</f>
        <v>Unico MaxSALIDA</v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648</v>
      </c>
      <c r="B386" s="47">
        <v>46232</v>
      </c>
      <c r="C386" s="34" t="s">
        <v>524</v>
      </c>
      <c r="D386" t="s">
        <v>525</v>
      </c>
      <c r="E386" s="34" t="s">
        <v>516</v>
      </c>
      <c r="F386" s="34"/>
      <c r="G386" s="34" t="s">
        <v>158</v>
      </c>
      <c r="H386" s="20" t="s">
        <v>553</v>
      </c>
      <c r="I386" s="34" t="s">
        <v>65</v>
      </c>
      <c r="J386" s="36">
        <v>360</v>
      </c>
      <c r="K386" s="22">
        <f>IF(I386="","",IF(I386="ENTRADA",ABS(J386),-ABS(J386)))</f>
        <v>-360</v>
      </c>
      <c r="L386" s="34" t="s">
        <v>37</v>
      </c>
      <c r="M386" s="34"/>
      <c r="N386">
        <v>65146</v>
      </c>
      <c r="O386" t="s">
        <v>309</v>
      </c>
      <c r="P386">
        <v>1868</v>
      </c>
      <c r="Q386" s="42">
        <v>46239</v>
      </c>
      <c r="R386" s="22" t="str">
        <f>IF(H386="","",H386&amp;I386)</f>
        <v>260623-289SALIDA</v>
      </c>
      <c r="S386" s="22" t="str">
        <f>IF(C386="","",C386&amp;I386)</f>
        <v>cripton xpro SALIDA</v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649</v>
      </c>
      <c r="B387" s="47">
        <v>46232</v>
      </c>
      <c r="C387" t="s">
        <v>130</v>
      </c>
      <c r="D387" t="s">
        <v>131</v>
      </c>
      <c r="E387" t="s">
        <v>132</v>
      </c>
      <c r="G387" t="s">
        <v>133</v>
      </c>
      <c r="H387" s="20" t="s">
        <v>221</v>
      </c>
      <c r="I387" t="s">
        <v>65</v>
      </c>
      <c r="J387" s="30">
        <v>300</v>
      </c>
      <c r="K387" s="22">
        <f>IF(I387="","",IF(I387="ENTRADA",ABS(J387),-ABS(J387)))</f>
        <v>-300</v>
      </c>
      <c r="L387" t="s">
        <v>37</v>
      </c>
      <c r="N387">
        <v>65146</v>
      </c>
      <c r="O387" t="s">
        <v>309</v>
      </c>
      <c r="P387">
        <v>1868</v>
      </c>
      <c r="Q387" s="42">
        <v>46239</v>
      </c>
      <c r="R387" s="22" t="str">
        <f>IF(H387="","",H387&amp;I387)</f>
        <v>260414-029SALIDA</v>
      </c>
      <c r="S387" s="22" t="str">
        <f>IF(C387="","",C387&amp;I387)</f>
        <v>HarrierSALIDA</v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650</v>
      </c>
      <c r="B388" s="47">
        <v>46232</v>
      </c>
      <c r="C388" t="s">
        <v>137</v>
      </c>
      <c r="D388" t="s">
        <v>138</v>
      </c>
      <c r="E388" t="s">
        <v>132</v>
      </c>
      <c r="G388" t="s">
        <v>133</v>
      </c>
      <c r="H388" s="20" t="s">
        <v>211</v>
      </c>
      <c r="I388" t="s">
        <v>65</v>
      </c>
      <c r="J388" s="30">
        <v>30</v>
      </c>
      <c r="K388" s="22">
        <f>IF(I388="","",IF(I388="ENTRADA",ABS(J388),-ABS(J388)))</f>
        <v>-30</v>
      </c>
      <c r="L388" t="s">
        <v>37</v>
      </c>
      <c r="N388">
        <v>65146</v>
      </c>
      <c r="O388" t="s">
        <v>309</v>
      </c>
      <c r="P388">
        <v>1868</v>
      </c>
      <c r="Q388" s="42">
        <v>46239</v>
      </c>
      <c r="R388" s="22" t="str">
        <f>IF(H388="","",H388&amp;I388)</f>
        <v>260414-030SALIDA</v>
      </c>
      <c r="S388" s="22" t="str">
        <f>IF(C388="","",C388&amp;I388)</f>
        <v>Full controlSALIDA</v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651</v>
      </c>
      <c r="B389" s="47">
        <v>46232</v>
      </c>
      <c r="C389" t="s">
        <v>54</v>
      </c>
      <c r="D389" t="s">
        <v>55</v>
      </c>
      <c r="E389" t="s">
        <v>34</v>
      </c>
      <c r="F389" t="s">
        <v>35</v>
      </c>
      <c r="G389" t="s">
        <v>36</v>
      </c>
      <c r="H389" s="20" t="str">
        <f>+T389</f>
        <v>260729-389</v>
      </c>
      <c r="I389" t="s">
        <v>28</v>
      </c>
      <c r="J389" s="30">
        <v>10</v>
      </c>
      <c r="K389" s="22">
        <f>IF(I389="","",IF(I389="ENTRADA",ABS(J389),-ABS(J389)))</f>
        <v>10</v>
      </c>
      <c r="L389" t="s">
        <v>652</v>
      </c>
      <c r="N389">
        <v>13327</v>
      </c>
      <c r="P389">
        <v>14955</v>
      </c>
      <c r="Q389" s="42">
        <v>46240</v>
      </c>
      <c r="R389" s="22" t="str">
        <f>IF(H389="","",H389&amp;I389)</f>
        <v>260729-389ENTRADA</v>
      </c>
      <c r="S389" s="22" t="str">
        <f>IF(C389="","",C389&amp;I389)</f>
        <v>TronadorENTRADA</v>
      </c>
      <c r="T389" t="str">
        <f>IF(OR(C389="",I389&lt;&gt;"ENTRADA"),"",TEXT(B389,"AAMMDD")&amp;"-"&amp;TEXT(VALUE(SUBSTITUTE(A389,"MOV-","")),"000"))</f>
        <v>260729-389</v>
      </c>
    </row>
    <row r="390" spans="1:20">
      <c r="A390" s="20" t="s">
        <v>653</v>
      </c>
      <c r="B390" s="47">
        <v>46232</v>
      </c>
      <c r="C390" t="s">
        <v>491</v>
      </c>
      <c r="D390" t="s">
        <v>492</v>
      </c>
      <c r="E390" t="s">
        <v>493</v>
      </c>
      <c r="G390" t="s">
        <v>36</v>
      </c>
      <c r="H390" s="20" t="s">
        <v>495</v>
      </c>
      <c r="I390" t="s">
        <v>65</v>
      </c>
      <c r="J390" s="30">
        <v>1920</v>
      </c>
      <c r="K390" s="22">
        <f>IF(I390="","",IF(I390="ENTRADA",ABS(J390),-ABS(J390)))</f>
        <v>-1920</v>
      </c>
      <c r="L390" t="s">
        <v>37</v>
      </c>
      <c r="N390">
        <v>65147</v>
      </c>
      <c r="O390" t="s">
        <v>213</v>
      </c>
      <c r="P390">
        <v>1869</v>
      </c>
      <c r="Q390" s="42">
        <v>46239</v>
      </c>
      <c r="R390" s="22" t="str">
        <f>IF(H390="","",H390&amp;I390)</f>
        <v>260610-265SALIDA</v>
      </c>
      <c r="S390" s="22" t="str">
        <f>IF(C390="","",C390&amp;I390)</f>
        <v>Zinc Plus SALIDA</v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654</v>
      </c>
      <c r="B391" s="47">
        <v>46232</v>
      </c>
      <c r="C391" t="s">
        <v>130</v>
      </c>
      <c r="D391" t="s">
        <v>131</v>
      </c>
      <c r="E391" t="s">
        <v>132</v>
      </c>
      <c r="G391" t="s">
        <v>133</v>
      </c>
      <c r="H391" s="20" t="s">
        <v>221</v>
      </c>
      <c r="I391" t="s">
        <v>65</v>
      </c>
      <c r="J391" s="30">
        <v>150</v>
      </c>
      <c r="K391" s="22">
        <f>IF(I391="","",IF(I391="ENTRADA",ABS(J391),-ABS(J391)))</f>
        <v>-150</v>
      </c>
      <c r="L391" t="s">
        <v>37</v>
      </c>
      <c r="N391">
        <v>65148</v>
      </c>
      <c r="O391" t="s">
        <v>213</v>
      </c>
      <c r="P391">
        <v>1869</v>
      </c>
      <c r="Q391" s="42">
        <v>46239</v>
      </c>
      <c r="R391" s="22" t="str">
        <f>IF(H391="","",H391&amp;I391)</f>
        <v>260414-029SALIDA</v>
      </c>
      <c r="S391" s="22" t="str">
        <f>IF(C391="","",C391&amp;I391)</f>
        <v>HarrierSALIDA</v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655</v>
      </c>
      <c r="B392" s="47">
        <v>46232</v>
      </c>
      <c r="C392" t="s">
        <v>524</v>
      </c>
      <c r="D392" t="s">
        <v>525</v>
      </c>
      <c r="E392" t="s">
        <v>516</v>
      </c>
      <c r="G392" t="s">
        <v>77</v>
      </c>
      <c r="H392" s="20" t="s">
        <v>553</v>
      </c>
      <c r="I392" t="s">
        <v>65</v>
      </c>
      <c r="J392" s="30">
        <v>400</v>
      </c>
      <c r="K392" s="22">
        <f>IF(I392="","",IF(I392="ENTRADA",ABS(J392),-ABS(J392)))</f>
        <v>-400</v>
      </c>
      <c r="L392" t="s">
        <v>37</v>
      </c>
      <c r="N392">
        <v>65148</v>
      </c>
      <c r="O392" t="s">
        <v>213</v>
      </c>
      <c r="P392">
        <v>1869</v>
      </c>
      <c r="Q392" s="42">
        <v>46239</v>
      </c>
      <c r="R392" s="22" t="str">
        <f>IF(H392="","",H392&amp;I392)</f>
        <v>260623-289SALIDA</v>
      </c>
      <c r="S392" s="22" t="str">
        <f>IF(C392="","",C392&amp;I392)</f>
        <v>cripton xpro SALIDA</v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656</v>
      </c>
      <c r="B393" s="47">
        <v>46232</v>
      </c>
      <c r="C393" t="s">
        <v>657</v>
      </c>
      <c r="D393" t="s">
        <v>658</v>
      </c>
      <c r="E393" t="s">
        <v>132</v>
      </c>
      <c r="G393" t="s">
        <v>133</v>
      </c>
      <c r="H393" s="20" t="str">
        <f>+T393</f>
        <v>260729-393</v>
      </c>
      <c r="I393" t="s">
        <v>28</v>
      </c>
      <c r="J393" s="30">
        <v>500</v>
      </c>
      <c r="K393" s="22">
        <f>IF(I393="","",IF(I393="ENTRADA",ABS(J393),-ABS(J393)))</f>
        <v>500</v>
      </c>
      <c r="L393" t="s">
        <v>37</v>
      </c>
      <c r="N393">
        <v>411</v>
      </c>
      <c r="P393">
        <v>14956</v>
      </c>
      <c r="Q393" s="42">
        <v>46240</v>
      </c>
      <c r="R393" s="22" t="str">
        <f>IF(H393="","",H393&amp;I393)</f>
        <v>260729-393ENTRADA</v>
      </c>
      <c r="S393" s="22" t="str">
        <f>IF(C393="","",C393&amp;I393)</f>
        <v>Harrier Drone ENTRADA</v>
      </c>
      <c r="T393" t="str">
        <f>IF(OR(C393="",I393&lt;&gt;"ENTRADA"),"",TEXT(B393,"AAMMDD")&amp;"-"&amp;TEXT(VALUE(SUBSTITUTE(A393,"MOV-","")),"000"))</f>
        <v>260729-393</v>
      </c>
    </row>
    <row r="394" spans="1:20">
      <c r="A394" s="20" t="s">
        <v>659</v>
      </c>
      <c r="B394" s="47">
        <v>46232</v>
      </c>
      <c r="C394" t="s">
        <v>657</v>
      </c>
      <c r="D394" t="s">
        <v>658</v>
      </c>
      <c r="E394" t="s">
        <v>132</v>
      </c>
      <c r="G394" t="s">
        <v>133</v>
      </c>
      <c r="H394" s="20" t="s">
        <v>660</v>
      </c>
      <c r="I394" t="s">
        <v>65</v>
      </c>
      <c r="J394" s="30">
        <v>20</v>
      </c>
      <c r="K394" s="22">
        <f>IF(I394="","",IF(I394="ENTRADA",ABS(J394),-ABS(J394)))</f>
        <v>-20</v>
      </c>
      <c r="L394" t="s">
        <v>37</v>
      </c>
      <c r="N394">
        <v>65150</v>
      </c>
      <c r="O394" t="s">
        <v>66</v>
      </c>
      <c r="P394">
        <v>1871</v>
      </c>
      <c r="Q394" s="42">
        <v>46241</v>
      </c>
      <c r="R394" s="22" t="str">
        <f>IF(H394="","",H394&amp;I394)</f>
        <v>260729-393SALIDA</v>
      </c>
      <c r="S394" s="22" t="str">
        <f>IF(C394="","",C394&amp;I394)</f>
        <v>Harrier Drone SALIDA</v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661</v>
      </c>
      <c r="B395" s="47">
        <v>46232</v>
      </c>
      <c r="C395" t="s">
        <v>54</v>
      </c>
      <c r="D395" t="s">
        <v>55</v>
      </c>
      <c r="E395" t="s">
        <v>34</v>
      </c>
      <c r="F395" t="s">
        <v>35</v>
      </c>
      <c r="G395" t="s">
        <v>36</v>
      </c>
      <c r="H395" s="20" t="s">
        <v>662</v>
      </c>
      <c r="I395" t="s">
        <v>65</v>
      </c>
      <c r="J395" s="30">
        <v>10</v>
      </c>
      <c r="K395" s="22">
        <f>IF(I395="","",IF(I395="ENTRADA",ABS(J395),-ABS(J395)))</f>
        <v>-10</v>
      </c>
      <c r="L395" t="s">
        <v>37</v>
      </c>
      <c r="N395">
        <v>65150</v>
      </c>
      <c r="O395" t="s">
        <v>66</v>
      </c>
      <c r="P395">
        <v>1871</v>
      </c>
      <c r="Q395" s="42">
        <v>46241</v>
      </c>
      <c r="R395" s="22" t="str">
        <f>IF(H395="","",H395&amp;I395)</f>
        <v>260729-389SALIDA</v>
      </c>
      <c r="S395" s="22" t="str">
        <f>IF(C395="","",C395&amp;I395)</f>
        <v>TronadorSALIDA</v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663</v>
      </c>
      <c r="B396" s="47">
        <v>46233</v>
      </c>
      <c r="C396" t="s">
        <v>514</v>
      </c>
      <c r="D396" t="s">
        <v>515</v>
      </c>
      <c r="E396" t="s">
        <v>516</v>
      </c>
      <c r="G396" t="s">
        <v>117</v>
      </c>
      <c r="H396" s="20" t="str">
        <f>+T396</f>
        <v>260730-396</v>
      </c>
      <c r="I396" t="s">
        <v>28</v>
      </c>
      <c r="J396" s="30">
        <v>2000</v>
      </c>
      <c r="K396" s="22">
        <f>IF(I396="","",IF(I396="ENTRADA",ABS(J396),-ABS(J396)))</f>
        <v>2000</v>
      </c>
      <c r="L396" t="s">
        <v>37</v>
      </c>
      <c r="N396">
        <v>50309</v>
      </c>
      <c r="P396">
        <v>19954</v>
      </c>
      <c r="Q396" s="42">
        <v>46240</v>
      </c>
      <c r="R396" s="22" t="str">
        <f>IF(H396="","",H396&amp;I396)</f>
        <v>260730-396ENTRADA</v>
      </c>
      <c r="S396" s="22" t="str">
        <f>IF(C396="","",C396&amp;I396)</f>
        <v>Unico MaxENTRADA</v>
      </c>
      <c r="T396" t="str">
        <f>IF(OR(C396="",I396&lt;&gt;"ENTRADA"),"",TEXT(B396,"AAMMDD")&amp;"-"&amp;TEXT(VALUE(SUBSTITUTE(A396,"MOV-","")),"000"))</f>
        <v>260730-396</v>
      </c>
    </row>
    <row r="397" spans="1:20">
      <c r="A397" s="20" t="s">
        <v>664</v>
      </c>
      <c r="B397" s="47">
        <v>46233</v>
      </c>
      <c r="C397" s="34" t="s">
        <v>514</v>
      </c>
      <c r="D397" s="34" t="s">
        <v>515</v>
      </c>
      <c r="E397" s="34" t="s">
        <v>516</v>
      </c>
      <c r="F397" s="34"/>
      <c r="G397" s="34" t="s">
        <v>117</v>
      </c>
      <c r="H397" s="20" t="s">
        <v>665</v>
      </c>
      <c r="I397" s="34" t="s">
        <v>65</v>
      </c>
      <c r="J397" s="30">
        <v>150</v>
      </c>
      <c r="K397" s="22">
        <f>IF(I397="","",IF(I397="ENTRADA",ABS(J397),-ABS(J397)))</f>
        <v>-150</v>
      </c>
      <c r="L397" s="34" t="s">
        <v>37</v>
      </c>
      <c r="M397" s="34"/>
      <c r="N397">
        <v>65149</v>
      </c>
      <c r="O397" s="34" t="s">
        <v>387</v>
      </c>
      <c r="P397">
        <v>1872</v>
      </c>
      <c r="Q397" s="42">
        <v>46241</v>
      </c>
      <c r="R397" s="22" t="str">
        <f>IF(H397="","",H397&amp;I397)</f>
        <v>260730-396SALIDA</v>
      </c>
      <c r="S397" s="22" t="str">
        <f>IF(C397="","",C397&amp;I397)</f>
        <v>Unico MaxSALIDA</v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666</v>
      </c>
      <c r="B398" s="47">
        <v>46233</v>
      </c>
      <c r="C398" t="s">
        <v>491</v>
      </c>
      <c r="D398" t="s">
        <v>492</v>
      </c>
      <c r="E398" t="s">
        <v>493</v>
      </c>
      <c r="G398" t="s">
        <v>36</v>
      </c>
      <c r="H398" s="20" t="s">
        <v>495</v>
      </c>
      <c r="I398" t="s">
        <v>65</v>
      </c>
      <c r="J398" s="30">
        <v>480</v>
      </c>
      <c r="K398" s="22">
        <f>IF(I398="","",IF(I398="ENTRADA",ABS(J398),-ABS(J398)))</f>
        <v>-480</v>
      </c>
      <c r="L398" t="s">
        <v>37</v>
      </c>
      <c r="N398">
        <v>65149</v>
      </c>
      <c r="O398" t="s">
        <v>387</v>
      </c>
      <c r="P398">
        <v>1872</v>
      </c>
      <c r="Q398" s="42">
        <v>46241</v>
      </c>
      <c r="R398" s="22" t="str">
        <f>IF(H398="","",H398&amp;I398)</f>
        <v>260610-265SALIDA</v>
      </c>
      <c r="S398" s="22" t="str">
        <f>IF(C398="","",C398&amp;I398)</f>
        <v>Zinc Plus SALIDA</v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667</v>
      </c>
      <c r="B399" s="47">
        <v>46233</v>
      </c>
      <c r="C399" t="s">
        <v>283</v>
      </c>
      <c r="D399" t="s">
        <v>284</v>
      </c>
      <c r="E399" t="s">
        <v>285</v>
      </c>
      <c r="F399" t="s">
        <v>286</v>
      </c>
      <c r="G399" t="s">
        <v>83</v>
      </c>
      <c r="H399" s="20" t="str">
        <f>+T399</f>
        <v>260730-399</v>
      </c>
      <c r="I399" t="s">
        <v>28</v>
      </c>
      <c r="J399" s="30">
        <v>24480</v>
      </c>
      <c r="K399" s="22">
        <f>IF(I399="","",IF(I399="ENTRADA",ABS(J399),-ABS(J399)))</f>
        <v>24480</v>
      </c>
      <c r="L399" t="s">
        <v>37</v>
      </c>
      <c r="N399">
        <v>57128</v>
      </c>
      <c r="P399">
        <v>14936</v>
      </c>
      <c r="Q399" s="42">
        <v>46237</v>
      </c>
      <c r="R399" s="22" t="str">
        <f>IF(H399="","",H399&amp;I399)</f>
        <v>260730-399ENTRADA</v>
      </c>
      <c r="S399" s="22" t="str">
        <f>IF(C399="","",C399&amp;I399)</f>
        <v>Hydra HumeENTRADA</v>
      </c>
      <c r="T399" t="str">
        <f>IF(OR(C399="",I399&lt;&gt;"ENTRADA"),"",TEXT(B399,"AAMMDD")&amp;"-"&amp;TEXT(VALUE(SUBSTITUTE(A399,"MOV-","")),"000"))</f>
        <v>260730-399</v>
      </c>
    </row>
    <row r="400" spans="1:20">
      <c r="A400" s="20" t="s">
        <v>668</v>
      </c>
      <c r="B400" s="47">
        <v>46238</v>
      </c>
      <c r="C400" t="s">
        <v>115</v>
      </c>
      <c r="D400" t="s">
        <v>116</v>
      </c>
      <c r="E400" t="s">
        <v>34</v>
      </c>
      <c r="F400" t="s">
        <v>35</v>
      </c>
      <c r="G400" t="s">
        <v>117</v>
      </c>
      <c r="H400" s="20" t="s">
        <v>669</v>
      </c>
      <c r="I400" t="s">
        <v>65</v>
      </c>
      <c r="J400" s="30">
        <v>600</v>
      </c>
      <c r="K400" s="22">
        <f>IF(I400="","",IF(I400="ENTRADA",ABS(J400),-ABS(J400)))</f>
        <v>-600</v>
      </c>
      <c r="L400" t="s">
        <v>37</v>
      </c>
      <c r="N400">
        <v>65151</v>
      </c>
      <c r="O400" t="s">
        <v>218</v>
      </c>
      <c r="P400">
        <v>1873</v>
      </c>
      <c r="Q400" s="42">
        <v>46241</v>
      </c>
      <c r="R400" s="22" t="str">
        <f>IF(H400="","",H400&amp;I400)</f>
        <v>260727-381SALIDA</v>
      </c>
      <c r="S400" s="22" t="str">
        <f>IF(C400="","",C400&amp;I400)</f>
        <v>AzukaSALIDA</v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670</v>
      </c>
      <c r="B401" s="47">
        <v>46238</v>
      </c>
      <c r="C401" t="s">
        <v>122</v>
      </c>
      <c r="D401" t="s">
        <v>123</v>
      </c>
      <c r="E401" t="s">
        <v>34</v>
      </c>
      <c r="F401" t="s">
        <v>35</v>
      </c>
      <c r="G401" t="s">
        <v>117</v>
      </c>
      <c r="H401" s="20" t="s">
        <v>203</v>
      </c>
      <c r="I401" t="s">
        <v>65</v>
      </c>
      <c r="J401" s="30">
        <v>160</v>
      </c>
      <c r="K401" s="22">
        <f>IF(I401="","",IF(I401="ENTRADA",ABS(J401),-ABS(J401)))</f>
        <v>-160</v>
      </c>
      <c r="L401" t="s">
        <v>37</v>
      </c>
      <c r="N401">
        <v>65151</v>
      </c>
      <c r="O401" t="s">
        <v>218</v>
      </c>
      <c r="P401">
        <v>1873</v>
      </c>
      <c r="Q401" s="42">
        <v>46241</v>
      </c>
      <c r="R401" s="22" t="str">
        <f>IF(H401="","",H401&amp;I401)</f>
        <v>260410-027SALIDA</v>
      </c>
      <c r="S401" s="22" t="str">
        <f>IF(C401="","",C401&amp;I401)</f>
        <v>PardoSALIDA</v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671</v>
      </c>
      <c r="B402" s="47">
        <v>46238</v>
      </c>
      <c r="C402" t="s">
        <v>137</v>
      </c>
      <c r="D402" t="s">
        <v>138</v>
      </c>
      <c r="E402" t="s">
        <v>132</v>
      </c>
      <c r="G402" t="s">
        <v>133</v>
      </c>
      <c r="H402" s="20" t="s">
        <v>211</v>
      </c>
      <c r="I402" t="s">
        <v>65</v>
      </c>
      <c r="J402" s="30">
        <v>3</v>
      </c>
      <c r="K402" s="22">
        <f>IF(I402="","",IF(I402="ENTRADA",ABS(J402),-ABS(J402)))</f>
        <v>-3</v>
      </c>
      <c r="L402" t="s">
        <v>37</v>
      </c>
      <c r="N402">
        <v>65151</v>
      </c>
      <c r="O402" t="s">
        <v>218</v>
      </c>
      <c r="P402">
        <v>1873</v>
      </c>
      <c r="Q402" s="42">
        <v>46241</v>
      </c>
      <c r="R402" s="22" t="str">
        <f>IF(H402="","",H402&amp;I402)</f>
        <v>260414-030SALIDA</v>
      </c>
      <c r="S402" s="22" t="str">
        <f>IF(C402="","",C402&amp;I402)</f>
        <v>Full controlSALIDA</v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672</v>
      </c>
      <c r="B403" s="47">
        <v>46238</v>
      </c>
      <c r="C403" t="s">
        <v>657</v>
      </c>
      <c r="D403" t="s">
        <v>658</v>
      </c>
      <c r="E403" t="s">
        <v>132</v>
      </c>
      <c r="G403" t="s">
        <v>133</v>
      </c>
      <c r="H403" s="20" t="s">
        <v>660</v>
      </c>
      <c r="I403" t="s">
        <v>65</v>
      </c>
      <c r="J403" s="30">
        <v>15</v>
      </c>
      <c r="K403" s="22">
        <f>IF(I403="","",IF(I403="ENTRADA",ABS(J403),-ABS(J403)))</f>
        <v>-15</v>
      </c>
      <c r="L403" t="s">
        <v>37</v>
      </c>
      <c r="N403">
        <v>65151</v>
      </c>
      <c r="O403" t="s">
        <v>218</v>
      </c>
      <c r="P403">
        <v>1873</v>
      </c>
      <c r="Q403" s="42">
        <v>46241</v>
      </c>
      <c r="R403" s="22" t="str">
        <f>IF(H403="","",H403&amp;I403)</f>
        <v>260729-393SALIDA</v>
      </c>
      <c r="S403" s="22" t="str">
        <f>IF(C403="","",C403&amp;I403)</f>
        <v>Harrier Drone SALIDA</v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673</v>
      </c>
      <c r="B404" s="47">
        <v>46238</v>
      </c>
      <c r="C404" t="s">
        <v>75</v>
      </c>
      <c r="D404" t="s">
        <v>76</v>
      </c>
      <c r="E404" t="s">
        <v>34</v>
      </c>
      <c r="F404" t="s">
        <v>35</v>
      </c>
      <c r="G404" t="s">
        <v>77</v>
      </c>
      <c r="H404" s="20" t="s">
        <v>94</v>
      </c>
      <c r="I404" t="s">
        <v>65</v>
      </c>
      <c r="J404" s="30">
        <v>240</v>
      </c>
      <c r="K404" s="22">
        <f>IF(I404="","",IF(I404="ENTRADA",ABS(J404),-ABS(J404)))</f>
        <v>-240</v>
      </c>
      <c r="L404" t="s">
        <v>37</v>
      </c>
      <c r="N404">
        <v>65151</v>
      </c>
      <c r="O404" t="s">
        <v>218</v>
      </c>
      <c r="P404">
        <v>1873</v>
      </c>
      <c r="Q404" s="42">
        <v>46241</v>
      </c>
      <c r="R404" s="22" t="str">
        <f>IF(H404="","",H404&amp;I404)</f>
        <v>260407-012SALIDA</v>
      </c>
      <c r="S404" s="22" t="str">
        <f>IF(C404="","",C404&amp;I404)</f>
        <v>Dedalo eliteSALIDA</v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674</v>
      </c>
      <c r="B405" s="47">
        <v>46240</v>
      </c>
      <c r="C405" t="s">
        <v>524</v>
      </c>
      <c r="D405" t="s">
        <v>525</v>
      </c>
      <c r="E405" t="s">
        <v>516</v>
      </c>
      <c r="G405" t="s">
        <v>158</v>
      </c>
      <c r="H405" s="20" t="s">
        <v>553</v>
      </c>
      <c r="I405" t="s">
        <v>65</v>
      </c>
      <c r="J405" s="30">
        <v>480</v>
      </c>
      <c r="K405" s="22">
        <f>IF(I405="","",IF(I405="ENTRADA",ABS(J405),-ABS(J405)))</f>
        <v>-480</v>
      </c>
      <c r="L405" t="s">
        <v>37</v>
      </c>
      <c r="N405">
        <v>65152</v>
      </c>
      <c r="O405" t="s">
        <v>382</v>
      </c>
      <c r="P405">
        <v>1874</v>
      </c>
      <c r="Q405" s="42">
        <v>46241</v>
      </c>
      <c r="R405" s="22" t="str">
        <f>IF(H405="","",H405&amp;I405)</f>
        <v>260623-289SALIDA</v>
      </c>
      <c r="S405" s="22" t="str">
        <f>IF(C405="","",C405&amp;I405)</f>
        <v>cripton xpro SALIDA</v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675</v>
      </c>
      <c r="B406" s="47">
        <v>46240</v>
      </c>
      <c r="C406" t="s">
        <v>491</v>
      </c>
      <c r="D406" t="s">
        <v>492</v>
      </c>
      <c r="E406" t="s">
        <v>493</v>
      </c>
      <c r="G406" t="s">
        <v>36</v>
      </c>
      <c r="H406" s="20" t="s">
        <v>495</v>
      </c>
      <c r="I406" t="s">
        <v>65</v>
      </c>
      <c r="J406" s="30">
        <v>2000</v>
      </c>
      <c r="K406" s="22">
        <f>IF(I406="","",IF(I406="ENTRADA",ABS(J406),-ABS(J406)))</f>
        <v>-2000</v>
      </c>
      <c r="L406" t="s">
        <v>37</v>
      </c>
      <c r="N406">
        <v>65152</v>
      </c>
      <c r="O406" t="s">
        <v>382</v>
      </c>
      <c r="P406">
        <v>1874</v>
      </c>
      <c r="Q406" s="42">
        <v>46241</v>
      </c>
      <c r="R406" s="22" t="str">
        <f>IF(H406="","",H406&amp;I406)</f>
        <v>260610-265SALIDA</v>
      </c>
      <c r="S406" s="22" t="str">
        <f>IF(C406="","",C406&amp;I406)</f>
        <v>Zinc Plus SALIDA</v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676</v>
      </c>
      <c r="B407" s="47">
        <v>46240</v>
      </c>
      <c r="C407" t="s">
        <v>657</v>
      </c>
      <c r="D407" t="s">
        <v>658</v>
      </c>
      <c r="E407" t="s">
        <v>132</v>
      </c>
      <c r="G407" t="s">
        <v>133</v>
      </c>
      <c r="H407" s="20" t="s">
        <v>660</v>
      </c>
      <c r="I407" t="s">
        <v>65</v>
      </c>
      <c r="J407" s="30">
        <v>120</v>
      </c>
      <c r="K407" s="22">
        <f>IF(I407="","",IF(I407="ENTRADA",ABS(J407),-ABS(J407)))</f>
        <v>-120</v>
      </c>
      <c r="L407" t="s">
        <v>37</v>
      </c>
      <c r="N407">
        <v>65152</v>
      </c>
      <c r="O407" t="s">
        <v>382</v>
      </c>
      <c r="P407">
        <v>1874</v>
      </c>
      <c r="Q407" s="42">
        <v>46241</v>
      </c>
      <c r="R407" s="22" t="str">
        <f>IF(H407="","",H407&amp;I407)</f>
        <v>260729-393SALIDA</v>
      </c>
      <c r="S407" s="22" t="str">
        <f>IF(C407="","",C407&amp;I407)</f>
        <v>Harrier Drone SALIDA</v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677</v>
      </c>
      <c r="B408" s="47">
        <v>46242</v>
      </c>
      <c r="C408" s="34" t="s">
        <v>115</v>
      </c>
      <c r="D408" s="34" t="s">
        <v>116</v>
      </c>
      <c r="E408" s="34" t="s">
        <v>34</v>
      </c>
      <c r="F408" s="34" t="s">
        <v>35</v>
      </c>
      <c r="G408" s="34" t="s">
        <v>117</v>
      </c>
      <c r="H408" s="20" t="s">
        <v>669</v>
      </c>
      <c r="I408" s="34" t="s">
        <v>65</v>
      </c>
      <c r="J408" s="36">
        <v>960</v>
      </c>
      <c r="K408" s="22">
        <f>IF(I408="","",IF(I408="ENTRADA",ABS(J408),-ABS(J408)))</f>
        <v>-960</v>
      </c>
      <c r="L408" s="34" t="s">
        <v>37</v>
      </c>
      <c r="M408" s="34"/>
      <c r="N408">
        <v>65153</v>
      </c>
      <c r="O408" s="34" t="s">
        <v>213</v>
      </c>
      <c r="P408">
        <v>1875</v>
      </c>
      <c r="Q408" s="42">
        <v>46244</v>
      </c>
      <c r="R408" s="22" t="str">
        <f>IF(H408="","",H408&amp;I408)</f>
        <v>260727-381SALIDA</v>
      </c>
      <c r="S408" s="22" t="str">
        <f>IF(C408="","",C408&amp;I408)</f>
        <v>AzukaSALIDA</v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678</v>
      </c>
      <c r="B409" s="47">
        <v>46242</v>
      </c>
      <c r="C409" t="s">
        <v>90</v>
      </c>
      <c r="D409" t="s">
        <v>91</v>
      </c>
      <c r="E409" t="s">
        <v>34</v>
      </c>
      <c r="F409" t="s">
        <v>35</v>
      </c>
      <c r="G409" t="s">
        <v>36</v>
      </c>
      <c r="H409" s="20" t="s">
        <v>375</v>
      </c>
      <c r="I409" t="s">
        <v>65</v>
      </c>
      <c r="J409" s="30">
        <v>200</v>
      </c>
      <c r="K409" s="22">
        <f>IF(I409="","",IF(I409="ENTRADA",ABS(J409),-ABS(J409)))</f>
        <v>-200</v>
      </c>
      <c r="L409" t="s">
        <v>37</v>
      </c>
      <c r="N409">
        <v>65153</v>
      </c>
      <c r="O409" t="s">
        <v>213</v>
      </c>
      <c r="P409">
        <v>1875</v>
      </c>
      <c r="Q409" s="42">
        <v>46244</v>
      </c>
      <c r="R409" s="22" t="str">
        <f>IF(H409="","",H409&amp;I409)</f>
        <v>260405-132SALIDA</v>
      </c>
      <c r="S409" s="22" t="str">
        <f>IF(C409="","",C409&amp;I409)</f>
        <v>PixxaroSALIDA</v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679</v>
      </c>
      <c r="B410" s="47">
        <v>46242</v>
      </c>
      <c r="C410" t="s">
        <v>122</v>
      </c>
      <c r="D410" t="s">
        <v>123</v>
      </c>
      <c r="E410" t="s">
        <v>34</v>
      </c>
      <c r="F410" t="s">
        <v>35</v>
      </c>
      <c r="G410" t="s">
        <v>117</v>
      </c>
      <c r="H410" s="20" t="s">
        <v>203</v>
      </c>
      <c r="I410" t="s">
        <v>65</v>
      </c>
      <c r="J410" s="30">
        <v>920</v>
      </c>
      <c r="K410" s="22">
        <f>IF(I410="","",IF(I410="ENTRADA",ABS(J410),-ABS(J410)))</f>
        <v>-920</v>
      </c>
      <c r="L410" t="s">
        <v>37</v>
      </c>
      <c r="N410">
        <v>65153</v>
      </c>
      <c r="O410" t="s">
        <v>213</v>
      </c>
      <c r="P410">
        <v>1875</v>
      </c>
      <c r="Q410" s="42">
        <v>46244</v>
      </c>
      <c r="R410" s="22" t="str">
        <f>IF(H410="","",H410&amp;I410)</f>
        <v>260410-027SALIDA</v>
      </c>
      <c r="S410" s="22" t="str">
        <f>IF(C410="","",C410&amp;I410)</f>
        <v>PardoSALIDA</v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680</v>
      </c>
      <c r="B411" s="47">
        <v>46242</v>
      </c>
      <c r="C411" t="s">
        <v>491</v>
      </c>
      <c r="D411" t="s">
        <v>492</v>
      </c>
      <c r="E411" t="s">
        <v>493</v>
      </c>
      <c r="G411" t="s">
        <v>36</v>
      </c>
      <c r="H411" s="20" t="s">
        <v>495</v>
      </c>
      <c r="I411" t="s">
        <v>65</v>
      </c>
      <c r="J411" s="30">
        <v>1260</v>
      </c>
      <c r="K411" s="22">
        <f>IF(I411="","",IF(I411="ENTRADA",ABS(J411),-ABS(J411)))</f>
        <v>-1260</v>
      </c>
      <c r="L411" t="s">
        <v>37</v>
      </c>
      <c r="N411">
        <v>65154</v>
      </c>
      <c r="O411" t="s">
        <v>382</v>
      </c>
      <c r="P411">
        <v>1876</v>
      </c>
      <c r="Q411" s="42">
        <v>46244</v>
      </c>
      <c r="R411" s="22" t="str">
        <f>IF(H411="","",H411&amp;I411)</f>
        <v>260610-265SALIDA</v>
      </c>
      <c r="S411" s="22" t="str">
        <f>IF(C411="","",C411&amp;I411)</f>
        <v>Zinc Plus SALIDA</v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681</v>
      </c>
      <c r="B412" s="47">
        <v>46242</v>
      </c>
      <c r="C412" t="s">
        <v>524</v>
      </c>
      <c r="D412" t="s">
        <v>525</v>
      </c>
      <c r="E412" t="s">
        <v>516</v>
      </c>
      <c r="G412" t="s">
        <v>158</v>
      </c>
      <c r="H412" s="20" t="s">
        <v>553</v>
      </c>
      <c r="I412" t="s">
        <v>65</v>
      </c>
      <c r="J412" s="30">
        <v>300</v>
      </c>
      <c r="K412" s="22">
        <f>IF(I412="","",IF(I412="ENTRADA",ABS(J412),-ABS(J412)))</f>
        <v>-300</v>
      </c>
      <c r="L412" t="s">
        <v>37</v>
      </c>
      <c r="N412">
        <v>65154</v>
      </c>
      <c r="O412" t="s">
        <v>382</v>
      </c>
      <c r="P412">
        <v>1876</v>
      </c>
      <c r="Q412" s="42">
        <v>46244</v>
      </c>
      <c r="R412" s="22" t="str">
        <f>IF(H412="","",H412&amp;I412)</f>
        <v>260623-289SALIDA</v>
      </c>
      <c r="S412" s="22" t="str">
        <f>IF(C412="","",C412&amp;I412)</f>
        <v>cripton xpro SALIDA</v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682</v>
      </c>
      <c r="B413" s="47">
        <v>46242</v>
      </c>
      <c r="C413" t="s">
        <v>657</v>
      </c>
      <c r="D413" t="s">
        <v>658</v>
      </c>
      <c r="E413" t="s">
        <v>132</v>
      </c>
      <c r="G413" t="s">
        <v>133</v>
      </c>
      <c r="H413" s="20" t="s">
        <v>660</v>
      </c>
      <c r="I413" t="s">
        <v>65</v>
      </c>
      <c r="J413" s="30">
        <v>60</v>
      </c>
      <c r="K413" s="22">
        <f>IF(I413="","",IF(I413="ENTRADA",ABS(J413),-ABS(J413)))</f>
        <v>-60</v>
      </c>
      <c r="L413" t="s">
        <v>37</v>
      </c>
      <c r="N413">
        <v>65154</v>
      </c>
      <c r="O413" t="s">
        <v>382</v>
      </c>
      <c r="P413">
        <v>1876</v>
      </c>
      <c r="Q413" s="42">
        <v>46244</v>
      </c>
      <c r="R413" s="22" t="str">
        <f>IF(H413="","",H413&amp;I413)</f>
        <v>260729-393SALIDA</v>
      </c>
      <c r="S413" s="22" t="str">
        <f>IF(C413="","",C413&amp;I413)</f>
        <v>Harrier Drone SALIDA</v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683</v>
      </c>
      <c r="B414" s="47">
        <v>46242</v>
      </c>
      <c r="C414" t="s">
        <v>147</v>
      </c>
      <c r="D414" t="s">
        <v>148</v>
      </c>
      <c r="E414" t="s">
        <v>34</v>
      </c>
      <c r="F414" t="s">
        <v>35</v>
      </c>
      <c r="G414" t="s">
        <v>36</v>
      </c>
      <c r="H414" s="20" t="s">
        <v>563</v>
      </c>
      <c r="I414" t="s">
        <v>65</v>
      </c>
      <c r="J414" s="30">
        <v>160</v>
      </c>
      <c r="K414" s="22">
        <f>IF(I414="","",IF(I414="ENTRADA",ABS(J414),-ABS(J414)))</f>
        <v>-160</v>
      </c>
      <c r="L414" t="s">
        <v>37</v>
      </c>
      <c r="N414">
        <v>65155</v>
      </c>
      <c r="O414" t="s">
        <v>218</v>
      </c>
      <c r="P414">
        <v>1877</v>
      </c>
      <c r="Q414" s="42">
        <v>46244</v>
      </c>
      <c r="R414" s="22" t="str">
        <f>IF(H414="","",H414&amp;I414)</f>
        <v>260415-032SALIDA</v>
      </c>
      <c r="S414" s="22" t="str">
        <f>IF(C414="","",C414&amp;I414)</f>
        <v>AxialSALIDA</v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684</v>
      </c>
      <c r="B415" s="47">
        <v>46242</v>
      </c>
      <c r="C415" t="s">
        <v>657</v>
      </c>
      <c r="D415" t="s">
        <v>658</v>
      </c>
      <c r="E415" t="s">
        <v>132</v>
      </c>
      <c r="G415" t="s">
        <v>133</v>
      </c>
      <c r="H415" s="20" t="s">
        <v>660</v>
      </c>
      <c r="I415" t="s">
        <v>65</v>
      </c>
      <c r="J415" s="30">
        <v>15</v>
      </c>
      <c r="K415" s="22">
        <f>IF(I415="","",IF(I415="ENTRADA",ABS(J415),-ABS(J415)))</f>
        <v>-15</v>
      </c>
      <c r="L415" t="s">
        <v>37</v>
      </c>
      <c r="N415">
        <v>65155</v>
      </c>
      <c r="O415" t="s">
        <v>218</v>
      </c>
      <c r="P415">
        <v>1877</v>
      </c>
      <c r="Q415" s="42">
        <v>46244</v>
      </c>
      <c r="R415" s="22" t="str">
        <f>IF(H415="","",H415&amp;I415)</f>
        <v>260729-393SALIDA</v>
      </c>
      <c r="S415" s="22" t="str">
        <f>IF(C415="","",C415&amp;I415)</f>
        <v>Harrier Drone SALIDA</v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685</v>
      </c>
      <c r="B416" s="47">
        <v>46242</v>
      </c>
      <c r="C416" t="s">
        <v>491</v>
      </c>
      <c r="D416" t="s">
        <v>492</v>
      </c>
      <c r="E416" t="s">
        <v>493</v>
      </c>
      <c r="G416" t="s">
        <v>36</v>
      </c>
      <c r="H416" s="20" t="s">
        <v>495</v>
      </c>
      <c r="I416" t="s">
        <v>65</v>
      </c>
      <c r="J416" s="30">
        <v>140</v>
      </c>
      <c r="K416" s="22">
        <f>IF(I416="","",IF(I416="ENTRADA",ABS(J416),-ABS(J416)))</f>
        <v>-140</v>
      </c>
      <c r="L416" t="s">
        <v>37</v>
      </c>
      <c r="N416">
        <v>65155</v>
      </c>
      <c r="O416" t="s">
        <v>218</v>
      </c>
      <c r="P416">
        <v>1877</v>
      </c>
      <c r="Q416" s="42">
        <v>46244</v>
      </c>
      <c r="R416" s="22" t="str">
        <f>IF(H416="","",H416&amp;I416)</f>
        <v>260610-265SALIDA</v>
      </c>
      <c r="S416" s="22" t="str">
        <f>IF(C416="","",C416&amp;I416)</f>
        <v>Zinc Plus SALIDA</v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686</v>
      </c>
      <c r="B417" s="47">
        <v>46242</v>
      </c>
      <c r="C417" t="s">
        <v>137</v>
      </c>
      <c r="D417" t="s">
        <v>138</v>
      </c>
      <c r="E417" t="s">
        <v>132</v>
      </c>
      <c r="G417" t="s">
        <v>133</v>
      </c>
      <c r="H417" s="20" t="s">
        <v>211</v>
      </c>
      <c r="I417" t="s">
        <v>65</v>
      </c>
      <c r="J417" s="30">
        <v>2</v>
      </c>
      <c r="K417" s="22">
        <f>IF(I417="","",IF(I417="ENTRADA",ABS(J417),-ABS(J417)))</f>
        <v>-2</v>
      </c>
      <c r="L417" t="s">
        <v>37</v>
      </c>
      <c r="N417">
        <v>65155</v>
      </c>
      <c r="O417" t="s">
        <v>218</v>
      </c>
      <c r="P417">
        <v>1877</v>
      </c>
      <c r="Q417" s="42">
        <v>46244</v>
      </c>
      <c r="R417" s="22" t="str">
        <f>IF(H417="","",H417&amp;I417)</f>
        <v>260414-030SALIDA</v>
      </c>
      <c r="S417" s="22" t="str">
        <f>IF(C417="","",C417&amp;I417)</f>
        <v>Full controlSALIDA</v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687</v>
      </c>
      <c r="B418" s="47">
        <v>46202</v>
      </c>
      <c r="C418" t="s">
        <v>137</v>
      </c>
      <c r="D418" t="s">
        <v>138</v>
      </c>
      <c r="E418" t="s">
        <v>132</v>
      </c>
      <c r="G418" t="s">
        <v>133</v>
      </c>
      <c r="H418" s="20" t="s">
        <v>211</v>
      </c>
      <c r="I418" t="s">
        <v>65</v>
      </c>
      <c r="J418" s="30">
        <v>15</v>
      </c>
      <c r="K418" s="22">
        <f>IF(I418="","",IF(I418="ENTRADA",ABS(J418),-ABS(J418)))</f>
        <v>-15</v>
      </c>
      <c r="L418" t="s">
        <v>37</v>
      </c>
      <c r="N418" t="s">
        <v>688</v>
      </c>
      <c r="O418" t="s">
        <v>382</v>
      </c>
      <c r="P418">
        <v>1818</v>
      </c>
      <c r="Q418" s="42">
        <v>46202</v>
      </c>
      <c r="R418" s="22" t="str">
        <f>IF(H418="","",H418&amp;I418)</f>
        <v>260414-030SALIDA</v>
      </c>
      <c r="S418" s="22" t="str">
        <f>IF(C418="","",C418&amp;I418)</f>
        <v>Full controlSALIDA</v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689</v>
      </c>
      <c r="B419" s="47">
        <v>46245</v>
      </c>
      <c r="C419" s="34" t="s">
        <v>115</v>
      </c>
      <c r="D419" s="34" t="s">
        <v>116</v>
      </c>
      <c r="E419" s="34" t="s">
        <v>34</v>
      </c>
      <c r="F419" s="34" t="s">
        <v>35</v>
      </c>
      <c r="G419" s="34" t="s">
        <v>117</v>
      </c>
      <c r="H419" s="20" t="s">
        <v>120</v>
      </c>
      <c r="I419" s="34" t="s">
        <v>65</v>
      </c>
      <c r="J419" s="36">
        <v>1000</v>
      </c>
      <c r="K419" s="22">
        <f>IF(I419="","",IF(I419="ENTRADA",ABS(J419),-ABS(J419)))</f>
        <v>-1000</v>
      </c>
      <c r="L419" s="34" t="s">
        <v>37</v>
      </c>
      <c r="M419" s="34"/>
      <c r="N419">
        <v>65157</v>
      </c>
      <c r="O419" s="34" t="s">
        <v>218</v>
      </c>
      <c r="P419" s="46">
        <v>1878</v>
      </c>
      <c r="Q419" s="42">
        <v>46245</v>
      </c>
      <c r="R419" s="22" t="str">
        <f>IF(H419="","",H419&amp;I419)</f>
        <v>260410-025SALIDA</v>
      </c>
      <c r="S419" s="22" t="str">
        <f>IF(C419="","",C419&amp;I419)</f>
        <v>AzukaSALIDA</v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690</v>
      </c>
      <c r="B420" s="47">
        <v>46245</v>
      </c>
      <c r="C420" t="s">
        <v>122</v>
      </c>
      <c r="D420" t="s">
        <v>123</v>
      </c>
      <c r="E420" t="s">
        <v>34</v>
      </c>
      <c r="F420" t="s">
        <v>35</v>
      </c>
      <c r="G420" t="s">
        <v>117</v>
      </c>
      <c r="H420" s="20" t="s">
        <v>203</v>
      </c>
      <c r="I420" t="s">
        <v>65</v>
      </c>
      <c r="J420" s="30">
        <v>320</v>
      </c>
      <c r="K420" s="22">
        <f>IF(I420="","",IF(I420="ENTRADA",ABS(J420),-ABS(J420)))</f>
        <v>-320</v>
      </c>
      <c r="L420" t="s">
        <v>37</v>
      </c>
      <c r="N420">
        <v>65157</v>
      </c>
      <c r="O420" t="s">
        <v>218</v>
      </c>
      <c r="P420" s="46">
        <v>1878</v>
      </c>
      <c r="Q420" s="42">
        <v>46245</v>
      </c>
      <c r="R420" s="22" t="str">
        <f>IF(H420="","",H420&amp;I420)</f>
        <v>260410-027SALIDA</v>
      </c>
      <c r="S420" s="22" t="str">
        <f>IF(C420="","",C420&amp;I420)</f>
        <v>PardoSALIDA</v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691</v>
      </c>
      <c r="B421" s="47">
        <v>46245</v>
      </c>
      <c r="C421" t="s">
        <v>90</v>
      </c>
      <c r="D421" t="s">
        <v>91</v>
      </c>
      <c r="E421" t="s">
        <v>34</v>
      </c>
      <c r="F421" t="s">
        <v>35</v>
      </c>
      <c r="G421" t="s">
        <v>36</v>
      </c>
      <c r="H421" s="20" t="s">
        <v>375</v>
      </c>
      <c r="I421" t="s">
        <v>65</v>
      </c>
      <c r="J421" s="30">
        <v>100</v>
      </c>
      <c r="K421" s="22">
        <f>IF(I421="","",IF(I421="ENTRADA",ABS(J421),-ABS(J421)))</f>
        <v>-100</v>
      </c>
      <c r="L421" t="s">
        <v>37</v>
      </c>
      <c r="N421">
        <v>65157</v>
      </c>
      <c r="O421" t="s">
        <v>218</v>
      </c>
      <c r="P421" s="46">
        <v>1878</v>
      </c>
      <c r="Q421" s="42">
        <v>46245</v>
      </c>
      <c r="R421" s="22" t="str">
        <f>IF(H421="","",H421&amp;I421)</f>
        <v>260405-132SALIDA</v>
      </c>
      <c r="S421" s="22" t="str">
        <f>IF(C421="","",C421&amp;I421)</f>
        <v>PixxaroSALIDA</v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692</v>
      </c>
      <c r="B422" s="47">
        <v>46245</v>
      </c>
      <c r="C422" t="s">
        <v>130</v>
      </c>
      <c r="D422" t="s">
        <v>131</v>
      </c>
      <c r="E422" t="s">
        <v>132</v>
      </c>
      <c r="G422" t="s">
        <v>133</v>
      </c>
      <c r="H422" s="20" t="s">
        <v>221</v>
      </c>
      <c r="I422" t="s">
        <v>65</v>
      </c>
      <c r="J422" s="30">
        <v>40</v>
      </c>
      <c r="K422" s="22">
        <f>IF(I422="","",IF(I422="ENTRADA",ABS(J422),-ABS(J422)))</f>
        <v>-40</v>
      </c>
      <c r="L422" t="s">
        <v>37</v>
      </c>
      <c r="N422">
        <v>65157</v>
      </c>
      <c r="O422" t="s">
        <v>218</v>
      </c>
      <c r="P422" s="46">
        <v>1878</v>
      </c>
      <c r="Q422" s="42">
        <v>46245</v>
      </c>
      <c r="R422" s="22" t="str">
        <f>IF(H422="","",H422&amp;I422)</f>
        <v>260414-029SALIDA</v>
      </c>
      <c r="S422" s="22" t="str">
        <f>IF(C422="","",C422&amp;I422)</f>
        <v>HarrierSALIDA</v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693</v>
      </c>
      <c r="B423" s="47">
        <v>46245</v>
      </c>
      <c r="C423" t="s">
        <v>137</v>
      </c>
      <c r="D423" t="s">
        <v>138</v>
      </c>
      <c r="E423" t="s">
        <v>132</v>
      </c>
      <c r="G423" t="s">
        <v>133</v>
      </c>
      <c r="H423" s="20" t="s">
        <v>211</v>
      </c>
      <c r="I423" t="s">
        <v>65</v>
      </c>
      <c r="J423" s="30">
        <v>6</v>
      </c>
      <c r="K423" s="22">
        <f>IF(I423="","",IF(I423="ENTRADA",ABS(J423),-ABS(J423)))</f>
        <v>-6</v>
      </c>
      <c r="L423" t="s">
        <v>37</v>
      </c>
      <c r="N423">
        <v>65157</v>
      </c>
      <c r="O423" t="s">
        <v>218</v>
      </c>
      <c r="P423" s="46">
        <v>1878</v>
      </c>
      <c r="Q423" s="42">
        <v>46245</v>
      </c>
      <c r="R423" s="22" t="str">
        <f>IF(H423="","",H423&amp;I423)</f>
        <v>260414-030SALIDA</v>
      </c>
      <c r="S423" s="22" t="str">
        <f>IF(C423="","",C423&amp;I423)</f>
        <v>Full controlSALIDA</v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694</v>
      </c>
      <c r="B424" s="47">
        <v>46245</v>
      </c>
      <c r="C424" t="s">
        <v>115</v>
      </c>
      <c r="D424" t="s">
        <v>116</v>
      </c>
      <c r="E424" t="s">
        <v>34</v>
      </c>
      <c r="F424" t="s">
        <v>35</v>
      </c>
      <c r="G424" t="s">
        <v>117</v>
      </c>
      <c r="H424" s="20" t="s">
        <v>120</v>
      </c>
      <c r="I424" t="s">
        <v>65</v>
      </c>
      <c r="J424" s="30">
        <v>700</v>
      </c>
      <c r="K424" s="22">
        <f>IF(I424="","",IF(I424="ENTRADA",ABS(J424),-ABS(J424)))</f>
        <v>-700</v>
      </c>
      <c r="L424" t="s">
        <v>37</v>
      </c>
      <c r="N424">
        <v>65158</v>
      </c>
      <c r="O424" t="s">
        <v>382</v>
      </c>
      <c r="P424">
        <v>1879</v>
      </c>
      <c r="Q424" s="42">
        <v>46247</v>
      </c>
      <c r="R424" s="22" t="str">
        <f>IF(H424="","",H424&amp;I424)</f>
        <v>260410-025SALIDA</v>
      </c>
      <c r="S424" s="22" t="str">
        <f>IF(C424="","",C424&amp;I424)</f>
        <v>AzukaSALIDA</v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695</v>
      </c>
      <c r="B425" s="47">
        <v>46245</v>
      </c>
      <c r="C425" t="s">
        <v>122</v>
      </c>
      <c r="D425" t="s">
        <v>123</v>
      </c>
      <c r="E425" t="s">
        <v>34</v>
      </c>
      <c r="F425" t="s">
        <v>35</v>
      </c>
      <c r="G425" t="s">
        <v>117</v>
      </c>
      <c r="H425" s="20" t="s">
        <v>203</v>
      </c>
      <c r="I425" t="s">
        <v>65</v>
      </c>
      <c r="J425" s="30">
        <v>250</v>
      </c>
      <c r="K425" s="22">
        <f>IF(I425="","",IF(I425="ENTRADA",ABS(J425),-ABS(J425)))</f>
        <v>-250</v>
      </c>
      <c r="L425" t="s">
        <v>37</v>
      </c>
      <c r="N425">
        <v>65158</v>
      </c>
      <c r="O425" t="s">
        <v>382</v>
      </c>
      <c r="P425">
        <v>1879</v>
      </c>
      <c r="Q425" s="42">
        <v>46247</v>
      </c>
      <c r="R425" s="22" t="str">
        <f>IF(H425="","",H425&amp;I425)</f>
        <v>260410-027SALIDA</v>
      </c>
      <c r="S425" s="22" t="str">
        <f>IF(C425="","",C425&amp;I425)</f>
        <v>PardoSALIDA</v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696</v>
      </c>
      <c r="B426" s="47">
        <v>46245</v>
      </c>
      <c r="C426" t="s">
        <v>130</v>
      </c>
      <c r="D426" t="s">
        <v>131</v>
      </c>
      <c r="E426" t="s">
        <v>132</v>
      </c>
      <c r="G426" t="s">
        <v>133</v>
      </c>
      <c r="H426" s="20" t="s">
        <v>221</v>
      </c>
      <c r="I426" t="s">
        <v>65</v>
      </c>
      <c r="J426" s="30">
        <v>20</v>
      </c>
      <c r="K426" s="22">
        <f>IF(I426="","",IF(I426="ENTRADA",ABS(J426),-ABS(J426)))</f>
        <v>-20</v>
      </c>
      <c r="L426" t="s">
        <v>37</v>
      </c>
      <c r="N426">
        <v>65158</v>
      </c>
      <c r="O426" t="s">
        <v>382</v>
      </c>
      <c r="P426">
        <v>1879</v>
      </c>
      <c r="Q426" s="42">
        <v>46247</v>
      </c>
      <c r="R426" s="22" t="str">
        <f>IF(H426="","",H426&amp;I426)</f>
        <v>260414-029SALIDA</v>
      </c>
      <c r="S426" s="22" t="str">
        <f>IF(C426="","",C426&amp;I426)</f>
        <v>HarrierSALIDA</v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697</v>
      </c>
      <c r="B427" s="47">
        <v>46244</v>
      </c>
      <c r="C427" t="s">
        <v>115</v>
      </c>
      <c r="D427" t="s">
        <v>116</v>
      </c>
      <c r="E427" t="s">
        <v>34</v>
      </c>
      <c r="F427" t="s">
        <v>35</v>
      </c>
      <c r="G427" t="s">
        <v>117</v>
      </c>
      <c r="H427" s="20" t="s">
        <v>120</v>
      </c>
      <c r="I427" t="s">
        <v>65</v>
      </c>
      <c r="J427" s="30">
        <v>1200</v>
      </c>
      <c r="K427" s="22">
        <f>IF(I427="","",IF(I427="ENTRADA",ABS(J427),-ABS(J427)))</f>
        <v>-1200</v>
      </c>
      <c r="L427" t="s">
        <v>37</v>
      </c>
      <c r="N427">
        <v>65156</v>
      </c>
      <c r="O427" t="s">
        <v>382</v>
      </c>
      <c r="P427">
        <v>1880</v>
      </c>
      <c r="Q427" s="42">
        <v>46247</v>
      </c>
      <c r="R427" s="22" t="str">
        <f>IF(H427="","",H427&amp;I427)</f>
        <v>260410-025SALIDA</v>
      </c>
      <c r="S427" s="22" t="str">
        <f>IF(C427="","",C427&amp;I427)</f>
        <v>AzukaSALIDA</v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698</v>
      </c>
      <c r="B428" s="47">
        <v>46244</v>
      </c>
      <c r="C428" t="s">
        <v>122</v>
      </c>
      <c r="D428" t="s">
        <v>123</v>
      </c>
      <c r="E428" t="s">
        <v>34</v>
      </c>
      <c r="F428" t="s">
        <v>35</v>
      </c>
      <c r="G428" t="s">
        <v>117</v>
      </c>
      <c r="H428" s="20" t="s">
        <v>203</v>
      </c>
      <c r="I428" t="s">
        <v>65</v>
      </c>
      <c r="J428" s="30">
        <v>320</v>
      </c>
      <c r="K428" s="22">
        <f>IF(I428="","",IF(I428="ENTRADA",ABS(J428),-ABS(J428)))</f>
        <v>-320</v>
      </c>
      <c r="L428" t="s">
        <v>37</v>
      </c>
      <c r="N428">
        <v>65156</v>
      </c>
      <c r="O428" t="s">
        <v>382</v>
      </c>
      <c r="P428">
        <v>1880</v>
      </c>
      <c r="Q428" s="42">
        <v>46247</v>
      </c>
      <c r="R428" s="22" t="str">
        <f>IF(H428="","",H428&amp;I428)</f>
        <v>260410-027SALIDA</v>
      </c>
      <c r="S428" s="22" t="str">
        <f>IF(C428="","",C428&amp;I428)</f>
        <v>PardoSALIDA</v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699</v>
      </c>
      <c r="B429" s="47">
        <v>46244</v>
      </c>
      <c r="C429" t="s">
        <v>130</v>
      </c>
      <c r="D429" t="s">
        <v>131</v>
      </c>
      <c r="E429" t="s">
        <v>132</v>
      </c>
      <c r="G429" t="s">
        <v>133</v>
      </c>
      <c r="H429" s="20" t="s">
        <v>221</v>
      </c>
      <c r="I429" t="s">
        <v>65</v>
      </c>
      <c r="J429" s="30">
        <v>60</v>
      </c>
      <c r="K429" s="22">
        <f>IF(I429="","",IF(I429="ENTRADA",ABS(J429),-ABS(J429)))</f>
        <v>-60</v>
      </c>
      <c r="N429">
        <v>65156</v>
      </c>
      <c r="O429" t="s">
        <v>382</v>
      </c>
      <c r="P429">
        <v>1880</v>
      </c>
      <c r="Q429" s="42">
        <v>46247</v>
      </c>
      <c r="R429" s="22" t="str">
        <f>IF(H429="","",H429&amp;I429)</f>
        <v>260414-029SALIDA</v>
      </c>
      <c r="S429" s="22" t="str">
        <f>IF(C429="","",C429&amp;I429)</f>
        <v>HarrierSALIDA</v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700</v>
      </c>
      <c r="B430" s="47">
        <v>46244</v>
      </c>
      <c r="C430" s="34" t="s">
        <v>137</v>
      </c>
      <c r="D430" s="34" t="s">
        <v>138</v>
      </c>
      <c r="E430" s="34" t="s">
        <v>132</v>
      </c>
      <c r="F430" s="34"/>
      <c r="G430" s="34" t="s">
        <v>133</v>
      </c>
      <c r="H430" s="20" t="s">
        <v>211</v>
      </c>
      <c r="I430" s="34" t="s">
        <v>65</v>
      </c>
      <c r="J430" s="36">
        <v>15</v>
      </c>
      <c r="K430" s="22">
        <f>IF(I430="","",IF(I430="ENTRADA",ABS(J430),-ABS(J430)))</f>
        <v>-15</v>
      </c>
      <c r="L430" s="34"/>
      <c r="M430" s="34"/>
      <c r="N430">
        <v>65156</v>
      </c>
      <c r="O430" t="s">
        <v>382</v>
      </c>
      <c r="P430">
        <v>1880</v>
      </c>
      <c r="Q430" s="42">
        <v>46247</v>
      </c>
      <c r="R430" s="22" t="str">
        <f>IF(H430="","",H430&amp;I430)</f>
        <v>260414-030SALIDA</v>
      </c>
      <c r="S430" s="22" t="str">
        <f>IF(C430="","",C430&amp;I430)</f>
        <v>Full controlSALIDA</v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701</v>
      </c>
      <c r="B431" s="47">
        <v>46245</v>
      </c>
      <c r="C431" t="s">
        <v>115</v>
      </c>
      <c r="D431" t="s">
        <v>116</v>
      </c>
      <c r="E431" t="s">
        <v>34</v>
      </c>
      <c r="F431" t="s">
        <v>35</v>
      </c>
      <c r="G431" t="s">
        <v>117</v>
      </c>
      <c r="H431" s="20" t="s">
        <v>120</v>
      </c>
      <c r="I431" t="s">
        <v>65</v>
      </c>
      <c r="J431" s="30">
        <v>3000</v>
      </c>
      <c r="K431" s="22">
        <f>IF(I431="","",IF(I431="ENTRADA",ABS(J431),-ABS(J431)))</f>
        <v>-3000</v>
      </c>
      <c r="L431" t="s">
        <v>37</v>
      </c>
      <c r="N431">
        <v>65159</v>
      </c>
      <c r="O431" t="s">
        <v>213</v>
      </c>
      <c r="P431">
        <v>1881</v>
      </c>
      <c r="Q431" s="42">
        <v>46247</v>
      </c>
      <c r="R431" s="22" t="str">
        <f>IF(H431="","",H431&amp;I431)</f>
        <v>260410-025SALIDA</v>
      </c>
      <c r="S431" s="22" t="str">
        <f>IF(C431="","",C431&amp;I431)</f>
        <v>AzukaSALIDA</v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702</v>
      </c>
      <c r="B432" s="47">
        <v>46248</v>
      </c>
      <c r="C432" t="s">
        <v>115</v>
      </c>
      <c r="D432" t="s">
        <v>116</v>
      </c>
      <c r="E432" t="s">
        <v>34</v>
      </c>
      <c r="F432" t="s">
        <v>35</v>
      </c>
      <c r="G432" t="s">
        <v>117</v>
      </c>
      <c r="H432" s="20" t="s">
        <v>669</v>
      </c>
      <c r="I432" t="s">
        <v>65</v>
      </c>
      <c r="J432" s="30">
        <v>1020</v>
      </c>
      <c r="K432" s="22">
        <f>IF(I432="","",IF(I432="ENTRADA",ABS(J432),-ABS(J432)))</f>
        <v>-1020</v>
      </c>
      <c r="L432" t="s">
        <v>37</v>
      </c>
      <c r="N432">
        <v>65160</v>
      </c>
      <c r="O432" t="s">
        <v>382</v>
      </c>
      <c r="P432">
        <v>1882</v>
      </c>
      <c r="Q432" s="42">
        <v>46251</v>
      </c>
      <c r="R432" s="22" t="str">
        <f>IF(H432="","",H432&amp;I432)</f>
        <v>260727-381SALIDA</v>
      </c>
      <c r="S432" s="22" t="str">
        <f>IF(C432="","",C432&amp;I432)</f>
        <v>AzukaSALIDA</v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703</v>
      </c>
      <c r="B433" s="47">
        <v>46248</v>
      </c>
      <c r="C433" t="s">
        <v>115</v>
      </c>
      <c r="D433" t="s">
        <v>116</v>
      </c>
      <c r="E433" t="s">
        <v>34</v>
      </c>
      <c r="F433" t="s">
        <v>35</v>
      </c>
      <c r="G433" t="s">
        <v>117</v>
      </c>
      <c r="H433" s="20" t="s">
        <v>120</v>
      </c>
      <c r="I433" t="s">
        <v>65</v>
      </c>
      <c r="J433" s="30">
        <v>240</v>
      </c>
      <c r="K433" s="22">
        <f>IF(I433="","",IF(I433="ENTRADA",ABS(J433),-ABS(J433)))</f>
        <v>-240</v>
      </c>
      <c r="L433" t="s">
        <v>37</v>
      </c>
      <c r="N433">
        <v>65160</v>
      </c>
      <c r="O433" t="s">
        <v>382</v>
      </c>
      <c r="P433">
        <v>1882</v>
      </c>
      <c r="Q433" s="42">
        <v>46251</v>
      </c>
      <c r="R433" s="22" t="str">
        <f>IF(H433="","",H433&amp;I433)</f>
        <v>260410-025SALIDA</v>
      </c>
      <c r="S433" s="22" t="str">
        <f>IF(C433="","",C433&amp;I433)</f>
        <v>AzukaSALIDA</v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704</v>
      </c>
      <c r="B434" s="47">
        <v>46248</v>
      </c>
      <c r="C434" t="s">
        <v>122</v>
      </c>
      <c r="D434" t="s">
        <v>123</v>
      </c>
      <c r="E434" t="s">
        <v>34</v>
      </c>
      <c r="F434" t="s">
        <v>35</v>
      </c>
      <c r="G434" t="s">
        <v>117</v>
      </c>
      <c r="H434" s="20" t="s">
        <v>203</v>
      </c>
      <c r="I434" t="s">
        <v>65</v>
      </c>
      <c r="J434" s="30">
        <v>360</v>
      </c>
      <c r="K434" s="22">
        <f>IF(I434="","",IF(I434="ENTRADA",ABS(J434),-ABS(J434)))</f>
        <v>-360</v>
      </c>
      <c r="L434" t="s">
        <v>37</v>
      </c>
      <c r="N434">
        <v>65160</v>
      </c>
      <c r="O434" t="s">
        <v>382</v>
      </c>
      <c r="P434">
        <v>1882</v>
      </c>
      <c r="Q434" s="42">
        <v>46251</v>
      </c>
      <c r="R434" s="22" t="str">
        <f>IF(H434="","",H434&amp;I434)</f>
        <v>260410-027SALIDA</v>
      </c>
      <c r="S434" s="22" t="str">
        <f>IF(C434="","",C434&amp;I434)</f>
        <v>PardoSALIDA</v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705</v>
      </c>
      <c r="B435" s="47">
        <v>46248</v>
      </c>
      <c r="C435" t="s">
        <v>130</v>
      </c>
      <c r="D435" t="s">
        <v>131</v>
      </c>
      <c r="E435" t="s">
        <v>132</v>
      </c>
      <c r="G435" t="s">
        <v>133</v>
      </c>
      <c r="H435" s="20" t="s">
        <v>221</v>
      </c>
      <c r="I435" t="s">
        <v>65</v>
      </c>
      <c r="J435" s="30">
        <v>60</v>
      </c>
      <c r="K435" s="22">
        <f>IF(I435="","",IF(I435="ENTRADA",ABS(J435),-ABS(J435)))</f>
        <v>-60</v>
      </c>
      <c r="L435" t="s">
        <v>37</v>
      </c>
      <c r="N435">
        <v>65160</v>
      </c>
      <c r="O435" t="s">
        <v>382</v>
      </c>
      <c r="P435">
        <v>1882</v>
      </c>
      <c r="Q435" s="42">
        <v>46251</v>
      </c>
      <c r="R435" s="22" t="str">
        <f>IF(H435="","",H435&amp;I435)</f>
        <v>260414-029SALIDA</v>
      </c>
      <c r="S435" s="22" t="str">
        <f>IF(C435="","",C435&amp;I435)</f>
        <v>HarrierSALIDA</v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706</v>
      </c>
      <c r="B436" s="47">
        <v>46248</v>
      </c>
      <c r="C436" t="s">
        <v>137</v>
      </c>
      <c r="D436" t="s">
        <v>138</v>
      </c>
      <c r="E436" t="s">
        <v>132</v>
      </c>
      <c r="G436" t="s">
        <v>133</v>
      </c>
      <c r="H436" s="20" t="s">
        <v>211</v>
      </c>
      <c r="I436" t="s">
        <v>65</v>
      </c>
      <c r="J436" s="30">
        <v>5</v>
      </c>
      <c r="K436" s="22">
        <f>IF(I436="","",IF(I436="ENTRADA",ABS(J436),-ABS(J436)))</f>
        <v>-5</v>
      </c>
      <c r="L436" t="s">
        <v>385</v>
      </c>
      <c r="N436">
        <v>65160</v>
      </c>
      <c r="O436" t="s">
        <v>382</v>
      </c>
      <c r="P436">
        <v>1882</v>
      </c>
      <c r="Q436" s="42">
        <v>46251</v>
      </c>
      <c r="R436" s="22" t="str">
        <f>IF(H436="","",H436&amp;I436)</f>
        <v>260414-030SALIDA</v>
      </c>
      <c r="S436" s="22" t="str">
        <f>IF(C436="","",C436&amp;I436)</f>
        <v>Full controlSALIDA</v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707</v>
      </c>
      <c r="B437" s="47">
        <v>46248</v>
      </c>
      <c r="C437" t="s">
        <v>115</v>
      </c>
      <c r="D437" t="s">
        <v>116</v>
      </c>
      <c r="E437" t="s">
        <v>34</v>
      </c>
      <c r="F437" t="s">
        <v>35</v>
      </c>
      <c r="G437" t="s">
        <v>117</v>
      </c>
      <c r="H437" s="20" t="s">
        <v>120</v>
      </c>
      <c r="I437" t="s">
        <v>65</v>
      </c>
      <c r="J437" s="30">
        <v>240</v>
      </c>
      <c r="K437" s="22">
        <f>IF(I437="","",IF(I437="ENTRADA",ABS(J437),-ABS(J437)))</f>
        <v>-240</v>
      </c>
      <c r="L437" t="s">
        <v>37</v>
      </c>
      <c r="N437">
        <v>65161</v>
      </c>
      <c r="O437" t="s">
        <v>590</v>
      </c>
      <c r="P437">
        <v>1883</v>
      </c>
      <c r="Q437" s="42">
        <v>46251</v>
      </c>
      <c r="R437" s="22" t="str">
        <f>IF(H437="","",H437&amp;I437)</f>
        <v>260410-025SALIDA</v>
      </c>
      <c r="S437" s="22" t="str">
        <f>IF(C437="","",C437&amp;I437)</f>
        <v>AzukaSALIDA</v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708</v>
      </c>
      <c r="B438" s="47">
        <v>46248</v>
      </c>
      <c r="C438" t="s">
        <v>130</v>
      </c>
      <c r="D438" t="s">
        <v>131</v>
      </c>
      <c r="E438" t="s">
        <v>132</v>
      </c>
      <c r="G438" t="s">
        <v>133</v>
      </c>
      <c r="H438" s="20" t="s">
        <v>221</v>
      </c>
      <c r="I438" t="s">
        <v>65</v>
      </c>
      <c r="J438" s="30">
        <v>20</v>
      </c>
      <c r="K438" s="22">
        <f>IF(I438="","",IF(I438="ENTRADA",ABS(J438),-ABS(J438)))</f>
        <v>-20</v>
      </c>
      <c r="L438" t="s">
        <v>37</v>
      </c>
      <c r="N438">
        <v>65161</v>
      </c>
      <c r="O438" t="s">
        <v>590</v>
      </c>
      <c r="P438">
        <v>1883</v>
      </c>
      <c r="Q438" s="42">
        <v>46251</v>
      </c>
      <c r="R438" s="22" t="str">
        <f>IF(H438="","",H438&amp;I438)</f>
        <v>260414-029SALIDA</v>
      </c>
      <c r="S438" s="22" t="str">
        <f>IF(C438="","",C438&amp;I438)</f>
        <v>HarrierSALIDA</v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709</v>
      </c>
      <c r="B439" s="47">
        <v>46248</v>
      </c>
      <c r="C439" t="s">
        <v>491</v>
      </c>
      <c r="D439" t="s">
        <v>492</v>
      </c>
      <c r="E439" t="s">
        <v>493</v>
      </c>
      <c r="G439" t="s">
        <v>36</v>
      </c>
      <c r="H439" s="20" t="s">
        <v>495</v>
      </c>
      <c r="I439" t="s">
        <v>65</v>
      </c>
      <c r="J439" s="30">
        <v>440</v>
      </c>
      <c r="K439" s="22">
        <f>IF(I439="","",IF(I439="ENTRADA",ABS(J439),-ABS(J439)))</f>
        <v>-440</v>
      </c>
      <c r="L439" t="s">
        <v>37</v>
      </c>
      <c r="N439">
        <v>65162</v>
      </c>
      <c r="O439" t="s">
        <v>218</v>
      </c>
      <c r="P439">
        <v>1884</v>
      </c>
      <c r="Q439" s="42">
        <v>46251</v>
      </c>
      <c r="R439" s="22" t="str">
        <f>IF(H439="","",H439&amp;I439)</f>
        <v>260610-265SALIDA</v>
      </c>
      <c r="S439" s="22" t="str">
        <f>IF(C439="","",C439&amp;I439)</f>
        <v>Zinc Plus SALIDA</v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710</v>
      </c>
      <c r="B440" s="47">
        <v>46248</v>
      </c>
      <c r="C440" t="s">
        <v>130</v>
      </c>
      <c r="D440" t="s">
        <v>131</v>
      </c>
      <c r="E440" t="s">
        <v>132</v>
      </c>
      <c r="G440" t="s">
        <v>133</v>
      </c>
      <c r="H440" s="20" t="s">
        <v>221</v>
      </c>
      <c r="I440" t="s">
        <v>65</v>
      </c>
      <c r="J440" s="30">
        <v>25</v>
      </c>
      <c r="K440" s="22">
        <f>IF(I440="","",IF(I440="ENTRADA",ABS(J440),-ABS(J440)))</f>
        <v>-25</v>
      </c>
      <c r="L440" t="s">
        <v>37</v>
      </c>
      <c r="N440">
        <v>65162</v>
      </c>
      <c r="O440" t="s">
        <v>218</v>
      </c>
      <c r="P440">
        <v>1884</v>
      </c>
      <c r="Q440" s="42">
        <v>46251</v>
      </c>
      <c r="R440" s="22" t="str">
        <f>IF(H440="","",H440&amp;I440)</f>
        <v>260414-029SALIDA</v>
      </c>
      <c r="S440" s="22" t="str">
        <f>IF(C440="","",C440&amp;I440)</f>
        <v>HarrierSALIDA</v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711</v>
      </c>
      <c r="B441" s="47">
        <v>46248</v>
      </c>
      <c r="C441" s="34" t="s">
        <v>137</v>
      </c>
      <c r="D441" s="34" t="s">
        <v>138</v>
      </c>
      <c r="E441" s="34" t="s">
        <v>132</v>
      </c>
      <c r="F441" s="34"/>
      <c r="G441" s="34" t="s">
        <v>133</v>
      </c>
      <c r="H441" s="20" t="s">
        <v>211</v>
      </c>
      <c r="I441" s="34" t="s">
        <v>65</v>
      </c>
      <c r="J441" s="36">
        <v>4</v>
      </c>
      <c r="K441" s="22">
        <f>IF(I441="","",IF(I441="ENTRADA",ABS(J441),-ABS(J441)))</f>
        <v>-4</v>
      </c>
      <c r="L441" s="34" t="s">
        <v>37</v>
      </c>
      <c r="M441" s="34"/>
      <c r="N441">
        <v>65162</v>
      </c>
      <c r="O441" s="34" t="s">
        <v>218</v>
      </c>
      <c r="P441">
        <v>1884</v>
      </c>
      <c r="Q441" s="42">
        <v>46251</v>
      </c>
      <c r="R441" s="22" t="str">
        <f>IF(H441="","",H441&amp;I441)</f>
        <v>260414-030SALIDA</v>
      </c>
      <c r="S441" s="22" t="str">
        <f>IF(C441="","",C441&amp;I441)</f>
        <v>Full controlSALIDA</v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712</v>
      </c>
      <c r="B442" s="47">
        <v>46248</v>
      </c>
      <c r="C442" t="s">
        <v>514</v>
      </c>
      <c r="D442" t="s">
        <v>515</v>
      </c>
      <c r="E442" t="s">
        <v>516</v>
      </c>
      <c r="G442" t="s">
        <v>117</v>
      </c>
      <c r="H442" s="20" t="s">
        <v>665</v>
      </c>
      <c r="I442" t="s">
        <v>65</v>
      </c>
      <c r="J442" s="30">
        <v>130</v>
      </c>
      <c r="K442" s="22">
        <f>IF(I442="","",IF(I442="ENTRADA",ABS(J442),-ABS(J442)))</f>
        <v>-130</v>
      </c>
      <c r="L442" t="s">
        <v>37</v>
      </c>
      <c r="N442">
        <v>65162</v>
      </c>
      <c r="O442" t="s">
        <v>218</v>
      </c>
      <c r="P442">
        <v>1884</v>
      </c>
      <c r="Q442" s="42">
        <v>46251</v>
      </c>
      <c r="R442" s="22" t="str">
        <f>IF(H442="","",H442&amp;I442)</f>
        <v>260730-396SALIDA</v>
      </c>
      <c r="S442" s="22" t="str">
        <f>IF(C442="","",C442&amp;I442)</f>
        <v>Unico MaxSALIDA</v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713</v>
      </c>
      <c r="B443" s="47">
        <v>46253</v>
      </c>
      <c r="C443" t="s">
        <v>115</v>
      </c>
      <c r="D443" t="s">
        <v>116</v>
      </c>
      <c r="E443" t="s">
        <v>34</v>
      </c>
      <c r="F443" t="s">
        <v>35</v>
      </c>
      <c r="G443" t="s">
        <v>117</v>
      </c>
      <c r="H443" s="20" t="s">
        <v>669</v>
      </c>
      <c r="I443" t="s">
        <v>28</v>
      </c>
      <c r="J443" s="30">
        <v>10840</v>
      </c>
      <c r="K443" s="22">
        <f>IF(I443="","",IF(I443="ENTRADA",ABS(J443),-ABS(J443)))</f>
        <v>10840</v>
      </c>
      <c r="L443" t="s">
        <v>37</v>
      </c>
      <c r="N443">
        <v>50657</v>
      </c>
      <c r="P443">
        <v>14969</v>
      </c>
      <c r="Q443" s="42">
        <v>46254</v>
      </c>
      <c r="R443" s="22" t="str">
        <f>IF(H443="","",H443&amp;I443)</f>
        <v>260727-381ENTRADA</v>
      </c>
      <c r="S443" s="22" t="str">
        <f>IF(C443="","",C443&amp;I443)</f>
        <v>AzukaENTRADA</v>
      </c>
      <c r="T443" t="str">
        <f>IF(OR(C443="",I443&lt;&gt;"ENTRADA"),"",TEXT(B443,"AAMMDD")&amp;"-"&amp;TEXT(VALUE(SUBSTITUTE(A443,"MOV-","")),"000"))</f>
        <v>260819-443</v>
      </c>
    </row>
    <row r="444" spans="1:20">
      <c r="A444" s="20" t="s">
        <v>714</v>
      </c>
      <c r="B444" s="47">
        <v>46258</v>
      </c>
      <c r="C444" t="s">
        <v>115</v>
      </c>
      <c r="D444" t="s">
        <v>116</v>
      </c>
      <c r="E444" t="s">
        <v>34</v>
      </c>
      <c r="F444" t="s">
        <v>35</v>
      </c>
      <c r="G444" t="s">
        <v>117</v>
      </c>
      <c r="H444" s="20" t="s">
        <v>120</v>
      </c>
      <c r="I444" t="s">
        <v>65</v>
      </c>
      <c r="J444" s="30">
        <v>4200</v>
      </c>
      <c r="K444" s="22">
        <f>IF(I444="","",IF(I444="ENTRADA",ABS(J444),-ABS(J444)))</f>
        <v>-4200</v>
      </c>
      <c r="L444" t="s">
        <v>385</v>
      </c>
      <c r="N444">
        <v>65165</v>
      </c>
      <c r="O444" t="s">
        <v>237</v>
      </c>
      <c r="P444">
        <v>1886</v>
      </c>
      <c r="Q444" s="42">
        <v>46261</v>
      </c>
      <c r="R444" s="22" t="str">
        <f>IF(H444="","",H444&amp;I444)</f>
        <v>260410-025SALIDA</v>
      </c>
      <c r="S444" s="22" t="str">
        <f>IF(C444="","",C444&amp;I444)</f>
        <v>AzukaSALIDA</v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715</v>
      </c>
      <c r="B445" s="47">
        <v>46258</v>
      </c>
      <c r="C445" t="s">
        <v>122</v>
      </c>
      <c r="D445" t="s">
        <v>123</v>
      </c>
      <c r="E445" t="s">
        <v>34</v>
      </c>
      <c r="F445" t="s">
        <v>35</v>
      </c>
      <c r="G445" t="s">
        <v>117</v>
      </c>
      <c r="H445" s="20" t="s">
        <v>203</v>
      </c>
      <c r="I445" t="s">
        <v>65</v>
      </c>
      <c r="J445" s="30">
        <v>1000</v>
      </c>
      <c r="K445" s="22">
        <f>IF(I445="","",IF(I445="ENTRADA",ABS(J445),-ABS(J445)))</f>
        <v>-1000</v>
      </c>
      <c r="L445" t="s">
        <v>37</v>
      </c>
      <c r="N445">
        <v>65165</v>
      </c>
      <c r="O445" t="s">
        <v>237</v>
      </c>
      <c r="P445">
        <v>1886</v>
      </c>
      <c r="Q445" s="42">
        <v>46261</v>
      </c>
      <c r="R445" s="22" t="str">
        <f>IF(H445="","",H445&amp;I445)</f>
        <v>260410-027SALIDA</v>
      </c>
      <c r="S445" s="22" t="str">
        <f>IF(C445="","",C445&amp;I445)</f>
        <v>PardoSALIDA</v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716</v>
      </c>
      <c r="B446" s="47">
        <v>46258</v>
      </c>
      <c r="C446" t="s">
        <v>130</v>
      </c>
      <c r="D446" t="s">
        <v>131</v>
      </c>
      <c r="E446" t="s">
        <v>132</v>
      </c>
      <c r="G446" t="s">
        <v>133</v>
      </c>
      <c r="H446" s="20" t="s">
        <v>221</v>
      </c>
      <c r="I446" t="s">
        <v>65</v>
      </c>
      <c r="J446" s="30">
        <v>120</v>
      </c>
      <c r="K446" s="22">
        <f>IF(I446="","",IF(I446="ENTRADA",ABS(J446),-ABS(J446)))</f>
        <v>-120</v>
      </c>
      <c r="L446" t="s">
        <v>37</v>
      </c>
      <c r="N446">
        <v>65165</v>
      </c>
      <c r="O446" t="s">
        <v>237</v>
      </c>
      <c r="P446">
        <v>1886</v>
      </c>
      <c r="Q446" s="42">
        <v>46261</v>
      </c>
      <c r="R446" s="22" t="str">
        <f>IF(H446="","",H446&amp;I446)</f>
        <v>260414-029SALIDA</v>
      </c>
      <c r="S446" s="22" t="str">
        <f>IF(C446="","",C446&amp;I446)</f>
        <v>HarrierSALIDA</v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717</v>
      </c>
      <c r="B447" s="47">
        <v>46258</v>
      </c>
      <c r="C447" t="s">
        <v>137</v>
      </c>
      <c r="D447" t="s">
        <v>138</v>
      </c>
      <c r="E447" t="s">
        <v>132</v>
      </c>
      <c r="G447" t="s">
        <v>133</v>
      </c>
      <c r="H447" s="20" t="s">
        <v>211</v>
      </c>
      <c r="I447" t="s">
        <v>65</v>
      </c>
      <c r="J447" s="30">
        <v>30</v>
      </c>
      <c r="K447" s="22">
        <f>IF(I447="","",IF(I447="ENTRADA",ABS(J447),-ABS(J447)))</f>
        <v>-30</v>
      </c>
      <c r="L447" t="s">
        <v>37</v>
      </c>
      <c r="N447">
        <v>65165</v>
      </c>
      <c r="O447" t="s">
        <v>237</v>
      </c>
      <c r="P447">
        <v>1886</v>
      </c>
      <c r="Q447" s="42">
        <v>46261</v>
      </c>
      <c r="R447" s="22" t="str">
        <f>IF(H447="","",H447&amp;I447)</f>
        <v>260414-030SALIDA</v>
      </c>
      <c r="S447" s="22" t="str">
        <f>IF(C447="","",C447&amp;I447)</f>
        <v>Full controlSALIDA</v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718</v>
      </c>
      <c r="B448" s="47">
        <v>46258</v>
      </c>
      <c r="C448" t="s">
        <v>90</v>
      </c>
      <c r="D448" t="s">
        <v>91</v>
      </c>
      <c r="E448" t="s">
        <v>34</v>
      </c>
      <c r="G448" t="s">
        <v>36</v>
      </c>
      <c r="H448" s="20" t="s">
        <v>375</v>
      </c>
      <c r="I448" t="s">
        <v>65</v>
      </c>
      <c r="J448" s="30">
        <v>460</v>
      </c>
      <c r="K448" s="22">
        <f>IF(I448="","",IF(I448="ENTRADA",ABS(J448),-ABS(J448)))</f>
        <v>-460</v>
      </c>
      <c r="L448" t="s">
        <v>37</v>
      </c>
      <c r="N448">
        <v>65165</v>
      </c>
      <c r="O448" t="s">
        <v>237</v>
      </c>
      <c r="P448">
        <v>1886</v>
      </c>
      <c r="Q448" s="42">
        <v>46261</v>
      </c>
      <c r="R448" s="22" t="str">
        <f>IF(H448="","",H448&amp;I448)</f>
        <v>260405-132SALIDA</v>
      </c>
      <c r="S448" s="22" t="str">
        <f>IF(C448="","",C448&amp;I448)</f>
        <v>PixxaroSALIDA</v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719</v>
      </c>
      <c r="B449" s="47">
        <v>46255</v>
      </c>
      <c r="C449" t="s">
        <v>720</v>
      </c>
      <c r="D449" t="s">
        <v>721</v>
      </c>
      <c r="E449" t="s">
        <v>34</v>
      </c>
      <c r="F449" t="s">
        <v>35</v>
      </c>
      <c r="G449" t="s">
        <v>117</v>
      </c>
      <c r="H449" s="20" t="str">
        <f>+T449</f>
        <v>260821-449</v>
      </c>
      <c r="I449" t="s">
        <v>28</v>
      </c>
      <c r="J449" s="30">
        <v>1920</v>
      </c>
      <c r="K449" s="22">
        <f>IF(I449="","",IF(I449="ENTRADA",ABS(J449),-ABS(J449)))</f>
        <v>1920</v>
      </c>
      <c r="L449" t="s">
        <v>37</v>
      </c>
      <c r="M449" s="47">
        <v>46903</v>
      </c>
      <c r="N449">
        <v>50642</v>
      </c>
      <c r="P449">
        <v>14971</v>
      </c>
      <c r="Q449" s="42">
        <v>46261</v>
      </c>
      <c r="R449" s="22" t="str">
        <f>IF(H449="","",H449&amp;I449)</f>
        <v>260821-449ENTRADA</v>
      </c>
      <c r="S449" s="22" t="str">
        <f>IF(C449="","",C449&amp;I449)</f>
        <v>Gamina ENTRADA</v>
      </c>
      <c r="T449" t="str">
        <f>IF(OR(C449="",I449&lt;&gt;"ENTRADA"),"",TEXT(B449,"AAMMDD")&amp;"-"&amp;TEXT(VALUE(SUBSTITUTE(A449,"MOV-","")),"000"))</f>
        <v>260821-449</v>
      </c>
    </row>
    <row r="450" spans="1:20">
      <c r="A450" s="20" t="s">
        <v>722</v>
      </c>
      <c r="B450" s="47">
        <v>46258</v>
      </c>
      <c r="C450" t="s">
        <v>720</v>
      </c>
      <c r="D450" t="s">
        <v>721</v>
      </c>
      <c r="E450" t="s">
        <v>34</v>
      </c>
      <c r="F450" t="s">
        <v>35</v>
      </c>
      <c r="G450" t="s">
        <v>117</v>
      </c>
      <c r="H450" s="20" t="s">
        <v>723</v>
      </c>
      <c r="I450" t="s">
        <v>65</v>
      </c>
      <c r="J450" s="30">
        <v>500</v>
      </c>
      <c r="K450" s="22">
        <f>IF(I450="","",IF(I450="ENTRADA",ABS(J450),-ABS(J450)))</f>
        <v>-500</v>
      </c>
      <c r="L450" t="s">
        <v>37</v>
      </c>
      <c r="N450">
        <v>65165</v>
      </c>
      <c r="O450" t="s">
        <v>237</v>
      </c>
      <c r="P450">
        <v>1886</v>
      </c>
      <c r="Q450" s="42">
        <v>46261</v>
      </c>
      <c r="R450" s="22" t="str">
        <f>IF(H450="","",H450&amp;I450)</f>
        <v>260821-449SALIDA</v>
      </c>
      <c r="S450" s="22" t="str">
        <f>IF(C450="","",C450&amp;I450)</f>
        <v>Gamina SALIDA</v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724</v>
      </c>
      <c r="B451" s="47">
        <v>46255</v>
      </c>
      <c r="C451" t="s">
        <v>524</v>
      </c>
      <c r="D451" t="s">
        <v>525</v>
      </c>
      <c r="E451" t="s">
        <v>516</v>
      </c>
      <c r="G451" t="s">
        <v>158</v>
      </c>
      <c r="H451" s="20" t="s">
        <v>553</v>
      </c>
      <c r="I451" t="s">
        <v>65</v>
      </c>
      <c r="J451" s="30">
        <v>120</v>
      </c>
      <c r="K451" s="22">
        <f>IF(I451="","",IF(I451="ENTRADA",ABS(J451),-ABS(J451)))</f>
        <v>-120</v>
      </c>
      <c r="L451" t="s">
        <v>37</v>
      </c>
      <c r="N451">
        <v>65164</v>
      </c>
      <c r="O451" t="s">
        <v>66</v>
      </c>
      <c r="P451">
        <v>1885</v>
      </c>
      <c r="Q451" s="42">
        <v>46255</v>
      </c>
      <c r="R451" s="22" t="str">
        <f>IF(H451="","",H451&amp;I451)</f>
        <v>260623-289SALIDA</v>
      </c>
      <c r="S451" s="22" t="str">
        <f>IF(C451="","",C451&amp;I451)</f>
        <v>cripton xpro SALIDA</v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725</v>
      </c>
      <c r="B452" s="47">
        <v>46255</v>
      </c>
      <c r="C452" s="34" t="s">
        <v>137</v>
      </c>
      <c r="D452" s="34" t="s">
        <v>138</v>
      </c>
      <c r="E452" s="34" t="s">
        <v>132</v>
      </c>
      <c r="F452" s="34"/>
      <c r="G452" s="34" t="s">
        <v>133</v>
      </c>
      <c r="H452" s="20" t="s">
        <v>211</v>
      </c>
      <c r="I452" s="34" t="s">
        <v>65</v>
      </c>
      <c r="J452" s="30">
        <v>15</v>
      </c>
      <c r="K452" s="22">
        <f>IF(I452="","",IF(I452="ENTRADA",ABS(J452),-ABS(J452)))</f>
        <v>-15</v>
      </c>
      <c r="L452" s="34" t="s">
        <v>37</v>
      </c>
      <c r="M452" s="34"/>
      <c r="N452">
        <v>65164</v>
      </c>
      <c r="O452" s="34" t="s">
        <v>66</v>
      </c>
      <c r="P452">
        <v>1885</v>
      </c>
      <c r="Q452" s="42">
        <v>46255</v>
      </c>
      <c r="R452" s="22" t="str">
        <f>IF(H452="","",H452&amp;I452)</f>
        <v>260414-030SALIDA</v>
      </c>
      <c r="S452" s="22" t="str">
        <f>IF(C452="","",C452&amp;I452)</f>
        <v>Full controlSALIDA</v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726</v>
      </c>
      <c r="B453" s="47">
        <v>46255</v>
      </c>
      <c r="C453" t="s">
        <v>657</v>
      </c>
      <c r="D453" t="s">
        <v>658</v>
      </c>
      <c r="E453" t="s">
        <v>132</v>
      </c>
      <c r="G453" t="s">
        <v>133</v>
      </c>
      <c r="H453" s="20" t="s">
        <v>660</v>
      </c>
      <c r="I453" t="s">
        <v>65</v>
      </c>
      <c r="J453" s="30">
        <v>40</v>
      </c>
      <c r="K453" s="22">
        <f>IF(I453="","",IF(I453="ENTRADA",ABS(J453),-ABS(J453)))</f>
        <v>-40</v>
      </c>
      <c r="L453" t="s">
        <v>37</v>
      </c>
      <c r="N453">
        <v>65164</v>
      </c>
      <c r="O453" t="s">
        <v>66</v>
      </c>
      <c r="P453">
        <v>1885</v>
      </c>
      <c r="Q453" s="42">
        <v>46255</v>
      </c>
      <c r="R453" s="22" t="str">
        <f>IF(H453="","",H453&amp;I453)</f>
        <v>260729-393SALIDA</v>
      </c>
      <c r="S453" s="22" t="str">
        <f>IF(C453="","",C453&amp;I453)</f>
        <v>Harrier Drone SALIDA</v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727</v>
      </c>
      <c r="B454" s="47">
        <v>46258</v>
      </c>
      <c r="C454" t="s">
        <v>137</v>
      </c>
      <c r="D454" t="s">
        <v>138</v>
      </c>
      <c r="E454" t="s">
        <v>132</v>
      </c>
      <c r="G454" t="s">
        <v>133</v>
      </c>
      <c r="H454" s="20" t="s">
        <v>211</v>
      </c>
      <c r="I454" t="s">
        <v>65</v>
      </c>
      <c r="J454" s="30">
        <v>7</v>
      </c>
      <c r="K454" s="22">
        <f>IF(I454="","",IF(I454="ENTRADA",ABS(J454),-ABS(J454)))</f>
        <v>-7</v>
      </c>
      <c r="L454" t="s">
        <v>37</v>
      </c>
      <c r="N454">
        <v>65166</v>
      </c>
      <c r="O454" t="s">
        <v>387</v>
      </c>
      <c r="P454">
        <v>1887</v>
      </c>
      <c r="Q454" s="42">
        <v>46261</v>
      </c>
      <c r="R454" s="22" t="str">
        <f>IF(H454="","",H454&amp;I454)</f>
        <v>260414-030SALIDA</v>
      </c>
      <c r="S454" s="22" t="str">
        <f>IF(C454="","",C454&amp;I454)</f>
        <v>Full controlSALIDA</v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728</v>
      </c>
      <c r="B455" s="47">
        <v>46258</v>
      </c>
      <c r="C455" t="s">
        <v>130</v>
      </c>
      <c r="D455" t="s">
        <v>131</v>
      </c>
      <c r="E455" t="s">
        <v>132</v>
      </c>
      <c r="G455" t="s">
        <v>133</v>
      </c>
      <c r="H455" s="20" t="s">
        <v>221</v>
      </c>
      <c r="I455" t="s">
        <v>65</v>
      </c>
      <c r="J455" s="30">
        <v>50</v>
      </c>
      <c r="K455" s="22">
        <f>IF(I455="","",IF(I455="ENTRADA",ABS(J455),-ABS(J455)))</f>
        <v>-50</v>
      </c>
      <c r="L455" t="s">
        <v>37</v>
      </c>
      <c r="N455">
        <v>65166</v>
      </c>
      <c r="O455" t="s">
        <v>387</v>
      </c>
      <c r="P455">
        <v>1887</v>
      </c>
      <c r="Q455" s="42">
        <v>46261</v>
      </c>
      <c r="R455" s="22" t="str">
        <f>IF(H455="","",H455&amp;I455)</f>
        <v>260414-029SALIDA</v>
      </c>
      <c r="S455" s="22" t="str">
        <f>IF(C455="","",C455&amp;I455)</f>
        <v>HarrierSALIDA</v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729</v>
      </c>
      <c r="B456" s="47">
        <v>46258</v>
      </c>
      <c r="C456" t="s">
        <v>524</v>
      </c>
      <c r="D456" t="s">
        <v>525</v>
      </c>
      <c r="E456" t="s">
        <v>516</v>
      </c>
      <c r="G456" t="s">
        <v>158</v>
      </c>
      <c r="H456" s="20" t="s">
        <v>553</v>
      </c>
      <c r="I456" t="s">
        <v>65</v>
      </c>
      <c r="J456" s="30">
        <v>195</v>
      </c>
      <c r="K456" s="22">
        <f>IF(I456="","",IF(I456="ENTRADA",ABS(J456),-ABS(J456)))</f>
        <v>-195</v>
      </c>
      <c r="L456" t="s">
        <v>37</v>
      </c>
      <c r="N456">
        <v>65166</v>
      </c>
      <c r="O456" t="s">
        <v>387</v>
      </c>
      <c r="P456">
        <v>1887</v>
      </c>
      <c r="Q456" s="42">
        <v>46261</v>
      </c>
      <c r="R456" s="22" t="str">
        <f>IF(H456="","",H456&amp;I456)</f>
        <v>260623-289SALIDA</v>
      </c>
      <c r="S456" s="22" t="str">
        <f>IF(C456="","",C456&amp;I456)</f>
        <v>cripton xpro SALIDA</v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730</v>
      </c>
      <c r="B457" s="47">
        <v>46258</v>
      </c>
      <c r="C457" t="s">
        <v>137</v>
      </c>
      <c r="D457" t="s">
        <v>138</v>
      </c>
      <c r="E457" t="s">
        <v>132</v>
      </c>
      <c r="G457" t="s">
        <v>133</v>
      </c>
      <c r="H457" s="20" t="s">
        <v>211</v>
      </c>
      <c r="I457" t="s">
        <v>65</v>
      </c>
      <c r="J457" s="30">
        <v>10</v>
      </c>
      <c r="K457" s="22">
        <f>IF(I457="","",IF(I457="ENTRADA",ABS(J457),-ABS(J457)))</f>
        <v>-10</v>
      </c>
      <c r="L457" t="s">
        <v>37</v>
      </c>
      <c r="N457">
        <v>65167</v>
      </c>
      <c r="O457" t="s">
        <v>218</v>
      </c>
      <c r="P457">
        <v>1888</v>
      </c>
      <c r="Q457" s="42">
        <v>46261</v>
      </c>
      <c r="R457" s="22" t="str">
        <f>IF(H457="","",H457&amp;I457)</f>
        <v>260414-030SALIDA</v>
      </c>
      <c r="S457" s="22" t="str">
        <f>IF(C457="","",C457&amp;I457)</f>
        <v>Full controlSALIDA</v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731</v>
      </c>
      <c r="B458" s="47">
        <v>46258</v>
      </c>
      <c r="C458" t="s">
        <v>130</v>
      </c>
      <c r="D458" t="s">
        <v>131</v>
      </c>
      <c r="E458" t="s">
        <v>132</v>
      </c>
      <c r="G458" t="s">
        <v>133</v>
      </c>
      <c r="H458" s="20" t="s">
        <v>221</v>
      </c>
      <c r="I458" t="s">
        <v>65</v>
      </c>
      <c r="J458" s="30">
        <v>60</v>
      </c>
      <c r="K458" s="22">
        <f>IF(I458="","",IF(I458="ENTRADA",ABS(J458),-ABS(J458)))</f>
        <v>-60</v>
      </c>
      <c r="L458" t="s">
        <v>37</v>
      </c>
      <c r="N458">
        <v>65167</v>
      </c>
      <c r="O458" t="s">
        <v>218</v>
      </c>
      <c r="P458">
        <v>1888</v>
      </c>
      <c r="Q458" s="42">
        <v>46261</v>
      </c>
      <c r="R458" s="22" t="str">
        <f>IF(H458="","",H458&amp;I458)</f>
        <v>260414-029SALIDA</v>
      </c>
      <c r="S458" s="22" t="str">
        <f>IF(C458="","",C458&amp;I458)</f>
        <v>HarrierSALIDA</v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732</v>
      </c>
      <c r="B459" s="47">
        <v>46258</v>
      </c>
      <c r="C459" t="s">
        <v>130</v>
      </c>
      <c r="D459" t="s">
        <v>131</v>
      </c>
      <c r="E459" t="s">
        <v>132</v>
      </c>
      <c r="G459" t="s">
        <v>133</v>
      </c>
      <c r="H459" s="20" t="s">
        <v>221</v>
      </c>
      <c r="I459" t="s">
        <v>65</v>
      </c>
      <c r="J459" s="30">
        <v>80</v>
      </c>
      <c r="K459" s="22">
        <f>IF(I459="","",IF(I459="ENTRADA",ABS(J459),-ABS(J459)))</f>
        <v>-80</v>
      </c>
      <c r="L459" t="s">
        <v>37</v>
      </c>
      <c r="N459">
        <v>65168</v>
      </c>
      <c r="O459" t="s">
        <v>382</v>
      </c>
      <c r="P459">
        <v>1889</v>
      </c>
      <c r="Q459" s="42">
        <v>46261</v>
      </c>
      <c r="R459" s="22" t="str">
        <f>IF(H459="","",H459&amp;I459)</f>
        <v>260414-029SALIDA</v>
      </c>
      <c r="S459" s="22" t="str">
        <f>IF(C459="","",C459&amp;I459)</f>
        <v>HarrierSALIDA</v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733</v>
      </c>
      <c r="B460" s="47">
        <v>46258</v>
      </c>
      <c r="C460" t="s">
        <v>137</v>
      </c>
      <c r="D460" t="s">
        <v>138</v>
      </c>
      <c r="E460" t="s">
        <v>132</v>
      </c>
      <c r="G460" t="s">
        <v>133</v>
      </c>
      <c r="H460" s="20" t="s">
        <v>211</v>
      </c>
      <c r="I460" t="s">
        <v>65</v>
      </c>
      <c r="J460" s="30">
        <v>15</v>
      </c>
      <c r="K460" s="22">
        <f>IF(I460="","",IF(I460="ENTRADA",ABS(J460),-ABS(J460)))</f>
        <v>-15</v>
      </c>
      <c r="L460" t="s">
        <v>37</v>
      </c>
      <c r="N460">
        <v>65168</v>
      </c>
      <c r="O460" t="s">
        <v>382</v>
      </c>
      <c r="P460">
        <v>1889</v>
      </c>
      <c r="Q460" s="42">
        <v>46261</v>
      </c>
      <c r="R460" s="22" t="str">
        <f>IF(H460="","",H460&amp;I460)</f>
        <v>260414-030SALIDA</v>
      </c>
      <c r="S460" s="22" t="str">
        <f>IF(C460="","",C460&amp;I460)</f>
        <v>Full controlSALIDA</v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734</v>
      </c>
      <c r="B461" s="47">
        <v>46260</v>
      </c>
      <c r="C461" t="s">
        <v>491</v>
      </c>
      <c r="D461" t="s">
        <v>492</v>
      </c>
      <c r="E461" t="s">
        <v>493</v>
      </c>
      <c r="G461" t="s">
        <v>36</v>
      </c>
      <c r="H461" s="20" t="s">
        <v>495</v>
      </c>
      <c r="I461" t="s">
        <v>65</v>
      </c>
      <c r="J461" s="30">
        <v>360</v>
      </c>
      <c r="K461" s="22">
        <f>IF(I461="","",IF(I461="ENTRADA",ABS(J461),-ABS(J461)))</f>
        <v>-360</v>
      </c>
      <c r="L461" t="s">
        <v>37</v>
      </c>
      <c r="N461">
        <v>65169</v>
      </c>
      <c r="O461" t="s">
        <v>218</v>
      </c>
      <c r="P461">
        <v>1890</v>
      </c>
      <c r="Q461" s="42">
        <v>46261</v>
      </c>
      <c r="R461" s="22" t="str">
        <f>IF(H461="","",H461&amp;I461)</f>
        <v>260610-265SALIDA</v>
      </c>
      <c r="S461" s="22" t="str">
        <f>IF(C461="","",C461&amp;I461)</f>
        <v>Zinc Plus SALIDA</v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735</v>
      </c>
      <c r="B462" s="47">
        <v>46260</v>
      </c>
      <c r="C462" t="s">
        <v>137</v>
      </c>
      <c r="D462" t="s">
        <v>138</v>
      </c>
      <c r="E462" t="s">
        <v>132</v>
      </c>
      <c r="G462" t="s">
        <v>133</v>
      </c>
      <c r="H462" s="20" t="s">
        <v>211</v>
      </c>
      <c r="I462" t="s">
        <v>65</v>
      </c>
      <c r="J462" s="30">
        <v>2</v>
      </c>
      <c r="K462" s="22">
        <f>IF(I462="","",IF(I462="ENTRADA",ABS(J462),-ABS(J462)))</f>
        <v>-2</v>
      </c>
      <c r="L462" t="s">
        <v>37</v>
      </c>
      <c r="N462">
        <v>65169</v>
      </c>
      <c r="O462" t="s">
        <v>218</v>
      </c>
      <c r="P462">
        <v>1890</v>
      </c>
      <c r="Q462" s="42">
        <v>46261</v>
      </c>
      <c r="R462" s="22" t="str">
        <f>IF(H462="","",H462&amp;I462)</f>
        <v>260414-030SALIDA</v>
      </c>
      <c r="S462" s="22" t="str">
        <f>IF(C462="","",C462&amp;I462)</f>
        <v>Full controlSALIDA</v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736</v>
      </c>
      <c r="B463" s="47">
        <v>46260</v>
      </c>
      <c r="C463" s="34" t="s">
        <v>514</v>
      </c>
      <c r="D463" s="34" t="s">
        <v>515</v>
      </c>
      <c r="E463" s="34" t="s">
        <v>516</v>
      </c>
      <c r="F463" s="34"/>
      <c r="G463" s="34" t="s">
        <v>117</v>
      </c>
      <c r="H463" s="20" t="s">
        <v>665</v>
      </c>
      <c r="I463" s="34" t="s">
        <v>65</v>
      </c>
      <c r="J463" s="30">
        <v>105</v>
      </c>
      <c r="K463" s="22">
        <f>IF(I463="","",IF(I463="ENTRADA",ABS(J463),-ABS(J463)))</f>
        <v>-105</v>
      </c>
      <c r="L463" s="34" t="s">
        <v>37</v>
      </c>
      <c r="M463" s="34"/>
      <c r="N463">
        <v>65169</v>
      </c>
      <c r="O463" s="34" t="s">
        <v>218</v>
      </c>
      <c r="P463">
        <v>1890</v>
      </c>
      <c r="Q463" s="42">
        <v>46261</v>
      </c>
      <c r="R463" s="22" t="str">
        <f>IF(H463="","",H463&amp;I463)</f>
        <v>260730-396SALIDA</v>
      </c>
      <c r="S463" s="22" t="str">
        <f>IF(C463="","",C463&amp;I463)</f>
        <v>Unico MaxSALIDA</v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737</v>
      </c>
      <c r="B464" s="47">
        <v>46260</v>
      </c>
      <c r="C464" t="s">
        <v>130</v>
      </c>
      <c r="D464" t="s">
        <v>131</v>
      </c>
      <c r="E464" t="s">
        <v>132</v>
      </c>
      <c r="G464" t="s">
        <v>133</v>
      </c>
      <c r="H464" s="20" t="s">
        <v>221</v>
      </c>
      <c r="I464" t="s">
        <v>65</v>
      </c>
      <c r="J464" s="30">
        <v>500</v>
      </c>
      <c r="K464" s="22">
        <f>IF(I464="","",IF(I464="ENTRADA",ABS(J464),-ABS(J464)))</f>
        <v>-500</v>
      </c>
      <c r="N464">
        <v>65170</v>
      </c>
      <c r="O464" t="s">
        <v>213</v>
      </c>
      <c r="P464">
        <v>1891</v>
      </c>
      <c r="Q464" s="42">
        <v>46261</v>
      </c>
      <c r="R464" s="22" t="str">
        <f>IF(H464="","",H464&amp;I464)</f>
        <v>260414-029SALIDA</v>
      </c>
      <c r="S464" s="22" t="str">
        <f>IF(C464="","",C464&amp;I464)</f>
        <v>HarrierSALIDA</v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738</v>
      </c>
      <c r="B465" s="47">
        <v>46260</v>
      </c>
      <c r="C465" t="s">
        <v>524</v>
      </c>
      <c r="D465" t="s">
        <v>525</v>
      </c>
      <c r="E465" t="s">
        <v>516</v>
      </c>
      <c r="G465" t="s">
        <v>158</v>
      </c>
      <c r="H465" s="20" t="s">
        <v>739</v>
      </c>
      <c r="I465" t="s">
        <v>65</v>
      </c>
      <c r="J465" s="30">
        <v>500</v>
      </c>
      <c r="K465" s="22">
        <f>IF(I465="","",IF(I465="ENTRADA",ABS(J465),-ABS(J465)))</f>
        <v>-500</v>
      </c>
      <c r="L465" t="s">
        <v>37</v>
      </c>
      <c r="N465">
        <v>65170</v>
      </c>
      <c r="O465" t="s">
        <v>213</v>
      </c>
      <c r="P465">
        <v>1891</v>
      </c>
      <c r="Q465" s="42">
        <v>46261</v>
      </c>
      <c r="R465" s="22" t="str">
        <f>IF(H465="","",H465&amp;I465)</f>
        <v>260706-343SALIDA</v>
      </c>
      <c r="S465" s="22" t="str">
        <f>IF(C465="","",C465&amp;I465)</f>
        <v>cripton xpro SALIDA</v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740</v>
      </c>
      <c r="B466" s="47">
        <v>46260</v>
      </c>
      <c r="C466" t="s">
        <v>141</v>
      </c>
      <c r="D466" t="s">
        <v>142</v>
      </c>
      <c r="E466" t="s">
        <v>132</v>
      </c>
      <c r="G466" t="s">
        <v>133</v>
      </c>
      <c r="H466" s="20" t="s">
        <v>469</v>
      </c>
      <c r="I466" t="s">
        <v>65</v>
      </c>
      <c r="J466" s="30">
        <v>60</v>
      </c>
      <c r="K466" s="22">
        <f>IF(I466="","",IF(I466="ENTRADA",ABS(J466),-ABS(J466)))</f>
        <v>-60</v>
      </c>
      <c r="N466">
        <v>65170</v>
      </c>
      <c r="O466" t="s">
        <v>213</v>
      </c>
      <c r="P466">
        <v>1891</v>
      </c>
      <c r="Q466" s="42">
        <v>46261</v>
      </c>
      <c r="R466" s="22" t="str">
        <f>IF(H466="","",H466&amp;I466)</f>
        <v>260414-031SALIDA</v>
      </c>
      <c r="S466" s="22" t="str">
        <f>IF(C466="","",C466&amp;I466)</f>
        <v>Maxi DropSALIDA</v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741</v>
      </c>
      <c r="B467" s="47">
        <v>46260</v>
      </c>
      <c r="C467" t="s">
        <v>491</v>
      </c>
      <c r="D467" t="s">
        <v>492</v>
      </c>
      <c r="E467" t="s">
        <v>493</v>
      </c>
      <c r="G467" t="s">
        <v>36</v>
      </c>
      <c r="H467" s="20" t="s">
        <v>495</v>
      </c>
      <c r="I467" t="s">
        <v>28</v>
      </c>
      <c r="J467" s="30">
        <v>1140</v>
      </c>
      <c r="K467" s="22">
        <f>IF(I467="","",IF(I467="ENTRADA",ABS(J467),-ABS(J467)))</f>
        <v>1140</v>
      </c>
      <c r="L467" t="s">
        <v>37</v>
      </c>
      <c r="N467">
        <v>65172</v>
      </c>
      <c r="O467" t="s">
        <v>237</v>
      </c>
      <c r="Q467" s="33"/>
      <c r="R467" s="22" t="str">
        <f>IF(H467="","",H467&amp;I467)</f>
        <v>260610-265ENTRADA</v>
      </c>
      <c r="S467" s="22" t="str">
        <f>IF(C467="","",C467&amp;I467)</f>
        <v>Zinc Plus ENTRADA</v>
      </c>
      <c r="T467" t="str">
        <f>IF(OR(C467="",I467&lt;&gt;"ENTRADA"),"",TEXT(B467,"AAMMDD")&amp;"-"&amp;TEXT(VALUE(SUBSTITUTE(A467,"MOV-","")),"000"))</f>
        <v>260826-467</v>
      </c>
    </row>
    <row r="468" spans="1:20">
      <c r="A468" s="20" t="s">
        <v>742</v>
      </c>
      <c r="B468" s="47">
        <v>46260</v>
      </c>
      <c r="C468" t="s">
        <v>40</v>
      </c>
      <c r="D468" t="s">
        <v>41</v>
      </c>
      <c r="E468" t="s">
        <v>34</v>
      </c>
      <c r="F468" t="s">
        <v>35</v>
      </c>
      <c r="G468" t="s">
        <v>36</v>
      </c>
      <c r="H468" s="20" t="s">
        <v>471</v>
      </c>
      <c r="I468" t="s">
        <v>28</v>
      </c>
      <c r="J468" s="30">
        <v>45</v>
      </c>
      <c r="K468" s="22">
        <f>IF(I468="","",IF(I468="ENTRADA",ABS(J468),-ABS(J468)))</f>
        <v>45</v>
      </c>
      <c r="L468" t="s">
        <v>37</v>
      </c>
      <c r="N468">
        <v>65172</v>
      </c>
      <c r="O468" t="s">
        <v>237</v>
      </c>
      <c r="Q468" s="33"/>
      <c r="R468" s="22" t="str">
        <f>IF(H468="","",H468&amp;I468)</f>
        <v>260401-003ENTRADA</v>
      </c>
      <c r="S468" s="22" t="str">
        <f>IF(C468="","",C468&amp;I468)</f>
        <v>LontrelENTRADA</v>
      </c>
      <c r="T468" t="str">
        <f>IF(OR(C468="",I468&lt;&gt;"ENTRADA"),"",TEXT(B468,"AAMMDD")&amp;"-"&amp;TEXT(VALUE(SUBSTITUTE(A468,"MOV-","")),"000"))</f>
        <v>260826-468</v>
      </c>
    </row>
    <row r="469" spans="1:20">
      <c r="A469" s="20" t="s">
        <v>743</v>
      </c>
      <c r="B469" s="47">
        <v>46260</v>
      </c>
      <c r="C469" t="s">
        <v>130</v>
      </c>
      <c r="D469" t="s">
        <v>131</v>
      </c>
      <c r="E469" t="s">
        <v>132</v>
      </c>
      <c r="G469" t="s">
        <v>133</v>
      </c>
      <c r="H469" s="20" t="s">
        <v>221</v>
      </c>
      <c r="I469" t="s">
        <v>65</v>
      </c>
      <c r="J469" s="30">
        <v>35</v>
      </c>
      <c r="K469" s="22">
        <f>IF(I469="","",IF(I469="ENTRADA",ABS(J469),-ABS(J469)))</f>
        <v>-35</v>
      </c>
      <c r="L469" t="s">
        <v>37</v>
      </c>
      <c r="N469">
        <v>65173</v>
      </c>
      <c r="O469" t="s">
        <v>382</v>
      </c>
      <c r="P469">
        <v>1892</v>
      </c>
      <c r="Q469" s="42">
        <v>46261</v>
      </c>
      <c r="R469" s="22" t="str">
        <f>IF(H469="","",H469&amp;I469)</f>
        <v>260414-029SALIDA</v>
      </c>
      <c r="S469" s="22" t="str">
        <f>IF(C469="","",C469&amp;I469)</f>
        <v>HarrierSALIDA</v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744</v>
      </c>
      <c r="B470" s="47">
        <v>46260</v>
      </c>
      <c r="C470" t="s">
        <v>137</v>
      </c>
      <c r="D470" t="s">
        <v>138</v>
      </c>
      <c r="E470" t="s">
        <v>132</v>
      </c>
      <c r="G470" t="s">
        <v>133</v>
      </c>
      <c r="H470" s="20" t="s">
        <v>211</v>
      </c>
      <c r="I470" t="s">
        <v>65</v>
      </c>
      <c r="J470" s="30">
        <v>5</v>
      </c>
      <c r="K470" s="22">
        <f>IF(I470="","",IF(I470="ENTRADA",ABS(J470),-ABS(J470)))</f>
        <v>-5</v>
      </c>
      <c r="L470" t="s">
        <v>37</v>
      </c>
      <c r="N470">
        <v>65173</v>
      </c>
      <c r="P470">
        <v>1892</v>
      </c>
      <c r="Q470" s="42">
        <v>46261</v>
      </c>
      <c r="R470" s="22" t="str">
        <f>IF(H470="","",H470&amp;I470)</f>
        <v>260414-030SALIDA</v>
      </c>
      <c r="S470" s="22" t="str">
        <f>IF(C470="","",C470&amp;I470)</f>
        <v>Full controlSALIDA</v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745</v>
      </c>
      <c r="B471" s="47">
        <v>46261</v>
      </c>
      <c r="C471" t="s">
        <v>130</v>
      </c>
      <c r="D471" t="s">
        <v>131</v>
      </c>
      <c r="E471" t="s">
        <v>132</v>
      </c>
      <c r="G471" t="s">
        <v>133</v>
      </c>
      <c r="H471" s="20" t="s">
        <v>221</v>
      </c>
      <c r="I471" t="s">
        <v>28</v>
      </c>
      <c r="J471" s="30">
        <v>10000</v>
      </c>
      <c r="K471" s="22">
        <f>IF(I471="","",IF(I471="ENTRADA",ABS(J471),-ABS(J471)))</f>
        <v>10000</v>
      </c>
      <c r="L471" t="s">
        <v>37</v>
      </c>
      <c r="N471">
        <v>457</v>
      </c>
      <c r="P471">
        <v>14973</v>
      </c>
      <c r="Q471" s="42">
        <v>46261</v>
      </c>
      <c r="R471" s="22" t="str">
        <f>IF(H471="","",H471&amp;I471)</f>
        <v>260414-029ENTRADA</v>
      </c>
      <c r="S471" s="22" t="str">
        <f>IF(C471="","",C471&amp;I471)</f>
        <v>HarrierENTRADA</v>
      </c>
      <c r="T471" t="str">
        <f>IF(OR(C471="",I471&lt;&gt;"ENTRADA"),"",TEXT(B471,"AAMMDD")&amp;"-"&amp;TEXT(VALUE(SUBSTITUTE(A471,"MOV-","")),"000"))</f>
        <v>260827-471</v>
      </c>
    </row>
    <row r="472" spans="1:20">
      <c r="A472" s="20" t="s">
        <v>746</v>
      </c>
      <c r="B472" s="47">
        <v>46261</v>
      </c>
      <c r="C472" t="s">
        <v>137</v>
      </c>
      <c r="D472" t="s">
        <v>138</v>
      </c>
      <c r="E472" t="s">
        <v>132</v>
      </c>
      <c r="G472" t="s">
        <v>133</v>
      </c>
      <c r="H472" s="20" t="str">
        <f>+T472</f>
        <v>260827-472</v>
      </c>
      <c r="I472" t="s">
        <v>28</v>
      </c>
      <c r="J472" s="30">
        <v>2000</v>
      </c>
      <c r="K472" s="22">
        <f>IF(I472="","",IF(I472="ENTRADA",ABS(J472),-ABS(J472)))</f>
        <v>2000</v>
      </c>
      <c r="L472" t="s">
        <v>37</v>
      </c>
      <c r="N472">
        <v>457</v>
      </c>
      <c r="P472">
        <v>14973</v>
      </c>
      <c r="Q472" s="42">
        <v>46261</v>
      </c>
      <c r="R472" s="22" t="str">
        <f>IF(H472="","",H472&amp;I472)</f>
        <v>260827-472ENTRADA</v>
      </c>
      <c r="S472" s="22" t="str">
        <f>IF(C472="","",C472&amp;I472)</f>
        <v>Full controlENTRADA</v>
      </c>
      <c r="T472" t="str">
        <f>IF(OR(C472="",I472&lt;&gt;"ENTRADA"),"",TEXT(B472,"AAMMDD")&amp;"-"&amp;TEXT(VALUE(SUBSTITUTE(A472,"MOV-","")),"000"))</f>
        <v>260827-472</v>
      </c>
    </row>
    <row r="473" spans="1:20">
      <c r="A473" s="20" t="s">
        <v>747</v>
      </c>
      <c r="B473" s="47">
        <v>46261</v>
      </c>
      <c r="C473" t="s">
        <v>141</v>
      </c>
      <c r="D473" t="s">
        <v>142</v>
      </c>
      <c r="E473" t="s">
        <v>132</v>
      </c>
      <c r="G473" t="s">
        <v>133</v>
      </c>
      <c r="H473" s="20" t="str">
        <f>+T473</f>
        <v>260827-473</v>
      </c>
      <c r="I473" t="s">
        <v>28</v>
      </c>
      <c r="J473" s="30">
        <v>300</v>
      </c>
      <c r="K473" s="22">
        <f>IF(I473="","",IF(I473="ENTRADA",ABS(J473),-ABS(J473)))</f>
        <v>300</v>
      </c>
      <c r="L473" t="s">
        <v>37</v>
      </c>
      <c r="N473">
        <v>457</v>
      </c>
      <c r="P473">
        <v>14973</v>
      </c>
      <c r="Q473" s="42">
        <v>46261</v>
      </c>
      <c r="R473" s="22" t="str">
        <f>IF(H473="","",H473&amp;I473)</f>
        <v>260827-473ENTRADA</v>
      </c>
      <c r="S473" s="22" t="str">
        <f>IF(C473="","",C473&amp;I473)</f>
        <v>Maxi DropENTRADA</v>
      </c>
      <c r="T473" t="str">
        <f>IF(OR(C473="",I473&lt;&gt;"ENTRADA"),"",TEXT(B473,"AAMMDD")&amp;"-"&amp;TEXT(VALUE(SUBSTITUTE(A473,"MOV-","")),"000"))</f>
        <v>260827-473</v>
      </c>
    </row>
    <row r="474" spans="1:20">
      <c r="A474" s="20" t="s">
        <v>748</v>
      </c>
      <c r="B474" s="60">
        <v>46255</v>
      </c>
      <c r="C474" s="34" t="s">
        <v>90</v>
      </c>
      <c r="D474" s="34" t="s">
        <v>91</v>
      </c>
      <c r="E474" s="34" t="s">
        <v>34</v>
      </c>
      <c r="F474" s="34" t="s">
        <v>35</v>
      </c>
      <c r="G474" s="34" t="s">
        <v>36</v>
      </c>
      <c r="H474" s="20" t="s">
        <v>375</v>
      </c>
      <c r="I474" s="34" t="s">
        <v>28</v>
      </c>
      <c r="J474" s="36">
        <v>5000</v>
      </c>
      <c r="K474" s="22">
        <f>IF(I474="","",IF(I474="ENTRADA",ABS(J474),-ABS(J474)))</f>
        <v>5000</v>
      </c>
      <c r="L474" s="34" t="s">
        <v>37</v>
      </c>
      <c r="M474" s="34"/>
      <c r="N474">
        <v>13444</v>
      </c>
      <c r="O474" s="34"/>
      <c r="P474">
        <v>14972</v>
      </c>
      <c r="Q474" s="42">
        <v>46261</v>
      </c>
      <c r="R474" s="22" t="str">
        <f>IF(H474="","",H474&amp;I474)</f>
        <v>260405-132ENTRADA</v>
      </c>
      <c r="S474" s="22" t="str">
        <f>IF(C474="","",C474&amp;I474)</f>
        <v>PixxaroENTRADA</v>
      </c>
      <c r="T474" t="str">
        <f>IF(OR(C474="",I474&lt;&gt;"ENTRADA"),"",TEXT(B474,"AAMMDD")&amp;"-"&amp;TEXT(VALUE(SUBSTITUTE(A474,"MOV-","")),"000"))</f>
        <v>260821-474</v>
      </c>
    </row>
    <row r="475" spans="1:20">
      <c r="A475" s="20" t="s">
        <v>749</v>
      </c>
      <c r="B475" s="47">
        <v>46261</v>
      </c>
      <c r="C475" t="s">
        <v>141</v>
      </c>
      <c r="D475" t="s">
        <v>142</v>
      </c>
      <c r="E475" t="s">
        <v>132</v>
      </c>
      <c r="G475" t="s">
        <v>133</v>
      </c>
      <c r="H475" s="20" t="s">
        <v>750</v>
      </c>
      <c r="I475" t="s">
        <v>28</v>
      </c>
      <c r="J475" s="30">
        <v>5</v>
      </c>
      <c r="K475" s="22">
        <f>IF(I475="","",IF(I475="ENTRADA",ABS(J475),-ABS(J475)))</f>
        <v>5</v>
      </c>
      <c r="L475" t="s">
        <v>37</v>
      </c>
      <c r="N475">
        <v>457</v>
      </c>
      <c r="P475">
        <v>14985</v>
      </c>
      <c r="Q475" s="42">
        <v>46262</v>
      </c>
      <c r="R475" s="22" t="str">
        <f>IF(H475="","",H475&amp;I475)</f>
        <v>260827-473ENTRADA</v>
      </c>
      <c r="S475" s="22" t="str">
        <f>IF(C475="","",C475&amp;I475)</f>
        <v>Maxi DropENTRADA</v>
      </c>
      <c r="T475" t="str">
        <f>IF(OR(C475="",I475&lt;&gt;"ENTRADA"),"",TEXT(B475,"AAMMDD")&amp;"-"&amp;TEXT(VALUE(SUBSTITUTE(A475,"MOV-","")),"000"))</f>
        <v>260827-475</v>
      </c>
    </row>
    <row r="476" spans="1:20">
      <c r="A476" s="20" t="s">
        <v>751</v>
      </c>
      <c r="B476" s="47">
        <v>46247</v>
      </c>
      <c r="C476" t="s">
        <v>752</v>
      </c>
      <c r="D476" t="s">
        <v>753</v>
      </c>
      <c r="E476" t="s">
        <v>34</v>
      </c>
      <c r="G476" t="s">
        <v>301</v>
      </c>
      <c r="H476" s="20" t="str">
        <f>+T476</f>
        <v>260813-476</v>
      </c>
      <c r="I476" t="s">
        <v>28</v>
      </c>
      <c r="J476" s="30">
        <v>500</v>
      </c>
      <c r="K476" s="22">
        <f>IF(I476="","",IF(I476="ENTRADA",ABS(J476),-ABS(J476)))</f>
        <v>500</v>
      </c>
      <c r="L476" t="s">
        <v>37</v>
      </c>
      <c r="M476" s="47">
        <v>46874</v>
      </c>
      <c r="N476">
        <v>54148</v>
      </c>
      <c r="P476">
        <v>14996</v>
      </c>
      <c r="Q476" s="42">
        <v>46265</v>
      </c>
      <c r="R476" s="22" t="str">
        <f>IF(H476="","",H476&amp;I476)</f>
        <v>260813-476ENTRADA</v>
      </c>
      <c r="S476" s="22" t="str">
        <f>IF(C476="","",C476&amp;I476)</f>
        <v>Fluroxipir Forte 480ENTRADA</v>
      </c>
      <c r="T476" t="str">
        <f>IF(OR(C476="",I476&lt;&gt;"ENTRADA"),"",TEXT(B476,"AAMMDD")&amp;"-"&amp;TEXT(VALUE(SUBSTITUTE(A476,"MOV-","")),"000"))</f>
        <v>260813-476</v>
      </c>
    </row>
    <row r="477" spans="1:20">
      <c r="A477" s="20" t="s">
        <v>754</v>
      </c>
      <c r="B477" s="47">
        <v>46249</v>
      </c>
      <c r="C477" t="s">
        <v>752</v>
      </c>
      <c r="D477" t="s">
        <v>753</v>
      </c>
      <c r="E477" t="s">
        <v>34</v>
      </c>
      <c r="G477" t="s">
        <v>301</v>
      </c>
      <c r="H477" s="20" t="s">
        <v>755</v>
      </c>
      <c r="I477" t="s">
        <v>65</v>
      </c>
      <c r="J477" s="30">
        <v>100</v>
      </c>
      <c r="K477" s="22">
        <f>IF(I477="","",IF(I477="ENTRADA",ABS(J477),-ABS(J477)))</f>
        <v>-100</v>
      </c>
      <c r="L477" t="s">
        <v>37</v>
      </c>
      <c r="N477">
        <v>65163</v>
      </c>
      <c r="O477" t="s">
        <v>218</v>
      </c>
      <c r="P477">
        <v>1893</v>
      </c>
      <c r="Q477" s="42">
        <v>46265</v>
      </c>
      <c r="R477" s="22" t="str">
        <f>IF(H477="","",H477&amp;I477)</f>
        <v>260813-476SALIDA</v>
      </c>
      <c r="S477" s="22" t="str">
        <f>IF(C477="","",C477&amp;I477)</f>
        <v>Fluroxipir Forte 480SALIDA</v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756</v>
      </c>
      <c r="B478" s="47">
        <v>46249</v>
      </c>
      <c r="C478" t="s">
        <v>141</v>
      </c>
      <c r="D478" t="s">
        <v>142</v>
      </c>
      <c r="E478" t="s">
        <v>132</v>
      </c>
      <c r="G478" t="s">
        <v>133</v>
      </c>
      <c r="H478" s="20" t="s">
        <v>750</v>
      </c>
      <c r="I478" t="s">
        <v>65</v>
      </c>
      <c r="J478" s="30">
        <v>15</v>
      </c>
      <c r="K478" s="22">
        <f>IF(I478="","",IF(I478="ENTRADA",ABS(J478),-ABS(J478)))</f>
        <v>-15</v>
      </c>
      <c r="L478" t="s">
        <v>37</v>
      </c>
      <c r="N478">
        <v>65163</v>
      </c>
      <c r="O478" t="s">
        <v>213</v>
      </c>
      <c r="P478">
        <v>1893</v>
      </c>
      <c r="Q478" s="42">
        <v>46265</v>
      </c>
      <c r="R478" s="22" t="str">
        <f>IF(H478="","",H478&amp;I478)</f>
        <v>260827-473SALIDA</v>
      </c>
      <c r="S478" s="22" t="str">
        <f>IF(C478="","",C478&amp;I478)</f>
        <v>Maxi DropSALIDA</v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757</v>
      </c>
      <c r="B479" s="47">
        <v>46249</v>
      </c>
      <c r="C479" t="s">
        <v>141</v>
      </c>
      <c r="D479" t="s">
        <v>142</v>
      </c>
      <c r="E479" t="s">
        <v>132</v>
      </c>
      <c r="G479" t="s">
        <v>133</v>
      </c>
      <c r="H479" s="20" t="s">
        <v>750</v>
      </c>
      <c r="I479" t="s">
        <v>65</v>
      </c>
      <c r="J479" s="30">
        <v>15</v>
      </c>
      <c r="K479" s="22">
        <f>IF(I479="","",IF(I479="ENTRADA",ABS(J479),-ABS(J479)))</f>
        <v>-15</v>
      </c>
      <c r="L479" t="s">
        <v>37</v>
      </c>
      <c r="N479">
        <v>65163</v>
      </c>
      <c r="O479" t="s">
        <v>382</v>
      </c>
      <c r="P479">
        <v>1893</v>
      </c>
      <c r="Q479" s="42">
        <v>46265</v>
      </c>
      <c r="R479" s="22" t="str">
        <f>IF(H479="","",H479&amp;I479)</f>
        <v>260827-473SALIDA</v>
      </c>
      <c r="S479" s="22" t="str">
        <f>IF(C479="","",C479&amp;I479)</f>
        <v>Maxi DropSALIDA</v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758</v>
      </c>
      <c r="B480" s="47">
        <v>46255</v>
      </c>
      <c r="C480" t="s">
        <v>759</v>
      </c>
      <c r="D480" t="s">
        <v>760</v>
      </c>
      <c r="E480" t="s">
        <v>25</v>
      </c>
      <c r="F480" t="s">
        <v>632</v>
      </c>
      <c r="G480" t="s">
        <v>27</v>
      </c>
      <c r="H480" s="20" t="str">
        <f>+T480</f>
        <v>260821-480</v>
      </c>
      <c r="I480" t="s">
        <v>28</v>
      </c>
      <c r="J480" s="30">
        <v>487</v>
      </c>
      <c r="K480" s="22">
        <f>IF(I480="","",IF(I480="ENTRADA",ABS(J480),-ABS(J480)))</f>
        <v>487</v>
      </c>
      <c r="L480" t="s">
        <v>633</v>
      </c>
      <c r="N480">
        <v>50120</v>
      </c>
      <c r="P480">
        <v>14997</v>
      </c>
      <c r="Q480" s="42">
        <v>46265</v>
      </c>
      <c r="R480" s="22" t="str">
        <f>IF(H480="","",H480&amp;I480)</f>
        <v>260821-480ENTRADA</v>
      </c>
      <c r="S480" s="22" t="str">
        <f>IF(C480="","",C480&amp;I480)</f>
        <v>semilla comprada maiz illinois 2773ENTRADA</v>
      </c>
      <c r="T480" t="str">
        <f>IF(OR(C480="",I480&lt;&gt;"ENTRADA"),"",TEXT(B480,"AAMMDD")&amp;"-"&amp;TEXT(VALUE(SUBSTITUTE(A480,"MOV-","")),"000"))</f>
        <v>260821-480</v>
      </c>
    </row>
    <row r="481" spans="1:20">
      <c r="A481" s="20" t="s">
        <v>761</v>
      </c>
      <c r="B481" s="47">
        <v>46255</v>
      </c>
      <c r="C481" t="s">
        <v>762</v>
      </c>
      <c r="D481" t="s">
        <v>763</v>
      </c>
      <c r="E481" t="s">
        <v>25</v>
      </c>
      <c r="F481" t="s">
        <v>632</v>
      </c>
      <c r="G481" t="s">
        <v>27</v>
      </c>
      <c r="H481" s="20" t="str">
        <f>+T481</f>
        <v>260821-481</v>
      </c>
      <c r="I481" t="s">
        <v>28</v>
      </c>
      <c r="J481" s="30">
        <v>100</v>
      </c>
      <c r="K481" s="22">
        <f>IF(I481="","",IF(I481="ENTRADA",ABS(J481),-ABS(J481)))</f>
        <v>100</v>
      </c>
      <c r="L481" t="s">
        <v>633</v>
      </c>
      <c r="N481">
        <v>50120</v>
      </c>
      <c r="P481">
        <v>14997</v>
      </c>
      <c r="Q481" s="42">
        <v>46265</v>
      </c>
      <c r="R481" s="22" t="str">
        <f>IF(H481="","",H481&amp;I481)</f>
        <v>260821-481ENTRADA</v>
      </c>
      <c r="S481" s="22" t="str">
        <f>IF(C481="","",C481&amp;I481)</f>
        <v>semilla comprada maiz illinois 7.24 ENTRADA</v>
      </c>
      <c r="T481" t="str">
        <f>IF(OR(C481="",I481&lt;&gt;"ENTRADA"),"",TEXT(B481,"AAMMDD")&amp;"-"&amp;TEXT(VALUE(SUBSTITUTE(A481,"MOV-","")),"000"))</f>
        <v>260821-481</v>
      </c>
    </row>
    <row r="482" spans="1:20">
      <c r="A482" s="20" t="s">
        <v>764</v>
      </c>
      <c r="B482" s="47">
        <v>46255</v>
      </c>
      <c r="C482" t="s">
        <v>765</v>
      </c>
      <c r="D482" t="s">
        <v>766</v>
      </c>
      <c r="E482" t="s">
        <v>25</v>
      </c>
      <c r="F482" t="s">
        <v>632</v>
      </c>
      <c r="G482" t="s">
        <v>27</v>
      </c>
      <c r="H482" s="20" t="str">
        <f>+T482</f>
        <v>260821-482</v>
      </c>
      <c r="I482" t="s">
        <v>28</v>
      </c>
      <c r="J482" s="30">
        <v>65</v>
      </c>
      <c r="K482" s="22">
        <f>IF(I482="","",IF(I482="ENTRADA",ABS(J482),-ABS(J482)))</f>
        <v>65</v>
      </c>
      <c r="L482" t="s">
        <v>633</v>
      </c>
      <c r="N482">
        <v>50120</v>
      </c>
      <c r="P482">
        <v>14997</v>
      </c>
      <c r="Q482" s="42">
        <v>46265</v>
      </c>
      <c r="R482" s="22" t="str">
        <f>IF(H482="","",H482&amp;I482)</f>
        <v>260821-482ENTRADA</v>
      </c>
      <c r="S482" s="22" t="str">
        <f>IF(C482="","",C482&amp;I482)</f>
        <v>refugio semilla maiz illinois ENTRADA</v>
      </c>
      <c r="T482" t="str">
        <f>IF(OR(C482="",I482&lt;&gt;"ENTRADA"),"",TEXT(B482,"AAMMDD")&amp;"-"&amp;TEXT(VALUE(SUBSTITUTE(A482,"MOV-","")),"000"))</f>
        <v>260821-482</v>
      </c>
    </row>
    <row r="483" spans="1:20">
      <c r="A483" s="20" t="s">
        <v>767</v>
      </c>
      <c r="B483" s="47">
        <v>46265</v>
      </c>
      <c r="C483" t="s">
        <v>768</v>
      </c>
      <c r="D483" t="s">
        <v>769</v>
      </c>
      <c r="E483" t="s">
        <v>25</v>
      </c>
      <c r="F483" t="s">
        <v>632</v>
      </c>
      <c r="G483" t="s">
        <v>301</v>
      </c>
      <c r="H483" s="20" t="str">
        <f>+T483</f>
        <v>260831-483</v>
      </c>
      <c r="I483" t="s">
        <v>28</v>
      </c>
      <c r="J483" s="30">
        <v>446</v>
      </c>
      <c r="K483" s="22">
        <f>IF(I483="","",IF(I483="ENTRADA",ABS(J483),-ABS(J483)))</f>
        <v>446</v>
      </c>
      <c r="L483" t="s">
        <v>633</v>
      </c>
      <c r="N483">
        <v>14262</v>
      </c>
      <c r="P483">
        <v>15046</v>
      </c>
      <c r="Q483" s="42">
        <v>46268</v>
      </c>
      <c r="R483" s="22" t="str">
        <f>IF(H483="","",H483&amp;I483)</f>
        <v>260831-483ENTRADA</v>
      </c>
      <c r="S483" s="22" t="str">
        <f>IF(C483="","",C483&amp;I483)</f>
        <v>semilla maiz NK842ENTRADA</v>
      </c>
      <c r="T483" t="str">
        <f>IF(OR(C483="",I483&lt;&gt;"ENTRADA"),"",TEXT(B483,"AAMMDD")&amp;"-"&amp;TEXT(VALUE(SUBSTITUTE(A483,"MOV-","")),"000"))</f>
        <v>260831-483</v>
      </c>
    </row>
    <row r="484" spans="1:20">
      <c r="A484" s="20" t="s">
        <v>770</v>
      </c>
      <c r="B484" s="47">
        <v>46260</v>
      </c>
      <c r="C484" t="s">
        <v>771</v>
      </c>
      <c r="D484" t="s">
        <v>772</v>
      </c>
      <c r="E484" t="s">
        <v>34</v>
      </c>
      <c r="F484" t="s">
        <v>35</v>
      </c>
      <c r="G484" t="s">
        <v>773</v>
      </c>
      <c r="H484" s="20" t="str">
        <f>+T484</f>
        <v>260826-484</v>
      </c>
      <c r="I484" t="s">
        <v>28</v>
      </c>
      <c r="J484" s="30">
        <v>3000</v>
      </c>
      <c r="K484" s="22">
        <f>IF(I484="","",IF(I484="ENTRADA",ABS(J484),-ABS(J484)))</f>
        <v>3000</v>
      </c>
      <c r="L484" t="s">
        <v>37</v>
      </c>
      <c r="N484">
        <v>73403</v>
      </c>
      <c r="P484">
        <v>15029</v>
      </c>
      <c r="Q484" s="42">
        <v>46266</v>
      </c>
      <c r="R484" s="22" t="str">
        <f>IF(H484="","",H484&amp;I484)</f>
        <v>260826-484ENTRADA</v>
      </c>
      <c r="S484" s="22" t="str">
        <f>IF(C484="","",C484&amp;I484)</f>
        <v>Paraquat ENTRADA</v>
      </c>
      <c r="T484" t="str">
        <f>IF(OR(C484="",I484&lt;&gt;"ENTRADA"),"",TEXT(B484,"AAMMDD")&amp;"-"&amp;TEXT(VALUE(SUBSTITUTE(A484,"MOV-","")),"000"))</f>
        <v>260826-484</v>
      </c>
    </row>
    <row r="485" spans="1:20">
      <c r="A485" s="20" t="s">
        <v>774</v>
      </c>
      <c r="B485" s="47">
        <v>46262</v>
      </c>
      <c r="C485" s="34" t="s">
        <v>524</v>
      </c>
      <c r="D485" s="34" t="s">
        <v>525</v>
      </c>
      <c r="E485" s="34" t="s">
        <v>516</v>
      </c>
      <c r="F485" s="34"/>
      <c r="G485" s="34" t="s">
        <v>158</v>
      </c>
      <c r="H485" s="20" t="s">
        <v>553</v>
      </c>
      <c r="I485" s="34" t="s">
        <v>65</v>
      </c>
      <c r="J485" s="36">
        <v>140</v>
      </c>
      <c r="K485" s="22">
        <f>IF(I485="","",IF(I485="ENTRADA",ABS(J485),-ABS(J485)))</f>
        <v>-140</v>
      </c>
      <c r="L485" s="34" t="s">
        <v>37</v>
      </c>
      <c r="M485" s="34"/>
      <c r="N485">
        <v>65174</v>
      </c>
      <c r="O485" s="34" t="s">
        <v>213</v>
      </c>
      <c r="P485" s="46">
        <v>1894</v>
      </c>
      <c r="Q485" s="42">
        <v>46263</v>
      </c>
      <c r="R485" s="22" t="str">
        <f>IF(H485="","",H485&amp;I485)</f>
        <v>260623-289SALIDA</v>
      </c>
      <c r="S485" s="22" t="str">
        <f>IF(C485="","",C485&amp;I485)</f>
        <v>cripton xpro SALIDA</v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775</v>
      </c>
      <c r="B486" s="47">
        <v>46262</v>
      </c>
      <c r="C486" t="s">
        <v>130</v>
      </c>
      <c r="D486" t="s">
        <v>131</v>
      </c>
      <c r="E486" t="s">
        <v>132</v>
      </c>
      <c r="G486" t="s">
        <v>133</v>
      </c>
      <c r="H486" s="20" t="s">
        <v>221</v>
      </c>
      <c r="I486" t="s">
        <v>65</v>
      </c>
      <c r="J486" s="30">
        <v>20</v>
      </c>
      <c r="K486" s="22">
        <f>IF(I486="","",IF(I486="ENTRADA",ABS(J486),-ABS(J486)))</f>
        <v>-20</v>
      </c>
      <c r="L486" t="s">
        <v>37</v>
      </c>
      <c r="N486">
        <v>65174</v>
      </c>
      <c r="O486" t="s">
        <v>213</v>
      </c>
      <c r="P486">
        <v>1894</v>
      </c>
      <c r="Q486" s="42">
        <v>46263</v>
      </c>
      <c r="R486" s="22" t="str">
        <f>IF(H486="","",H486&amp;I486)</f>
        <v>260414-029SALIDA</v>
      </c>
      <c r="S486" s="22" t="str">
        <f>IF(C486="","",C486&amp;I486)</f>
        <v>HarrierSALIDA</v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776</v>
      </c>
      <c r="B487" s="47">
        <v>46267</v>
      </c>
      <c r="C487" t="s">
        <v>777</v>
      </c>
      <c r="D487" t="s">
        <v>778</v>
      </c>
      <c r="E487" t="s">
        <v>34</v>
      </c>
      <c r="F487" t="s">
        <v>46</v>
      </c>
      <c r="G487" t="s">
        <v>779</v>
      </c>
      <c r="H487" s="20" t="str">
        <f>+T487</f>
        <v>260902-487</v>
      </c>
      <c r="I487" t="s">
        <v>28</v>
      </c>
      <c r="J487" s="30">
        <v>4000</v>
      </c>
      <c r="K487" s="22">
        <f>IF(I487="","",IF(I487="ENTRADA",ABS(J487),-ABS(J487)))</f>
        <v>4000</v>
      </c>
      <c r="L487" t="s">
        <v>37</v>
      </c>
      <c r="M487" s="47">
        <v>46865</v>
      </c>
      <c r="N487">
        <v>3337</v>
      </c>
      <c r="P487">
        <v>15085</v>
      </c>
      <c r="Q487" s="42">
        <v>46276</v>
      </c>
      <c r="R487" s="22" t="str">
        <f>IF(H487="","",H487&amp;I487)</f>
        <v>260902-487ENTRADA</v>
      </c>
      <c r="S487" s="22" t="str">
        <f>IF(C487="","",C487&amp;I487)</f>
        <v>Acuron unoENTRADA</v>
      </c>
      <c r="T487" t="str">
        <f>IF(OR(C487="",I487&lt;&gt;"ENTRADA"),"",TEXT(B487,"AAMMDD")&amp;"-"&amp;TEXT(VALUE(SUBSTITUTE(A487,"MOV-","")),"000"))</f>
        <v>260902-487</v>
      </c>
    </row>
    <row r="488" spans="1:20">
      <c r="A488" s="20" t="s">
        <v>780</v>
      </c>
      <c r="B488" s="47">
        <v>46235</v>
      </c>
      <c r="C488" t="s">
        <v>781</v>
      </c>
      <c r="D488" t="s">
        <v>782</v>
      </c>
      <c r="E488" t="s">
        <v>34</v>
      </c>
      <c r="G488" t="s">
        <v>27</v>
      </c>
      <c r="H488" s="20" t="str">
        <f>+T488</f>
        <v>260801-488</v>
      </c>
      <c r="I488" t="s">
        <v>28</v>
      </c>
      <c r="J488" s="30">
        <v>1100</v>
      </c>
      <c r="K488" s="22">
        <f>IF(I488="","",IF(I488="ENTRADA",ABS(J488),-ABS(J488)))</f>
        <v>1100</v>
      </c>
      <c r="L488" t="s">
        <v>37</v>
      </c>
      <c r="N488">
        <v>986001</v>
      </c>
      <c r="P488">
        <v>15047</v>
      </c>
      <c r="Q488" s="42">
        <v>46268</v>
      </c>
      <c r="R488" s="22" t="str">
        <f>IF(H488="","",H488&amp;I488)</f>
        <v>260801-488ENTRADA</v>
      </c>
      <c r="S488" s="22" t="str">
        <f>IF(C488="","",C488&amp;I488)</f>
        <v>Voraxor ENTRADA</v>
      </c>
      <c r="T488" t="str">
        <f>IF(OR(C488="",I488&lt;&gt;"ENTRADA"),"",TEXT(B488,"AAMMDD")&amp;"-"&amp;TEXT(VALUE(SUBSTITUTE(A488,"MOV-","")),"000"))</f>
        <v>260801-488</v>
      </c>
    </row>
    <row r="489" spans="1:20">
      <c r="A489" s="20" t="s">
        <v>783</v>
      </c>
      <c r="B489" s="47">
        <v>46235</v>
      </c>
      <c r="C489" t="s">
        <v>784</v>
      </c>
      <c r="D489" t="s">
        <v>785</v>
      </c>
      <c r="E489" t="s">
        <v>34</v>
      </c>
      <c r="F489" t="s">
        <v>46</v>
      </c>
      <c r="G489" t="s">
        <v>27</v>
      </c>
      <c r="H489" s="20" t="str">
        <f>+T489</f>
        <v>260801-489</v>
      </c>
      <c r="I489" t="s">
        <v>28</v>
      </c>
      <c r="J489" s="30">
        <v>3600</v>
      </c>
      <c r="K489" s="22">
        <f>IF(I489="","",IF(I489="ENTRADA",ABS(J489),-ABS(J489)))</f>
        <v>3600</v>
      </c>
      <c r="L489" t="s">
        <v>29</v>
      </c>
      <c r="N489">
        <v>986001</v>
      </c>
      <c r="P489">
        <v>15047</v>
      </c>
      <c r="Q489" s="42">
        <v>46268</v>
      </c>
      <c r="R489" s="22" t="str">
        <f>IF(H489="","",H489&amp;I489)</f>
        <v>260801-489ENTRADA</v>
      </c>
      <c r="S489" s="22" t="str">
        <f>IF(C489="","",C489&amp;I489)</f>
        <v>PyroxateENTRADA</v>
      </c>
      <c r="T489" t="str">
        <f>IF(OR(C489="",I489&lt;&gt;"ENTRADA"),"",TEXT(B489,"AAMMDD")&amp;"-"&amp;TEXT(VALUE(SUBSTITUTE(A489,"MOV-","")),"000"))</f>
        <v>260801-489</v>
      </c>
    </row>
    <row r="490" spans="1:20">
      <c r="A490" s="20" t="s">
        <v>786</v>
      </c>
      <c r="B490" s="47">
        <v>46235</v>
      </c>
      <c r="C490" t="s">
        <v>787</v>
      </c>
      <c r="D490" t="s">
        <v>788</v>
      </c>
      <c r="E490" t="s">
        <v>132</v>
      </c>
      <c r="G490" t="s">
        <v>27</v>
      </c>
      <c r="H490" s="20" t="str">
        <f>+T490</f>
        <v>260801-490</v>
      </c>
      <c r="I490" t="s">
        <v>28</v>
      </c>
      <c r="J490" s="30">
        <v>1000</v>
      </c>
      <c r="K490" s="22">
        <f>IF(I490="","",IF(I490="ENTRADA",ABS(J490),-ABS(J490)))</f>
        <v>1000</v>
      </c>
      <c r="L490" t="s">
        <v>37</v>
      </c>
      <c r="N490">
        <v>986001</v>
      </c>
      <c r="P490">
        <v>15047</v>
      </c>
      <c r="Q490" s="42">
        <v>46268</v>
      </c>
      <c r="R490" s="22" t="str">
        <f>IF(H490="","",H490&amp;I490)</f>
        <v>260801-490ENTRADA</v>
      </c>
      <c r="S490" s="22" t="str">
        <f>IF(C490="","",C490&amp;I490)</f>
        <v>Super Gun ENTRADA</v>
      </c>
      <c r="T490" t="str">
        <f>IF(OR(C490="",I490&lt;&gt;"ENTRADA"),"",TEXT(B490,"AAMMDD")&amp;"-"&amp;TEXT(VALUE(SUBSTITUTE(A490,"MOV-","")),"000"))</f>
        <v>260801-490</v>
      </c>
    </row>
    <row r="491" spans="1:20">
      <c r="A491" s="20" t="s">
        <v>789</v>
      </c>
      <c r="B491" s="47">
        <v>46235</v>
      </c>
      <c r="C491" t="s">
        <v>790</v>
      </c>
      <c r="D491" t="s">
        <v>791</v>
      </c>
      <c r="E491" t="s">
        <v>34</v>
      </c>
      <c r="F491" t="s">
        <v>46</v>
      </c>
      <c r="G491" t="s">
        <v>27</v>
      </c>
      <c r="H491" s="20" t="str">
        <f>+T491</f>
        <v>260801-491</v>
      </c>
      <c r="I491" t="s">
        <v>28</v>
      </c>
      <c r="J491" s="30">
        <v>1100</v>
      </c>
      <c r="K491" s="22">
        <f>IF(I491="","",IF(I491="ENTRADA",ABS(J491),-ABS(J491)))</f>
        <v>1100</v>
      </c>
      <c r="L491" t="s">
        <v>37</v>
      </c>
      <c r="N491">
        <v>986001</v>
      </c>
      <c r="P491">
        <v>15047</v>
      </c>
      <c r="Q491" s="42">
        <v>46268</v>
      </c>
      <c r="R491" s="22" t="str">
        <f>IF(H491="","",H491&amp;I491)</f>
        <v>260801-491ENTRADA</v>
      </c>
      <c r="S491" s="22" t="str">
        <f>IF(C491="","",C491&amp;I491)</f>
        <v>zinexENTRADA</v>
      </c>
      <c r="T491" t="str">
        <f>IF(OR(C491="",I491&lt;&gt;"ENTRADA"),"",TEXT(B491,"AAMMDD")&amp;"-"&amp;TEXT(VALUE(SUBSTITUTE(A491,"MOV-","")),"000"))</f>
        <v>260801-491</v>
      </c>
    </row>
    <row r="492" spans="1:20">
      <c r="A492" s="20" t="s">
        <v>792</v>
      </c>
      <c r="B492" s="47">
        <v>46265</v>
      </c>
      <c r="C492" t="s">
        <v>514</v>
      </c>
      <c r="D492" t="s">
        <v>515</v>
      </c>
      <c r="E492" t="s">
        <v>516</v>
      </c>
      <c r="G492" t="s">
        <v>117</v>
      </c>
      <c r="H492" s="20" t="s">
        <v>665</v>
      </c>
      <c r="I492" t="s">
        <v>65</v>
      </c>
      <c r="J492" s="30">
        <v>100</v>
      </c>
      <c r="K492" s="22">
        <f>IF(I492="","",IF(I492="ENTRADA",ABS(J492),-ABS(J492)))</f>
        <v>-100</v>
      </c>
      <c r="L492" t="s">
        <v>37</v>
      </c>
      <c r="N492">
        <v>65176</v>
      </c>
      <c r="O492" t="s">
        <v>218</v>
      </c>
      <c r="P492">
        <v>1895</v>
      </c>
      <c r="Q492" s="42">
        <v>46268</v>
      </c>
      <c r="R492" s="22" t="str">
        <f>IF(H492="","",H492&amp;I492)</f>
        <v>260730-396SALIDA</v>
      </c>
      <c r="S492" s="22" t="str">
        <f>IF(C492="","",C492&amp;I492)</f>
        <v>Unico MaxSALIDA</v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793</v>
      </c>
      <c r="B493" s="47">
        <v>46265</v>
      </c>
      <c r="C493" t="s">
        <v>130</v>
      </c>
      <c r="D493" t="s">
        <v>131</v>
      </c>
      <c r="E493" t="s">
        <v>132</v>
      </c>
      <c r="G493" t="s">
        <v>133</v>
      </c>
      <c r="H493" s="20" t="s">
        <v>221</v>
      </c>
      <c r="I493" t="s">
        <v>65</v>
      </c>
      <c r="J493" s="30">
        <v>130</v>
      </c>
      <c r="K493" s="22">
        <f>IF(I493="","",IF(I493="ENTRADA",ABS(J493),-ABS(J493)))</f>
        <v>-130</v>
      </c>
      <c r="L493" t="s">
        <v>37</v>
      </c>
      <c r="N493">
        <v>65176</v>
      </c>
      <c r="O493" t="s">
        <v>218</v>
      </c>
      <c r="P493">
        <v>1895</v>
      </c>
      <c r="Q493" s="42">
        <v>46268</v>
      </c>
      <c r="R493" s="22" t="str">
        <f>IF(H493="","",H493&amp;I493)</f>
        <v>260414-029SALIDA</v>
      </c>
      <c r="S493" s="22" t="str">
        <f>IF(C493="","",C493&amp;I493)</f>
        <v>HarrierSALIDA</v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794</v>
      </c>
      <c r="B494" s="47">
        <v>46265</v>
      </c>
      <c r="C494" t="s">
        <v>137</v>
      </c>
      <c r="D494" t="s">
        <v>138</v>
      </c>
      <c r="E494" t="s">
        <v>132</v>
      </c>
      <c r="G494" t="s">
        <v>133</v>
      </c>
      <c r="H494" s="20" t="s">
        <v>602</v>
      </c>
      <c r="I494" t="s">
        <v>65</v>
      </c>
      <c r="J494" s="30">
        <v>25</v>
      </c>
      <c r="K494" s="22">
        <f>IF(I494="","",IF(I494="ENTRADA",ABS(J494),-ABS(J494)))</f>
        <v>-25</v>
      </c>
      <c r="L494" t="s">
        <v>37</v>
      </c>
      <c r="N494">
        <v>65176</v>
      </c>
      <c r="O494" t="s">
        <v>218</v>
      </c>
      <c r="P494">
        <v>1895</v>
      </c>
      <c r="Q494" s="42">
        <v>46268</v>
      </c>
      <c r="R494" s="22" t="str">
        <f>IF(H494="","",H494&amp;I494)</f>
        <v>260827-472SALIDA</v>
      </c>
      <c r="S494" s="22" t="str">
        <f>IF(C494="","",C494&amp;I494)</f>
        <v>Full controlSALIDA</v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795</v>
      </c>
      <c r="B495" s="47">
        <v>46265</v>
      </c>
      <c r="C495" t="s">
        <v>720</v>
      </c>
      <c r="D495" t="s">
        <v>721</v>
      </c>
      <c r="E495" t="s">
        <v>34</v>
      </c>
      <c r="F495" t="s">
        <v>35</v>
      </c>
      <c r="G495" t="s">
        <v>117</v>
      </c>
      <c r="H495" s="20" t="s">
        <v>723</v>
      </c>
      <c r="I495" t="s">
        <v>65</v>
      </c>
      <c r="J495" s="30">
        <v>280</v>
      </c>
      <c r="K495" s="22">
        <f>IF(I495="","",IF(I495="ENTRADA",ABS(J495),-ABS(J495)))</f>
        <v>-280</v>
      </c>
      <c r="L495" t="s">
        <v>37</v>
      </c>
      <c r="N495">
        <v>65178</v>
      </c>
      <c r="O495" t="s">
        <v>218</v>
      </c>
      <c r="P495">
        <v>1896</v>
      </c>
      <c r="Q495" s="42">
        <v>46268</v>
      </c>
      <c r="R495" s="22" t="str">
        <f>IF(H495="","",H495&amp;I495)</f>
        <v>260821-449SALIDA</v>
      </c>
      <c r="S495" s="22" t="str">
        <f>IF(C495="","",C495&amp;I495)</f>
        <v>Gamina SALIDA</v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796</v>
      </c>
      <c r="B496" s="47">
        <v>46265</v>
      </c>
      <c r="C496" s="34" t="s">
        <v>147</v>
      </c>
      <c r="D496" s="34" t="s">
        <v>148</v>
      </c>
      <c r="E496" s="34" t="s">
        <v>34</v>
      </c>
      <c r="F496" s="34" t="s">
        <v>35</v>
      </c>
      <c r="G496" s="34" t="s">
        <v>36</v>
      </c>
      <c r="H496" s="20" t="s">
        <v>563</v>
      </c>
      <c r="I496" s="34" t="s">
        <v>65</v>
      </c>
      <c r="J496" s="36">
        <v>20</v>
      </c>
      <c r="K496" s="22">
        <f>IF(I496="","",IF(I496="ENTRADA",ABS(J496),-ABS(J496)))</f>
        <v>-20</v>
      </c>
      <c r="L496" s="34" t="s">
        <v>37</v>
      </c>
      <c r="M496" s="34"/>
      <c r="N496">
        <v>65178</v>
      </c>
      <c r="O496" s="34" t="s">
        <v>218</v>
      </c>
      <c r="P496" s="34">
        <v>1896</v>
      </c>
      <c r="Q496" s="42">
        <v>46268</v>
      </c>
      <c r="R496" s="22" t="str">
        <f>IF(H496="","",H496&amp;I496)</f>
        <v>260415-032SALIDA</v>
      </c>
      <c r="S496" s="22" t="str">
        <f>IF(C496="","",C496&amp;I496)</f>
        <v>AxialSALIDA</v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797</v>
      </c>
      <c r="B497" s="47">
        <v>46266</v>
      </c>
      <c r="C497" t="s">
        <v>784</v>
      </c>
      <c r="D497" t="s">
        <v>785</v>
      </c>
      <c r="E497" t="s">
        <v>34</v>
      </c>
      <c r="F497" t="s">
        <v>46</v>
      </c>
      <c r="G497" t="s">
        <v>27</v>
      </c>
      <c r="H497" s="20" t="s">
        <v>798</v>
      </c>
      <c r="I497" t="s">
        <v>65</v>
      </c>
      <c r="J497" s="30">
        <v>160</v>
      </c>
      <c r="K497" s="22">
        <f>IF(I497="","",IF(I497="ENTRADA",ABS(J497),-ABS(J497)))</f>
        <v>-160</v>
      </c>
      <c r="L497" t="s">
        <v>29</v>
      </c>
      <c r="N497">
        <v>65179</v>
      </c>
      <c r="O497" t="s">
        <v>213</v>
      </c>
      <c r="P497">
        <v>1897</v>
      </c>
      <c r="Q497" s="42">
        <v>46268</v>
      </c>
      <c r="R497" s="22" t="str">
        <f>IF(H497="","",H497&amp;I497)</f>
        <v>260801-489SALIDA</v>
      </c>
      <c r="S497" s="22" t="str">
        <f>IF(C497="","",C497&amp;I497)</f>
        <v>PyroxateSALIDA</v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799</v>
      </c>
      <c r="B498" s="47">
        <v>46266</v>
      </c>
      <c r="C498" t="s">
        <v>524</v>
      </c>
      <c r="D498" t="s">
        <v>525</v>
      </c>
      <c r="E498" t="s">
        <v>516</v>
      </c>
      <c r="G498" t="s">
        <v>158</v>
      </c>
      <c r="H498" s="20" t="s">
        <v>739</v>
      </c>
      <c r="I498" t="s">
        <v>65</v>
      </c>
      <c r="J498" s="30">
        <v>435</v>
      </c>
      <c r="K498" s="22">
        <f>IF(I498="","",IF(I498="ENTRADA",ABS(J498),-ABS(J498)))</f>
        <v>-435</v>
      </c>
      <c r="L498" t="s">
        <v>37</v>
      </c>
      <c r="N498">
        <v>65180</v>
      </c>
      <c r="O498" t="s">
        <v>382</v>
      </c>
      <c r="P498">
        <v>1898</v>
      </c>
      <c r="Q498" s="42">
        <v>46268</v>
      </c>
      <c r="R498" s="22" t="str">
        <f>IF(H498="","",H498&amp;I498)</f>
        <v>260706-343SALIDA</v>
      </c>
      <c r="S498" s="22" t="str">
        <f>IF(C498="","",C498&amp;I498)</f>
        <v>cripton xpro SALIDA</v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800</v>
      </c>
      <c r="B499" s="47">
        <v>46266</v>
      </c>
      <c r="C499" t="s">
        <v>514</v>
      </c>
      <c r="D499" t="s">
        <v>515</v>
      </c>
      <c r="E499" t="s">
        <v>516</v>
      </c>
      <c r="G499" t="s">
        <v>117</v>
      </c>
      <c r="H499" s="20" t="s">
        <v>665</v>
      </c>
      <c r="I499" t="s">
        <v>65</v>
      </c>
      <c r="J499" s="30">
        <v>465</v>
      </c>
      <c r="K499" s="22">
        <f>IF(I499="","",IF(I499="ENTRADA",ABS(J499),-ABS(J499)))</f>
        <v>-465</v>
      </c>
      <c r="L499" t="s">
        <v>37</v>
      </c>
      <c r="N499">
        <v>65180</v>
      </c>
      <c r="O499" t="s">
        <v>382</v>
      </c>
      <c r="P499">
        <v>1898</v>
      </c>
      <c r="Q499" s="42">
        <v>46268</v>
      </c>
      <c r="R499" s="22" t="str">
        <f>IF(H499="","",H499&amp;I499)</f>
        <v>260730-396SALIDA</v>
      </c>
      <c r="S499" s="22" t="str">
        <f>IF(C499="","",C499&amp;I499)</f>
        <v>Unico MaxSALIDA</v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801</v>
      </c>
      <c r="B500" s="47">
        <v>46266</v>
      </c>
      <c r="C500" t="s">
        <v>130</v>
      </c>
      <c r="D500" t="s">
        <v>131</v>
      </c>
      <c r="E500" t="s">
        <v>132</v>
      </c>
      <c r="G500" t="s">
        <v>133</v>
      </c>
      <c r="H500" s="20" t="s">
        <v>221</v>
      </c>
      <c r="I500" t="s">
        <v>65</v>
      </c>
      <c r="J500" s="30">
        <v>160</v>
      </c>
      <c r="K500" s="22">
        <f>IF(I500="","",IF(I500="ENTRADA",ABS(J500),-ABS(J500)))</f>
        <v>-160</v>
      </c>
      <c r="L500" t="s">
        <v>37</v>
      </c>
      <c r="N500">
        <v>65180</v>
      </c>
      <c r="O500" t="s">
        <v>382</v>
      </c>
      <c r="P500">
        <v>1898</v>
      </c>
      <c r="Q500" s="42">
        <v>46268</v>
      </c>
      <c r="R500" s="22" t="str">
        <f>IF(H500="","",H500&amp;I500)</f>
        <v>260414-029SALIDA</v>
      </c>
      <c r="S500" s="22" t="str">
        <f>IF(C500="","",C500&amp;I500)</f>
        <v>HarrierSALIDA</v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802</v>
      </c>
      <c r="B501" s="47">
        <v>46266</v>
      </c>
      <c r="C501" t="s">
        <v>137</v>
      </c>
      <c r="D501" t="s">
        <v>138</v>
      </c>
      <c r="E501" t="s">
        <v>132</v>
      </c>
      <c r="G501" t="s">
        <v>133</v>
      </c>
      <c r="H501" s="20" t="s">
        <v>602</v>
      </c>
      <c r="I501" t="s">
        <v>65</v>
      </c>
      <c r="J501" s="30">
        <v>30</v>
      </c>
      <c r="K501" s="22">
        <f>IF(I501="","",IF(I501="ENTRADA",ABS(J501),-ABS(J501)))</f>
        <v>-30</v>
      </c>
      <c r="L501" t="s">
        <v>37</v>
      </c>
      <c r="N501">
        <v>65180</v>
      </c>
      <c r="O501" t="s">
        <v>382</v>
      </c>
      <c r="P501">
        <v>1898</v>
      </c>
      <c r="Q501" s="47">
        <v>46268</v>
      </c>
      <c r="R501" s="22" t="str">
        <f>IF(H501="","",H501&amp;I501)</f>
        <v>260827-472SALIDA</v>
      </c>
      <c r="S501" s="22" t="str">
        <f>IF(C501="","",C501&amp;I501)</f>
        <v>Full controlSALIDA</v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803</v>
      </c>
      <c r="B502" s="47">
        <v>46266</v>
      </c>
      <c r="C502" t="s">
        <v>115</v>
      </c>
      <c r="D502" t="s">
        <v>116</v>
      </c>
      <c r="E502" t="s">
        <v>34</v>
      </c>
      <c r="F502" t="s">
        <v>35</v>
      </c>
      <c r="G502" t="s">
        <v>117</v>
      </c>
      <c r="H502" s="20" t="s">
        <v>669</v>
      </c>
      <c r="I502" t="s">
        <v>65</v>
      </c>
      <c r="J502" s="30">
        <v>100</v>
      </c>
      <c r="K502" s="22">
        <f>IF(I502="","",IF(I502="ENTRADA",ABS(J502),-ABS(J502)))</f>
        <v>-100</v>
      </c>
      <c r="L502" t="s">
        <v>37</v>
      </c>
      <c r="N502">
        <v>65181</v>
      </c>
      <c r="O502" t="s">
        <v>213</v>
      </c>
      <c r="P502">
        <v>1899</v>
      </c>
      <c r="Q502" s="47">
        <v>46268</v>
      </c>
      <c r="R502" s="22" t="str">
        <f>IF(H502="","",H502&amp;I502)</f>
        <v>260727-381SALIDA</v>
      </c>
      <c r="S502" s="22" t="str">
        <f>IF(C502="","",C502&amp;I502)</f>
        <v>AzukaSALIDA</v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804</v>
      </c>
      <c r="B503" s="47">
        <v>46266</v>
      </c>
      <c r="C503" t="s">
        <v>90</v>
      </c>
      <c r="D503" t="s">
        <v>91</v>
      </c>
      <c r="E503" t="s">
        <v>34</v>
      </c>
      <c r="F503" t="s">
        <v>35</v>
      </c>
      <c r="G503" t="s">
        <v>36</v>
      </c>
      <c r="H503" s="20" t="s">
        <v>375</v>
      </c>
      <c r="I503" t="s">
        <v>65</v>
      </c>
      <c r="J503" s="30">
        <v>30</v>
      </c>
      <c r="K503" s="22">
        <f>IF(I503="","",IF(I503="ENTRADA",ABS(J503),-ABS(J503)))</f>
        <v>-30</v>
      </c>
      <c r="L503" t="s">
        <v>37</v>
      </c>
      <c r="N503">
        <v>65182</v>
      </c>
      <c r="O503" t="s">
        <v>218</v>
      </c>
      <c r="P503">
        <v>1900</v>
      </c>
      <c r="Q503" s="47">
        <v>46268</v>
      </c>
      <c r="R503" s="22" t="str">
        <f>IF(H503="","",H503&amp;I503)</f>
        <v>260405-132SALIDA</v>
      </c>
      <c r="S503" s="22" t="str">
        <f>IF(C503="","",C503&amp;I503)</f>
        <v>PixxaroSALIDA</v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805</v>
      </c>
      <c r="B504" s="47">
        <v>46267</v>
      </c>
      <c r="C504" t="s">
        <v>762</v>
      </c>
      <c r="D504" t="s">
        <v>763</v>
      </c>
      <c r="E504" t="s">
        <v>25</v>
      </c>
      <c r="F504" t="s">
        <v>632</v>
      </c>
      <c r="G504" t="s">
        <v>27</v>
      </c>
      <c r="H504" s="20" t="s">
        <v>806</v>
      </c>
      <c r="I504" t="s">
        <v>65</v>
      </c>
      <c r="J504" s="30">
        <v>100</v>
      </c>
      <c r="K504" s="22">
        <f>IF(I504="","",IF(I504="ENTRADA",ABS(J504),-ABS(J504)))</f>
        <v>-100</v>
      </c>
      <c r="L504" t="s">
        <v>633</v>
      </c>
      <c r="N504">
        <v>65183</v>
      </c>
      <c r="O504" t="s">
        <v>213</v>
      </c>
      <c r="P504">
        <v>1902</v>
      </c>
      <c r="Q504" s="47">
        <v>46268</v>
      </c>
      <c r="R504" s="22" t="str">
        <f>IF(H504="","",H504&amp;I504)</f>
        <v>260821-481SALIDA</v>
      </c>
      <c r="S504" s="22" t="str">
        <f>IF(C504="","",C504&amp;I504)</f>
        <v>semilla comprada maiz illinois 7.24 SALIDA</v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807</v>
      </c>
      <c r="B505" s="47">
        <v>46267</v>
      </c>
      <c r="C505" t="s">
        <v>765</v>
      </c>
      <c r="D505" t="s">
        <v>766</v>
      </c>
      <c r="E505" t="s">
        <v>25</v>
      </c>
      <c r="F505" t="s">
        <v>632</v>
      </c>
      <c r="G505" t="s">
        <v>27</v>
      </c>
      <c r="H505" s="20" t="s">
        <v>808</v>
      </c>
      <c r="I505" t="s">
        <v>65</v>
      </c>
      <c r="J505" s="30">
        <v>10</v>
      </c>
      <c r="K505" s="22">
        <f>IF(I505="","",IF(I505="ENTRADA",ABS(J505),-ABS(J505)))</f>
        <v>-10</v>
      </c>
      <c r="L505" t="s">
        <v>633</v>
      </c>
      <c r="N505">
        <v>65183</v>
      </c>
      <c r="O505" t="s">
        <v>213</v>
      </c>
      <c r="P505">
        <v>1902</v>
      </c>
      <c r="Q505" s="47">
        <v>46268</v>
      </c>
      <c r="R505" s="22" t="str">
        <f>IF(H505="","",H505&amp;I505)</f>
        <v>260821-482SALIDA</v>
      </c>
      <c r="S505" s="22" t="str">
        <f>IF(C505="","",C505&amp;I505)</f>
        <v>refugio semilla maiz illinois SALIDA</v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809</v>
      </c>
      <c r="B506" s="47">
        <v>46267</v>
      </c>
      <c r="C506" t="s">
        <v>759</v>
      </c>
      <c r="D506" t="s">
        <v>760</v>
      </c>
      <c r="E506" t="s">
        <v>25</v>
      </c>
      <c r="F506" t="s">
        <v>632</v>
      </c>
      <c r="G506" t="s">
        <v>27</v>
      </c>
      <c r="H506" s="20" t="s">
        <v>810</v>
      </c>
      <c r="I506" t="s">
        <v>65</v>
      </c>
      <c r="J506" s="30">
        <v>132</v>
      </c>
      <c r="K506" s="22">
        <f>IF(I506="","",IF(I506="ENTRADA",ABS(J506),-ABS(J506)))</f>
        <v>-132</v>
      </c>
      <c r="L506" t="s">
        <v>633</v>
      </c>
      <c r="N506">
        <v>65183</v>
      </c>
      <c r="O506" t="s">
        <v>213</v>
      </c>
      <c r="P506">
        <v>1902</v>
      </c>
      <c r="Q506" s="47">
        <v>46268</v>
      </c>
      <c r="R506" s="22" t="str">
        <f>IF(H506="","",H506&amp;I506)</f>
        <v>260821-480SALIDA</v>
      </c>
      <c r="S506" s="22" t="str">
        <f>IF(C506="","",C506&amp;I506)</f>
        <v>semilla comprada maiz illinois 2773SALIDA</v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811</v>
      </c>
      <c r="B507" s="47">
        <v>46267</v>
      </c>
      <c r="C507" s="34" t="s">
        <v>765</v>
      </c>
      <c r="D507" s="34" t="s">
        <v>766</v>
      </c>
      <c r="E507" s="34" t="s">
        <v>25</v>
      </c>
      <c r="F507" s="34" t="s">
        <v>632</v>
      </c>
      <c r="G507" s="34" t="s">
        <v>27</v>
      </c>
      <c r="H507" s="20" t="s">
        <v>808</v>
      </c>
      <c r="I507" s="34" t="s">
        <v>65</v>
      </c>
      <c r="J507" s="36">
        <v>10</v>
      </c>
      <c r="K507" s="22">
        <f>IF(I507="","",IF(I507="ENTRADA",ABS(J507),-ABS(J507)))</f>
        <v>-10</v>
      </c>
      <c r="L507" s="34" t="s">
        <v>633</v>
      </c>
      <c r="M507" s="34"/>
      <c r="N507">
        <v>65183</v>
      </c>
      <c r="O507" s="34" t="s">
        <v>213</v>
      </c>
      <c r="P507" s="34">
        <v>1902</v>
      </c>
      <c r="Q507" s="47">
        <v>46268</v>
      </c>
      <c r="R507" s="22" t="str">
        <f>IF(H507="","",H507&amp;I507)</f>
        <v>260821-482SALIDA</v>
      </c>
      <c r="S507" s="22" t="str">
        <f>IF(C507="","",C507&amp;I507)</f>
        <v>refugio semilla maiz illinois SALIDA</v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812</v>
      </c>
      <c r="B508" s="47">
        <v>46267</v>
      </c>
      <c r="C508" t="s">
        <v>115</v>
      </c>
      <c r="D508" t="s">
        <v>116</v>
      </c>
      <c r="E508" t="s">
        <v>34</v>
      </c>
      <c r="F508" t="s">
        <v>35</v>
      </c>
      <c r="G508" t="s">
        <v>117</v>
      </c>
      <c r="H508" s="20" t="s">
        <v>813</v>
      </c>
      <c r="I508" t="s">
        <v>65</v>
      </c>
      <c r="J508" s="30">
        <v>1600</v>
      </c>
      <c r="K508" s="22">
        <f>IF(I508="","",IF(I508="ENTRADA",ABS(J508),-ABS(J508)))</f>
        <v>-1600</v>
      </c>
      <c r="L508" t="s">
        <v>37</v>
      </c>
      <c r="N508">
        <v>65184</v>
      </c>
      <c r="O508" t="s">
        <v>218</v>
      </c>
      <c r="P508">
        <v>1901</v>
      </c>
      <c r="Q508" s="47">
        <v>46268</v>
      </c>
      <c r="R508" s="22" t="str">
        <f>IF(H508="","",H508&amp;I508)</f>
        <v>260910-622SALIDA</v>
      </c>
      <c r="S508" s="22" t="str">
        <f>IF(C508="","",C508&amp;I508)</f>
        <v>AzukaSALIDA</v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814</v>
      </c>
      <c r="B509" s="47">
        <v>46267</v>
      </c>
      <c r="C509" t="s">
        <v>122</v>
      </c>
      <c r="D509" t="s">
        <v>123</v>
      </c>
      <c r="E509" t="s">
        <v>34</v>
      </c>
      <c r="F509" t="s">
        <v>35</v>
      </c>
      <c r="G509" t="s">
        <v>117</v>
      </c>
      <c r="H509" s="20" t="s">
        <v>203</v>
      </c>
      <c r="I509" t="s">
        <v>65</v>
      </c>
      <c r="J509" s="30">
        <v>500</v>
      </c>
      <c r="K509" s="22">
        <f>IF(I509="","",IF(I509="ENTRADA",ABS(J509),-ABS(J509)))</f>
        <v>-500</v>
      </c>
      <c r="L509" t="s">
        <v>37</v>
      </c>
      <c r="N509">
        <v>65184</v>
      </c>
      <c r="O509" t="s">
        <v>218</v>
      </c>
      <c r="P509">
        <v>1901</v>
      </c>
      <c r="Q509" s="47">
        <v>46268</v>
      </c>
      <c r="R509" s="22" t="str">
        <f>IF(H509="","",H509&amp;I509)</f>
        <v>260410-027SALIDA</v>
      </c>
      <c r="S509" s="22" t="str">
        <f>IF(C509="","",C509&amp;I509)</f>
        <v>PardoSALIDA</v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815</v>
      </c>
      <c r="B510" s="47">
        <v>46267</v>
      </c>
      <c r="C510" t="s">
        <v>75</v>
      </c>
      <c r="D510" t="s">
        <v>76</v>
      </c>
      <c r="E510" t="s">
        <v>34</v>
      </c>
      <c r="F510" t="s">
        <v>35</v>
      </c>
      <c r="G510" t="s">
        <v>77</v>
      </c>
      <c r="H510" s="20" t="s">
        <v>94</v>
      </c>
      <c r="I510" t="s">
        <v>65</v>
      </c>
      <c r="J510" s="30">
        <v>400</v>
      </c>
      <c r="K510" s="22">
        <f>IF(I510="","",IF(I510="ENTRADA",ABS(J510),-ABS(J510)))</f>
        <v>-400</v>
      </c>
      <c r="L510" t="s">
        <v>37</v>
      </c>
      <c r="N510">
        <v>65184</v>
      </c>
      <c r="O510" t="s">
        <v>218</v>
      </c>
      <c r="P510">
        <v>1901</v>
      </c>
      <c r="Q510" s="47">
        <v>46268</v>
      </c>
      <c r="R510" s="22" t="str">
        <f>IF(H510="","",H510&amp;I510)</f>
        <v>260407-012SALIDA</v>
      </c>
      <c r="S510" s="22" t="str">
        <f>IF(C510="","",C510&amp;I510)</f>
        <v>Dedalo eliteSALIDA</v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816</v>
      </c>
      <c r="B511" s="47">
        <v>46267</v>
      </c>
      <c r="C511" t="s">
        <v>122</v>
      </c>
      <c r="D511" t="s">
        <v>123</v>
      </c>
      <c r="E511" t="s">
        <v>34</v>
      </c>
      <c r="F511" t="s">
        <v>35</v>
      </c>
      <c r="G511" t="s">
        <v>117</v>
      </c>
      <c r="H511" s="20" t="s">
        <v>203</v>
      </c>
      <c r="I511" t="s">
        <v>65</v>
      </c>
      <c r="J511" s="30">
        <v>80</v>
      </c>
      <c r="K511" s="22">
        <f>IF(I511="","",IF(I511="ENTRADA",ABS(J511),-ABS(J511)))</f>
        <v>-80</v>
      </c>
      <c r="L511" t="s">
        <v>37</v>
      </c>
      <c r="N511">
        <v>65185</v>
      </c>
      <c r="O511" t="s">
        <v>218</v>
      </c>
      <c r="P511">
        <v>1903</v>
      </c>
      <c r="Q511" s="47">
        <v>46268</v>
      </c>
      <c r="R511" s="22" t="str">
        <f>IF(H511="","",H511&amp;I511)</f>
        <v>260410-027SALIDA</v>
      </c>
      <c r="S511" s="22" t="str">
        <f>IF(C511="","",C511&amp;I511)</f>
        <v>PardoSALIDA</v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817</v>
      </c>
      <c r="B512" s="47">
        <v>46267</v>
      </c>
      <c r="C512" t="s">
        <v>90</v>
      </c>
      <c r="D512" t="s">
        <v>91</v>
      </c>
      <c r="E512" t="s">
        <v>34</v>
      </c>
      <c r="F512" t="s">
        <v>35</v>
      </c>
      <c r="G512" t="s">
        <v>36</v>
      </c>
      <c r="H512" s="20" t="s">
        <v>375</v>
      </c>
      <c r="I512" t="s">
        <v>65</v>
      </c>
      <c r="J512" s="30">
        <v>20</v>
      </c>
      <c r="K512" s="22">
        <f>IF(I512="","",IF(I512="ENTRADA",ABS(J512),-ABS(J512)))</f>
        <v>-20</v>
      </c>
      <c r="L512" t="s">
        <v>37</v>
      </c>
      <c r="N512">
        <v>65185</v>
      </c>
      <c r="O512" t="s">
        <v>218</v>
      </c>
      <c r="P512">
        <v>1903</v>
      </c>
      <c r="Q512" s="47">
        <v>46268</v>
      </c>
      <c r="R512" s="22" t="str">
        <f>IF(H512="","",H512&amp;I512)</f>
        <v>260405-132SALIDA</v>
      </c>
      <c r="S512" s="22" t="str">
        <f>IF(C512="","",C512&amp;I512)</f>
        <v>PixxaroSALIDA</v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818</v>
      </c>
      <c r="B513" s="47">
        <v>46267</v>
      </c>
      <c r="C513" t="s">
        <v>115</v>
      </c>
      <c r="D513" t="s">
        <v>116</v>
      </c>
      <c r="E513" t="s">
        <v>34</v>
      </c>
      <c r="F513" t="s">
        <v>35</v>
      </c>
      <c r="G513" t="s">
        <v>117</v>
      </c>
      <c r="H513" s="20" t="s">
        <v>669</v>
      </c>
      <c r="I513" t="s">
        <v>65</v>
      </c>
      <c r="J513" s="30">
        <v>100</v>
      </c>
      <c r="K513" s="22">
        <f>IF(I513="","",IF(I513="ENTRADA",ABS(J513),-ABS(J513)))</f>
        <v>-100</v>
      </c>
      <c r="L513" t="s">
        <v>37</v>
      </c>
      <c r="N513">
        <v>65185</v>
      </c>
      <c r="O513" t="s">
        <v>218</v>
      </c>
      <c r="P513">
        <v>1903</v>
      </c>
      <c r="Q513" s="47">
        <v>46268</v>
      </c>
      <c r="R513" s="22" t="str">
        <f>IF(H513="","",H513&amp;I513)</f>
        <v>260727-381SALIDA</v>
      </c>
      <c r="S513" s="22" t="str">
        <f>IF(C513="","",C513&amp;I513)</f>
        <v>AzukaSALIDA</v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819</v>
      </c>
      <c r="B514" s="47">
        <v>46267</v>
      </c>
      <c r="C514" t="s">
        <v>752</v>
      </c>
      <c r="D514" t="s">
        <v>753</v>
      </c>
      <c r="E514" t="s">
        <v>34</v>
      </c>
      <c r="G514" t="s">
        <v>301</v>
      </c>
      <c r="H514" s="20" t="s">
        <v>755</v>
      </c>
      <c r="I514" t="s">
        <v>65</v>
      </c>
      <c r="J514" s="30">
        <v>70</v>
      </c>
      <c r="K514" s="22">
        <f>IF(I514="","",IF(I514="ENTRADA",ABS(J514),-ABS(J514)))</f>
        <v>-70</v>
      </c>
      <c r="L514" t="s">
        <v>37</v>
      </c>
      <c r="N514">
        <v>65185</v>
      </c>
      <c r="O514" t="s">
        <v>218</v>
      </c>
      <c r="P514">
        <v>1903</v>
      </c>
      <c r="Q514" s="47">
        <v>46268</v>
      </c>
      <c r="R514" s="22" t="str">
        <f>IF(H514="","",H514&amp;I514)</f>
        <v>260813-476SALIDA</v>
      </c>
      <c r="S514" s="22" t="str">
        <f>IF(C514="","",C514&amp;I514)</f>
        <v>Fluroxipir Forte 480SALIDA</v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820</v>
      </c>
      <c r="B515" s="47">
        <v>46267</v>
      </c>
      <c r="C515" t="s">
        <v>759</v>
      </c>
      <c r="D515" t="s">
        <v>760</v>
      </c>
      <c r="E515" t="s">
        <v>25</v>
      </c>
      <c r="F515" t="s">
        <v>632</v>
      </c>
      <c r="G515" t="s">
        <v>27</v>
      </c>
      <c r="H515" s="20" t="s">
        <v>810</v>
      </c>
      <c r="I515" t="s">
        <v>65</v>
      </c>
      <c r="J515" s="30">
        <v>80</v>
      </c>
      <c r="K515" s="22">
        <f>IF(I515="","",IF(I515="ENTRADA",ABS(J515),-ABS(J515)))</f>
        <v>-80</v>
      </c>
      <c r="L515" t="s">
        <v>633</v>
      </c>
      <c r="N515">
        <v>65186</v>
      </c>
      <c r="O515" t="s">
        <v>213</v>
      </c>
      <c r="P515">
        <v>1904</v>
      </c>
      <c r="Q515" s="47">
        <v>46269</v>
      </c>
      <c r="R515" s="22" t="str">
        <f>IF(H515="","",H515&amp;I515)</f>
        <v>260821-480SALIDA</v>
      </c>
      <c r="S515" s="22" t="str">
        <f>IF(C515="","",C515&amp;I515)</f>
        <v>semilla comprada maiz illinois 2773SALIDA</v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821</v>
      </c>
      <c r="B516" s="47">
        <v>46267</v>
      </c>
      <c r="C516" t="s">
        <v>765</v>
      </c>
      <c r="D516" t="s">
        <v>766</v>
      </c>
      <c r="E516" t="s">
        <v>25</v>
      </c>
      <c r="F516" t="s">
        <v>632</v>
      </c>
      <c r="G516" t="s">
        <v>27</v>
      </c>
      <c r="H516" s="20" t="s">
        <v>808</v>
      </c>
      <c r="I516" t="s">
        <v>65</v>
      </c>
      <c r="J516" s="30">
        <v>8</v>
      </c>
      <c r="K516" s="22">
        <f>IF(I516="","",IF(I516="ENTRADA",ABS(J516),-ABS(J516)))</f>
        <v>-8</v>
      </c>
      <c r="L516" t="s">
        <v>633</v>
      </c>
      <c r="N516">
        <v>65186</v>
      </c>
      <c r="O516" t="s">
        <v>213</v>
      </c>
      <c r="P516">
        <v>1904</v>
      </c>
      <c r="Q516" s="47">
        <v>46269</v>
      </c>
      <c r="R516" s="22" t="str">
        <f>IF(H516="","",H516&amp;I516)</f>
        <v>260821-482SALIDA</v>
      </c>
      <c r="S516" s="22" t="str">
        <f>IF(C516="","",C516&amp;I516)</f>
        <v>refugio semilla maiz illinois SALIDA</v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822</v>
      </c>
      <c r="B517" s="47">
        <v>46267</v>
      </c>
      <c r="C517" t="s">
        <v>630</v>
      </c>
      <c r="D517" t="s">
        <v>631</v>
      </c>
      <c r="E517" t="s">
        <v>25</v>
      </c>
      <c r="F517" t="s">
        <v>632</v>
      </c>
      <c r="G517" t="s">
        <v>158</v>
      </c>
      <c r="H517" s="20" t="s">
        <v>823</v>
      </c>
      <c r="I517" t="s">
        <v>65</v>
      </c>
      <c r="J517" s="30">
        <v>120</v>
      </c>
      <c r="K517" s="22">
        <f>IF(I517="","",IF(I517="ENTRADA",ABS(J517),-ABS(J517)))</f>
        <v>-120</v>
      </c>
      <c r="L517" t="s">
        <v>633</v>
      </c>
      <c r="N517">
        <v>65186</v>
      </c>
      <c r="O517" t="s">
        <v>213</v>
      </c>
      <c r="P517">
        <v>1904</v>
      </c>
      <c r="Q517" s="47">
        <v>46269</v>
      </c>
      <c r="R517" s="22" t="str">
        <f>IF(H517="","",H517&amp;I517)</f>
        <v>260617-373SALIDA</v>
      </c>
      <c r="S517" s="22" t="str">
        <f>IF(C517="","",C517&amp;I517)</f>
        <v>semilla maiz DK 69-62 TRESALIDA</v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824</v>
      </c>
      <c r="B518" s="47">
        <v>46267</v>
      </c>
      <c r="C518" s="34" t="s">
        <v>635</v>
      </c>
      <c r="D518" s="34" t="s">
        <v>631</v>
      </c>
      <c r="E518" s="34" t="s">
        <v>25</v>
      </c>
      <c r="F518" s="34" t="s">
        <v>632</v>
      </c>
      <c r="G518" s="34" t="s">
        <v>158</v>
      </c>
      <c r="H518" s="20" t="s">
        <v>825</v>
      </c>
      <c r="I518" s="34" t="s">
        <v>65</v>
      </c>
      <c r="J518" s="36">
        <v>12</v>
      </c>
      <c r="K518" s="22">
        <f>IF(I518="","",IF(I518="ENTRADA",ABS(J518),-ABS(J518)))</f>
        <v>-12</v>
      </c>
      <c r="L518" s="34" t="s">
        <v>633</v>
      </c>
      <c r="M518" s="34"/>
      <c r="N518">
        <v>65186</v>
      </c>
      <c r="O518" s="34" t="s">
        <v>213</v>
      </c>
      <c r="P518">
        <v>1904</v>
      </c>
      <c r="Q518" s="47">
        <v>46269</v>
      </c>
      <c r="R518" s="22" t="str">
        <f>IF(H518="","",H518&amp;I518)</f>
        <v>260617-374SALIDA</v>
      </c>
      <c r="S518" s="22" t="str">
        <f>IF(C518="","",C518&amp;I518)</f>
        <v>semilla maiz DK 72-10 RR2C5 refugioSALIDA</v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826</v>
      </c>
      <c r="B519" s="47">
        <v>46267</v>
      </c>
      <c r="C519" t="s">
        <v>115</v>
      </c>
      <c r="D519" t="s">
        <v>116</v>
      </c>
      <c r="E519" t="s">
        <v>34</v>
      </c>
      <c r="F519" t="s">
        <v>35</v>
      </c>
      <c r="G519" t="s">
        <v>117</v>
      </c>
      <c r="H519" s="20" t="s">
        <v>669</v>
      </c>
      <c r="I519" t="s">
        <v>65</v>
      </c>
      <c r="J519" s="30">
        <v>700</v>
      </c>
      <c r="K519" s="22">
        <f>IF(I519="","",IF(I519="ENTRADA",ABS(J519),-ABS(J519)))</f>
        <v>-700</v>
      </c>
      <c r="L519" t="s">
        <v>37</v>
      </c>
      <c r="N519">
        <v>65187</v>
      </c>
      <c r="O519" t="s">
        <v>237</v>
      </c>
      <c r="P519">
        <v>1905</v>
      </c>
      <c r="Q519" s="47">
        <v>46269</v>
      </c>
      <c r="R519" s="22" t="str">
        <f>IF(H519="","",H519&amp;I519)</f>
        <v>260727-381SALIDA</v>
      </c>
      <c r="S519" s="22" t="str">
        <f>IF(C519="","",C519&amp;I519)</f>
        <v>AzukaSALIDA</v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827</v>
      </c>
      <c r="B520" s="47">
        <v>46267</v>
      </c>
      <c r="C520" t="s">
        <v>630</v>
      </c>
      <c r="D520" t="s">
        <v>631</v>
      </c>
      <c r="E520" t="s">
        <v>25</v>
      </c>
      <c r="F520" t="s">
        <v>632</v>
      </c>
      <c r="G520" t="s">
        <v>158</v>
      </c>
      <c r="H520" s="20" t="s">
        <v>823</v>
      </c>
      <c r="I520" t="s">
        <v>65</v>
      </c>
      <c r="J520" s="30">
        <v>190</v>
      </c>
      <c r="K520" s="22">
        <f>IF(I520="","",IF(I520="ENTRADA",ABS(J520),-ABS(J520)))</f>
        <v>-190</v>
      </c>
      <c r="L520" t="s">
        <v>633</v>
      </c>
      <c r="N520">
        <v>65187</v>
      </c>
      <c r="O520" t="s">
        <v>237</v>
      </c>
      <c r="P520">
        <v>1905</v>
      </c>
      <c r="Q520" s="47">
        <v>46269</v>
      </c>
      <c r="R520" s="22" t="str">
        <f>IF(H520="","",H520&amp;I520)</f>
        <v>260617-373SALIDA</v>
      </c>
      <c r="S520" s="22" t="str">
        <f>IF(C520="","",C520&amp;I520)</f>
        <v>semilla maiz DK 69-62 TRESALIDA</v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828</v>
      </c>
      <c r="B521" s="47">
        <v>46267</v>
      </c>
      <c r="C521" t="s">
        <v>635</v>
      </c>
      <c r="D521" t="s">
        <v>631</v>
      </c>
      <c r="E521" t="s">
        <v>25</v>
      </c>
      <c r="F521" t="s">
        <v>632</v>
      </c>
      <c r="G521" t="s">
        <v>158</v>
      </c>
      <c r="H521" s="20" t="s">
        <v>825</v>
      </c>
      <c r="I521" t="s">
        <v>65</v>
      </c>
      <c r="J521" s="30">
        <v>20</v>
      </c>
      <c r="K521" s="22">
        <f>IF(I521="","",IF(I521="ENTRADA",ABS(J521),-ABS(J521)))</f>
        <v>-20</v>
      </c>
      <c r="L521" t="s">
        <v>633</v>
      </c>
      <c r="N521">
        <v>65187</v>
      </c>
      <c r="O521" t="s">
        <v>237</v>
      </c>
      <c r="P521">
        <v>1905</v>
      </c>
      <c r="Q521" s="47">
        <v>46269</v>
      </c>
      <c r="R521" s="22" t="str">
        <f>IF(H521="","",H521&amp;I521)</f>
        <v>260617-374SALIDA</v>
      </c>
      <c r="S521" s="22" t="str">
        <f>IF(C521="","",C521&amp;I521)</f>
        <v>semilla maiz DK 72-10 RR2C5 refugioSALIDA</v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829</v>
      </c>
      <c r="B522" s="47">
        <v>46267</v>
      </c>
      <c r="C522" t="s">
        <v>771</v>
      </c>
      <c r="D522" t="s">
        <v>772</v>
      </c>
      <c r="E522" t="s">
        <v>34</v>
      </c>
      <c r="F522" t="s">
        <v>35</v>
      </c>
      <c r="G522" t="s">
        <v>773</v>
      </c>
      <c r="H522" s="20" t="s">
        <v>830</v>
      </c>
      <c r="I522" t="s">
        <v>65</v>
      </c>
      <c r="J522" s="30">
        <v>560</v>
      </c>
      <c r="K522" s="22">
        <f>IF(I522="","",IF(I522="ENTRADA",ABS(J522),-ABS(J522)))</f>
        <v>-560</v>
      </c>
      <c r="L522" t="s">
        <v>37</v>
      </c>
      <c r="N522">
        <v>65187</v>
      </c>
      <c r="O522" t="s">
        <v>237</v>
      </c>
      <c r="P522">
        <v>1905</v>
      </c>
      <c r="Q522" s="47">
        <v>46269</v>
      </c>
      <c r="R522" s="22" t="str">
        <f>IF(H522="","",H522&amp;I522)</f>
        <v>260826-484SALIDA</v>
      </c>
      <c r="S522" s="22" t="str">
        <f>IF(C522="","",C522&amp;I522)</f>
        <v>Paraquat SALIDA</v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831</v>
      </c>
      <c r="B523" s="47">
        <v>46267</v>
      </c>
      <c r="C523" t="s">
        <v>130</v>
      </c>
      <c r="D523" t="s">
        <v>131</v>
      </c>
      <c r="E523" t="s">
        <v>132</v>
      </c>
      <c r="G523" t="s">
        <v>133</v>
      </c>
      <c r="H523" s="20" t="s">
        <v>221</v>
      </c>
      <c r="I523" t="s">
        <v>65</v>
      </c>
      <c r="J523" s="30">
        <v>40</v>
      </c>
      <c r="K523" s="22">
        <f>IF(I523="","",IF(I523="ENTRADA",ABS(J523),-ABS(J523)))</f>
        <v>-40</v>
      </c>
      <c r="L523" t="s">
        <v>37</v>
      </c>
      <c r="N523">
        <v>65187</v>
      </c>
      <c r="O523" t="s">
        <v>237</v>
      </c>
      <c r="P523">
        <v>1905</v>
      </c>
      <c r="Q523" s="47">
        <v>46269</v>
      </c>
      <c r="R523" s="22" t="str">
        <f>IF(H523="","",H523&amp;I523)</f>
        <v>260414-029SALIDA</v>
      </c>
      <c r="S523" s="22" t="str">
        <f>IF(C523="","",C523&amp;I523)</f>
        <v>HarrierSALIDA</v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832</v>
      </c>
      <c r="B524" s="47">
        <v>46268</v>
      </c>
      <c r="C524" t="s">
        <v>90</v>
      </c>
      <c r="D524" t="s">
        <v>91</v>
      </c>
      <c r="E524" t="s">
        <v>34</v>
      </c>
      <c r="F524" t="s">
        <v>35</v>
      </c>
      <c r="G524" t="s">
        <v>36</v>
      </c>
      <c r="H524" s="20" t="s">
        <v>375</v>
      </c>
      <c r="I524" t="s">
        <v>65</v>
      </c>
      <c r="J524" s="30">
        <v>60</v>
      </c>
      <c r="K524" s="22">
        <f>IF(I524="","",IF(I524="ENTRADA",ABS(J524),-ABS(J524)))</f>
        <v>-60</v>
      </c>
      <c r="L524" t="s">
        <v>37</v>
      </c>
      <c r="N524">
        <v>65188</v>
      </c>
      <c r="O524" t="s">
        <v>218</v>
      </c>
      <c r="P524">
        <v>1906</v>
      </c>
      <c r="Q524" s="47">
        <v>46269</v>
      </c>
      <c r="R524" s="22" t="str">
        <f>IF(H524="","",H524&amp;I524)</f>
        <v>260405-132SALIDA</v>
      </c>
      <c r="S524" s="22" t="str">
        <f>IF(C524="","",C524&amp;I524)</f>
        <v>PixxaroSALIDA</v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833</v>
      </c>
      <c r="B525" s="47">
        <v>46268</v>
      </c>
      <c r="C525" t="s">
        <v>122</v>
      </c>
      <c r="D525" t="s">
        <v>123</v>
      </c>
      <c r="E525" t="s">
        <v>34</v>
      </c>
      <c r="F525" t="s">
        <v>35</v>
      </c>
      <c r="G525" t="s">
        <v>117</v>
      </c>
      <c r="H525" s="20" t="s">
        <v>203</v>
      </c>
      <c r="I525" t="s">
        <v>65</v>
      </c>
      <c r="J525" s="30">
        <v>100</v>
      </c>
      <c r="K525" s="22">
        <f>IF(I525="","",IF(I525="ENTRADA",ABS(J525),-ABS(J525)))</f>
        <v>-100</v>
      </c>
      <c r="L525" t="s">
        <v>37</v>
      </c>
      <c r="N525">
        <v>65188</v>
      </c>
      <c r="O525" t="s">
        <v>218</v>
      </c>
      <c r="P525">
        <v>1906</v>
      </c>
      <c r="Q525" s="47">
        <v>46269</v>
      </c>
      <c r="R525" s="22" t="str">
        <f>IF(H525="","",H525&amp;I525)</f>
        <v>260410-027SALIDA</v>
      </c>
      <c r="S525" s="22" t="str">
        <f>IF(C525="","",C525&amp;I525)</f>
        <v>PardoSALIDA</v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834</v>
      </c>
      <c r="B526" s="47">
        <v>46268</v>
      </c>
      <c r="C526" t="s">
        <v>491</v>
      </c>
      <c r="D526" t="s">
        <v>492</v>
      </c>
      <c r="E526" t="s">
        <v>493</v>
      </c>
      <c r="G526" t="s">
        <v>36</v>
      </c>
      <c r="H526" s="20" t="s">
        <v>495</v>
      </c>
      <c r="I526" t="s">
        <v>65</v>
      </c>
      <c r="J526" s="30">
        <v>100</v>
      </c>
      <c r="K526" s="22">
        <f>IF(I526="","",IF(I526="ENTRADA",ABS(J526),-ABS(J526)))</f>
        <v>-100</v>
      </c>
      <c r="L526" t="s">
        <v>37</v>
      </c>
      <c r="N526">
        <v>65188</v>
      </c>
      <c r="O526" t="s">
        <v>218</v>
      </c>
      <c r="P526">
        <v>1906</v>
      </c>
      <c r="Q526" s="47">
        <v>46269</v>
      </c>
      <c r="R526" s="22" t="str">
        <f>IF(H526="","",H526&amp;I526)</f>
        <v>260610-265SALIDA</v>
      </c>
      <c r="S526" s="22" t="str">
        <f>IF(C526="","",C526&amp;I526)</f>
        <v>Zinc Plus SALIDA</v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835</v>
      </c>
      <c r="B527" s="47">
        <v>46268</v>
      </c>
      <c r="C527" t="s">
        <v>514</v>
      </c>
      <c r="D527" t="s">
        <v>515</v>
      </c>
      <c r="E527" t="s">
        <v>516</v>
      </c>
      <c r="G527" t="s">
        <v>117</v>
      </c>
      <c r="H527" s="20" t="s">
        <v>665</v>
      </c>
      <c r="I527" t="s">
        <v>65</v>
      </c>
      <c r="J527" s="30">
        <v>50</v>
      </c>
      <c r="K527" s="22">
        <f>IF(I527="","",IF(I527="ENTRADA",ABS(J527),-ABS(J527)))</f>
        <v>-50</v>
      </c>
      <c r="L527" t="s">
        <v>37</v>
      </c>
      <c r="N527">
        <v>65188</v>
      </c>
      <c r="O527" t="s">
        <v>218</v>
      </c>
      <c r="P527">
        <v>1906</v>
      </c>
      <c r="Q527" s="47">
        <v>46269</v>
      </c>
      <c r="R527" s="22" t="str">
        <f>IF(H527="","",H527&amp;I527)</f>
        <v>260730-396SALIDA</v>
      </c>
      <c r="S527" s="22" t="str">
        <f>IF(C527="","",C527&amp;I527)</f>
        <v>Unico MaxSALIDA</v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836</v>
      </c>
      <c r="B528" s="47">
        <v>46268</v>
      </c>
      <c r="C528" t="s">
        <v>283</v>
      </c>
      <c r="D528" t="s">
        <v>284</v>
      </c>
      <c r="E528" t="s">
        <v>285</v>
      </c>
      <c r="F528" t="s">
        <v>286</v>
      </c>
      <c r="G528" t="s">
        <v>83</v>
      </c>
      <c r="H528" s="20" t="s">
        <v>837</v>
      </c>
      <c r="I528" t="s">
        <v>65</v>
      </c>
      <c r="J528" s="30">
        <v>3000</v>
      </c>
      <c r="K528" s="22">
        <f>IF(I528="","",IF(I528="ENTRADA",ABS(J528),-ABS(J528)))</f>
        <v>-3000</v>
      </c>
      <c r="L528" t="s">
        <v>37</v>
      </c>
      <c r="N528">
        <v>65189</v>
      </c>
      <c r="O528" t="s">
        <v>213</v>
      </c>
      <c r="P528">
        <v>1909</v>
      </c>
      <c r="Q528" s="47">
        <v>46269</v>
      </c>
      <c r="R528" s="22" t="str">
        <f>IF(H528="","",H528&amp;I528)</f>
        <v>260730-399SALIDA</v>
      </c>
      <c r="S528" s="22" t="str">
        <f>IF(C528="","",C528&amp;I528)</f>
        <v>Hydra HumeSALIDA</v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838</v>
      </c>
      <c r="B529" s="47">
        <v>46268</v>
      </c>
      <c r="C529" s="34" t="s">
        <v>839</v>
      </c>
      <c r="D529" s="34" t="s">
        <v>631</v>
      </c>
      <c r="E529" s="34" t="s">
        <v>25</v>
      </c>
      <c r="F529" s="34" t="s">
        <v>632</v>
      </c>
      <c r="G529" s="34" t="s">
        <v>301</v>
      </c>
      <c r="H529" s="20" t="str">
        <f>+T529</f>
        <v>260903-529</v>
      </c>
      <c r="I529" s="34" t="s">
        <v>28</v>
      </c>
      <c r="J529" s="36">
        <v>96</v>
      </c>
      <c r="K529" s="22">
        <f>IF(I529="","",IF(I529="ENTRADA",ABS(J529),-ABS(J529)))</f>
        <v>96</v>
      </c>
      <c r="L529" s="34" t="s">
        <v>633</v>
      </c>
      <c r="M529" s="34"/>
      <c r="N529">
        <v>14367</v>
      </c>
      <c r="O529" s="34"/>
      <c r="P529" s="34">
        <v>15054</v>
      </c>
      <c r="Q529" s="35"/>
      <c r="R529" s="22" t="str">
        <f>IF(H529="","",H529&amp;I529)</f>
        <v>260903-529ENTRADA</v>
      </c>
      <c r="S529" s="22" t="str">
        <f>IF(C529="","",C529&amp;I529)</f>
        <v>maiz Nk 825 vip3cl ENTRADA</v>
      </c>
      <c r="T529" t="str">
        <f>IF(OR(C529="",I529&lt;&gt;"ENTRADA"),"",TEXT(B529,"AAMMDD")&amp;"-"&amp;TEXT(VALUE(SUBSTITUTE(A529,"MOV-","")),"000"))</f>
        <v>260903-529</v>
      </c>
    </row>
    <row r="530" spans="1:20">
      <c r="A530" s="20" t="s">
        <v>840</v>
      </c>
      <c r="B530" s="47">
        <v>46268</v>
      </c>
      <c r="C530" t="s">
        <v>841</v>
      </c>
      <c r="D530" t="s">
        <v>631</v>
      </c>
      <c r="E530" t="s">
        <v>25</v>
      </c>
      <c r="F530" t="s">
        <v>632</v>
      </c>
      <c r="G530" t="s">
        <v>301</v>
      </c>
      <c r="H530" s="20" t="s">
        <v>842</v>
      </c>
      <c r="I530" t="s">
        <v>28</v>
      </c>
      <c r="J530" s="30">
        <v>4</v>
      </c>
      <c r="K530" s="22">
        <f>IF(I530="","",IF(I530="ENTRADA",ABS(J530),-ABS(J530)))</f>
        <v>4</v>
      </c>
      <c r="L530" t="s">
        <v>633</v>
      </c>
      <c r="N530">
        <v>14370</v>
      </c>
      <c r="P530">
        <v>15057</v>
      </c>
      <c r="R530" s="22" t="str">
        <f>IF(H530="","",H530&amp;I530)</f>
        <v>260903-531ENTRADA</v>
      </c>
      <c r="S530" s="22" t="str">
        <f>IF(C530="","",C530&amp;I530)</f>
        <v>Maiz Nk 800 tgcl refugio ENTRADA</v>
      </c>
      <c r="T530" t="str">
        <f>IF(OR(C530="",I530&lt;&gt;"ENTRADA"),"",TEXT(B530,"AAMMDD")&amp;"-"&amp;TEXT(VALUE(SUBSTITUTE(A530,"MOV-","")),"000"))</f>
        <v>260903-530</v>
      </c>
    </row>
    <row r="531" spans="1:20">
      <c r="A531" s="20" t="s">
        <v>843</v>
      </c>
      <c r="B531" s="47">
        <v>46268</v>
      </c>
      <c r="C531" t="s">
        <v>841</v>
      </c>
      <c r="D531" t="s">
        <v>631</v>
      </c>
      <c r="E531" t="s">
        <v>25</v>
      </c>
      <c r="F531" t="s">
        <v>632</v>
      </c>
      <c r="G531" t="s">
        <v>301</v>
      </c>
      <c r="H531" s="20" t="str">
        <f>+T531</f>
        <v>260903-531</v>
      </c>
      <c r="I531" t="s">
        <v>28</v>
      </c>
      <c r="J531" s="30">
        <v>28</v>
      </c>
      <c r="K531" s="22">
        <f>IF(I531="","",IF(I531="ENTRADA",ABS(J531),-ABS(J531)))</f>
        <v>28</v>
      </c>
      <c r="L531" t="s">
        <v>633</v>
      </c>
      <c r="N531">
        <v>14369</v>
      </c>
      <c r="P531">
        <v>15055</v>
      </c>
      <c r="R531" s="22" t="str">
        <f>IF(H531="","",H531&amp;I531)</f>
        <v>260903-531ENTRADA</v>
      </c>
      <c r="S531" s="22" t="str">
        <f>IF(C531="","",C531&amp;I531)</f>
        <v>Maiz Nk 800 tgcl refugio ENTRADA</v>
      </c>
      <c r="T531" t="str">
        <f>IF(OR(C531="",I531&lt;&gt;"ENTRADA"),"",TEXT(B531,"AAMMDD")&amp;"-"&amp;TEXT(VALUE(SUBSTITUTE(A531,"MOV-","")),"000"))</f>
        <v>260903-531</v>
      </c>
    </row>
    <row r="532" spans="1:20">
      <c r="A532" s="20" t="s">
        <v>844</v>
      </c>
      <c r="B532" s="47">
        <v>46268</v>
      </c>
      <c r="C532" t="s">
        <v>841</v>
      </c>
      <c r="D532" t="s">
        <v>631</v>
      </c>
      <c r="E532" t="s">
        <v>25</v>
      </c>
      <c r="F532" t="s">
        <v>632</v>
      </c>
      <c r="G532" t="s">
        <v>301</v>
      </c>
      <c r="H532" s="20" t="s">
        <v>842</v>
      </c>
      <c r="I532" t="s">
        <v>28</v>
      </c>
      <c r="J532" s="30">
        <v>5</v>
      </c>
      <c r="K532" s="22">
        <f>IF(I532="","",IF(I532="ENTRADA",ABS(J532),-ABS(J532)))</f>
        <v>5</v>
      </c>
      <c r="L532" t="s">
        <v>633</v>
      </c>
      <c r="N532">
        <v>14375</v>
      </c>
      <c r="P532">
        <v>15056</v>
      </c>
      <c r="R532" s="22" t="str">
        <f>IF(H532="","",H532&amp;I532)</f>
        <v>260903-531ENTRADA</v>
      </c>
      <c r="S532" s="22" t="str">
        <f>IF(C532="","",C532&amp;I532)</f>
        <v>Maiz Nk 800 tgcl refugio ENTRADA</v>
      </c>
      <c r="T532" t="str">
        <f>IF(OR(C532="",I532&lt;&gt;"ENTRADA"),"",TEXT(B532,"AAMMDD")&amp;"-"&amp;TEXT(VALUE(SUBSTITUTE(A532,"MOV-","")),"000"))</f>
        <v>260903-532</v>
      </c>
    </row>
    <row r="533" spans="1:20">
      <c r="A533" s="20" t="s">
        <v>845</v>
      </c>
      <c r="B533" s="47">
        <v>46262</v>
      </c>
      <c r="C533" t="s">
        <v>115</v>
      </c>
      <c r="D533" t="s">
        <v>116</v>
      </c>
      <c r="E533" t="s">
        <v>34</v>
      </c>
      <c r="F533" t="s">
        <v>35</v>
      </c>
      <c r="G533" t="s">
        <v>117</v>
      </c>
      <c r="H533" s="20" t="s">
        <v>669</v>
      </c>
      <c r="I533" t="s">
        <v>65</v>
      </c>
      <c r="J533" s="30">
        <v>840</v>
      </c>
      <c r="K533" s="22">
        <f>IF(I533="","",IF(I533="ENTRADA",ABS(J533),-ABS(J533)))</f>
        <v>-840</v>
      </c>
      <c r="L533" t="s">
        <v>37</v>
      </c>
      <c r="N533">
        <v>65192</v>
      </c>
      <c r="O533" t="s">
        <v>213</v>
      </c>
      <c r="P533">
        <v>1907</v>
      </c>
      <c r="Q533" s="47">
        <v>46269</v>
      </c>
      <c r="R533" s="22" t="str">
        <f>IF(H533="","",H533&amp;I533)</f>
        <v>260727-381SALIDA</v>
      </c>
      <c r="S533" s="22" t="str">
        <f>IF(C533="","",C533&amp;I533)</f>
        <v>AzukaSALIDA</v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846</v>
      </c>
      <c r="B534" s="47">
        <v>46262</v>
      </c>
      <c r="C534" t="s">
        <v>122</v>
      </c>
      <c r="D534" t="s">
        <v>123</v>
      </c>
      <c r="E534" t="s">
        <v>34</v>
      </c>
      <c r="F534" t="s">
        <v>35</v>
      </c>
      <c r="G534" t="s">
        <v>117</v>
      </c>
      <c r="H534" s="20" t="s">
        <v>203</v>
      </c>
      <c r="I534" t="s">
        <v>65</v>
      </c>
      <c r="J534" s="30">
        <v>240</v>
      </c>
      <c r="K534" s="22">
        <f>IF(I534="","",IF(I534="ENTRADA",ABS(J534),-ABS(J534)))</f>
        <v>-240</v>
      </c>
      <c r="L534" t="s">
        <v>37</v>
      </c>
      <c r="N534">
        <v>65192</v>
      </c>
      <c r="O534" t="s">
        <v>213</v>
      </c>
      <c r="P534">
        <v>1907</v>
      </c>
      <c r="Q534" s="47">
        <v>46269</v>
      </c>
      <c r="R534" s="22" t="str">
        <f>IF(H534="","",H534&amp;I534)</f>
        <v>260410-027SALIDA</v>
      </c>
      <c r="S534" s="22" t="str">
        <f>IF(C534="","",C534&amp;I534)</f>
        <v>PardoSALIDA</v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847</v>
      </c>
      <c r="B535" s="47">
        <v>46262</v>
      </c>
      <c r="C535" t="s">
        <v>130</v>
      </c>
      <c r="D535" t="s">
        <v>131</v>
      </c>
      <c r="E535" t="s">
        <v>132</v>
      </c>
      <c r="G535" t="s">
        <v>133</v>
      </c>
      <c r="H535" s="20" t="s">
        <v>221</v>
      </c>
      <c r="I535" t="s">
        <v>65</v>
      </c>
      <c r="J535" s="30">
        <v>30</v>
      </c>
      <c r="K535" s="22">
        <f>IF(I535="","",IF(I535="ENTRADA",ABS(J535),-ABS(J535)))</f>
        <v>-30</v>
      </c>
      <c r="L535" t="s">
        <v>37</v>
      </c>
      <c r="N535">
        <v>65192</v>
      </c>
      <c r="O535" t="s">
        <v>213</v>
      </c>
      <c r="P535">
        <v>1907</v>
      </c>
      <c r="Q535" s="47">
        <v>46269</v>
      </c>
      <c r="R535" s="22" t="str">
        <f>IF(H535="","",H535&amp;I535)</f>
        <v>260414-029SALIDA</v>
      </c>
      <c r="S535" s="22" t="str">
        <f>IF(C535="","",C535&amp;I535)</f>
        <v>HarrierSALIDA</v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848</v>
      </c>
      <c r="B536" s="47">
        <v>46262</v>
      </c>
      <c r="C536" t="s">
        <v>137</v>
      </c>
      <c r="D536" t="s">
        <v>138</v>
      </c>
      <c r="E536" t="s">
        <v>132</v>
      </c>
      <c r="G536" t="s">
        <v>133</v>
      </c>
      <c r="H536" s="20" t="s">
        <v>602</v>
      </c>
      <c r="I536" t="s">
        <v>65</v>
      </c>
      <c r="J536" s="30">
        <v>5</v>
      </c>
      <c r="K536" s="22">
        <f>IF(I536="","",IF(I536="ENTRADA",ABS(J536),-ABS(J536)))</f>
        <v>-5</v>
      </c>
      <c r="L536" t="s">
        <v>37</v>
      </c>
      <c r="N536">
        <v>65192</v>
      </c>
      <c r="O536" t="s">
        <v>213</v>
      </c>
      <c r="P536">
        <v>1907</v>
      </c>
      <c r="Q536" s="47">
        <v>46269</v>
      </c>
      <c r="R536" s="22" t="str">
        <f>IF(H536="","",H536&amp;I536)</f>
        <v>260827-472SALIDA</v>
      </c>
      <c r="S536" s="22" t="str">
        <f>IF(C536="","",C536&amp;I536)</f>
        <v>Full controlSALIDA</v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849</v>
      </c>
      <c r="B537" s="47">
        <v>46262</v>
      </c>
      <c r="C537" t="s">
        <v>115</v>
      </c>
      <c r="D537" t="s">
        <v>116</v>
      </c>
      <c r="E537" t="s">
        <v>34</v>
      </c>
      <c r="F537" t="s">
        <v>35</v>
      </c>
      <c r="G537" t="s">
        <v>117</v>
      </c>
      <c r="H537" s="20" t="s">
        <v>669</v>
      </c>
      <c r="I537" t="s">
        <v>65</v>
      </c>
      <c r="J537" s="30">
        <v>1080</v>
      </c>
      <c r="K537" s="22">
        <f>IF(I537="","",IF(I537="ENTRADA",ABS(J537),-ABS(J537)))</f>
        <v>-1080</v>
      </c>
      <c r="L537" t="s">
        <v>37</v>
      </c>
      <c r="N537">
        <v>65193</v>
      </c>
      <c r="O537" t="s">
        <v>218</v>
      </c>
      <c r="P537">
        <v>1908</v>
      </c>
      <c r="Q537" s="47">
        <v>46269</v>
      </c>
      <c r="R537" s="22" t="str">
        <f>IF(H537="","",H537&amp;I537)</f>
        <v>260727-381SALIDA</v>
      </c>
      <c r="S537" s="22" t="str">
        <f>IF(C537="","",C537&amp;I537)</f>
        <v>AzukaSALIDA</v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850</v>
      </c>
      <c r="B538" s="47">
        <v>46262</v>
      </c>
      <c r="C538" t="s">
        <v>122</v>
      </c>
      <c r="D538" t="s">
        <v>123</v>
      </c>
      <c r="E538" t="s">
        <v>34</v>
      </c>
      <c r="F538" t="s">
        <v>35</v>
      </c>
      <c r="G538" t="s">
        <v>117</v>
      </c>
      <c r="H538" s="20" t="s">
        <v>203</v>
      </c>
      <c r="I538" t="s">
        <v>65</v>
      </c>
      <c r="J538" s="30">
        <v>260</v>
      </c>
      <c r="K538" s="22">
        <f>IF(I538="","",IF(I538="ENTRADA",ABS(J538),-ABS(J538)))</f>
        <v>-260</v>
      </c>
      <c r="L538" t="s">
        <v>37</v>
      </c>
      <c r="N538">
        <v>65193</v>
      </c>
      <c r="O538" t="s">
        <v>218</v>
      </c>
      <c r="P538">
        <v>1908</v>
      </c>
      <c r="Q538" s="47">
        <v>46269</v>
      </c>
      <c r="R538" s="22" t="str">
        <f>IF(H538="","",H538&amp;I538)</f>
        <v>260410-027SALIDA</v>
      </c>
      <c r="S538" s="22" t="str">
        <f>IF(C538="","",C538&amp;I538)</f>
        <v>PardoSALIDA</v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851</v>
      </c>
      <c r="B539" s="47">
        <v>46262</v>
      </c>
      <c r="C539" t="s">
        <v>130</v>
      </c>
      <c r="D539" t="s">
        <v>131</v>
      </c>
      <c r="E539" t="s">
        <v>132</v>
      </c>
      <c r="G539" t="s">
        <v>133</v>
      </c>
      <c r="H539" s="20" t="s">
        <v>221</v>
      </c>
      <c r="I539" t="s">
        <v>65</v>
      </c>
      <c r="J539" s="30">
        <v>50</v>
      </c>
      <c r="K539" s="22">
        <f>IF(I539="","",IF(I539="ENTRADA",ABS(J539),-ABS(J539)))</f>
        <v>-50</v>
      </c>
      <c r="L539" t="s">
        <v>37</v>
      </c>
      <c r="N539">
        <v>65193</v>
      </c>
      <c r="O539" t="s">
        <v>218</v>
      </c>
      <c r="P539">
        <v>1908</v>
      </c>
      <c r="Q539" s="47">
        <v>46269</v>
      </c>
      <c r="R539" s="22" t="str">
        <f>IF(H539="","",H539&amp;I539)</f>
        <v>260414-029SALIDA</v>
      </c>
      <c r="S539" s="22" t="str">
        <f>IF(C539="","",C539&amp;I539)</f>
        <v>HarrierSALIDA</v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852</v>
      </c>
      <c r="B540" s="47">
        <v>46262</v>
      </c>
      <c r="C540" s="34" t="s">
        <v>137</v>
      </c>
      <c r="D540" s="34" t="s">
        <v>138</v>
      </c>
      <c r="E540" s="34" t="s">
        <v>132</v>
      </c>
      <c r="F540" s="34"/>
      <c r="G540" s="34" t="s">
        <v>133</v>
      </c>
      <c r="H540" s="20" t="s">
        <v>602</v>
      </c>
      <c r="I540" s="34" t="s">
        <v>65</v>
      </c>
      <c r="J540" s="36">
        <v>10</v>
      </c>
      <c r="K540" s="22">
        <f>IF(I540="","",IF(I540="ENTRADA",ABS(J540),-ABS(J540)))</f>
        <v>-10</v>
      </c>
      <c r="L540" s="34" t="s">
        <v>37</v>
      </c>
      <c r="M540" s="34"/>
      <c r="N540">
        <v>65193</v>
      </c>
      <c r="O540" s="34" t="s">
        <v>218</v>
      </c>
      <c r="P540">
        <v>1908</v>
      </c>
      <c r="Q540" s="47">
        <v>46269</v>
      </c>
      <c r="R540" s="22" t="str">
        <f>IF(H540="","",H540&amp;I540)</f>
        <v>260827-472SALIDA</v>
      </c>
      <c r="S540" s="22" t="str">
        <f>IF(C540="","",C540&amp;I540)</f>
        <v>Full controlSALIDA</v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853</v>
      </c>
      <c r="B541" s="47">
        <v>46262</v>
      </c>
      <c r="C541" t="s">
        <v>90</v>
      </c>
      <c r="D541" t="s">
        <v>91</v>
      </c>
      <c r="E541" t="s">
        <v>34</v>
      </c>
      <c r="F541" t="s">
        <v>35</v>
      </c>
      <c r="G541" t="s">
        <v>36</v>
      </c>
      <c r="H541" s="20" t="s">
        <v>375</v>
      </c>
      <c r="I541" t="s">
        <v>65</v>
      </c>
      <c r="J541" s="30">
        <v>200</v>
      </c>
      <c r="K541" s="22">
        <f>IF(I541="","",IF(I541="ENTRADA",ABS(J541),-ABS(J541)))</f>
        <v>-200</v>
      </c>
      <c r="L541" t="s">
        <v>37</v>
      </c>
      <c r="N541">
        <v>65193</v>
      </c>
      <c r="O541" t="s">
        <v>218</v>
      </c>
      <c r="P541">
        <v>1908</v>
      </c>
      <c r="Q541" s="47">
        <v>46269</v>
      </c>
      <c r="R541" s="22" t="str">
        <f>IF(H541="","",H541&amp;I541)</f>
        <v>260405-132SALIDA</v>
      </c>
      <c r="S541" s="22" t="str">
        <f>IF(C541="","",C541&amp;I541)</f>
        <v>PixxaroSALIDA</v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854</v>
      </c>
      <c r="B542" s="47">
        <v>46268</v>
      </c>
      <c r="C542" t="s">
        <v>777</v>
      </c>
      <c r="D542" t="s">
        <v>778</v>
      </c>
      <c r="E542" t="s">
        <v>34</v>
      </c>
      <c r="F542" t="s">
        <v>46</v>
      </c>
      <c r="G542" t="s">
        <v>779</v>
      </c>
      <c r="H542" s="20" t="s">
        <v>855</v>
      </c>
      <c r="I542" t="s">
        <v>65</v>
      </c>
      <c r="J542" s="30">
        <v>1000</v>
      </c>
      <c r="K542" s="22">
        <f>IF(I542="","",IF(I542="ENTRADA",ABS(J542),-ABS(J542)))</f>
        <v>-1000</v>
      </c>
      <c r="L542" t="s">
        <v>37</v>
      </c>
      <c r="M542" s="47"/>
      <c r="N542">
        <v>65190</v>
      </c>
      <c r="O542" t="s">
        <v>213</v>
      </c>
      <c r="P542">
        <v>1917</v>
      </c>
      <c r="Q542" s="47">
        <v>46279</v>
      </c>
      <c r="R542" s="22" t="str">
        <f>IF(H542="","",H542&amp;I542)</f>
        <v>260902-487SALIDA</v>
      </c>
      <c r="S542" s="22" t="str">
        <f>IF(C542="","",C542&amp;I542)</f>
        <v>Acuron unoSALIDA</v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856</v>
      </c>
      <c r="B543" s="47">
        <v>46269</v>
      </c>
      <c r="C543" t="s">
        <v>44</v>
      </c>
      <c r="D543" t="s">
        <v>63</v>
      </c>
      <c r="E543" t="s">
        <v>34</v>
      </c>
      <c r="F543" t="s">
        <v>46</v>
      </c>
      <c r="G543" t="s">
        <v>36</v>
      </c>
      <c r="H543" s="20" t="s">
        <v>64</v>
      </c>
      <c r="I543" t="s">
        <v>65</v>
      </c>
      <c r="J543" s="30">
        <v>40</v>
      </c>
      <c r="K543" s="22">
        <f>IF(I543="","",IF(I543="ENTRADA",ABS(J543),-ABS(J543)))</f>
        <v>-40</v>
      </c>
      <c r="L543" t="s">
        <v>37</v>
      </c>
      <c r="N543">
        <v>65191</v>
      </c>
      <c r="O543" t="s">
        <v>218</v>
      </c>
      <c r="P543">
        <v>1918</v>
      </c>
      <c r="Q543" s="47">
        <v>46279</v>
      </c>
      <c r="R543" s="22" t="str">
        <f>IF(H543="","",H543&amp;I543)</f>
        <v>260401-004SALIDA</v>
      </c>
      <c r="S543" s="22" t="str">
        <f>IF(C543="","",C543&amp;I543)</f>
        <v>PresideSALIDA</v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857</v>
      </c>
      <c r="B544" s="47">
        <v>46269</v>
      </c>
      <c r="C544" t="s">
        <v>59</v>
      </c>
      <c r="D544" t="s">
        <v>60</v>
      </c>
      <c r="E544" t="s">
        <v>34</v>
      </c>
      <c r="F544" t="s">
        <v>35</v>
      </c>
      <c r="H544" s="20" t="s">
        <v>68</v>
      </c>
      <c r="I544" t="s">
        <v>65</v>
      </c>
      <c r="J544" s="30">
        <v>80</v>
      </c>
      <c r="K544" s="22">
        <f>IF(I544="","",IF(I544="ENTRADA",ABS(J544),-ABS(J544)))</f>
        <v>-80</v>
      </c>
      <c r="L544" t="s">
        <v>37</v>
      </c>
      <c r="N544">
        <v>65191</v>
      </c>
      <c r="O544" t="s">
        <v>218</v>
      </c>
      <c r="P544">
        <v>1918</v>
      </c>
      <c r="Q544" s="47">
        <v>46279</v>
      </c>
      <c r="R544" s="22" t="str">
        <f>IF(H544="","",H544&amp;I544)</f>
        <v>260401-008SALIDA</v>
      </c>
      <c r="S544" s="22" t="str">
        <f>IF(C544="","",C544&amp;I544)</f>
        <v>Venceweed extraSALIDA</v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858</v>
      </c>
      <c r="B545" s="47">
        <v>46269</v>
      </c>
      <c r="C545" t="s">
        <v>130</v>
      </c>
      <c r="D545" t="s">
        <v>131</v>
      </c>
      <c r="E545" t="s">
        <v>132</v>
      </c>
      <c r="G545" t="s">
        <v>133</v>
      </c>
      <c r="H545" s="20" t="s">
        <v>221</v>
      </c>
      <c r="I545" t="s">
        <v>65</v>
      </c>
      <c r="J545" s="30">
        <v>20</v>
      </c>
      <c r="K545" s="22">
        <f>IF(I545="","",IF(I545="ENTRADA",ABS(J545),-ABS(J545)))</f>
        <v>-20</v>
      </c>
      <c r="L545" t="s">
        <v>37</v>
      </c>
      <c r="N545">
        <v>65191</v>
      </c>
      <c r="O545" t="s">
        <v>218</v>
      </c>
      <c r="P545">
        <v>1918</v>
      </c>
      <c r="Q545" s="47">
        <v>46279</v>
      </c>
      <c r="R545" s="22" t="str">
        <f>IF(H545="","",H545&amp;I545)</f>
        <v>260414-029SALIDA</v>
      </c>
      <c r="S545" s="22" t="str">
        <f>IF(C545="","",C545&amp;I545)</f>
        <v>HarrierSALIDA</v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859</v>
      </c>
      <c r="B546" s="47">
        <v>46269</v>
      </c>
      <c r="C546" t="s">
        <v>137</v>
      </c>
      <c r="D546" t="s">
        <v>138</v>
      </c>
      <c r="E546" t="s">
        <v>132</v>
      </c>
      <c r="G546" t="s">
        <v>133</v>
      </c>
      <c r="H546" s="20" t="s">
        <v>602</v>
      </c>
      <c r="I546" t="s">
        <v>65</v>
      </c>
      <c r="J546" s="30">
        <v>3</v>
      </c>
      <c r="K546" s="22">
        <f>IF(I546="","",IF(I546="ENTRADA",ABS(J546),-ABS(J546)))</f>
        <v>-3</v>
      </c>
      <c r="L546" t="s">
        <v>37</v>
      </c>
      <c r="N546">
        <v>65191</v>
      </c>
      <c r="O546" t="s">
        <v>218</v>
      </c>
      <c r="P546">
        <v>1918</v>
      </c>
      <c r="Q546" s="47">
        <v>46279</v>
      </c>
      <c r="R546" s="22" t="str">
        <f>IF(H546="","",H546&amp;I546)</f>
        <v>260827-472SALIDA</v>
      </c>
      <c r="S546" s="22" t="str">
        <f>IF(C546="","",C546&amp;I546)</f>
        <v>Full controlSALIDA</v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860</v>
      </c>
      <c r="B547" s="47">
        <v>46269</v>
      </c>
      <c r="C547" t="s">
        <v>759</v>
      </c>
      <c r="D547" t="s">
        <v>760</v>
      </c>
      <c r="E547" t="s">
        <v>25</v>
      </c>
      <c r="F547" t="s">
        <v>632</v>
      </c>
      <c r="G547" t="s">
        <v>27</v>
      </c>
      <c r="H547" s="20" t="s">
        <v>810</v>
      </c>
      <c r="I547" t="s">
        <v>65</v>
      </c>
      <c r="J547" s="30">
        <v>275</v>
      </c>
      <c r="K547" s="22">
        <f>IF(I547="","",IF(I547="ENTRADA",ABS(J547),-ABS(J547)))</f>
        <v>-275</v>
      </c>
      <c r="L547" t="s">
        <v>633</v>
      </c>
      <c r="N547">
        <v>65194</v>
      </c>
      <c r="O547" t="s">
        <v>213</v>
      </c>
      <c r="P547">
        <v>1919</v>
      </c>
      <c r="Q547" s="47">
        <v>46279</v>
      </c>
      <c r="R547" s="22" t="str">
        <f>IF(H547="","",H547&amp;I547)</f>
        <v>260821-480SALIDA</v>
      </c>
      <c r="S547" s="22" t="str">
        <f>IF(C547="","",C547&amp;I547)</f>
        <v>semilla comprada maiz illinois 2773SALIDA</v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861</v>
      </c>
      <c r="B548" s="47">
        <v>46269</v>
      </c>
      <c r="C548" t="s">
        <v>765</v>
      </c>
      <c r="D548" t="s">
        <v>766</v>
      </c>
      <c r="E548" t="s">
        <v>25</v>
      </c>
      <c r="F548" t="s">
        <v>632</v>
      </c>
      <c r="G548" t="s">
        <v>27</v>
      </c>
      <c r="H548" s="20" t="s">
        <v>808</v>
      </c>
      <c r="I548" t="s">
        <v>65</v>
      </c>
      <c r="J548" s="30">
        <v>8</v>
      </c>
      <c r="K548" s="22">
        <f>IF(I548="","",IF(I548="ENTRADA",ABS(J548),-ABS(J548)))</f>
        <v>-8</v>
      </c>
      <c r="L548" t="s">
        <v>633</v>
      </c>
      <c r="N548">
        <v>65194</v>
      </c>
      <c r="O548" t="s">
        <v>213</v>
      </c>
      <c r="P548">
        <v>1919</v>
      </c>
      <c r="Q548" s="47">
        <v>46279</v>
      </c>
      <c r="R548" s="22" t="str">
        <f>IF(H548="","",H548&amp;I548)</f>
        <v>260821-482SALIDA</v>
      </c>
      <c r="S548" s="22" t="str">
        <f>IF(C548="","",C548&amp;I548)</f>
        <v>refugio semilla maiz illinois SALIDA</v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862</v>
      </c>
      <c r="B549" s="47">
        <v>46269</v>
      </c>
      <c r="C549" t="s">
        <v>630</v>
      </c>
      <c r="D549" t="s">
        <v>631</v>
      </c>
      <c r="E549" t="s">
        <v>25</v>
      </c>
      <c r="F549" t="s">
        <v>632</v>
      </c>
      <c r="G549" t="s">
        <v>158</v>
      </c>
      <c r="H549" s="20" t="s">
        <v>823</v>
      </c>
      <c r="I549" t="s">
        <v>65</v>
      </c>
      <c r="J549" s="30">
        <v>128</v>
      </c>
      <c r="K549" s="22">
        <f>IF(I549="","",IF(I549="ENTRADA",ABS(J549),-ABS(J549)))</f>
        <v>-128</v>
      </c>
      <c r="L549" t="s">
        <v>633</v>
      </c>
      <c r="N549">
        <v>65194</v>
      </c>
      <c r="O549" t="s">
        <v>213</v>
      </c>
      <c r="P549">
        <v>1919</v>
      </c>
      <c r="Q549" s="47">
        <v>46279</v>
      </c>
      <c r="R549" s="22" t="str">
        <f>IF(H549="","",H549&amp;I549)</f>
        <v>260617-373SALIDA</v>
      </c>
      <c r="S549" s="22" t="str">
        <f>IF(C549="","",C549&amp;I549)</f>
        <v>semilla maiz DK 69-62 TRESALIDA</v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863</v>
      </c>
      <c r="B550" s="47">
        <v>46269</v>
      </c>
      <c r="C550" t="s">
        <v>765</v>
      </c>
      <c r="D550" t="s">
        <v>766</v>
      </c>
      <c r="E550" t="s">
        <v>25</v>
      </c>
      <c r="F550" t="s">
        <v>632</v>
      </c>
      <c r="G550" t="s">
        <v>27</v>
      </c>
      <c r="H550" s="20" t="s">
        <v>808</v>
      </c>
      <c r="I550" t="s">
        <v>65</v>
      </c>
      <c r="J550" s="30">
        <v>16</v>
      </c>
      <c r="K550" s="22">
        <f>IF(I550="","",IF(I550="ENTRADA",ABS(J550),-ABS(J550)))</f>
        <v>-16</v>
      </c>
      <c r="L550" t="s">
        <v>633</v>
      </c>
      <c r="N550">
        <v>65194</v>
      </c>
      <c r="O550" t="s">
        <v>213</v>
      </c>
      <c r="P550">
        <v>1919</v>
      </c>
      <c r="Q550" s="47">
        <v>46279</v>
      </c>
      <c r="R550" s="22" t="str">
        <f>IF(H550="","",H550&amp;I550)</f>
        <v>260821-482SALIDA</v>
      </c>
      <c r="S550" s="22" t="str">
        <f>IF(C550="","",C550&amp;I550)</f>
        <v>refugio semilla maiz illinois SALIDA</v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864</v>
      </c>
      <c r="B551" s="47">
        <v>46269</v>
      </c>
      <c r="C551" s="34" t="s">
        <v>635</v>
      </c>
      <c r="D551" s="34" t="s">
        <v>631</v>
      </c>
      <c r="E551" s="34" t="s">
        <v>25</v>
      </c>
      <c r="F551" s="34" t="s">
        <v>632</v>
      </c>
      <c r="G551" s="34" t="s">
        <v>158</v>
      </c>
      <c r="H551" s="20" t="s">
        <v>825</v>
      </c>
      <c r="I551" s="34" t="s">
        <v>65</v>
      </c>
      <c r="J551" s="36">
        <v>16</v>
      </c>
      <c r="K551" s="22">
        <f>IF(I551="","",IF(I551="ENTRADA",ABS(J551),-ABS(J551)))</f>
        <v>-16</v>
      </c>
      <c r="L551" s="34" t="s">
        <v>633</v>
      </c>
      <c r="M551" s="34"/>
      <c r="N551">
        <v>65194</v>
      </c>
      <c r="O551" s="34" t="s">
        <v>213</v>
      </c>
      <c r="P551">
        <v>1919</v>
      </c>
      <c r="Q551" s="47">
        <v>46279</v>
      </c>
      <c r="R551" s="22" t="str">
        <f>IF(H551="","",H551&amp;I551)</f>
        <v>260617-374SALIDA</v>
      </c>
      <c r="S551" s="22" t="str">
        <f>IF(C551="","",C551&amp;I551)</f>
        <v>semilla maiz DK 72-10 RR2C5 refugioSALIDA</v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865</v>
      </c>
      <c r="B552" s="47">
        <v>46269</v>
      </c>
      <c r="C552" t="s">
        <v>115</v>
      </c>
      <c r="D552" t="s">
        <v>116</v>
      </c>
      <c r="E552" t="s">
        <v>34</v>
      </c>
      <c r="F552" t="s">
        <v>35</v>
      </c>
      <c r="G552" t="s">
        <v>117</v>
      </c>
      <c r="H552" s="20" t="s">
        <v>669</v>
      </c>
      <c r="I552" t="s">
        <v>65</v>
      </c>
      <c r="J552" s="30">
        <v>2700</v>
      </c>
      <c r="K552" s="22">
        <f>IF(I552="","",IF(I552="ENTRADA",ABS(J552),-ABS(J552)))</f>
        <v>-2700</v>
      </c>
      <c r="L552" t="s">
        <v>37</v>
      </c>
      <c r="N552">
        <v>65195</v>
      </c>
      <c r="O552" t="s">
        <v>382</v>
      </c>
      <c r="P552">
        <v>1920</v>
      </c>
      <c r="Q552" s="47">
        <v>46279</v>
      </c>
      <c r="R552" s="22" t="str">
        <f>IF(H552="","",H552&amp;I552)</f>
        <v>260727-381SALIDA</v>
      </c>
      <c r="S552" s="22" t="str">
        <f>IF(C552="","",C552&amp;I552)</f>
        <v>AzukaSALIDA</v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866</v>
      </c>
      <c r="B553" s="47">
        <v>46269</v>
      </c>
      <c r="C553" t="s">
        <v>784</v>
      </c>
      <c r="D553" t="s">
        <v>785</v>
      </c>
      <c r="E553" t="s">
        <v>34</v>
      </c>
      <c r="F553" t="s">
        <v>46</v>
      </c>
      <c r="G553" t="s">
        <v>27</v>
      </c>
      <c r="H553" s="20" t="s">
        <v>798</v>
      </c>
      <c r="I553" t="s">
        <v>65</v>
      </c>
      <c r="J553" s="30">
        <v>150</v>
      </c>
      <c r="K553" s="22">
        <f>IF(I553="","",IF(I553="ENTRADA",ABS(J553),-ABS(J553)))</f>
        <v>-150</v>
      </c>
      <c r="L553" t="s">
        <v>29</v>
      </c>
      <c r="N553">
        <v>65195</v>
      </c>
      <c r="O553" t="s">
        <v>382</v>
      </c>
      <c r="P553">
        <v>1920</v>
      </c>
      <c r="Q553" s="47">
        <v>46279</v>
      </c>
      <c r="R553" s="22" t="str">
        <f>IF(H553="","",H553&amp;I553)</f>
        <v>260801-489SALIDA</v>
      </c>
      <c r="S553" s="22" t="str">
        <f>IF(C553="","",C553&amp;I553)</f>
        <v>PyroxateSALIDA</v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867</v>
      </c>
      <c r="B554" s="47">
        <v>46269</v>
      </c>
      <c r="C554" t="s">
        <v>130</v>
      </c>
      <c r="D554" t="s">
        <v>131</v>
      </c>
      <c r="E554" t="s">
        <v>132</v>
      </c>
      <c r="G554" t="s">
        <v>133</v>
      </c>
      <c r="H554" s="20" t="s">
        <v>221</v>
      </c>
      <c r="I554" t="s">
        <v>65</v>
      </c>
      <c r="J554" s="30">
        <v>110</v>
      </c>
      <c r="K554" s="22">
        <f>IF(I554="","",IF(I554="ENTRADA",ABS(J554),-ABS(J554)))</f>
        <v>-110</v>
      </c>
      <c r="L554" t="s">
        <v>37</v>
      </c>
      <c r="N554">
        <v>65195</v>
      </c>
      <c r="O554" t="s">
        <v>382</v>
      </c>
      <c r="P554">
        <v>1920</v>
      </c>
      <c r="Q554" s="47">
        <v>46279</v>
      </c>
      <c r="R554" s="22" t="str">
        <f>IF(H554="","",H554&amp;I554)</f>
        <v>260414-029SALIDA</v>
      </c>
      <c r="S554" s="22" t="str">
        <f>IF(C554="","",C554&amp;I554)</f>
        <v>HarrierSALIDA</v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868</v>
      </c>
      <c r="B555" s="47">
        <v>46269</v>
      </c>
      <c r="C555" t="s">
        <v>137</v>
      </c>
      <c r="D555" t="s">
        <v>138</v>
      </c>
      <c r="E555" t="s">
        <v>132</v>
      </c>
      <c r="G555" t="s">
        <v>133</v>
      </c>
      <c r="H555" s="20" t="s">
        <v>602</v>
      </c>
      <c r="I555" t="s">
        <v>65</v>
      </c>
      <c r="J555" s="30">
        <v>18</v>
      </c>
      <c r="K555" s="22">
        <f>IF(I555="","",IF(I555="ENTRADA",ABS(J555),-ABS(J555)))</f>
        <v>-18</v>
      </c>
      <c r="L555" t="s">
        <v>37</v>
      </c>
      <c r="N555">
        <v>65195</v>
      </c>
      <c r="O555" t="s">
        <v>382</v>
      </c>
      <c r="P555">
        <v>1920</v>
      </c>
      <c r="Q555" s="47">
        <v>46279</v>
      </c>
      <c r="R555" s="22" t="str">
        <f>IF(H555="","",H555&amp;I555)</f>
        <v>260827-472SALIDA</v>
      </c>
      <c r="S555" s="22" t="str">
        <f>IF(C555="","",C555&amp;I555)</f>
        <v>Full controlSALIDA</v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869</v>
      </c>
      <c r="B556" s="47">
        <v>46269</v>
      </c>
      <c r="C556" t="s">
        <v>777</v>
      </c>
      <c r="D556" t="s">
        <v>778</v>
      </c>
      <c r="E556" t="s">
        <v>34</v>
      </c>
      <c r="F556" t="s">
        <v>46</v>
      </c>
      <c r="G556" t="s">
        <v>779</v>
      </c>
      <c r="H556" s="20" t="s">
        <v>855</v>
      </c>
      <c r="I556" t="s">
        <v>65</v>
      </c>
      <c r="J556" s="30">
        <v>900</v>
      </c>
      <c r="K556" s="22">
        <f>IF(I556="","",IF(I556="ENTRADA",ABS(J556),-ABS(J556)))</f>
        <v>-900</v>
      </c>
      <c r="L556" t="s">
        <v>37</v>
      </c>
      <c r="N556">
        <v>65195</v>
      </c>
      <c r="O556" t="s">
        <v>382</v>
      </c>
      <c r="P556">
        <v>1920</v>
      </c>
      <c r="Q556" s="47">
        <v>46279</v>
      </c>
      <c r="R556" s="22" t="str">
        <f>IF(H556="","",H556&amp;I556)</f>
        <v>260902-487SALIDA</v>
      </c>
      <c r="S556" s="22" t="str">
        <f>IF(C556="","",C556&amp;I556)</f>
        <v>Acuron unoSALIDA</v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870</v>
      </c>
      <c r="B557" s="47">
        <v>46269</v>
      </c>
      <c r="C557" t="s">
        <v>75</v>
      </c>
      <c r="D557" t="s">
        <v>76</v>
      </c>
      <c r="E557" t="s">
        <v>34</v>
      </c>
      <c r="F557" t="s">
        <v>35</v>
      </c>
      <c r="G557" t="s">
        <v>77</v>
      </c>
      <c r="H557" s="20" t="s">
        <v>94</v>
      </c>
      <c r="I557" t="s">
        <v>65</v>
      </c>
      <c r="J557" s="30">
        <v>160</v>
      </c>
      <c r="K557" s="22">
        <f>IF(I557="","",IF(I557="ENTRADA",ABS(J557),-ABS(J557)))</f>
        <v>-160</v>
      </c>
      <c r="L557" t="s">
        <v>37</v>
      </c>
      <c r="N557">
        <v>65196</v>
      </c>
      <c r="O557" t="s">
        <v>218</v>
      </c>
      <c r="P557">
        <v>1921</v>
      </c>
      <c r="Q557" s="47">
        <v>46279</v>
      </c>
      <c r="R557" s="22" t="str">
        <f>IF(H557="","",H557&amp;I557)</f>
        <v>260407-012SALIDA</v>
      </c>
      <c r="S557" s="22" t="str">
        <f>IF(C557="","",C557&amp;I557)</f>
        <v>Dedalo eliteSALIDA</v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871</v>
      </c>
      <c r="B558" s="47">
        <v>46269</v>
      </c>
      <c r="C558" t="s">
        <v>115</v>
      </c>
      <c r="D558" t="s">
        <v>116</v>
      </c>
      <c r="E558" t="s">
        <v>34</v>
      </c>
      <c r="F558" t="s">
        <v>35</v>
      </c>
      <c r="G558" t="s">
        <v>117</v>
      </c>
      <c r="H558" s="20" t="s">
        <v>669</v>
      </c>
      <c r="I558" t="s">
        <v>65</v>
      </c>
      <c r="J558" s="30">
        <v>1040</v>
      </c>
      <c r="K558" s="22">
        <f>IF(I558="","",IF(I558="ENTRADA",ABS(J558),-ABS(J558)))</f>
        <v>-1040</v>
      </c>
      <c r="L558" t="s">
        <v>37</v>
      </c>
      <c r="N558">
        <v>65197</v>
      </c>
      <c r="O558" t="s">
        <v>213</v>
      </c>
      <c r="P558">
        <v>1922</v>
      </c>
      <c r="Q558" s="47">
        <v>46279</v>
      </c>
      <c r="R558" s="22" t="str">
        <f>IF(H558="","",H558&amp;I558)</f>
        <v>260727-381SALIDA</v>
      </c>
      <c r="S558" s="22" t="str">
        <f>IF(C558="","",C558&amp;I558)</f>
        <v>AzukaSALIDA</v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872</v>
      </c>
      <c r="B559" s="47">
        <v>46269</v>
      </c>
      <c r="C559" t="s">
        <v>771</v>
      </c>
      <c r="D559" t="s">
        <v>772</v>
      </c>
      <c r="E559" t="s">
        <v>34</v>
      </c>
      <c r="F559" t="s">
        <v>35</v>
      </c>
      <c r="G559" t="s">
        <v>773</v>
      </c>
      <c r="H559" s="20" t="s">
        <v>830</v>
      </c>
      <c r="I559" t="s">
        <v>65</v>
      </c>
      <c r="J559" s="30">
        <v>500</v>
      </c>
      <c r="K559" s="22">
        <f>IF(I559="","",IF(I559="ENTRADA",ABS(J559),-ABS(J559)))</f>
        <v>-500</v>
      </c>
      <c r="L559" t="s">
        <v>37</v>
      </c>
      <c r="N559">
        <v>65197</v>
      </c>
      <c r="O559" t="s">
        <v>213</v>
      </c>
      <c r="P559">
        <v>1922</v>
      </c>
      <c r="Q559" s="47">
        <v>46279</v>
      </c>
      <c r="R559" s="22" t="str">
        <f>IF(H559="","",H559&amp;I559)</f>
        <v>260826-484SALIDA</v>
      </c>
      <c r="S559" s="22" t="str">
        <f>IF(C559="","",C559&amp;I559)</f>
        <v>Paraquat SALIDA</v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873</v>
      </c>
      <c r="B560" s="47">
        <v>46269</v>
      </c>
      <c r="C560" t="s">
        <v>130</v>
      </c>
      <c r="D560" t="s">
        <v>131</v>
      </c>
      <c r="E560" t="s">
        <v>132</v>
      </c>
      <c r="G560" t="s">
        <v>133</v>
      </c>
      <c r="H560" s="20" t="s">
        <v>221</v>
      </c>
      <c r="I560" t="s">
        <v>65</v>
      </c>
      <c r="J560" s="30">
        <v>80</v>
      </c>
      <c r="K560" s="22">
        <f>IF(I560="","",IF(I560="ENTRADA",ABS(J560),-ABS(J560)))</f>
        <v>-80</v>
      </c>
      <c r="L560" t="s">
        <v>37</v>
      </c>
      <c r="N560">
        <v>65197</v>
      </c>
      <c r="O560" t="s">
        <v>213</v>
      </c>
      <c r="P560">
        <v>1922</v>
      </c>
      <c r="Q560" s="47">
        <v>46279</v>
      </c>
      <c r="R560" s="22" t="str">
        <f>IF(H560="","",H560&amp;I560)</f>
        <v>260414-029SALIDA</v>
      </c>
      <c r="S560" s="22" t="str">
        <f>IF(C560="","",C560&amp;I560)</f>
        <v>HarrierSALIDA</v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874</v>
      </c>
      <c r="B561" s="47">
        <v>46269</v>
      </c>
      <c r="C561" t="s">
        <v>784</v>
      </c>
      <c r="D561" t="s">
        <v>785</v>
      </c>
      <c r="E561" t="s">
        <v>34</v>
      </c>
      <c r="F561" t="s">
        <v>46</v>
      </c>
      <c r="G561" t="s">
        <v>27</v>
      </c>
      <c r="H561" s="20" t="s">
        <v>798</v>
      </c>
      <c r="I561" t="s">
        <v>65</v>
      </c>
      <c r="J561" s="30">
        <v>40</v>
      </c>
      <c r="K561" s="22">
        <f>IF(I561="","",IF(I561="ENTRADA",ABS(J561),-ABS(J561)))</f>
        <v>-40</v>
      </c>
      <c r="L561" t="s">
        <v>29</v>
      </c>
      <c r="N561">
        <v>65197</v>
      </c>
      <c r="O561" t="s">
        <v>213</v>
      </c>
      <c r="P561">
        <v>1922</v>
      </c>
      <c r="Q561" s="47">
        <v>46279</v>
      </c>
      <c r="R561" s="22" t="str">
        <f>IF(H561="","",H561&amp;I561)</f>
        <v>260801-489SALIDA</v>
      </c>
      <c r="S561" s="22" t="str">
        <f>IF(C561="","",C561&amp;I561)</f>
        <v>PyroxateSALIDA</v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875</v>
      </c>
      <c r="B562" s="47">
        <v>46269</v>
      </c>
      <c r="C562" s="34" t="s">
        <v>777</v>
      </c>
      <c r="D562" s="34" t="s">
        <v>778</v>
      </c>
      <c r="E562" s="34" t="s">
        <v>34</v>
      </c>
      <c r="F562" s="34" t="s">
        <v>46</v>
      </c>
      <c r="G562" s="34" t="s">
        <v>779</v>
      </c>
      <c r="H562" s="20" t="s">
        <v>855</v>
      </c>
      <c r="I562" s="34" t="s">
        <v>65</v>
      </c>
      <c r="J562" s="36">
        <v>200</v>
      </c>
      <c r="K562" s="22">
        <f>IF(I562="","",IF(I562="ENTRADA",ABS(J562),-ABS(J562)))</f>
        <v>-200</v>
      </c>
      <c r="L562" s="34" t="s">
        <v>37</v>
      </c>
      <c r="M562" s="34"/>
      <c r="N562">
        <v>65197</v>
      </c>
      <c r="O562" s="34" t="s">
        <v>213</v>
      </c>
      <c r="P562">
        <v>1922</v>
      </c>
      <c r="Q562" s="47">
        <v>46279</v>
      </c>
      <c r="R562" s="22" t="str">
        <f>IF(H562="","",H562&amp;I562)</f>
        <v>260902-487SALIDA</v>
      </c>
      <c r="S562" s="22" t="str">
        <f>IF(C562="","",C562&amp;I562)</f>
        <v>Acuron unoSALIDA</v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876</v>
      </c>
      <c r="B563" s="47">
        <v>46269</v>
      </c>
      <c r="C563" t="s">
        <v>90</v>
      </c>
      <c r="D563" t="s">
        <v>91</v>
      </c>
      <c r="E563" t="s">
        <v>34</v>
      </c>
      <c r="F563" t="s">
        <v>35</v>
      </c>
      <c r="G563" t="s">
        <v>36</v>
      </c>
      <c r="H563" s="20" t="s">
        <v>375</v>
      </c>
      <c r="I563" t="s">
        <v>65</v>
      </c>
      <c r="J563" s="30">
        <v>80</v>
      </c>
      <c r="K563" s="22">
        <f>IF(I563="","",IF(I563="ENTRADA",ABS(J563),-ABS(J563)))</f>
        <v>-80</v>
      </c>
      <c r="L563" t="s">
        <v>37</v>
      </c>
      <c r="N563">
        <v>65197</v>
      </c>
      <c r="O563" t="s">
        <v>213</v>
      </c>
      <c r="P563">
        <v>1922</v>
      </c>
      <c r="Q563" s="47">
        <v>46279</v>
      </c>
      <c r="R563" s="22" t="str">
        <f>IF(H563="","",H563&amp;I563)</f>
        <v>260405-132SALIDA</v>
      </c>
      <c r="S563" s="22" t="str">
        <f>IF(C563="","",C563&amp;I563)</f>
        <v>PixxaroSALIDA</v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877</v>
      </c>
      <c r="B564" s="47">
        <v>46269</v>
      </c>
      <c r="C564" t="s">
        <v>122</v>
      </c>
      <c r="D564" t="s">
        <v>123</v>
      </c>
      <c r="E564" t="s">
        <v>34</v>
      </c>
      <c r="F564" t="s">
        <v>35</v>
      </c>
      <c r="G564" t="s">
        <v>117</v>
      </c>
      <c r="H564" s="20" t="s">
        <v>203</v>
      </c>
      <c r="I564" t="s">
        <v>65</v>
      </c>
      <c r="J564" s="30">
        <v>330</v>
      </c>
      <c r="K564" s="22">
        <f>IF(I564="","",IF(I564="ENTRADA",ABS(J564),-ABS(J564)))</f>
        <v>-330</v>
      </c>
      <c r="L564" t="s">
        <v>37</v>
      </c>
      <c r="N564">
        <v>65197</v>
      </c>
      <c r="O564" t="s">
        <v>213</v>
      </c>
      <c r="P564">
        <v>1922</v>
      </c>
      <c r="Q564" s="47">
        <v>46279</v>
      </c>
      <c r="R564" s="22" t="str">
        <f>IF(H564="","",H564&amp;I564)</f>
        <v>260410-027SALIDA</v>
      </c>
      <c r="S564" s="22" t="str">
        <f>IF(C564="","",C564&amp;I564)</f>
        <v>PardoSALIDA</v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878</v>
      </c>
      <c r="B565" s="47">
        <v>46269</v>
      </c>
      <c r="C565" t="s">
        <v>137</v>
      </c>
      <c r="D565" t="s">
        <v>138</v>
      </c>
      <c r="E565" t="s">
        <v>132</v>
      </c>
      <c r="G565" t="s">
        <v>133</v>
      </c>
      <c r="H565" s="20" t="s">
        <v>602</v>
      </c>
      <c r="I565" t="s">
        <v>65</v>
      </c>
      <c r="J565" s="30">
        <v>15</v>
      </c>
      <c r="K565" s="22">
        <f>IF(I565="","",IF(I565="ENTRADA",ABS(J565),-ABS(J565)))</f>
        <v>-15</v>
      </c>
      <c r="L565" t="s">
        <v>37</v>
      </c>
      <c r="N565">
        <v>65197</v>
      </c>
      <c r="O565" t="s">
        <v>213</v>
      </c>
      <c r="P565">
        <v>1922</v>
      </c>
      <c r="Q565" s="47">
        <v>46279</v>
      </c>
      <c r="R565" s="22" t="str">
        <f>IF(H565="","",H565&amp;I565)</f>
        <v>260827-472SALIDA</v>
      </c>
      <c r="S565" s="22" t="str">
        <f>IF(C565="","",C565&amp;I565)</f>
        <v>Full controlSALIDA</v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879</v>
      </c>
      <c r="B566" s="47">
        <v>46273</v>
      </c>
      <c r="C566" t="s">
        <v>784</v>
      </c>
      <c r="D566" t="s">
        <v>785</v>
      </c>
      <c r="E566" t="s">
        <v>34</v>
      </c>
      <c r="F566" t="s">
        <v>46</v>
      </c>
      <c r="G566" t="s">
        <v>27</v>
      </c>
      <c r="H566" s="20" t="s">
        <v>798</v>
      </c>
      <c r="I566" t="s">
        <v>65</v>
      </c>
      <c r="J566" s="30">
        <v>140</v>
      </c>
      <c r="K566" s="22">
        <f>IF(I566="","",IF(I566="ENTRADA",ABS(J566),-ABS(J566)))</f>
        <v>-140</v>
      </c>
      <c r="L566" t="s">
        <v>29</v>
      </c>
      <c r="N566">
        <v>65198</v>
      </c>
      <c r="O566" t="s">
        <v>66</v>
      </c>
      <c r="P566">
        <v>1923</v>
      </c>
      <c r="Q566" s="47">
        <v>46279</v>
      </c>
      <c r="R566" s="22" t="str">
        <f>IF(H566="","",H566&amp;I566)</f>
        <v>260801-489SALIDA</v>
      </c>
      <c r="S566" s="22" t="str">
        <f>IF(C566="","",C566&amp;I566)</f>
        <v>PyroxateSALIDA</v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880</v>
      </c>
      <c r="B567" s="47">
        <v>46273</v>
      </c>
      <c r="C567" t="s">
        <v>115</v>
      </c>
      <c r="D567" t="s">
        <v>116</v>
      </c>
      <c r="E567" t="s">
        <v>34</v>
      </c>
      <c r="F567" t="s">
        <v>35</v>
      </c>
      <c r="G567" t="s">
        <v>117</v>
      </c>
      <c r="H567" s="20" t="s">
        <v>669</v>
      </c>
      <c r="I567" t="s">
        <v>65</v>
      </c>
      <c r="J567" s="30">
        <v>2500</v>
      </c>
      <c r="K567" s="22">
        <f>IF(I567="","",IF(I567="ENTRADA",ABS(J567),-ABS(J567)))</f>
        <v>-2500</v>
      </c>
      <c r="L567" t="s">
        <v>37</v>
      </c>
      <c r="N567">
        <v>65198</v>
      </c>
      <c r="O567" t="s">
        <v>66</v>
      </c>
      <c r="P567">
        <v>1923</v>
      </c>
      <c r="Q567" s="47">
        <v>46279</v>
      </c>
      <c r="R567" s="22" t="str">
        <f>IF(H567="","",H567&amp;I567)</f>
        <v>260727-381SALIDA</v>
      </c>
      <c r="S567" s="22" t="str">
        <f>IF(C567="","",C567&amp;I567)</f>
        <v>AzukaSALIDA</v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881</v>
      </c>
      <c r="B568" s="47">
        <v>46273</v>
      </c>
      <c r="C568" t="s">
        <v>75</v>
      </c>
      <c r="D568" t="s">
        <v>76</v>
      </c>
      <c r="E568" t="s">
        <v>34</v>
      </c>
      <c r="F568" t="s">
        <v>35</v>
      </c>
      <c r="G568" t="s">
        <v>77</v>
      </c>
      <c r="H568" s="20" t="s">
        <v>94</v>
      </c>
      <c r="I568" t="s">
        <v>65</v>
      </c>
      <c r="J568" s="30">
        <v>1000</v>
      </c>
      <c r="K568" s="22">
        <f>IF(I568="","",IF(I568="ENTRADA",ABS(J568),-ABS(J568)))</f>
        <v>-1000</v>
      </c>
      <c r="L568" t="s">
        <v>37</v>
      </c>
      <c r="N568">
        <v>65198</v>
      </c>
      <c r="O568" t="s">
        <v>66</v>
      </c>
      <c r="P568">
        <v>1923</v>
      </c>
      <c r="Q568" s="47">
        <v>46279</v>
      </c>
      <c r="R568" s="22" t="str">
        <f>IF(H568="","",H568&amp;I568)</f>
        <v>260407-012SALIDA</v>
      </c>
      <c r="S568" s="22" t="str">
        <f>IF(C568="","",C568&amp;I568)</f>
        <v>Dedalo eliteSALIDA</v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882</v>
      </c>
      <c r="B569" s="47">
        <v>46273</v>
      </c>
      <c r="C569" t="s">
        <v>137</v>
      </c>
      <c r="D569" t="s">
        <v>138</v>
      </c>
      <c r="E569" t="s">
        <v>132</v>
      </c>
      <c r="G569" t="s">
        <v>133</v>
      </c>
      <c r="H569" s="20" t="s">
        <v>602</v>
      </c>
      <c r="I569" t="s">
        <v>65</v>
      </c>
      <c r="J569" s="30">
        <v>60</v>
      </c>
      <c r="K569" s="22">
        <f>IF(I569="","",IF(I569="ENTRADA",ABS(J569),-ABS(J569)))</f>
        <v>-60</v>
      </c>
      <c r="L569" t="s">
        <v>37</v>
      </c>
      <c r="N569">
        <v>65198</v>
      </c>
      <c r="O569" t="s">
        <v>66</v>
      </c>
      <c r="P569">
        <v>1923</v>
      </c>
      <c r="Q569" s="47">
        <v>46279</v>
      </c>
      <c r="R569" s="22" t="str">
        <f>IF(H569="","",H569&amp;I569)</f>
        <v>260827-472SALIDA</v>
      </c>
      <c r="S569" s="22" t="str">
        <f>IF(C569="","",C569&amp;I569)</f>
        <v>Full controlSALIDA</v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883</v>
      </c>
      <c r="B570" s="47">
        <v>46273</v>
      </c>
      <c r="C570" t="s">
        <v>657</v>
      </c>
      <c r="D570" t="s">
        <v>658</v>
      </c>
      <c r="E570" t="s">
        <v>132</v>
      </c>
      <c r="G570" t="s">
        <v>133</v>
      </c>
      <c r="H570" s="20" t="s">
        <v>660</v>
      </c>
      <c r="I570" t="s">
        <v>65</v>
      </c>
      <c r="J570" s="30">
        <v>60</v>
      </c>
      <c r="K570" s="22">
        <f>IF(I570="","",IF(I570="ENTRADA",ABS(J570),-ABS(J570)))</f>
        <v>-60</v>
      </c>
      <c r="L570" t="s">
        <v>37</v>
      </c>
      <c r="N570">
        <v>65198</v>
      </c>
      <c r="O570" t="s">
        <v>66</v>
      </c>
      <c r="P570">
        <v>1923</v>
      </c>
      <c r="Q570" s="47">
        <v>46279</v>
      </c>
      <c r="R570" s="22" t="str">
        <f>IF(H570="","",H570&amp;I570)</f>
        <v>260729-393SALIDA</v>
      </c>
      <c r="S570" s="22" t="str">
        <f>IF(C570="","",C570&amp;I570)</f>
        <v>Harrier Drone SALIDA</v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884</v>
      </c>
      <c r="B571" s="47">
        <v>46273</v>
      </c>
      <c r="C571" t="s">
        <v>130</v>
      </c>
      <c r="D571" t="s">
        <v>131</v>
      </c>
      <c r="E571" t="s">
        <v>132</v>
      </c>
      <c r="G571" t="s">
        <v>133</v>
      </c>
      <c r="H571" s="20" t="s">
        <v>221</v>
      </c>
      <c r="I571" t="s">
        <v>65</v>
      </c>
      <c r="J571" s="30">
        <v>60</v>
      </c>
      <c r="K571" s="22">
        <f>IF(I571="","",IF(I571="ENTRADA",ABS(J571),-ABS(J571)))</f>
        <v>-60</v>
      </c>
      <c r="L571" t="s">
        <v>37</v>
      </c>
      <c r="N571">
        <v>65198</v>
      </c>
      <c r="O571" t="s">
        <v>66</v>
      </c>
      <c r="P571">
        <v>1923</v>
      </c>
      <c r="Q571" s="47">
        <v>46279</v>
      </c>
      <c r="R571" s="22" t="str">
        <f>IF(H571="","",H571&amp;I571)</f>
        <v>260414-029SALIDA</v>
      </c>
      <c r="S571" s="22" t="str">
        <f>IF(C571="","",C571&amp;I571)</f>
        <v>HarrierSALIDA</v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885</v>
      </c>
      <c r="B572" s="47">
        <v>46273</v>
      </c>
      <c r="C572" t="s">
        <v>777</v>
      </c>
      <c r="D572" t="s">
        <v>778</v>
      </c>
      <c r="E572" t="s">
        <v>34</v>
      </c>
      <c r="F572" t="s">
        <v>46</v>
      </c>
      <c r="G572" t="s">
        <v>779</v>
      </c>
      <c r="H572" s="20" t="s">
        <v>855</v>
      </c>
      <c r="I572" t="s">
        <v>65</v>
      </c>
      <c r="J572" s="30">
        <v>60</v>
      </c>
      <c r="K572" s="22">
        <f>IF(I572="","",IF(I572="ENTRADA",ABS(J572),-ABS(J572)))</f>
        <v>-60</v>
      </c>
      <c r="L572" t="s">
        <v>37</v>
      </c>
      <c r="N572">
        <v>65198</v>
      </c>
      <c r="O572" t="s">
        <v>66</v>
      </c>
      <c r="P572">
        <v>1923</v>
      </c>
      <c r="Q572" s="47">
        <v>46279</v>
      </c>
      <c r="R572" s="22" t="str">
        <f>IF(H572="","",H572&amp;I572)</f>
        <v>260902-487SALIDA</v>
      </c>
      <c r="S572" s="22" t="str">
        <f>IF(C572="","",C572&amp;I572)</f>
        <v>Acuron unoSALIDA</v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886</v>
      </c>
      <c r="B573" s="47">
        <v>46272</v>
      </c>
      <c r="C573" s="34" t="s">
        <v>635</v>
      </c>
      <c r="D573" s="34" t="s">
        <v>631</v>
      </c>
      <c r="E573" s="34" t="s">
        <v>25</v>
      </c>
      <c r="F573" s="34" t="s">
        <v>632</v>
      </c>
      <c r="G573" s="34" t="s">
        <v>158</v>
      </c>
      <c r="H573" s="20" t="s">
        <v>825</v>
      </c>
      <c r="I573" s="34" t="s">
        <v>65</v>
      </c>
      <c r="J573" s="36">
        <v>12</v>
      </c>
      <c r="K573" s="22">
        <f>IF(I573="","",IF(I573="ENTRADA",ABS(J573),-ABS(J573)))</f>
        <v>-12</v>
      </c>
      <c r="L573" s="34" t="s">
        <v>633</v>
      </c>
      <c r="M573" s="34"/>
      <c r="N573">
        <v>65199</v>
      </c>
      <c r="O573" s="34" t="s">
        <v>382</v>
      </c>
      <c r="P573">
        <v>1924</v>
      </c>
      <c r="Q573" s="47">
        <v>46279</v>
      </c>
      <c r="R573" s="22" t="str">
        <f>IF(H573="","",H573&amp;I573)</f>
        <v>260617-374SALIDA</v>
      </c>
      <c r="S573" s="22" t="str">
        <f>IF(C573="","",C573&amp;I573)</f>
        <v>semilla maiz DK 72-10 RR2C5 refugioSALIDA</v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887</v>
      </c>
      <c r="B574" s="47">
        <v>46273</v>
      </c>
      <c r="C574" t="s">
        <v>137</v>
      </c>
      <c r="D574" t="s">
        <v>138</v>
      </c>
      <c r="E574" t="s">
        <v>132</v>
      </c>
      <c r="G574" t="s">
        <v>133</v>
      </c>
      <c r="H574" s="20" t="s">
        <v>602</v>
      </c>
      <c r="I574" t="s">
        <v>65</v>
      </c>
      <c r="J574" s="30">
        <v>8</v>
      </c>
      <c r="K574" s="22">
        <f>IF(I574="","",IF(I574="ENTRADA",ABS(J574),-ABS(J574)))</f>
        <v>-8</v>
      </c>
      <c r="L574" t="s">
        <v>37</v>
      </c>
      <c r="N574">
        <v>65200</v>
      </c>
      <c r="O574" t="s">
        <v>218</v>
      </c>
      <c r="P574">
        <v>1925</v>
      </c>
      <c r="Q574" s="47">
        <v>46279</v>
      </c>
      <c r="R574" s="22" t="str">
        <f>IF(H574="","",H574&amp;I574)</f>
        <v>260827-472SALIDA</v>
      </c>
      <c r="S574" s="22" t="str">
        <f>IF(C574="","",C574&amp;I574)</f>
        <v>Full controlSALIDA</v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888</v>
      </c>
      <c r="B575" s="47">
        <v>46273</v>
      </c>
      <c r="C575" t="s">
        <v>514</v>
      </c>
      <c r="D575" t="s">
        <v>515</v>
      </c>
      <c r="E575" t="s">
        <v>516</v>
      </c>
      <c r="G575" t="s">
        <v>117</v>
      </c>
      <c r="H575" s="20" t="s">
        <v>665</v>
      </c>
      <c r="I575" t="s">
        <v>65</v>
      </c>
      <c r="J575" s="30">
        <v>200</v>
      </c>
      <c r="K575" s="22">
        <f>IF(I575="","",IF(I575="ENTRADA",ABS(J575),-ABS(J575)))</f>
        <v>-200</v>
      </c>
      <c r="L575" t="s">
        <v>37</v>
      </c>
      <c r="N575">
        <v>65200</v>
      </c>
      <c r="O575" t="s">
        <v>218</v>
      </c>
      <c r="P575">
        <v>1925</v>
      </c>
      <c r="Q575" s="47">
        <v>46279</v>
      </c>
      <c r="R575" s="22" t="str">
        <f>IF(H575="","",H575&amp;I575)</f>
        <v>260730-396SALIDA</v>
      </c>
      <c r="S575" s="22" t="str">
        <f>IF(C575="","",C575&amp;I575)</f>
        <v>Unico MaxSALIDA</v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889</v>
      </c>
      <c r="B576" s="47">
        <v>46273</v>
      </c>
      <c r="C576" t="s">
        <v>130</v>
      </c>
      <c r="D576" t="s">
        <v>131</v>
      </c>
      <c r="E576" t="s">
        <v>132</v>
      </c>
      <c r="G576" t="s">
        <v>133</v>
      </c>
      <c r="H576" s="20" t="s">
        <v>221</v>
      </c>
      <c r="I576" t="s">
        <v>65</v>
      </c>
      <c r="J576" s="30">
        <v>40</v>
      </c>
      <c r="K576" s="22">
        <f>IF(I576="","",IF(I576="ENTRADA",ABS(J576),-ABS(J576)))</f>
        <v>-40</v>
      </c>
      <c r="L576" t="s">
        <v>37</v>
      </c>
      <c r="N576">
        <v>65200</v>
      </c>
      <c r="O576" t="s">
        <v>218</v>
      </c>
      <c r="P576">
        <v>1925</v>
      </c>
      <c r="Q576" s="47">
        <v>46279</v>
      </c>
      <c r="R576" s="22" t="str">
        <f>IF(H576="","",H576&amp;I576)</f>
        <v>260414-029SALIDA</v>
      </c>
      <c r="S576" s="22" t="str">
        <f>IF(C576="","",C576&amp;I576)</f>
        <v>HarrierSALIDA</v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890</v>
      </c>
      <c r="B577" s="47">
        <v>46273</v>
      </c>
      <c r="C577" t="s">
        <v>130</v>
      </c>
      <c r="D577" t="s">
        <v>131</v>
      </c>
      <c r="E577" t="s">
        <v>132</v>
      </c>
      <c r="G577" t="s">
        <v>133</v>
      </c>
      <c r="H577" s="20" t="s">
        <v>221</v>
      </c>
      <c r="I577" t="s">
        <v>65</v>
      </c>
      <c r="J577" s="30">
        <v>80</v>
      </c>
      <c r="K577" s="22">
        <f>IF(I577="","",IF(I577="ENTRADA",ABS(J577),-ABS(J577)))</f>
        <v>-80</v>
      </c>
      <c r="L577" t="s">
        <v>37</v>
      </c>
      <c r="N577">
        <v>65201</v>
      </c>
      <c r="O577" t="s">
        <v>382</v>
      </c>
      <c r="P577">
        <v>1926</v>
      </c>
      <c r="Q577" s="47">
        <v>46279</v>
      </c>
      <c r="R577" s="22" t="str">
        <f>IF(H577="","",H577&amp;I577)</f>
        <v>260414-029SALIDA</v>
      </c>
      <c r="S577" s="22" t="str">
        <f>IF(C577="","",C577&amp;I577)</f>
        <v>HarrierSALIDA</v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891</v>
      </c>
      <c r="B578" s="47">
        <v>46273</v>
      </c>
      <c r="C578" t="s">
        <v>137</v>
      </c>
      <c r="D578" t="s">
        <v>138</v>
      </c>
      <c r="E578" t="s">
        <v>132</v>
      </c>
      <c r="G578" t="s">
        <v>133</v>
      </c>
      <c r="H578" s="20" t="s">
        <v>211</v>
      </c>
      <c r="I578" t="s">
        <v>65</v>
      </c>
      <c r="J578" s="30">
        <v>15</v>
      </c>
      <c r="K578" s="22">
        <f>IF(I578="","",IF(I578="ENTRADA",ABS(J578),-ABS(J578)))</f>
        <v>-15</v>
      </c>
      <c r="L578" t="s">
        <v>37</v>
      </c>
      <c r="N578">
        <v>65201</v>
      </c>
      <c r="O578" t="s">
        <v>382</v>
      </c>
      <c r="P578">
        <v>1926</v>
      </c>
      <c r="Q578" s="47">
        <v>46279</v>
      </c>
      <c r="R578" s="22" t="str">
        <f>IF(H578="","",H578&amp;I578)</f>
        <v>260414-030SALIDA</v>
      </c>
      <c r="S578" s="22" t="str">
        <f>IF(C578="","",C578&amp;I578)</f>
        <v>Full controlSALIDA</v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892</v>
      </c>
      <c r="B579" s="47">
        <v>46273</v>
      </c>
      <c r="C579" t="s">
        <v>115</v>
      </c>
      <c r="D579" t="s">
        <v>116</v>
      </c>
      <c r="E579" t="s">
        <v>34</v>
      </c>
      <c r="F579" t="s">
        <v>35</v>
      </c>
      <c r="G579" t="s">
        <v>117</v>
      </c>
      <c r="H579" s="20" t="s">
        <v>669</v>
      </c>
      <c r="I579" t="s">
        <v>65</v>
      </c>
      <c r="J579" s="30">
        <v>2200</v>
      </c>
      <c r="K579" s="22">
        <f>IF(I579="","",IF(I579="ENTRADA",ABS(J579),-ABS(J579)))</f>
        <v>-2200</v>
      </c>
      <c r="L579" t="s">
        <v>37</v>
      </c>
      <c r="N579">
        <v>65201</v>
      </c>
      <c r="O579" t="s">
        <v>382</v>
      </c>
      <c r="P579">
        <v>1926</v>
      </c>
      <c r="Q579" s="47">
        <v>46279</v>
      </c>
      <c r="R579" s="22" t="str">
        <f>IF(H579="","",H579&amp;I579)</f>
        <v>260727-381SALIDA</v>
      </c>
      <c r="S579" s="22" t="str">
        <f>IF(C579="","",C579&amp;I579)</f>
        <v>AzukaSALIDA</v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893</v>
      </c>
      <c r="B580" s="47">
        <v>46273</v>
      </c>
      <c r="C580" t="s">
        <v>122</v>
      </c>
      <c r="D580" t="s">
        <v>123</v>
      </c>
      <c r="E580" t="s">
        <v>34</v>
      </c>
      <c r="F580" t="s">
        <v>35</v>
      </c>
      <c r="G580" t="s">
        <v>117</v>
      </c>
      <c r="H580" s="20" t="s">
        <v>203</v>
      </c>
      <c r="I580" t="s">
        <v>65</v>
      </c>
      <c r="J580" s="30">
        <v>640</v>
      </c>
      <c r="K580" s="22">
        <f>IF(I580="","",IF(I580="ENTRADA",ABS(J580),-ABS(J580)))</f>
        <v>-640</v>
      </c>
      <c r="L580" t="s">
        <v>37</v>
      </c>
      <c r="N580">
        <v>65201</v>
      </c>
      <c r="O580" t="s">
        <v>382</v>
      </c>
      <c r="P580">
        <v>1926</v>
      </c>
      <c r="Q580" s="47">
        <v>46279</v>
      </c>
      <c r="R580" s="22" t="str">
        <f>IF(H580="","",H580&amp;I580)</f>
        <v>260410-027SALIDA</v>
      </c>
      <c r="S580" s="22" t="str">
        <f>IF(C580="","",C580&amp;I580)</f>
        <v>PardoSALIDA</v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894</v>
      </c>
      <c r="B581" s="47">
        <v>46273</v>
      </c>
      <c r="C581" t="s">
        <v>90</v>
      </c>
      <c r="D581" t="s">
        <v>91</v>
      </c>
      <c r="E581" t="s">
        <v>34</v>
      </c>
      <c r="F581" t="s">
        <v>35</v>
      </c>
      <c r="G581" t="s">
        <v>36</v>
      </c>
      <c r="H581" s="20" t="s">
        <v>375</v>
      </c>
      <c r="I581" t="s">
        <v>65</v>
      </c>
      <c r="J581" s="30">
        <v>100</v>
      </c>
      <c r="K581" s="22">
        <f>IF(I581="","",IF(I581="ENTRADA",ABS(J581),-ABS(J581)))</f>
        <v>-100</v>
      </c>
      <c r="L581" t="s">
        <v>37</v>
      </c>
      <c r="N581">
        <v>65201</v>
      </c>
      <c r="O581" t="s">
        <v>382</v>
      </c>
      <c r="P581">
        <v>1926</v>
      </c>
      <c r="Q581" s="47">
        <v>46279</v>
      </c>
      <c r="R581" s="22" t="str">
        <f>IF(H581="","",H581&amp;I581)</f>
        <v>260405-132SALIDA</v>
      </c>
      <c r="S581" s="22" t="str">
        <f>IF(C581="","",C581&amp;I581)</f>
        <v>PixxaroSALIDA</v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895</v>
      </c>
      <c r="B582" s="47">
        <v>46273</v>
      </c>
      <c r="C582" t="s">
        <v>752</v>
      </c>
      <c r="D582" t="s">
        <v>753</v>
      </c>
      <c r="E582" t="s">
        <v>34</v>
      </c>
      <c r="G582" t="s">
        <v>301</v>
      </c>
      <c r="H582" s="20" t="s">
        <v>755</v>
      </c>
      <c r="I582" t="s">
        <v>65</v>
      </c>
      <c r="J582" s="30">
        <v>60</v>
      </c>
      <c r="K582" s="22">
        <f>IF(I582="","",IF(I582="ENTRADA",ABS(J582),-ABS(J582)))</f>
        <v>-60</v>
      </c>
      <c r="L582" t="s">
        <v>37</v>
      </c>
      <c r="N582">
        <v>65201</v>
      </c>
      <c r="O582" t="s">
        <v>382</v>
      </c>
      <c r="P582">
        <v>1926</v>
      </c>
      <c r="Q582" s="47">
        <v>46279</v>
      </c>
      <c r="R582" s="22" t="str">
        <f>IF(H582="","",H582&amp;I582)</f>
        <v>260813-476SALIDA</v>
      </c>
      <c r="S582" s="22" t="str">
        <f>IF(C582="","",C582&amp;I582)</f>
        <v>Fluroxipir Forte 480SALIDA</v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896</v>
      </c>
      <c r="B583" s="47">
        <v>46273</v>
      </c>
      <c r="C583" t="s">
        <v>115</v>
      </c>
      <c r="D583" t="s">
        <v>116</v>
      </c>
      <c r="E583" t="s">
        <v>34</v>
      </c>
      <c r="F583" t="s">
        <v>35</v>
      </c>
      <c r="G583" t="s">
        <v>117</v>
      </c>
      <c r="H583" s="20" t="s">
        <v>669</v>
      </c>
      <c r="I583" t="s">
        <v>65</v>
      </c>
      <c r="J583" s="30">
        <v>8160</v>
      </c>
      <c r="K583" s="22">
        <f>IF(I583="","",IF(I583="ENTRADA",ABS(J583),-ABS(J583)))</f>
        <v>-8160</v>
      </c>
      <c r="L583" t="s">
        <v>37</v>
      </c>
      <c r="N583">
        <v>65202</v>
      </c>
      <c r="O583" t="s">
        <v>213</v>
      </c>
      <c r="P583">
        <v>1927</v>
      </c>
      <c r="Q583" s="47">
        <v>46279</v>
      </c>
      <c r="R583" s="22" t="str">
        <f>IF(H583="","",H583&amp;I583)</f>
        <v>260727-381SALIDA</v>
      </c>
      <c r="S583" s="22" t="str">
        <f>IF(C583="","",C583&amp;I583)</f>
        <v>AzukaSALIDA</v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897</v>
      </c>
      <c r="B584" s="47">
        <v>46273</v>
      </c>
      <c r="C584" s="34" t="s">
        <v>122</v>
      </c>
      <c r="D584" s="34" t="s">
        <v>123</v>
      </c>
      <c r="E584" s="34" t="s">
        <v>34</v>
      </c>
      <c r="F584" s="34" t="s">
        <v>35</v>
      </c>
      <c r="G584" s="34" t="s">
        <v>117</v>
      </c>
      <c r="H584" s="20" t="s">
        <v>203</v>
      </c>
      <c r="I584" s="34" t="s">
        <v>65</v>
      </c>
      <c r="J584" s="36">
        <v>2000</v>
      </c>
      <c r="K584" s="22">
        <f>IF(I584="","",IF(I584="ENTRADA",ABS(J584),-ABS(J584)))</f>
        <v>-2000</v>
      </c>
      <c r="L584" s="34" t="s">
        <v>37</v>
      </c>
      <c r="M584" s="34"/>
      <c r="N584">
        <v>65202</v>
      </c>
      <c r="O584" s="34" t="s">
        <v>213</v>
      </c>
      <c r="P584">
        <v>1927</v>
      </c>
      <c r="Q584" s="47">
        <v>46279</v>
      </c>
      <c r="R584" s="22" t="str">
        <f>IF(H584="","",H584&amp;I584)</f>
        <v>260410-027SALIDA</v>
      </c>
      <c r="S584" s="22" t="str">
        <f>IF(C584="","",C584&amp;I584)</f>
        <v>PardoSALIDA</v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898</v>
      </c>
      <c r="B585" s="47">
        <v>46273</v>
      </c>
      <c r="C585" t="s">
        <v>90</v>
      </c>
      <c r="D585" t="s">
        <v>91</v>
      </c>
      <c r="E585" t="s">
        <v>34</v>
      </c>
      <c r="F585" t="s">
        <v>35</v>
      </c>
      <c r="G585" t="s">
        <v>36</v>
      </c>
      <c r="H585" s="20" t="s">
        <v>375</v>
      </c>
      <c r="I585" t="s">
        <v>65</v>
      </c>
      <c r="J585" s="30">
        <v>200</v>
      </c>
      <c r="K585" s="22">
        <f>IF(I585="","",IF(I585="ENTRADA",ABS(J585),-ABS(J585)))</f>
        <v>-200</v>
      </c>
      <c r="L585" t="s">
        <v>37</v>
      </c>
      <c r="N585">
        <v>65202</v>
      </c>
      <c r="O585" t="s">
        <v>213</v>
      </c>
      <c r="P585">
        <v>1927</v>
      </c>
      <c r="Q585" s="47">
        <v>46279</v>
      </c>
      <c r="R585" s="22" t="str">
        <f>IF(H585="","",H585&amp;I585)</f>
        <v>260405-132SALIDA</v>
      </c>
      <c r="S585" s="22" t="str">
        <f>IF(C585="","",C585&amp;I585)</f>
        <v>PixxaroSALIDA</v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899</v>
      </c>
      <c r="B586" s="47">
        <v>46273</v>
      </c>
      <c r="C586" t="s">
        <v>115</v>
      </c>
      <c r="D586" t="s">
        <v>116</v>
      </c>
      <c r="E586" t="s">
        <v>34</v>
      </c>
      <c r="F586" t="s">
        <v>35</v>
      </c>
      <c r="G586" t="s">
        <v>117</v>
      </c>
      <c r="H586" s="20" t="s">
        <v>669</v>
      </c>
      <c r="I586" t="s">
        <v>65</v>
      </c>
      <c r="J586" s="30">
        <v>7500</v>
      </c>
      <c r="K586" s="22">
        <f>IF(I586="","",IF(I586="ENTRADA",ABS(J586),-ABS(J586)))</f>
        <v>-7500</v>
      </c>
      <c r="L586" t="s">
        <v>37</v>
      </c>
      <c r="N586">
        <v>65203</v>
      </c>
      <c r="O586" t="s">
        <v>237</v>
      </c>
      <c r="P586">
        <v>1929</v>
      </c>
      <c r="Q586" s="47">
        <v>46279</v>
      </c>
      <c r="R586" s="22" t="str">
        <f>IF(H586="","",H586&amp;I586)</f>
        <v>260727-381SALIDA</v>
      </c>
      <c r="S586" s="22" t="str">
        <f>IF(C586="","",C586&amp;I586)</f>
        <v>AzukaSALIDA</v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900</v>
      </c>
      <c r="B587" s="47">
        <v>46273</v>
      </c>
      <c r="C587" t="s">
        <v>122</v>
      </c>
      <c r="D587" t="s">
        <v>123</v>
      </c>
      <c r="E587" t="s">
        <v>34</v>
      </c>
      <c r="F587" t="s">
        <v>35</v>
      </c>
      <c r="G587" t="s">
        <v>117</v>
      </c>
      <c r="H587" s="20" t="s">
        <v>203</v>
      </c>
      <c r="I587" t="s">
        <v>65</v>
      </c>
      <c r="J587" s="30">
        <v>2000</v>
      </c>
      <c r="K587" s="22">
        <f>IF(I587="","",IF(I587="ENTRADA",ABS(J587),-ABS(J587)))</f>
        <v>-2000</v>
      </c>
      <c r="L587" t="s">
        <v>37</v>
      </c>
      <c r="N587">
        <v>65203</v>
      </c>
      <c r="O587" t="s">
        <v>237</v>
      </c>
      <c r="P587">
        <v>1929</v>
      </c>
      <c r="Q587" s="47">
        <v>46279</v>
      </c>
      <c r="R587" s="22" t="str">
        <f>IF(H587="","",H587&amp;I587)</f>
        <v>260410-027SALIDA</v>
      </c>
      <c r="S587" s="22" t="str">
        <f>IF(C587="","",C587&amp;I587)</f>
        <v>PardoSALIDA</v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901</v>
      </c>
      <c r="B588" s="47">
        <v>46273</v>
      </c>
      <c r="C588" t="s">
        <v>130</v>
      </c>
      <c r="D588" t="s">
        <v>131</v>
      </c>
      <c r="E588" t="s">
        <v>132</v>
      </c>
      <c r="G588" t="s">
        <v>133</v>
      </c>
      <c r="H588" s="20" t="s">
        <v>221</v>
      </c>
      <c r="I588" t="s">
        <v>65</v>
      </c>
      <c r="J588" s="30">
        <v>210</v>
      </c>
      <c r="K588" s="22">
        <f>IF(I588="","",IF(I588="ENTRADA",ABS(J588),-ABS(J588)))</f>
        <v>-210</v>
      </c>
      <c r="L588" t="s">
        <v>37</v>
      </c>
      <c r="N588">
        <v>65203</v>
      </c>
      <c r="O588" t="s">
        <v>237</v>
      </c>
      <c r="P588">
        <v>1929</v>
      </c>
      <c r="Q588" s="47">
        <v>46279</v>
      </c>
      <c r="R588" s="22" t="str">
        <f>IF(H588="","",H588&amp;I588)</f>
        <v>260414-029SALIDA</v>
      </c>
      <c r="S588" s="22" t="str">
        <f>IF(C588="","",C588&amp;I588)</f>
        <v>HarrierSALIDA</v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902</v>
      </c>
      <c r="B589" s="47">
        <v>46273</v>
      </c>
      <c r="C589" t="s">
        <v>137</v>
      </c>
      <c r="D589" t="s">
        <v>138</v>
      </c>
      <c r="E589" t="s">
        <v>132</v>
      </c>
      <c r="G589" t="s">
        <v>133</v>
      </c>
      <c r="H589" s="20" t="s">
        <v>211</v>
      </c>
      <c r="I589" t="s">
        <v>65</v>
      </c>
      <c r="J589" s="30">
        <v>45</v>
      </c>
      <c r="K589" s="22">
        <f>IF(I589="","",IF(I589="ENTRADA",ABS(J589),-ABS(J589)))</f>
        <v>-45</v>
      </c>
      <c r="L589" t="s">
        <v>37</v>
      </c>
      <c r="N589">
        <v>65203</v>
      </c>
      <c r="O589" t="s">
        <v>237</v>
      </c>
      <c r="P589">
        <v>1929</v>
      </c>
      <c r="Q589" s="47">
        <v>46279</v>
      </c>
      <c r="R589" s="22" t="str">
        <f>IF(H589="","",H589&amp;I589)</f>
        <v>260414-030SALIDA</v>
      </c>
      <c r="S589" s="22" t="str">
        <f>IF(C589="","",C589&amp;I589)</f>
        <v>Full controlSALIDA</v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903</v>
      </c>
      <c r="B590" s="47">
        <v>46273</v>
      </c>
      <c r="C590" t="s">
        <v>75</v>
      </c>
      <c r="D590" t="s">
        <v>76</v>
      </c>
      <c r="E590" t="s">
        <v>34</v>
      </c>
      <c r="F590" t="s">
        <v>35</v>
      </c>
      <c r="G590" t="s">
        <v>77</v>
      </c>
      <c r="H590" s="20" t="s">
        <v>94</v>
      </c>
      <c r="I590" t="s">
        <v>65</v>
      </c>
      <c r="J590" s="30">
        <v>780</v>
      </c>
      <c r="K590" s="22">
        <f>IF(I590="","",IF(I590="ENTRADA",ABS(J590),-ABS(J590)))</f>
        <v>-780</v>
      </c>
      <c r="L590" t="s">
        <v>37</v>
      </c>
      <c r="N590">
        <v>65203</v>
      </c>
      <c r="O590" t="s">
        <v>237</v>
      </c>
      <c r="P590">
        <v>1929</v>
      </c>
      <c r="Q590" s="47">
        <v>46279</v>
      </c>
      <c r="R590" s="22" t="str">
        <f>IF(H590="","",H590&amp;I590)</f>
        <v>260407-012SALIDA</v>
      </c>
      <c r="S590" s="22" t="str">
        <f>IF(C590="","",C590&amp;I590)</f>
        <v>Dedalo eliteSALIDA</v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904</v>
      </c>
      <c r="B591" s="47">
        <v>46273</v>
      </c>
      <c r="C591" t="s">
        <v>777</v>
      </c>
      <c r="D591" t="s">
        <v>778</v>
      </c>
      <c r="E591" t="s">
        <v>34</v>
      </c>
      <c r="F591" t="s">
        <v>46</v>
      </c>
      <c r="G591" t="s">
        <v>779</v>
      </c>
      <c r="H591" s="20" t="s">
        <v>855</v>
      </c>
      <c r="I591" t="s">
        <v>65</v>
      </c>
      <c r="J591" s="30">
        <v>190</v>
      </c>
      <c r="K591" s="22">
        <f>IF(I591="","",IF(I591="ENTRADA",ABS(J591),-ABS(J591)))</f>
        <v>-190</v>
      </c>
      <c r="L591" t="s">
        <v>37</v>
      </c>
      <c r="N591">
        <v>65203</v>
      </c>
      <c r="O591" t="s">
        <v>237</v>
      </c>
      <c r="P591">
        <v>1929</v>
      </c>
      <c r="Q591" s="47">
        <v>46279</v>
      </c>
      <c r="R591" s="22" t="str">
        <f>IF(H591="","",H591&amp;I591)</f>
        <v>260902-487SALIDA</v>
      </c>
      <c r="S591" s="22" t="str">
        <f>IF(C591="","",C591&amp;I591)</f>
        <v>Acuron unoSALIDA</v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905</v>
      </c>
      <c r="B592" s="47">
        <v>46274</v>
      </c>
      <c r="C592" t="s">
        <v>115</v>
      </c>
      <c r="D592" t="s">
        <v>116</v>
      </c>
      <c r="E592" t="s">
        <v>34</v>
      </c>
      <c r="F592" t="s">
        <v>35</v>
      </c>
      <c r="G592" t="s">
        <v>117</v>
      </c>
      <c r="H592" s="20" t="s">
        <v>120</v>
      </c>
      <c r="I592" t="s">
        <v>65</v>
      </c>
      <c r="J592" s="30">
        <v>460</v>
      </c>
      <c r="K592" s="22">
        <f>IF(I592="","",IF(I592="ENTRADA",ABS(J592),-ABS(J592)))</f>
        <v>-460</v>
      </c>
      <c r="L592" t="s">
        <v>37</v>
      </c>
      <c r="N592">
        <v>65204</v>
      </c>
      <c r="O592" t="s">
        <v>590</v>
      </c>
      <c r="P592">
        <v>1930</v>
      </c>
      <c r="Q592" s="47">
        <v>46279</v>
      </c>
      <c r="R592" s="22" t="str">
        <f>IF(H592="","",H592&amp;I592)</f>
        <v>260410-025SALIDA</v>
      </c>
      <c r="S592" s="22" t="str">
        <f>IF(C592="","",C592&amp;I592)</f>
        <v>AzukaSALIDA</v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906</v>
      </c>
      <c r="B593" s="47">
        <v>46274</v>
      </c>
      <c r="C593" t="s">
        <v>130</v>
      </c>
      <c r="D593" t="s">
        <v>131</v>
      </c>
      <c r="E593" t="s">
        <v>132</v>
      </c>
      <c r="G593" t="s">
        <v>133</v>
      </c>
      <c r="H593" s="20" t="s">
        <v>221</v>
      </c>
      <c r="I593" t="s">
        <v>65</v>
      </c>
      <c r="J593" s="30">
        <v>20</v>
      </c>
      <c r="K593" s="22">
        <f>IF(I593="","",IF(I593="ENTRADA",ABS(J593),-ABS(J593)))</f>
        <v>-20</v>
      </c>
      <c r="L593" t="s">
        <v>37</v>
      </c>
      <c r="N593">
        <v>65204</v>
      </c>
      <c r="O593" t="s">
        <v>590</v>
      </c>
      <c r="P593">
        <v>1930</v>
      </c>
      <c r="Q593" s="47">
        <v>46279</v>
      </c>
      <c r="R593" s="22" t="str">
        <f>IF(H593="","",H593&amp;I593)</f>
        <v>260414-029SALIDA</v>
      </c>
      <c r="S593" s="22" t="str">
        <f>IF(C593="","",C593&amp;I593)</f>
        <v>HarrierSALIDA</v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907</v>
      </c>
      <c r="B594" s="47">
        <v>46274</v>
      </c>
      <c r="C594" t="s">
        <v>777</v>
      </c>
      <c r="D594" t="s">
        <v>778</v>
      </c>
      <c r="E594" t="s">
        <v>34</v>
      </c>
      <c r="F594" t="s">
        <v>46</v>
      </c>
      <c r="G594" t="s">
        <v>779</v>
      </c>
      <c r="H594" s="20" t="s">
        <v>855</v>
      </c>
      <c r="I594" t="s">
        <v>65</v>
      </c>
      <c r="J594" s="30">
        <v>150</v>
      </c>
      <c r="K594" s="22">
        <f>IF(I594="","",IF(I594="ENTRADA",ABS(J594),-ABS(J594)))</f>
        <v>-150</v>
      </c>
      <c r="L594" t="s">
        <v>37</v>
      </c>
      <c r="N594">
        <v>65204</v>
      </c>
      <c r="O594" t="s">
        <v>590</v>
      </c>
      <c r="P594">
        <v>1930</v>
      </c>
      <c r="Q594" s="47">
        <v>46279</v>
      </c>
      <c r="R594" s="22" t="str">
        <f>IF(H594="","",H594&amp;I594)</f>
        <v>260902-487SALIDA</v>
      </c>
      <c r="S594" s="22" t="str">
        <f>IF(C594="","",C594&amp;I594)</f>
        <v>Acuron unoSALIDA</v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908</v>
      </c>
      <c r="B595" s="47">
        <v>46274</v>
      </c>
      <c r="C595" s="34" t="s">
        <v>137</v>
      </c>
      <c r="D595" s="34" t="s">
        <v>138</v>
      </c>
      <c r="E595" s="34" t="s">
        <v>132</v>
      </c>
      <c r="F595" s="34"/>
      <c r="G595" s="34" t="s">
        <v>133</v>
      </c>
      <c r="H595" s="20" t="s">
        <v>211</v>
      </c>
      <c r="I595" s="34" t="s">
        <v>65</v>
      </c>
      <c r="J595" s="36">
        <v>3</v>
      </c>
      <c r="K595" s="22">
        <f>IF(I595="","",IF(I595="ENTRADA",ABS(J595),-ABS(J595)))</f>
        <v>-3</v>
      </c>
      <c r="L595" s="34" t="s">
        <v>37</v>
      </c>
      <c r="M595" s="34"/>
      <c r="N595">
        <v>65204</v>
      </c>
      <c r="O595" t="s">
        <v>590</v>
      </c>
      <c r="P595">
        <v>1930</v>
      </c>
      <c r="Q595" s="47">
        <v>46279</v>
      </c>
      <c r="R595" s="22" t="str">
        <f>IF(H595="","",H595&amp;I595)</f>
        <v>260414-030SALIDA</v>
      </c>
      <c r="S595" s="22" t="str">
        <f>IF(C595="","",C595&amp;I595)</f>
        <v>Full controlSALIDA</v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909</v>
      </c>
      <c r="B596" s="47">
        <v>46274</v>
      </c>
      <c r="C596" t="s">
        <v>784</v>
      </c>
      <c r="D596" t="s">
        <v>785</v>
      </c>
      <c r="E596" t="s">
        <v>34</v>
      </c>
      <c r="F596" t="s">
        <v>46</v>
      </c>
      <c r="G596" t="s">
        <v>27</v>
      </c>
      <c r="H596" s="20" t="s">
        <v>798</v>
      </c>
      <c r="I596" t="s">
        <v>65</v>
      </c>
      <c r="J596" s="30">
        <v>24</v>
      </c>
      <c r="K596" s="22">
        <f>IF(I596="","",IF(I596="ENTRADA",ABS(J596),-ABS(J596)))</f>
        <v>-24</v>
      </c>
      <c r="L596" t="s">
        <v>29</v>
      </c>
      <c r="N596">
        <v>65204</v>
      </c>
      <c r="O596" t="s">
        <v>590</v>
      </c>
      <c r="P596">
        <v>1930</v>
      </c>
      <c r="Q596" s="47">
        <v>46279</v>
      </c>
      <c r="R596" s="22" t="str">
        <f>IF(H596="","",H596&amp;I596)</f>
        <v>260801-489SALIDA</v>
      </c>
      <c r="S596" s="22" t="str">
        <f>IF(C596="","",C596&amp;I596)</f>
        <v>PyroxateSALIDA</v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910</v>
      </c>
      <c r="B597" s="47">
        <v>46274</v>
      </c>
      <c r="C597" t="s">
        <v>911</v>
      </c>
      <c r="D597" t="s">
        <v>631</v>
      </c>
      <c r="E597" t="s">
        <v>25</v>
      </c>
      <c r="F597" t="s">
        <v>632</v>
      </c>
      <c r="H597" s="20" t="str">
        <f>+T597</f>
        <v>260909-597</v>
      </c>
      <c r="I597" t="s">
        <v>28</v>
      </c>
      <c r="J597" s="30">
        <v>26</v>
      </c>
      <c r="K597" s="22">
        <f>IF(I597="","",IF(I597="ENTRADA",ABS(J597),-ABS(J597)))</f>
        <v>26</v>
      </c>
      <c r="L597" t="s">
        <v>633</v>
      </c>
      <c r="N597">
        <v>65205</v>
      </c>
      <c r="O597" t="s">
        <v>382</v>
      </c>
      <c r="P597">
        <v>1963</v>
      </c>
      <c r="Q597" s="47">
        <v>46294</v>
      </c>
      <c r="R597" s="22" t="str">
        <f>IF(H597="","",H597&amp;I597)</f>
        <v>260909-597ENTRADA</v>
      </c>
      <c r="S597" s="22" t="str">
        <f>IF(C597="","",C597&amp;I597)</f>
        <v>maiz dk 7447ENTRADA</v>
      </c>
      <c r="T597" t="str">
        <f>IF(OR(C597="",I597&lt;&gt;"ENTRADA"),"",TEXT(B597,"AAMMDD")&amp;"-"&amp;TEXT(VALUE(SUBSTITUTE(A597,"MOV-","")),"000"))</f>
        <v>260909-597</v>
      </c>
    </row>
    <row r="598" spans="1:20">
      <c r="A598" s="20" t="s">
        <v>912</v>
      </c>
      <c r="B598" s="47">
        <v>46274</v>
      </c>
      <c r="C598" t="s">
        <v>784</v>
      </c>
      <c r="D598" t="s">
        <v>785</v>
      </c>
      <c r="E598" t="s">
        <v>34</v>
      </c>
      <c r="F598" t="s">
        <v>46</v>
      </c>
      <c r="G598" t="s">
        <v>27</v>
      </c>
      <c r="H598" s="20" t="s">
        <v>798</v>
      </c>
      <c r="I598" t="s">
        <v>65</v>
      </c>
      <c r="J598" s="30">
        <v>20</v>
      </c>
      <c r="K598" s="22">
        <f>IF(I598="","",IF(I598="ENTRADA",ABS(J598),-ABS(J598)))</f>
        <v>-20</v>
      </c>
      <c r="L598" t="s">
        <v>29</v>
      </c>
      <c r="N598">
        <v>65206</v>
      </c>
      <c r="O598" t="s">
        <v>213</v>
      </c>
      <c r="P598">
        <v>1928</v>
      </c>
      <c r="Q598" s="47">
        <v>46279</v>
      </c>
      <c r="R598" s="22" t="str">
        <f>IF(H598="","",H598&amp;I598)</f>
        <v>260801-489SALIDA</v>
      </c>
      <c r="S598" s="22" t="str">
        <f>IF(C598="","",C598&amp;I598)</f>
        <v>PyroxateSALIDA</v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913</v>
      </c>
      <c r="B599" s="47">
        <v>46274</v>
      </c>
      <c r="C599" t="s">
        <v>115</v>
      </c>
      <c r="D599" t="s">
        <v>116</v>
      </c>
      <c r="E599" t="s">
        <v>34</v>
      </c>
      <c r="F599" t="s">
        <v>35</v>
      </c>
      <c r="G599" t="s">
        <v>117</v>
      </c>
      <c r="H599" s="20" t="s">
        <v>669</v>
      </c>
      <c r="I599" t="s">
        <v>65</v>
      </c>
      <c r="J599" s="30">
        <v>140</v>
      </c>
      <c r="K599" s="22">
        <f>IF(I599="","",IF(I599="ENTRADA",ABS(J599),-ABS(J599)))</f>
        <v>-140</v>
      </c>
      <c r="L599" t="s">
        <v>37</v>
      </c>
      <c r="N599">
        <v>65207</v>
      </c>
      <c r="O599" t="s">
        <v>218</v>
      </c>
      <c r="P599">
        <v>1931</v>
      </c>
      <c r="Q599" s="47">
        <v>46279</v>
      </c>
      <c r="R599" s="22" t="str">
        <f>IF(H599="","",H599&amp;I599)</f>
        <v>260727-381SALIDA</v>
      </c>
      <c r="S599" s="22" t="str">
        <f>IF(C599="","",C599&amp;I599)</f>
        <v>AzukaSALIDA</v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914</v>
      </c>
      <c r="B600" s="47">
        <v>46274</v>
      </c>
      <c r="C600" t="s">
        <v>771</v>
      </c>
      <c r="D600" t="s">
        <v>772</v>
      </c>
      <c r="E600" t="s">
        <v>34</v>
      </c>
      <c r="F600" t="s">
        <v>35</v>
      </c>
      <c r="G600" t="s">
        <v>773</v>
      </c>
      <c r="H600" s="20" t="s">
        <v>830</v>
      </c>
      <c r="I600" t="s">
        <v>65</v>
      </c>
      <c r="J600" s="30">
        <v>500</v>
      </c>
      <c r="K600" s="22">
        <f>IF(I600="","",IF(I600="ENTRADA",ABS(J600),-ABS(J600)))</f>
        <v>-500</v>
      </c>
      <c r="L600" t="s">
        <v>37</v>
      </c>
      <c r="N600">
        <v>65207</v>
      </c>
      <c r="O600" t="s">
        <v>218</v>
      </c>
      <c r="P600">
        <v>1931</v>
      </c>
      <c r="Q600" s="47">
        <v>46279</v>
      </c>
      <c r="R600" s="22" t="str">
        <f>IF(H600="","",H600&amp;I600)</f>
        <v>260826-484SALIDA</v>
      </c>
      <c r="S600" s="22" t="str">
        <f>IF(C600="","",C600&amp;I600)</f>
        <v>Paraquat SALIDA</v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915</v>
      </c>
      <c r="B601" s="47">
        <v>46274</v>
      </c>
      <c r="C601" t="s">
        <v>137</v>
      </c>
      <c r="D601" t="s">
        <v>138</v>
      </c>
      <c r="E601" t="s">
        <v>132</v>
      </c>
      <c r="G601" t="s">
        <v>133</v>
      </c>
      <c r="H601" s="20" t="s">
        <v>211</v>
      </c>
      <c r="I601" t="s">
        <v>65</v>
      </c>
      <c r="J601" s="30">
        <v>8</v>
      </c>
      <c r="K601" s="22">
        <f>IF(I601="","",IF(I601="ENTRADA",ABS(J601),-ABS(J601)))</f>
        <v>-8</v>
      </c>
      <c r="L601" t="s">
        <v>37</v>
      </c>
      <c r="N601">
        <v>65207</v>
      </c>
      <c r="O601" t="s">
        <v>218</v>
      </c>
      <c r="P601">
        <v>1931</v>
      </c>
      <c r="Q601" s="47">
        <v>46279</v>
      </c>
      <c r="R601" s="22" t="str">
        <f>IF(H601="","",H601&amp;I601)</f>
        <v>260414-030SALIDA</v>
      </c>
      <c r="S601" s="22" t="str">
        <f>IF(C601="","",C601&amp;I601)</f>
        <v>Full controlSALIDA</v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916</v>
      </c>
      <c r="B602" s="47">
        <v>46274</v>
      </c>
      <c r="C602" t="s">
        <v>122</v>
      </c>
      <c r="D602" t="s">
        <v>123</v>
      </c>
      <c r="E602" t="s">
        <v>34</v>
      </c>
      <c r="F602" t="s">
        <v>35</v>
      </c>
      <c r="G602" t="s">
        <v>117</v>
      </c>
      <c r="H602" s="20" t="s">
        <v>203</v>
      </c>
      <c r="I602" t="s">
        <v>65</v>
      </c>
      <c r="J602" s="30">
        <v>50</v>
      </c>
      <c r="K602" s="22">
        <f>IF(I602="","",IF(I602="ENTRADA",ABS(J602),-ABS(J602)))</f>
        <v>-50</v>
      </c>
      <c r="L602" t="s">
        <v>37</v>
      </c>
      <c r="N602">
        <v>65207</v>
      </c>
      <c r="O602" t="s">
        <v>218</v>
      </c>
      <c r="P602">
        <v>1931</v>
      </c>
      <c r="Q602" s="47">
        <v>46279</v>
      </c>
      <c r="R602" s="22" t="str">
        <f>IF(H602="","",H602&amp;I602)</f>
        <v>260410-027SALIDA</v>
      </c>
      <c r="S602" s="22" t="str">
        <f>IF(C602="","",C602&amp;I602)</f>
        <v>PardoSALIDA</v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917</v>
      </c>
      <c r="B603" s="47">
        <v>46274</v>
      </c>
      <c r="C603" t="s">
        <v>130</v>
      </c>
      <c r="D603" t="s">
        <v>131</v>
      </c>
      <c r="E603" t="s">
        <v>132</v>
      </c>
      <c r="G603" t="s">
        <v>133</v>
      </c>
      <c r="H603" s="20" t="s">
        <v>221</v>
      </c>
      <c r="I603" t="s">
        <v>65</v>
      </c>
      <c r="J603" s="30">
        <v>40</v>
      </c>
      <c r="K603" s="22">
        <f>IF(I603="","",IF(I603="ENTRADA",ABS(J603),-ABS(J603)))</f>
        <v>-40</v>
      </c>
      <c r="L603" t="s">
        <v>37</v>
      </c>
      <c r="N603">
        <v>65202</v>
      </c>
      <c r="O603" t="s">
        <v>218</v>
      </c>
      <c r="P603">
        <v>1932</v>
      </c>
      <c r="Q603" s="47">
        <v>46279</v>
      </c>
      <c r="R603" s="22" t="str">
        <f>IF(H603="","",H603&amp;I603)</f>
        <v>260414-029SALIDA</v>
      </c>
      <c r="S603" s="22" t="str">
        <f>IF(C603="","",C603&amp;I603)</f>
        <v>HarrierSALIDA</v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918</v>
      </c>
      <c r="B604" s="47">
        <v>46274</v>
      </c>
      <c r="C604" t="s">
        <v>771</v>
      </c>
      <c r="D604" t="s">
        <v>772</v>
      </c>
      <c r="E604" t="s">
        <v>34</v>
      </c>
      <c r="F604" t="s">
        <v>35</v>
      </c>
      <c r="G604" t="s">
        <v>773</v>
      </c>
      <c r="H604" s="20" t="s">
        <v>830</v>
      </c>
      <c r="I604" t="s">
        <v>65</v>
      </c>
      <c r="J604" s="30">
        <v>1360</v>
      </c>
      <c r="K604" s="22">
        <f>IF(I604="","",IF(I604="ENTRADA",ABS(J604),-ABS(J604)))</f>
        <v>-1360</v>
      </c>
      <c r="L604" t="s">
        <v>37</v>
      </c>
      <c r="N604">
        <v>65208</v>
      </c>
      <c r="O604" t="s">
        <v>218</v>
      </c>
      <c r="P604">
        <v>1933</v>
      </c>
      <c r="Q604" s="47">
        <v>46279</v>
      </c>
      <c r="R604" s="22" t="str">
        <f>IF(H604="","",H604&amp;I604)</f>
        <v>260826-484SALIDA</v>
      </c>
      <c r="S604" s="22" t="str">
        <f>IF(C604="","",C604&amp;I604)</f>
        <v>Paraquat SALIDA</v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919</v>
      </c>
      <c r="B605" s="47">
        <v>46274</v>
      </c>
      <c r="C605" t="s">
        <v>130</v>
      </c>
      <c r="D605" t="s">
        <v>131</v>
      </c>
      <c r="E605" t="s">
        <v>132</v>
      </c>
      <c r="G605" t="s">
        <v>133</v>
      </c>
      <c r="H605" s="20" t="s">
        <v>221</v>
      </c>
      <c r="I605" t="s">
        <v>65</v>
      </c>
      <c r="J605" s="30">
        <v>100</v>
      </c>
      <c r="K605" s="22">
        <f>IF(I605="","",IF(I605="ENTRADA",ABS(J605),-ABS(J605)))</f>
        <v>-100</v>
      </c>
      <c r="L605" t="s">
        <v>37</v>
      </c>
      <c r="N605">
        <v>65208</v>
      </c>
      <c r="O605" t="s">
        <v>218</v>
      </c>
      <c r="P605">
        <v>1933</v>
      </c>
      <c r="Q605" s="47">
        <v>46279</v>
      </c>
      <c r="R605" s="22" t="str">
        <f>IF(H605="","",H605&amp;I605)</f>
        <v>260414-029SALIDA</v>
      </c>
      <c r="S605" s="22" t="str">
        <f>IF(C605="","",C605&amp;I605)</f>
        <v>HarrierSALIDA</v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920</v>
      </c>
      <c r="B606" s="47">
        <v>46274</v>
      </c>
      <c r="C606" s="34" t="s">
        <v>137</v>
      </c>
      <c r="D606" s="34" t="s">
        <v>138</v>
      </c>
      <c r="E606" s="34" t="s">
        <v>132</v>
      </c>
      <c r="F606" s="34"/>
      <c r="G606" s="34" t="s">
        <v>133</v>
      </c>
      <c r="H606" s="20" t="s">
        <v>211</v>
      </c>
      <c r="I606" s="34" t="s">
        <v>65</v>
      </c>
      <c r="J606" s="36">
        <v>20</v>
      </c>
      <c r="K606" s="22">
        <f>IF(I606="","",IF(I606="ENTRADA",ABS(J606),-ABS(J606)))</f>
        <v>-20</v>
      </c>
      <c r="L606" s="34" t="s">
        <v>37</v>
      </c>
      <c r="M606" s="34"/>
      <c r="N606">
        <v>65208</v>
      </c>
      <c r="O606" s="34" t="s">
        <v>218</v>
      </c>
      <c r="P606">
        <v>1933</v>
      </c>
      <c r="Q606" s="47">
        <v>46279</v>
      </c>
      <c r="R606" s="22" t="str">
        <f>IF(H606="","",H606&amp;I606)</f>
        <v>260414-030SALIDA</v>
      </c>
      <c r="S606" s="22" t="str">
        <f>IF(C606="","",C606&amp;I606)</f>
        <v>Full controlSALIDA</v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921</v>
      </c>
      <c r="B607" s="47">
        <v>46260</v>
      </c>
      <c r="C607" t="s">
        <v>137</v>
      </c>
      <c r="D607" t="s">
        <v>138</v>
      </c>
      <c r="E607" t="s">
        <v>132</v>
      </c>
      <c r="G607" t="s">
        <v>133</v>
      </c>
      <c r="H607" s="20" t="s">
        <v>211</v>
      </c>
      <c r="I607" t="s">
        <v>65</v>
      </c>
      <c r="J607" s="30">
        <v>5</v>
      </c>
      <c r="K607" s="22">
        <f>IF(I607="","",IF(I607="ENTRADA",ABS(J607),-ABS(J607)))</f>
        <v>-5</v>
      </c>
      <c r="L607" t="s">
        <v>37</v>
      </c>
      <c r="N607">
        <v>65173</v>
      </c>
      <c r="O607" t="s">
        <v>382</v>
      </c>
      <c r="P607">
        <v>1892</v>
      </c>
      <c r="Q607" s="47">
        <v>46261</v>
      </c>
      <c r="R607" s="22" t="str">
        <f>IF(H607="","",H607&amp;I607)</f>
        <v>260414-030SALIDA</v>
      </c>
      <c r="S607" s="22" t="str">
        <f>IF(C607="","",C607&amp;I607)</f>
        <v>Full controlSALIDA</v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922</v>
      </c>
      <c r="B608" s="47">
        <v>46265</v>
      </c>
      <c r="C608" t="s">
        <v>115</v>
      </c>
      <c r="D608" t="s">
        <v>116</v>
      </c>
      <c r="E608" t="s">
        <v>34</v>
      </c>
      <c r="F608" t="s">
        <v>35</v>
      </c>
      <c r="G608" t="s">
        <v>117</v>
      </c>
      <c r="H608" s="20" t="s">
        <v>669</v>
      </c>
      <c r="I608" t="s">
        <v>65</v>
      </c>
      <c r="J608" s="30">
        <v>560</v>
      </c>
      <c r="K608" s="22">
        <f>IF(I608="","",IF(I608="ENTRADA",ABS(J608),-ABS(J608)))</f>
        <v>-560</v>
      </c>
      <c r="L608" t="s">
        <v>37</v>
      </c>
      <c r="N608">
        <v>65177</v>
      </c>
      <c r="O608" t="s">
        <v>218</v>
      </c>
      <c r="P608">
        <v>1935</v>
      </c>
      <c r="Q608" s="47">
        <v>46279</v>
      </c>
      <c r="R608" s="22" t="str">
        <f>IF(H608="","",H608&amp;I608)</f>
        <v>260727-381SALIDA</v>
      </c>
      <c r="S608" s="22" t="str">
        <f>IF(C608="","",C608&amp;I608)</f>
        <v>AzukaSALIDA</v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923</v>
      </c>
      <c r="B609" s="47">
        <v>46265</v>
      </c>
      <c r="C609" t="s">
        <v>491</v>
      </c>
      <c r="D609" t="s">
        <v>492</v>
      </c>
      <c r="E609" t="s">
        <v>493</v>
      </c>
      <c r="G609" t="s">
        <v>36</v>
      </c>
      <c r="H609" s="20" t="s">
        <v>495</v>
      </c>
      <c r="I609" t="s">
        <v>65</v>
      </c>
      <c r="J609" s="30">
        <v>460</v>
      </c>
      <c r="K609" s="22">
        <f>IF(I609="","",IF(I609="ENTRADA",ABS(J609),-ABS(J609)))</f>
        <v>-460</v>
      </c>
      <c r="L609" t="s">
        <v>37</v>
      </c>
      <c r="N609">
        <v>65177</v>
      </c>
      <c r="O609" t="s">
        <v>218</v>
      </c>
      <c r="P609">
        <v>1935</v>
      </c>
      <c r="Q609" s="47">
        <v>46279</v>
      </c>
      <c r="R609" s="22" t="str">
        <f>IF(H609="","",H609&amp;I609)</f>
        <v>260610-265SALIDA</v>
      </c>
      <c r="S609" s="22" t="str">
        <f>IF(C609="","",C609&amp;I609)</f>
        <v>Zinc Plus SALIDA</v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924</v>
      </c>
      <c r="B610" s="47">
        <v>46265</v>
      </c>
      <c r="C610" t="s">
        <v>514</v>
      </c>
      <c r="D610" t="s">
        <v>515</v>
      </c>
      <c r="E610" t="s">
        <v>516</v>
      </c>
      <c r="G610" t="s">
        <v>117</v>
      </c>
      <c r="H610" s="20" t="s">
        <v>665</v>
      </c>
      <c r="I610" t="s">
        <v>65</v>
      </c>
      <c r="J610" s="30">
        <v>100</v>
      </c>
      <c r="K610" s="22">
        <f>IF(I610="","",IF(I610="ENTRADA",ABS(J610),-ABS(J610)))</f>
        <v>-100</v>
      </c>
      <c r="L610" t="s">
        <v>37</v>
      </c>
      <c r="N610">
        <v>65177</v>
      </c>
      <c r="O610" t="s">
        <v>218</v>
      </c>
      <c r="P610">
        <v>1935</v>
      </c>
      <c r="Q610" s="47">
        <v>46279</v>
      </c>
      <c r="R610" s="22" t="str">
        <f>IF(H610="","",H610&amp;I610)</f>
        <v>260730-396SALIDA</v>
      </c>
      <c r="S610" s="22" t="str">
        <f>IF(C610="","",C610&amp;I610)</f>
        <v>Unico MaxSALIDA</v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925</v>
      </c>
      <c r="B611" s="47">
        <v>46265</v>
      </c>
      <c r="C611" t="s">
        <v>122</v>
      </c>
      <c r="D611" t="s">
        <v>123</v>
      </c>
      <c r="E611" t="s">
        <v>34</v>
      </c>
      <c r="F611" t="s">
        <v>35</v>
      </c>
      <c r="G611" t="s">
        <v>117</v>
      </c>
      <c r="H611" s="20" t="s">
        <v>203</v>
      </c>
      <c r="I611" t="s">
        <v>65</v>
      </c>
      <c r="J611" s="30">
        <v>180</v>
      </c>
      <c r="K611" s="22">
        <f>IF(I611="","",IF(I611="ENTRADA",ABS(J611),-ABS(J611)))</f>
        <v>-180</v>
      </c>
      <c r="L611" t="s">
        <v>37</v>
      </c>
      <c r="N611">
        <v>65177</v>
      </c>
      <c r="O611" t="s">
        <v>218</v>
      </c>
      <c r="P611">
        <v>1935</v>
      </c>
      <c r="Q611" s="47">
        <v>46279</v>
      </c>
      <c r="R611" s="22" t="str">
        <f>IF(H611="","",H611&amp;I611)</f>
        <v>260410-027SALIDA</v>
      </c>
      <c r="S611" s="22" t="str">
        <f>IF(C611="","",C611&amp;I611)</f>
        <v>PardoSALIDA</v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926</v>
      </c>
      <c r="B612" s="47">
        <v>46265</v>
      </c>
      <c r="C612" t="s">
        <v>137</v>
      </c>
      <c r="D612" t="s">
        <v>138</v>
      </c>
      <c r="E612" t="s">
        <v>132</v>
      </c>
      <c r="G612" t="s">
        <v>133</v>
      </c>
      <c r="H612" s="20" t="s">
        <v>211</v>
      </c>
      <c r="I612" t="s">
        <v>65</v>
      </c>
      <c r="J612" s="30">
        <v>8</v>
      </c>
      <c r="K612" s="22">
        <f>IF(I612="","",IF(I612="ENTRADA",ABS(J612),-ABS(J612)))</f>
        <v>-8</v>
      </c>
      <c r="L612" t="s">
        <v>37</v>
      </c>
      <c r="N612">
        <v>65177</v>
      </c>
      <c r="O612" t="s">
        <v>218</v>
      </c>
      <c r="P612">
        <v>1935</v>
      </c>
      <c r="Q612" s="47">
        <v>46279</v>
      </c>
      <c r="R612" s="22" t="str">
        <f>IF(H612="","",H612&amp;I612)</f>
        <v>260414-030SALIDA</v>
      </c>
      <c r="S612" s="22" t="str">
        <f>IF(C612="","",C612&amp;I612)</f>
        <v>Full controlSALIDA</v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927</v>
      </c>
      <c r="B613" s="47">
        <v>46265</v>
      </c>
      <c r="C613" t="s">
        <v>130</v>
      </c>
      <c r="D613" t="s">
        <v>131</v>
      </c>
      <c r="E613" t="s">
        <v>132</v>
      </c>
      <c r="G613" t="s">
        <v>133</v>
      </c>
      <c r="H613" s="20" t="s">
        <v>221</v>
      </c>
      <c r="I613" t="s">
        <v>65</v>
      </c>
      <c r="J613" s="30">
        <v>40</v>
      </c>
      <c r="K613" s="22">
        <f>IF(I613="","",IF(I613="ENTRADA",ABS(J613),-ABS(J613)))</f>
        <v>-40</v>
      </c>
      <c r="L613" t="s">
        <v>37</v>
      </c>
      <c r="N613">
        <v>65177</v>
      </c>
      <c r="O613" t="s">
        <v>218</v>
      </c>
      <c r="P613">
        <v>1935</v>
      </c>
      <c r="Q613" s="47">
        <v>46279</v>
      </c>
      <c r="R613" s="22" t="str">
        <f>IF(H613="","",H613&amp;I613)</f>
        <v>260414-029SALIDA</v>
      </c>
      <c r="S613" s="22" t="str">
        <f>IF(C613="","",C613&amp;I613)</f>
        <v>HarrierSALIDA</v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928</v>
      </c>
      <c r="B614" s="47">
        <v>46274</v>
      </c>
      <c r="C614" t="s">
        <v>130</v>
      </c>
      <c r="D614" t="s">
        <v>131</v>
      </c>
      <c r="E614" t="s">
        <v>132</v>
      </c>
      <c r="G614" t="s">
        <v>133</v>
      </c>
      <c r="H614" s="20" t="s">
        <v>221</v>
      </c>
      <c r="I614" t="s">
        <v>65</v>
      </c>
      <c r="J614" s="30">
        <v>40</v>
      </c>
      <c r="K614" s="22">
        <f>IF(I614="","",IF(I614="ENTRADA",ABS(J614),-ABS(J614)))</f>
        <v>-40</v>
      </c>
      <c r="L614" t="s">
        <v>37</v>
      </c>
      <c r="N614">
        <v>65207</v>
      </c>
      <c r="O614" t="s">
        <v>218</v>
      </c>
      <c r="P614" s="54">
        <v>1931</v>
      </c>
      <c r="Q614" s="47">
        <v>46279</v>
      </c>
      <c r="R614" s="22" t="str">
        <f>IF(H614="","",H614&amp;I614)</f>
        <v>260414-029SALIDA</v>
      </c>
      <c r="S614" s="22" t="str">
        <f>IF(C614="","",C614&amp;I614)</f>
        <v>HarrierSALIDA</v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929</v>
      </c>
      <c r="B615" s="60">
        <v>46275</v>
      </c>
      <c r="C615" s="34" t="s">
        <v>115</v>
      </c>
      <c r="D615" s="34" t="s">
        <v>116</v>
      </c>
      <c r="E615" s="34" t="s">
        <v>34</v>
      </c>
      <c r="F615" s="34" t="s">
        <v>35</v>
      </c>
      <c r="G615" s="34" t="s">
        <v>117</v>
      </c>
      <c r="H615" s="20" t="s">
        <v>669</v>
      </c>
      <c r="I615" s="34" t="s">
        <v>65</v>
      </c>
      <c r="J615" s="36">
        <v>600</v>
      </c>
      <c r="K615" s="22">
        <f>IF(I615="","",IF(I615="ENTRADA",ABS(J615),-ABS(J615)))</f>
        <v>-600</v>
      </c>
      <c r="L615" s="34" t="s">
        <v>37</v>
      </c>
      <c r="M615" s="34"/>
      <c r="N615">
        <v>65209</v>
      </c>
      <c r="O615" t="s">
        <v>387</v>
      </c>
      <c r="P615" s="46">
        <v>1936</v>
      </c>
      <c r="Q615" s="47">
        <v>46279</v>
      </c>
      <c r="R615" s="22" t="str">
        <f>IF(H615="","",H615&amp;I615)</f>
        <v>260727-381SALIDA</v>
      </c>
      <c r="S615" s="22" t="str">
        <f>IF(C615="","",C615&amp;I615)</f>
        <v>AzukaSALIDA</v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930</v>
      </c>
      <c r="B616" s="47">
        <v>46275</v>
      </c>
      <c r="C616" t="s">
        <v>130</v>
      </c>
      <c r="D616" t="s">
        <v>131</v>
      </c>
      <c r="E616" t="s">
        <v>132</v>
      </c>
      <c r="G616" t="s">
        <v>133</v>
      </c>
      <c r="H616" s="20" t="s">
        <v>221</v>
      </c>
      <c r="I616" t="s">
        <v>65</v>
      </c>
      <c r="J616" s="30">
        <v>60</v>
      </c>
      <c r="K616" s="22">
        <f>IF(I616="","",IF(I616="ENTRADA",ABS(J616),-ABS(J616)))</f>
        <v>-60</v>
      </c>
      <c r="L616" t="s">
        <v>37</v>
      </c>
      <c r="N616">
        <v>65209</v>
      </c>
      <c r="O616" t="s">
        <v>387</v>
      </c>
      <c r="P616" s="46">
        <v>1936</v>
      </c>
      <c r="Q616" s="47">
        <v>46279</v>
      </c>
      <c r="R616" s="22" t="str">
        <f>IF(H616="","",H616&amp;I616)</f>
        <v>260414-029SALIDA</v>
      </c>
      <c r="S616" s="22" t="str">
        <f>IF(C616="","",C616&amp;I616)</f>
        <v>HarrierSALIDA</v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931</v>
      </c>
      <c r="B617" s="47">
        <v>46276</v>
      </c>
      <c r="C617" t="s">
        <v>115</v>
      </c>
      <c r="D617" t="s">
        <v>116</v>
      </c>
      <c r="E617" t="s">
        <v>34</v>
      </c>
      <c r="F617" t="s">
        <v>35</v>
      </c>
      <c r="G617" t="s">
        <v>117</v>
      </c>
      <c r="H617" s="20" t="s">
        <v>669</v>
      </c>
      <c r="I617" t="s">
        <v>65</v>
      </c>
      <c r="J617" s="30">
        <v>460</v>
      </c>
      <c r="K617" s="22">
        <f>IF(I617="","",IF(I617="ENTRADA",ABS(J617),-ABS(J617)))</f>
        <v>-460</v>
      </c>
      <c r="L617" t="s">
        <v>37</v>
      </c>
      <c r="N617">
        <v>65210</v>
      </c>
      <c r="O617" t="s">
        <v>387</v>
      </c>
      <c r="P617">
        <v>1937</v>
      </c>
      <c r="Q617" s="47">
        <v>46279</v>
      </c>
      <c r="R617" s="22" t="str">
        <f>IF(H617="","",H617&amp;I617)</f>
        <v>260727-381SALIDA</v>
      </c>
      <c r="S617" s="22" t="str">
        <f>IF(C617="","",C617&amp;I617)</f>
        <v>AzukaSALIDA</v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932</v>
      </c>
      <c r="B618" s="47">
        <v>46276</v>
      </c>
      <c r="C618" t="s">
        <v>122</v>
      </c>
      <c r="D618" t="s">
        <v>123</v>
      </c>
      <c r="E618" t="s">
        <v>34</v>
      </c>
      <c r="F618" t="s">
        <v>35</v>
      </c>
      <c r="G618" t="s">
        <v>117</v>
      </c>
      <c r="H618" s="20" t="s">
        <v>203</v>
      </c>
      <c r="I618" t="s">
        <v>65</v>
      </c>
      <c r="J618" s="30">
        <v>50</v>
      </c>
      <c r="K618" s="22">
        <f>IF(I618="","",IF(I618="ENTRADA",ABS(J618),-ABS(J618)))</f>
        <v>-50</v>
      </c>
      <c r="L618" t="s">
        <v>37</v>
      </c>
      <c r="N618">
        <v>65210</v>
      </c>
      <c r="O618" t="s">
        <v>387</v>
      </c>
      <c r="P618">
        <v>1937</v>
      </c>
      <c r="Q618" s="47">
        <v>46279</v>
      </c>
      <c r="R618" s="22" t="str">
        <f>IF(H618="","",H618&amp;I618)</f>
        <v>260410-027SALIDA</v>
      </c>
      <c r="S618" s="22" t="str">
        <f>IF(C618="","",C618&amp;I618)</f>
        <v>PardoSALIDA</v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933</v>
      </c>
      <c r="B619" s="47">
        <v>46279</v>
      </c>
      <c r="C619" t="s">
        <v>934</v>
      </c>
      <c r="D619" t="s">
        <v>935</v>
      </c>
      <c r="E619" t="s">
        <v>516</v>
      </c>
      <c r="G619" t="s">
        <v>36</v>
      </c>
      <c r="H619" s="20" t="str">
        <f>+T619</f>
        <v>260914-621</v>
      </c>
      <c r="I619" t="s">
        <v>28</v>
      </c>
      <c r="J619" s="30">
        <v>3300</v>
      </c>
      <c r="K619" s="22">
        <f>IF(I619="","",IF(I619="ENTRADA",ABS(J619),-ABS(J619)))</f>
        <v>3300</v>
      </c>
      <c r="L619" t="s">
        <v>37</v>
      </c>
      <c r="N619">
        <v>13641</v>
      </c>
      <c r="P619">
        <v>15096</v>
      </c>
      <c r="Q619" s="47">
        <v>46279</v>
      </c>
      <c r="R619" s="22" t="str">
        <f>IF(H619="","",H619&amp;I619)</f>
        <v>260914-621ENTRADA</v>
      </c>
      <c r="S619" s="22" t="str">
        <f>IF(C619="","",C619&amp;I619)</f>
        <v>swing plusENTRADA</v>
      </c>
      <c r="T619" t="str">
        <f>IF(OR(C619="",I619&lt;&gt;"ENTRADA"),"",TEXT(B619,"AAMMDD")&amp;"-"&amp;TEXT(VALUE(SUBSTITUTE(A619,"MOV-","")),"000"))</f>
        <v>260914-621</v>
      </c>
    </row>
    <row r="620" spans="1:20">
      <c r="A620" s="20" t="s">
        <v>936</v>
      </c>
      <c r="B620" s="47">
        <v>46275</v>
      </c>
      <c r="C620" t="s">
        <v>115</v>
      </c>
      <c r="D620" t="s">
        <v>116</v>
      </c>
      <c r="E620" t="s">
        <v>34</v>
      </c>
      <c r="F620" t="s">
        <v>35</v>
      </c>
      <c r="G620" t="s">
        <v>117</v>
      </c>
      <c r="H620" s="20" t="str">
        <f>+T620</f>
        <v>260910-622</v>
      </c>
      <c r="I620" t="s">
        <v>28</v>
      </c>
      <c r="J620" s="30">
        <v>21120</v>
      </c>
      <c r="K620" s="22">
        <f>IF(I620="","",IF(I620="ENTRADA",ABS(J620),-ABS(J620)))</f>
        <v>21120</v>
      </c>
      <c r="L620" t="s">
        <v>37</v>
      </c>
      <c r="M620" s="47">
        <v>46904</v>
      </c>
      <c r="N620">
        <v>51051</v>
      </c>
      <c r="P620">
        <v>15177</v>
      </c>
      <c r="Q620" s="47">
        <v>46288</v>
      </c>
      <c r="R620" s="22" t="str">
        <f>IF(H620="","",H620&amp;I620)</f>
        <v>260910-622ENTRADA</v>
      </c>
      <c r="S620" s="22" t="str">
        <f>IF(C620="","",C620&amp;I620)</f>
        <v>AzukaENTRADA</v>
      </c>
      <c r="T620" t="str">
        <f>IF(OR(C620="",I620&lt;&gt;"ENTRADA"),"",TEXT(B620,"AAMMDD")&amp;"-"&amp;TEXT(VALUE(SUBSTITUTE(A620,"MOV-","")),"000"))</f>
        <v>260910-622</v>
      </c>
    </row>
    <row r="621" spans="1:20">
      <c r="A621" s="20" t="s">
        <v>937</v>
      </c>
      <c r="B621" s="47">
        <v>46210</v>
      </c>
      <c r="C621" t="s">
        <v>720</v>
      </c>
      <c r="D621" t="s">
        <v>721</v>
      </c>
      <c r="E621" t="s">
        <v>34</v>
      </c>
      <c r="F621" t="s">
        <v>35</v>
      </c>
      <c r="G621" t="s">
        <v>117</v>
      </c>
      <c r="H621" s="20" t="str">
        <f>+T621</f>
        <v>260707-623</v>
      </c>
      <c r="I621" t="s">
        <v>28</v>
      </c>
      <c r="J621" s="30">
        <v>6880</v>
      </c>
      <c r="K621" s="22">
        <f>IF(I621="","",IF(I621="ENTRADA",ABS(J621),-ABS(J621)))</f>
        <v>6880</v>
      </c>
      <c r="L621" t="s">
        <v>37</v>
      </c>
      <c r="N621">
        <v>50993</v>
      </c>
      <c r="P621">
        <v>15102</v>
      </c>
      <c r="Q621" s="47">
        <v>46279</v>
      </c>
      <c r="R621" s="22" t="str">
        <f>IF(H621="","",H621&amp;I621)</f>
        <v>260707-623ENTRADA</v>
      </c>
      <c r="S621" s="22" t="str">
        <f>IF(C621="","",C621&amp;I621)</f>
        <v>Gamina ENTRADA</v>
      </c>
      <c r="T621" t="str">
        <f>IF(OR(C621="",I621&lt;&gt;"ENTRADA"),"",TEXT(B621,"AAMMDD")&amp;"-"&amp;TEXT(VALUE(SUBSTITUTE(A621,"MOV-","")),"000"))</f>
        <v>260707-623</v>
      </c>
    </row>
    <row r="622" spans="1:20">
      <c r="A622" s="20" t="s">
        <v>938</v>
      </c>
      <c r="B622" s="47">
        <v>46280</v>
      </c>
      <c r="C622" t="s">
        <v>122</v>
      </c>
      <c r="D622" t="s">
        <v>123</v>
      </c>
      <c r="E622" t="s">
        <v>34</v>
      </c>
      <c r="F622" t="s">
        <v>35</v>
      </c>
      <c r="G622" t="s">
        <v>117</v>
      </c>
      <c r="H622" s="20" t="s">
        <v>939</v>
      </c>
      <c r="I622" t="s">
        <v>28</v>
      </c>
      <c r="J622" s="30">
        <v>3840</v>
      </c>
      <c r="K622" s="22">
        <f>IF(I622="","",IF(I622="ENTRADA",ABS(J622),-ABS(J622)))</f>
        <v>3840</v>
      </c>
      <c r="L622" t="s">
        <v>37</v>
      </c>
      <c r="N622">
        <v>51029</v>
      </c>
      <c r="P622">
        <v>15125</v>
      </c>
      <c r="Q622" s="47">
        <v>46280</v>
      </c>
      <c r="R622" s="22" t="str">
        <f>IF(H622="","",H622&amp;I622)</f>
        <v>260727-380ENTRADA</v>
      </c>
      <c r="S622" s="22" t="str">
        <f>IF(C622="","",C622&amp;I622)</f>
        <v>PardoENTRADA</v>
      </c>
      <c r="T622" t="str">
        <f>IF(OR(C622="",I622&lt;&gt;"ENTRADA"),"",TEXT(B622,"AAMMDD")&amp;"-"&amp;TEXT(VALUE(SUBSTITUTE(A622,"MOV-","")),"000"))</f>
        <v>260915-624</v>
      </c>
    </row>
    <row r="623" spans="1:20">
      <c r="A623" s="20" t="s">
        <v>940</v>
      </c>
      <c r="B623" s="47">
        <v>46280</v>
      </c>
      <c r="C623" t="s">
        <v>941</v>
      </c>
      <c r="D623" t="s">
        <v>942</v>
      </c>
      <c r="E623" t="s">
        <v>34</v>
      </c>
      <c r="F623" t="s">
        <v>35</v>
      </c>
      <c r="G623" t="s">
        <v>36</v>
      </c>
      <c r="H623" s="20" t="str">
        <f>+T623</f>
        <v>260915-625</v>
      </c>
      <c r="I623" t="s">
        <v>28</v>
      </c>
      <c r="J623" s="30">
        <v>2800</v>
      </c>
      <c r="K623" s="22">
        <f>IF(I623="","",IF(I623="ENTRADA",ABS(J623),-ABS(J623)))</f>
        <v>2800</v>
      </c>
      <c r="L623" t="s">
        <v>37</v>
      </c>
      <c r="N623">
        <v>13704</v>
      </c>
      <c r="P623">
        <v>15176</v>
      </c>
      <c r="Q623" s="47">
        <v>46288</v>
      </c>
      <c r="R623" s="22" t="str">
        <f>IF(H623="","",H623&amp;I623)</f>
        <v>260915-625ENTRADA</v>
      </c>
      <c r="S623" s="22" t="str">
        <f>IF(C623="","",C623&amp;I623)</f>
        <v>yescaENTRADA</v>
      </c>
      <c r="T623" t="str">
        <f>IF(OR(C623="",I623&lt;&gt;"ENTRADA"),"",TEXT(B623,"AAMMDD")&amp;"-"&amp;TEXT(VALUE(SUBSTITUTE(A623,"MOV-","")),"000"))</f>
        <v>260915-625</v>
      </c>
    </row>
    <row r="624" spans="1:20">
      <c r="A624" s="20" t="s">
        <v>943</v>
      </c>
      <c r="B624" s="47">
        <v>46282</v>
      </c>
      <c r="C624" t="s">
        <v>944</v>
      </c>
      <c r="D624" t="s">
        <v>945</v>
      </c>
      <c r="E624" t="s">
        <v>516</v>
      </c>
      <c r="G624" t="s">
        <v>779</v>
      </c>
      <c r="H624" s="20" t="str">
        <f>+T624</f>
        <v>260917-626</v>
      </c>
      <c r="I624" t="s">
        <v>28</v>
      </c>
      <c r="J624" s="30">
        <v>360</v>
      </c>
      <c r="K624" s="22">
        <f>IF(I624="","",IF(I624="ENTRADA",ABS(J624),-ABS(J624)))</f>
        <v>360</v>
      </c>
      <c r="L624" t="s">
        <v>56</v>
      </c>
      <c r="N624">
        <v>13691</v>
      </c>
      <c r="P624">
        <v>15178</v>
      </c>
      <c r="Q624" s="47">
        <v>46288</v>
      </c>
      <c r="R624" s="22" t="str">
        <f>IF(H624="","",H624&amp;I624)</f>
        <v>260917-626ENTRADA</v>
      </c>
      <c r="S624" s="22" t="str">
        <f>IF(C624="","",C624&amp;I624)</f>
        <v>Miravis triple packENTRADA</v>
      </c>
      <c r="T624" t="str">
        <f>IF(OR(C624="",I624&lt;&gt;"ENTRADA"),"",TEXT(B624,"AAMMDD")&amp;"-"&amp;TEXT(VALUE(SUBSTITUTE(A624,"MOV-","")),"000"))</f>
        <v>260917-626</v>
      </c>
    </row>
    <row r="625" spans="1:20">
      <c r="A625" s="20" t="s">
        <v>946</v>
      </c>
      <c r="B625" s="47">
        <v>46282</v>
      </c>
      <c r="C625" t="s">
        <v>630</v>
      </c>
      <c r="D625" t="s">
        <v>631</v>
      </c>
      <c r="E625" t="s">
        <v>25</v>
      </c>
      <c r="F625" t="s">
        <v>632</v>
      </c>
      <c r="G625" t="s">
        <v>158</v>
      </c>
      <c r="H625" s="20" t="str">
        <f>+T625</f>
        <v>260917-627</v>
      </c>
      <c r="I625" t="s">
        <v>28</v>
      </c>
      <c r="J625" s="30">
        <v>216</v>
      </c>
      <c r="K625" s="22">
        <f>IF(I625="","",IF(I625="ENTRADA",ABS(J625),-ABS(J625)))</f>
        <v>216</v>
      </c>
      <c r="L625" t="s">
        <v>633</v>
      </c>
      <c r="N625">
        <v>35960</v>
      </c>
      <c r="P625">
        <v>15181</v>
      </c>
      <c r="Q625" s="47">
        <v>46289</v>
      </c>
      <c r="R625" s="22" t="str">
        <f>IF(H625="","",H625&amp;I625)</f>
        <v>260917-627ENTRADA</v>
      </c>
      <c r="S625" s="22" t="str">
        <f>IF(C625="","",C625&amp;I625)</f>
        <v>semilla maiz DK 69-62 TREENTRADA</v>
      </c>
      <c r="T625" t="str">
        <f>IF(OR(C625="",I625&lt;&gt;"ENTRADA"),"",TEXT(B625,"AAMMDD")&amp;"-"&amp;TEXT(VALUE(SUBSTITUTE(A625,"MOV-","")),"000"))</f>
        <v>260917-627</v>
      </c>
    </row>
    <row r="626" spans="1:20">
      <c r="A626" s="20" t="s">
        <v>947</v>
      </c>
      <c r="B626" s="60">
        <v>46283</v>
      </c>
      <c r="C626" t="s">
        <v>630</v>
      </c>
      <c r="D626" s="34" t="s">
        <v>631</v>
      </c>
      <c r="E626" s="34" t="s">
        <v>25</v>
      </c>
      <c r="F626" s="34" t="s">
        <v>632</v>
      </c>
      <c r="G626" s="34" t="s">
        <v>158</v>
      </c>
      <c r="H626" s="20" t="s">
        <v>948</v>
      </c>
      <c r="I626" s="34" t="s">
        <v>28</v>
      </c>
      <c r="J626" s="36">
        <v>216</v>
      </c>
      <c r="K626" s="22">
        <f>IF(I626="","",IF(I626="ENTRADA",ABS(J626),-ABS(J626)))</f>
        <v>216</v>
      </c>
      <c r="L626" s="34" t="s">
        <v>633</v>
      </c>
      <c r="M626" s="34"/>
      <c r="N626">
        <v>35983</v>
      </c>
      <c r="O626" s="34"/>
      <c r="P626">
        <v>15198</v>
      </c>
      <c r="Q626" s="47">
        <v>46293</v>
      </c>
      <c r="R626" s="22" t="str">
        <f>IF(H626="","",H626&amp;I626)</f>
        <v>260917-627ENTRADA</v>
      </c>
      <c r="S626" s="22" t="str">
        <f>IF(C626="","",C626&amp;I626)</f>
        <v>semilla maiz DK 69-62 TREENTRADA</v>
      </c>
      <c r="T626" t="str">
        <f>IF(OR(C626="",I626&lt;&gt;"ENTRADA"),"",TEXT(B626,"AAMMDD")&amp;"-"&amp;TEXT(VALUE(SUBSTITUTE(A626,"MOV-","")),"000"))</f>
        <v>260918-628</v>
      </c>
    </row>
    <row r="627" spans="1:20">
      <c r="A627" s="20" t="s">
        <v>949</v>
      </c>
      <c r="B627" s="47">
        <v>46283</v>
      </c>
      <c r="C627" t="s">
        <v>630</v>
      </c>
      <c r="D627" t="s">
        <v>631</v>
      </c>
      <c r="E627" t="s">
        <v>25</v>
      </c>
      <c r="F627" t="s">
        <v>632</v>
      </c>
      <c r="G627" t="s">
        <v>158</v>
      </c>
      <c r="H627" s="20" t="s">
        <v>948</v>
      </c>
      <c r="I627" t="s">
        <v>28</v>
      </c>
      <c r="J627" s="30">
        <v>168</v>
      </c>
      <c r="K627" s="22">
        <f>IF(I627="","",IF(I627="ENTRADA",ABS(J627),-ABS(J627)))</f>
        <v>168</v>
      </c>
      <c r="L627" t="s">
        <v>633</v>
      </c>
      <c r="N627">
        <v>36028</v>
      </c>
      <c r="P627">
        <v>15199</v>
      </c>
      <c r="Q627" s="47">
        <v>46293</v>
      </c>
      <c r="R627" s="22" t="str">
        <f>IF(H627="","",H627&amp;I627)</f>
        <v>260917-627ENTRADA</v>
      </c>
      <c r="S627" s="22" t="str">
        <f>IF(C627="","",C627&amp;I627)</f>
        <v>semilla maiz DK 69-62 TREENTRADA</v>
      </c>
      <c r="T627" t="str">
        <f>IF(OR(C627="",I627&lt;&gt;"ENTRADA"),"",TEXT(B627,"AAMMDD")&amp;"-"&amp;TEXT(VALUE(SUBSTITUTE(A627,"MOV-","")),"000"))</f>
        <v>260918-629</v>
      </c>
    </row>
    <row r="628" spans="1:20">
      <c r="A628" s="20" t="s">
        <v>950</v>
      </c>
      <c r="B628" s="47">
        <v>46283</v>
      </c>
      <c r="C628" t="s">
        <v>951</v>
      </c>
      <c r="D628" t="s">
        <v>952</v>
      </c>
      <c r="E628" t="s">
        <v>25</v>
      </c>
      <c r="F628" t="s">
        <v>632</v>
      </c>
      <c r="G628" t="s">
        <v>158</v>
      </c>
      <c r="H628" s="20" t="str">
        <f>+T628</f>
        <v>260918-630</v>
      </c>
      <c r="I628" t="s">
        <v>28</v>
      </c>
      <c r="J628" s="30">
        <v>41</v>
      </c>
      <c r="K628" s="22">
        <f>IF(I628="","",IF(I628="ENTRADA",ABS(J628),-ABS(J628)))</f>
        <v>41</v>
      </c>
      <c r="L628" t="s">
        <v>633</v>
      </c>
      <c r="N628">
        <v>36028</v>
      </c>
      <c r="P628">
        <v>15199</v>
      </c>
      <c r="Q628" s="47">
        <v>46293</v>
      </c>
      <c r="R628" s="22" t="str">
        <f>IF(H628="","",H628&amp;I628)</f>
        <v>260918-630ENTRADA</v>
      </c>
      <c r="S628" s="22" t="str">
        <f>IF(C628="","",C628&amp;I628)</f>
        <v>refugio dk 72-72 RR2ENTRADA</v>
      </c>
      <c r="T628" t="str">
        <f>IF(OR(C628="",I628&lt;&gt;"ENTRADA"),"",TEXT(B628,"AAMMDD")&amp;"-"&amp;TEXT(VALUE(SUBSTITUTE(A628,"MOV-","")),"000"))</f>
        <v>260918-630</v>
      </c>
    </row>
    <row r="629" spans="1:20">
      <c r="A629" s="20" t="s">
        <v>953</v>
      </c>
      <c r="B629" s="47">
        <v>46281</v>
      </c>
      <c r="C629" t="s">
        <v>941</v>
      </c>
      <c r="D629" t="s">
        <v>942</v>
      </c>
      <c r="E629" t="s">
        <v>34</v>
      </c>
      <c r="F629" t="s">
        <v>35</v>
      </c>
      <c r="G629" t="s">
        <v>36</v>
      </c>
      <c r="H629" s="20" t="s">
        <v>954</v>
      </c>
      <c r="I629" t="s">
        <v>65</v>
      </c>
      <c r="J629" s="30">
        <v>900</v>
      </c>
      <c r="K629" s="22">
        <f>IF(I629="","",IF(I629="ENTRADA",ABS(J629),-ABS(J629)))</f>
        <v>-900</v>
      </c>
      <c r="L629" t="s">
        <v>37</v>
      </c>
      <c r="N629">
        <v>65212</v>
      </c>
      <c r="O629" t="s">
        <v>382</v>
      </c>
      <c r="P629">
        <v>1941</v>
      </c>
      <c r="Q629" s="47">
        <v>46288</v>
      </c>
      <c r="R629" s="22" t="str">
        <f>IF(H629="","",H629&amp;I629)</f>
        <v>260915-625SALIDA</v>
      </c>
      <c r="S629" s="22" t="str">
        <f>IF(C629="","",C629&amp;I629)</f>
        <v>yescaSALIDA</v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955</v>
      </c>
      <c r="B630" s="47">
        <v>46281</v>
      </c>
      <c r="C630" t="s">
        <v>130</v>
      </c>
      <c r="D630" t="s">
        <v>131</v>
      </c>
      <c r="E630" t="s">
        <v>132</v>
      </c>
      <c r="G630" t="s">
        <v>133</v>
      </c>
      <c r="H630" s="20" t="s">
        <v>221</v>
      </c>
      <c r="I630" t="s">
        <v>65</v>
      </c>
      <c r="J630" s="30">
        <v>45</v>
      </c>
      <c r="K630" s="22">
        <f>IF(I630="","",IF(I630="ENTRADA",ABS(J630),-ABS(J630)))</f>
        <v>-45</v>
      </c>
      <c r="L630" t="s">
        <v>37</v>
      </c>
      <c r="N630">
        <v>65212</v>
      </c>
      <c r="O630" t="s">
        <v>382</v>
      </c>
      <c r="P630">
        <v>1941</v>
      </c>
      <c r="Q630" s="47">
        <v>46288</v>
      </c>
      <c r="R630" s="22" t="str">
        <f>IF(H630="","",H630&amp;I630)</f>
        <v>260414-029SALIDA</v>
      </c>
      <c r="S630" s="22" t="str">
        <f>IF(C630="","",C630&amp;I630)</f>
        <v>HarrierSALIDA</v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956</v>
      </c>
      <c r="B631" s="47">
        <v>46281</v>
      </c>
      <c r="C631" t="s">
        <v>137</v>
      </c>
      <c r="D631" t="s">
        <v>138</v>
      </c>
      <c r="E631" t="s">
        <v>132</v>
      </c>
      <c r="G631" t="s">
        <v>133</v>
      </c>
      <c r="H631" s="20" t="s">
        <v>211</v>
      </c>
      <c r="I631" t="s">
        <v>65</v>
      </c>
      <c r="J631" s="30">
        <v>8</v>
      </c>
      <c r="K631" s="22">
        <f>IF(I631="","",IF(I631="ENTRADA",ABS(J631),-ABS(J631)))</f>
        <v>-8</v>
      </c>
      <c r="L631" t="s">
        <v>37</v>
      </c>
      <c r="N631">
        <v>65212</v>
      </c>
      <c r="O631" t="s">
        <v>382</v>
      </c>
      <c r="P631">
        <v>1941</v>
      </c>
      <c r="Q631" s="47">
        <v>46288</v>
      </c>
      <c r="R631" s="22" t="str">
        <f>IF(H631="","",H631&amp;I631)</f>
        <v>260414-030SALIDA</v>
      </c>
      <c r="S631" s="22" t="str">
        <f>IF(C631="","",C631&amp;I631)</f>
        <v>Full controlSALIDA</v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957</v>
      </c>
      <c r="B632" s="47">
        <v>46281</v>
      </c>
      <c r="C632" t="s">
        <v>137</v>
      </c>
      <c r="D632" t="s">
        <v>138</v>
      </c>
      <c r="E632" t="s">
        <v>132</v>
      </c>
      <c r="G632" t="s">
        <v>133</v>
      </c>
      <c r="H632" s="20" t="s">
        <v>211</v>
      </c>
      <c r="I632" t="s">
        <v>65</v>
      </c>
      <c r="J632" s="30">
        <v>210</v>
      </c>
      <c r="K632" s="22">
        <f>IF(I632="","",IF(I632="ENTRADA",ABS(J632),-ABS(J632)))</f>
        <v>-210</v>
      </c>
      <c r="L632" t="s">
        <v>37</v>
      </c>
      <c r="N632">
        <v>65213</v>
      </c>
      <c r="O632" t="s">
        <v>213</v>
      </c>
      <c r="P632">
        <v>1942</v>
      </c>
      <c r="Q632" s="47">
        <v>46289</v>
      </c>
      <c r="R632" s="22" t="str">
        <f>IF(H632="","",H632&amp;I632)</f>
        <v>260414-030SALIDA</v>
      </c>
      <c r="S632" s="22" t="str">
        <f>IF(C632="","",C632&amp;I632)</f>
        <v>Full controlSALIDA</v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958</v>
      </c>
      <c r="B633" s="47">
        <v>46281</v>
      </c>
      <c r="C633" t="s">
        <v>130</v>
      </c>
      <c r="D633" t="s">
        <v>131</v>
      </c>
      <c r="E633" t="s">
        <v>132</v>
      </c>
      <c r="G633" t="s">
        <v>133</v>
      </c>
      <c r="H633" s="20" t="s">
        <v>221</v>
      </c>
      <c r="I633" t="s">
        <v>65</v>
      </c>
      <c r="J633" s="30">
        <v>200</v>
      </c>
      <c r="K633" s="22">
        <f>IF(I633="","",IF(I633="ENTRADA",ABS(J633),-ABS(J633)))</f>
        <v>-200</v>
      </c>
      <c r="L633" t="s">
        <v>37</v>
      </c>
      <c r="N633">
        <v>65213</v>
      </c>
      <c r="O633" t="s">
        <v>213</v>
      </c>
      <c r="P633">
        <v>1942</v>
      </c>
      <c r="Q633" s="47">
        <v>46289</v>
      </c>
      <c r="R633" s="22" t="str">
        <f>IF(H633="","",H633&amp;I633)</f>
        <v>260414-029SALIDA</v>
      </c>
      <c r="S633" s="22" t="str">
        <f>IF(C633="","",C633&amp;I633)</f>
        <v>HarrierSALIDA</v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959</v>
      </c>
      <c r="B634" s="47">
        <v>46282</v>
      </c>
      <c r="C634" t="s">
        <v>44</v>
      </c>
      <c r="D634" t="s">
        <v>63</v>
      </c>
      <c r="E634" t="s">
        <v>34</v>
      </c>
      <c r="F634" t="s">
        <v>46</v>
      </c>
      <c r="G634" t="s">
        <v>36</v>
      </c>
      <c r="H634" s="20" t="s">
        <v>64</v>
      </c>
      <c r="I634" t="s">
        <v>65</v>
      </c>
      <c r="J634" s="30">
        <v>25</v>
      </c>
      <c r="K634" s="22">
        <f>IF(I634="","",IF(I634="ENTRADA",ABS(J634),-ABS(J634)))</f>
        <v>-25</v>
      </c>
      <c r="L634" t="s">
        <v>37</v>
      </c>
      <c r="N634">
        <v>65214</v>
      </c>
      <c r="O634" t="s">
        <v>218</v>
      </c>
      <c r="P634">
        <v>1944</v>
      </c>
      <c r="Q634" s="47">
        <v>46293</v>
      </c>
      <c r="R634" s="22" t="str">
        <f>IF(H634="","",H634&amp;I634)</f>
        <v>260401-004SALIDA</v>
      </c>
      <c r="S634" s="22" t="str">
        <f>IF(C634="","",C634&amp;I634)</f>
        <v>PresideSALIDA</v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960</v>
      </c>
      <c r="B635" s="47">
        <v>46282</v>
      </c>
      <c r="C635" t="s">
        <v>59</v>
      </c>
      <c r="D635" t="s">
        <v>60</v>
      </c>
      <c r="E635" t="s">
        <v>34</v>
      </c>
      <c r="F635" t="s">
        <v>35</v>
      </c>
      <c r="H635" s="20" t="s">
        <v>68</v>
      </c>
      <c r="I635" t="s">
        <v>65</v>
      </c>
      <c r="J635" s="30">
        <v>50</v>
      </c>
      <c r="K635" s="22">
        <f>IF(I635="","",IF(I635="ENTRADA",ABS(J635),-ABS(J635)))</f>
        <v>-50</v>
      </c>
      <c r="L635" t="s">
        <v>37</v>
      </c>
      <c r="N635">
        <v>65214</v>
      </c>
      <c r="O635" t="s">
        <v>218</v>
      </c>
      <c r="P635">
        <v>1944</v>
      </c>
      <c r="Q635" s="47">
        <v>46293</v>
      </c>
      <c r="R635" s="22" t="str">
        <f>IF(H635="","",H635&amp;I635)</f>
        <v>260401-008SALIDA</v>
      </c>
      <c r="S635" s="22" t="str">
        <f>IF(C635="","",C635&amp;I635)</f>
        <v>Venceweed extraSALIDA</v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961</v>
      </c>
      <c r="B636" s="47">
        <v>46282</v>
      </c>
      <c r="C636" t="s">
        <v>90</v>
      </c>
      <c r="D636" t="s">
        <v>91</v>
      </c>
      <c r="E636" t="s">
        <v>34</v>
      </c>
      <c r="F636" t="s">
        <v>35</v>
      </c>
      <c r="G636" t="s">
        <v>36</v>
      </c>
      <c r="H636" s="20" t="s">
        <v>375</v>
      </c>
      <c r="I636" t="s">
        <v>65</v>
      </c>
      <c r="J636" s="30">
        <v>25</v>
      </c>
      <c r="K636" s="22">
        <f>IF(I636="","",IF(I636="ENTRADA",ABS(J636),-ABS(J636)))</f>
        <v>-25</v>
      </c>
      <c r="L636" t="s">
        <v>37</v>
      </c>
      <c r="N636">
        <v>65214</v>
      </c>
      <c r="O636" t="s">
        <v>218</v>
      </c>
      <c r="P636">
        <v>1944</v>
      </c>
      <c r="Q636" s="47">
        <v>46293</v>
      </c>
      <c r="R636" s="22" t="str">
        <f>IF(H636="","",H636&amp;I636)</f>
        <v>260405-132SALIDA</v>
      </c>
      <c r="S636" s="22" t="str">
        <f>IF(C636="","",C636&amp;I636)</f>
        <v>PixxaroSALIDA</v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962</v>
      </c>
      <c r="B637" s="47">
        <v>46281</v>
      </c>
      <c r="C637" s="34" t="s">
        <v>635</v>
      </c>
      <c r="D637" s="34" t="s">
        <v>631</v>
      </c>
      <c r="E637" s="34" t="s">
        <v>25</v>
      </c>
      <c r="F637" s="34" t="s">
        <v>632</v>
      </c>
      <c r="G637" s="34" t="s">
        <v>158</v>
      </c>
      <c r="H637" s="20" t="s">
        <v>825</v>
      </c>
      <c r="I637" s="34" t="s">
        <v>65</v>
      </c>
      <c r="J637" s="30">
        <v>1</v>
      </c>
      <c r="K637" s="22">
        <f>IF(I637="","",IF(I637="ENTRADA",ABS(J637),-ABS(J637)))</f>
        <v>-1</v>
      </c>
      <c r="L637" s="34" t="s">
        <v>633</v>
      </c>
      <c r="M637" s="34"/>
      <c r="N637">
        <v>65215</v>
      </c>
      <c r="O637" s="34" t="s">
        <v>382</v>
      </c>
      <c r="P637" s="34">
        <v>1945</v>
      </c>
      <c r="Q637" s="47">
        <v>46293</v>
      </c>
      <c r="R637" s="22" t="str">
        <f>IF(H637="","",H637&amp;I637)</f>
        <v>260617-374SALIDA</v>
      </c>
      <c r="S637" s="22" t="str">
        <f>IF(C637="","",C637&amp;I637)</f>
        <v>semilla maiz DK 72-10 RR2C5 refugioSALIDA</v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963</v>
      </c>
      <c r="B638" s="47">
        <v>46283</v>
      </c>
      <c r="C638" t="s">
        <v>514</v>
      </c>
      <c r="D638" t="s">
        <v>515</v>
      </c>
      <c r="E638" t="s">
        <v>516</v>
      </c>
      <c r="G638" t="s">
        <v>117</v>
      </c>
      <c r="H638" s="20" t="s">
        <v>665</v>
      </c>
      <c r="I638" t="s">
        <v>65</v>
      </c>
      <c r="J638" s="30">
        <v>190</v>
      </c>
      <c r="K638" s="22">
        <f>IF(I638="","",IF(I638="ENTRADA",ABS(J638),-ABS(J638)))</f>
        <v>-190</v>
      </c>
      <c r="L638" t="s">
        <v>37</v>
      </c>
      <c r="N638">
        <v>65217</v>
      </c>
      <c r="O638" t="s">
        <v>218</v>
      </c>
      <c r="P638">
        <v>1943</v>
      </c>
      <c r="Q638" s="47">
        <v>46293</v>
      </c>
      <c r="R638" s="22" t="str">
        <f>IF(H638="","",H638&amp;I638)</f>
        <v>260730-396SALIDA</v>
      </c>
      <c r="S638" s="22" t="str">
        <f>IF(C638="","",C638&amp;I638)</f>
        <v>Unico MaxSALIDA</v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964</v>
      </c>
      <c r="B639" s="47">
        <v>46283</v>
      </c>
      <c r="C639" t="s">
        <v>630</v>
      </c>
      <c r="D639" t="s">
        <v>631</v>
      </c>
      <c r="E639" t="s">
        <v>25</v>
      </c>
      <c r="F639" t="s">
        <v>632</v>
      </c>
      <c r="G639" t="s">
        <v>158</v>
      </c>
      <c r="H639" s="20" t="s">
        <v>948</v>
      </c>
      <c r="I639" t="s">
        <v>28</v>
      </c>
      <c r="J639" s="30">
        <v>215</v>
      </c>
      <c r="K639" s="22">
        <f>IF(I639="","",IF(I639="ENTRADA",ABS(J639),-ABS(J639)))</f>
        <v>215</v>
      </c>
      <c r="L639" t="s">
        <v>633</v>
      </c>
      <c r="N639">
        <v>36037</v>
      </c>
      <c r="P639">
        <v>15203</v>
      </c>
      <c r="Q639" s="35">
        <v>46293</v>
      </c>
      <c r="R639" s="22" t="str">
        <f>IF(H639="","",H639&amp;I639)</f>
        <v>260917-627ENTRADA</v>
      </c>
      <c r="S639" s="22" t="str">
        <f>IF(C639="","",C639&amp;I639)</f>
        <v>semilla maiz DK 69-62 TREENTRADA</v>
      </c>
      <c r="T639" t="str">
        <f>IF(OR(C639="",I639&lt;&gt;"ENTRADA"),"",TEXT(B639,"AAMMDD")&amp;"-"&amp;TEXT(VALUE(SUBSTITUTE(A639,"MOV-","")),"000"))</f>
        <v>260918-641</v>
      </c>
    </row>
    <row r="640" spans="1:20">
      <c r="A640" s="20" t="s">
        <v>965</v>
      </c>
      <c r="B640" s="47">
        <v>46283</v>
      </c>
      <c r="C640" t="s">
        <v>637</v>
      </c>
      <c r="D640" t="s">
        <v>631</v>
      </c>
      <c r="E640" t="s">
        <v>25</v>
      </c>
      <c r="F640" t="s">
        <v>632</v>
      </c>
      <c r="G640" t="s">
        <v>158</v>
      </c>
      <c r="H640" s="20" t="s">
        <v>966</v>
      </c>
      <c r="I640" t="s">
        <v>28</v>
      </c>
      <c r="J640" s="30">
        <v>168</v>
      </c>
      <c r="K640" s="22">
        <f>IF(I640="","",IF(I640="ENTRADA",ABS(J640),-ABS(J640)))</f>
        <v>168</v>
      </c>
      <c r="L640" t="s">
        <v>633</v>
      </c>
      <c r="N640">
        <v>36044</v>
      </c>
      <c r="P640">
        <v>15201</v>
      </c>
      <c r="Q640" s="35">
        <v>46293</v>
      </c>
      <c r="R640" s="22" t="str">
        <f>IF(H640="","",H640&amp;I640)</f>
        <v>260617-375ENTRADA</v>
      </c>
      <c r="S640" s="22" t="str">
        <f>IF(C640="","",C640&amp;I640)</f>
        <v>semilla maiz DK 73-03 TREENTRADA</v>
      </c>
      <c r="T640" t="str">
        <f>IF(OR(C640="",I640&lt;&gt;"ENTRADA"),"",TEXT(B640,"AAMMDD")&amp;"-"&amp;TEXT(VALUE(SUBSTITUTE(A640,"MOV-","")),"000"))</f>
        <v>260918-642</v>
      </c>
    </row>
    <row r="641" spans="1:20">
      <c r="A641" s="20" t="s">
        <v>967</v>
      </c>
      <c r="B641" s="47">
        <v>46283</v>
      </c>
      <c r="C641" t="s">
        <v>630</v>
      </c>
      <c r="D641" t="s">
        <v>631</v>
      </c>
      <c r="E641" t="s">
        <v>25</v>
      </c>
      <c r="F641" t="s">
        <v>632</v>
      </c>
      <c r="G641" t="s">
        <v>158</v>
      </c>
      <c r="H641" s="20" t="s">
        <v>948</v>
      </c>
      <c r="I641" t="s">
        <v>28</v>
      </c>
      <c r="J641" s="30">
        <v>78</v>
      </c>
      <c r="K641" s="22">
        <f>IF(I641="","",IF(I641="ENTRADA",ABS(J641),-ABS(J641)))</f>
        <v>78</v>
      </c>
      <c r="L641" t="s">
        <v>633</v>
      </c>
      <c r="N641">
        <v>36044</v>
      </c>
      <c r="P641">
        <v>15201</v>
      </c>
      <c r="Q641" s="35">
        <v>46293</v>
      </c>
      <c r="R641" s="22" t="str">
        <f>IF(H641="","",H641&amp;I641)</f>
        <v>260917-627ENTRADA</v>
      </c>
      <c r="S641" s="22" t="str">
        <f>IF(C641="","",C641&amp;I641)</f>
        <v>semilla maiz DK 69-62 TREENTRADA</v>
      </c>
      <c r="T641" t="str">
        <f>IF(OR(C641="",I641&lt;&gt;"ENTRADA"),"",TEXT(B641,"AAMMDD")&amp;"-"&amp;TEXT(VALUE(SUBSTITUTE(A641,"MOV-","")),"000"))</f>
        <v>260918-643</v>
      </c>
    </row>
    <row r="642" spans="1:20">
      <c r="A642" s="20" t="s">
        <v>968</v>
      </c>
      <c r="B642" s="47">
        <v>46283</v>
      </c>
      <c r="C642" t="s">
        <v>771</v>
      </c>
      <c r="D642" t="s">
        <v>772</v>
      </c>
      <c r="E642" t="s">
        <v>34</v>
      </c>
      <c r="F642" t="s">
        <v>35</v>
      </c>
      <c r="G642" t="s">
        <v>773</v>
      </c>
      <c r="H642" s="20" t="s">
        <v>830</v>
      </c>
      <c r="I642" t="s">
        <v>65</v>
      </c>
      <c r="J642" s="30">
        <v>80</v>
      </c>
      <c r="K642" s="22">
        <f>IF(I642="","",IF(I642="ENTRADA",ABS(J642),-ABS(J642)))</f>
        <v>-80</v>
      </c>
      <c r="L642" t="s">
        <v>385</v>
      </c>
      <c r="N642">
        <v>65218</v>
      </c>
      <c r="O642" t="s">
        <v>213</v>
      </c>
      <c r="P642">
        <v>1946</v>
      </c>
      <c r="Q642" s="35">
        <v>46293</v>
      </c>
      <c r="R642" s="22" t="str">
        <f>IF(H642="","",H642&amp;I642)</f>
        <v>260826-484SALIDA</v>
      </c>
      <c r="S642" s="22" t="str">
        <f>IF(C642="","",C642&amp;I642)</f>
        <v>Paraquat SALIDA</v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969</v>
      </c>
      <c r="B643" s="47">
        <v>46283</v>
      </c>
      <c r="C643" t="s">
        <v>944</v>
      </c>
      <c r="D643" t="s">
        <v>945</v>
      </c>
      <c r="E643" t="s">
        <v>516</v>
      </c>
      <c r="G643" t="s">
        <v>779</v>
      </c>
      <c r="H643" s="20" t="s">
        <v>970</v>
      </c>
      <c r="I643" t="s">
        <v>65</v>
      </c>
      <c r="J643" s="30">
        <v>24</v>
      </c>
      <c r="K643" s="22">
        <f>IF(I643="","",IF(I643="ENTRADA",ABS(J643),-ABS(J643)))</f>
        <v>-24</v>
      </c>
      <c r="L643" t="s">
        <v>56</v>
      </c>
      <c r="N643">
        <v>65218</v>
      </c>
      <c r="O643" t="s">
        <v>213</v>
      </c>
      <c r="P643">
        <v>1946</v>
      </c>
      <c r="Q643" s="35">
        <v>46293</v>
      </c>
      <c r="R643" s="22" t="str">
        <f>IF(H643="","",H643&amp;I643)</f>
        <v>260917-626SALIDA</v>
      </c>
      <c r="S643" s="22" t="str">
        <f>IF(C643="","",C643&amp;I643)</f>
        <v>Miravis triple packSALIDA</v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971</v>
      </c>
      <c r="B644" s="47">
        <v>46286</v>
      </c>
      <c r="C644" t="s">
        <v>115</v>
      </c>
      <c r="D644" t="s">
        <v>116</v>
      </c>
      <c r="E644" t="s">
        <v>34</v>
      </c>
      <c r="F644" t="s">
        <v>35</v>
      </c>
      <c r="G644" t="s">
        <v>117</v>
      </c>
      <c r="H644" s="20" t="s">
        <v>813</v>
      </c>
      <c r="I644" t="s">
        <v>65</v>
      </c>
      <c r="J644" s="30">
        <v>820</v>
      </c>
      <c r="K644" s="22">
        <f>IF(I644="","",IF(I644="ENTRADA",ABS(J644),-ABS(J644)))</f>
        <v>-820</v>
      </c>
      <c r="L644" t="s">
        <v>37</v>
      </c>
      <c r="N644">
        <v>65226</v>
      </c>
      <c r="O644" t="s">
        <v>213</v>
      </c>
      <c r="P644">
        <v>1948</v>
      </c>
      <c r="Q644" s="47">
        <v>46294</v>
      </c>
      <c r="R644" s="22" t="str">
        <f>IF(H644="","",H644&amp;I644)</f>
        <v>260910-622SALIDA</v>
      </c>
      <c r="S644" s="22" t="str">
        <f>IF(C644="","",C644&amp;I644)</f>
        <v>AzukaSALIDA</v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972</v>
      </c>
      <c r="B645" s="47">
        <v>46286</v>
      </c>
      <c r="C645" t="s">
        <v>122</v>
      </c>
      <c r="D645" t="s">
        <v>123</v>
      </c>
      <c r="E645" t="s">
        <v>34</v>
      </c>
      <c r="F645" t="s">
        <v>35</v>
      </c>
      <c r="G645" t="s">
        <v>117</v>
      </c>
      <c r="H645" s="20" t="s">
        <v>939</v>
      </c>
      <c r="I645" t="s">
        <v>65</v>
      </c>
      <c r="J645" s="30">
        <v>110</v>
      </c>
      <c r="K645" s="22">
        <f>IF(I645="","",IF(I645="ENTRADA",ABS(J645),-ABS(J645)))</f>
        <v>-110</v>
      </c>
      <c r="L645" t="s">
        <v>37</v>
      </c>
      <c r="N645">
        <v>65226</v>
      </c>
      <c r="O645" t="s">
        <v>213</v>
      </c>
      <c r="P645">
        <v>1948</v>
      </c>
      <c r="Q645" s="47">
        <v>46294</v>
      </c>
      <c r="R645" s="22" t="str">
        <f>IF(H645="","",H645&amp;I645)</f>
        <v>260727-380SALIDA</v>
      </c>
      <c r="S645" s="22" t="str">
        <f>IF(C645="","",C645&amp;I645)</f>
        <v>PardoSALIDA</v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973</v>
      </c>
      <c r="B646" s="47">
        <v>46286</v>
      </c>
      <c r="C646" t="s">
        <v>130</v>
      </c>
      <c r="D646" t="s">
        <v>131</v>
      </c>
      <c r="E646" t="s">
        <v>132</v>
      </c>
      <c r="G646" t="s">
        <v>133</v>
      </c>
      <c r="H646" s="20" t="s">
        <v>221</v>
      </c>
      <c r="I646" t="s">
        <v>65</v>
      </c>
      <c r="J646" s="30">
        <v>30</v>
      </c>
      <c r="K646" s="22">
        <f>IF(I646="","",IF(I646="ENTRADA",ABS(J646),-ABS(J646)))</f>
        <v>-30</v>
      </c>
      <c r="L646" t="s">
        <v>37</v>
      </c>
      <c r="N646">
        <v>65226</v>
      </c>
      <c r="O646" t="s">
        <v>213</v>
      </c>
      <c r="P646">
        <v>1948</v>
      </c>
      <c r="Q646" s="47">
        <v>46294</v>
      </c>
      <c r="R646" s="22" t="str">
        <f>IF(H646="","",H646&amp;I646)</f>
        <v>260414-029SALIDA</v>
      </c>
      <c r="S646" s="22" t="str">
        <f>IF(C646="","",C646&amp;I646)</f>
        <v>HarrierSALIDA</v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974</v>
      </c>
      <c r="B647" s="47">
        <v>46286</v>
      </c>
      <c r="C647" t="s">
        <v>137</v>
      </c>
      <c r="D647" t="s">
        <v>138</v>
      </c>
      <c r="E647" t="s">
        <v>132</v>
      </c>
      <c r="G647" t="s">
        <v>133</v>
      </c>
      <c r="H647" s="20" t="s">
        <v>211</v>
      </c>
      <c r="I647" t="s">
        <v>65</v>
      </c>
      <c r="J647" s="30">
        <v>7</v>
      </c>
      <c r="K647" s="22">
        <f>IF(I647="","",IF(I647="ENTRADA",ABS(J647),-ABS(J647)))</f>
        <v>-7</v>
      </c>
      <c r="L647" t="s">
        <v>37</v>
      </c>
      <c r="N647">
        <v>65226</v>
      </c>
      <c r="O647" t="s">
        <v>213</v>
      </c>
      <c r="P647">
        <v>1948</v>
      </c>
      <c r="Q647" s="47">
        <v>46294</v>
      </c>
      <c r="R647" s="22" t="str">
        <f>IF(H647="","",H647&amp;I647)</f>
        <v>260414-030SALIDA</v>
      </c>
      <c r="S647" s="22" t="str">
        <f>IF(C647="","",C647&amp;I647)</f>
        <v>Full controlSALIDA</v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975</v>
      </c>
      <c r="B648" s="47">
        <v>46286</v>
      </c>
      <c r="C648" t="s">
        <v>630</v>
      </c>
      <c r="D648" s="34" t="s">
        <v>631</v>
      </c>
      <c r="E648" s="34" t="s">
        <v>25</v>
      </c>
      <c r="F648" s="34" t="s">
        <v>632</v>
      </c>
      <c r="G648" s="34" t="s">
        <v>158</v>
      </c>
      <c r="H648" s="20" t="s">
        <v>948</v>
      </c>
      <c r="I648" s="34" t="s">
        <v>65</v>
      </c>
      <c r="J648" s="30">
        <v>210</v>
      </c>
      <c r="K648" s="22">
        <f>IF(I648="","",IF(I648="ENTRADA",ABS(J648),-ABS(J648)))</f>
        <v>-210</v>
      </c>
      <c r="L648" s="34" t="s">
        <v>633</v>
      </c>
      <c r="M648" s="34"/>
      <c r="N648">
        <v>65227</v>
      </c>
      <c r="O648" s="34" t="s">
        <v>213</v>
      </c>
      <c r="P648" s="34">
        <v>1948</v>
      </c>
      <c r="Q648" s="47">
        <v>46294</v>
      </c>
      <c r="R648" s="22" t="str">
        <f>IF(H648="","",H648&amp;I648)</f>
        <v>260917-627SALIDA</v>
      </c>
      <c r="S648" s="22" t="str">
        <f>IF(C648="","",C648&amp;I648)</f>
        <v>semilla maiz DK 69-62 TRESALIDA</v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976</v>
      </c>
      <c r="B649" s="47">
        <v>46286</v>
      </c>
      <c r="C649" t="s">
        <v>630</v>
      </c>
      <c r="D649" t="s">
        <v>631</v>
      </c>
      <c r="E649" t="s">
        <v>25</v>
      </c>
      <c r="F649" t="s">
        <v>632</v>
      </c>
      <c r="G649" t="s">
        <v>158</v>
      </c>
      <c r="H649" s="20" t="s">
        <v>948</v>
      </c>
      <c r="I649" t="s">
        <v>28</v>
      </c>
      <c r="J649" s="30">
        <v>9</v>
      </c>
      <c r="K649" s="22">
        <f>IF(I649="","",IF(I649="ENTRADA",ABS(J649),-ABS(J649)))</f>
        <v>9</v>
      </c>
      <c r="L649" t="s">
        <v>633</v>
      </c>
      <c r="N649">
        <v>36105</v>
      </c>
      <c r="P649">
        <v>15200</v>
      </c>
      <c r="Q649" s="47">
        <v>46293</v>
      </c>
      <c r="R649" s="22" t="str">
        <f>IF(H649="","",H649&amp;I649)</f>
        <v>260917-627ENTRADA</v>
      </c>
      <c r="S649" s="22" t="str">
        <f>IF(C649="","",C649&amp;I649)</f>
        <v>semilla maiz DK 69-62 TREENTRADA</v>
      </c>
      <c r="T649" t="str">
        <f>IF(OR(C649="",I649&lt;&gt;"ENTRADA"),"",TEXT(B649,"AAMMDD")&amp;"-"&amp;TEXT(VALUE(SUBSTITUTE(A649,"MOV-","")),"000"))</f>
        <v>260921-651</v>
      </c>
    </row>
    <row r="650" spans="1:20">
      <c r="A650" s="20" t="s">
        <v>977</v>
      </c>
      <c r="B650" s="47">
        <v>46286</v>
      </c>
      <c r="C650" t="s">
        <v>637</v>
      </c>
      <c r="D650" t="s">
        <v>631</v>
      </c>
      <c r="E650" t="s">
        <v>25</v>
      </c>
      <c r="F650" t="s">
        <v>632</v>
      </c>
      <c r="G650" t="s">
        <v>158</v>
      </c>
      <c r="H650" s="20" t="s">
        <v>966</v>
      </c>
      <c r="I650" t="s">
        <v>28</v>
      </c>
      <c r="J650" s="30">
        <v>211</v>
      </c>
      <c r="K650" s="22">
        <f>IF(I650="","",IF(I650="ENTRADA",ABS(J650),-ABS(J650)))</f>
        <v>211</v>
      </c>
      <c r="L650" t="s">
        <v>633</v>
      </c>
      <c r="N650">
        <v>36105</v>
      </c>
      <c r="P650">
        <v>15200</v>
      </c>
      <c r="Q650" s="47">
        <v>46293</v>
      </c>
      <c r="R650" s="22" t="str">
        <f>IF(H650="","",H650&amp;I650)</f>
        <v>260617-375ENTRADA</v>
      </c>
      <c r="S650" s="22" t="str">
        <f>IF(C650="","",C650&amp;I650)</f>
        <v>semilla maiz DK 73-03 TREENTRADA</v>
      </c>
      <c r="T650" t="str">
        <f>IF(OR(C650="",I650&lt;&gt;"ENTRADA"),"",TEXT(B650,"AAMMDD")&amp;"-"&amp;TEXT(VALUE(SUBSTITUTE(A650,"MOV-","")),"000"))</f>
        <v>260921-652</v>
      </c>
    </row>
    <row r="651" spans="1:20">
      <c r="A651" s="20" t="s">
        <v>978</v>
      </c>
      <c r="B651" s="47">
        <v>46287</v>
      </c>
      <c r="C651" t="s">
        <v>630</v>
      </c>
      <c r="D651" t="s">
        <v>631</v>
      </c>
      <c r="E651" t="s">
        <v>25</v>
      </c>
      <c r="F651" t="s">
        <v>632</v>
      </c>
      <c r="G651" t="s">
        <v>158</v>
      </c>
      <c r="H651" s="20" t="s">
        <v>948</v>
      </c>
      <c r="I651" t="s">
        <v>65</v>
      </c>
      <c r="J651" s="30">
        <v>10</v>
      </c>
      <c r="K651" s="22">
        <f>IF(I651="","",IF(I651="ENTRADA",ABS(J651),-ABS(J651)))</f>
        <v>-10</v>
      </c>
      <c r="L651" t="s">
        <v>633</v>
      </c>
      <c r="N651">
        <v>65222</v>
      </c>
      <c r="O651" t="s">
        <v>237</v>
      </c>
      <c r="P651">
        <v>1947</v>
      </c>
      <c r="Q651" s="47">
        <v>46293</v>
      </c>
      <c r="R651" s="22" t="str">
        <f>IF(H651="","",H651&amp;I651)</f>
        <v>260917-627SALIDA</v>
      </c>
      <c r="S651" s="22" t="str">
        <f>IF(C651="","",C651&amp;I651)</f>
        <v>semilla maiz DK 69-62 TRESALIDA</v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979</v>
      </c>
      <c r="B652" s="47">
        <v>46287</v>
      </c>
      <c r="C652" t="s">
        <v>951</v>
      </c>
      <c r="D652" t="s">
        <v>952</v>
      </c>
      <c r="E652" t="s">
        <v>25</v>
      </c>
      <c r="F652" t="s">
        <v>632</v>
      </c>
      <c r="G652" t="s">
        <v>158</v>
      </c>
      <c r="H652" s="20" t="s">
        <v>980</v>
      </c>
      <c r="I652" t="s">
        <v>65</v>
      </c>
      <c r="J652" s="30">
        <v>10</v>
      </c>
      <c r="K652" s="22">
        <f>IF(I652="","",IF(I652="ENTRADA",ABS(J652),-ABS(J652)))</f>
        <v>-10</v>
      </c>
      <c r="L652" t="s">
        <v>633</v>
      </c>
      <c r="N652">
        <v>65222</v>
      </c>
      <c r="O652" t="s">
        <v>237</v>
      </c>
      <c r="P652">
        <v>1947</v>
      </c>
      <c r="Q652" s="47">
        <v>46293</v>
      </c>
      <c r="R652" s="22" t="str">
        <f>IF(H652="","",H652&amp;I652)</f>
        <v>260918-630SALIDA</v>
      </c>
      <c r="S652" s="22" t="str">
        <f>IF(C652="","",C652&amp;I652)</f>
        <v>refugio dk 72-72 RR2SALIDA</v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981</v>
      </c>
      <c r="B653" s="47">
        <v>46287</v>
      </c>
      <c r="C653" t="s">
        <v>141</v>
      </c>
      <c r="D653" t="s">
        <v>142</v>
      </c>
      <c r="E653" t="s">
        <v>132</v>
      </c>
      <c r="G653" t="s">
        <v>133</v>
      </c>
      <c r="H653" s="20" t="s">
        <v>750</v>
      </c>
      <c r="I653" t="s">
        <v>65</v>
      </c>
      <c r="J653" s="30">
        <v>15</v>
      </c>
      <c r="K653" s="22">
        <f>IF(I653="","",IF(I653="ENTRADA",ABS(J653),-ABS(J653)))</f>
        <v>-15</v>
      </c>
      <c r="L653" t="s">
        <v>37</v>
      </c>
      <c r="N653">
        <v>65222</v>
      </c>
      <c r="O653" t="s">
        <v>237</v>
      </c>
      <c r="P653">
        <v>1947</v>
      </c>
      <c r="Q653" s="47">
        <v>46293</v>
      </c>
      <c r="R653" s="22" t="str">
        <f>IF(H653="","",H653&amp;I653)</f>
        <v>260827-473SALIDA</v>
      </c>
      <c r="S653" s="22" t="str">
        <f>IF(C653="","",C653&amp;I653)</f>
        <v>Maxi DropSALIDA</v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982</v>
      </c>
      <c r="B654" s="47">
        <v>46287</v>
      </c>
      <c r="C654" t="s">
        <v>130</v>
      </c>
      <c r="D654" t="s">
        <v>131</v>
      </c>
      <c r="E654" t="s">
        <v>132</v>
      </c>
      <c r="G654" t="s">
        <v>133</v>
      </c>
      <c r="H654" s="20" t="s">
        <v>221</v>
      </c>
      <c r="I654" t="s">
        <v>65</v>
      </c>
      <c r="J654" s="30">
        <v>80</v>
      </c>
      <c r="K654" s="22">
        <f>IF(I654="","",IF(I654="ENTRADA",ABS(J654),-ABS(J654)))</f>
        <v>-80</v>
      </c>
      <c r="L654" t="s">
        <v>37</v>
      </c>
      <c r="N654">
        <v>65222</v>
      </c>
      <c r="O654" t="s">
        <v>237</v>
      </c>
      <c r="P654">
        <v>1947</v>
      </c>
      <c r="Q654" s="47">
        <v>46293</v>
      </c>
      <c r="R654" s="22" t="str">
        <f>IF(H654="","",H654&amp;I654)</f>
        <v>260414-029SALIDA</v>
      </c>
      <c r="S654" s="22" t="str">
        <f>IF(C654="","",C654&amp;I654)</f>
        <v>HarrierSALIDA</v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983</v>
      </c>
      <c r="B655" s="47">
        <v>46287</v>
      </c>
      <c r="C655" t="s">
        <v>137</v>
      </c>
      <c r="D655" t="s">
        <v>138</v>
      </c>
      <c r="E655" t="s">
        <v>132</v>
      </c>
      <c r="G655" t="s">
        <v>133</v>
      </c>
      <c r="H655" s="20" t="s">
        <v>211</v>
      </c>
      <c r="I655" t="s">
        <v>65</v>
      </c>
      <c r="J655" s="30">
        <v>15</v>
      </c>
      <c r="K655" s="22">
        <f>IF(I655="","",IF(I655="ENTRADA",ABS(J655),-ABS(J655)))</f>
        <v>-15</v>
      </c>
      <c r="L655" t="s">
        <v>37</v>
      </c>
      <c r="N655">
        <v>65222</v>
      </c>
      <c r="O655" t="s">
        <v>237</v>
      </c>
      <c r="P655">
        <v>1947</v>
      </c>
      <c r="Q655" s="47">
        <v>46293</v>
      </c>
      <c r="R655" s="22" t="str">
        <f>IF(H655="","",H655&amp;I655)</f>
        <v>260414-030SALIDA</v>
      </c>
      <c r="S655" s="22" t="str">
        <f>IF(C655="","",C655&amp;I655)</f>
        <v>Full controlSALIDA</v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984</v>
      </c>
      <c r="B656" s="47">
        <v>46287</v>
      </c>
      <c r="C656" t="s">
        <v>115</v>
      </c>
      <c r="D656" t="s">
        <v>116</v>
      </c>
      <c r="E656" t="s">
        <v>34</v>
      </c>
      <c r="F656" t="s">
        <v>35</v>
      </c>
      <c r="G656" t="s">
        <v>117</v>
      </c>
      <c r="H656" s="20" t="s">
        <v>813</v>
      </c>
      <c r="I656" t="s">
        <v>65</v>
      </c>
      <c r="J656" s="30">
        <v>2300</v>
      </c>
      <c r="K656" s="22">
        <f>IF(I656="","",IF(I656="ENTRADA",ABS(J656),-ABS(J656)))</f>
        <v>-2300</v>
      </c>
      <c r="L656" t="s">
        <v>37</v>
      </c>
      <c r="N656">
        <v>65224</v>
      </c>
      <c r="O656" t="s">
        <v>387</v>
      </c>
      <c r="P656">
        <v>1951</v>
      </c>
      <c r="Q656" s="47">
        <v>46294</v>
      </c>
      <c r="R656" s="22" t="str">
        <f>IF(H656="","",H656&amp;I656)</f>
        <v>260910-622SALIDA</v>
      </c>
      <c r="S656" s="22" t="str">
        <f>IF(C656="","",C656&amp;I656)</f>
        <v>AzukaSALIDA</v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985</v>
      </c>
      <c r="B657" s="47">
        <v>46287</v>
      </c>
      <c r="C657" t="s">
        <v>941</v>
      </c>
      <c r="D657" t="s">
        <v>942</v>
      </c>
      <c r="E657" t="s">
        <v>34</v>
      </c>
      <c r="F657" t="s">
        <v>35</v>
      </c>
      <c r="G657" t="s">
        <v>36</v>
      </c>
      <c r="H657" s="20" t="s">
        <v>954</v>
      </c>
      <c r="I657" t="s">
        <v>65</v>
      </c>
      <c r="J657" s="30">
        <v>1900</v>
      </c>
      <c r="K657" s="22">
        <f>IF(I657="","",IF(I657="ENTRADA",ABS(J657),-ABS(J657)))</f>
        <v>-1900</v>
      </c>
      <c r="L657" t="s">
        <v>37</v>
      </c>
      <c r="N657">
        <v>65224</v>
      </c>
      <c r="O657" t="s">
        <v>387</v>
      </c>
      <c r="P657">
        <v>1951</v>
      </c>
      <c r="Q657" s="47">
        <v>46294</v>
      </c>
      <c r="R657" s="22" t="str">
        <f>IF(H657="","",H657&amp;I657)</f>
        <v>260915-625SALIDA</v>
      </c>
      <c r="S657" s="22" t="str">
        <f>IF(C657="","",C657&amp;I657)</f>
        <v>yescaSALIDA</v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986</v>
      </c>
      <c r="B658" s="47">
        <v>46287</v>
      </c>
      <c r="C658" t="s">
        <v>130</v>
      </c>
      <c r="D658" t="s">
        <v>131</v>
      </c>
      <c r="E658" t="s">
        <v>132</v>
      </c>
      <c r="G658" t="s">
        <v>133</v>
      </c>
      <c r="H658" s="20" t="s">
        <v>221</v>
      </c>
      <c r="I658" t="s">
        <v>65</v>
      </c>
      <c r="J658" s="30">
        <v>140</v>
      </c>
      <c r="K658" s="22">
        <f>IF(I658="","",IF(I658="ENTRADA",ABS(J658),-ABS(J658)))</f>
        <v>-140</v>
      </c>
      <c r="L658" t="s">
        <v>37</v>
      </c>
      <c r="N658">
        <v>65224</v>
      </c>
      <c r="O658" t="s">
        <v>387</v>
      </c>
      <c r="P658">
        <v>1951</v>
      </c>
      <c r="Q658" s="47">
        <v>46294</v>
      </c>
      <c r="R658" s="22" t="str">
        <f>IF(H658="","",H658&amp;I658)</f>
        <v>260414-029SALIDA</v>
      </c>
      <c r="S658" s="22" t="str">
        <f>IF(C658="","",C658&amp;I658)</f>
        <v>HarrierSALIDA</v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987</v>
      </c>
      <c r="B659" s="47">
        <v>46287</v>
      </c>
      <c r="C659" s="34" t="s">
        <v>137</v>
      </c>
      <c r="D659" s="34" t="s">
        <v>138</v>
      </c>
      <c r="E659" s="34" t="s">
        <v>132</v>
      </c>
      <c r="F659" s="34"/>
      <c r="G659" s="34" t="s">
        <v>133</v>
      </c>
      <c r="H659" s="20" t="s">
        <v>211</v>
      </c>
      <c r="I659" s="34" t="s">
        <v>65</v>
      </c>
      <c r="J659" s="30">
        <v>30</v>
      </c>
      <c r="K659" s="22">
        <f>IF(I659="","",IF(I659="ENTRADA",ABS(J659),-ABS(J659)))</f>
        <v>-30</v>
      </c>
      <c r="L659" s="34" t="s">
        <v>37</v>
      </c>
      <c r="M659" s="34"/>
      <c r="N659">
        <v>65224</v>
      </c>
      <c r="O659" s="34" t="s">
        <v>387</v>
      </c>
      <c r="P659">
        <v>1951</v>
      </c>
      <c r="Q659" s="47">
        <v>46294</v>
      </c>
      <c r="R659" s="22" t="str">
        <f>IF(H659="","",H659&amp;I659)</f>
        <v>260414-030SALIDA</v>
      </c>
      <c r="S659" s="22" t="str">
        <f>IF(C659="","",C659&amp;I659)</f>
        <v>Full controlSALIDA</v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988</v>
      </c>
      <c r="B660" s="47">
        <v>46282</v>
      </c>
      <c r="C660" t="s">
        <v>630</v>
      </c>
      <c r="D660" t="s">
        <v>631</v>
      </c>
      <c r="E660" t="s">
        <v>25</v>
      </c>
      <c r="F660" t="s">
        <v>632</v>
      </c>
      <c r="G660" t="s">
        <v>158</v>
      </c>
      <c r="H660" s="20" t="s">
        <v>948</v>
      </c>
      <c r="I660" t="s">
        <v>28</v>
      </c>
      <c r="J660" s="30">
        <v>4</v>
      </c>
      <c r="K660" s="22">
        <f>IF(I660="","",IF(I660="ENTRADA",ABS(J660),-ABS(J660)))</f>
        <v>4</v>
      </c>
      <c r="L660" t="s">
        <v>633</v>
      </c>
      <c r="N660">
        <v>65216</v>
      </c>
      <c r="O660" t="s">
        <v>382</v>
      </c>
      <c r="P660">
        <v>1962</v>
      </c>
      <c r="Q660" s="47">
        <v>46294</v>
      </c>
      <c r="R660" s="22" t="str">
        <f>IF(H660="","",H660&amp;I660)</f>
        <v>260917-627ENTRADA</v>
      </c>
      <c r="S660" s="22" t="str">
        <f>IF(C660="","",C660&amp;I660)</f>
        <v>semilla maiz DK 69-62 TREENTRADA</v>
      </c>
      <c r="T660" t="str">
        <f>IF(OR(C660="",I660&lt;&gt;"ENTRADA"),"",TEXT(B660,"AAMMDD")&amp;"-"&amp;TEXT(VALUE(SUBSTITUTE(A660,"MOV-","")),"000"))</f>
        <v>260917-662</v>
      </c>
    </row>
    <row r="661" spans="1:20">
      <c r="A661" s="20" t="s">
        <v>989</v>
      </c>
      <c r="B661" s="47">
        <v>46282</v>
      </c>
      <c r="C661" t="s">
        <v>990</v>
      </c>
      <c r="D661" t="s">
        <v>991</v>
      </c>
      <c r="E661" t="s">
        <v>25</v>
      </c>
      <c r="F661" t="s">
        <v>632</v>
      </c>
      <c r="G661" t="s">
        <v>36</v>
      </c>
      <c r="H661" s="20" t="str">
        <f>+T661</f>
        <v>260917-663</v>
      </c>
      <c r="I661" t="s">
        <v>28</v>
      </c>
      <c r="J661" s="30">
        <v>12</v>
      </c>
      <c r="K661" s="22">
        <f>IF(I661="","",IF(I661="ENTRADA",ABS(J661),-ABS(J661)))</f>
        <v>12</v>
      </c>
      <c r="L661" t="s">
        <v>633</v>
      </c>
      <c r="N661">
        <v>65216</v>
      </c>
      <c r="O661" t="s">
        <v>382</v>
      </c>
      <c r="P661">
        <v>1962</v>
      </c>
      <c r="Q661" s="47">
        <v>46294</v>
      </c>
      <c r="R661" s="22" t="str">
        <f>IF(H661="","",H661&amp;I661)</f>
        <v>260917-663ENTRADA</v>
      </c>
      <c r="S661" s="22" t="str">
        <f>IF(C661="","",C661&amp;I661)</f>
        <v>semilla comprada maiz P 2123 PwueENTRADA</v>
      </c>
      <c r="T661" t="str">
        <f>IF(OR(C661="",I661&lt;&gt;"ENTRADA"),"",TEXT(B661,"AAMMDD")&amp;"-"&amp;TEXT(VALUE(SUBSTITUTE(A661,"MOV-","")),"000"))</f>
        <v>260917-663</v>
      </c>
    </row>
    <row r="662" spans="1:20">
      <c r="A662" s="20" t="s">
        <v>992</v>
      </c>
      <c r="B662" s="47">
        <v>46287</v>
      </c>
      <c r="C662" t="s">
        <v>934</v>
      </c>
      <c r="D662" t="s">
        <v>935</v>
      </c>
      <c r="E662" t="s">
        <v>516</v>
      </c>
      <c r="G662" t="s">
        <v>36</v>
      </c>
      <c r="H662" s="20" t="s">
        <v>993</v>
      </c>
      <c r="I662" t="s">
        <v>65</v>
      </c>
      <c r="J662" s="30">
        <v>380</v>
      </c>
      <c r="K662" s="22">
        <f>IF(I662="","",IF(I662="ENTRADA",ABS(J662),-ABS(J662)))</f>
        <v>-380</v>
      </c>
      <c r="L662" t="s">
        <v>37</v>
      </c>
      <c r="N662">
        <v>65223</v>
      </c>
      <c r="O662" t="s">
        <v>66</v>
      </c>
      <c r="P662">
        <v>1953</v>
      </c>
      <c r="Q662" s="47">
        <v>46294</v>
      </c>
      <c r="R662" s="22" t="str">
        <f>IF(H662="","",H662&amp;I662)</f>
        <v>260914-621SALIDA</v>
      </c>
      <c r="S662" s="22" t="str">
        <f>IF(C663="","",C663&amp;I662)</f>
        <v>AzukaSALIDA</v>
      </c>
      <c r="T662" t="str">
        <f>IF(OR(C663="",I662&lt;&gt;"ENTRADA"),"",TEXT(B662,"AAMMDD")&amp;"-"&amp;TEXT(VALUE(SUBSTITUTE(A662,"MOV-","")),"000"))</f>
        <v/>
      </c>
    </row>
    <row r="663" spans="1:20">
      <c r="A663" s="20" t="s">
        <v>994</v>
      </c>
      <c r="B663" s="47">
        <v>46288</v>
      </c>
      <c r="C663" t="s">
        <v>115</v>
      </c>
      <c r="D663" t="s">
        <v>116</v>
      </c>
      <c r="E663" t="s">
        <v>34</v>
      </c>
      <c r="F663" t="s">
        <v>35</v>
      </c>
      <c r="G663" t="s">
        <v>117</v>
      </c>
      <c r="H663" s="20" t="s">
        <v>813</v>
      </c>
      <c r="I663" t="s">
        <v>65</v>
      </c>
      <c r="J663" s="30">
        <v>280</v>
      </c>
      <c r="K663" s="22">
        <f>IF(I663="","",IF(I663="ENTRADA",ABS(J663),-ABS(J663)))</f>
        <v>-280</v>
      </c>
      <c r="L663" t="s">
        <v>37</v>
      </c>
      <c r="N663">
        <v>65225</v>
      </c>
      <c r="O663" t="s">
        <v>382</v>
      </c>
      <c r="P663">
        <v>1952</v>
      </c>
      <c r="Q663" s="47">
        <v>46294</v>
      </c>
      <c r="R663" s="22" t="str">
        <f>IF(H663="","",H663&amp;I663)</f>
        <v>260910-622SALIDA</v>
      </c>
      <c r="S663" s="22" t="e">
        <f>IF(#REF!="","",#REF!&amp;I663)</f>
        <v>#REF!</v>
      </c>
      <c r="T663" t="e">
        <f>IF(OR(#REF!="",I663&lt;&gt;"ENTRADA"),"",TEXT(B663,"AAMMDD")&amp;"-"&amp;TEXT(VALUE(SUBSTITUTE(A663,"MOV-","")),"000"))</f>
        <v>#REF!</v>
      </c>
    </row>
    <row r="664" spans="1:20">
      <c r="A664" s="20" t="s">
        <v>995</v>
      </c>
      <c r="B664" s="47">
        <v>46288</v>
      </c>
      <c r="C664" t="s">
        <v>122</v>
      </c>
      <c r="D664" t="s">
        <v>123</v>
      </c>
      <c r="E664" t="s">
        <v>34</v>
      </c>
      <c r="F664" t="s">
        <v>35</v>
      </c>
      <c r="G664" t="s">
        <v>117</v>
      </c>
      <c r="H664" s="20" t="s">
        <v>203</v>
      </c>
      <c r="I664" t="s">
        <v>65</v>
      </c>
      <c r="J664" s="30">
        <v>50</v>
      </c>
      <c r="K664" s="22">
        <f>IF(I664="","",IF(I664="ENTRADA",ABS(J664),-ABS(J664)))</f>
        <v>-50</v>
      </c>
      <c r="L664" t="s">
        <v>37</v>
      </c>
      <c r="N664">
        <v>65225</v>
      </c>
      <c r="O664" t="s">
        <v>382</v>
      </c>
      <c r="P664">
        <v>1952</v>
      </c>
      <c r="Q664" s="47">
        <v>46294</v>
      </c>
      <c r="R664" s="22" t="str">
        <f>IF(H664="","",H664&amp;I664)</f>
        <v>260410-027SALIDA</v>
      </c>
      <c r="S664" s="22" t="str">
        <f>IF(C664="","",C664&amp;I664)</f>
        <v>PardoSALIDA</v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996</v>
      </c>
      <c r="B665" s="47">
        <v>46288</v>
      </c>
      <c r="C665" t="s">
        <v>637</v>
      </c>
      <c r="D665" t="s">
        <v>631</v>
      </c>
      <c r="E665" t="s">
        <v>25</v>
      </c>
      <c r="F665" t="s">
        <v>632</v>
      </c>
      <c r="G665" t="s">
        <v>158</v>
      </c>
      <c r="H665" s="20" t="s">
        <v>966</v>
      </c>
      <c r="I665" t="s">
        <v>65</v>
      </c>
      <c r="J665" s="30">
        <v>195</v>
      </c>
      <c r="K665" s="22">
        <f>IF(I665="","",IF(I665="ENTRADA",ABS(J665),-ABS(J665)))</f>
        <v>-195</v>
      </c>
      <c r="L665" t="s">
        <v>633</v>
      </c>
      <c r="N665">
        <v>65228</v>
      </c>
      <c r="O665" t="s">
        <v>218</v>
      </c>
      <c r="P665">
        <v>1950</v>
      </c>
      <c r="Q665" s="47">
        <v>46294</v>
      </c>
      <c r="R665" s="22" t="str">
        <f>IF(H665="","",H665&amp;I665)</f>
        <v>260617-375SALIDA</v>
      </c>
      <c r="S665" s="22" t="str">
        <f>IF(C665="","",C665&amp;I665)</f>
        <v>semilla maiz DK 73-03 TRESALIDA</v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997</v>
      </c>
      <c r="B666" s="47">
        <v>46288</v>
      </c>
      <c r="C666" t="s">
        <v>951</v>
      </c>
      <c r="D666" t="s">
        <v>952</v>
      </c>
      <c r="E666" t="s">
        <v>25</v>
      </c>
      <c r="F666" t="s">
        <v>632</v>
      </c>
      <c r="G666" t="s">
        <v>158</v>
      </c>
      <c r="H666" s="20" t="s">
        <v>980</v>
      </c>
      <c r="I666" t="s">
        <v>65</v>
      </c>
      <c r="J666" s="30">
        <v>20</v>
      </c>
      <c r="K666" s="22">
        <f>IF(I666="","",IF(I666="ENTRADA",ABS(J666),-ABS(J666)))</f>
        <v>-20</v>
      </c>
      <c r="L666" t="s">
        <v>633</v>
      </c>
      <c r="N666">
        <v>65228</v>
      </c>
      <c r="O666" t="s">
        <v>218</v>
      </c>
      <c r="P666">
        <v>1950</v>
      </c>
      <c r="Q666" s="47">
        <v>46294</v>
      </c>
      <c r="R666" s="22" t="str">
        <f>IF(H666="","",H666&amp;I666)</f>
        <v>260918-630SALIDA</v>
      </c>
      <c r="S666" s="22" t="str">
        <f>IF(C666="","",C666&amp;I666)</f>
        <v>refugio dk 72-72 RR2SALIDA</v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998</v>
      </c>
      <c r="B667" s="47">
        <v>46288</v>
      </c>
      <c r="C667" t="s">
        <v>630</v>
      </c>
      <c r="D667" t="s">
        <v>631</v>
      </c>
      <c r="E667" t="s">
        <v>25</v>
      </c>
      <c r="F667" t="s">
        <v>632</v>
      </c>
      <c r="G667" t="s">
        <v>158</v>
      </c>
      <c r="H667" s="20" t="s">
        <v>948</v>
      </c>
      <c r="I667" t="s">
        <v>28</v>
      </c>
      <c r="J667" s="30">
        <v>11</v>
      </c>
      <c r="K667" s="22">
        <f>IF(I667="","",IF(I667="ENTRADA",ABS(J667),-ABS(J667)))</f>
        <v>11</v>
      </c>
      <c r="L667" t="s">
        <v>633</v>
      </c>
      <c r="N667">
        <v>65229</v>
      </c>
      <c r="O667" t="s">
        <v>590</v>
      </c>
      <c r="P667">
        <v>1965</v>
      </c>
      <c r="Q667" s="47">
        <v>46295</v>
      </c>
      <c r="R667" s="22" t="str">
        <f>IF(H667="","",H667&amp;I667)</f>
        <v>260917-627ENTRADA</v>
      </c>
      <c r="S667" s="22" t="str">
        <f>IF(C667="","",C667&amp;I667)</f>
        <v>semilla maiz DK 69-62 TREENTRADA</v>
      </c>
      <c r="T667" t="str">
        <f>IF(OR(C667="",I667&lt;&gt;"ENTRADA"),"",TEXT(B667,"AAMMDD")&amp;"-"&amp;TEXT(VALUE(SUBSTITUTE(A667,"MOV-","")),"000"))</f>
        <v>260923-669</v>
      </c>
    </row>
    <row r="668" spans="1:20">
      <c r="A668" s="20" t="s">
        <v>999</v>
      </c>
      <c r="B668" s="47">
        <v>46289</v>
      </c>
      <c r="C668" t="s">
        <v>934</v>
      </c>
      <c r="D668" t="s">
        <v>935</v>
      </c>
      <c r="E668" t="s">
        <v>516</v>
      </c>
      <c r="G668" t="s">
        <v>36</v>
      </c>
      <c r="H668" s="20" t="s">
        <v>993</v>
      </c>
      <c r="I668" t="s">
        <v>65</v>
      </c>
      <c r="J668" s="30">
        <v>320</v>
      </c>
      <c r="K668" s="22">
        <f>IF(I668="","",IF(I668="ENTRADA",ABS(J668),-ABS(J668)))</f>
        <v>-320</v>
      </c>
      <c r="L668" t="s">
        <v>37</v>
      </c>
      <c r="N668">
        <v>65230</v>
      </c>
      <c r="O668" t="s">
        <v>309</v>
      </c>
      <c r="P668">
        <v>1954</v>
      </c>
      <c r="Q668" s="47">
        <v>46294</v>
      </c>
      <c r="R668" s="22" t="str">
        <f>IF(H668="","",H668&amp;I668)</f>
        <v>260914-621SALIDA</v>
      </c>
      <c r="S668" s="22" t="str">
        <f>IF(C668="","",C668&amp;I668)</f>
        <v>swing plusSALIDA</v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1000</v>
      </c>
      <c r="B669" s="47">
        <v>46289</v>
      </c>
      <c r="C669" t="s">
        <v>115</v>
      </c>
      <c r="D669" t="s">
        <v>116</v>
      </c>
      <c r="E669" t="s">
        <v>34</v>
      </c>
      <c r="F669" t="s">
        <v>35</v>
      </c>
      <c r="G669" t="s">
        <v>117</v>
      </c>
      <c r="H669" s="20" t="s">
        <v>813</v>
      </c>
      <c r="I669" t="s">
        <v>65</v>
      </c>
      <c r="J669" s="30">
        <v>540</v>
      </c>
      <c r="K669" s="22">
        <f>IF(I669="","",IF(I669="ENTRADA",ABS(J669),-ABS(J669)))</f>
        <v>-540</v>
      </c>
      <c r="L669" t="s">
        <v>37</v>
      </c>
      <c r="N669">
        <v>65231</v>
      </c>
      <c r="O669" t="s">
        <v>218</v>
      </c>
      <c r="P669">
        <v>1955</v>
      </c>
      <c r="Q669" s="47">
        <v>46294</v>
      </c>
      <c r="R669" s="22" t="str">
        <f>IF(H669="","",H669&amp;I669)</f>
        <v>260910-622SALIDA</v>
      </c>
      <c r="S669" s="22" t="str">
        <f>IF(C669="","",C669&amp;I669)</f>
        <v>AzukaSALIDA</v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1001</v>
      </c>
      <c r="B670" s="47">
        <v>46289</v>
      </c>
      <c r="C670" s="34" t="s">
        <v>784</v>
      </c>
      <c r="D670" s="34" t="s">
        <v>785</v>
      </c>
      <c r="E670" s="34" t="s">
        <v>34</v>
      </c>
      <c r="F670" s="34" t="s">
        <v>46</v>
      </c>
      <c r="G670" s="34" t="s">
        <v>27</v>
      </c>
      <c r="H670" s="20" t="s">
        <v>798</v>
      </c>
      <c r="I670" s="34" t="s">
        <v>65</v>
      </c>
      <c r="J670" s="30">
        <v>20</v>
      </c>
      <c r="K670" s="22">
        <f>IF(I670="","",IF(I670="ENTRADA",ABS(J670),-ABS(J670)))</f>
        <v>-20</v>
      </c>
      <c r="L670" s="34" t="s">
        <v>29</v>
      </c>
      <c r="M670" s="34"/>
      <c r="N670">
        <v>65231</v>
      </c>
      <c r="O670" s="34" t="s">
        <v>218</v>
      </c>
      <c r="P670">
        <v>1955</v>
      </c>
      <c r="Q670" s="47">
        <v>46294</v>
      </c>
      <c r="R670" s="22" t="str">
        <f>IF(H670="","",H670&amp;I670)</f>
        <v>260801-489SALIDA</v>
      </c>
      <c r="S670" s="22" t="str">
        <f>IF(C670="","",C670&amp;I670)</f>
        <v>PyroxateSALIDA</v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1002</v>
      </c>
      <c r="B671" s="47">
        <v>46289</v>
      </c>
      <c r="C671" t="s">
        <v>130</v>
      </c>
      <c r="D671" t="s">
        <v>131</v>
      </c>
      <c r="E671" t="s">
        <v>132</v>
      </c>
      <c r="G671" t="s">
        <v>133</v>
      </c>
      <c r="H671" s="20" t="s">
        <v>221</v>
      </c>
      <c r="I671" t="s">
        <v>65</v>
      </c>
      <c r="J671" s="30">
        <v>40</v>
      </c>
      <c r="K671" s="22">
        <f>IF(I671="","",IF(I671="ENTRADA",ABS(J671),-ABS(J671)))</f>
        <v>-40</v>
      </c>
      <c r="L671" t="s">
        <v>37</v>
      </c>
      <c r="N671">
        <v>65231</v>
      </c>
      <c r="O671" t="s">
        <v>218</v>
      </c>
      <c r="P671">
        <v>1955</v>
      </c>
      <c r="Q671" s="47">
        <v>46294</v>
      </c>
      <c r="R671" s="22" t="str">
        <f>IF(H671="","",H671&amp;I671)</f>
        <v>260414-029SALIDA</v>
      </c>
      <c r="S671" s="22" t="str">
        <f>IF(C671="","",C671&amp;I671)</f>
        <v>HarrierSALIDA</v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1003</v>
      </c>
      <c r="B672" s="47">
        <v>46289</v>
      </c>
      <c r="C672" t="s">
        <v>137</v>
      </c>
      <c r="D672" t="s">
        <v>138</v>
      </c>
      <c r="E672" t="s">
        <v>132</v>
      </c>
      <c r="G672" t="s">
        <v>133</v>
      </c>
      <c r="H672" s="20" t="s">
        <v>211</v>
      </c>
      <c r="I672" t="s">
        <v>65</v>
      </c>
      <c r="J672" s="30">
        <v>6</v>
      </c>
      <c r="K672" s="22">
        <f>IF(I672="","",IF(I672="ENTRADA",ABS(J672),-ABS(J672)))</f>
        <v>-6</v>
      </c>
      <c r="L672" t="s">
        <v>37</v>
      </c>
      <c r="N672">
        <v>65231</v>
      </c>
      <c r="O672" t="s">
        <v>218</v>
      </c>
      <c r="P672">
        <v>1955</v>
      </c>
      <c r="Q672" s="47">
        <v>46294</v>
      </c>
      <c r="R672" s="22" t="str">
        <f>IF(H672="","",H672&amp;I672)</f>
        <v>260414-030SALIDA</v>
      </c>
      <c r="S672" s="22" t="str">
        <f>IF(C672="","",C672&amp;I672)</f>
        <v>Full controlSALIDA</v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1004</v>
      </c>
      <c r="B673" s="47">
        <v>46287</v>
      </c>
      <c r="C673" t="s">
        <v>934</v>
      </c>
      <c r="D673" t="s">
        <v>935</v>
      </c>
      <c r="E673" t="s">
        <v>516</v>
      </c>
      <c r="G673" t="s">
        <v>36</v>
      </c>
      <c r="H673" s="20" t="s">
        <v>993</v>
      </c>
      <c r="I673" t="s">
        <v>65</v>
      </c>
      <c r="J673" s="30">
        <v>480</v>
      </c>
      <c r="K673" s="22">
        <f>IF(I673="","",IF(I673="ENTRADA",ABS(J673),-ABS(J673)))</f>
        <v>-480</v>
      </c>
      <c r="L673" t="s">
        <v>37</v>
      </c>
      <c r="N673">
        <v>65224</v>
      </c>
      <c r="O673" t="s">
        <v>387</v>
      </c>
      <c r="P673">
        <v>1951</v>
      </c>
      <c r="Q673" s="47">
        <v>46294</v>
      </c>
      <c r="R673" s="22" t="str">
        <f>IF(H673="","",H673&amp;I673)</f>
        <v>260914-621SALIDA</v>
      </c>
      <c r="S673" s="22" t="str">
        <f>IF(C673="","",C673&amp;I673)</f>
        <v>swing plusSALIDA</v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1005</v>
      </c>
      <c r="B674" s="47">
        <v>46290</v>
      </c>
      <c r="C674" t="s">
        <v>630</v>
      </c>
      <c r="D674" t="s">
        <v>631</v>
      </c>
      <c r="E674" t="s">
        <v>25</v>
      </c>
      <c r="F674" t="s">
        <v>632</v>
      </c>
      <c r="G674" t="s">
        <v>158</v>
      </c>
      <c r="H674" s="20" t="s">
        <v>948</v>
      </c>
      <c r="I674" t="s">
        <v>65</v>
      </c>
      <c r="J674" s="30">
        <v>25</v>
      </c>
      <c r="K674" s="22">
        <f>IF(I674="","",IF(I674="ENTRADA",ABS(J674),-ABS(J674)))</f>
        <v>-25</v>
      </c>
      <c r="L674" t="s">
        <v>633</v>
      </c>
      <c r="N674">
        <v>65232</v>
      </c>
      <c r="O674" t="s">
        <v>237</v>
      </c>
      <c r="P674">
        <v>1956</v>
      </c>
      <c r="Q674" s="47">
        <v>46294</v>
      </c>
      <c r="R674" s="22" t="str">
        <f>IF(H674="","",H674&amp;I674)</f>
        <v>260917-627SALIDA</v>
      </c>
      <c r="S674" s="22" t="str">
        <f>IF(C674="","",C674&amp;I674)</f>
        <v>semilla maiz DK 69-62 TRESALIDA</v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1006</v>
      </c>
      <c r="B675" s="47">
        <v>46290</v>
      </c>
      <c r="C675" t="s">
        <v>630</v>
      </c>
      <c r="D675" t="s">
        <v>631</v>
      </c>
      <c r="E675" t="s">
        <v>25</v>
      </c>
      <c r="F675" t="s">
        <v>632</v>
      </c>
      <c r="G675" t="s">
        <v>158</v>
      </c>
      <c r="H675" s="20" t="s">
        <v>948</v>
      </c>
      <c r="I675" t="s">
        <v>65</v>
      </c>
      <c r="J675" s="30">
        <v>40</v>
      </c>
      <c r="K675" s="22">
        <f>IF(I675="","",IF(I675="ENTRADA",ABS(J675),-ABS(J675)))</f>
        <v>-40</v>
      </c>
      <c r="L675" t="s">
        <v>633</v>
      </c>
      <c r="N675">
        <v>65233</v>
      </c>
      <c r="O675" t="s">
        <v>213</v>
      </c>
      <c r="P675">
        <v>1957</v>
      </c>
      <c r="Q675" s="47">
        <v>46294</v>
      </c>
      <c r="R675" s="22" t="str">
        <f>IF(H675="","",H675&amp;I675)</f>
        <v>260917-627SALIDA</v>
      </c>
      <c r="S675" s="22" t="str">
        <f>IF(C675="","",C675&amp;I675)</f>
        <v>semilla maiz DK 69-62 TRESALIDA</v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1007</v>
      </c>
      <c r="B676" s="47">
        <v>46290</v>
      </c>
      <c r="C676" t="s">
        <v>115</v>
      </c>
      <c r="D676" t="s">
        <v>116</v>
      </c>
      <c r="E676" t="s">
        <v>34</v>
      </c>
      <c r="F676" t="s">
        <v>35</v>
      </c>
      <c r="G676" t="s">
        <v>117</v>
      </c>
      <c r="H676" s="20" t="s">
        <v>813</v>
      </c>
      <c r="I676" t="s">
        <v>65</v>
      </c>
      <c r="J676" s="30">
        <v>5000</v>
      </c>
      <c r="K676" s="22">
        <f>IF(I676="","",IF(I676="ENTRADA",ABS(J676),-ABS(J676)))</f>
        <v>-5000</v>
      </c>
      <c r="L676" t="s">
        <v>37</v>
      </c>
      <c r="N676">
        <v>65234</v>
      </c>
      <c r="O676" t="s">
        <v>331</v>
      </c>
      <c r="P676">
        <v>1958</v>
      </c>
      <c r="Q676" s="47">
        <v>46294</v>
      </c>
      <c r="R676" s="22" t="str">
        <f>IF(H676="","",H676&amp;I676)</f>
        <v>260910-622SALIDA</v>
      </c>
      <c r="S676" s="22" t="str">
        <f>IF(C676="","",C676&amp;I676)</f>
        <v>AzukaSALIDA</v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1008</v>
      </c>
      <c r="B677" s="47">
        <v>46290</v>
      </c>
      <c r="C677" t="s">
        <v>115</v>
      </c>
      <c r="D677" t="s">
        <v>116</v>
      </c>
      <c r="E677" t="s">
        <v>34</v>
      </c>
      <c r="F677" t="s">
        <v>35</v>
      </c>
      <c r="G677" t="s">
        <v>117</v>
      </c>
      <c r="H677" s="20" t="s">
        <v>813</v>
      </c>
      <c r="I677" t="s">
        <v>65</v>
      </c>
      <c r="J677" s="30">
        <v>6000</v>
      </c>
      <c r="K677" s="22">
        <f>IF(I677="","",IF(I677="ENTRADA",ABS(J677),-ABS(J677)))</f>
        <v>-6000</v>
      </c>
      <c r="L677" t="s">
        <v>37</v>
      </c>
      <c r="N677">
        <v>65234</v>
      </c>
      <c r="O677" t="s">
        <v>309</v>
      </c>
      <c r="P677">
        <v>1958</v>
      </c>
      <c r="Q677" s="47">
        <v>46294</v>
      </c>
      <c r="R677" s="22" t="str">
        <f>IF(H677="","",H677&amp;I677)</f>
        <v>260910-622SALIDA</v>
      </c>
      <c r="S677" s="22" t="str">
        <f>IF(C677="","",C677&amp;I677)</f>
        <v>AzukaSALIDA</v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1009</v>
      </c>
      <c r="B678" s="47">
        <v>46290</v>
      </c>
      <c r="C678" t="s">
        <v>75</v>
      </c>
      <c r="D678" t="s">
        <v>76</v>
      </c>
      <c r="E678" t="s">
        <v>34</v>
      </c>
      <c r="F678" t="s">
        <v>35</v>
      </c>
      <c r="G678" t="s">
        <v>77</v>
      </c>
      <c r="H678" s="20" t="s">
        <v>94</v>
      </c>
      <c r="I678" t="s">
        <v>65</v>
      </c>
      <c r="J678" s="30">
        <v>700</v>
      </c>
      <c r="K678" s="22">
        <f>IF(I678="","",IF(I678="ENTRADA",ABS(J678),-ABS(J678)))</f>
        <v>-700</v>
      </c>
      <c r="L678" t="s">
        <v>37</v>
      </c>
      <c r="N678">
        <v>65234</v>
      </c>
      <c r="O678" t="s">
        <v>331</v>
      </c>
      <c r="P678">
        <v>1958</v>
      </c>
      <c r="Q678" s="47">
        <v>46294</v>
      </c>
      <c r="R678" s="22" t="str">
        <f>IF(H678="","",H678&amp;I678)</f>
        <v>260407-012SALIDA</v>
      </c>
      <c r="S678" s="22" t="str">
        <f>IF(C678="","",C678&amp;I678)</f>
        <v>Dedalo eliteSALIDA</v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1010</v>
      </c>
      <c r="B679" s="47">
        <v>46290</v>
      </c>
      <c r="C679" t="s">
        <v>75</v>
      </c>
      <c r="D679" t="s">
        <v>76</v>
      </c>
      <c r="E679" t="s">
        <v>34</v>
      </c>
      <c r="F679" t="s">
        <v>35</v>
      </c>
      <c r="G679" t="s">
        <v>77</v>
      </c>
      <c r="H679" s="20" t="s">
        <v>94</v>
      </c>
      <c r="I679" t="s">
        <v>65</v>
      </c>
      <c r="J679" s="30">
        <v>1500</v>
      </c>
      <c r="K679" s="22">
        <f>IF(I679="","",IF(I679="ENTRADA",ABS(J679),-ABS(J679)))</f>
        <v>-1500</v>
      </c>
      <c r="L679" t="s">
        <v>37</v>
      </c>
      <c r="N679">
        <v>65234</v>
      </c>
      <c r="O679" t="s">
        <v>309</v>
      </c>
      <c r="P679">
        <v>1958</v>
      </c>
      <c r="Q679" s="47">
        <v>46294</v>
      </c>
      <c r="R679" s="22" t="str">
        <f>IF(H679="","",H679&amp;I679)</f>
        <v>260407-012SALIDA</v>
      </c>
      <c r="S679" s="22" t="str">
        <f>IF(C679="","",C679&amp;I679)</f>
        <v>Dedalo eliteSALIDA</v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1011</v>
      </c>
      <c r="B680" s="47">
        <v>46290</v>
      </c>
      <c r="C680" t="s">
        <v>130</v>
      </c>
      <c r="D680" t="s">
        <v>131</v>
      </c>
      <c r="E680" t="s">
        <v>132</v>
      </c>
      <c r="G680" t="s">
        <v>133</v>
      </c>
      <c r="H680" s="20" t="s">
        <v>221</v>
      </c>
      <c r="I680" t="s">
        <v>65</v>
      </c>
      <c r="J680" s="30">
        <v>300</v>
      </c>
      <c r="K680" s="22">
        <f>IF(I680="","",IF(I680="ENTRADA",ABS(J680),-ABS(J680)))</f>
        <v>-300</v>
      </c>
      <c r="L680" t="s">
        <v>37</v>
      </c>
      <c r="N680">
        <v>65234</v>
      </c>
      <c r="O680" t="s">
        <v>331</v>
      </c>
      <c r="P680">
        <v>1958</v>
      </c>
      <c r="Q680" s="47">
        <v>46294</v>
      </c>
      <c r="R680" s="22" t="str">
        <f>IF(H680="","",H680&amp;I680)</f>
        <v>260414-029SALIDA</v>
      </c>
      <c r="S680" s="22" t="str">
        <f>IF(C680="","",C680&amp;I680)</f>
        <v>HarrierSALIDA</v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1012</v>
      </c>
      <c r="B681" s="47">
        <v>46290</v>
      </c>
      <c r="C681" s="34" t="s">
        <v>130</v>
      </c>
      <c r="D681" s="34" t="s">
        <v>131</v>
      </c>
      <c r="E681" s="34" t="s">
        <v>132</v>
      </c>
      <c r="F681" s="34"/>
      <c r="G681" s="34" t="s">
        <v>133</v>
      </c>
      <c r="H681" s="20" t="s">
        <v>221</v>
      </c>
      <c r="I681" s="34" t="s">
        <v>65</v>
      </c>
      <c r="J681" s="30">
        <v>200</v>
      </c>
      <c r="K681" s="22">
        <f>IF(I681="","",IF(I681="ENTRADA",ABS(J681),-ABS(J681)))</f>
        <v>-200</v>
      </c>
      <c r="L681" s="34" t="s">
        <v>37</v>
      </c>
      <c r="M681" s="34"/>
      <c r="N681">
        <v>65234</v>
      </c>
      <c r="O681" s="34" t="s">
        <v>309</v>
      </c>
      <c r="P681">
        <v>1958</v>
      </c>
      <c r="Q681" s="47">
        <v>46294</v>
      </c>
      <c r="R681" s="22" t="str">
        <f>IF(H681="","",H681&amp;I681)</f>
        <v>260414-029SALIDA</v>
      </c>
      <c r="S681" s="22" t="str">
        <f>IF(C681="","",C681&amp;I681)</f>
        <v>HarrierSALIDA</v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1013</v>
      </c>
      <c r="B682" s="47">
        <v>46290</v>
      </c>
      <c r="C682" t="s">
        <v>137</v>
      </c>
      <c r="D682" t="s">
        <v>138</v>
      </c>
      <c r="E682" t="s">
        <v>132</v>
      </c>
      <c r="G682" t="s">
        <v>133</v>
      </c>
      <c r="H682" s="20" t="s">
        <v>211</v>
      </c>
      <c r="I682" t="s">
        <v>65</v>
      </c>
      <c r="J682" s="30">
        <v>60</v>
      </c>
      <c r="K682" s="22">
        <f>IF(I682="","",IF(I682="ENTRADA",ABS(J682),-ABS(J682)))</f>
        <v>-60</v>
      </c>
      <c r="L682" t="s">
        <v>37</v>
      </c>
      <c r="N682">
        <v>65234</v>
      </c>
      <c r="O682" t="s">
        <v>331</v>
      </c>
      <c r="P682">
        <v>1958</v>
      </c>
      <c r="Q682" s="47">
        <v>46294</v>
      </c>
      <c r="R682" s="22" t="str">
        <f>IF(H682="","",H682&amp;I682)</f>
        <v>260414-030SALIDA</v>
      </c>
      <c r="S682" s="22" t="str">
        <f>IF(C682="","",C682&amp;I682)</f>
        <v>Full controlSALIDA</v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1014</v>
      </c>
      <c r="B683" s="47">
        <v>46290</v>
      </c>
      <c r="C683" t="s">
        <v>137</v>
      </c>
      <c r="D683" t="s">
        <v>138</v>
      </c>
      <c r="E683" t="s">
        <v>132</v>
      </c>
      <c r="G683" t="s">
        <v>133</v>
      </c>
      <c r="H683" s="20" t="s">
        <v>211</v>
      </c>
      <c r="I683" t="s">
        <v>65</v>
      </c>
      <c r="J683" s="30">
        <v>60</v>
      </c>
      <c r="K683" s="22">
        <f>IF(I683="","",IF(I683="ENTRADA",ABS(J683),-ABS(J683)))</f>
        <v>-60</v>
      </c>
      <c r="L683" t="s">
        <v>37</v>
      </c>
      <c r="N683">
        <v>65234</v>
      </c>
      <c r="O683" t="s">
        <v>309</v>
      </c>
      <c r="P683">
        <v>1958</v>
      </c>
      <c r="Q683" s="47">
        <v>46294</v>
      </c>
      <c r="R683" s="22" t="str">
        <f>IF(H683="","",H683&amp;I683)</f>
        <v>260414-030SALIDA</v>
      </c>
      <c r="S683" s="22" t="str">
        <f>IF(C683="","",C683&amp;I683)</f>
        <v>Full controlSALIDA</v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1015</v>
      </c>
      <c r="B684" s="47">
        <v>46290</v>
      </c>
      <c r="C684" t="s">
        <v>122</v>
      </c>
      <c r="D684" t="s">
        <v>123</v>
      </c>
      <c r="E684" t="s">
        <v>34</v>
      </c>
      <c r="F684" t="s">
        <v>35</v>
      </c>
      <c r="G684" t="s">
        <v>117</v>
      </c>
      <c r="H684" s="20" t="s">
        <v>939</v>
      </c>
      <c r="I684" t="s">
        <v>65</v>
      </c>
      <c r="J684" s="30">
        <v>480</v>
      </c>
      <c r="K684" s="22">
        <f>IF(I684="","",IF(I684="ENTRADA",ABS(J684),-ABS(J684)))</f>
        <v>-480</v>
      </c>
      <c r="L684" t="s">
        <v>37</v>
      </c>
      <c r="N684">
        <v>65234</v>
      </c>
      <c r="O684" t="s">
        <v>331</v>
      </c>
      <c r="P684">
        <v>1958</v>
      </c>
      <c r="Q684" s="47">
        <v>46294</v>
      </c>
      <c r="R684" s="22" t="str">
        <f>IF(H684="","",H684&amp;I684)</f>
        <v>260727-380SALIDA</v>
      </c>
      <c r="S684" s="22" t="str">
        <f>IF(C684="","",C684&amp;I684)</f>
        <v>PardoSALIDA</v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1016</v>
      </c>
      <c r="B685" s="47">
        <v>46290</v>
      </c>
      <c r="C685" t="s">
        <v>122</v>
      </c>
      <c r="D685" t="s">
        <v>123</v>
      </c>
      <c r="E685" t="s">
        <v>34</v>
      </c>
      <c r="F685" t="s">
        <v>35</v>
      </c>
      <c r="G685" t="s">
        <v>117</v>
      </c>
      <c r="H685" s="20" t="s">
        <v>939</v>
      </c>
      <c r="I685" t="s">
        <v>65</v>
      </c>
      <c r="J685" s="30">
        <v>1500</v>
      </c>
      <c r="K685" s="22">
        <f>IF(I685="","",IF(I685="ENTRADA",ABS(J685),-ABS(J685)))</f>
        <v>-1500</v>
      </c>
      <c r="L685" t="s">
        <v>37</v>
      </c>
      <c r="N685">
        <v>65234</v>
      </c>
      <c r="O685" t="s">
        <v>309</v>
      </c>
      <c r="P685">
        <v>1958</v>
      </c>
      <c r="Q685" s="47">
        <v>46294</v>
      </c>
      <c r="R685" s="22" t="str">
        <f>IF(H685="","",H685&amp;I685)</f>
        <v>260727-380SALIDA</v>
      </c>
      <c r="S685" s="22" t="str">
        <f>IF(C685="","",C685&amp;I685)</f>
        <v>PardoSALIDA</v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1017</v>
      </c>
      <c r="B686" s="47">
        <v>46290</v>
      </c>
      <c r="C686" t="s">
        <v>781</v>
      </c>
      <c r="D686" t="s">
        <v>782</v>
      </c>
      <c r="E686" t="s">
        <v>34</v>
      </c>
      <c r="G686" t="s">
        <v>27</v>
      </c>
      <c r="H686" s="20" t="s">
        <v>1018</v>
      </c>
      <c r="I686" t="s">
        <v>65</v>
      </c>
      <c r="J686" s="30">
        <v>200</v>
      </c>
      <c r="K686" s="22">
        <f>IF(I686="","",IF(I686="ENTRADA",ABS(J686),-ABS(J686)))</f>
        <v>-200</v>
      </c>
      <c r="L686" t="s">
        <v>37</v>
      </c>
      <c r="N686">
        <v>65234</v>
      </c>
      <c r="O686" t="s">
        <v>309</v>
      </c>
      <c r="P686">
        <v>1958</v>
      </c>
      <c r="Q686" s="47">
        <v>46294</v>
      </c>
      <c r="R686" s="22" t="str">
        <f>IF(H686="","",H686&amp;I686)</f>
        <v>260801-488SALIDA</v>
      </c>
      <c r="S686" s="22" t="str">
        <f>IF(C686="","",C686&amp;I686)</f>
        <v>Voraxor SALIDA</v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1019</v>
      </c>
      <c r="B687" s="47">
        <v>46290</v>
      </c>
      <c r="C687" t="s">
        <v>944</v>
      </c>
      <c r="D687" t="s">
        <v>945</v>
      </c>
      <c r="E687" t="s">
        <v>516</v>
      </c>
      <c r="G687" t="s">
        <v>779</v>
      </c>
      <c r="H687" s="20" t="s">
        <v>970</v>
      </c>
      <c r="I687" t="s">
        <v>65</v>
      </c>
      <c r="J687" s="30">
        <v>145</v>
      </c>
      <c r="K687" s="22">
        <f>IF(I687="","",IF(I687="ENTRADA",ABS(J687),-ABS(J687)))</f>
        <v>-145</v>
      </c>
      <c r="L687" t="s">
        <v>56</v>
      </c>
      <c r="N687">
        <v>65235</v>
      </c>
      <c r="O687" t="s">
        <v>382</v>
      </c>
      <c r="P687">
        <v>1959</v>
      </c>
      <c r="Q687" s="47">
        <v>46294</v>
      </c>
      <c r="R687" s="22" t="str">
        <f>IF(H687="","",H687&amp;I687)</f>
        <v>260917-626SALIDA</v>
      </c>
      <c r="S687" s="22" t="str">
        <f>IF(C687="","",C687&amp;I687)</f>
        <v>Miravis triple packSALIDA</v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1020</v>
      </c>
      <c r="B688" s="47">
        <v>46290</v>
      </c>
      <c r="C688" t="s">
        <v>130</v>
      </c>
      <c r="D688" t="s">
        <v>131</v>
      </c>
      <c r="E688" t="s">
        <v>132</v>
      </c>
      <c r="G688" t="s">
        <v>133</v>
      </c>
      <c r="H688" s="20" t="s">
        <v>221</v>
      </c>
      <c r="I688" t="s">
        <v>65</v>
      </c>
      <c r="J688" s="30">
        <v>160</v>
      </c>
      <c r="K688" s="22">
        <f>IF(I688="","",IF(I688="ENTRADA",ABS(J688),-ABS(J688)))</f>
        <v>-160</v>
      </c>
      <c r="L688" t="s">
        <v>37</v>
      </c>
      <c r="N688">
        <v>65235</v>
      </c>
      <c r="O688" t="s">
        <v>382</v>
      </c>
      <c r="P688">
        <v>1959</v>
      </c>
      <c r="Q688" s="47">
        <v>46294</v>
      </c>
      <c r="R688" s="22" t="str">
        <f>IF(H688="","",H688&amp;I688)</f>
        <v>260414-029SALIDA</v>
      </c>
      <c r="S688" s="22" t="str">
        <f>IF(C688="","",C688&amp;I688)</f>
        <v>HarrierSALIDA</v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1021</v>
      </c>
      <c r="B689" s="47">
        <v>46290</v>
      </c>
      <c r="C689" t="s">
        <v>137</v>
      </c>
      <c r="D689" t="s">
        <v>138</v>
      </c>
      <c r="E689" t="s">
        <v>132</v>
      </c>
      <c r="G689" t="s">
        <v>133</v>
      </c>
      <c r="H689" s="20" t="s">
        <v>211</v>
      </c>
      <c r="I689" t="s">
        <v>65</v>
      </c>
      <c r="J689" s="30">
        <v>30</v>
      </c>
      <c r="K689" s="22">
        <f>IF(I689="","",IF(I689="ENTRADA",ABS(J689),-ABS(J689)))</f>
        <v>-30</v>
      </c>
      <c r="L689" t="s">
        <v>37</v>
      </c>
      <c r="N689">
        <v>65235</v>
      </c>
      <c r="O689" t="s">
        <v>382</v>
      </c>
      <c r="P689">
        <v>1959</v>
      </c>
      <c r="Q689" s="47">
        <v>46294</v>
      </c>
      <c r="R689" s="22" t="str">
        <f>IF(H689="","",H689&amp;I689)</f>
        <v>260414-030SALIDA</v>
      </c>
      <c r="S689" s="22" t="str">
        <f>IF(C689="","",C689&amp;I689)</f>
        <v>Full controlSALIDA</v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1022</v>
      </c>
      <c r="B690" s="47">
        <v>46291</v>
      </c>
      <c r="C690" t="s">
        <v>115</v>
      </c>
      <c r="D690" t="s">
        <v>116</v>
      </c>
      <c r="E690" t="s">
        <v>34</v>
      </c>
      <c r="F690" t="s">
        <v>35</v>
      </c>
      <c r="G690" t="s">
        <v>117</v>
      </c>
      <c r="H690" s="20" t="s">
        <v>813</v>
      </c>
      <c r="I690" t="s">
        <v>65</v>
      </c>
      <c r="J690" s="30">
        <v>2500</v>
      </c>
      <c r="K690" s="22">
        <f>IF(I690="","",IF(I690="ENTRADA",ABS(J690),-ABS(J690)))</f>
        <v>-2500</v>
      </c>
      <c r="L690" t="s">
        <v>37</v>
      </c>
      <c r="N690">
        <v>65236</v>
      </c>
      <c r="O690" t="s">
        <v>1023</v>
      </c>
      <c r="P690">
        <v>1971</v>
      </c>
      <c r="Q690" s="47">
        <v>46297</v>
      </c>
      <c r="R690" s="22" t="str">
        <f>IF(H690="","",H690&amp;I690)</f>
        <v>260910-622SALIDA</v>
      </c>
      <c r="S690" s="22" t="str">
        <f>IF(C690="","",C690&amp;I690)</f>
        <v>AzukaSALIDA</v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1024</v>
      </c>
      <c r="B691" s="47">
        <v>46291</v>
      </c>
      <c r="C691" t="s">
        <v>122</v>
      </c>
      <c r="D691" t="s">
        <v>123</v>
      </c>
      <c r="E691" t="s">
        <v>34</v>
      </c>
      <c r="F691" t="s">
        <v>35</v>
      </c>
      <c r="G691" t="s">
        <v>117</v>
      </c>
      <c r="H691" s="20" t="s">
        <v>939</v>
      </c>
      <c r="I691" t="s">
        <v>65</v>
      </c>
      <c r="J691" s="30">
        <v>700</v>
      </c>
      <c r="K691" s="22">
        <f>IF(I691="","",IF(I691="ENTRADA",ABS(J691),-ABS(J691)))</f>
        <v>-700</v>
      </c>
      <c r="L691" t="s">
        <v>37</v>
      </c>
      <c r="N691">
        <v>65236</v>
      </c>
      <c r="O691" t="s">
        <v>1023</v>
      </c>
      <c r="P691">
        <v>1971</v>
      </c>
      <c r="Q691" s="47">
        <v>46297</v>
      </c>
      <c r="R691" s="22" t="str">
        <f>IF(H691="","",H691&amp;I691)</f>
        <v>260727-380SALIDA</v>
      </c>
      <c r="S691" s="22" t="str">
        <f>IF(C691="","",C691&amp;I691)</f>
        <v>PardoSALIDA</v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1025</v>
      </c>
      <c r="B692" s="47">
        <v>46291</v>
      </c>
      <c r="C692" s="34" t="s">
        <v>934</v>
      </c>
      <c r="D692" s="34" t="s">
        <v>935</v>
      </c>
      <c r="E692" s="34" t="s">
        <v>516</v>
      </c>
      <c r="F692" s="34"/>
      <c r="G692" s="34" t="s">
        <v>36</v>
      </c>
      <c r="H692" s="20" t="s">
        <v>993</v>
      </c>
      <c r="I692" s="34" t="s">
        <v>65</v>
      </c>
      <c r="J692" s="30">
        <v>500</v>
      </c>
      <c r="K692" s="22">
        <f>IF(I692="","",IF(I692="ENTRADA",ABS(J692),-ABS(J692)))</f>
        <v>-500</v>
      </c>
      <c r="L692" s="34" t="s">
        <v>37</v>
      </c>
      <c r="M692" s="34"/>
      <c r="N692">
        <v>65236</v>
      </c>
      <c r="O692" t="s">
        <v>1023</v>
      </c>
      <c r="P692">
        <v>1971</v>
      </c>
      <c r="Q692" s="47">
        <v>46297</v>
      </c>
      <c r="R692" s="22" t="str">
        <f>IF(H692="","",H692&amp;I692)</f>
        <v>260914-621SALIDA</v>
      </c>
      <c r="S692" s="22" t="str">
        <f>IF(C692="","",C692&amp;I692)</f>
        <v>swing plusSALIDA</v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1026</v>
      </c>
      <c r="B693" s="47">
        <v>46291</v>
      </c>
      <c r="C693" t="s">
        <v>137</v>
      </c>
      <c r="D693" t="s">
        <v>138</v>
      </c>
      <c r="E693" t="s">
        <v>132</v>
      </c>
      <c r="G693" t="s">
        <v>133</v>
      </c>
      <c r="H693" s="20" t="s">
        <v>211</v>
      </c>
      <c r="I693" t="s">
        <v>65</v>
      </c>
      <c r="J693" s="30">
        <v>30</v>
      </c>
      <c r="K693" s="22">
        <f>IF(I693="","",IF(I693="ENTRADA",ABS(J693),-ABS(J693)))</f>
        <v>-30</v>
      </c>
      <c r="L693" t="s">
        <v>37</v>
      </c>
      <c r="N693">
        <v>65236</v>
      </c>
      <c r="O693" t="s">
        <v>1023</v>
      </c>
      <c r="P693">
        <v>1971</v>
      </c>
      <c r="Q693" s="47">
        <v>46297</v>
      </c>
      <c r="R693" s="22" t="str">
        <f>IF(H693="","",H693&amp;I693)</f>
        <v>260414-030SALIDA</v>
      </c>
      <c r="S693" s="22" t="str">
        <f>IF(C693="","",C693&amp;I693)</f>
        <v>Full controlSALIDA</v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1027</v>
      </c>
      <c r="B694" s="47">
        <v>46291</v>
      </c>
      <c r="C694" t="s">
        <v>130</v>
      </c>
      <c r="D694" t="s">
        <v>131</v>
      </c>
      <c r="E694" t="s">
        <v>132</v>
      </c>
      <c r="G694" t="s">
        <v>133</v>
      </c>
      <c r="H694" s="20" t="s">
        <v>221</v>
      </c>
      <c r="I694" t="s">
        <v>65</v>
      </c>
      <c r="J694" s="30">
        <v>100</v>
      </c>
      <c r="K694" s="22">
        <f>IF(I694="","",IF(I694="ENTRADA",ABS(J694),-ABS(J694)))</f>
        <v>-100</v>
      </c>
      <c r="L694" t="s">
        <v>37</v>
      </c>
      <c r="N694">
        <v>65236</v>
      </c>
      <c r="O694" t="s">
        <v>1023</v>
      </c>
      <c r="P694">
        <v>1971</v>
      </c>
      <c r="Q694" s="47">
        <v>46297</v>
      </c>
      <c r="R694" s="22" t="str">
        <f>IF(H694="","",H694&amp;I694)</f>
        <v>260414-029SALIDA</v>
      </c>
      <c r="S694" s="22" t="str">
        <f>IF(C694="","",C694&amp;I694)</f>
        <v>HarrierSALIDA</v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1028</v>
      </c>
      <c r="B695" s="47">
        <v>46291</v>
      </c>
      <c r="C695" t="s">
        <v>90</v>
      </c>
      <c r="D695" t="s">
        <v>91</v>
      </c>
      <c r="E695" t="s">
        <v>34</v>
      </c>
      <c r="F695" t="s">
        <v>35</v>
      </c>
      <c r="G695" t="s">
        <v>36</v>
      </c>
      <c r="H695" s="20" t="s">
        <v>375</v>
      </c>
      <c r="I695" t="s">
        <v>65</v>
      </c>
      <c r="J695" s="30">
        <v>340</v>
      </c>
      <c r="K695" s="22">
        <f>IF(I695="","",IF(I695="ENTRADA",ABS(J695),-ABS(J695)))</f>
        <v>-340</v>
      </c>
      <c r="L695" t="s">
        <v>37</v>
      </c>
      <c r="N695">
        <v>65236</v>
      </c>
      <c r="O695" t="s">
        <v>1023</v>
      </c>
      <c r="P695">
        <v>1971</v>
      </c>
      <c r="Q695" s="47">
        <v>46297</v>
      </c>
      <c r="R695" s="22" t="str">
        <f>IF(H695="","",H695&amp;I695)</f>
        <v>260405-132SALIDA</v>
      </c>
      <c r="S695" s="22" t="str">
        <f>IF(C695="","",C695&amp;I695)</f>
        <v>PixxaroSALIDA</v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1029</v>
      </c>
      <c r="B696" s="47">
        <v>46293</v>
      </c>
      <c r="C696" t="s">
        <v>1030</v>
      </c>
      <c r="D696" t="s">
        <v>1031</v>
      </c>
      <c r="E696" t="s">
        <v>34</v>
      </c>
      <c r="F696" t="s">
        <v>35</v>
      </c>
      <c r="G696" t="s">
        <v>1032</v>
      </c>
      <c r="H696" s="20" t="str">
        <f>+T696</f>
        <v>260928-698</v>
      </c>
      <c r="I696" t="s">
        <v>28</v>
      </c>
      <c r="J696" s="30">
        <v>600</v>
      </c>
      <c r="K696" s="22">
        <f>IF(I696="","",IF(I696="ENTRADA",ABS(J696),-ABS(J696)))</f>
        <v>600</v>
      </c>
      <c r="L696" t="s">
        <v>37</v>
      </c>
      <c r="N696">
        <v>14744</v>
      </c>
      <c r="P696">
        <v>15208</v>
      </c>
      <c r="Q696" s="47">
        <v>46294</v>
      </c>
      <c r="R696" s="22" t="str">
        <f>IF(H696="","",H696&amp;I696)</f>
        <v>260928-698ENTRADA</v>
      </c>
      <c r="S696" s="22" t="str">
        <f>IF(C696="","",C696&amp;I696)</f>
        <v>Sauquat super ENTRADA</v>
      </c>
      <c r="T696" t="str">
        <f>IF(OR(C696="",I696&lt;&gt;"ENTRADA"),"",TEXT(B696,"AAMMDD")&amp;"-"&amp;TEXT(VALUE(SUBSTITUTE(A696,"MOV-","")),"000"))</f>
        <v>260928-698</v>
      </c>
    </row>
    <row r="697" spans="1:20">
      <c r="A697" s="20" t="s">
        <v>1033</v>
      </c>
      <c r="B697" s="47">
        <v>46287</v>
      </c>
      <c r="C697" t="s">
        <v>141</v>
      </c>
      <c r="D697" t="s">
        <v>142</v>
      </c>
      <c r="E697" t="s">
        <v>132</v>
      </c>
      <c r="G697" t="s">
        <v>133</v>
      </c>
      <c r="H697" s="20" t="s">
        <v>750</v>
      </c>
      <c r="I697" t="s">
        <v>65</v>
      </c>
      <c r="J697" s="30">
        <v>2</v>
      </c>
      <c r="K697" s="22">
        <f>IF(I697="","",IF(I697="ENTRADA",ABS(J697),-ABS(J697)))</f>
        <v>-2</v>
      </c>
      <c r="L697" t="s">
        <v>37</v>
      </c>
      <c r="N697">
        <v>65224</v>
      </c>
      <c r="O697" t="s">
        <v>387</v>
      </c>
      <c r="P697">
        <v>1951</v>
      </c>
      <c r="Q697" s="47">
        <v>46294</v>
      </c>
      <c r="R697" s="22" t="str">
        <f>IF(H697="","",H697&amp;I697)</f>
        <v>260827-473SALIDA</v>
      </c>
      <c r="S697" s="22" t="str">
        <f>IF(C697="","",C697&amp;I697)</f>
        <v>Maxi DropSALIDA</v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1034</v>
      </c>
      <c r="B698" s="47">
        <v>46295</v>
      </c>
      <c r="C698" t="s">
        <v>115</v>
      </c>
      <c r="D698" t="s">
        <v>116</v>
      </c>
      <c r="E698" t="s">
        <v>34</v>
      </c>
      <c r="F698" t="s">
        <v>35</v>
      </c>
      <c r="G698" t="s">
        <v>117</v>
      </c>
      <c r="H698" s="20" t="s">
        <v>813</v>
      </c>
      <c r="I698" t="s">
        <v>65</v>
      </c>
      <c r="J698" s="30">
        <v>960</v>
      </c>
      <c r="K698" s="22">
        <f>IF(I698="","",IF(I698="ENTRADA",ABS(J698),-ABS(J698)))</f>
        <v>-960</v>
      </c>
      <c r="L698" t="s">
        <v>37</v>
      </c>
      <c r="N698">
        <v>65237</v>
      </c>
      <c r="O698" t="s">
        <v>1023</v>
      </c>
      <c r="P698">
        <v>1972</v>
      </c>
      <c r="Q698" s="47">
        <v>46297</v>
      </c>
      <c r="R698" s="22" t="str">
        <f>IF(H698="","",H698&amp;I698)</f>
        <v>260910-622SALIDA</v>
      </c>
      <c r="S698" s="22" t="str">
        <f>IF(C698="","",C698&amp;I698)</f>
        <v>AzukaSALIDA</v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1035</v>
      </c>
      <c r="B699" s="47">
        <v>46295</v>
      </c>
      <c r="C699" t="s">
        <v>752</v>
      </c>
      <c r="D699" t="s">
        <v>87</v>
      </c>
      <c r="E699" t="s">
        <v>34</v>
      </c>
      <c r="G699" t="s">
        <v>301</v>
      </c>
      <c r="H699" s="20" t="s">
        <v>755</v>
      </c>
      <c r="I699" t="s">
        <v>65</v>
      </c>
      <c r="J699" s="30">
        <v>140</v>
      </c>
      <c r="K699" s="22">
        <f>IF(I699="","",IF(I699="ENTRADA",ABS(J699),-ABS(J699)))</f>
        <v>-140</v>
      </c>
      <c r="L699" t="s">
        <v>37</v>
      </c>
      <c r="N699">
        <v>65237</v>
      </c>
      <c r="O699" t="s">
        <v>1023</v>
      </c>
      <c r="P699">
        <v>1972</v>
      </c>
      <c r="Q699" s="47">
        <v>46297</v>
      </c>
      <c r="R699" s="22" t="str">
        <f>IF(H699="","",H699&amp;I699)</f>
        <v>260813-476SALIDA</v>
      </c>
      <c r="S699" s="22" t="str">
        <f>IF(C699="","",C699&amp;I699)</f>
        <v>Fluroxipir Forte 480SALIDA</v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1036</v>
      </c>
      <c r="B700" s="47">
        <v>46295</v>
      </c>
      <c r="C700" t="s">
        <v>122</v>
      </c>
      <c r="D700" t="s">
        <v>123</v>
      </c>
      <c r="E700" t="s">
        <v>34</v>
      </c>
      <c r="F700" t="s">
        <v>35</v>
      </c>
      <c r="G700" t="s">
        <v>117</v>
      </c>
      <c r="H700" s="20" t="s">
        <v>939</v>
      </c>
      <c r="I700" t="s">
        <v>65</v>
      </c>
      <c r="J700" s="30">
        <v>240</v>
      </c>
      <c r="K700" s="22">
        <f>IF(I700="","",IF(I700="ENTRADA",ABS(J700),-ABS(J700)))</f>
        <v>-240</v>
      </c>
      <c r="L700" t="s">
        <v>37</v>
      </c>
      <c r="N700">
        <v>65237</v>
      </c>
      <c r="O700" t="s">
        <v>1023</v>
      </c>
      <c r="P700">
        <v>1972</v>
      </c>
      <c r="Q700" s="47">
        <v>46297</v>
      </c>
      <c r="R700" s="22" t="str">
        <f>IF(H700="","",H700&amp;I700)</f>
        <v>260727-380SALIDA</v>
      </c>
      <c r="S700" s="22" t="str">
        <f>IF(C700="","",C700&amp;I700)</f>
        <v>PardoSALIDA</v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1037</v>
      </c>
      <c r="B701" s="47">
        <v>46295</v>
      </c>
      <c r="C701" t="s">
        <v>137</v>
      </c>
      <c r="D701" t="s">
        <v>138</v>
      </c>
      <c r="E701" t="s">
        <v>132</v>
      </c>
      <c r="G701" t="s">
        <v>133</v>
      </c>
      <c r="H701" s="20" t="s">
        <v>211</v>
      </c>
      <c r="I701" t="s">
        <v>65</v>
      </c>
      <c r="J701" s="30">
        <v>5</v>
      </c>
      <c r="K701" s="22">
        <f>IF(I701="","",IF(I701="ENTRADA",ABS(J701),-ABS(J701)))</f>
        <v>-5</v>
      </c>
      <c r="L701" t="s">
        <v>37</v>
      </c>
      <c r="N701">
        <v>65237</v>
      </c>
      <c r="O701" t="s">
        <v>1023</v>
      </c>
      <c r="P701">
        <v>1972</v>
      </c>
      <c r="Q701" s="47">
        <v>46297</v>
      </c>
      <c r="R701" s="22" t="str">
        <f>IF(H701="","",H701&amp;I701)</f>
        <v>260414-030SALIDA</v>
      </c>
      <c r="S701" s="22" t="str">
        <f>IF(C701="","",C701&amp;I701)</f>
        <v>Full controlSALIDA</v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1038</v>
      </c>
      <c r="B702" s="47">
        <v>46295</v>
      </c>
      <c r="C702" t="s">
        <v>657</v>
      </c>
      <c r="D702" t="s">
        <v>658</v>
      </c>
      <c r="E702" t="s">
        <v>132</v>
      </c>
      <c r="G702" t="s">
        <v>133</v>
      </c>
      <c r="H702" s="20" t="s">
        <v>660</v>
      </c>
      <c r="I702" t="s">
        <v>65</v>
      </c>
      <c r="J702" s="30">
        <v>25</v>
      </c>
      <c r="K702" s="22">
        <f>IF(I702="","",IF(I702="ENTRADA",ABS(J702),-ABS(J702)))</f>
        <v>-25</v>
      </c>
      <c r="L702" t="s">
        <v>37</v>
      </c>
      <c r="N702">
        <v>65237</v>
      </c>
      <c r="O702" t="s">
        <v>1023</v>
      </c>
      <c r="P702">
        <v>1972</v>
      </c>
      <c r="Q702" s="47">
        <v>46297</v>
      </c>
      <c r="R702" s="22" t="str">
        <f>IF(H702="","",H702&amp;I702)</f>
        <v>260729-393SALIDA</v>
      </c>
      <c r="S702" s="22" t="str">
        <f>IF(C702="","",C702&amp;I702)</f>
        <v>Harrier Drone SALIDA</v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1039</v>
      </c>
      <c r="B703" s="47">
        <v>46295</v>
      </c>
      <c r="C703" s="34" t="s">
        <v>934</v>
      </c>
      <c r="D703" s="34" t="s">
        <v>935</v>
      </c>
      <c r="E703" s="34" t="s">
        <v>516</v>
      </c>
      <c r="F703" s="34"/>
      <c r="G703" s="34" t="s">
        <v>36</v>
      </c>
      <c r="H703" s="20" t="s">
        <v>993</v>
      </c>
      <c r="I703" s="34" t="s">
        <v>65</v>
      </c>
      <c r="J703" s="30">
        <v>480</v>
      </c>
      <c r="K703" s="22">
        <f>IF(I703="","",IF(I703="ENTRADA",ABS(J703),-ABS(J703)))</f>
        <v>-480</v>
      </c>
      <c r="L703" s="34" t="s">
        <v>37</v>
      </c>
      <c r="M703" s="34"/>
      <c r="N703">
        <v>65238</v>
      </c>
      <c r="O703" s="34" t="s">
        <v>237</v>
      </c>
      <c r="P703" s="34">
        <v>1964</v>
      </c>
      <c r="Q703" s="35">
        <v>46295</v>
      </c>
      <c r="R703" s="22" t="str">
        <f>IF(H703="","",H703&amp;I703)</f>
        <v>260914-621SALIDA</v>
      </c>
      <c r="S703" s="22" t="str">
        <f>IF(C703="","",C703&amp;I703)</f>
        <v>swing plusSALIDA</v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1040</v>
      </c>
      <c r="B704" s="47">
        <v>46295</v>
      </c>
      <c r="C704" t="s">
        <v>75</v>
      </c>
      <c r="D704" t="s">
        <v>76</v>
      </c>
      <c r="E704" t="s">
        <v>34</v>
      </c>
      <c r="F704" t="s">
        <v>35</v>
      </c>
      <c r="G704" t="s">
        <v>77</v>
      </c>
      <c r="H704" s="20" t="s">
        <v>94</v>
      </c>
      <c r="I704" t="s">
        <v>65</v>
      </c>
      <c r="J704" s="30">
        <v>180</v>
      </c>
      <c r="K704" s="22">
        <f>IF(I704="","",IF(I704="ENTRADA",ABS(J704),-ABS(J704)))</f>
        <v>-180</v>
      </c>
      <c r="L704" t="s">
        <v>37</v>
      </c>
      <c r="N704">
        <v>65238</v>
      </c>
      <c r="O704" t="s">
        <v>237</v>
      </c>
      <c r="P704">
        <v>1964</v>
      </c>
      <c r="Q704" s="47">
        <v>46295</v>
      </c>
      <c r="R704" s="22" t="str">
        <f>IF(H704="","",H704&amp;I704)</f>
        <v>260407-012SALIDA</v>
      </c>
      <c r="S704" s="22" t="str">
        <f>IF(C704="","",C704&amp;I704)</f>
        <v>Dedalo eliteSALIDA</v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1041</v>
      </c>
      <c r="B705" s="47">
        <v>46295</v>
      </c>
      <c r="C705" t="s">
        <v>59</v>
      </c>
      <c r="D705" t="s">
        <v>60</v>
      </c>
      <c r="E705" t="s">
        <v>34</v>
      </c>
      <c r="F705" t="s">
        <v>35</v>
      </c>
      <c r="H705" s="20" t="s">
        <v>68</v>
      </c>
      <c r="I705" t="s">
        <v>65</v>
      </c>
      <c r="J705" s="30">
        <v>10</v>
      </c>
      <c r="K705" s="22">
        <f>IF(I705="","",IF(I705="ENTRADA",ABS(J705),-ABS(J705)))</f>
        <v>-10</v>
      </c>
      <c r="L705" t="s">
        <v>37</v>
      </c>
      <c r="O705" t="s">
        <v>1042</v>
      </c>
      <c r="R705" s="22" t="str">
        <f>IF(H705="","",H705&amp;I705)</f>
        <v>260401-008SALIDA</v>
      </c>
      <c r="S705" s="22" t="str">
        <f>IF(C705="","",C705&amp;I705)</f>
        <v>Venceweed extraSALIDA</v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1043</v>
      </c>
      <c r="B706" s="47">
        <v>46296</v>
      </c>
      <c r="C706" t="s">
        <v>934</v>
      </c>
      <c r="D706" t="s">
        <v>935</v>
      </c>
      <c r="E706" t="s">
        <v>516</v>
      </c>
      <c r="G706" t="s">
        <v>36</v>
      </c>
      <c r="H706" s="20" t="s">
        <v>993</v>
      </c>
      <c r="I706" t="s">
        <v>65</v>
      </c>
      <c r="J706" s="30">
        <v>500</v>
      </c>
      <c r="K706" s="22">
        <f>IF(I706="","",IF(I706="ENTRADA",ABS(J706),-ABS(J706)))</f>
        <v>-500</v>
      </c>
      <c r="L706" t="s">
        <v>37</v>
      </c>
      <c r="N706">
        <v>65239</v>
      </c>
      <c r="O706" t="s">
        <v>213</v>
      </c>
      <c r="P706">
        <v>1970</v>
      </c>
      <c r="Q706" s="47">
        <v>46297</v>
      </c>
      <c r="R706" s="22" t="str">
        <f>IF(H706="","",H706&amp;I706)</f>
        <v>260914-621SALIDA</v>
      </c>
      <c r="S706" s="22" t="str">
        <f>IF(C706="","",C706&amp;I706)</f>
        <v>swing plusSALIDA</v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1044</v>
      </c>
      <c r="B707" s="47">
        <v>46296</v>
      </c>
      <c r="C707" t="s">
        <v>115</v>
      </c>
      <c r="D707" t="s">
        <v>116</v>
      </c>
      <c r="E707" t="s">
        <v>34</v>
      </c>
      <c r="F707" t="s">
        <v>35</v>
      </c>
      <c r="G707" t="s">
        <v>117</v>
      </c>
      <c r="H707" s="20" t="s">
        <v>813</v>
      </c>
      <c r="I707" t="s">
        <v>28</v>
      </c>
      <c r="J707" s="30">
        <v>21120</v>
      </c>
      <c r="K707" s="22">
        <f>IF(I707="","",IF(I707="ENTRADA",ABS(J707),-ABS(J707)))</f>
        <v>21120</v>
      </c>
      <c r="L707" t="s">
        <v>37</v>
      </c>
      <c r="N707">
        <v>51428</v>
      </c>
      <c r="P707">
        <v>15227</v>
      </c>
      <c r="Q707" s="47">
        <v>46297</v>
      </c>
      <c r="R707" s="22" t="str">
        <f>IF(H707="","",H707&amp;I707)</f>
        <v>260910-622ENTRADA</v>
      </c>
      <c r="S707" s="22" t="str">
        <f>IF(C707="","",C707&amp;I707)</f>
        <v>AzukaENTRADA</v>
      </c>
      <c r="T707" t="str">
        <f>IF(OR(C707="",I707&lt;&gt;"ENTRADA"),"",TEXT(B707,"AAMMDD")&amp;"-"&amp;TEXT(VALUE(SUBSTITUTE(A707,"MOV-","")),"000"))</f>
        <v>261001-709</v>
      </c>
    </row>
    <row r="708" spans="1:20">
      <c r="A708" s="20" t="s">
        <v>1045</v>
      </c>
      <c r="B708" s="47">
        <v>46296</v>
      </c>
      <c r="C708" t="s">
        <v>115</v>
      </c>
      <c r="D708" t="s">
        <v>116</v>
      </c>
      <c r="E708" t="s">
        <v>34</v>
      </c>
      <c r="F708" t="s">
        <v>35</v>
      </c>
      <c r="G708" t="s">
        <v>117</v>
      </c>
      <c r="H708" s="20" t="s">
        <v>813</v>
      </c>
      <c r="I708" t="s">
        <v>65</v>
      </c>
      <c r="J708" s="30">
        <v>1060</v>
      </c>
      <c r="K708" s="22">
        <f>IF(I708="","",IF(I708="ENTRADA",ABS(J708),-ABS(J708)))</f>
        <v>-1060</v>
      </c>
      <c r="L708" t="s">
        <v>37</v>
      </c>
      <c r="N708">
        <v>65241</v>
      </c>
      <c r="O708" t="s">
        <v>1023</v>
      </c>
      <c r="P708">
        <v>1973</v>
      </c>
      <c r="Q708" s="47">
        <v>46297</v>
      </c>
      <c r="R708" s="22" t="str">
        <f>IF(H708="","",H708&amp;I708)</f>
        <v>260910-622SALIDA</v>
      </c>
      <c r="S708" s="22" t="str">
        <f>IF(C708="","",C708&amp;I708)</f>
        <v>AzukaSALIDA</v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1046</v>
      </c>
      <c r="B709" s="47">
        <v>46296</v>
      </c>
      <c r="C709" t="s">
        <v>122</v>
      </c>
      <c r="D709" t="s">
        <v>123</v>
      </c>
      <c r="E709" t="s">
        <v>34</v>
      </c>
      <c r="F709" t="s">
        <v>35</v>
      </c>
      <c r="G709" t="s">
        <v>117</v>
      </c>
      <c r="H709" s="20" t="s">
        <v>939</v>
      </c>
      <c r="I709" t="s">
        <v>65</v>
      </c>
      <c r="J709" s="30">
        <v>300</v>
      </c>
      <c r="K709" s="22">
        <f>IF(I709="","",IF(I709="ENTRADA",ABS(J709),-ABS(J709)))</f>
        <v>-300</v>
      </c>
      <c r="L709" t="s">
        <v>37</v>
      </c>
      <c r="N709">
        <v>65241</v>
      </c>
      <c r="O709" t="s">
        <v>1023</v>
      </c>
      <c r="P709">
        <v>1973</v>
      </c>
      <c r="Q709" s="47">
        <v>46297</v>
      </c>
      <c r="R709" s="22" t="str">
        <f>IF(H709="","",H709&amp;I709)</f>
        <v>260727-380SALIDA</v>
      </c>
      <c r="S709" s="22" t="str">
        <f>IF(C709="","",C709&amp;I709)</f>
        <v>PardoSALIDA</v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1047</v>
      </c>
      <c r="B710" s="47">
        <v>46296</v>
      </c>
      <c r="C710" t="s">
        <v>657</v>
      </c>
      <c r="D710" t="s">
        <v>658</v>
      </c>
      <c r="E710" t="s">
        <v>132</v>
      </c>
      <c r="G710" t="s">
        <v>133</v>
      </c>
      <c r="H710" s="20" t="s">
        <v>660</v>
      </c>
      <c r="I710" t="s">
        <v>65</v>
      </c>
      <c r="J710" s="30">
        <v>30</v>
      </c>
      <c r="K710" s="22">
        <f>IF(I710="","",IF(I710="ENTRADA",ABS(J710),-ABS(J710)))</f>
        <v>-30</v>
      </c>
      <c r="L710" t="s">
        <v>37</v>
      </c>
      <c r="N710">
        <v>65241</v>
      </c>
      <c r="O710" t="s">
        <v>1023</v>
      </c>
      <c r="P710">
        <v>1973</v>
      </c>
      <c r="Q710" s="47">
        <v>46297</v>
      </c>
      <c r="R710" s="22" t="str">
        <f>IF(H710="","",H710&amp;I710)</f>
        <v>260729-393SALIDA</v>
      </c>
      <c r="S710" s="22" t="str">
        <f>IF(C710="","",C710&amp;I710)</f>
        <v>Harrier Drone SALIDA</v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1048</v>
      </c>
      <c r="B711" s="47">
        <v>46296</v>
      </c>
      <c r="C711" t="s">
        <v>90</v>
      </c>
      <c r="D711" t="s">
        <v>91</v>
      </c>
      <c r="E711" t="s">
        <v>34</v>
      </c>
      <c r="F711" t="s">
        <v>35</v>
      </c>
      <c r="G711" t="s">
        <v>36</v>
      </c>
      <c r="H711" s="20" t="s">
        <v>375</v>
      </c>
      <c r="I711" t="s">
        <v>65</v>
      </c>
      <c r="J711" s="30">
        <v>120</v>
      </c>
      <c r="K711" s="22">
        <f>IF(I711="","",IF(I711="ENTRADA",ABS(J711),-ABS(J711)))</f>
        <v>-120</v>
      </c>
      <c r="L711" t="s">
        <v>37</v>
      </c>
      <c r="N711">
        <v>65241</v>
      </c>
      <c r="O711" t="s">
        <v>1023</v>
      </c>
      <c r="P711">
        <v>1973</v>
      </c>
      <c r="Q711" s="47">
        <v>46297</v>
      </c>
      <c r="R711" s="22" t="str">
        <f>IF(H711="","",H711&amp;I711)</f>
        <v>260405-132SALIDA</v>
      </c>
      <c r="S711" s="22" t="str">
        <f>IF(C711="","",C711&amp;I711)</f>
        <v>PixxaroSALIDA</v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1049</v>
      </c>
      <c r="B712" s="47">
        <v>46297</v>
      </c>
      <c r="C712" t="s">
        <v>934</v>
      </c>
      <c r="D712" t="s">
        <v>935</v>
      </c>
      <c r="E712" t="s">
        <v>516</v>
      </c>
      <c r="G712" t="s">
        <v>36</v>
      </c>
      <c r="H712" s="20" t="s">
        <v>993</v>
      </c>
      <c r="I712" t="s">
        <v>65</v>
      </c>
      <c r="J712" s="30">
        <v>450</v>
      </c>
      <c r="K712" s="22">
        <f>IF(I712="","",IF(I712="ENTRADA",ABS(J712),-ABS(J712)))</f>
        <v>-450</v>
      </c>
      <c r="L712" t="s">
        <v>37</v>
      </c>
      <c r="N712">
        <v>65240</v>
      </c>
      <c r="O712" t="s">
        <v>218</v>
      </c>
      <c r="P712">
        <v>1974</v>
      </c>
      <c r="Q712" s="47">
        <v>46297</v>
      </c>
      <c r="R712" s="22" t="str">
        <f>IF(H712="","",H712&amp;I712)</f>
        <v>260914-621SALIDA</v>
      </c>
      <c r="S712" s="22" t="str">
        <f>IF(C712="","",C712&amp;I712)</f>
        <v>swing plusSALIDA</v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1050</v>
      </c>
      <c r="B713" s="47">
        <v>46297</v>
      </c>
      <c r="C713" t="s">
        <v>141</v>
      </c>
      <c r="D713" t="s">
        <v>142</v>
      </c>
      <c r="E713" t="s">
        <v>132</v>
      </c>
      <c r="G713" t="s">
        <v>133</v>
      </c>
      <c r="H713" s="20" t="s">
        <v>750</v>
      </c>
      <c r="I713" t="s">
        <v>65</v>
      </c>
      <c r="J713" s="30">
        <v>1</v>
      </c>
      <c r="K713" s="22">
        <f>IF(I713="","",IF(I713="ENTRADA",ABS(J713),-ABS(J713)))</f>
        <v>-1</v>
      </c>
      <c r="L713" t="s">
        <v>37</v>
      </c>
      <c r="N713">
        <v>65240</v>
      </c>
      <c r="O713" t="s">
        <v>218</v>
      </c>
      <c r="P713">
        <v>1974</v>
      </c>
      <c r="Q713" s="47">
        <v>46297</v>
      </c>
      <c r="R713" s="22" t="str">
        <f>IF(H713="","",H713&amp;I713)</f>
        <v>260827-473SALIDA</v>
      </c>
      <c r="S713" s="22" t="str">
        <f>IF(C713="","",C713&amp;I713)</f>
        <v>Maxi DropSALIDA</v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1051</v>
      </c>
      <c r="B714" s="47">
        <v>46297</v>
      </c>
      <c r="C714" s="34" t="s">
        <v>137</v>
      </c>
      <c r="D714" s="34" t="s">
        <v>138</v>
      </c>
      <c r="E714" s="34" t="s">
        <v>132</v>
      </c>
      <c r="F714" s="34"/>
      <c r="G714" s="34" t="s">
        <v>133</v>
      </c>
      <c r="H714" s="20" t="s">
        <v>211</v>
      </c>
      <c r="I714" s="34" t="s">
        <v>65</v>
      </c>
      <c r="J714" s="30">
        <v>6</v>
      </c>
      <c r="K714" s="22">
        <f>IF(I714="","",IF(I714="ENTRADA",ABS(J714),-ABS(J714)))</f>
        <v>-6</v>
      </c>
      <c r="L714" s="34" t="s">
        <v>37</v>
      </c>
      <c r="M714" s="34"/>
      <c r="N714">
        <v>65240</v>
      </c>
      <c r="O714" s="34" t="s">
        <v>218</v>
      </c>
      <c r="P714">
        <v>1974</v>
      </c>
      <c r="Q714" s="47">
        <v>46297</v>
      </c>
      <c r="R714" s="22" t="str">
        <f>IF(H714="","",H714&amp;I714)</f>
        <v>260414-030SALIDA</v>
      </c>
      <c r="S714" s="22" t="str">
        <f>IF(C714="","",C714&amp;I714)</f>
        <v>Full controlSALIDA</v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1052</v>
      </c>
      <c r="B715" s="47">
        <v>46297</v>
      </c>
      <c r="C715" t="s">
        <v>657</v>
      </c>
      <c r="D715" t="s">
        <v>658</v>
      </c>
      <c r="E715" t="s">
        <v>132</v>
      </c>
      <c r="G715" t="s">
        <v>133</v>
      </c>
      <c r="H715" s="20" t="s">
        <v>660</v>
      </c>
      <c r="I715" t="s">
        <v>65</v>
      </c>
      <c r="J715" s="30">
        <v>40</v>
      </c>
      <c r="K715" s="22">
        <f>IF(I715="","",IF(I715="ENTRADA",ABS(J715),-ABS(J715)))</f>
        <v>-40</v>
      </c>
      <c r="L715" t="s">
        <v>37</v>
      </c>
      <c r="N715">
        <v>65240</v>
      </c>
      <c r="O715" t="s">
        <v>218</v>
      </c>
      <c r="P715">
        <v>1974</v>
      </c>
      <c r="Q715" s="47">
        <v>46297</v>
      </c>
      <c r="R715" s="22" t="str">
        <f>IF(H715="","",H715&amp;I715)</f>
        <v>260729-393SALIDA</v>
      </c>
      <c r="S715" s="22" t="str">
        <f>IF(C715="","",C715&amp;I715)</f>
        <v>Harrier Drone SALIDA</v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1053</v>
      </c>
      <c r="B716" s="47">
        <v>46301</v>
      </c>
      <c r="C716" t="s">
        <v>1054</v>
      </c>
      <c r="D716" t="s">
        <v>1055</v>
      </c>
      <c r="E716" t="s">
        <v>25</v>
      </c>
      <c r="F716" t="s">
        <v>1056</v>
      </c>
      <c r="G716" t="s">
        <v>180</v>
      </c>
      <c r="H716" s="20" t="str">
        <f>+T716</f>
        <v>261006-718</v>
      </c>
      <c r="I716" t="s">
        <v>28</v>
      </c>
      <c r="J716" s="30">
        <v>834</v>
      </c>
      <c r="K716" s="22">
        <f>IF(I716="","",IF(I716="ENTRADA",ABS(J716),-ABS(J716)))</f>
        <v>834</v>
      </c>
      <c r="L716" t="s">
        <v>633</v>
      </c>
      <c r="N716">
        <v>8199</v>
      </c>
      <c r="P716">
        <v>15330</v>
      </c>
      <c r="Q716" s="47">
        <v>46317</v>
      </c>
      <c r="R716" s="22" t="str">
        <f>IF(H716="","",H716&amp;I716)</f>
        <v>261006-718ENTRADA</v>
      </c>
      <c r="S716" s="22" t="str">
        <f>IF(C716="","",C716&amp;I716)</f>
        <v>Sorgo forrajero adv 2800ENTRADA</v>
      </c>
      <c r="T716" t="str">
        <f>IF(OR(C716="",I716&lt;&gt;"ENTRADA"),"",TEXT(B716,"AAMMDD")&amp;"-"&amp;TEXT(VALUE(SUBSTITUTE(A716,"MOV-","")),"000"))</f>
        <v>261006-718</v>
      </c>
    </row>
    <row r="717" spans="1:20">
      <c r="A717" s="20" t="s">
        <v>1057</v>
      </c>
      <c r="B717" s="47">
        <v>46301</v>
      </c>
      <c r="C717" t="s">
        <v>1058</v>
      </c>
      <c r="D717" t="s">
        <v>1059</v>
      </c>
      <c r="E717" t="s">
        <v>25</v>
      </c>
      <c r="F717" t="s">
        <v>1056</v>
      </c>
      <c r="G717" t="s">
        <v>180</v>
      </c>
      <c r="H717" s="20" t="str">
        <f>+T717</f>
        <v>261006-719</v>
      </c>
      <c r="I717" t="s">
        <v>28</v>
      </c>
      <c r="J717" s="30">
        <v>125</v>
      </c>
      <c r="K717" s="22">
        <f>IF(I717="","",IF(I717="ENTRADA",ABS(J717),-ABS(J717)))</f>
        <v>125</v>
      </c>
      <c r="L717" t="s">
        <v>633</v>
      </c>
      <c r="N717">
        <v>8199</v>
      </c>
      <c r="P717">
        <v>15330</v>
      </c>
      <c r="Q717" s="47">
        <v>46317</v>
      </c>
      <c r="R717" s="22" t="str">
        <f>IF(H717="","",H717&amp;I717)</f>
        <v>261006-719ENTRADA</v>
      </c>
      <c r="S717" s="22" t="str">
        <f>IF(C717="","",C717&amp;I717)</f>
        <v>sorgo forrajero adv2850ENTRADA</v>
      </c>
      <c r="T717" t="str">
        <f>IF(OR(C717="",I717&lt;&gt;"ENTRADA"),"",TEXT(B717,"AAMMDD")&amp;"-"&amp;TEXT(VALUE(SUBSTITUTE(A717,"MOV-","")),"000"))</f>
        <v>261006-719</v>
      </c>
    </row>
    <row r="718" spans="1:20">
      <c r="A718" s="20" t="s">
        <v>1060</v>
      </c>
      <c r="B718" s="47">
        <v>46301</v>
      </c>
      <c r="C718" t="s">
        <v>1061</v>
      </c>
      <c r="D718" t="s">
        <v>1062</v>
      </c>
      <c r="E718" t="s">
        <v>34</v>
      </c>
      <c r="G718" t="s">
        <v>180</v>
      </c>
      <c r="H718" s="20" t="str">
        <f>+T718</f>
        <v>261006-720</v>
      </c>
      <c r="I718" t="s">
        <v>28</v>
      </c>
      <c r="J718" s="30">
        <v>18</v>
      </c>
      <c r="K718" s="22">
        <f>IF(I718="","",IF(I718="ENTRADA",ABS(J718),-ABS(J718)))</f>
        <v>18</v>
      </c>
      <c r="L718" t="s">
        <v>29</v>
      </c>
      <c r="N718">
        <v>7981</v>
      </c>
      <c r="P718">
        <v>15724</v>
      </c>
      <c r="Q718" s="47">
        <v>46309</v>
      </c>
      <c r="R718" s="22" t="str">
        <f>IF(H718="","",H718&amp;I718)</f>
        <v>261006-720ENTRADA</v>
      </c>
      <c r="S718" s="22" t="str">
        <f>IF(C718="","",C718&amp;I718)</f>
        <v>Semar ENTRADA</v>
      </c>
      <c r="T718" t="str">
        <f>IF(OR(C718="",I718&lt;&gt;"ENTRADA"),"",TEXT(B718,"AAMMDD")&amp;"-"&amp;TEXT(VALUE(SUBSTITUTE(A718,"MOV-","")),"000"))</f>
        <v>261006-720</v>
      </c>
    </row>
    <row r="719" spans="1:20">
      <c r="A719" s="20" t="s">
        <v>1063</v>
      </c>
      <c r="B719" s="47">
        <v>46301</v>
      </c>
      <c r="C719" t="s">
        <v>137</v>
      </c>
      <c r="D719" t="s">
        <v>138</v>
      </c>
      <c r="E719" t="s">
        <v>132</v>
      </c>
      <c r="G719" t="s">
        <v>133</v>
      </c>
      <c r="H719" s="20" t="s">
        <v>211</v>
      </c>
      <c r="I719" t="s">
        <v>65</v>
      </c>
      <c r="J719" s="30">
        <v>9</v>
      </c>
      <c r="K719" s="22">
        <f>IF(I719="","",IF(I719="ENTRADA",ABS(J719),-ABS(J719)))</f>
        <v>-9</v>
      </c>
      <c r="L719" t="s">
        <v>385</v>
      </c>
      <c r="N719">
        <v>65242</v>
      </c>
      <c r="O719" t="s">
        <v>218</v>
      </c>
      <c r="P719">
        <v>1977</v>
      </c>
      <c r="Q719" s="47">
        <v>46301</v>
      </c>
      <c r="R719" s="22" t="str">
        <f>IF(H719="","",H719&amp;I719)</f>
        <v>260414-030SALIDA</v>
      </c>
      <c r="S719" s="22" t="str">
        <f>IF(C719="","",C719&amp;I719)</f>
        <v>Full controlSALIDA</v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1064</v>
      </c>
      <c r="B720" s="47">
        <v>46301</v>
      </c>
      <c r="C720" t="s">
        <v>130</v>
      </c>
      <c r="D720" t="s">
        <v>131</v>
      </c>
      <c r="E720" t="s">
        <v>132</v>
      </c>
      <c r="G720" t="s">
        <v>133</v>
      </c>
      <c r="H720" s="20" t="s">
        <v>221</v>
      </c>
      <c r="I720" t="s">
        <v>65</v>
      </c>
      <c r="J720" s="30">
        <v>40</v>
      </c>
      <c r="K720" s="22">
        <f>IF(I720="","",IF(I720="ENTRADA",ABS(J720),-ABS(J720)))</f>
        <v>-40</v>
      </c>
      <c r="L720" t="s">
        <v>37</v>
      </c>
      <c r="N720">
        <v>65242</v>
      </c>
      <c r="O720" t="s">
        <v>218</v>
      </c>
      <c r="P720">
        <v>1977</v>
      </c>
      <c r="Q720" s="47">
        <v>46301</v>
      </c>
      <c r="R720" s="22" t="str">
        <f>IF(H720="","",H720&amp;I720)</f>
        <v>260414-029SALIDA</v>
      </c>
      <c r="S720" s="22" t="str">
        <f>IF(C720="","",C720&amp;I720)</f>
        <v>HarrierSALIDA</v>
      </c>
      <c r="T720" t="str">
        <f>IF(OR(C720="",I720&lt;&gt;"ENTRADA"),"",TEXT(B720,"AAMMDD")&amp;"-"&amp;TEXT(VALUE(SUBSTITUTE(A720,"MOV-","")),"000"))</f>
        <v/>
      </c>
    </row>
    <row r="721" spans="1:22">
      <c r="A721" s="20" t="s">
        <v>1065</v>
      </c>
      <c r="B721" s="47">
        <v>46301</v>
      </c>
      <c r="C721" t="s">
        <v>944</v>
      </c>
      <c r="D721" t="s">
        <v>945</v>
      </c>
      <c r="E721" t="s">
        <v>516</v>
      </c>
      <c r="G721" t="s">
        <v>779</v>
      </c>
      <c r="H721" s="20" t="s">
        <v>970</v>
      </c>
      <c r="I721" t="s">
        <v>65</v>
      </c>
      <c r="J721" s="30">
        <v>34</v>
      </c>
      <c r="K721" s="22">
        <f>IF(I721="","",IF(I721="ENTRADA",ABS(J721),-ABS(J721)))</f>
        <v>-34</v>
      </c>
      <c r="L721" t="s">
        <v>56</v>
      </c>
      <c r="N721">
        <v>65242</v>
      </c>
      <c r="O721" t="s">
        <v>218</v>
      </c>
      <c r="P721">
        <v>1977</v>
      </c>
      <c r="Q721" s="47">
        <v>46301</v>
      </c>
      <c r="R721" s="22" t="str">
        <f>IF(H721="","",H721&amp;I721)</f>
        <v>260917-626SALIDA</v>
      </c>
      <c r="S721" s="22" t="str">
        <f>IF(C721="","",C721&amp;I721)</f>
        <v>Miravis triple packSALIDA</v>
      </c>
      <c r="T721" t="str">
        <f>IF(OR(C721="",I721&lt;&gt;"ENTRADA"),"",TEXT(B721,"AAMMDD")&amp;"-"&amp;TEXT(VALUE(SUBSTITUTE(A721,"MOV-","")),"000"))</f>
        <v/>
      </c>
    </row>
    <row r="722" spans="1:22">
      <c r="A722" s="20" t="s">
        <v>1066</v>
      </c>
      <c r="B722" s="47">
        <v>46301</v>
      </c>
      <c r="C722" t="s">
        <v>1054</v>
      </c>
      <c r="D722" t="s">
        <v>1055</v>
      </c>
      <c r="E722" t="s">
        <v>25</v>
      </c>
      <c r="F722" t="s">
        <v>1056</v>
      </c>
      <c r="G722" t="s">
        <v>180</v>
      </c>
      <c r="H722" s="20" t="s">
        <v>1067</v>
      </c>
      <c r="I722" t="s">
        <v>65</v>
      </c>
      <c r="J722" s="30">
        <v>115</v>
      </c>
      <c r="K722" s="22">
        <f>IF(I722="","",IF(I722="ENTRADA",ABS(J722),-ABS(J722)))</f>
        <v>-115</v>
      </c>
      <c r="L722" t="s">
        <v>633</v>
      </c>
      <c r="N722">
        <v>65243</v>
      </c>
      <c r="O722" t="s">
        <v>237</v>
      </c>
      <c r="P722">
        <v>2016</v>
      </c>
      <c r="Q722" s="47">
        <v>46317</v>
      </c>
      <c r="R722" s="22" t="str">
        <f>IF(H722="","",H722&amp;I722)</f>
        <v>261006-718SALIDA</v>
      </c>
      <c r="S722" s="22" t="str">
        <f>IF(C722="","",C722&amp;I722)</f>
        <v>Sorgo forrajero adv 2800SALIDA</v>
      </c>
      <c r="T722" t="str">
        <f>IF(OR(C722="",I722&lt;&gt;"ENTRADA"),"",TEXT(B722,"AAMMDD")&amp;"-"&amp;TEXT(VALUE(SUBSTITUTE(A722,"MOV-","")),"000"))</f>
        <v/>
      </c>
    </row>
    <row r="723" spans="1:22">
      <c r="A723" s="20" t="s">
        <v>1068</v>
      </c>
      <c r="B723" s="47">
        <v>46301</v>
      </c>
      <c r="C723" t="s">
        <v>657</v>
      </c>
      <c r="D723" t="s">
        <v>658</v>
      </c>
      <c r="E723" t="s">
        <v>132</v>
      </c>
      <c r="G723" t="s">
        <v>133</v>
      </c>
      <c r="H723" s="20" t="s">
        <v>660</v>
      </c>
      <c r="I723" t="s">
        <v>28</v>
      </c>
      <c r="J723" s="30">
        <v>500</v>
      </c>
      <c r="K723" s="22">
        <f>IF(I723="","",IF(I723="ENTRADA",ABS(J723),-ABS(J723)))</f>
        <v>500</v>
      </c>
      <c r="L723" t="s">
        <v>37</v>
      </c>
      <c r="N723">
        <v>489</v>
      </c>
      <c r="P723">
        <v>15271</v>
      </c>
      <c r="Q723" s="47">
        <v>46309</v>
      </c>
      <c r="R723" s="22" t="str">
        <f>IF(H723="","",H723&amp;I723)</f>
        <v>260729-393ENTRADA</v>
      </c>
      <c r="S723" s="22" t="str">
        <f>IF(C723="","",C723&amp;I723)</f>
        <v>Harrier Drone ENTRADA</v>
      </c>
      <c r="T723" t="str">
        <f>IF(OR(C723="",I723&lt;&gt;"ENTRADA"),"",TEXT(B723,"AAMMDD")&amp;"-"&amp;TEXT(VALUE(SUBSTITUTE(A723,"MOV-","")),"000"))</f>
        <v>261006-725</v>
      </c>
    </row>
    <row r="724" spans="1:22">
      <c r="A724" s="20" t="s">
        <v>1069</v>
      </c>
      <c r="B724" s="47">
        <v>46301</v>
      </c>
      <c r="C724" t="s">
        <v>130</v>
      </c>
      <c r="D724" t="s">
        <v>131</v>
      </c>
      <c r="E724" t="s">
        <v>132</v>
      </c>
      <c r="G724" t="s">
        <v>133</v>
      </c>
      <c r="H724" s="20" t="s">
        <v>221</v>
      </c>
      <c r="I724" t="s">
        <v>65</v>
      </c>
      <c r="J724" s="30">
        <v>500</v>
      </c>
      <c r="K724" s="22">
        <f>IF(I724="","",IF(I724="ENTRADA",ABS(J724),-ABS(J724)))</f>
        <v>-500</v>
      </c>
      <c r="L724" t="s">
        <v>37</v>
      </c>
      <c r="N724">
        <v>65244</v>
      </c>
      <c r="O724" t="s">
        <v>213</v>
      </c>
      <c r="P724">
        <v>2017</v>
      </c>
      <c r="Q724" s="47">
        <v>46317</v>
      </c>
      <c r="R724" s="22" t="str">
        <f>IF(H724="","",H724&amp;I724)</f>
        <v>260414-029SALIDA</v>
      </c>
      <c r="S724" s="22" t="str">
        <f>IF(C724="","",C724&amp;I724)</f>
        <v>HarrierSALIDA</v>
      </c>
      <c r="T724" t="str">
        <f>IF(OR(C724="",I724&lt;&gt;"ENTRADA"),"",TEXT(B724,"AAMMDD")&amp;"-"&amp;TEXT(VALUE(SUBSTITUTE(A724,"MOV-","")),"000"))</f>
        <v/>
      </c>
    </row>
    <row r="725" spans="1:22">
      <c r="A725" s="20" t="s">
        <v>1070</v>
      </c>
      <c r="B725" s="47">
        <v>46301</v>
      </c>
      <c r="C725" s="34" t="s">
        <v>1054</v>
      </c>
      <c r="D725" s="34" t="s">
        <v>1055</v>
      </c>
      <c r="E725" s="34" t="s">
        <v>25</v>
      </c>
      <c r="F725" s="34" t="s">
        <v>1056</v>
      </c>
      <c r="G725" s="34" t="s">
        <v>180</v>
      </c>
      <c r="H725" s="20" t="s">
        <v>1067</v>
      </c>
      <c r="I725" s="34" t="s">
        <v>65</v>
      </c>
      <c r="J725" s="30">
        <v>115</v>
      </c>
      <c r="K725" s="22">
        <f>IF(I725="","",IF(I725="ENTRADA",ABS(J725),-ABS(J725)))</f>
        <v>-115</v>
      </c>
      <c r="L725" s="34" t="s">
        <v>633</v>
      </c>
      <c r="M725" s="34"/>
      <c r="N725">
        <v>65244</v>
      </c>
      <c r="O725" s="34" t="s">
        <v>213</v>
      </c>
      <c r="P725">
        <v>2017</v>
      </c>
      <c r="Q725" s="47">
        <v>46317</v>
      </c>
      <c r="R725" s="22" t="str">
        <f>IF(H725="","",H725&amp;I725)</f>
        <v>261006-718SALIDA</v>
      </c>
      <c r="S725" s="22" t="str">
        <f>IF(C725="","",C725&amp;I725)</f>
        <v>Sorgo forrajero adv 2800SALIDA</v>
      </c>
      <c r="T725" t="str">
        <f>IF(OR(C725="",I725&lt;&gt;"ENTRADA"),"",TEXT(B725,"AAMMDD")&amp;"-"&amp;TEXT(VALUE(SUBSTITUTE(A725,"MOV-","")),"000"))</f>
        <v/>
      </c>
    </row>
    <row r="726" spans="1:22">
      <c r="A726" s="20" t="s">
        <v>1071</v>
      </c>
      <c r="B726" s="47">
        <v>46302</v>
      </c>
      <c r="C726" t="s">
        <v>934</v>
      </c>
      <c r="D726" t="s">
        <v>935</v>
      </c>
      <c r="E726" t="s">
        <v>516</v>
      </c>
      <c r="G726" t="s">
        <v>36</v>
      </c>
      <c r="H726" s="20" t="s">
        <v>993</v>
      </c>
      <c r="I726" t="s">
        <v>65</v>
      </c>
      <c r="J726" s="30">
        <v>190</v>
      </c>
      <c r="K726" s="22">
        <f>IF(I726="","",IF(I726="ENTRADA",ABS(J726),-ABS(J726)))</f>
        <v>-190</v>
      </c>
      <c r="L726" t="s">
        <v>37</v>
      </c>
      <c r="N726">
        <v>65245</v>
      </c>
      <c r="O726" t="s">
        <v>218</v>
      </c>
      <c r="P726">
        <v>1982</v>
      </c>
      <c r="Q726" s="47">
        <v>46315</v>
      </c>
      <c r="R726" s="22" t="str">
        <f>IF(H726="","",H726&amp;I726)</f>
        <v>260914-621SALIDA</v>
      </c>
      <c r="S726" s="22" t="str">
        <f>IF(C726="","",C726&amp;I726)</f>
        <v>swing plusSALIDA</v>
      </c>
      <c r="T726" t="str">
        <f>IF(OR(C726="",I726&lt;&gt;"ENTRADA"),"",TEXT(B726,"AAMMDD")&amp;"-"&amp;TEXT(VALUE(SUBSTITUTE(A726,"MOV-","")),"000"))</f>
        <v/>
      </c>
    </row>
    <row r="727" spans="1:22">
      <c r="A727" s="20" t="s">
        <v>1072</v>
      </c>
      <c r="B727" s="47">
        <v>46302</v>
      </c>
      <c r="C727" t="s">
        <v>141</v>
      </c>
      <c r="D727" t="s">
        <v>142</v>
      </c>
      <c r="E727" t="s">
        <v>132</v>
      </c>
      <c r="G727" t="s">
        <v>133</v>
      </c>
      <c r="H727" s="20" t="s">
        <v>750</v>
      </c>
      <c r="I727" t="s">
        <v>65</v>
      </c>
      <c r="J727" s="30">
        <v>1</v>
      </c>
      <c r="K727" s="22">
        <f>IF(I727="","",IF(I727="ENTRADA",ABS(J727),-ABS(J727)))</f>
        <v>-1</v>
      </c>
      <c r="L727" t="s">
        <v>37</v>
      </c>
      <c r="N727">
        <v>65245</v>
      </c>
      <c r="O727" t="s">
        <v>218</v>
      </c>
      <c r="P727">
        <v>1982</v>
      </c>
      <c r="Q727" s="47">
        <v>46315</v>
      </c>
      <c r="R727" s="22" t="str">
        <f>IF(H727="","",H727&amp;I727)</f>
        <v>260827-473SALIDA</v>
      </c>
      <c r="S727" s="22" t="str">
        <f>IF(C727="","",C727&amp;I727)</f>
        <v>Maxi DropSALIDA</v>
      </c>
      <c r="T727" t="str">
        <f>IF(OR(C727="",I727&lt;&gt;"ENTRADA"),"",TEXT(B727,"AAMMDD")&amp;"-"&amp;TEXT(VALUE(SUBSTITUTE(A727,"MOV-","")),"000"))</f>
        <v/>
      </c>
    </row>
    <row r="728" spans="1:22">
      <c r="A728" s="20" t="s">
        <v>1073</v>
      </c>
      <c r="B728" s="47">
        <v>46302</v>
      </c>
      <c r="C728" t="s">
        <v>657</v>
      </c>
      <c r="D728" t="s">
        <v>658</v>
      </c>
      <c r="E728" t="s">
        <v>132</v>
      </c>
      <c r="G728" t="s">
        <v>133</v>
      </c>
      <c r="H728" s="20" t="s">
        <v>660</v>
      </c>
      <c r="I728" t="s">
        <v>65</v>
      </c>
      <c r="J728" s="30">
        <v>20</v>
      </c>
      <c r="K728" s="22">
        <f>IF(I728="","",IF(I728="ENTRADA",ABS(J728),-ABS(J728)))</f>
        <v>-20</v>
      </c>
      <c r="L728" t="s">
        <v>37</v>
      </c>
      <c r="N728">
        <v>65245</v>
      </c>
      <c r="O728" t="s">
        <v>218</v>
      </c>
      <c r="P728">
        <v>1982</v>
      </c>
      <c r="Q728" s="47">
        <v>46315</v>
      </c>
      <c r="R728" s="22" t="str">
        <f>IF(H728="","",H728&amp;I728)</f>
        <v>260729-393SALIDA</v>
      </c>
      <c r="S728" s="22" t="str">
        <f>IF(C728="","",C728&amp;I728)</f>
        <v>Harrier Drone SALIDA</v>
      </c>
      <c r="T728" t="str">
        <f>IF(OR(C728="",I728&lt;&gt;"ENTRADA"),"",TEXT(B728,"AAMMDD")&amp;"-"&amp;TEXT(VALUE(SUBSTITUTE(A728,"MOV-","")),"000"))</f>
        <v/>
      </c>
    </row>
    <row r="729" spans="1:22">
      <c r="A729" s="20" t="s">
        <v>1074</v>
      </c>
      <c r="B729" s="47">
        <v>46302</v>
      </c>
      <c r="C729" t="s">
        <v>944</v>
      </c>
      <c r="D729" t="s">
        <v>945</v>
      </c>
      <c r="E729" t="s">
        <v>516</v>
      </c>
      <c r="G729" t="s">
        <v>779</v>
      </c>
      <c r="H729" s="20" t="s">
        <v>970</v>
      </c>
      <c r="I729" t="s">
        <v>65</v>
      </c>
      <c r="J729" s="30">
        <v>3</v>
      </c>
      <c r="K729" s="22">
        <f>IF(I729="","",IF(I729="ENTRADA",ABS(J729),-ABS(J729)))</f>
        <v>-3</v>
      </c>
      <c r="L729" t="s">
        <v>1075</v>
      </c>
      <c r="N729">
        <v>65245</v>
      </c>
      <c r="O729" t="s">
        <v>218</v>
      </c>
      <c r="P729">
        <v>1982</v>
      </c>
      <c r="Q729" s="47">
        <v>46315</v>
      </c>
      <c r="R729" s="22" t="str">
        <f>IF(H729="","",H729&amp;I729)</f>
        <v>260917-626SALIDA</v>
      </c>
      <c r="S729" s="22" t="str">
        <f>IF(C729="","",C729&amp;I729)</f>
        <v>Miravis triple packSALIDA</v>
      </c>
      <c r="T729" t="str">
        <f>IF(OR(C729="",I729&lt;&gt;"ENTRADA"),"",TEXT(B729,"AAMMDD")&amp;"-"&amp;TEXT(VALUE(SUBSTITUTE(A729,"MOV-","")),"000"))</f>
        <v/>
      </c>
    </row>
    <row r="730" spans="1:22">
      <c r="A730" s="20" t="s">
        <v>1076</v>
      </c>
      <c r="B730" s="47">
        <v>46302</v>
      </c>
      <c r="C730" t="s">
        <v>137</v>
      </c>
      <c r="D730" t="s">
        <v>138</v>
      </c>
      <c r="E730" t="s">
        <v>132</v>
      </c>
      <c r="G730" t="s">
        <v>133</v>
      </c>
      <c r="H730" s="20" t="s">
        <v>211</v>
      </c>
      <c r="I730" t="s">
        <v>65</v>
      </c>
      <c r="J730" s="30">
        <v>3</v>
      </c>
      <c r="K730" s="22">
        <f>IF(I730="","",IF(I730="ENTRADA",ABS(J730),-ABS(J730)))</f>
        <v>-3</v>
      </c>
      <c r="L730" t="s">
        <v>37</v>
      </c>
      <c r="N730">
        <v>65245</v>
      </c>
      <c r="O730" t="s">
        <v>218</v>
      </c>
      <c r="P730">
        <v>1982</v>
      </c>
      <c r="Q730" s="47">
        <v>46315</v>
      </c>
      <c r="R730" s="22" t="str">
        <f>IF(H730="","",H730&amp;I730)</f>
        <v>260414-030SALIDA</v>
      </c>
      <c r="S730" s="22" t="str">
        <f>IF(C730="","",C730&amp;I730)</f>
        <v>Full controlSALIDA</v>
      </c>
      <c r="T730" t="str">
        <f>IF(OR(C730="",I730&lt;&gt;"ENTRADA"),"",TEXT(B730,"AAMMDD")&amp;"-"&amp;TEXT(VALUE(SUBSTITUTE(A730,"MOV-","")),"000"))</f>
        <v/>
      </c>
    </row>
    <row r="731" spans="1:22">
      <c r="A731" s="20" t="s">
        <v>1077</v>
      </c>
      <c r="B731" s="47">
        <v>46303</v>
      </c>
      <c r="C731" t="s">
        <v>841</v>
      </c>
      <c r="D731" t="s">
        <v>631</v>
      </c>
      <c r="E731" t="s">
        <v>25</v>
      </c>
      <c r="F731" t="s">
        <v>632</v>
      </c>
      <c r="G731" t="s">
        <v>301</v>
      </c>
      <c r="H731" s="20" t="s">
        <v>842</v>
      </c>
      <c r="I731" t="s">
        <v>28</v>
      </c>
      <c r="J731" s="30">
        <v>20</v>
      </c>
      <c r="K731" s="22">
        <f>IF(I731="","",IF(I731="ENTRADA",ABS(J731),-ABS(J731)))</f>
        <v>20</v>
      </c>
      <c r="L731" t="s">
        <v>633</v>
      </c>
      <c r="N731">
        <v>20</v>
      </c>
      <c r="P731">
        <v>15251</v>
      </c>
      <c r="Q731" s="47">
        <v>46303</v>
      </c>
      <c r="R731" s="22" t="str">
        <f>IF(H731="","",H731&amp;I731)</f>
        <v>260903-531ENTRADA</v>
      </c>
      <c r="S731" s="22" t="str">
        <f>IF(C731="","",C731&amp;I731)</f>
        <v>Maiz Nk 800 tgcl refugio ENTRADA</v>
      </c>
      <c r="T731" t="str">
        <f>IF(OR(C731="",I731&lt;&gt;"ENTRADA"),"",TEXT(B731,"AAMMDD")&amp;"-"&amp;TEXT(VALUE(SUBSTITUTE(A731,"MOV-","")),"000"))</f>
        <v>261008-733</v>
      </c>
    </row>
    <row r="732" spans="1:22">
      <c r="A732" s="20" t="s">
        <v>1078</v>
      </c>
      <c r="B732" s="47">
        <v>46303</v>
      </c>
      <c r="C732" t="s">
        <v>1058</v>
      </c>
      <c r="D732" t="s">
        <v>1059</v>
      </c>
      <c r="E732" t="s">
        <v>25</v>
      </c>
      <c r="F732" t="s">
        <v>1056</v>
      </c>
      <c r="G732" t="s">
        <v>180</v>
      </c>
      <c r="H732" s="20" t="s">
        <v>1079</v>
      </c>
      <c r="I732" t="s">
        <v>65</v>
      </c>
      <c r="J732" s="30">
        <v>38</v>
      </c>
      <c r="K732" s="22">
        <f>IF(I732="","",IF(I732="ENTRADA",ABS(J732),-ABS(J732)))</f>
        <v>-38</v>
      </c>
      <c r="L732" t="s">
        <v>633</v>
      </c>
      <c r="N732">
        <v>65247</v>
      </c>
      <c r="O732" t="s">
        <v>213</v>
      </c>
      <c r="P732">
        <v>2010</v>
      </c>
      <c r="Q732" s="47">
        <v>46317</v>
      </c>
      <c r="R732" s="22" t="str">
        <f>IF(H732="","",H732&amp;I732)</f>
        <v>261006-719SALIDA</v>
      </c>
      <c r="S732" s="22" t="str">
        <f>IF(C732="","",C732&amp;I732)</f>
        <v>sorgo forrajero adv2850SALIDA</v>
      </c>
      <c r="T732" t="str">
        <f>IF(OR(C732="",I732&lt;&gt;"ENTRADA"),"",TEXT(B732,"AAMMDD")&amp;"-"&amp;TEXT(VALUE(SUBSTITUTE(A732,"MOV-","")),"000"))</f>
        <v/>
      </c>
      <c r="V732" t="s">
        <v>1080</v>
      </c>
    </row>
    <row r="733" spans="1:22">
      <c r="A733" s="20" t="s">
        <v>1081</v>
      </c>
      <c r="B733" s="47">
        <v>46304</v>
      </c>
      <c r="C733" t="s">
        <v>122</v>
      </c>
      <c r="D733" t="s">
        <v>123</v>
      </c>
      <c r="E733" t="s">
        <v>34</v>
      </c>
      <c r="F733" t="s">
        <v>35</v>
      </c>
      <c r="G733" t="s">
        <v>117</v>
      </c>
      <c r="H733" s="20" t="s">
        <v>939</v>
      </c>
      <c r="I733" t="s">
        <v>65</v>
      </c>
      <c r="J733" s="30">
        <v>640</v>
      </c>
      <c r="K733" s="22">
        <f>IF(I733="","",IF(I733="ENTRADA",ABS(J733),-ABS(J733)))</f>
        <v>-640</v>
      </c>
      <c r="L733" t="s">
        <v>37</v>
      </c>
      <c r="N733">
        <v>65248</v>
      </c>
      <c r="O733" t="s">
        <v>66</v>
      </c>
      <c r="P733">
        <v>2014</v>
      </c>
      <c r="Q733" s="47">
        <v>46317</v>
      </c>
      <c r="R733" s="22" t="str">
        <f>IF(H733="","",H733&amp;I733)</f>
        <v>260727-380SALIDA</v>
      </c>
      <c r="S733" s="22" t="str">
        <f>IF(C733="","",C733&amp;I733)</f>
        <v>PardoSALIDA</v>
      </c>
      <c r="T733" t="str">
        <f>IF(OR(C733="",I733&lt;&gt;"ENTRADA"),"",TEXT(B733,"AAMMDD")&amp;"-"&amp;TEXT(VALUE(SUBSTITUTE(A733,"MOV-","")),"000"))</f>
        <v/>
      </c>
      <c r="V733" t="s">
        <v>1082</v>
      </c>
    </row>
    <row r="734" spans="1:22">
      <c r="A734" s="20" t="s">
        <v>1083</v>
      </c>
      <c r="B734" s="47">
        <v>46304</v>
      </c>
      <c r="C734" t="s">
        <v>1061</v>
      </c>
      <c r="D734" t="s">
        <v>1062</v>
      </c>
      <c r="E734" t="s">
        <v>34</v>
      </c>
      <c r="G734" t="s">
        <v>180</v>
      </c>
      <c r="H734" s="20" t="s">
        <v>1084</v>
      </c>
      <c r="I734" t="s">
        <v>65</v>
      </c>
      <c r="J734" s="30">
        <v>15</v>
      </c>
      <c r="K734" s="22">
        <f>IF(I734="","",IF(I734="ENTRADA",ABS(J734),-ABS(J734)))</f>
        <v>-15</v>
      </c>
      <c r="L734" t="s">
        <v>29</v>
      </c>
      <c r="N734">
        <v>65248</v>
      </c>
      <c r="O734" t="s">
        <v>66</v>
      </c>
      <c r="P734">
        <v>2014</v>
      </c>
      <c r="Q734" s="47">
        <v>46317</v>
      </c>
      <c r="R734" s="22" t="str">
        <f>IF(H734="","",H734&amp;I734)</f>
        <v>261006-720SALIDA</v>
      </c>
      <c r="S734" s="22" t="str">
        <f>IF(C734="","",C734&amp;I734)</f>
        <v>Semar SALIDA</v>
      </c>
      <c r="T734" t="str">
        <f>IF(OR(C734="",I734&lt;&gt;"ENTRADA"),"",TEXT(B734,"AAMMDD")&amp;"-"&amp;TEXT(VALUE(SUBSTITUTE(A734,"MOV-","")),"000"))</f>
        <v/>
      </c>
      <c r="V734" t="s">
        <v>1082</v>
      </c>
    </row>
    <row r="735" spans="1:22">
      <c r="A735" s="20" t="s">
        <v>1085</v>
      </c>
      <c r="B735" s="47">
        <v>46304</v>
      </c>
      <c r="C735" t="s">
        <v>784</v>
      </c>
      <c r="D735" t="s">
        <v>785</v>
      </c>
      <c r="E735" t="s">
        <v>34</v>
      </c>
      <c r="F735" t="s">
        <v>46</v>
      </c>
      <c r="G735" t="s">
        <v>27</v>
      </c>
      <c r="H735" s="20" t="s">
        <v>798</v>
      </c>
      <c r="I735" t="s">
        <v>65</v>
      </c>
      <c r="J735" s="30">
        <v>180</v>
      </c>
      <c r="K735" s="22">
        <f>IF(I735="","",IF(I735="ENTRADA",ABS(J735),-ABS(J735)))</f>
        <v>-180</v>
      </c>
      <c r="L735" t="s">
        <v>29</v>
      </c>
      <c r="N735">
        <v>65248</v>
      </c>
      <c r="O735" t="s">
        <v>66</v>
      </c>
      <c r="P735">
        <v>2014</v>
      </c>
      <c r="Q735" s="47">
        <v>46317</v>
      </c>
      <c r="R735" s="22" t="str">
        <f>IF(H735="","",H735&amp;I735)</f>
        <v>260801-489SALIDA</v>
      </c>
      <c r="S735" s="22" t="str">
        <f>IF(C735="","",C735&amp;I735)</f>
        <v>PyroxateSALIDA</v>
      </c>
      <c r="T735" t="str">
        <f>IF(OR(C735="",I735&lt;&gt;"ENTRADA"),"",TEXT(B735,"AAMMDD")&amp;"-"&amp;TEXT(VALUE(SUBSTITUTE(A735,"MOV-","")),"000"))</f>
        <v/>
      </c>
      <c r="V735" t="s">
        <v>1082</v>
      </c>
    </row>
    <row r="736" spans="1:22">
      <c r="A736" s="20" t="s">
        <v>1086</v>
      </c>
      <c r="B736" s="47">
        <v>46304</v>
      </c>
      <c r="C736" s="34" t="s">
        <v>115</v>
      </c>
      <c r="D736" s="34" t="s">
        <v>116</v>
      </c>
      <c r="E736" s="34" t="s">
        <v>34</v>
      </c>
      <c r="F736" s="34" t="s">
        <v>35</v>
      </c>
      <c r="G736" s="34" t="s">
        <v>117</v>
      </c>
      <c r="H736" s="20" t="s">
        <v>813</v>
      </c>
      <c r="I736" s="34" t="s">
        <v>65</v>
      </c>
      <c r="J736" s="30">
        <v>2000</v>
      </c>
      <c r="K736" s="22">
        <f>IF(I736="","",IF(I736="ENTRADA",ABS(J736),-ABS(J736)))</f>
        <v>-2000</v>
      </c>
      <c r="L736" s="34" t="s">
        <v>37</v>
      </c>
      <c r="M736" s="34"/>
      <c r="N736">
        <v>65248</v>
      </c>
      <c r="O736" s="34" t="s">
        <v>66</v>
      </c>
      <c r="P736">
        <v>2014</v>
      </c>
      <c r="Q736" s="47">
        <v>46317</v>
      </c>
      <c r="R736" s="22" t="str">
        <f>IF(H736="","",H736&amp;I736)</f>
        <v>260910-622SALIDA</v>
      </c>
      <c r="S736" s="22" t="str">
        <f>IF(C736="","",C736&amp;I736)</f>
        <v>AzukaSALIDA</v>
      </c>
      <c r="T736" t="str">
        <f>IF(OR(C736="",I736&lt;&gt;"ENTRADA"),"",TEXT(B736,"AAMMDD")&amp;"-"&amp;TEXT(VALUE(SUBSTITUTE(A736,"MOV-","")),"000"))</f>
        <v/>
      </c>
      <c r="V736" t="s">
        <v>1082</v>
      </c>
    </row>
    <row r="737" spans="1:22">
      <c r="A737" s="20" t="s">
        <v>1087</v>
      </c>
      <c r="B737" s="47">
        <v>46304</v>
      </c>
      <c r="C737" t="s">
        <v>1058</v>
      </c>
      <c r="D737" t="s">
        <v>1059</v>
      </c>
      <c r="E737" t="s">
        <v>25</v>
      </c>
      <c r="F737" t="s">
        <v>1056</v>
      </c>
      <c r="G737" t="s">
        <v>180</v>
      </c>
      <c r="H737" s="20" t="s">
        <v>1079</v>
      </c>
      <c r="I737" t="s">
        <v>65</v>
      </c>
      <c r="J737" s="30">
        <v>87</v>
      </c>
      <c r="K737" s="22">
        <f>IF(I737="","",IF(I737="ENTRADA",ABS(J737),-ABS(J737)))</f>
        <v>-87</v>
      </c>
      <c r="L737" t="s">
        <v>633</v>
      </c>
      <c r="N737">
        <v>65248</v>
      </c>
      <c r="O737" t="s">
        <v>66</v>
      </c>
      <c r="P737">
        <v>2014</v>
      </c>
      <c r="Q737" s="47">
        <v>46317</v>
      </c>
      <c r="R737" s="22" t="str">
        <f>IF(H737="","",H737&amp;I737)</f>
        <v>261006-719SALIDA</v>
      </c>
      <c r="S737" s="22" t="str">
        <f>IF(C737="","",C737&amp;I737)</f>
        <v>sorgo forrajero adv2850SALIDA</v>
      </c>
      <c r="T737" t="str">
        <f>IF(OR(C737="",I737&lt;&gt;"ENTRADA"),"",TEXT(B737,"AAMMDD")&amp;"-"&amp;TEXT(VALUE(SUBSTITUTE(A737,"MOV-","")),"000"))</f>
        <v/>
      </c>
      <c r="V737" t="s">
        <v>1082</v>
      </c>
    </row>
    <row r="738" spans="1:22">
      <c r="A738" s="20" t="s">
        <v>1088</v>
      </c>
      <c r="B738" s="47">
        <v>46304</v>
      </c>
      <c r="C738" t="s">
        <v>1054</v>
      </c>
      <c r="D738" t="s">
        <v>1055</v>
      </c>
      <c r="E738" t="s">
        <v>25</v>
      </c>
      <c r="F738" t="s">
        <v>1056</v>
      </c>
      <c r="G738" t="s">
        <v>180</v>
      </c>
      <c r="H738" s="20" t="s">
        <v>1067</v>
      </c>
      <c r="I738" t="s">
        <v>65</v>
      </c>
      <c r="J738" s="30">
        <v>32</v>
      </c>
      <c r="K738" s="22">
        <f>IF(I738="","",IF(I738="ENTRADA",ABS(J738),-ABS(J738)))</f>
        <v>-32</v>
      </c>
      <c r="L738" t="s">
        <v>633</v>
      </c>
      <c r="N738">
        <v>65248</v>
      </c>
      <c r="O738" t="s">
        <v>66</v>
      </c>
      <c r="P738">
        <v>2014</v>
      </c>
      <c r="Q738" s="47">
        <v>46317</v>
      </c>
      <c r="R738" s="22" t="str">
        <f>IF(H738="","",H738&amp;I738)</f>
        <v>261006-718SALIDA</v>
      </c>
      <c r="S738" s="22" t="str">
        <f>IF(C738="","",C738&amp;I738)</f>
        <v>Sorgo forrajero adv 2800SALIDA</v>
      </c>
      <c r="T738" t="str">
        <f>IF(OR(C738="",I738&lt;&gt;"ENTRADA"),"",TEXT(B738,"AAMMDD")&amp;"-"&amp;TEXT(VALUE(SUBSTITUTE(A738,"MOV-","")),"000"))</f>
        <v/>
      </c>
      <c r="V738" t="s">
        <v>1082</v>
      </c>
    </row>
    <row r="739" spans="1:22">
      <c r="A739" s="20" t="s">
        <v>1089</v>
      </c>
      <c r="B739" s="47">
        <v>46302</v>
      </c>
      <c r="C739" t="s">
        <v>115</v>
      </c>
      <c r="D739" t="s">
        <v>116</v>
      </c>
      <c r="E739" t="s">
        <v>34</v>
      </c>
      <c r="F739" t="s">
        <v>35</v>
      </c>
      <c r="G739" t="s">
        <v>117</v>
      </c>
      <c r="H739" s="20" t="str">
        <f>+T739</f>
        <v>261007-741</v>
      </c>
      <c r="I739" t="s">
        <v>28</v>
      </c>
      <c r="J739" s="30">
        <v>560</v>
      </c>
      <c r="K739" s="22">
        <f>IF(I739="","",IF(I739="ENTRADA",ABS(J739),-ABS(J739)))</f>
        <v>560</v>
      </c>
      <c r="L739" t="s">
        <v>37</v>
      </c>
      <c r="N739">
        <v>65246</v>
      </c>
      <c r="O739" t="s">
        <v>1023</v>
      </c>
      <c r="P739">
        <v>2000</v>
      </c>
      <c r="Q739" s="47">
        <v>46317</v>
      </c>
      <c r="R739" s="22" t="str">
        <f>IF(H739="","",H739&amp;I739)</f>
        <v>261007-741ENTRADA</v>
      </c>
      <c r="S739" s="22" t="str">
        <f>IF(C739="","",C739&amp;I739)</f>
        <v>AzukaENTRADA</v>
      </c>
      <c r="T739" t="str">
        <f>IF(OR(C739="",I739&lt;&gt;"ENTRADA"),"",TEXT(B739,"AAMMDD")&amp;"-"&amp;TEXT(VALUE(SUBSTITUTE(A739,"MOV-","")),"000"))</f>
        <v>261007-741</v>
      </c>
      <c r="V739" t="s">
        <v>1090</v>
      </c>
    </row>
    <row r="740" spans="1:22">
      <c r="A740" s="20" t="s">
        <v>1091</v>
      </c>
      <c r="B740" s="47">
        <v>46302</v>
      </c>
      <c r="C740" t="s">
        <v>122</v>
      </c>
      <c r="D740" t="s">
        <v>123</v>
      </c>
      <c r="E740" t="s">
        <v>34</v>
      </c>
      <c r="F740" t="s">
        <v>35</v>
      </c>
      <c r="G740" t="s">
        <v>117</v>
      </c>
      <c r="H740" s="20" t="s">
        <v>939</v>
      </c>
      <c r="I740" t="s">
        <v>28</v>
      </c>
      <c r="J740" s="30">
        <v>220</v>
      </c>
      <c r="K740" s="22">
        <f>IF(I740="","",IF(I740="ENTRADA",ABS(J740),-ABS(J740)))</f>
        <v>220</v>
      </c>
      <c r="L740" t="s">
        <v>37</v>
      </c>
      <c r="N740">
        <v>65246</v>
      </c>
      <c r="O740" t="s">
        <v>1023</v>
      </c>
      <c r="P740">
        <v>2000</v>
      </c>
      <c r="Q740" s="47">
        <v>46317</v>
      </c>
      <c r="R740" s="22" t="str">
        <f>IF(H740="","",H740&amp;I740)</f>
        <v>260727-380ENTRADA</v>
      </c>
      <c r="S740" s="22" t="str">
        <f>IF(C740="","",C740&amp;I740)</f>
        <v>PardoENTRADA</v>
      </c>
      <c r="T740" t="str">
        <f>IF(OR(C740="",I740&lt;&gt;"ENTRADA"),"",TEXT(B740,"AAMMDD")&amp;"-"&amp;TEXT(VALUE(SUBSTITUTE(A740,"MOV-","")),"000"))</f>
        <v>261007-742</v>
      </c>
      <c r="V740" t="s">
        <v>1090</v>
      </c>
    </row>
    <row r="741" spans="1:22">
      <c r="A741" s="20" t="s">
        <v>1092</v>
      </c>
      <c r="B741" s="47">
        <v>46302</v>
      </c>
      <c r="C741" t="s">
        <v>90</v>
      </c>
      <c r="D741" t="s">
        <v>91</v>
      </c>
      <c r="E741" t="s">
        <v>34</v>
      </c>
      <c r="F741" t="s">
        <v>35</v>
      </c>
      <c r="G741" t="s">
        <v>36</v>
      </c>
      <c r="H741" s="20" t="s">
        <v>375</v>
      </c>
      <c r="I741" t="s">
        <v>28</v>
      </c>
      <c r="J741" s="30">
        <v>145</v>
      </c>
      <c r="K741" s="22">
        <f>IF(I741="","",IF(I741="ENTRADA",ABS(J741),-ABS(J741)))</f>
        <v>145</v>
      </c>
      <c r="L741" t="s">
        <v>37</v>
      </c>
      <c r="N741">
        <v>65246</v>
      </c>
      <c r="O741" t="s">
        <v>1023</v>
      </c>
      <c r="P741">
        <v>2000</v>
      </c>
      <c r="Q741" s="47">
        <v>46317</v>
      </c>
      <c r="R741" s="22" t="str">
        <f>IF(H741="","",H741&amp;I741)</f>
        <v>260405-132ENTRADA</v>
      </c>
      <c r="S741" s="22" t="str">
        <f>IF(C741="","",C741&amp;I741)</f>
        <v>PixxaroENTRADA</v>
      </c>
      <c r="T741" t="str">
        <f>IF(OR(C741="",I741&lt;&gt;"ENTRADA"),"",TEXT(B741,"AAMMDD")&amp;"-"&amp;TEXT(VALUE(SUBSTITUTE(A741,"MOV-","")),"000"))</f>
        <v>261007-743</v>
      </c>
      <c r="V741" t="s">
        <v>1090</v>
      </c>
    </row>
    <row r="742" spans="1:22">
      <c r="A742" s="20" t="s">
        <v>1093</v>
      </c>
      <c r="B742" s="47">
        <v>46302</v>
      </c>
      <c r="C742" t="s">
        <v>130</v>
      </c>
      <c r="D742" t="s">
        <v>131</v>
      </c>
      <c r="E742" t="s">
        <v>132</v>
      </c>
      <c r="G742" t="s">
        <v>133</v>
      </c>
      <c r="H742" s="20" t="s">
        <v>221</v>
      </c>
      <c r="I742" t="s">
        <v>28</v>
      </c>
      <c r="J742" s="30">
        <v>20</v>
      </c>
      <c r="K742" s="22">
        <f>IF(I742="","",IF(I742="ENTRADA",ABS(J742),-ABS(J742)))</f>
        <v>20</v>
      </c>
      <c r="L742" t="s">
        <v>37</v>
      </c>
      <c r="N742">
        <v>65246</v>
      </c>
      <c r="O742" t="s">
        <v>1023</v>
      </c>
      <c r="P742">
        <v>2000</v>
      </c>
      <c r="Q742" s="47">
        <v>46317</v>
      </c>
      <c r="R742" s="22" t="str">
        <f>IF(H742="","",H742&amp;I742)</f>
        <v>260414-029ENTRADA</v>
      </c>
      <c r="S742" s="22" t="str">
        <f>IF(C742="","",C742&amp;I742)</f>
        <v>HarrierENTRADA</v>
      </c>
      <c r="T742" t="str">
        <f>IF(OR(C742="",I742&lt;&gt;"ENTRADA"),"",TEXT(B742,"AAMMDD")&amp;"-"&amp;TEXT(VALUE(SUBSTITUTE(A742,"MOV-","")),"000"))</f>
        <v>261007-744</v>
      </c>
      <c r="V742" t="s">
        <v>1090</v>
      </c>
    </row>
    <row r="743" spans="1:22">
      <c r="A743" s="20" t="s">
        <v>1094</v>
      </c>
      <c r="B743" s="47">
        <v>46302</v>
      </c>
      <c r="C743" t="s">
        <v>1095</v>
      </c>
      <c r="D743" t="s">
        <v>1096</v>
      </c>
      <c r="E743" t="s">
        <v>34</v>
      </c>
      <c r="F743" t="s">
        <v>35</v>
      </c>
      <c r="G743" t="s">
        <v>180</v>
      </c>
      <c r="H743" s="20" t="str">
        <f>+T743</f>
        <v>261007-745</v>
      </c>
      <c r="I743" t="s">
        <v>28</v>
      </c>
      <c r="J743" s="30">
        <v>30</v>
      </c>
      <c r="K743" s="22">
        <f>IF(I743="","",IF(I743="ENTRADA",ABS(J743),-ABS(J743)))</f>
        <v>30</v>
      </c>
      <c r="L743" t="s">
        <v>37</v>
      </c>
      <c r="N743">
        <v>65246</v>
      </c>
      <c r="O743" t="s">
        <v>1023</v>
      </c>
      <c r="P743">
        <v>2000</v>
      </c>
      <c r="Q743" s="47">
        <v>46317</v>
      </c>
      <c r="R743" s="22" t="str">
        <f>IF(H743="","",H743&amp;I743)</f>
        <v>261007-745ENTRADA</v>
      </c>
      <c r="S743" s="22" t="str">
        <f>IF(C743="","",C743&amp;I743)</f>
        <v>irvix full ENTRADA</v>
      </c>
      <c r="T743" t="str">
        <f>IF(OR(C743="",I743&lt;&gt;"ENTRADA"),"",TEXT(B743,"AAMMDD")&amp;"-"&amp;TEXT(VALUE(SUBSTITUTE(A743,"MOV-","")),"000"))</f>
        <v>261007-745</v>
      </c>
      <c r="V743" t="s">
        <v>1090</v>
      </c>
    </row>
    <row r="744" spans="1:22">
      <c r="A744" s="20" t="s">
        <v>1097</v>
      </c>
      <c r="B744" s="47">
        <v>46302</v>
      </c>
      <c r="C744" t="s">
        <v>137</v>
      </c>
      <c r="D744" t="s">
        <v>138</v>
      </c>
      <c r="E744" t="s">
        <v>132</v>
      </c>
      <c r="G744" t="s">
        <v>133</v>
      </c>
      <c r="H744" s="20" t="s">
        <v>211</v>
      </c>
      <c r="I744" t="s">
        <v>28</v>
      </c>
      <c r="J744" s="30">
        <v>22</v>
      </c>
      <c r="K744" s="22">
        <f>IF(I744="","",IF(I744="ENTRADA",ABS(J744),-ABS(J744)))</f>
        <v>22</v>
      </c>
      <c r="L744" t="s">
        <v>37</v>
      </c>
      <c r="N744">
        <v>65246</v>
      </c>
      <c r="O744" t="s">
        <v>1023</v>
      </c>
      <c r="P744">
        <v>2000</v>
      </c>
      <c r="Q744" s="47">
        <v>46317</v>
      </c>
      <c r="R744" s="22" t="str">
        <f>IF(H744="","",H744&amp;I744)</f>
        <v>260414-030ENTRADA</v>
      </c>
      <c r="S744" s="22" t="str">
        <f>IF(C744="","",C744&amp;I744)</f>
        <v>Full controlENTRADA</v>
      </c>
      <c r="T744" t="str">
        <f>IF(OR(C744="",I744&lt;&gt;"ENTRADA"),"",TEXT(B744,"AAMMDD")&amp;"-"&amp;TEXT(VALUE(SUBSTITUTE(A744,"MOV-","")),"000"))</f>
        <v>261007-746</v>
      </c>
      <c r="V744" t="s">
        <v>1090</v>
      </c>
    </row>
    <row r="745" spans="1:22">
      <c r="A745" s="20" t="s">
        <v>1098</v>
      </c>
      <c r="B745" s="47">
        <v>46305</v>
      </c>
      <c r="C745" t="s">
        <v>1030</v>
      </c>
      <c r="D745" t="s">
        <v>1031</v>
      </c>
      <c r="E745" t="s">
        <v>34</v>
      </c>
      <c r="F745" t="s">
        <v>35</v>
      </c>
      <c r="G745" t="s">
        <v>1032</v>
      </c>
      <c r="H745" s="20" t="s">
        <v>1099</v>
      </c>
      <c r="I745" t="s">
        <v>65</v>
      </c>
      <c r="J745" s="30">
        <v>280</v>
      </c>
      <c r="K745" s="22">
        <f>IF(I745="","",IF(I745="ENTRADA",ABS(J745),-ABS(J745)))</f>
        <v>-280</v>
      </c>
      <c r="L745" t="s">
        <v>37</v>
      </c>
      <c r="N745">
        <v>65249</v>
      </c>
      <c r="O745" t="s">
        <v>1023</v>
      </c>
      <c r="P745">
        <v>1983</v>
      </c>
      <c r="Q745" s="47">
        <v>46315</v>
      </c>
      <c r="R745" s="22" t="str">
        <f>IF(H745="","",H745&amp;I745)</f>
        <v>260928-698SALIDA</v>
      </c>
      <c r="S745" s="22" t="str">
        <f>IF(C745="","",C745&amp;I745)</f>
        <v>Sauquat super SALIDA</v>
      </c>
      <c r="T745" t="str">
        <f>IF(OR(C745="",I745&lt;&gt;"ENTRADA"),"",TEXT(B745,"AAMMDD")&amp;"-"&amp;TEXT(VALUE(SUBSTITUTE(A745,"MOV-","")),"000"))</f>
        <v/>
      </c>
      <c r="V745" t="s">
        <v>1100</v>
      </c>
    </row>
    <row r="746" spans="1:22">
      <c r="A746" s="20" t="s">
        <v>1101</v>
      </c>
      <c r="B746" s="47">
        <v>46305</v>
      </c>
      <c r="C746" t="s">
        <v>141</v>
      </c>
      <c r="D746" t="s">
        <v>142</v>
      </c>
      <c r="E746" t="s">
        <v>132</v>
      </c>
      <c r="G746" t="s">
        <v>133</v>
      </c>
      <c r="H746" s="20" t="s">
        <v>750</v>
      </c>
      <c r="I746" t="s">
        <v>65</v>
      </c>
      <c r="J746" s="30">
        <v>1</v>
      </c>
      <c r="K746" s="22">
        <f>IF(I746="","",IF(I746="ENTRADA",ABS(J746),-ABS(J746)))</f>
        <v>-1</v>
      </c>
      <c r="L746" t="s">
        <v>37</v>
      </c>
      <c r="N746">
        <v>65249</v>
      </c>
      <c r="O746" t="s">
        <v>1023</v>
      </c>
      <c r="P746">
        <v>1983</v>
      </c>
      <c r="Q746" s="47">
        <v>46315</v>
      </c>
      <c r="R746" s="22" t="str">
        <f>IF(H746="","",H746&amp;I746)</f>
        <v>260827-473SALIDA</v>
      </c>
      <c r="S746" s="22" t="str">
        <f>IF(C746="","",C746&amp;I746)</f>
        <v>Maxi DropSALIDA</v>
      </c>
      <c r="T746" t="str">
        <f>IF(OR(C746="",I746&lt;&gt;"ENTRADA"),"",TEXT(B746,"AAMMDD")&amp;"-"&amp;TEXT(VALUE(SUBSTITUTE(A746,"MOV-","")),"000"))</f>
        <v/>
      </c>
      <c r="V746" t="s">
        <v>1100</v>
      </c>
    </row>
    <row r="747" spans="1:22">
      <c r="A747" s="20" t="s">
        <v>1102</v>
      </c>
      <c r="B747" s="47">
        <v>46305</v>
      </c>
      <c r="C747" s="34" t="s">
        <v>657</v>
      </c>
      <c r="D747" s="34" t="s">
        <v>658</v>
      </c>
      <c r="E747" s="34" t="s">
        <v>132</v>
      </c>
      <c r="F747" s="34"/>
      <c r="G747" s="34" t="s">
        <v>133</v>
      </c>
      <c r="H747" s="20" t="s">
        <v>660</v>
      </c>
      <c r="I747" s="34" t="s">
        <v>65</v>
      </c>
      <c r="J747" s="36">
        <v>10</v>
      </c>
      <c r="K747" s="22">
        <f>IF(I747="","",IF(I747="ENTRADA",ABS(J747),-ABS(J747)))</f>
        <v>-10</v>
      </c>
      <c r="L747" s="34" t="s">
        <v>37</v>
      </c>
      <c r="M747" s="34"/>
      <c r="N747">
        <v>65249</v>
      </c>
      <c r="O747" t="s">
        <v>1023</v>
      </c>
      <c r="P747">
        <v>1983</v>
      </c>
      <c r="Q747" s="47">
        <v>46315</v>
      </c>
      <c r="R747" s="22" t="str">
        <f>IF(H747="","",H747&amp;I747)</f>
        <v>260729-393SALIDA</v>
      </c>
      <c r="S747" s="22" t="str">
        <f>IF(C747="","",C747&amp;I747)</f>
        <v>Harrier Drone SALIDA</v>
      </c>
      <c r="T747" t="str">
        <f>IF(OR(C747="",I747&lt;&gt;"ENTRADA"),"",TEXT(B747,"AAMMDD")&amp;"-"&amp;TEXT(VALUE(SUBSTITUTE(A747,"MOV-","")),"000"))</f>
        <v/>
      </c>
      <c r="V747" t="s">
        <v>1100</v>
      </c>
    </row>
    <row r="748" spans="1:22">
      <c r="A748" s="20" t="s">
        <v>1103</v>
      </c>
      <c r="B748" s="47">
        <v>46305</v>
      </c>
      <c r="C748" t="s">
        <v>784</v>
      </c>
      <c r="D748" t="s">
        <v>785</v>
      </c>
      <c r="E748" t="s">
        <v>34</v>
      </c>
      <c r="F748" t="s">
        <v>46</v>
      </c>
      <c r="G748" t="s">
        <v>27</v>
      </c>
      <c r="H748" s="20" t="s">
        <v>798</v>
      </c>
      <c r="I748" t="s">
        <v>65</v>
      </c>
      <c r="J748" s="30">
        <v>20</v>
      </c>
      <c r="K748" s="22">
        <f>IF(I748="","",IF(I748="ENTRADA",ABS(J748),-ABS(J748)))</f>
        <v>-20</v>
      </c>
      <c r="L748" t="s">
        <v>29</v>
      </c>
      <c r="N748">
        <v>65249</v>
      </c>
      <c r="O748" t="s">
        <v>1023</v>
      </c>
      <c r="P748">
        <v>1983</v>
      </c>
      <c r="Q748" s="47">
        <v>46315</v>
      </c>
      <c r="R748" s="22" t="str">
        <f>IF(H748="","",H748&amp;I748)</f>
        <v>260801-489SALIDA</v>
      </c>
      <c r="S748" s="22" t="str">
        <f>IF(C748="","",C748&amp;I748)</f>
        <v>PyroxateSALIDA</v>
      </c>
      <c r="T748" t="str">
        <f>IF(OR(C748="",I748&lt;&gt;"ENTRADA"),"",TEXT(B748,"AAMMDD")&amp;"-"&amp;TEXT(VALUE(SUBSTITUTE(A748,"MOV-","")),"000"))</f>
        <v/>
      </c>
      <c r="V748" t="s">
        <v>1100</v>
      </c>
    </row>
    <row r="749" spans="1:22">
      <c r="A749" s="20" t="s">
        <v>1104</v>
      </c>
      <c r="B749" s="47">
        <v>46305</v>
      </c>
      <c r="C749" t="s">
        <v>137</v>
      </c>
      <c r="D749" t="s">
        <v>138</v>
      </c>
      <c r="E749" t="s">
        <v>132</v>
      </c>
      <c r="G749" t="s">
        <v>133</v>
      </c>
      <c r="H749" s="20" t="s">
        <v>211</v>
      </c>
      <c r="I749" t="s">
        <v>65</v>
      </c>
      <c r="J749" s="30">
        <v>3</v>
      </c>
      <c r="K749" s="22">
        <f>IF(I749="","",IF(I749="ENTRADA",ABS(J749),-ABS(J749)))</f>
        <v>-3</v>
      </c>
      <c r="L749" t="s">
        <v>37</v>
      </c>
      <c r="N749">
        <v>65249</v>
      </c>
      <c r="O749" t="s">
        <v>1023</v>
      </c>
      <c r="P749">
        <v>1983</v>
      </c>
      <c r="Q749" s="47">
        <v>46315</v>
      </c>
      <c r="R749" s="22" t="str">
        <f>IF(H749="","",H749&amp;I749)</f>
        <v>260414-030SALIDA</v>
      </c>
      <c r="S749" s="22" t="str">
        <f>IF(C749="","",C749&amp;I749)</f>
        <v>Full controlSALIDA</v>
      </c>
      <c r="T749" t="str">
        <f>IF(OR(C749="",I749&lt;&gt;"ENTRADA"),"",TEXT(B749,"AAMMDD")&amp;"-"&amp;TEXT(VALUE(SUBSTITUTE(A749,"MOV-","")),"000"))</f>
        <v/>
      </c>
      <c r="V749" t="s">
        <v>1100</v>
      </c>
    </row>
    <row r="750" spans="1:22">
      <c r="A750" s="20" t="s">
        <v>1105</v>
      </c>
      <c r="B750" s="47">
        <v>46305</v>
      </c>
      <c r="C750" t="s">
        <v>1030</v>
      </c>
      <c r="D750" t="s">
        <v>1031</v>
      </c>
      <c r="E750" t="s">
        <v>34</v>
      </c>
      <c r="F750" t="s">
        <v>35</v>
      </c>
      <c r="G750" t="s">
        <v>1032</v>
      </c>
      <c r="H750" s="20" t="s">
        <v>1099</v>
      </c>
      <c r="I750" t="s">
        <v>65</v>
      </c>
      <c r="J750" s="30">
        <v>320</v>
      </c>
      <c r="K750" s="22">
        <f>IF(I750="","",IF(I750="ENTRADA",ABS(J750),-ABS(J750)))</f>
        <v>-320</v>
      </c>
      <c r="L750" t="s">
        <v>37</v>
      </c>
      <c r="N750">
        <v>65250</v>
      </c>
      <c r="O750" t="s">
        <v>1023</v>
      </c>
      <c r="P750">
        <v>1984</v>
      </c>
      <c r="Q750" s="47">
        <v>46315</v>
      </c>
      <c r="R750" s="22" t="str">
        <f>IF(H750="","",H750&amp;I750)</f>
        <v>260928-698SALIDA</v>
      </c>
      <c r="S750" s="22" t="str">
        <f>IF(C750="","",C750&amp;I750)</f>
        <v>Sauquat super SALIDA</v>
      </c>
      <c r="T750" t="str">
        <f>IF(OR(C750="",I750&lt;&gt;"ENTRADA"),"",TEXT(B750,"AAMMDD")&amp;"-"&amp;TEXT(VALUE(SUBSTITUTE(A750,"MOV-","")),"000"))</f>
        <v/>
      </c>
      <c r="V750" t="s">
        <v>1106</v>
      </c>
    </row>
    <row r="751" spans="1:22">
      <c r="A751" s="20" t="s">
        <v>1107</v>
      </c>
      <c r="B751" s="47">
        <v>46305</v>
      </c>
      <c r="C751" t="s">
        <v>784</v>
      </c>
      <c r="D751" t="s">
        <v>785</v>
      </c>
      <c r="E751" t="s">
        <v>34</v>
      </c>
      <c r="F751" t="s">
        <v>46</v>
      </c>
      <c r="G751" t="s">
        <v>27</v>
      </c>
      <c r="H751" s="20" t="s">
        <v>798</v>
      </c>
      <c r="I751" t="s">
        <v>65</v>
      </c>
      <c r="J751" s="30">
        <v>30</v>
      </c>
      <c r="K751" s="22">
        <f>IF(I751="","",IF(I751="ENTRADA",ABS(J751),-ABS(J751)))</f>
        <v>-30</v>
      </c>
      <c r="L751" t="s">
        <v>29</v>
      </c>
      <c r="N751">
        <v>65250</v>
      </c>
      <c r="O751" t="s">
        <v>1023</v>
      </c>
      <c r="P751">
        <v>1984</v>
      </c>
      <c r="Q751" s="47">
        <v>46315</v>
      </c>
      <c r="R751" s="22" t="str">
        <f>IF(H751="","",H751&amp;I751)</f>
        <v>260801-489SALIDA</v>
      </c>
      <c r="S751" s="22" t="str">
        <f>IF(C751="","",C751&amp;I751)</f>
        <v>PyroxateSALIDA</v>
      </c>
      <c r="T751" t="str">
        <f>IF(OR(C751="",I751&lt;&gt;"ENTRADA"),"",TEXT(B751,"AAMMDD")&amp;"-"&amp;TEXT(VALUE(SUBSTITUTE(A751,"MOV-","")),"000"))</f>
        <v/>
      </c>
      <c r="V751" t="s">
        <v>1106</v>
      </c>
    </row>
    <row r="752" spans="1:22">
      <c r="A752" s="20" t="s">
        <v>1108</v>
      </c>
      <c r="B752" s="47">
        <v>46305</v>
      </c>
      <c r="C752" t="s">
        <v>657</v>
      </c>
      <c r="D752" t="s">
        <v>658</v>
      </c>
      <c r="E752" t="s">
        <v>132</v>
      </c>
      <c r="G752" t="s">
        <v>133</v>
      </c>
      <c r="H752" s="20" t="s">
        <v>660</v>
      </c>
      <c r="I752" t="s">
        <v>65</v>
      </c>
      <c r="J752" s="30">
        <v>20</v>
      </c>
      <c r="K752" s="22">
        <f>IF(I752="","",IF(I752="ENTRADA",ABS(J752),-ABS(J752)))</f>
        <v>-20</v>
      </c>
      <c r="L752" t="s">
        <v>37</v>
      </c>
      <c r="N752">
        <v>65250</v>
      </c>
      <c r="O752" t="s">
        <v>1023</v>
      </c>
      <c r="P752">
        <v>1984</v>
      </c>
      <c r="Q752" s="47">
        <v>46315</v>
      </c>
      <c r="R752" s="22" t="str">
        <f>IF(H752="","",H752&amp;I752)</f>
        <v>260729-393SALIDA</v>
      </c>
      <c r="S752" s="22" t="str">
        <f>IF(C752="","",C752&amp;I752)</f>
        <v>Harrier Drone SALIDA</v>
      </c>
      <c r="T752" t="str">
        <f>IF(OR(C752="",I752&lt;&gt;"ENTRADA"),"",TEXT(B752,"AAMMDD")&amp;"-"&amp;TEXT(VALUE(SUBSTITUTE(A752,"MOV-","")),"000"))</f>
        <v/>
      </c>
      <c r="V752" t="s">
        <v>1106</v>
      </c>
    </row>
    <row r="753" spans="1:22">
      <c r="A753" s="20" t="s">
        <v>1109</v>
      </c>
      <c r="B753" s="47">
        <v>46305</v>
      </c>
      <c r="C753" t="s">
        <v>137</v>
      </c>
      <c r="D753" t="s">
        <v>138</v>
      </c>
      <c r="E753" t="s">
        <v>132</v>
      </c>
      <c r="G753" t="s">
        <v>133</v>
      </c>
      <c r="H753" s="20" t="s">
        <v>211</v>
      </c>
      <c r="I753" t="s">
        <v>65</v>
      </c>
      <c r="J753" s="30">
        <v>3</v>
      </c>
      <c r="K753" s="22">
        <f>IF(I753="","",IF(I753="ENTRADA",ABS(J753),-ABS(J753)))</f>
        <v>-3</v>
      </c>
      <c r="L753" t="s">
        <v>37</v>
      </c>
      <c r="N753">
        <v>65250</v>
      </c>
      <c r="O753" t="s">
        <v>1023</v>
      </c>
      <c r="P753">
        <v>1984</v>
      </c>
      <c r="Q753" s="47">
        <v>46315</v>
      </c>
      <c r="R753" s="22" t="str">
        <f>IF(H753="","",H753&amp;I753)</f>
        <v>260414-030SALIDA</v>
      </c>
      <c r="S753" s="22" t="str">
        <f>IF(C753="","",C753&amp;I753)</f>
        <v>Full controlSALIDA</v>
      </c>
      <c r="T753" t="str">
        <f>IF(OR(C753="",I753&lt;&gt;"ENTRADA"),"",TEXT(B753,"AAMMDD")&amp;"-"&amp;TEXT(VALUE(SUBSTITUTE(A753,"MOV-","")),"000"))</f>
        <v/>
      </c>
      <c r="V753" t="s">
        <v>1106</v>
      </c>
    </row>
    <row r="754" spans="1:22">
      <c r="A754" s="20" t="s">
        <v>1110</v>
      </c>
      <c r="B754" s="47">
        <v>46308</v>
      </c>
      <c r="C754" t="s">
        <v>115</v>
      </c>
      <c r="D754" t="s">
        <v>116</v>
      </c>
      <c r="E754" t="s">
        <v>34</v>
      </c>
      <c r="F754" t="s">
        <v>35</v>
      </c>
      <c r="G754" t="s">
        <v>117</v>
      </c>
      <c r="H754" s="20" t="s">
        <v>813</v>
      </c>
      <c r="I754" t="s">
        <v>65</v>
      </c>
      <c r="J754" s="30">
        <v>1120</v>
      </c>
      <c r="K754" s="22">
        <f>IF(I754="","",IF(I754="ENTRADA",ABS(J754),-ABS(J754)))</f>
        <v>-1120</v>
      </c>
      <c r="L754" t="s">
        <v>37</v>
      </c>
      <c r="N754">
        <v>65301</v>
      </c>
      <c r="O754" t="s">
        <v>218</v>
      </c>
      <c r="P754">
        <v>1985</v>
      </c>
      <c r="Q754" s="47">
        <v>46315</v>
      </c>
      <c r="R754" s="22" t="str">
        <f>IF(H754="","",H754&amp;I754)</f>
        <v>260910-622SALIDA</v>
      </c>
      <c r="S754" s="22" t="str">
        <f>IF(C754="","",C754&amp;I754)</f>
        <v>AzukaSALIDA</v>
      </c>
      <c r="T754" t="str">
        <f>IF(OR(C754="",I754&lt;&gt;"ENTRADA"),"",TEXT(B754,"AAMMDD")&amp;"-"&amp;TEXT(VALUE(SUBSTITUTE(A754,"MOV-","")),"000"))</f>
        <v/>
      </c>
      <c r="V754" t="s">
        <v>1111</v>
      </c>
    </row>
    <row r="755" spans="1:22">
      <c r="A755" s="20" t="s">
        <v>1112</v>
      </c>
      <c r="B755" s="47">
        <v>46308</v>
      </c>
      <c r="C755" t="s">
        <v>784</v>
      </c>
      <c r="D755" t="s">
        <v>785</v>
      </c>
      <c r="E755" t="s">
        <v>34</v>
      </c>
      <c r="F755" t="s">
        <v>46</v>
      </c>
      <c r="G755" t="s">
        <v>27</v>
      </c>
      <c r="H755" s="20" t="s">
        <v>798</v>
      </c>
      <c r="I755" t="s">
        <v>65</v>
      </c>
      <c r="J755" s="30">
        <v>40</v>
      </c>
      <c r="K755" s="22">
        <f>IF(I755="","",IF(I755="ENTRADA",ABS(J755),-ABS(J755)))</f>
        <v>-40</v>
      </c>
      <c r="L755" t="s">
        <v>29</v>
      </c>
      <c r="N755">
        <v>65301</v>
      </c>
      <c r="O755" t="s">
        <v>218</v>
      </c>
      <c r="P755">
        <v>1985</v>
      </c>
      <c r="Q755" s="47">
        <v>46315</v>
      </c>
      <c r="R755" s="22" t="str">
        <f>IF(H755="","",H755&amp;I755)</f>
        <v>260801-489SALIDA</v>
      </c>
      <c r="S755" s="22" t="str">
        <f>IF(C755="","",C755&amp;I755)</f>
        <v>PyroxateSALIDA</v>
      </c>
      <c r="T755" t="str">
        <f>IF(OR(C755="",I755&lt;&gt;"ENTRADA"),"",TEXT(B755,"AAMMDD")&amp;"-"&amp;TEXT(VALUE(SUBSTITUTE(A755,"MOV-","")),"000"))</f>
        <v/>
      </c>
      <c r="V755" t="s">
        <v>1111</v>
      </c>
    </row>
    <row r="756" spans="1:22">
      <c r="A756" s="20" t="s">
        <v>1113</v>
      </c>
      <c r="B756" s="47">
        <v>46308</v>
      </c>
      <c r="C756" t="s">
        <v>130</v>
      </c>
      <c r="D756" t="s">
        <v>131</v>
      </c>
      <c r="E756" t="s">
        <v>132</v>
      </c>
      <c r="G756" t="s">
        <v>133</v>
      </c>
      <c r="H756" s="20" t="s">
        <v>221</v>
      </c>
      <c r="I756" t="s">
        <v>65</v>
      </c>
      <c r="J756" s="30">
        <v>40</v>
      </c>
      <c r="K756" s="22">
        <f>IF(I756="","",IF(I756="ENTRADA",ABS(J756),-ABS(J756)))</f>
        <v>-40</v>
      </c>
      <c r="L756" t="s">
        <v>37</v>
      </c>
      <c r="N756">
        <v>65301</v>
      </c>
      <c r="O756" t="s">
        <v>218</v>
      </c>
      <c r="P756">
        <v>1985</v>
      </c>
      <c r="Q756" s="47">
        <v>46315</v>
      </c>
      <c r="R756" s="22" t="str">
        <f>IF(H756="","",H756&amp;I756)</f>
        <v>260414-029SALIDA</v>
      </c>
      <c r="S756" s="22" t="str">
        <f>IF(C756="","",C756&amp;I756)</f>
        <v>HarrierSALIDA</v>
      </c>
      <c r="T756" t="str">
        <f>IF(OR(C756="",I756&lt;&gt;"ENTRADA"),"",TEXT(B756,"AAMMDD")&amp;"-"&amp;TEXT(VALUE(SUBSTITUTE(A756,"MOV-","")),"000"))</f>
        <v/>
      </c>
      <c r="V756" t="s">
        <v>1111</v>
      </c>
    </row>
    <row r="757" spans="1:22">
      <c r="A757" s="20" t="s">
        <v>1114</v>
      </c>
      <c r="B757" s="47">
        <v>46308</v>
      </c>
      <c r="C757" t="s">
        <v>137</v>
      </c>
      <c r="D757" t="s">
        <v>138</v>
      </c>
      <c r="E757" t="s">
        <v>132</v>
      </c>
      <c r="G757" t="s">
        <v>133</v>
      </c>
      <c r="H757" s="20" t="s">
        <v>211</v>
      </c>
      <c r="I757" t="s">
        <v>65</v>
      </c>
      <c r="J757" s="30">
        <v>15</v>
      </c>
      <c r="K757" s="22">
        <f>IF(I757="","",IF(I757="ENTRADA",ABS(J757),-ABS(J757)))</f>
        <v>-15</v>
      </c>
      <c r="L757" t="s">
        <v>37</v>
      </c>
      <c r="N757">
        <v>65301</v>
      </c>
      <c r="O757" t="s">
        <v>218</v>
      </c>
      <c r="P757">
        <v>1985</v>
      </c>
      <c r="Q757" s="47">
        <v>46315</v>
      </c>
      <c r="R757" s="22" t="str">
        <f>IF(H757="","",H757&amp;I757)</f>
        <v>260414-030SALIDA</v>
      </c>
      <c r="S757" s="22" t="str">
        <f>IF(C757="","",C757&amp;I757)</f>
        <v>Full controlSALIDA</v>
      </c>
      <c r="T757" t="str">
        <f>IF(OR(C757="",I757&lt;&gt;"ENTRADA"),"",TEXT(B757,"AAMMDD")&amp;"-"&amp;TEXT(VALUE(SUBSTITUTE(A757,"MOV-","")),"000"))</f>
        <v/>
      </c>
      <c r="V757" t="s">
        <v>1111</v>
      </c>
    </row>
    <row r="758" spans="1:22">
      <c r="A758" s="20" t="s">
        <v>1115</v>
      </c>
      <c r="B758" s="47">
        <v>46308</v>
      </c>
      <c r="C758" s="34" t="s">
        <v>137</v>
      </c>
      <c r="D758" s="34" t="s">
        <v>138</v>
      </c>
      <c r="E758" s="34" t="s">
        <v>132</v>
      </c>
      <c r="F758" s="34"/>
      <c r="G758" s="34" t="s">
        <v>133</v>
      </c>
      <c r="H758" s="20" t="s">
        <v>211</v>
      </c>
      <c r="I758" s="34" t="s">
        <v>65</v>
      </c>
      <c r="J758" s="36">
        <v>8</v>
      </c>
      <c r="K758" s="22">
        <f>IF(I758="","",IF(I758="ENTRADA",ABS(J758),-ABS(J758)))</f>
        <v>-8</v>
      </c>
      <c r="L758" s="34" t="s">
        <v>37</v>
      </c>
      <c r="M758" s="34"/>
      <c r="N758">
        <v>65302</v>
      </c>
      <c r="O758" s="34" t="s">
        <v>1023</v>
      </c>
      <c r="P758">
        <v>1986</v>
      </c>
      <c r="Q758" s="47">
        <v>46315</v>
      </c>
      <c r="R758" s="22" t="str">
        <f>IF(H758="","",H758&amp;I758)</f>
        <v>260414-030SALIDA</v>
      </c>
      <c r="S758" s="22" t="str">
        <f>IF(C758="","",C758&amp;I758)</f>
        <v>Full controlSALIDA</v>
      </c>
      <c r="T758" t="str">
        <f>IF(OR(C758="",I758&lt;&gt;"ENTRADA"),"",TEXT(B758,"AAMMDD")&amp;"-"&amp;TEXT(VALUE(SUBSTITUTE(A758,"MOV-","")),"000"))</f>
        <v/>
      </c>
      <c r="V758" t="s">
        <v>1111</v>
      </c>
    </row>
    <row r="759" spans="1:22">
      <c r="A759" s="20" t="s">
        <v>1116</v>
      </c>
      <c r="B759" s="47">
        <v>46308</v>
      </c>
      <c r="C759" t="s">
        <v>130</v>
      </c>
      <c r="D759" t="s">
        <v>131</v>
      </c>
      <c r="E759" t="s">
        <v>132</v>
      </c>
      <c r="G759" t="s">
        <v>133</v>
      </c>
      <c r="H759" s="20" t="s">
        <v>221</v>
      </c>
      <c r="I759" t="s">
        <v>65</v>
      </c>
      <c r="J759" s="30">
        <v>40</v>
      </c>
      <c r="K759" s="22">
        <f>IF(I759="","",IF(I759="ENTRADA",ABS(J759),-ABS(J759)))</f>
        <v>-40</v>
      </c>
      <c r="L759" t="s">
        <v>37</v>
      </c>
      <c r="N759">
        <v>65302</v>
      </c>
      <c r="O759" t="s">
        <v>1023</v>
      </c>
      <c r="P759">
        <v>1986</v>
      </c>
      <c r="Q759" s="47">
        <v>46315</v>
      </c>
      <c r="R759" s="22" t="str">
        <f>IF(H759="","",H759&amp;I759)</f>
        <v>260414-029SALIDA</v>
      </c>
      <c r="S759" s="22" t="str">
        <f>IF(C759="","",C759&amp;I759)</f>
        <v>HarrierSALIDA</v>
      </c>
      <c r="T759" t="str">
        <f>IF(OR(C759="",I759&lt;&gt;"ENTRADA"),"",TEXT(B759,"AAMMDD")&amp;"-"&amp;TEXT(VALUE(SUBSTITUTE(A759,"MOV-","")),"000"))</f>
        <v/>
      </c>
      <c r="V759" t="s">
        <v>1111</v>
      </c>
    </row>
    <row r="760" spans="1:22">
      <c r="A760" s="20" t="s">
        <v>1117</v>
      </c>
      <c r="B760" s="47">
        <v>46308</v>
      </c>
      <c r="C760" t="s">
        <v>1054</v>
      </c>
      <c r="D760" t="s">
        <v>1055</v>
      </c>
      <c r="E760" t="s">
        <v>25</v>
      </c>
      <c r="F760" t="s">
        <v>1056</v>
      </c>
      <c r="G760" t="s">
        <v>180</v>
      </c>
      <c r="H760" s="20" t="s">
        <v>1067</v>
      </c>
      <c r="I760" t="s">
        <v>65</v>
      </c>
      <c r="J760" s="30">
        <v>145</v>
      </c>
      <c r="K760" s="22">
        <f>IF(I760="","",IF(I760="ENTRADA",ABS(J760),-ABS(J760)))</f>
        <v>-145</v>
      </c>
      <c r="L760" t="s">
        <v>633</v>
      </c>
      <c r="N760">
        <v>65303</v>
      </c>
      <c r="O760" t="s">
        <v>309</v>
      </c>
      <c r="P760">
        <v>2013</v>
      </c>
      <c r="Q760" s="47">
        <v>46317</v>
      </c>
      <c r="R760" s="22" t="str">
        <f>IF(H760="","",H760&amp;I760)</f>
        <v>261006-718SALIDA</v>
      </c>
      <c r="S760" s="22" t="str">
        <f>IF(C760="","",C760&amp;I760)</f>
        <v>Sorgo forrajero adv 2800SALIDA</v>
      </c>
      <c r="T760" t="str">
        <f>IF(OR(C760="",I760&lt;&gt;"ENTRADA"),"",TEXT(B760,"AAMMDD")&amp;"-"&amp;TEXT(VALUE(SUBSTITUTE(A760,"MOV-","")),"000"))</f>
        <v/>
      </c>
      <c r="V760" t="s">
        <v>1118</v>
      </c>
    </row>
    <row r="761" spans="1:22">
      <c r="A761" s="20" t="s">
        <v>1119</v>
      </c>
      <c r="B761" s="47">
        <v>46309</v>
      </c>
      <c r="C761" t="s">
        <v>115</v>
      </c>
      <c r="D761" t="s">
        <v>116</v>
      </c>
      <c r="E761" t="s">
        <v>34</v>
      </c>
      <c r="F761" t="s">
        <v>35</v>
      </c>
      <c r="G761" t="s">
        <v>117</v>
      </c>
      <c r="H761" s="20" t="s">
        <v>813</v>
      </c>
      <c r="I761" t="s">
        <v>65</v>
      </c>
      <c r="J761" s="30">
        <v>860</v>
      </c>
      <c r="K761" s="22">
        <f>IF(I761="","",IF(I761="ENTRADA",ABS(J761),-ABS(J761)))</f>
        <v>-860</v>
      </c>
      <c r="L761" t="s">
        <v>37</v>
      </c>
      <c r="N761">
        <v>65304</v>
      </c>
      <c r="O761" t="s">
        <v>218</v>
      </c>
      <c r="P761">
        <v>1987</v>
      </c>
      <c r="Q761" s="47">
        <v>46315</v>
      </c>
      <c r="R761" s="22" t="str">
        <f>IF(H761="","",H761&amp;I761)</f>
        <v>260910-622SALIDA</v>
      </c>
      <c r="S761" s="22" t="str">
        <f>IF(C761="","",C761&amp;I761)</f>
        <v>AzukaSALIDA</v>
      </c>
      <c r="T761" t="str">
        <f>IF(OR(C761="",I761&lt;&gt;"ENTRADA"),"",TEXT(B761,"AAMMDD")&amp;"-"&amp;TEXT(VALUE(SUBSTITUTE(A761,"MOV-","")),"000"))</f>
        <v/>
      </c>
      <c r="V761" t="s">
        <v>1120</v>
      </c>
    </row>
    <row r="762" spans="1:22">
      <c r="A762" s="20" t="s">
        <v>1121</v>
      </c>
      <c r="B762" s="47">
        <v>46309</v>
      </c>
      <c r="C762" t="s">
        <v>784</v>
      </c>
      <c r="D762" t="s">
        <v>785</v>
      </c>
      <c r="E762" t="s">
        <v>34</v>
      </c>
      <c r="F762" t="s">
        <v>46</v>
      </c>
      <c r="G762" t="s">
        <v>27</v>
      </c>
      <c r="H762" s="20" t="s">
        <v>798</v>
      </c>
      <c r="I762" t="s">
        <v>65</v>
      </c>
      <c r="J762" s="30">
        <v>30</v>
      </c>
      <c r="K762" s="22">
        <f>IF(I762="","",IF(I762="ENTRADA",ABS(J762),-ABS(J762)))</f>
        <v>-30</v>
      </c>
      <c r="L762" t="s">
        <v>29</v>
      </c>
      <c r="N762">
        <v>65304</v>
      </c>
      <c r="O762" t="s">
        <v>218</v>
      </c>
      <c r="P762">
        <v>1987</v>
      </c>
      <c r="Q762" s="47">
        <v>46315</v>
      </c>
      <c r="R762" s="22" t="str">
        <f>IF(H762="","",H762&amp;I762)</f>
        <v>260801-489SALIDA</v>
      </c>
      <c r="S762" s="22" t="str">
        <f>IF(C762="","",C762&amp;I762)</f>
        <v>PyroxateSALIDA</v>
      </c>
      <c r="T762" t="str">
        <f>IF(OR(C762="",I762&lt;&gt;"ENTRADA"),"",TEXT(B762,"AAMMDD")&amp;"-"&amp;TEXT(VALUE(SUBSTITUTE(A762,"MOV-","")),"000"))</f>
        <v/>
      </c>
    </row>
    <row r="763" spans="1:22">
      <c r="A763" s="20" t="s">
        <v>1122</v>
      </c>
      <c r="B763" s="47">
        <v>46309</v>
      </c>
      <c r="C763" t="s">
        <v>130</v>
      </c>
      <c r="D763" t="s">
        <v>131</v>
      </c>
      <c r="E763" t="s">
        <v>132</v>
      </c>
      <c r="G763" t="s">
        <v>133</v>
      </c>
      <c r="H763" s="20" t="s">
        <v>221</v>
      </c>
      <c r="I763" t="s">
        <v>65</v>
      </c>
      <c r="J763" s="30">
        <v>5</v>
      </c>
      <c r="K763" s="22">
        <f>IF(I763="","",IF(I763="ENTRADA",ABS(J763),-ABS(J763)))</f>
        <v>-5</v>
      </c>
      <c r="L763" t="s">
        <v>37</v>
      </c>
      <c r="N763">
        <v>65304</v>
      </c>
      <c r="O763" t="s">
        <v>218</v>
      </c>
      <c r="P763">
        <v>1987</v>
      </c>
      <c r="Q763" s="47">
        <v>46315</v>
      </c>
      <c r="R763" s="22" t="str">
        <f>IF(H763="","",H763&amp;I763)</f>
        <v>260414-029SALIDA</v>
      </c>
      <c r="S763" s="22" t="str">
        <f>IF(C763="","",C763&amp;I763)</f>
        <v>HarrierSALIDA</v>
      </c>
      <c r="T763" t="str">
        <f>IF(OR(C763="",I763&lt;&gt;"ENTRADA"),"",TEXT(B763,"AAMMDD")&amp;"-"&amp;TEXT(VALUE(SUBSTITUTE(A763,"MOV-","")),"000"))</f>
        <v/>
      </c>
      <c r="V763" t="s">
        <v>1120</v>
      </c>
    </row>
    <row r="764" spans="1:22">
      <c r="A764" s="20" t="s">
        <v>1123</v>
      </c>
      <c r="B764" s="47">
        <v>46309</v>
      </c>
      <c r="C764" t="s">
        <v>137</v>
      </c>
      <c r="D764" t="s">
        <v>138</v>
      </c>
      <c r="E764" t="s">
        <v>132</v>
      </c>
      <c r="G764" t="s">
        <v>133</v>
      </c>
      <c r="H764" s="20" t="s">
        <v>211</v>
      </c>
      <c r="I764" t="s">
        <v>65</v>
      </c>
      <c r="J764" s="30">
        <v>3</v>
      </c>
      <c r="K764" s="22">
        <f>IF(I764="","",IF(I764="ENTRADA",ABS(J764),-ABS(J764)))</f>
        <v>-3</v>
      </c>
      <c r="L764" t="s">
        <v>37</v>
      </c>
      <c r="N764">
        <v>65304</v>
      </c>
      <c r="O764" t="s">
        <v>218</v>
      </c>
      <c r="P764">
        <v>1987</v>
      </c>
      <c r="Q764" s="47">
        <v>46315</v>
      </c>
      <c r="R764" s="22" t="str">
        <f>IF(H764="","",H764&amp;I764)</f>
        <v>260414-030SALIDA</v>
      </c>
      <c r="S764" s="22" t="str">
        <f>IF(C764="","",C764&amp;I764)</f>
        <v>Full controlSALIDA</v>
      </c>
      <c r="T764" t="str">
        <f>IF(OR(C764="",I764&lt;&gt;"ENTRADA"),"",TEXT(B764,"AAMMDD")&amp;"-"&amp;TEXT(VALUE(SUBSTITUTE(A764,"MOV-","")),"000"))</f>
        <v/>
      </c>
      <c r="V764" t="s">
        <v>1120</v>
      </c>
    </row>
    <row r="765" spans="1:22">
      <c r="A765" s="20" t="s">
        <v>1124</v>
      </c>
      <c r="B765" s="47">
        <v>46309</v>
      </c>
      <c r="C765" t="s">
        <v>784</v>
      </c>
      <c r="D765" t="s">
        <v>785</v>
      </c>
      <c r="E765" t="s">
        <v>34</v>
      </c>
      <c r="F765" t="s">
        <v>46</v>
      </c>
      <c r="G765" t="s">
        <v>27</v>
      </c>
      <c r="H765" s="20" t="s">
        <v>798</v>
      </c>
      <c r="I765" t="s">
        <v>65</v>
      </c>
      <c r="J765" s="30">
        <v>250</v>
      </c>
      <c r="K765" s="22">
        <f>IF(I765="","",IF(I765="ENTRADA",ABS(J765),-ABS(J765)))</f>
        <v>-250</v>
      </c>
      <c r="L765" t="s">
        <v>29</v>
      </c>
      <c r="N765">
        <v>65305</v>
      </c>
      <c r="O765" t="s">
        <v>213</v>
      </c>
      <c r="P765">
        <v>2012</v>
      </c>
      <c r="Q765" s="47">
        <v>46317</v>
      </c>
      <c r="R765" s="22" t="str">
        <f>IF(H765="","",H765&amp;I765)</f>
        <v>260801-489SALIDA</v>
      </c>
      <c r="S765" s="22" t="str">
        <f>IF(C765="","",C765&amp;I765)</f>
        <v>PyroxateSALIDA</v>
      </c>
      <c r="T765" t="str">
        <f>IF(OR(C765="",I765&lt;&gt;"ENTRADA"),"",TEXT(B765,"AAMMDD")&amp;"-"&amp;TEXT(VALUE(SUBSTITUTE(A765,"MOV-","")),"000"))</f>
        <v/>
      </c>
      <c r="V765" t="s">
        <v>1125</v>
      </c>
    </row>
    <row r="766" spans="1:22">
      <c r="A766" s="20" t="s">
        <v>1126</v>
      </c>
      <c r="B766" s="47">
        <v>46309</v>
      </c>
      <c r="C766" t="s">
        <v>1127</v>
      </c>
      <c r="D766" t="s">
        <v>785</v>
      </c>
      <c r="E766" t="s">
        <v>34</v>
      </c>
      <c r="F766" t="s">
        <v>46</v>
      </c>
      <c r="G766" t="s">
        <v>117</v>
      </c>
      <c r="H766" s="20" t="str">
        <f>+T766</f>
        <v>261014-768</v>
      </c>
      <c r="I766" t="s">
        <v>28</v>
      </c>
      <c r="J766" s="30">
        <v>300</v>
      </c>
      <c r="K766" s="22">
        <f>IF(I766="","",IF(I766="ENTRADA",ABS(J766),-ABS(J766)))</f>
        <v>300</v>
      </c>
      <c r="L766" t="s">
        <v>29</v>
      </c>
      <c r="N766">
        <v>51660</v>
      </c>
      <c r="P766">
        <v>15294</v>
      </c>
      <c r="Q766" s="47">
        <v>46316</v>
      </c>
      <c r="R766" s="22" t="str">
        <f>IF(H766="","",H766&amp;I766)</f>
        <v>261014-768ENTRADA</v>
      </c>
      <c r="S766" s="22" t="str">
        <f>IF(C766="","",C766&amp;I766)</f>
        <v>bravo ENTRADA</v>
      </c>
      <c r="T766" t="str">
        <f>IF(OR(C766="",I766&lt;&gt;"ENTRADA"),"",TEXT(B766,"AAMMDD")&amp;"-"&amp;TEXT(VALUE(SUBSTITUTE(A766,"MOV-","")),"000"))</f>
        <v>261014-768</v>
      </c>
    </row>
    <row r="767" spans="1:22">
      <c r="A767" s="20" t="s">
        <v>1128</v>
      </c>
      <c r="B767" s="47">
        <v>46309</v>
      </c>
      <c r="C767" t="s">
        <v>1054</v>
      </c>
      <c r="D767" t="s">
        <v>1055</v>
      </c>
      <c r="E767" t="s">
        <v>25</v>
      </c>
      <c r="F767" t="s">
        <v>1056</v>
      </c>
      <c r="G767" t="s">
        <v>180</v>
      </c>
      <c r="H767" s="20" t="s">
        <v>1067</v>
      </c>
      <c r="I767" t="s">
        <v>65</v>
      </c>
      <c r="J767" s="30">
        <v>15</v>
      </c>
      <c r="K767" s="22">
        <f>IF(I767="","",IF(I767="ENTRADA",ABS(J767),-ABS(J767)))</f>
        <v>-15</v>
      </c>
      <c r="L767" t="s">
        <v>633</v>
      </c>
      <c r="N767">
        <v>65309</v>
      </c>
      <c r="O767" t="s">
        <v>213</v>
      </c>
      <c r="P767">
        <v>2011</v>
      </c>
      <c r="Q767" s="47">
        <v>46317</v>
      </c>
      <c r="R767" s="22" t="str">
        <f>IF(H767="","",H767&amp;I767)</f>
        <v>261006-718SALIDA</v>
      </c>
      <c r="S767" s="22" t="str">
        <f>IF(C767="","",C767&amp;I767)</f>
        <v>Sorgo forrajero adv 2800SALIDA</v>
      </c>
      <c r="T767" t="str">
        <f>IF(OR(C767="",I767&lt;&gt;"ENTRADA"),"",TEXT(B767,"AAMMDD")&amp;"-"&amp;TEXT(VALUE(SUBSTITUTE(A767,"MOV-","")),"000"))</f>
        <v/>
      </c>
      <c r="V767" t="s">
        <v>1129</v>
      </c>
    </row>
    <row r="768" spans="1:22">
      <c r="A768" s="20" t="s">
        <v>1130</v>
      </c>
      <c r="B768" s="47">
        <v>46309</v>
      </c>
      <c r="C768" t="s">
        <v>1131</v>
      </c>
      <c r="D768" t="s">
        <v>1132</v>
      </c>
      <c r="E768" t="s">
        <v>578</v>
      </c>
      <c r="G768" t="s">
        <v>77</v>
      </c>
      <c r="H768" s="20" t="str">
        <f>+T768</f>
        <v>261014-770</v>
      </c>
      <c r="I768" t="s">
        <v>28</v>
      </c>
      <c r="J768" s="30">
        <v>40</v>
      </c>
      <c r="K768" s="22">
        <f>IF(I768="","",IF(I768="ENTRADA",ABS(J768),-ABS(J768)))</f>
        <v>40</v>
      </c>
      <c r="L768" t="s">
        <v>37</v>
      </c>
      <c r="M768" s="47">
        <v>46836</v>
      </c>
      <c r="N768">
        <v>70537</v>
      </c>
      <c r="P768">
        <v>15296</v>
      </c>
      <c r="Q768" s="47">
        <v>46316</v>
      </c>
      <c r="R768" s="22" t="str">
        <f>IF(H768="","",H768&amp;I768)</f>
        <v>261014-770ENTRADA</v>
      </c>
      <c r="S768" s="22" t="str">
        <f>IF(C768="","",C768&amp;I768)</f>
        <v>vitogrow ts ENTRADA</v>
      </c>
      <c r="T768" t="str">
        <f>IF(OR(C768="",I768&lt;&gt;"ENTRADA"),"",TEXT(B768,"AAMMDD")&amp;"-"&amp;TEXT(VALUE(SUBSTITUTE(A768,"MOV-","")),"000"))</f>
        <v>261014-770</v>
      </c>
    </row>
    <row r="769" spans="1:22">
      <c r="A769" s="20" t="s">
        <v>1133</v>
      </c>
      <c r="B769" s="47">
        <v>46309</v>
      </c>
      <c r="C769" s="34" t="s">
        <v>1134</v>
      </c>
      <c r="D769" s="34"/>
      <c r="E769" s="34" t="s">
        <v>1135</v>
      </c>
      <c r="F769" s="34"/>
      <c r="G769" s="34" t="s">
        <v>77</v>
      </c>
      <c r="H769" s="20" t="str">
        <f>+T769</f>
        <v>261014-771</v>
      </c>
      <c r="I769" s="34" t="s">
        <v>28</v>
      </c>
      <c r="J769" s="36">
        <v>17</v>
      </c>
      <c r="K769" s="22">
        <f>IF(I769="","",IF(I769="ENTRADA",ABS(J769),-ABS(J769)))</f>
        <v>17</v>
      </c>
      <c r="L769" s="34" t="s">
        <v>56</v>
      </c>
      <c r="M769" s="47">
        <v>46592</v>
      </c>
      <c r="N769">
        <v>70537</v>
      </c>
      <c r="O769" s="34"/>
      <c r="P769">
        <v>15296</v>
      </c>
      <c r="Q769" s="47">
        <v>46316</v>
      </c>
      <c r="R769" s="22" t="str">
        <f>IF(H769="","",H769&amp;I769)</f>
        <v>261014-771ENTRADA</v>
      </c>
      <c r="S769" s="22" t="str">
        <f>IF(C769="","",C769&amp;I769)</f>
        <v>Rizopack 206 hcENTRADA</v>
      </c>
      <c r="T769" t="str">
        <f>IF(OR(C769="",I769&lt;&gt;"ENTRADA"),"",TEXT(B769,"AAMMDD")&amp;"-"&amp;TEXT(VALUE(SUBSTITUTE(A769,"MOV-","")),"000"))</f>
        <v>261014-771</v>
      </c>
    </row>
    <row r="770" spans="1:22">
      <c r="A770" s="20" t="s">
        <v>1136</v>
      </c>
      <c r="B770" s="47">
        <v>46309</v>
      </c>
      <c r="C770" t="s">
        <v>1134</v>
      </c>
      <c r="E770" t="s">
        <v>1135</v>
      </c>
      <c r="G770" t="s">
        <v>77</v>
      </c>
      <c r="H770" s="20" t="s">
        <v>1137</v>
      </c>
      <c r="I770" t="s">
        <v>65</v>
      </c>
      <c r="J770" s="30">
        <v>6</v>
      </c>
      <c r="K770" s="22">
        <f>IF(I770="","",IF(I770="ENTRADA",ABS(J770),-ABS(J770)))</f>
        <v>-6</v>
      </c>
      <c r="L770" t="s">
        <v>56</v>
      </c>
      <c r="N770">
        <v>65310</v>
      </c>
      <c r="O770" t="s">
        <v>1023</v>
      </c>
      <c r="P770">
        <v>2018</v>
      </c>
      <c r="Q770" s="47">
        <v>46317</v>
      </c>
      <c r="R770" s="22" t="str">
        <f>IF(H770="","",H770&amp;I770)</f>
        <v>261014-771SALIDA</v>
      </c>
      <c r="S770" s="22" t="str">
        <f>IF(C770="","",C770&amp;I770)</f>
        <v>Rizopack 206 hcSALIDA</v>
      </c>
      <c r="T770" t="str">
        <f>IF(OR(C770="",I770&lt;&gt;"ENTRADA"),"",TEXT(B770,"AAMMDD")&amp;"-"&amp;TEXT(VALUE(SUBSTITUTE(A770,"MOV-","")),"000"))</f>
        <v/>
      </c>
    </row>
    <row r="771" spans="1:22">
      <c r="A771" s="20" t="s">
        <v>1138</v>
      </c>
      <c r="B771" s="47">
        <v>46309</v>
      </c>
      <c r="C771" t="s">
        <v>1131</v>
      </c>
      <c r="D771" t="s">
        <v>1132</v>
      </c>
      <c r="E771" t="s">
        <v>578</v>
      </c>
      <c r="G771" t="s">
        <v>77</v>
      </c>
      <c r="H771" s="20" t="s">
        <v>1139</v>
      </c>
      <c r="I771" t="s">
        <v>65</v>
      </c>
      <c r="J771" s="30">
        <v>20</v>
      </c>
      <c r="K771" s="22">
        <f>IF(I771="","",IF(I771="ENTRADA",ABS(J771),-ABS(J771)))</f>
        <v>-20</v>
      </c>
      <c r="L771" t="s">
        <v>37</v>
      </c>
      <c r="N771">
        <v>65310</v>
      </c>
      <c r="O771" t="s">
        <v>1023</v>
      </c>
      <c r="P771">
        <v>2018</v>
      </c>
      <c r="Q771" s="47">
        <v>46317</v>
      </c>
      <c r="R771" s="22" t="str">
        <f>IF(H771="","",H771&amp;I771)</f>
        <v>261014-770SALIDA</v>
      </c>
      <c r="S771" s="22" t="str">
        <f>IF(C771="","",C771&amp;I771)</f>
        <v>vitogrow ts SALIDA</v>
      </c>
      <c r="T771" t="str">
        <f>IF(OR(C771="",I771&lt;&gt;"ENTRADA"),"",TEXT(B771,"AAMMDD")&amp;"-"&amp;TEXT(VALUE(SUBSTITUTE(A771,"MOV-","")),"000"))</f>
        <v/>
      </c>
    </row>
    <row r="772" spans="1:22">
      <c r="A772" s="20" t="s">
        <v>1140</v>
      </c>
      <c r="B772" s="47">
        <v>46309</v>
      </c>
      <c r="C772" t="s">
        <v>115</v>
      </c>
      <c r="D772" t="s">
        <v>116</v>
      </c>
      <c r="E772" t="s">
        <v>34</v>
      </c>
      <c r="F772" t="s">
        <v>35</v>
      </c>
      <c r="G772" t="s">
        <v>117</v>
      </c>
      <c r="H772" s="20" t="s">
        <v>813</v>
      </c>
      <c r="I772" t="s">
        <v>65</v>
      </c>
      <c r="J772" s="30">
        <v>900</v>
      </c>
      <c r="K772" s="22">
        <f>IF(I772="","",IF(I772="ENTRADA",ABS(J772),-ABS(J772)))</f>
        <v>-900</v>
      </c>
      <c r="L772" t="s">
        <v>37</v>
      </c>
      <c r="N772">
        <v>65306</v>
      </c>
      <c r="O772" t="s">
        <v>213</v>
      </c>
      <c r="P772">
        <v>1991</v>
      </c>
      <c r="Q772" s="47">
        <v>46317</v>
      </c>
      <c r="R772" s="22" t="str">
        <f>IF(H772="","",H772&amp;I772)</f>
        <v>260910-622SALIDA</v>
      </c>
      <c r="S772" s="22" t="str">
        <f>IF(C772="","",C772&amp;I772)</f>
        <v>AzukaSALIDA</v>
      </c>
      <c r="T772" t="str">
        <f>IF(OR(C772="",I772&lt;&gt;"ENTRADA"),"",TEXT(B772,"AAMMDD")&amp;"-"&amp;TEXT(VALUE(SUBSTITUTE(A772,"MOV-","")),"000"))</f>
        <v/>
      </c>
      <c r="V772" t="s">
        <v>1141</v>
      </c>
    </row>
    <row r="773" spans="1:22">
      <c r="A773" s="20" t="s">
        <v>1142</v>
      </c>
      <c r="B773" s="47">
        <v>46309</v>
      </c>
      <c r="C773" t="s">
        <v>137</v>
      </c>
      <c r="D773" t="s">
        <v>138</v>
      </c>
      <c r="E773" t="s">
        <v>132</v>
      </c>
      <c r="G773" t="s">
        <v>133</v>
      </c>
      <c r="H773" s="20" t="s">
        <v>211</v>
      </c>
      <c r="I773" t="s">
        <v>65</v>
      </c>
      <c r="J773" s="30">
        <v>7</v>
      </c>
      <c r="K773" s="22">
        <f>IF(I773="","",IF(I773="ENTRADA",ABS(J773),-ABS(J773)))</f>
        <v>-7</v>
      </c>
      <c r="L773" t="s">
        <v>37</v>
      </c>
      <c r="N773">
        <v>65306</v>
      </c>
      <c r="O773" t="s">
        <v>213</v>
      </c>
      <c r="P773">
        <v>1991</v>
      </c>
      <c r="Q773" s="47">
        <v>46317</v>
      </c>
      <c r="R773" s="22" t="str">
        <f>IF(H773="","",H773&amp;I773)</f>
        <v>260414-030SALIDA</v>
      </c>
      <c r="S773" s="22" t="str">
        <f>IF(C773="","",C773&amp;I773)</f>
        <v>Full controlSALIDA</v>
      </c>
      <c r="T773" t="str">
        <f>IF(OR(C773="",I773&lt;&gt;"ENTRADA"),"",TEXT(B773,"AAMMDD")&amp;"-"&amp;TEXT(VALUE(SUBSTITUTE(A773,"MOV-","")),"000"))</f>
        <v/>
      </c>
      <c r="V773" t="s">
        <v>1141</v>
      </c>
    </row>
    <row r="774" spans="1:22">
      <c r="A774" s="20" t="s">
        <v>1143</v>
      </c>
      <c r="B774" s="47">
        <v>46309</v>
      </c>
      <c r="C774" t="s">
        <v>130</v>
      </c>
      <c r="D774" t="s">
        <v>131</v>
      </c>
      <c r="E774" t="s">
        <v>132</v>
      </c>
      <c r="G774" t="s">
        <v>133</v>
      </c>
      <c r="H774" s="20" t="s">
        <v>221</v>
      </c>
      <c r="I774" t="s">
        <v>65</v>
      </c>
      <c r="J774" s="30">
        <v>40</v>
      </c>
      <c r="K774" s="22">
        <f>IF(I774="","",IF(I774="ENTRADA",ABS(J774),-ABS(J774)))</f>
        <v>-40</v>
      </c>
      <c r="L774" t="s">
        <v>37</v>
      </c>
      <c r="N774">
        <v>65306</v>
      </c>
      <c r="O774" t="s">
        <v>213</v>
      </c>
      <c r="P774">
        <v>1991</v>
      </c>
      <c r="Q774" s="47">
        <v>46317</v>
      </c>
      <c r="R774" s="22" t="str">
        <f>IF(H774="","",H774&amp;I774)</f>
        <v>260414-029SALIDA</v>
      </c>
      <c r="S774" s="22" t="str">
        <f>IF(C774="","",C774&amp;I774)</f>
        <v>HarrierSALIDA</v>
      </c>
      <c r="T774" t="str">
        <f>IF(OR(C774="",I774&lt;&gt;"ENTRADA"),"",TEXT(B774,"AAMMDD")&amp;"-"&amp;TEXT(VALUE(SUBSTITUTE(A774,"MOV-","")),"000"))</f>
        <v/>
      </c>
      <c r="V774" t="s">
        <v>1141</v>
      </c>
    </row>
    <row r="775" spans="1:22">
      <c r="A775" s="20" t="s">
        <v>1144</v>
      </c>
      <c r="B775" s="47">
        <v>46309</v>
      </c>
      <c r="C775" t="s">
        <v>784</v>
      </c>
      <c r="D775" t="s">
        <v>785</v>
      </c>
      <c r="E775" t="s">
        <v>34</v>
      </c>
      <c r="F775" t="s">
        <v>46</v>
      </c>
      <c r="G775" t="s">
        <v>27</v>
      </c>
      <c r="H775" s="20" t="s">
        <v>798</v>
      </c>
      <c r="I775" t="s">
        <v>65</v>
      </c>
      <c r="J775" s="30">
        <v>55</v>
      </c>
      <c r="K775" s="22">
        <f>IF(I775="","",IF(I775="ENTRADA",ABS(J775),-ABS(J775)))</f>
        <v>-55</v>
      </c>
      <c r="L775" t="s">
        <v>29</v>
      </c>
      <c r="N775">
        <v>65306</v>
      </c>
      <c r="O775" t="s">
        <v>213</v>
      </c>
      <c r="P775">
        <v>1991</v>
      </c>
      <c r="Q775" s="47">
        <v>46317</v>
      </c>
      <c r="R775" s="22" t="str">
        <f>IF(H775="","",H775&amp;I775)</f>
        <v>260801-489SALIDA</v>
      </c>
      <c r="S775" s="22" t="str">
        <f>IF(C775="","",C775&amp;I775)</f>
        <v>PyroxateSALIDA</v>
      </c>
      <c r="T775" t="str">
        <f>IF(OR(C775="",I775&lt;&gt;"ENTRADA"),"",TEXT(B775,"AAMMDD")&amp;"-"&amp;TEXT(VALUE(SUBSTITUTE(A775,"MOV-","")),"000"))</f>
        <v/>
      </c>
      <c r="V775" t="s">
        <v>1141</v>
      </c>
    </row>
    <row r="776" spans="1:22">
      <c r="A776" s="20" t="s">
        <v>1145</v>
      </c>
      <c r="B776" s="47">
        <v>46309</v>
      </c>
      <c r="C776" t="s">
        <v>944</v>
      </c>
      <c r="D776" t="s">
        <v>945</v>
      </c>
      <c r="E776" t="s">
        <v>516</v>
      </c>
      <c r="G776" t="s">
        <v>779</v>
      </c>
      <c r="H776" s="20" t="s">
        <v>970</v>
      </c>
      <c r="I776" t="s">
        <v>65</v>
      </c>
      <c r="J776" s="30">
        <v>65</v>
      </c>
      <c r="K776" s="22">
        <f>IF(I776="","",IF(I776="ENTRADA",ABS(J776),-ABS(J776)))</f>
        <v>-65</v>
      </c>
      <c r="L776" t="s">
        <v>56</v>
      </c>
      <c r="N776">
        <v>65307</v>
      </c>
      <c r="O776" t="s">
        <v>218</v>
      </c>
      <c r="P776">
        <v>1992</v>
      </c>
      <c r="Q776" s="47">
        <v>46317</v>
      </c>
      <c r="R776" s="22" t="str">
        <f>IF(H776="","",H776&amp;I776)</f>
        <v>260917-626SALIDA</v>
      </c>
      <c r="S776" s="22" t="str">
        <f>IF(C776="","",C776&amp;I776)</f>
        <v>Miravis triple packSALIDA</v>
      </c>
      <c r="T776" t="str">
        <f>IF(OR(C776="",I776&lt;&gt;"ENTRADA"),"",TEXT(B776,"AAMMDD")&amp;"-"&amp;TEXT(VALUE(SUBSTITUTE(A776,"MOV-","")),"000"))</f>
        <v/>
      </c>
      <c r="V776" t="s">
        <v>1111</v>
      </c>
    </row>
    <row r="777" spans="1:22">
      <c r="A777" s="20" t="s">
        <v>1146</v>
      </c>
      <c r="B777" s="47">
        <v>46309</v>
      </c>
      <c r="C777" t="s">
        <v>130</v>
      </c>
      <c r="D777" t="s">
        <v>131</v>
      </c>
      <c r="E777" t="s">
        <v>132</v>
      </c>
      <c r="G777" t="s">
        <v>133</v>
      </c>
      <c r="H777" s="20" t="s">
        <v>221</v>
      </c>
      <c r="I777" t="s">
        <v>65</v>
      </c>
      <c r="J777" s="30">
        <v>80</v>
      </c>
      <c r="K777" s="22">
        <f>IF(I777="","",IF(I777="ENTRADA",ABS(J777),-ABS(J777)))</f>
        <v>-80</v>
      </c>
      <c r="L777" t="s">
        <v>37</v>
      </c>
      <c r="N777">
        <v>65307</v>
      </c>
      <c r="O777" t="s">
        <v>218</v>
      </c>
      <c r="P777">
        <v>1992</v>
      </c>
      <c r="Q777" s="47">
        <v>46317</v>
      </c>
      <c r="R777" s="22" t="str">
        <f>IF(H777="","",H777&amp;I777)</f>
        <v>260414-029SALIDA</v>
      </c>
      <c r="S777" s="22" t="str">
        <f>IF(C777="","",C777&amp;I777)</f>
        <v>HarrierSALIDA</v>
      </c>
      <c r="T777" t="str">
        <f>IF(OR(C777="",I777&lt;&gt;"ENTRADA"),"",TEXT(B777,"AAMMDD")&amp;"-"&amp;TEXT(VALUE(SUBSTITUTE(A777,"MOV-","")),"000"))</f>
        <v/>
      </c>
      <c r="V777" t="s">
        <v>1111</v>
      </c>
    </row>
    <row r="778" spans="1:22">
      <c r="A778" s="20" t="s">
        <v>1147</v>
      </c>
      <c r="B778" s="47">
        <v>46309</v>
      </c>
      <c r="C778" t="s">
        <v>137</v>
      </c>
      <c r="D778" t="s">
        <v>138</v>
      </c>
      <c r="E778" t="s">
        <v>132</v>
      </c>
      <c r="G778" t="s">
        <v>133</v>
      </c>
      <c r="H778" s="20" t="s">
        <v>211</v>
      </c>
      <c r="I778" t="s">
        <v>65</v>
      </c>
      <c r="J778" s="30">
        <v>15</v>
      </c>
      <c r="K778" s="22">
        <f>IF(I778="","",IF(I778="ENTRADA",ABS(J778),-ABS(J778)))</f>
        <v>-15</v>
      </c>
      <c r="L778" t="s">
        <v>37</v>
      </c>
      <c r="N778">
        <v>65307</v>
      </c>
      <c r="O778" t="s">
        <v>218</v>
      </c>
      <c r="P778">
        <v>1992</v>
      </c>
      <c r="Q778" s="47">
        <v>46317</v>
      </c>
      <c r="R778" s="22" t="str">
        <f>IF(H778="","",H778&amp;I778)</f>
        <v>260414-030SALIDA</v>
      </c>
      <c r="S778" s="22" t="str">
        <f>IF(C778="","",C778&amp;I778)</f>
        <v>Full controlSALIDA</v>
      </c>
      <c r="T778" t="str">
        <f>IF(OR(C778="",I778&lt;&gt;"ENTRADA"),"",TEXT(B778,"AAMMDD")&amp;"-"&amp;TEXT(VALUE(SUBSTITUTE(A778,"MOV-","")),"000"))</f>
        <v/>
      </c>
      <c r="V778" t="s">
        <v>1111</v>
      </c>
    </row>
    <row r="779" spans="1:22">
      <c r="A779" s="20" t="s">
        <v>1148</v>
      </c>
      <c r="B779" s="47">
        <v>46309</v>
      </c>
      <c r="C779" t="s">
        <v>115</v>
      </c>
      <c r="D779" t="s">
        <v>116</v>
      </c>
      <c r="E779" t="s">
        <v>34</v>
      </c>
      <c r="F779" t="s">
        <v>35</v>
      </c>
      <c r="G779" t="s">
        <v>117</v>
      </c>
      <c r="H779" s="20" t="s">
        <v>813</v>
      </c>
      <c r="I779" t="s">
        <v>65</v>
      </c>
      <c r="J779" s="30">
        <v>200</v>
      </c>
      <c r="K779" s="22">
        <f>IF(I779="","",IF(I779="ENTRADA",ABS(J779),-ABS(J779)))</f>
        <v>-200</v>
      </c>
      <c r="L779" t="s">
        <v>37</v>
      </c>
      <c r="N779">
        <v>65308</v>
      </c>
      <c r="O779" t="s">
        <v>218</v>
      </c>
      <c r="P779">
        <v>1994</v>
      </c>
      <c r="Q779" s="47">
        <v>46317</v>
      </c>
      <c r="R779" s="22" t="str">
        <f>IF(H779="","",H779&amp;I779)</f>
        <v>260910-622SALIDA</v>
      </c>
      <c r="S779" s="22" t="str">
        <f>IF(C779="","",C779&amp;I779)</f>
        <v>AzukaSALIDA</v>
      </c>
      <c r="T779" t="str">
        <f>IF(OR(C779="",I779&lt;&gt;"ENTRADA"),"",TEXT(B779,"AAMMDD")&amp;"-"&amp;TEXT(VALUE(SUBSTITUTE(A779,"MOV-","")),"000"))</f>
        <v/>
      </c>
    </row>
    <row r="780" spans="1:22">
      <c r="A780" s="20" t="s">
        <v>1149</v>
      </c>
      <c r="B780" s="47">
        <v>46309</v>
      </c>
      <c r="C780" s="34" t="s">
        <v>784</v>
      </c>
      <c r="D780" s="34" t="s">
        <v>785</v>
      </c>
      <c r="E780" s="34" t="s">
        <v>34</v>
      </c>
      <c r="F780" s="34" t="s">
        <v>46</v>
      </c>
      <c r="G780" s="34" t="s">
        <v>27</v>
      </c>
      <c r="H780" s="20" t="s">
        <v>798</v>
      </c>
      <c r="I780" s="34" t="s">
        <v>65</v>
      </c>
      <c r="J780" s="36">
        <v>12</v>
      </c>
      <c r="K780" s="22">
        <f>IF(I780="","",IF(I780="ENTRADA",ABS(J780),-ABS(J780)))</f>
        <v>-12</v>
      </c>
      <c r="L780" s="34" t="s">
        <v>29</v>
      </c>
      <c r="M780" s="34"/>
      <c r="N780">
        <v>65308</v>
      </c>
      <c r="O780" s="34" t="s">
        <v>218</v>
      </c>
      <c r="P780">
        <v>1994</v>
      </c>
      <c r="Q780" s="47">
        <v>46317</v>
      </c>
      <c r="R780" s="22" t="str">
        <f>IF(H780="","",H780&amp;I780)</f>
        <v>260801-489SALIDA</v>
      </c>
      <c r="S780" s="22" t="str">
        <f>IF(C780="","",C780&amp;I780)</f>
        <v>PyroxateSALIDA</v>
      </c>
      <c r="T780" t="str">
        <f>IF(OR(C780="",I780&lt;&gt;"ENTRADA"),"",TEXT(B780,"AAMMDD")&amp;"-"&amp;TEXT(VALUE(SUBSTITUTE(A780,"MOV-","")),"000"))</f>
        <v/>
      </c>
    </row>
    <row r="781" spans="1:22">
      <c r="A781" s="20" t="s">
        <v>1150</v>
      </c>
      <c r="B781" s="47">
        <v>46311</v>
      </c>
      <c r="C781" t="s">
        <v>115</v>
      </c>
      <c r="D781" t="s">
        <v>116</v>
      </c>
      <c r="E781" t="s">
        <v>34</v>
      </c>
      <c r="F781" t="s">
        <v>35</v>
      </c>
      <c r="G781" t="s">
        <v>117</v>
      </c>
      <c r="H781" s="20" t="s">
        <v>813</v>
      </c>
      <c r="I781" t="s">
        <v>65</v>
      </c>
      <c r="J781" s="30">
        <v>580</v>
      </c>
      <c r="K781" s="22">
        <f>IF(I781="","",IF(I781="ENTRADA",ABS(J781),-ABS(J781)))</f>
        <v>-580</v>
      </c>
      <c r="L781" t="s">
        <v>37</v>
      </c>
      <c r="N781">
        <v>65312</v>
      </c>
      <c r="O781" t="s">
        <v>218</v>
      </c>
      <c r="P781">
        <v>1996</v>
      </c>
      <c r="Q781" s="47">
        <v>46317</v>
      </c>
      <c r="R781" s="22" t="str">
        <f>IF(H781="","",H781&amp;I781)</f>
        <v>260910-622SALIDA</v>
      </c>
      <c r="S781" s="22" t="str">
        <f>IF(C781="","",C781&amp;I781)</f>
        <v>AzukaSALIDA</v>
      </c>
      <c r="T781" t="str">
        <f>IF(OR(C781="",I781&lt;&gt;"ENTRADA"),"",TEXT(B781,"AAMMDD")&amp;"-"&amp;TEXT(VALUE(SUBSTITUTE(A781,"MOV-","")),"000"))</f>
        <v/>
      </c>
      <c r="V781" t="s">
        <v>1151</v>
      </c>
    </row>
    <row r="782" spans="1:22">
      <c r="A782" s="20" t="s">
        <v>1152</v>
      </c>
      <c r="B782" s="47">
        <v>46311</v>
      </c>
      <c r="C782" t="s">
        <v>122</v>
      </c>
      <c r="D782" t="s">
        <v>123</v>
      </c>
      <c r="E782" t="s">
        <v>34</v>
      </c>
      <c r="F782" t="s">
        <v>35</v>
      </c>
      <c r="G782" t="s">
        <v>117</v>
      </c>
      <c r="H782" s="20" t="s">
        <v>939</v>
      </c>
      <c r="I782" t="s">
        <v>65</v>
      </c>
      <c r="J782" s="30">
        <v>200</v>
      </c>
      <c r="K782" s="22">
        <f>IF(I782="","",IF(I782="ENTRADA",ABS(J782),-ABS(J782)))</f>
        <v>-200</v>
      </c>
      <c r="L782" t="s">
        <v>37</v>
      </c>
      <c r="N782">
        <v>65312</v>
      </c>
      <c r="O782" t="s">
        <v>218</v>
      </c>
      <c r="P782">
        <v>1996</v>
      </c>
      <c r="Q782" s="47">
        <v>46317</v>
      </c>
      <c r="R782" s="22" t="str">
        <f>IF(H782="","",H782&amp;I782)</f>
        <v>260727-380SALIDA</v>
      </c>
      <c r="S782" s="22" t="str">
        <f>IF(C782="","",C782&amp;I782)</f>
        <v>PardoSALIDA</v>
      </c>
      <c r="T782" t="str">
        <f>IF(OR(C782="",I782&lt;&gt;"ENTRADA"),"",TEXT(B782,"AAMMDD")&amp;"-"&amp;TEXT(VALUE(SUBSTITUTE(A782,"MOV-","")),"000"))</f>
        <v/>
      </c>
      <c r="V782" t="s">
        <v>1151</v>
      </c>
    </row>
    <row r="783" spans="1:22">
      <c r="A783" s="20" t="s">
        <v>1153</v>
      </c>
      <c r="B783" s="47">
        <v>46311</v>
      </c>
      <c r="C783" t="s">
        <v>784</v>
      </c>
      <c r="D783" t="s">
        <v>785</v>
      </c>
      <c r="E783" t="s">
        <v>34</v>
      </c>
      <c r="F783" t="s">
        <v>46</v>
      </c>
      <c r="G783" t="s">
        <v>27</v>
      </c>
      <c r="H783" s="20" t="s">
        <v>798</v>
      </c>
      <c r="I783" t="s">
        <v>65</v>
      </c>
      <c r="J783" s="30">
        <v>20</v>
      </c>
      <c r="K783" s="22">
        <f>IF(I783="","",IF(I783="ENTRADA",ABS(J783),-ABS(J783)))</f>
        <v>-20</v>
      </c>
      <c r="L783" t="s">
        <v>29</v>
      </c>
      <c r="N783">
        <v>65312</v>
      </c>
      <c r="O783" t="s">
        <v>218</v>
      </c>
      <c r="P783">
        <v>1996</v>
      </c>
      <c r="Q783" s="47">
        <v>46317</v>
      </c>
      <c r="R783" s="22" t="str">
        <f>IF(H783="","",H783&amp;I783)</f>
        <v>260801-489SALIDA</v>
      </c>
      <c r="S783" s="22" t="str">
        <f>IF(C783="","",C783&amp;I783)</f>
        <v>PyroxateSALIDA</v>
      </c>
      <c r="T783" t="str">
        <f>IF(OR(C783="",I783&lt;&gt;"ENTRADA"),"",TEXT(B783,"AAMMDD")&amp;"-"&amp;TEXT(VALUE(SUBSTITUTE(A783,"MOV-","")),"000"))</f>
        <v/>
      </c>
      <c r="V783" t="s">
        <v>1151</v>
      </c>
    </row>
    <row r="784" spans="1:22">
      <c r="A784" s="20" t="s">
        <v>1154</v>
      </c>
      <c r="B784" s="47">
        <v>46311</v>
      </c>
      <c r="C784" t="s">
        <v>130</v>
      </c>
      <c r="D784" t="s">
        <v>131</v>
      </c>
      <c r="E784" t="s">
        <v>132</v>
      </c>
      <c r="G784" t="s">
        <v>133</v>
      </c>
      <c r="H784" s="20" t="s">
        <v>221</v>
      </c>
      <c r="I784" t="s">
        <v>65</v>
      </c>
      <c r="J784" s="30">
        <v>20</v>
      </c>
      <c r="K784" s="22">
        <f>IF(I784="","",IF(I784="ENTRADA",ABS(J784),-ABS(J784)))</f>
        <v>-20</v>
      </c>
      <c r="L784" t="s">
        <v>37</v>
      </c>
      <c r="N784">
        <v>65312</v>
      </c>
      <c r="O784" t="s">
        <v>218</v>
      </c>
      <c r="P784">
        <v>1996</v>
      </c>
      <c r="Q784" s="47">
        <v>46317</v>
      </c>
      <c r="R784" s="22" t="str">
        <f>IF(H784="","",H784&amp;I784)</f>
        <v>260414-029SALIDA</v>
      </c>
      <c r="S784" s="22" t="str">
        <f>IF(C784="","",C784&amp;I784)</f>
        <v>HarrierSALIDA</v>
      </c>
      <c r="T784" t="str">
        <f>IF(OR(C784="",I784&lt;&gt;"ENTRADA"),"",TEXT(B784,"AAMMDD")&amp;"-"&amp;TEXT(VALUE(SUBSTITUTE(A784,"MOV-","")),"000"))</f>
        <v/>
      </c>
      <c r="V784" t="s">
        <v>1151</v>
      </c>
    </row>
    <row r="785" spans="1:22">
      <c r="A785" s="20" t="s">
        <v>1155</v>
      </c>
      <c r="B785" s="47">
        <v>46311</v>
      </c>
      <c r="C785" t="s">
        <v>137</v>
      </c>
      <c r="D785" t="s">
        <v>138</v>
      </c>
      <c r="E785" t="s">
        <v>132</v>
      </c>
      <c r="G785" t="s">
        <v>133</v>
      </c>
      <c r="H785" s="20" t="s">
        <v>211</v>
      </c>
      <c r="I785" t="s">
        <v>65</v>
      </c>
      <c r="J785" s="30">
        <v>4</v>
      </c>
      <c r="K785" s="22">
        <f>IF(I785="","",IF(I785="ENTRADA",ABS(J785),-ABS(J785)))</f>
        <v>-4</v>
      </c>
      <c r="L785" t="s">
        <v>37</v>
      </c>
      <c r="N785">
        <v>65312</v>
      </c>
      <c r="O785" t="s">
        <v>218</v>
      </c>
      <c r="P785">
        <v>1996</v>
      </c>
      <c r="Q785" s="47">
        <v>46317</v>
      </c>
      <c r="R785" s="22" t="str">
        <f>IF(H785="","",H785&amp;I785)</f>
        <v>260414-030SALIDA</v>
      </c>
      <c r="S785" s="22" t="str">
        <f>IF(C785="","",C785&amp;I785)</f>
        <v>Full controlSALIDA</v>
      </c>
      <c r="T785" t="str">
        <f>IF(OR(C785="",I785&lt;&gt;"ENTRADA"),"",TEXT(B785,"AAMMDD")&amp;"-"&amp;TEXT(VALUE(SUBSTITUTE(A785,"MOV-","")),"000"))</f>
        <v/>
      </c>
      <c r="V785" t="s">
        <v>1151</v>
      </c>
    </row>
    <row r="786" spans="1:22">
      <c r="A786" s="20" t="s">
        <v>1156</v>
      </c>
      <c r="B786" s="47">
        <v>46311</v>
      </c>
      <c r="C786" t="s">
        <v>75</v>
      </c>
      <c r="D786" t="s">
        <v>76</v>
      </c>
      <c r="E786" t="s">
        <v>34</v>
      </c>
      <c r="F786" t="s">
        <v>35</v>
      </c>
      <c r="G786" t="s">
        <v>77</v>
      </c>
      <c r="H786" s="20" t="s">
        <v>94</v>
      </c>
      <c r="I786" t="s">
        <v>65</v>
      </c>
      <c r="J786" s="30">
        <v>340</v>
      </c>
      <c r="K786" s="22">
        <f>IF(I786="","",IF(I786="ENTRADA",ABS(J786),-ABS(J786)))</f>
        <v>-340</v>
      </c>
      <c r="L786" t="s">
        <v>37</v>
      </c>
      <c r="N786">
        <v>65312</v>
      </c>
      <c r="O786" t="s">
        <v>218</v>
      </c>
      <c r="P786">
        <v>1996</v>
      </c>
      <c r="Q786" s="47">
        <v>46317</v>
      </c>
      <c r="R786" s="22" t="str">
        <f>IF(H786="","",H786&amp;I786)</f>
        <v>260407-012SALIDA</v>
      </c>
      <c r="S786" s="22" t="str">
        <f>IF(C786="","",C786&amp;I786)</f>
        <v>Dedalo eliteSALIDA</v>
      </c>
      <c r="T786" t="str">
        <f>IF(OR(C786="",I786&lt;&gt;"ENTRADA"),"",TEXT(B786,"AAMMDD")&amp;"-"&amp;TEXT(VALUE(SUBSTITUTE(A786,"MOV-","")),"000"))</f>
        <v/>
      </c>
      <c r="V786" t="s">
        <v>1151</v>
      </c>
    </row>
    <row r="787" spans="1:22">
      <c r="A787" s="20" t="s">
        <v>1157</v>
      </c>
      <c r="B787" s="47">
        <v>46311</v>
      </c>
      <c r="C787" t="s">
        <v>115</v>
      </c>
      <c r="D787" t="s">
        <v>116</v>
      </c>
      <c r="E787" t="s">
        <v>34</v>
      </c>
      <c r="F787" t="s">
        <v>35</v>
      </c>
      <c r="G787" t="s">
        <v>117</v>
      </c>
      <c r="H787" s="20" t="s">
        <v>813</v>
      </c>
      <c r="I787" t="s">
        <v>65</v>
      </c>
      <c r="J787" s="30">
        <v>340</v>
      </c>
      <c r="K787" s="22">
        <f>IF(I787="","",IF(I787="ENTRADA",ABS(J787),-ABS(J787)))</f>
        <v>-340</v>
      </c>
      <c r="L787" t="s">
        <v>37</v>
      </c>
      <c r="N787">
        <v>65313</v>
      </c>
      <c r="O787" t="s">
        <v>218</v>
      </c>
      <c r="P787">
        <v>1997</v>
      </c>
      <c r="Q787" s="47">
        <v>46317</v>
      </c>
      <c r="R787" s="22" t="str">
        <f>IF(H787="","",H787&amp;I787)</f>
        <v>260910-622SALIDA</v>
      </c>
      <c r="S787" s="22" t="str">
        <f>IF(C787="","",C787&amp;I787)</f>
        <v>AzukaSALIDA</v>
      </c>
      <c r="T787" t="str">
        <f>IF(OR(C787="",I787&lt;&gt;"ENTRADA"),"",TEXT(B787,"AAMMDD")&amp;"-"&amp;TEXT(VALUE(SUBSTITUTE(A787,"MOV-","")),"000"))</f>
        <v/>
      </c>
      <c r="V787" t="s">
        <v>1111</v>
      </c>
    </row>
    <row r="788" spans="1:22">
      <c r="A788" s="20" t="s">
        <v>1158</v>
      </c>
      <c r="B788" s="47">
        <v>46311</v>
      </c>
      <c r="C788" t="s">
        <v>75</v>
      </c>
      <c r="D788" t="s">
        <v>76</v>
      </c>
      <c r="E788" t="s">
        <v>34</v>
      </c>
      <c r="F788" t="s">
        <v>35</v>
      </c>
      <c r="G788" t="s">
        <v>77</v>
      </c>
      <c r="H788" s="20" t="s">
        <v>94</v>
      </c>
      <c r="I788" t="s">
        <v>65</v>
      </c>
      <c r="J788" s="30">
        <v>280</v>
      </c>
      <c r="K788" s="22">
        <f>IF(I788="","",IF(I788="ENTRADA",ABS(J788),-ABS(J788)))</f>
        <v>-280</v>
      </c>
      <c r="L788" t="s">
        <v>37</v>
      </c>
      <c r="N788">
        <v>65313</v>
      </c>
      <c r="O788" t="s">
        <v>218</v>
      </c>
      <c r="P788">
        <v>1997</v>
      </c>
      <c r="Q788" s="47">
        <v>46317</v>
      </c>
      <c r="R788" s="22" t="str">
        <f>IF(H788="","",H788&amp;I788)</f>
        <v>260407-012SALIDA</v>
      </c>
      <c r="S788" s="22" t="str">
        <f>IF(C788="","",C788&amp;I788)</f>
        <v>Dedalo eliteSALIDA</v>
      </c>
      <c r="T788" t="str">
        <f>IF(OR(C788="",I788&lt;&gt;"ENTRADA"),"",TEXT(B788,"AAMMDD")&amp;"-"&amp;TEXT(VALUE(SUBSTITUTE(A788,"MOV-","")),"000"))</f>
        <v/>
      </c>
      <c r="V788" t="s">
        <v>1111</v>
      </c>
    </row>
    <row r="789" spans="1:22">
      <c r="A789" s="20" t="s">
        <v>1159</v>
      </c>
      <c r="B789" s="47">
        <v>46311</v>
      </c>
      <c r="C789" t="s">
        <v>944</v>
      </c>
      <c r="D789" t="s">
        <v>945</v>
      </c>
      <c r="E789" t="s">
        <v>516</v>
      </c>
      <c r="G789" t="s">
        <v>779</v>
      </c>
      <c r="H789" s="20" t="s">
        <v>970</v>
      </c>
      <c r="I789" t="s">
        <v>65</v>
      </c>
      <c r="J789" s="30">
        <v>18</v>
      </c>
      <c r="K789" s="22">
        <f>IF(I789="","",IF(I789="ENTRADA",ABS(J789),-ABS(J789)))</f>
        <v>-18</v>
      </c>
      <c r="L789" t="s">
        <v>56</v>
      </c>
      <c r="N789">
        <v>65313</v>
      </c>
      <c r="O789" t="s">
        <v>218</v>
      </c>
      <c r="P789">
        <v>1997</v>
      </c>
      <c r="Q789" s="47">
        <v>46317</v>
      </c>
      <c r="R789" s="22" t="str">
        <f>IF(H789="","",H789&amp;I789)</f>
        <v>260917-626SALIDA</v>
      </c>
      <c r="S789" s="22" t="str">
        <f>IF(C789="","",C789&amp;I789)</f>
        <v>Miravis triple packSALIDA</v>
      </c>
      <c r="T789" t="str">
        <f>IF(OR(C789="",I789&lt;&gt;"ENTRADA"),"",TEXT(B789,"AAMMDD")&amp;"-"&amp;TEXT(VALUE(SUBSTITUTE(A789,"MOV-","")),"000"))</f>
        <v/>
      </c>
      <c r="V789" t="s">
        <v>1111</v>
      </c>
    </row>
    <row r="790" spans="1:22">
      <c r="A790" s="20" t="s">
        <v>1160</v>
      </c>
      <c r="B790" s="47">
        <v>46311</v>
      </c>
      <c r="C790" t="s">
        <v>130</v>
      </c>
      <c r="D790" t="s">
        <v>131</v>
      </c>
      <c r="E790" t="s">
        <v>132</v>
      </c>
      <c r="G790" t="s">
        <v>133</v>
      </c>
      <c r="H790" s="20" t="s">
        <v>221</v>
      </c>
      <c r="I790" t="s">
        <v>65</v>
      </c>
      <c r="J790" s="30">
        <v>40</v>
      </c>
      <c r="K790" s="22">
        <f>IF(I790="","",IF(I790="ENTRADA",ABS(J790),-ABS(J790)))</f>
        <v>-40</v>
      </c>
      <c r="L790" t="s">
        <v>37</v>
      </c>
      <c r="N790">
        <v>65313</v>
      </c>
      <c r="O790" t="s">
        <v>218</v>
      </c>
      <c r="P790">
        <v>1997</v>
      </c>
      <c r="Q790" s="47">
        <v>46317</v>
      </c>
      <c r="R790" s="22" t="str">
        <f>IF(H790="","",H790&amp;I790)</f>
        <v>260414-029SALIDA</v>
      </c>
      <c r="S790" s="22" t="str">
        <f>IF(C790="","",C790&amp;I790)</f>
        <v>HarrierSALIDA</v>
      </c>
      <c r="T790" t="str">
        <f>IF(OR(C790="",I790&lt;&gt;"ENTRADA"),"",TEXT(B790,"AAMMDD")&amp;"-"&amp;TEXT(VALUE(SUBSTITUTE(A790,"MOV-","")),"000"))</f>
        <v/>
      </c>
      <c r="V790" t="s">
        <v>1111</v>
      </c>
    </row>
    <row r="791" spans="1:22">
      <c r="A791" s="20" t="s">
        <v>1161</v>
      </c>
      <c r="B791" s="47">
        <v>46311</v>
      </c>
      <c r="C791" t="s">
        <v>122</v>
      </c>
      <c r="D791" s="34" t="s">
        <v>123</v>
      </c>
      <c r="E791" s="34" t="s">
        <v>34</v>
      </c>
      <c r="F791" s="34" t="s">
        <v>35</v>
      </c>
      <c r="G791" s="34" t="s">
        <v>117</v>
      </c>
      <c r="H791" s="20" t="s">
        <v>939</v>
      </c>
      <c r="I791" s="34" t="s">
        <v>65</v>
      </c>
      <c r="J791" s="36">
        <v>170</v>
      </c>
      <c r="K791" s="22">
        <f>IF(I791="","",IF(I791="ENTRADA",ABS(J791),-ABS(J791)))</f>
        <v>-170</v>
      </c>
      <c r="L791" s="34" t="s">
        <v>37</v>
      </c>
      <c r="M791" s="34"/>
      <c r="N791">
        <v>65313</v>
      </c>
      <c r="O791" s="34" t="s">
        <v>218</v>
      </c>
      <c r="P791">
        <v>1997</v>
      </c>
      <c r="Q791" s="47">
        <v>46317</v>
      </c>
      <c r="R791" s="22" t="str">
        <f>IF(H791="","",H791&amp;I791)</f>
        <v>260727-380SALIDA</v>
      </c>
      <c r="S791" s="22" t="str">
        <f>IF(C791="","",C791&amp;I791)</f>
        <v>PardoSALIDA</v>
      </c>
      <c r="T791" t="str">
        <f>IF(OR(C791="",I791&lt;&gt;"ENTRADA"),"",TEXT(B791,"AAMMDD")&amp;"-"&amp;TEXT(VALUE(SUBSTITUTE(A791,"MOV-","")),"000"))</f>
        <v/>
      </c>
      <c r="V791" t="s">
        <v>1111</v>
      </c>
    </row>
    <row r="792" spans="1:22">
      <c r="A792" s="20" t="s">
        <v>1162</v>
      </c>
      <c r="B792" s="47">
        <v>46311</v>
      </c>
      <c r="C792" t="s">
        <v>784</v>
      </c>
      <c r="D792" t="s">
        <v>785</v>
      </c>
      <c r="E792" t="s">
        <v>34</v>
      </c>
      <c r="F792" t="s">
        <v>46</v>
      </c>
      <c r="G792" t="s">
        <v>27</v>
      </c>
      <c r="H792" s="20" t="s">
        <v>798</v>
      </c>
      <c r="I792" t="s">
        <v>65</v>
      </c>
      <c r="J792" s="30">
        <v>22.5</v>
      </c>
      <c r="K792" s="22">
        <f>IF(I792="","",IF(I792="ENTRADA",ABS(J792),-ABS(J792)))</f>
        <v>-22.5</v>
      </c>
      <c r="L792" t="s">
        <v>29</v>
      </c>
      <c r="N792">
        <v>65313</v>
      </c>
      <c r="O792" t="s">
        <v>218</v>
      </c>
      <c r="P792">
        <v>1997</v>
      </c>
      <c r="Q792" s="47">
        <v>46317</v>
      </c>
      <c r="R792" s="22" t="str">
        <f>IF(H792="","",H792&amp;I792)</f>
        <v>260801-489SALIDA</v>
      </c>
      <c r="S792" s="22" t="str">
        <f>IF(C792="","",C792&amp;I792)</f>
        <v>PyroxateSALIDA</v>
      </c>
      <c r="T792" t="str">
        <f>IF(OR(C792="",I792&lt;&gt;"ENTRADA"),"",TEXT(B792,"AAMMDD")&amp;"-"&amp;TEXT(VALUE(SUBSTITUTE(A792,"MOV-","")),"000"))</f>
        <v/>
      </c>
      <c r="V792" t="s">
        <v>1111</v>
      </c>
    </row>
    <row r="793" spans="1:22">
      <c r="A793" s="20" t="s">
        <v>1163</v>
      </c>
      <c r="B793" s="47">
        <v>46311</v>
      </c>
      <c r="C793" t="s">
        <v>137</v>
      </c>
      <c r="D793" t="s">
        <v>138</v>
      </c>
      <c r="E793" t="s">
        <v>132</v>
      </c>
      <c r="G793" t="s">
        <v>133</v>
      </c>
      <c r="H793" s="20" t="s">
        <v>211</v>
      </c>
      <c r="I793" t="s">
        <v>65</v>
      </c>
      <c r="J793" s="30">
        <v>4</v>
      </c>
      <c r="K793" s="22">
        <f>IF(I793="","",IF(I793="ENTRADA",ABS(J793),-ABS(J793)))</f>
        <v>-4</v>
      </c>
      <c r="L793" t="s">
        <v>37</v>
      </c>
      <c r="N793">
        <v>65313</v>
      </c>
      <c r="O793" t="s">
        <v>218</v>
      </c>
      <c r="P793">
        <v>1997</v>
      </c>
      <c r="Q793" s="47">
        <v>46317</v>
      </c>
      <c r="R793" s="22" t="str">
        <f>IF(H793="","",H793&amp;I793)</f>
        <v>260414-030SALIDA</v>
      </c>
      <c r="S793" s="22" t="str">
        <f>IF(C793="","",C793&amp;I793)</f>
        <v>Full controlSALIDA</v>
      </c>
      <c r="T793" t="str">
        <f>IF(OR(C793="",I793&lt;&gt;"ENTRADA"),"",TEXT(B793,"AAMMDD")&amp;"-"&amp;TEXT(VALUE(SUBSTITUTE(A793,"MOV-","")),"000"))</f>
        <v/>
      </c>
      <c r="V793" t="s">
        <v>1111</v>
      </c>
    </row>
    <row r="794" spans="1:22">
      <c r="A794" s="20" t="s">
        <v>1164</v>
      </c>
      <c r="B794" s="47">
        <v>46311</v>
      </c>
      <c r="C794" t="s">
        <v>115</v>
      </c>
      <c r="D794" t="s">
        <v>116</v>
      </c>
      <c r="E794" t="s">
        <v>34</v>
      </c>
      <c r="F794" t="s">
        <v>35</v>
      </c>
      <c r="G794" t="s">
        <v>117</v>
      </c>
      <c r="H794" s="20" t="s">
        <v>813</v>
      </c>
      <c r="I794" t="s">
        <v>65</v>
      </c>
      <c r="J794" s="30">
        <v>7060</v>
      </c>
      <c r="K794" s="22">
        <f>IF(I794="","",IF(I794="ENTRADA",ABS(J794),-ABS(J794)))</f>
        <v>-7060</v>
      </c>
      <c r="L794" t="s">
        <v>37</v>
      </c>
      <c r="N794">
        <v>65314</v>
      </c>
      <c r="O794" t="s">
        <v>237</v>
      </c>
      <c r="P794">
        <v>2015</v>
      </c>
      <c r="Q794" s="47">
        <v>46317</v>
      </c>
      <c r="R794" s="22" t="str">
        <f>IF(H794="","",H794&amp;I794)</f>
        <v>260910-622SALIDA</v>
      </c>
      <c r="S794" s="22" t="str">
        <f>IF(C794="","",C794&amp;I794)</f>
        <v>AzukaSALIDA</v>
      </c>
      <c r="T794" t="str">
        <f>IF(OR(C794="",I794&lt;&gt;"ENTRADA"),"",TEXT(B794,"AAMMDD")&amp;"-"&amp;TEXT(VALUE(SUBSTITUTE(A794,"MOV-","")),"000"))</f>
        <v/>
      </c>
      <c r="V794" t="s">
        <v>1165</v>
      </c>
    </row>
    <row r="795" spans="1:22">
      <c r="A795" s="20" t="s">
        <v>1166</v>
      </c>
      <c r="B795" s="47">
        <v>46311</v>
      </c>
      <c r="C795" t="s">
        <v>130</v>
      </c>
      <c r="D795" t="s">
        <v>131</v>
      </c>
      <c r="E795" t="s">
        <v>132</v>
      </c>
      <c r="G795" t="s">
        <v>133</v>
      </c>
      <c r="H795" s="20" t="s">
        <v>221</v>
      </c>
      <c r="I795" t="s">
        <v>65</v>
      </c>
      <c r="J795" s="30">
        <v>280</v>
      </c>
      <c r="K795" s="22">
        <f>IF(I795="","",IF(I795="ENTRADA",ABS(J795),-ABS(J795)))</f>
        <v>-280</v>
      </c>
      <c r="L795" t="s">
        <v>37</v>
      </c>
      <c r="N795">
        <v>65314</v>
      </c>
      <c r="O795" t="s">
        <v>237</v>
      </c>
      <c r="P795">
        <v>2015</v>
      </c>
      <c r="Q795" s="47">
        <v>46317</v>
      </c>
      <c r="R795" s="22" t="str">
        <f>IF(H795="","",H795&amp;I795)</f>
        <v>260414-029SALIDA</v>
      </c>
      <c r="S795" s="22" t="str">
        <f>IF(C795="","",C795&amp;I795)</f>
        <v>HarrierSALIDA</v>
      </c>
      <c r="T795" t="str">
        <f>IF(OR(C795="",I795&lt;&gt;"ENTRADA"),"",TEXT(B795,"AAMMDD")&amp;"-"&amp;TEXT(VALUE(SUBSTITUTE(A795,"MOV-","")),"000"))</f>
        <v/>
      </c>
      <c r="V795" t="s">
        <v>1165</v>
      </c>
    </row>
    <row r="796" spans="1:22">
      <c r="A796" s="20" t="s">
        <v>1167</v>
      </c>
      <c r="B796" s="47">
        <v>46311</v>
      </c>
      <c r="C796" t="s">
        <v>137</v>
      </c>
      <c r="D796" t="s">
        <v>138</v>
      </c>
      <c r="E796" t="s">
        <v>132</v>
      </c>
      <c r="G796" t="s">
        <v>133</v>
      </c>
      <c r="H796" s="20" t="s">
        <v>602</v>
      </c>
      <c r="I796" t="s">
        <v>65</v>
      </c>
      <c r="J796" s="30">
        <v>60</v>
      </c>
      <c r="K796" s="22">
        <f>IF(I796="","",IF(I796="ENTRADA",ABS(J796),-ABS(J796)))</f>
        <v>-60</v>
      </c>
      <c r="L796" t="s">
        <v>37</v>
      </c>
      <c r="N796">
        <v>65314</v>
      </c>
      <c r="O796" t="s">
        <v>237</v>
      </c>
      <c r="P796">
        <v>2015</v>
      </c>
      <c r="Q796" s="47">
        <v>46317</v>
      </c>
      <c r="R796" s="22" t="str">
        <f>IF(H796="","",H796&amp;I796)</f>
        <v>260827-472SALIDA</v>
      </c>
      <c r="S796" s="22" t="str">
        <f>IF(C796="","",C796&amp;I796)</f>
        <v>Full controlSALIDA</v>
      </c>
      <c r="T796" t="str">
        <f>IF(OR(C796="",I796&lt;&gt;"ENTRADA"),"",TEXT(B796,"AAMMDD")&amp;"-"&amp;TEXT(VALUE(SUBSTITUTE(A796,"MOV-","")),"000"))</f>
        <v/>
      </c>
      <c r="V796" t="s">
        <v>1165</v>
      </c>
    </row>
    <row r="797" spans="1:22">
      <c r="A797" s="20" t="s">
        <v>1168</v>
      </c>
      <c r="B797" s="47">
        <v>46311</v>
      </c>
      <c r="C797" t="s">
        <v>1127</v>
      </c>
      <c r="D797" t="s">
        <v>785</v>
      </c>
      <c r="E797" t="s">
        <v>34</v>
      </c>
      <c r="F797" t="s">
        <v>46</v>
      </c>
      <c r="G797" t="s">
        <v>117</v>
      </c>
      <c r="H797" s="20" t="s">
        <v>1169</v>
      </c>
      <c r="I797" t="s">
        <v>65</v>
      </c>
      <c r="J797" s="30">
        <v>460</v>
      </c>
      <c r="K797" s="22">
        <f>IF(I797="","",IF(I797="ENTRADA",ABS(J797),-ABS(J797)))</f>
        <v>-460</v>
      </c>
      <c r="L797" t="s">
        <v>29</v>
      </c>
      <c r="N797">
        <v>65314</v>
      </c>
      <c r="O797" t="s">
        <v>237</v>
      </c>
      <c r="P797">
        <v>2015</v>
      </c>
      <c r="Q797" s="47">
        <v>46317</v>
      </c>
      <c r="R797" s="22" t="str">
        <f>IF(H797="","",H797&amp;I797)</f>
        <v>261014-768SALIDA</v>
      </c>
      <c r="S797" s="22" t="str">
        <f>IF(C797="","",C797&amp;I797)</f>
        <v>bravo SALIDA</v>
      </c>
      <c r="T797" t="str">
        <f>IF(OR(C797="",I797&lt;&gt;"ENTRADA"),"",TEXT(B797,"AAMMDD")&amp;"-"&amp;TEXT(VALUE(SUBSTITUTE(A797,"MOV-","")),"000"))</f>
        <v/>
      </c>
      <c r="V797" t="s">
        <v>1165</v>
      </c>
    </row>
    <row r="798" spans="1:22">
      <c r="A798" s="20" t="s">
        <v>1170</v>
      </c>
      <c r="B798" s="47">
        <v>46311</v>
      </c>
      <c r="C798" t="s">
        <v>790</v>
      </c>
      <c r="D798" t="s">
        <v>791</v>
      </c>
      <c r="E798" t="s">
        <v>34</v>
      </c>
      <c r="F798" t="s">
        <v>46</v>
      </c>
      <c r="G798" t="s">
        <v>27</v>
      </c>
      <c r="H798" s="20" t="s">
        <v>1171</v>
      </c>
      <c r="I798" t="s">
        <v>65</v>
      </c>
      <c r="J798" s="30">
        <v>60</v>
      </c>
      <c r="K798" s="22">
        <f>IF(I798="","",IF(I798="ENTRADA",ABS(J798),-ABS(J798)))</f>
        <v>-60</v>
      </c>
      <c r="L798" t="s">
        <v>37</v>
      </c>
      <c r="N798">
        <v>65314</v>
      </c>
      <c r="O798" t="s">
        <v>237</v>
      </c>
      <c r="P798">
        <v>2015</v>
      </c>
      <c r="Q798" s="47">
        <v>46317</v>
      </c>
      <c r="R798" s="22" t="str">
        <f>IF(H798="","",H798&amp;I798)</f>
        <v>260801-491SALIDA</v>
      </c>
      <c r="S798" s="22" t="str">
        <f>IF(C798="","",C798&amp;I798)</f>
        <v>zinexSALIDA</v>
      </c>
      <c r="T798" t="str">
        <f>IF(OR(C798="",I798&lt;&gt;"ENTRADA"),"",TEXT(B798,"AAMMDD")&amp;"-"&amp;TEXT(VALUE(SUBSTITUTE(A798,"MOV-","")),"000"))</f>
        <v/>
      </c>
      <c r="V798" t="s">
        <v>1165</v>
      </c>
    </row>
    <row r="799" spans="1:22">
      <c r="A799" s="20" t="s">
        <v>1172</v>
      </c>
      <c r="B799" s="47">
        <v>46311</v>
      </c>
      <c r="C799" t="s">
        <v>781</v>
      </c>
      <c r="D799" t="s">
        <v>782</v>
      </c>
      <c r="E799" t="s">
        <v>34</v>
      </c>
      <c r="G799" t="s">
        <v>27</v>
      </c>
      <c r="H799" s="20" t="s">
        <v>1018</v>
      </c>
      <c r="I799" t="s">
        <v>65</v>
      </c>
      <c r="J799" s="30">
        <v>42</v>
      </c>
      <c r="K799" s="22">
        <f>IF(I799="","",IF(I799="ENTRADA",ABS(J799),-ABS(J799)))</f>
        <v>-42</v>
      </c>
      <c r="L799" t="s">
        <v>37</v>
      </c>
      <c r="N799">
        <v>65314</v>
      </c>
      <c r="O799" t="s">
        <v>237</v>
      </c>
      <c r="P799">
        <v>2015</v>
      </c>
      <c r="Q799" s="47">
        <v>46317</v>
      </c>
      <c r="R799" s="22" t="str">
        <f>IF(H799="","",H799&amp;I799)</f>
        <v>260801-488SALIDA</v>
      </c>
      <c r="S799" s="22" t="str">
        <f>IF(C799="","",C799&amp;I799)</f>
        <v>Voraxor SALIDA</v>
      </c>
      <c r="T799" t="str">
        <f>IF(OR(C799="",I799&lt;&gt;"ENTRADA"),"",TEXT(B799,"AAMMDD")&amp;"-"&amp;TEXT(VALUE(SUBSTITUTE(A799,"MOV-","")),"000"))</f>
        <v/>
      </c>
      <c r="V799" t="s">
        <v>1165</v>
      </c>
    </row>
    <row r="800" spans="1:22">
      <c r="A800" s="20" t="s">
        <v>1173</v>
      </c>
      <c r="B800" s="47">
        <v>46311</v>
      </c>
      <c r="C800" t="s">
        <v>752</v>
      </c>
      <c r="D800" t="s">
        <v>87</v>
      </c>
      <c r="E800" t="s">
        <v>34</v>
      </c>
      <c r="G800" t="s">
        <v>301</v>
      </c>
      <c r="H800" s="20" t="s">
        <v>755</v>
      </c>
      <c r="I800" t="s">
        <v>65</v>
      </c>
      <c r="J800" s="30">
        <v>65</v>
      </c>
      <c r="K800" s="22">
        <f>IF(I800="","",IF(I800="ENTRADA",ABS(J800),-ABS(J800)))</f>
        <v>-65</v>
      </c>
      <c r="L800" t="s">
        <v>37</v>
      </c>
      <c r="N800">
        <v>65314</v>
      </c>
      <c r="O800" t="s">
        <v>237</v>
      </c>
      <c r="P800">
        <v>2015</v>
      </c>
      <c r="Q800" s="47">
        <v>46317</v>
      </c>
      <c r="R800" s="22" t="str">
        <f>IF(H800="","",H800&amp;I800)</f>
        <v>260813-476SALIDA</v>
      </c>
      <c r="S800" s="22" t="str">
        <f>IF(C800="","",C800&amp;I800)</f>
        <v>Fluroxipir Forte 480SALIDA</v>
      </c>
      <c r="T800" t="str">
        <f>IF(OR(C800="",I800&lt;&gt;"ENTRADA"),"",TEXT(B800,"AAMMDD")&amp;"-"&amp;TEXT(VALUE(SUBSTITUTE(A800,"MOV-","")),"000"))</f>
        <v/>
      </c>
      <c r="V800" t="s">
        <v>1165</v>
      </c>
    </row>
    <row r="801" spans="1:22">
      <c r="A801" s="20" t="s">
        <v>1174</v>
      </c>
      <c r="B801" s="47">
        <v>46311</v>
      </c>
      <c r="C801" t="s">
        <v>75</v>
      </c>
      <c r="D801" t="s">
        <v>76</v>
      </c>
      <c r="E801" t="s">
        <v>34</v>
      </c>
      <c r="F801" t="s">
        <v>35</v>
      </c>
      <c r="G801" t="s">
        <v>77</v>
      </c>
      <c r="H801" s="20" t="s">
        <v>94</v>
      </c>
      <c r="I801" t="s">
        <v>65</v>
      </c>
      <c r="J801" s="30">
        <v>260</v>
      </c>
      <c r="K801" s="22">
        <f>IF(I801="","",IF(I801="ENTRADA",ABS(J801),-ABS(J801)))</f>
        <v>-260</v>
      </c>
      <c r="L801" t="s">
        <v>37</v>
      </c>
      <c r="N801">
        <v>65314</v>
      </c>
      <c r="O801" t="s">
        <v>237</v>
      </c>
      <c r="P801">
        <v>2015</v>
      </c>
      <c r="Q801" s="47">
        <v>46317</v>
      </c>
      <c r="R801" s="22" t="str">
        <f>IF(H801="","",H801&amp;I801)</f>
        <v>260407-012SALIDA</v>
      </c>
      <c r="S801" s="22" t="str">
        <f>IF(C801="","",C801&amp;I801)</f>
        <v>Dedalo eliteSALIDA</v>
      </c>
      <c r="T801" t="str">
        <f>IF(OR(C801="",I801&lt;&gt;"ENTRADA"),"",TEXT(B801,"AAMMDD")&amp;"-"&amp;TEXT(VALUE(SUBSTITUTE(A801,"MOV-","")),"000"))</f>
        <v/>
      </c>
      <c r="V801" t="s">
        <v>1165</v>
      </c>
    </row>
    <row r="802" spans="1:22">
      <c r="A802" s="20" t="s">
        <v>1175</v>
      </c>
      <c r="B802" s="47">
        <v>46311</v>
      </c>
      <c r="C802" s="34" t="s">
        <v>1054</v>
      </c>
      <c r="D802" s="34" t="s">
        <v>1055</v>
      </c>
      <c r="E802" s="34" t="s">
        <v>25</v>
      </c>
      <c r="F802" s="34" t="s">
        <v>1056</v>
      </c>
      <c r="G802" s="34" t="s">
        <v>180</v>
      </c>
      <c r="H802" s="20" t="s">
        <v>1067</v>
      </c>
      <c r="I802" s="34" t="s">
        <v>65</v>
      </c>
      <c r="J802" s="36">
        <v>315</v>
      </c>
      <c r="K802" s="22">
        <f>IF(I802="","",IF(I802="ENTRADA",ABS(J802),-ABS(J802)))</f>
        <v>-315</v>
      </c>
      <c r="L802" s="34" t="s">
        <v>633</v>
      </c>
      <c r="M802" s="34"/>
      <c r="N802">
        <v>65314</v>
      </c>
      <c r="O802" s="34" t="s">
        <v>237</v>
      </c>
      <c r="P802">
        <v>2015</v>
      </c>
      <c r="Q802" s="47">
        <v>46317</v>
      </c>
      <c r="R802" s="22" t="str">
        <f>IF(H802="","",H802&amp;I802)</f>
        <v>261006-718SALIDA</v>
      </c>
      <c r="S802" s="22" t="str">
        <f>IF(C802="","",C802&amp;I802)</f>
        <v>Sorgo forrajero adv 2800SALIDA</v>
      </c>
      <c r="T802" t="str">
        <f>IF(OR(C802="",I802&lt;&gt;"ENTRADA"),"",TEXT(B802,"AAMMDD")&amp;"-"&amp;TEXT(VALUE(SUBSTITUTE(A802,"MOV-","")),"000"))</f>
        <v/>
      </c>
      <c r="V802" t="s">
        <v>1165</v>
      </c>
    </row>
    <row r="803" spans="1:22">
      <c r="A803" s="20" t="s">
        <v>1176</v>
      </c>
      <c r="B803" s="47">
        <v>46309</v>
      </c>
      <c r="C803" t="s">
        <v>1177</v>
      </c>
      <c r="D803" t="s">
        <v>1178</v>
      </c>
      <c r="E803" t="s">
        <v>516</v>
      </c>
      <c r="F803" t="s">
        <v>1179</v>
      </c>
      <c r="G803" t="s">
        <v>117</v>
      </c>
      <c r="H803" s="20" t="str">
        <f>+T803</f>
        <v>261014-805</v>
      </c>
      <c r="I803" t="s">
        <v>28</v>
      </c>
      <c r="J803" s="30">
        <v>370</v>
      </c>
      <c r="K803" s="22">
        <f>IF(I803="","",IF(I803="ENTRADA",ABS(J803),-ABS(J803)))</f>
        <v>370</v>
      </c>
      <c r="L803" t="s">
        <v>37</v>
      </c>
      <c r="N803">
        <v>51668</v>
      </c>
      <c r="R803" s="22" t="str">
        <f>IF(H803="","",H803&amp;I803)</f>
        <v>261014-805ENTRADA</v>
      </c>
      <c r="S803" s="22" t="str">
        <f>IF(C803="","",C803&amp;I803)</f>
        <v>unico ENTRADA</v>
      </c>
      <c r="T803" t="str">
        <f>IF(OR(C803="",I803&lt;&gt;"ENTRADA"),"",TEXT(B803,"AAMMDD")&amp;"-"&amp;TEXT(VALUE(SUBSTITUTE(A803,"MOV-","")),"000"))</f>
        <v>261014-805</v>
      </c>
    </row>
    <row r="804" spans="1:22">
      <c r="A804" s="20" t="s">
        <v>1180</v>
      </c>
      <c r="B804" s="47">
        <v>46309</v>
      </c>
      <c r="C804" t="s">
        <v>1127</v>
      </c>
      <c r="D804" t="s">
        <v>785</v>
      </c>
      <c r="E804" t="s">
        <v>34</v>
      </c>
      <c r="F804" t="s">
        <v>46</v>
      </c>
      <c r="G804" t="s">
        <v>117</v>
      </c>
      <c r="H804" s="20" t="s">
        <v>1169</v>
      </c>
      <c r="I804" t="s">
        <v>28</v>
      </c>
      <c r="J804" s="30">
        <v>200</v>
      </c>
      <c r="K804" s="22">
        <f>IF(I804="","",IF(I804="ENTRADA",ABS(J804),-ABS(J804)))</f>
        <v>200</v>
      </c>
      <c r="L804" t="s">
        <v>29</v>
      </c>
      <c r="N804">
        <v>51704</v>
      </c>
      <c r="P804">
        <v>15295</v>
      </c>
      <c r="Q804" s="47">
        <v>46316</v>
      </c>
      <c r="R804" s="22" t="str">
        <f>IF(H804="","",H804&amp;I804)</f>
        <v>261014-768ENTRADA</v>
      </c>
      <c r="S804" s="22" t="str">
        <f>IF(C804="","",C804&amp;I804)</f>
        <v>bravo ENTRADA</v>
      </c>
      <c r="T804" t="str">
        <f>IF(OR(C804="",I804&lt;&gt;"ENTRADA"),"",TEXT(B804,"AAMMDD")&amp;"-"&amp;TEXT(VALUE(SUBSTITUTE(A804,"MOV-","")),"000"))</f>
        <v>261014-806</v>
      </c>
    </row>
    <row r="805" spans="1:22">
      <c r="A805" s="20" t="s">
        <v>1181</v>
      </c>
      <c r="B805" s="47">
        <v>46311</v>
      </c>
      <c r="C805" t="s">
        <v>115</v>
      </c>
      <c r="D805" t="s">
        <v>116</v>
      </c>
      <c r="E805" t="s">
        <v>34</v>
      </c>
      <c r="F805" t="s">
        <v>35</v>
      </c>
      <c r="G805" t="s">
        <v>117</v>
      </c>
      <c r="H805" s="20" t="s">
        <v>813</v>
      </c>
      <c r="I805" t="s">
        <v>65</v>
      </c>
      <c r="J805" s="30">
        <v>2880</v>
      </c>
      <c r="K805" s="22">
        <f>IF(I805="","",IF(I805="ENTRADA",ABS(J805),-ABS(J805)))</f>
        <v>-2880</v>
      </c>
      <c r="L805" t="s">
        <v>37</v>
      </c>
      <c r="N805">
        <v>65315</v>
      </c>
      <c r="O805" t="s">
        <v>387</v>
      </c>
      <c r="P805">
        <v>1999</v>
      </c>
      <c r="Q805" s="47">
        <v>46317</v>
      </c>
      <c r="R805" s="22" t="str">
        <f>IF(H805="","",H805&amp;I805)</f>
        <v>260910-622SALIDA</v>
      </c>
      <c r="S805" s="22" t="str">
        <f>IF(C805="","",C805&amp;I805)</f>
        <v>AzukaSALIDA</v>
      </c>
      <c r="T805" t="str">
        <f>IF(OR(C805="",I805&lt;&gt;"ENTRADA"),"",TEXT(B805,"AAMMDD")&amp;"-"&amp;TEXT(VALUE(SUBSTITUTE(A805,"MOV-","")),"000"))</f>
        <v/>
      </c>
      <c r="V805" t="s">
        <v>1182</v>
      </c>
    </row>
    <row r="806" spans="1:22">
      <c r="A806" s="20" t="s">
        <v>1183</v>
      </c>
      <c r="B806" s="47">
        <v>46311</v>
      </c>
      <c r="C806" t="s">
        <v>784</v>
      </c>
      <c r="D806" t="s">
        <v>785</v>
      </c>
      <c r="E806" t="s">
        <v>34</v>
      </c>
      <c r="F806" t="s">
        <v>46</v>
      </c>
      <c r="G806" t="s">
        <v>27</v>
      </c>
      <c r="H806" s="20" t="s">
        <v>798</v>
      </c>
      <c r="I806" t="s">
        <v>65</v>
      </c>
      <c r="J806" s="30">
        <v>120</v>
      </c>
      <c r="K806" s="22">
        <f>IF(I806="","",IF(I806="ENTRADA",ABS(J806),-ABS(J806)))</f>
        <v>-120</v>
      </c>
      <c r="L806" t="s">
        <v>29</v>
      </c>
      <c r="N806">
        <v>65315</v>
      </c>
      <c r="O806" t="s">
        <v>387</v>
      </c>
      <c r="P806">
        <v>1999</v>
      </c>
      <c r="Q806" s="47">
        <v>46317</v>
      </c>
      <c r="R806" s="22" t="str">
        <f>IF(H806="","",H806&amp;I806)</f>
        <v>260801-489SALIDA</v>
      </c>
      <c r="S806" s="22" t="str">
        <f>IF(C806="","",C806&amp;I806)</f>
        <v>PyroxateSALIDA</v>
      </c>
      <c r="T806" t="str">
        <f>IF(OR(C806="",I806&lt;&gt;"ENTRADA"),"",TEXT(B806,"AAMMDD")&amp;"-"&amp;TEXT(VALUE(SUBSTITUTE(A806,"MOV-","")),"000"))</f>
        <v/>
      </c>
      <c r="V806" t="s">
        <v>1182</v>
      </c>
    </row>
    <row r="807" spans="1:22">
      <c r="A807" s="20" t="s">
        <v>1184</v>
      </c>
      <c r="B807" s="47">
        <v>46311</v>
      </c>
      <c r="C807" t="s">
        <v>130</v>
      </c>
      <c r="D807" t="s">
        <v>131</v>
      </c>
      <c r="E807" t="s">
        <v>132</v>
      </c>
      <c r="G807" t="s">
        <v>133</v>
      </c>
      <c r="H807" s="20" t="s">
        <v>221</v>
      </c>
      <c r="I807" t="s">
        <v>65</v>
      </c>
      <c r="J807" s="30">
        <v>100</v>
      </c>
      <c r="K807" s="22">
        <f>IF(I807="","",IF(I807="ENTRADA",ABS(J807),-ABS(J807)))</f>
        <v>-100</v>
      </c>
      <c r="L807" t="s">
        <v>37</v>
      </c>
      <c r="N807">
        <v>65315</v>
      </c>
      <c r="O807" t="s">
        <v>387</v>
      </c>
      <c r="P807">
        <v>1999</v>
      </c>
      <c r="Q807" s="47">
        <v>46317</v>
      </c>
      <c r="R807" s="22" t="str">
        <f>IF(H807="","",H807&amp;I807)</f>
        <v>260414-029SALIDA</v>
      </c>
      <c r="S807" s="22" t="str">
        <f>IF(C807="","",C807&amp;I807)</f>
        <v>HarrierSALIDA</v>
      </c>
      <c r="T807" t="str">
        <f>IF(OR(C807="",I807&lt;&gt;"ENTRADA"),"",TEXT(B807,"AAMMDD")&amp;"-"&amp;TEXT(VALUE(SUBSTITUTE(A807,"MOV-","")),"000"))</f>
        <v/>
      </c>
      <c r="V807" t="s">
        <v>1182</v>
      </c>
    </row>
    <row r="808" spans="1:22">
      <c r="A808" s="20" t="s">
        <v>1185</v>
      </c>
      <c r="B808" s="47">
        <v>46311</v>
      </c>
      <c r="C808" t="s">
        <v>137</v>
      </c>
      <c r="D808" t="s">
        <v>138</v>
      </c>
      <c r="E808" t="s">
        <v>132</v>
      </c>
      <c r="G808" t="s">
        <v>133</v>
      </c>
      <c r="H808" s="20" t="s">
        <v>211</v>
      </c>
      <c r="I808" t="s">
        <v>65</v>
      </c>
      <c r="J808" s="30">
        <v>15</v>
      </c>
      <c r="K808" s="22">
        <f>IF(I808="","",IF(I808="ENTRADA",ABS(J808),-ABS(J808)))</f>
        <v>-15</v>
      </c>
      <c r="L808" t="s">
        <v>37</v>
      </c>
      <c r="N808">
        <v>65315</v>
      </c>
      <c r="O808" t="s">
        <v>387</v>
      </c>
      <c r="P808">
        <v>1999</v>
      </c>
      <c r="Q808" s="47">
        <v>46317</v>
      </c>
      <c r="R808" s="22" t="str">
        <f>IF(H808="","",H808&amp;I808)</f>
        <v>260414-030SALIDA</v>
      </c>
      <c r="S808" s="22" t="str">
        <f>IF(C808="","",C808&amp;I808)</f>
        <v>Full controlSALIDA</v>
      </c>
      <c r="T808" t="str">
        <f>IF(OR(C808="",I808&lt;&gt;"ENTRADA"),"",TEXT(B808,"AAMMDD")&amp;"-"&amp;TEXT(VALUE(SUBSTITUTE(A808,"MOV-","")),"000"))</f>
        <v/>
      </c>
      <c r="V808" t="s">
        <v>1182</v>
      </c>
    </row>
    <row r="809" spans="1:22">
      <c r="A809" s="20" t="s">
        <v>1186</v>
      </c>
      <c r="B809" s="47">
        <v>46311</v>
      </c>
      <c r="C809" t="s">
        <v>944</v>
      </c>
      <c r="D809" t="s">
        <v>945</v>
      </c>
      <c r="E809" t="s">
        <v>516</v>
      </c>
      <c r="G809" t="s">
        <v>779</v>
      </c>
      <c r="H809" s="20" t="s">
        <v>970</v>
      </c>
      <c r="I809" t="s">
        <v>65</v>
      </c>
      <c r="J809" s="30">
        <v>16</v>
      </c>
      <c r="K809" s="22">
        <f>IF(I809="","",IF(I809="ENTRADA",ABS(J809),-ABS(J809)))</f>
        <v>-16</v>
      </c>
      <c r="L809" t="s">
        <v>56</v>
      </c>
      <c r="N809">
        <v>65316</v>
      </c>
      <c r="O809" t="s">
        <v>218</v>
      </c>
      <c r="P809">
        <v>2001</v>
      </c>
      <c r="Q809" s="47">
        <v>46317</v>
      </c>
      <c r="R809" s="22" t="str">
        <f>IF(H809="","",H809&amp;I809)</f>
        <v>260917-626SALIDA</v>
      </c>
      <c r="S809" s="22" t="str">
        <f>IF(C809="","",C809&amp;I809)</f>
        <v>Miravis triple packSALIDA</v>
      </c>
      <c r="T809" t="str">
        <f>IF(OR(C809="",I809&lt;&gt;"ENTRADA"),"",TEXT(B809,"AAMMDD")&amp;"-"&amp;TEXT(VALUE(SUBSTITUTE(A809,"MOV-","")),"000"))</f>
        <v/>
      </c>
      <c r="V809" t="s">
        <v>1111</v>
      </c>
    </row>
    <row r="810" spans="1:22">
      <c r="A810" s="20" t="s">
        <v>1187</v>
      </c>
      <c r="B810" s="47">
        <v>46311</v>
      </c>
      <c r="C810" t="s">
        <v>130</v>
      </c>
      <c r="D810" t="s">
        <v>131</v>
      </c>
      <c r="E810" t="s">
        <v>132</v>
      </c>
      <c r="G810" t="s">
        <v>133</v>
      </c>
      <c r="H810" s="20" t="s">
        <v>221</v>
      </c>
      <c r="I810" t="s">
        <v>65</v>
      </c>
      <c r="J810" s="30">
        <v>25</v>
      </c>
      <c r="K810" s="22">
        <f>IF(I810="","",IF(I810="ENTRADA",ABS(J810),-ABS(J810)))</f>
        <v>-25</v>
      </c>
      <c r="L810" t="s">
        <v>37</v>
      </c>
      <c r="N810">
        <v>65316</v>
      </c>
      <c r="O810" t="s">
        <v>218</v>
      </c>
      <c r="P810">
        <v>2001</v>
      </c>
      <c r="Q810" s="47">
        <v>46317</v>
      </c>
      <c r="R810" s="22" t="str">
        <f>IF(H810="","",H810&amp;I810)</f>
        <v>260414-029SALIDA</v>
      </c>
      <c r="S810" s="22" t="str">
        <f>IF(C810="","",C810&amp;I810)</f>
        <v>HarrierSALIDA</v>
      </c>
      <c r="T810" t="str">
        <f>IF(OR(C810="",I810&lt;&gt;"ENTRADA"),"",TEXT(B810,"AAMMDD")&amp;"-"&amp;TEXT(VALUE(SUBSTITUTE(A810,"MOV-","")),"000"))</f>
        <v/>
      </c>
      <c r="V810" t="s">
        <v>1111</v>
      </c>
    </row>
    <row r="811" spans="1:22">
      <c r="A811" s="20" t="s">
        <v>1188</v>
      </c>
      <c r="B811" s="47">
        <v>46311</v>
      </c>
      <c r="C811" t="s">
        <v>137</v>
      </c>
      <c r="D811" t="s">
        <v>138</v>
      </c>
      <c r="E811" t="s">
        <v>132</v>
      </c>
      <c r="G811" t="s">
        <v>133</v>
      </c>
      <c r="H811" s="20" t="s">
        <v>211</v>
      </c>
      <c r="I811" t="s">
        <v>65</v>
      </c>
      <c r="J811" s="30">
        <v>5</v>
      </c>
      <c r="K811" s="22">
        <f>IF(I811="","",IF(I811="ENTRADA",ABS(J811),-ABS(J811)))</f>
        <v>-5</v>
      </c>
      <c r="L811" t="s">
        <v>37</v>
      </c>
      <c r="N811">
        <v>65316</v>
      </c>
      <c r="O811" t="s">
        <v>218</v>
      </c>
      <c r="P811">
        <v>2001</v>
      </c>
      <c r="Q811" s="47">
        <v>46317</v>
      </c>
      <c r="R811" s="22" t="str">
        <f>IF(H811="","",H811&amp;I811)</f>
        <v>260414-030SALIDA</v>
      </c>
      <c r="S811" s="22" t="str">
        <f>IF(C811="","",C811&amp;I811)</f>
        <v>Full controlSALIDA</v>
      </c>
      <c r="T811" t="str">
        <f>IF(OR(C811="",I811&lt;&gt;"ENTRADA"),"",TEXT(B811,"AAMMDD")&amp;"-"&amp;TEXT(VALUE(SUBSTITUTE(A811,"MOV-","")),"000"))</f>
        <v/>
      </c>
      <c r="V811" t="s">
        <v>1111</v>
      </c>
    </row>
    <row r="812" spans="1:22">
      <c r="A812" s="20" t="s">
        <v>1189</v>
      </c>
      <c r="B812" s="47">
        <v>46311</v>
      </c>
      <c r="C812" t="s">
        <v>130</v>
      </c>
      <c r="D812" t="s">
        <v>131</v>
      </c>
      <c r="E812" t="s">
        <v>132</v>
      </c>
      <c r="G812" t="s">
        <v>133</v>
      </c>
      <c r="H812" s="20" t="s">
        <v>221</v>
      </c>
      <c r="I812" t="s">
        <v>65</v>
      </c>
      <c r="J812" s="30">
        <v>40</v>
      </c>
      <c r="K812" s="22">
        <f>IF(I812="","",IF(I812="ENTRADA",ABS(J812),-ABS(J812)))</f>
        <v>-40</v>
      </c>
      <c r="L812" t="s">
        <v>37</v>
      </c>
      <c r="N812">
        <v>65317</v>
      </c>
      <c r="O812" t="s">
        <v>213</v>
      </c>
      <c r="P812">
        <v>2002</v>
      </c>
      <c r="Q812" s="47">
        <v>46317</v>
      </c>
      <c r="R812" s="22" t="str">
        <f>IF(H812="","",H812&amp;I812)</f>
        <v>260414-029SALIDA</v>
      </c>
      <c r="S812" s="22" t="str">
        <f>IF(C812="","",C812&amp;I812)</f>
        <v>HarrierSALIDA</v>
      </c>
      <c r="T812" t="str">
        <f>IF(OR(C812="",I812&lt;&gt;"ENTRADA"),"",TEXT(B812,"AAMMDD")&amp;"-"&amp;TEXT(VALUE(SUBSTITUTE(A812,"MOV-","")),"000"))</f>
        <v/>
      </c>
      <c r="V812" t="s">
        <v>1111</v>
      </c>
    </row>
    <row r="813" spans="1:22">
      <c r="A813" s="20" t="s">
        <v>1190</v>
      </c>
      <c r="B813" s="47">
        <v>46311</v>
      </c>
      <c r="C813" s="34" t="s">
        <v>137</v>
      </c>
      <c r="D813" s="34" t="s">
        <v>138</v>
      </c>
      <c r="E813" s="34" t="s">
        <v>132</v>
      </c>
      <c r="F813" s="34"/>
      <c r="G813" s="34" t="s">
        <v>133</v>
      </c>
      <c r="H813" s="20" t="s">
        <v>211</v>
      </c>
      <c r="I813" s="34" t="s">
        <v>65</v>
      </c>
      <c r="J813" s="36">
        <v>7</v>
      </c>
      <c r="K813" s="22">
        <f>IF(I813="","",IF(I813="ENTRADA",ABS(J813),-ABS(J813)))</f>
        <v>-7</v>
      </c>
      <c r="L813" s="34" t="s">
        <v>37</v>
      </c>
      <c r="M813" s="34"/>
      <c r="N813">
        <v>65317</v>
      </c>
      <c r="O813" s="34" t="s">
        <v>213</v>
      </c>
      <c r="P813">
        <v>2002</v>
      </c>
      <c r="Q813" s="47">
        <v>46317</v>
      </c>
      <c r="R813" s="22" t="str">
        <f>IF(H813="","",H813&amp;I813)</f>
        <v>260414-030SALIDA</v>
      </c>
      <c r="S813" s="22" t="str">
        <f>IF(C813="","",C813&amp;I813)</f>
        <v>Full controlSALIDA</v>
      </c>
      <c r="T813" t="str">
        <f>IF(OR(C813="",I813&lt;&gt;"ENTRADA"),"",TEXT(B813,"AAMMDD")&amp;"-"&amp;TEXT(VALUE(SUBSTITUTE(A813,"MOV-","")),"000"))</f>
        <v/>
      </c>
      <c r="V813" t="s">
        <v>1111</v>
      </c>
    </row>
    <row r="814" spans="1:22">
      <c r="A814" s="20" t="s">
        <v>1191</v>
      </c>
      <c r="B814" s="47">
        <v>46311</v>
      </c>
      <c r="C814" t="s">
        <v>115</v>
      </c>
      <c r="D814" t="s">
        <v>116</v>
      </c>
      <c r="E814" t="s">
        <v>34</v>
      </c>
      <c r="F814" t="s">
        <v>35</v>
      </c>
      <c r="G814" t="s">
        <v>117</v>
      </c>
      <c r="H814" s="20" t="s">
        <v>813</v>
      </c>
      <c r="I814" t="s">
        <v>65</v>
      </c>
      <c r="J814" s="30">
        <v>1920</v>
      </c>
      <c r="K814" s="22">
        <f>IF(I814="","",IF(I814="ENTRADA",ABS(J814),-ABS(J814)))</f>
        <v>-1920</v>
      </c>
      <c r="L814" t="s">
        <v>37</v>
      </c>
      <c r="N814">
        <v>65318</v>
      </c>
      <c r="O814" t="s">
        <v>213</v>
      </c>
      <c r="P814">
        <v>2003</v>
      </c>
      <c r="Q814" s="47">
        <v>46317</v>
      </c>
      <c r="R814" s="22" t="str">
        <f>IF(H814="","",H814&amp;I814)</f>
        <v>260910-622SALIDA</v>
      </c>
      <c r="S814" s="22" t="str">
        <f>IF(C814="","",C814&amp;I814)</f>
        <v>AzukaSALIDA</v>
      </c>
      <c r="T814" t="str">
        <f>IF(OR(C814="",I814&lt;&gt;"ENTRADA"),"",TEXT(B814,"AAMMDD")&amp;"-"&amp;TEXT(VALUE(SUBSTITUTE(A814,"MOV-","")),"000"))</f>
        <v/>
      </c>
      <c r="V814" t="s">
        <v>1192</v>
      </c>
    </row>
    <row r="815" spans="1:22">
      <c r="A815" s="20" t="s">
        <v>1193</v>
      </c>
      <c r="B815" s="47">
        <v>46311</v>
      </c>
      <c r="C815" t="s">
        <v>137</v>
      </c>
      <c r="D815" t="s">
        <v>138</v>
      </c>
      <c r="E815" t="s">
        <v>132</v>
      </c>
      <c r="G815" t="s">
        <v>133</v>
      </c>
      <c r="H815" s="20" t="s">
        <v>211</v>
      </c>
      <c r="I815" t="s">
        <v>65</v>
      </c>
      <c r="J815" s="30">
        <v>8</v>
      </c>
      <c r="K815" s="22">
        <f>IF(I815="","",IF(I815="ENTRADA",ABS(J815),-ABS(J815)))</f>
        <v>-8</v>
      </c>
      <c r="L815" t="s">
        <v>37</v>
      </c>
      <c r="N815">
        <v>65318</v>
      </c>
      <c r="O815" t="s">
        <v>213</v>
      </c>
      <c r="P815">
        <v>2003</v>
      </c>
      <c r="Q815" s="47">
        <v>46317</v>
      </c>
      <c r="R815" s="22" t="str">
        <f>IF(H815="","",H815&amp;I815)</f>
        <v>260414-030SALIDA</v>
      </c>
      <c r="S815" s="22" t="str">
        <f>IF(C815="","",C815&amp;I815)</f>
        <v>Full controlSALIDA</v>
      </c>
      <c r="T815" t="str">
        <f>IF(OR(C815="",I815&lt;&gt;"ENTRADA"),"",TEXT(B815,"AAMMDD")&amp;"-"&amp;TEXT(VALUE(SUBSTITUTE(A815,"MOV-","")),"000"))</f>
        <v/>
      </c>
      <c r="V815" t="s">
        <v>1192</v>
      </c>
    </row>
    <row r="816" spans="1:22">
      <c r="A816" s="20" t="s">
        <v>1194</v>
      </c>
      <c r="B816" s="47">
        <v>46314</v>
      </c>
      <c r="C816" t="s">
        <v>115</v>
      </c>
      <c r="D816" t="s">
        <v>116</v>
      </c>
      <c r="E816" t="s">
        <v>34</v>
      </c>
      <c r="F816" t="s">
        <v>35</v>
      </c>
      <c r="G816" t="s">
        <v>117</v>
      </c>
      <c r="H816" s="20" t="s">
        <v>813</v>
      </c>
      <c r="I816" t="s">
        <v>65</v>
      </c>
      <c r="J816" s="30">
        <v>1540</v>
      </c>
      <c r="K816" s="22">
        <f>IF(I816="","",IF(I816="ENTRADA",ABS(J816),-ABS(J816)))</f>
        <v>-1540</v>
      </c>
      <c r="L816" t="s">
        <v>37</v>
      </c>
      <c r="N816">
        <v>65319</v>
      </c>
      <c r="O816" t="s">
        <v>218</v>
      </c>
      <c r="P816">
        <v>2004</v>
      </c>
      <c r="Q816" s="47">
        <v>46317</v>
      </c>
      <c r="R816" s="22" t="str">
        <f>IF(H816="","",H816&amp;I816)</f>
        <v>260910-622SALIDA</v>
      </c>
      <c r="S816" s="22" t="str">
        <f>IF(C816="","",C816&amp;I816)</f>
        <v>AzukaSALIDA</v>
      </c>
      <c r="T816" t="str">
        <f>IF(OR(C816="",I816&lt;&gt;"ENTRADA"),"",TEXT(B816,"AAMMDD")&amp;"-"&amp;TEXT(VALUE(SUBSTITUTE(A816,"MOV-","")),"000"))</f>
        <v/>
      </c>
      <c r="V816" t="s">
        <v>1111</v>
      </c>
    </row>
    <row r="817" spans="1:22">
      <c r="A817" s="20" t="s">
        <v>1195</v>
      </c>
      <c r="B817" s="47">
        <v>46314</v>
      </c>
      <c r="C817" t="s">
        <v>130</v>
      </c>
      <c r="D817" t="s">
        <v>131</v>
      </c>
      <c r="E817" t="s">
        <v>132</v>
      </c>
      <c r="G817" t="s">
        <v>133</v>
      </c>
      <c r="H817" s="20" t="s">
        <v>221</v>
      </c>
      <c r="I817" t="s">
        <v>65</v>
      </c>
      <c r="J817" s="30">
        <v>40</v>
      </c>
      <c r="K817" s="22">
        <f>IF(I817="","",IF(I817="ENTRADA",ABS(J817),-ABS(J817)))</f>
        <v>-40</v>
      </c>
      <c r="L817" t="s">
        <v>37</v>
      </c>
      <c r="N817">
        <v>65319</v>
      </c>
      <c r="O817" t="s">
        <v>218</v>
      </c>
      <c r="P817">
        <v>2004</v>
      </c>
      <c r="Q817" s="47">
        <v>46317</v>
      </c>
      <c r="R817" s="22" t="str">
        <f>IF(H817="","",H817&amp;I817)</f>
        <v>260414-029SALIDA</v>
      </c>
      <c r="S817" s="22" t="str">
        <f>IF(C817="","",C817&amp;I817)</f>
        <v>HarrierSALIDA</v>
      </c>
      <c r="T817" t="str">
        <f>IF(OR(C817="",I817&lt;&gt;"ENTRADA"),"",TEXT(B817,"AAMMDD")&amp;"-"&amp;TEXT(VALUE(SUBSTITUTE(A817,"MOV-","")),"000"))</f>
        <v/>
      </c>
      <c r="V817" t="s">
        <v>1111</v>
      </c>
    </row>
    <row r="818" spans="1:22">
      <c r="A818" s="20" t="s">
        <v>1196</v>
      </c>
      <c r="B818" s="47">
        <v>46314</v>
      </c>
      <c r="C818" t="s">
        <v>137</v>
      </c>
      <c r="D818" t="s">
        <v>138</v>
      </c>
      <c r="E818" t="s">
        <v>132</v>
      </c>
      <c r="G818" t="s">
        <v>133</v>
      </c>
      <c r="H818" s="20" t="s">
        <v>211</v>
      </c>
      <c r="I818" t="s">
        <v>65</v>
      </c>
      <c r="J818" s="30">
        <v>15</v>
      </c>
      <c r="K818" s="22">
        <f>IF(I818="","",IF(I818="ENTRADA",ABS(J818),-ABS(J818)))</f>
        <v>-15</v>
      </c>
      <c r="L818" t="s">
        <v>37</v>
      </c>
      <c r="N818">
        <v>65319</v>
      </c>
      <c r="O818" t="s">
        <v>218</v>
      </c>
      <c r="P818">
        <v>2004</v>
      </c>
      <c r="Q818" s="47">
        <v>46317</v>
      </c>
      <c r="R818" s="22" t="str">
        <f>IF(H818="","",H818&amp;I818)</f>
        <v>260414-030SALIDA</v>
      </c>
      <c r="S818" s="22" t="str">
        <f>IF(C818="","",C818&amp;I818)</f>
        <v>Full controlSALIDA</v>
      </c>
      <c r="T818" t="str">
        <f>IF(OR(C818="",I818&lt;&gt;"ENTRADA"),"",TEXT(B818,"AAMMDD")&amp;"-"&amp;TEXT(VALUE(SUBSTITUTE(A818,"MOV-","")),"000"))</f>
        <v/>
      </c>
      <c r="V818" t="s">
        <v>1111</v>
      </c>
    </row>
    <row r="819" spans="1:22">
      <c r="A819" s="20" t="s">
        <v>1197</v>
      </c>
      <c r="B819" s="47">
        <v>46314</v>
      </c>
      <c r="C819" t="s">
        <v>784</v>
      </c>
      <c r="D819" t="s">
        <v>785</v>
      </c>
      <c r="E819" t="s">
        <v>34</v>
      </c>
      <c r="F819" t="s">
        <v>46</v>
      </c>
      <c r="G819" t="s">
        <v>27</v>
      </c>
      <c r="H819" s="20" t="s">
        <v>798</v>
      </c>
      <c r="I819" t="s">
        <v>65</v>
      </c>
      <c r="J819" s="30">
        <v>70</v>
      </c>
      <c r="K819" s="22">
        <f>IF(I819="","",IF(I819="ENTRADA",ABS(J819),-ABS(J819)))</f>
        <v>-70</v>
      </c>
      <c r="L819" t="s">
        <v>29</v>
      </c>
      <c r="N819">
        <v>65319</v>
      </c>
      <c r="O819" t="s">
        <v>218</v>
      </c>
      <c r="P819">
        <v>2004</v>
      </c>
      <c r="Q819" s="47">
        <v>46317</v>
      </c>
      <c r="R819" s="22" t="str">
        <f>IF(H819="","",H819&amp;I819)</f>
        <v>260801-489SALIDA</v>
      </c>
      <c r="S819" s="22" t="str">
        <f>IF(C819="","",C819&amp;I819)</f>
        <v>PyroxateSALIDA</v>
      </c>
      <c r="T819" t="str">
        <f>IF(OR(C819="",I819&lt;&gt;"ENTRADA"),"",TEXT(B819,"AAMMDD")&amp;"-"&amp;TEXT(VALUE(SUBSTITUTE(A819,"MOV-","")),"000"))</f>
        <v/>
      </c>
      <c r="V819" t="s">
        <v>1111</v>
      </c>
    </row>
    <row r="820" spans="1:22">
      <c r="A820" s="20" t="s">
        <v>1198</v>
      </c>
      <c r="B820" s="47">
        <v>46314</v>
      </c>
      <c r="C820" t="s">
        <v>75</v>
      </c>
      <c r="D820" t="s">
        <v>76</v>
      </c>
      <c r="E820" t="s">
        <v>34</v>
      </c>
      <c r="F820" t="s">
        <v>35</v>
      </c>
      <c r="G820" t="s">
        <v>77</v>
      </c>
      <c r="H820" s="20" t="s">
        <v>94</v>
      </c>
      <c r="I820" t="s">
        <v>65</v>
      </c>
      <c r="J820" s="30">
        <v>880</v>
      </c>
      <c r="K820" s="22">
        <f>IF(I820="","",IF(I820="ENTRADA",ABS(J820),-ABS(J820)))</f>
        <v>-880</v>
      </c>
      <c r="L820" t="s">
        <v>37</v>
      </c>
      <c r="N820">
        <v>65319</v>
      </c>
      <c r="O820" t="s">
        <v>218</v>
      </c>
      <c r="P820">
        <v>2004</v>
      </c>
      <c r="Q820" s="47">
        <v>46317</v>
      </c>
      <c r="R820" s="22" t="str">
        <f>IF(H820="","",H820&amp;I820)</f>
        <v>260407-012SALIDA</v>
      </c>
      <c r="S820" s="22" t="str">
        <f>IF(C820="","",C820&amp;I820)</f>
        <v>Dedalo eliteSALIDA</v>
      </c>
      <c r="T820" t="str">
        <f>IF(OR(C820="",I820&lt;&gt;"ENTRADA"),"",TEXT(B820,"AAMMDD")&amp;"-"&amp;TEXT(VALUE(SUBSTITUTE(A820,"MOV-","")),"000"))</f>
        <v/>
      </c>
      <c r="V820" t="s">
        <v>1111</v>
      </c>
    </row>
    <row r="821" spans="1:22">
      <c r="A821" s="20" t="s">
        <v>1199</v>
      </c>
      <c r="B821" s="47">
        <v>46314</v>
      </c>
      <c r="C821" t="s">
        <v>122</v>
      </c>
      <c r="D821" t="s">
        <v>123</v>
      </c>
      <c r="E821" t="s">
        <v>34</v>
      </c>
      <c r="F821" t="s">
        <v>35</v>
      </c>
      <c r="G821" t="s">
        <v>117</v>
      </c>
      <c r="H821" s="20" t="s">
        <v>939</v>
      </c>
      <c r="I821" t="s">
        <v>65</v>
      </c>
      <c r="J821" s="30">
        <v>520</v>
      </c>
      <c r="K821" s="22">
        <f>IF(I821="","",IF(I821="ENTRADA",ABS(J821),-ABS(J821)))</f>
        <v>-520</v>
      </c>
      <c r="L821" t="s">
        <v>37</v>
      </c>
      <c r="N821">
        <v>65319</v>
      </c>
      <c r="O821" t="s">
        <v>218</v>
      </c>
      <c r="P821">
        <v>2004</v>
      </c>
      <c r="Q821" s="47">
        <v>46317</v>
      </c>
      <c r="R821" s="22" t="str">
        <f>IF(H821="","",H821&amp;I821)</f>
        <v>260727-380SALIDA</v>
      </c>
      <c r="S821" s="22" t="str">
        <f>IF(C821="","",C821&amp;I821)</f>
        <v>PardoSALIDA</v>
      </c>
      <c r="T821" t="str">
        <f>IF(OR(C821="",I821&lt;&gt;"ENTRADA"),"",TEXT(B821,"AAMMDD")&amp;"-"&amp;TEXT(VALUE(SUBSTITUTE(A821,"MOV-","")),"000"))</f>
        <v/>
      </c>
      <c r="V821" t="s">
        <v>1111</v>
      </c>
    </row>
    <row r="822" spans="1:22">
      <c r="A822" s="20" t="s">
        <v>1200</v>
      </c>
      <c r="B822" s="47">
        <v>46315</v>
      </c>
      <c r="C822" t="s">
        <v>784</v>
      </c>
      <c r="D822" t="s">
        <v>785</v>
      </c>
      <c r="E822" t="s">
        <v>34</v>
      </c>
      <c r="F822" t="s">
        <v>46</v>
      </c>
      <c r="G822" t="s">
        <v>27</v>
      </c>
      <c r="H822" s="20" t="s">
        <v>798</v>
      </c>
      <c r="I822" t="s">
        <v>65</v>
      </c>
      <c r="J822" s="30">
        <v>40</v>
      </c>
      <c r="K822" s="22">
        <f>IF(I822="","",IF(I822="ENTRADA",ABS(J822),-ABS(J822)))</f>
        <v>-40</v>
      </c>
      <c r="L822" t="s">
        <v>29</v>
      </c>
      <c r="N822">
        <v>65320</v>
      </c>
      <c r="O822" t="s">
        <v>382</v>
      </c>
      <c r="P822">
        <v>2005</v>
      </c>
      <c r="Q822" s="47">
        <v>46317</v>
      </c>
      <c r="R822" s="22" t="str">
        <f>IF(H822="","",H822&amp;I822)</f>
        <v>260801-489SALIDA</v>
      </c>
      <c r="S822" s="22" t="str">
        <f>IF(C822="","",C822&amp;I822)</f>
        <v>PyroxateSALIDA</v>
      </c>
      <c r="T822" t="str">
        <f>IF(OR(C822="",I822&lt;&gt;"ENTRADA"),"",TEXT(B822,"AAMMDD")&amp;"-"&amp;TEXT(VALUE(SUBSTITUTE(A822,"MOV-","")),"000"))</f>
        <v/>
      </c>
      <c r="V822" t="s">
        <v>1111</v>
      </c>
    </row>
    <row r="823" spans="1:22">
      <c r="A823" s="20" t="s">
        <v>1201</v>
      </c>
      <c r="B823" s="47">
        <v>46315</v>
      </c>
      <c r="C823" t="s">
        <v>115</v>
      </c>
      <c r="D823" t="s">
        <v>116</v>
      </c>
      <c r="E823" t="s">
        <v>34</v>
      </c>
      <c r="F823" t="s">
        <v>35</v>
      </c>
      <c r="G823" t="s">
        <v>117</v>
      </c>
      <c r="H823" s="20" t="s">
        <v>813</v>
      </c>
      <c r="I823" t="s">
        <v>65</v>
      </c>
      <c r="J823" s="30">
        <v>460</v>
      </c>
      <c r="K823" s="22">
        <f>IF(I823="","",IF(I823="ENTRADA",ABS(J823),-ABS(J823)))</f>
        <v>-460</v>
      </c>
      <c r="L823" t="s">
        <v>37</v>
      </c>
      <c r="N823">
        <v>65320</v>
      </c>
      <c r="O823" t="s">
        <v>382</v>
      </c>
      <c r="P823">
        <v>2005</v>
      </c>
      <c r="Q823" s="47">
        <v>46317</v>
      </c>
      <c r="R823" s="22" t="str">
        <f>IF(H823="","",H823&amp;I823)</f>
        <v>260910-622SALIDA</v>
      </c>
      <c r="S823" s="22" t="str">
        <f>IF(C823="","",C823&amp;I823)</f>
        <v>AzukaSALIDA</v>
      </c>
      <c r="T823" t="str">
        <f>IF(OR(C823="",I823&lt;&gt;"ENTRADA"),"",TEXT(B823,"AAMMDD")&amp;"-"&amp;TEXT(VALUE(SUBSTITUTE(A823,"MOV-","")),"000"))</f>
        <v/>
      </c>
      <c r="V823" t="s">
        <v>1111</v>
      </c>
    </row>
    <row r="824" spans="1:22">
      <c r="A824" s="20" t="s">
        <v>1202</v>
      </c>
      <c r="B824" s="47">
        <v>46315</v>
      </c>
      <c r="C824" s="34" t="s">
        <v>115</v>
      </c>
      <c r="D824" s="34" t="s">
        <v>116</v>
      </c>
      <c r="E824" s="34" t="s">
        <v>34</v>
      </c>
      <c r="F824" t="s">
        <v>35</v>
      </c>
      <c r="G824" s="34" t="s">
        <v>117</v>
      </c>
      <c r="H824" s="20" t="s">
        <v>813</v>
      </c>
      <c r="I824" s="34" t="s">
        <v>65</v>
      </c>
      <c r="J824" s="36">
        <v>1000</v>
      </c>
      <c r="K824" s="22">
        <f>IF(I824="","",IF(I824="ENTRADA",ABS(J824),-ABS(J824)))</f>
        <v>-1000</v>
      </c>
      <c r="L824" s="34" t="s">
        <v>37</v>
      </c>
      <c r="M824" s="34"/>
      <c r="N824">
        <v>65321</v>
      </c>
      <c r="O824" s="34" t="s">
        <v>382</v>
      </c>
      <c r="P824">
        <v>2006</v>
      </c>
      <c r="Q824" s="47">
        <v>46317</v>
      </c>
      <c r="R824" s="22" t="str">
        <f>IF(H824="","",H824&amp;I824)</f>
        <v>260910-622SALIDA</v>
      </c>
      <c r="S824" s="22" t="str">
        <f>IF(C824="","",C824&amp;I824)</f>
        <v>AzukaSALIDA</v>
      </c>
      <c r="T824" t="str">
        <f>IF(OR(C824="",I824&lt;&gt;"ENTRADA"),"",TEXT(B824,"AAMMDD")&amp;"-"&amp;TEXT(VALUE(SUBSTITUTE(A824,"MOV-","")),"000"))</f>
        <v/>
      </c>
      <c r="V824" t="s">
        <v>1203</v>
      </c>
    </row>
    <row r="825" spans="1:22">
      <c r="A825" s="20" t="s">
        <v>1204</v>
      </c>
      <c r="B825" s="47">
        <v>46315</v>
      </c>
      <c r="C825" t="s">
        <v>784</v>
      </c>
      <c r="D825" t="s">
        <v>785</v>
      </c>
      <c r="E825" t="s">
        <v>34</v>
      </c>
      <c r="F825" t="s">
        <v>46</v>
      </c>
      <c r="G825" t="s">
        <v>27</v>
      </c>
      <c r="H825" s="20" t="s">
        <v>798</v>
      </c>
      <c r="I825" t="s">
        <v>65</v>
      </c>
      <c r="J825" s="30">
        <v>50</v>
      </c>
      <c r="K825" s="22">
        <f>IF(I825="","",IF(I825="ENTRADA",ABS(J825),-ABS(J825)))</f>
        <v>-50</v>
      </c>
      <c r="L825" t="s">
        <v>29</v>
      </c>
      <c r="N825">
        <v>65321</v>
      </c>
      <c r="O825" t="s">
        <v>382</v>
      </c>
      <c r="P825">
        <v>2006</v>
      </c>
      <c r="Q825" s="47">
        <v>46317</v>
      </c>
      <c r="R825" s="22" t="str">
        <f>IF(H825="","",H825&amp;I825)</f>
        <v>260801-489SALIDA</v>
      </c>
      <c r="S825" s="22" t="str">
        <f>IF(C825="","",C825&amp;I825)</f>
        <v>PyroxateSALIDA</v>
      </c>
      <c r="T825" t="str">
        <f>IF(OR(C825="",I825&lt;&gt;"ENTRADA"),"",TEXT(B825,"AAMMDD")&amp;"-"&amp;TEXT(VALUE(SUBSTITUTE(A825,"MOV-","")),"000"))</f>
        <v/>
      </c>
      <c r="V825" t="s">
        <v>1205</v>
      </c>
    </row>
    <row r="826" spans="1:22">
      <c r="A826" s="20" t="s">
        <v>1206</v>
      </c>
      <c r="B826" s="47">
        <v>46315</v>
      </c>
      <c r="C826" t="s">
        <v>630</v>
      </c>
      <c r="D826" t="s">
        <v>631</v>
      </c>
      <c r="E826" t="s">
        <v>25</v>
      </c>
      <c r="F826" t="s">
        <v>632</v>
      </c>
      <c r="G826" t="s">
        <v>158</v>
      </c>
      <c r="H826" s="20" t="s">
        <v>948</v>
      </c>
      <c r="I826" t="s">
        <v>65</v>
      </c>
      <c r="J826" s="30">
        <v>46</v>
      </c>
      <c r="K826" s="22">
        <f>IF(I826="","",IF(I826="ENTRADA",ABS(J826),-ABS(J826)))</f>
        <v>-46</v>
      </c>
      <c r="L826" t="s">
        <v>633</v>
      </c>
      <c r="N826">
        <v>65323</v>
      </c>
      <c r="O826" t="s">
        <v>213</v>
      </c>
      <c r="P826">
        <v>2007</v>
      </c>
      <c r="Q826" s="47">
        <v>46317</v>
      </c>
      <c r="R826" s="22" t="str">
        <f>IF(H826="","",H826&amp;I826)</f>
        <v>260917-627SALIDA</v>
      </c>
      <c r="S826" s="22" t="str">
        <f>IF(C826="","",C826&amp;I826)</f>
        <v>semilla maiz DK 69-62 TRESALIDA</v>
      </c>
      <c r="T826" t="str">
        <f>IF(OR(C826="",I826&lt;&gt;"ENTRADA"),"",TEXT(B826,"AAMMDD")&amp;"-"&amp;TEXT(VALUE(SUBSTITUTE(A826,"MOV-","")),"000"))</f>
        <v/>
      </c>
      <c r="V826" t="s">
        <v>1207</v>
      </c>
    </row>
    <row r="827" spans="1:22">
      <c r="A827" s="20" t="s">
        <v>1208</v>
      </c>
      <c r="B827" s="47">
        <v>46315</v>
      </c>
      <c r="C827" t="s">
        <v>122</v>
      </c>
      <c r="D827" t="s">
        <v>123</v>
      </c>
      <c r="E827" t="s">
        <v>34</v>
      </c>
      <c r="F827" t="s">
        <v>35</v>
      </c>
      <c r="G827" t="s">
        <v>117</v>
      </c>
      <c r="H827" s="20" t="s">
        <v>939</v>
      </c>
      <c r="I827" t="s">
        <v>65</v>
      </c>
      <c r="J827" s="30">
        <v>100</v>
      </c>
      <c r="K827" s="22">
        <f>IF(I827="","",IF(I827="ENTRADA",ABS(J827),-ABS(J827)))</f>
        <v>-100</v>
      </c>
      <c r="L827" t="s">
        <v>37</v>
      </c>
      <c r="N827">
        <v>65324</v>
      </c>
      <c r="O827" t="s">
        <v>382</v>
      </c>
      <c r="P827">
        <v>2008</v>
      </c>
      <c r="Q827" s="47">
        <v>46317</v>
      </c>
      <c r="R827" s="22" t="str">
        <f>IF(H827="","",H827&amp;I827)</f>
        <v>260727-380SALIDA</v>
      </c>
      <c r="S827" s="22" t="str">
        <f>IF(C827="","",C827&amp;I827)</f>
        <v>PardoSALIDA</v>
      </c>
      <c r="T827" t="str">
        <f>IF(OR(C827="",I827&lt;&gt;"ENTRADA"),"",TEXT(B827,"AAMMDD")&amp;"-"&amp;TEXT(VALUE(SUBSTITUTE(A827,"MOV-","")),"000"))</f>
        <v/>
      </c>
      <c r="V827" t="s">
        <v>1111</v>
      </c>
    </row>
    <row r="828" spans="1:22">
      <c r="A828" s="20" t="s">
        <v>1209</v>
      </c>
      <c r="B828" s="47">
        <v>46316</v>
      </c>
      <c r="C828" t="s">
        <v>115</v>
      </c>
      <c r="D828" t="s">
        <v>116</v>
      </c>
      <c r="E828" t="s">
        <v>34</v>
      </c>
      <c r="F828" t="s">
        <v>35</v>
      </c>
      <c r="G828" t="s">
        <v>117</v>
      </c>
      <c r="H828" s="20" t="s">
        <v>813</v>
      </c>
      <c r="I828" t="s">
        <v>28</v>
      </c>
      <c r="J828" s="30">
        <v>21120</v>
      </c>
      <c r="K828" s="22">
        <f>IF(I828="","",IF(I828="ENTRADA",ABS(J828),-ABS(J828)))</f>
        <v>21120</v>
      </c>
      <c r="L828" t="s">
        <v>37</v>
      </c>
      <c r="N828">
        <v>51835</v>
      </c>
      <c r="P828">
        <v>15293</v>
      </c>
      <c r="Q828" s="47">
        <v>46316</v>
      </c>
      <c r="R828" s="22" t="str">
        <f>IF(H828="","",H828&amp;I828)</f>
        <v>260910-622ENTRADA</v>
      </c>
      <c r="S828" s="22" t="str">
        <f>IF(C828="","",C828&amp;I828)</f>
        <v>AzukaENTRADA</v>
      </c>
      <c r="T828" t="str">
        <f>IF(OR(C828="",I828&lt;&gt;"ENTRADA"),"",TEXT(B828,"AAMMDD")&amp;"-"&amp;TEXT(VALUE(SUBSTITUTE(A828,"MOV-","")),"000"))</f>
        <v>261021-830</v>
      </c>
    </row>
    <row r="829" spans="1:22">
      <c r="A829" s="20" t="s">
        <v>1210</v>
      </c>
      <c r="B829" s="47">
        <v>46316</v>
      </c>
      <c r="C829" t="s">
        <v>630</v>
      </c>
      <c r="D829" t="s">
        <v>631</v>
      </c>
      <c r="E829" t="s">
        <v>25</v>
      </c>
      <c r="F829" t="s">
        <v>632</v>
      </c>
      <c r="G829" t="s">
        <v>158</v>
      </c>
      <c r="H829" s="20" t="s">
        <v>948</v>
      </c>
      <c r="I829" t="s">
        <v>65</v>
      </c>
      <c r="J829" s="30">
        <v>78</v>
      </c>
      <c r="K829" s="22">
        <f>IF(I829="","",IF(I829="ENTRADA",ABS(J829),-ABS(J829)))</f>
        <v>-78</v>
      </c>
      <c r="L829" t="s">
        <v>633</v>
      </c>
      <c r="N829">
        <v>65325</v>
      </c>
      <c r="O829" t="s">
        <v>213</v>
      </c>
      <c r="P829">
        <v>2009</v>
      </c>
      <c r="Q829" s="47">
        <v>46317</v>
      </c>
      <c r="R829" s="22" t="str">
        <f>IF(H829="","",H829&amp;I829)</f>
        <v>260917-627SALIDA</v>
      </c>
      <c r="S829" s="22" t="str">
        <f>IF(C829="","",C829&amp;I829)</f>
        <v>semilla maiz DK 69-62 TRESALIDA</v>
      </c>
      <c r="T829" t="str">
        <f>IF(OR(C829="",I829&lt;&gt;"ENTRADA"),"",TEXT(B829,"AAMMDD")&amp;"-"&amp;TEXT(VALUE(SUBSTITUTE(A829,"MOV-","")),"000"))</f>
        <v/>
      </c>
      <c r="V829" t="s">
        <v>1211</v>
      </c>
    </row>
    <row r="830" spans="1:22">
      <c r="A830" s="20" t="s">
        <v>1212</v>
      </c>
      <c r="B830" s="47">
        <v>46309</v>
      </c>
      <c r="C830" t="s">
        <v>784</v>
      </c>
      <c r="D830" t="s">
        <v>785</v>
      </c>
      <c r="E830" t="s">
        <v>34</v>
      </c>
      <c r="F830" t="s">
        <v>46</v>
      </c>
      <c r="G830" t="s">
        <v>27</v>
      </c>
      <c r="H830" s="20" t="s">
        <v>798</v>
      </c>
      <c r="I830" t="s">
        <v>65</v>
      </c>
      <c r="J830" s="30">
        <v>40</v>
      </c>
      <c r="K830" s="22">
        <f>IF(I830="","",IF(I830="ENTRADA",ABS(J830),-ABS(J830)))</f>
        <v>-40</v>
      </c>
      <c r="L830" t="s">
        <v>29</v>
      </c>
      <c r="N830">
        <v>65311</v>
      </c>
      <c r="O830" t="s">
        <v>1023</v>
      </c>
      <c r="P830">
        <v>1998</v>
      </c>
      <c r="Q830" s="47">
        <v>46317</v>
      </c>
      <c r="R830" s="22" t="str">
        <f>IF(H830="","",H830&amp;I830)</f>
        <v>260801-489SALIDA</v>
      </c>
      <c r="S830" s="22" t="str">
        <f>IF(C830="","",C830&amp;I830)</f>
        <v>PyroxateSALIDA</v>
      </c>
      <c r="T830" t="str">
        <f>IF(OR(C830="",I830&lt;&gt;"ENTRADA"),"",TEXT(B830,"AAMMDD")&amp;"-"&amp;TEXT(VALUE(SUBSTITUTE(A830,"MOV-","")),"000"))</f>
        <v/>
      </c>
      <c r="V830" t="s">
        <v>1111</v>
      </c>
    </row>
    <row r="831" spans="1:22">
      <c r="A831" s="20" t="s">
        <v>1213</v>
      </c>
      <c r="B831" s="47">
        <v>46309</v>
      </c>
      <c r="C831" t="s">
        <v>130</v>
      </c>
      <c r="D831" t="s">
        <v>131</v>
      </c>
      <c r="E831" t="s">
        <v>132</v>
      </c>
      <c r="G831" t="s">
        <v>133</v>
      </c>
      <c r="H831" s="20" t="s">
        <v>221</v>
      </c>
      <c r="I831" t="s">
        <v>65</v>
      </c>
      <c r="J831" s="30">
        <v>40</v>
      </c>
      <c r="K831" s="22">
        <f>IF(I831="","",IF(I831="ENTRADA",ABS(J831),-ABS(J831)))</f>
        <v>-40</v>
      </c>
      <c r="L831" t="s">
        <v>37</v>
      </c>
      <c r="N831">
        <v>65311</v>
      </c>
      <c r="O831" t="s">
        <v>1023</v>
      </c>
      <c r="P831">
        <v>1998</v>
      </c>
      <c r="Q831" s="47">
        <v>46317</v>
      </c>
      <c r="R831" s="22" t="str">
        <f>IF(H831="","",H831&amp;I831)</f>
        <v>260414-029SALIDA</v>
      </c>
      <c r="S831" s="22" t="str">
        <f>IF(C831="","",C831&amp;I831)</f>
        <v>HarrierSALIDA</v>
      </c>
      <c r="T831" t="str">
        <f>IF(OR(C831="",I831&lt;&gt;"ENTRADA"),"",TEXT(B831,"AAMMDD")&amp;"-"&amp;TEXT(VALUE(SUBSTITUTE(A831,"MOV-","")),"000"))</f>
        <v/>
      </c>
      <c r="V831" t="s">
        <v>1111</v>
      </c>
    </row>
    <row r="832" spans="1:22">
      <c r="A832" s="20" t="s">
        <v>1214</v>
      </c>
      <c r="B832" s="47">
        <v>46309</v>
      </c>
      <c r="C832" t="s">
        <v>137</v>
      </c>
      <c r="D832" t="s">
        <v>138</v>
      </c>
      <c r="E832" t="s">
        <v>132</v>
      </c>
      <c r="G832" t="s">
        <v>133</v>
      </c>
      <c r="H832" s="20" t="s">
        <v>211</v>
      </c>
      <c r="I832" t="s">
        <v>65</v>
      </c>
      <c r="J832" s="30">
        <v>8</v>
      </c>
      <c r="K832" s="22">
        <f>IF(I832="","",IF(I832="ENTRADA",ABS(J832),-ABS(J832)))</f>
        <v>-8</v>
      </c>
      <c r="L832" t="s">
        <v>37</v>
      </c>
      <c r="N832">
        <v>65311</v>
      </c>
      <c r="O832" t="s">
        <v>1023</v>
      </c>
      <c r="P832">
        <v>1998</v>
      </c>
      <c r="Q832" s="47">
        <v>46317</v>
      </c>
      <c r="R832" s="22" t="str">
        <f>IF(H832="","",H832&amp;I832)</f>
        <v>260414-030SALIDA</v>
      </c>
      <c r="S832" s="22" t="str">
        <f>IF(C832="","",C832&amp;I832)</f>
        <v>Full controlSALIDA</v>
      </c>
      <c r="T832" t="str">
        <f>IF(OR(C832="",I832&lt;&gt;"ENTRADA"),"",TEXT(B832,"AAMMDD")&amp;"-"&amp;TEXT(VALUE(SUBSTITUTE(A832,"MOV-","")),"000"))</f>
        <v/>
      </c>
      <c r="V832" t="s">
        <v>1111</v>
      </c>
    </row>
    <row r="833" spans="1:22">
      <c r="A833" s="20" t="s">
        <v>1215</v>
      </c>
      <c r="B833" s="47">
        <v>46317</v>
      </c>
      <c r="C833" t="s">
        <v>70</v>
      </c>
      <c r="D833" t="s">
        <v>71</v>
      </c>
      <c r="E833" t="s">
        <v>70</v>
      </c>
      <c r="G833" t="s">
        <v>72</v>
      </c>
      <c r="H833" s="20" t="s">
        <v>297</v>
      </c>
      <c r="I833" t="s">
        <v>28</v>
      </c>
      <c r="J833" s="30">
        <v>30</v>
      </c>
      <c r="K833" s="22">
        <f>IF(I833="","",IF(I833="ENTRADA",ABS(J833),-ABS(J833)))</f>
        <v>30</v>
      </c>
      <c r="L833" t="s">
        <v>73</v>
      </c>
      <c r="N833">
        <v>3364</v>
      </c>
      <c r="P833">
        <v>15336</v>
      </c>
      <c r="Q833" s="47">
        <v>46317</v>
      </c>
      <c r="R833" s="22" t="str">
        <f>IF(H833="","",H833&amp;I833)</f>
        <v>260429-105ENTRADA</v>
      </c>
      <c r="S833" s="22" t="str">
        <f>IF(C833="","",C833&amp;I833)</f>
        <v>SilobolsaENTRADA</v>
      </c>
      <c r="T833" t="str">
        <f>IF(OR(C833="",I833&lt;&gt;"ENTRADA"),"",TEXT(B833,"AAMMDD")&amp;"-"&amp;TEXT(VALUE(SUBSTITUTE(A833,"MOV-","")),"000"))</f>
        <v>261022-835</v>
      </c>
    </row>
    <row r="834" spans="1:22">
      <c r="A834" s="20" t="s">
        <v>1216</v>
      </c>
      <c r="B834" s="47">
        <v>46317</v>
      </c>
      <c r="C834" t="s">
        <v>630</v>
      </c>
      <c r="D834" t="s">
        <v>631</v>
      </c>
      <c r="E834" t="s">
        <v>25</v>
      </c>
      <c r="F834" t="s">
        <v>632</v>
      </c>
      <c r="G834" t="s">
        <v>158</v>
      </c>
      <c r="H834" s="20" t="s">
        <v>948</v>
      </c>
      <c r="I834" t="s">
        <v>65</v>
      </c>
      <c r="J834" s="30">
        <v>36</v>
      </c>
      <c r="K834" s="22">
        <f>IF(I834="","",IF(I834="ENTRADA",ABS(J834),-ABS(J834)))</f>
        <v>-36</v>
      </c>
      <c r="L834" t="s">
        <v>633</v>
      </c>
      <c r="N834">
        <v>65326</v>
      </c>
      <c r="O834" t="s">
        <v>213</v>
      </c>
      <c r="P834">
        <v>2019</v>
      </c>
      <c r="Q834" s="47">
        <v>46321</v>
      </c>
      <c r="R834" s="22" t="str">
        <f>IF(H834="","",H834&amp;I834)</f>
        <v>260917-627SALIDA</v>
      </c>
      <c r="S834" s="22" t="str">
        <f>IF(C834="","",C834&amp;I834)</f>
        <v>semilla maiz DK 69-62 TRESALIDA</v>
      </c>
      <c r="T834" t="str">
        <f>IF(OR(C834="",I834&lt;&gt;"ENTRADA"),"",TEXT(B834,"AAMMDD")&amp;"-"&amp;TEXT(VALUE(SUBSTITUTE(A834,"MOV-","")),"000"))</f>
        <v/>
      </c>
      <c r="V834" t="s">
        <v>1211</v>
      </c>
    </row>
    <row r="835" spans="1:22">
      <c r="A835" s="20" t="s">
        <v>1217</v>
      </c>
      <c r="B835" s="47">
        <v>46321</v>
      </c>
      <c r="C835" s="34" t="s">
        <v>1218</v>
      </c>
      <c r="D835" s="34" t="s">
        <v>1219</v>
      </c>
      <c r="E835" s="34" t="s">
        <v>34</v>
      </c>
      <c r="F835" s="34" t="s">
        <v>1220</v>
      </c>
      <c r="G835" s="34" t="s">
        <v>1032</v>
      </c>
      <c r="H835" s="20" t="str">
        <f>+T835</f>
        <v>261026-837</v>
      </c>
      <c r="I835" s="34" t="s">
        <v>28</v>
      </c>
      <c r="J835" s="36">
        <v>1440</v>
      </c>
      <c r="K835" s="22">
        <f>IF(I835="","",IF(I835="ENTRADA",ABS(J835),-ABS(J835)))</f>
        <v>1440</v>
      </c>
      <c r="L835" s="34" t="s">
        <v>37</v>
      </c>
      <c r="M835" s="34"/>
      <c r="N835">
        <v>113625</v>
      </c>
      <c r="O835" s="34"/>
      <c r="P835">
        <v>15369</v>
      </c>
      <c r="Q835" s="47">
        <v>46324</v>
      </c>
      <c r="R835" s="22" t="str">
        <f>IF(H835="","",H835&amp;I835)</f>
        <v>261026-837ENTRADA</v>
      </c>
      <c r="S835" s="22" t="str">
        <f>IF(C835="","",C835&amp;I835)</f>
        <v>Burner 200ENTRADA</v>
      </c>
      <c r="T835" t="str">
        <f>IF(OR(C835="",I835&lt;&gt;"ENTRADA"),"",TEXT(B835,"AAMMDD")&amp;"-"&amp;TEXT(VALUE(SUBSTITUTE(A835,"MOV-","")),"000"))</f>
        <v>261026-837</v>
      </c>
    </row>
    <row r="836" spans="1:22">
      <c r="A836" s="20" t="s">
        <v>1221</v>
      </c>
      <c r="B836" s="47">
        <v>46322</v>
      </c>
      <c r="C836" t="s">
        <v>1222</v>
      </c>
      <c r="D836" t="s">
        <v>1223</v>
      </c>
      <c r="G836" t="s">
        <v>1224</v>
      </c>
      <c r="H836" s="20" t="str">
        <f>+T836</f>
        <v>261027-838</v>
      </c>
      <c r="I836" t="s">
        <v>28</v>
      </c>
      <c r="J836" s="30">
        <v>700</v>
      </c>
      <c r="K836" s="22">
        <f>IF(I836="","",IF(I836="ENTRADA",ABS(J836),-ABS(J836)))</f>
        <v>700</v>
      </c>
      <c r="L836" t="s">
        <v>29</v>
      </c>
      <c r="N836">
        <v>19104</v>
      </c>
      <c r="P836">
        <v>15355</v>
      </c>
      <c r="Q836" s="47">
        <v>46322</v>
      </c>
      <c r="R836" s="22" t="str">
        <f>IF(H836="","",H836&amp;I836)</f>
        <v>261027-838ENTRADA</v>
      </c>
      <c r="S836" s="22" t="str">
        <f>IF(C836="","",C836&amp;I836)</f>
        <v>MegamixENTRADA</v>
      </c>
      <c r="T836" t="str">
        <f>IF(OR(C836="",I836&lt;&gt;"ENTRADA"),"",TEXT(B836,"AAMMDD")&amp;"-"&amp;TEXT(VALUE(SUBSTITUTE(A836,"MOV-","")),"000"))</f>
        <v>261027-838</v>
      </c>
    </row>
    <row r="837" spans="1:22">
      <c r="A837" s="20" t="s">
        <v>1225</v>
      </c>
      <c r="B837" s="47">
        <v>46321</v>
      </c>
      <c r="C837" t="s">
        <v>115</v>
      </c>
      <c r="D837" t="s">
        <v>116</v>
      </c>
      <c r="E837" t="s">
        <v>34</v>
      </c>
      <c r="F837" t="s">
        <v>35</v>
      </c>
      <c r="G837" t="s">
        <v>117</v>
      </c>
      <c r="H837" s="20" t="s">
        <v>813</v>
      </c>
      <c r="I837" t="s">
        <v>65</v>
      </c>
      <c r="J837" s="30">
        <v>900</v>
      </c>
      <c r="K837" s="22">
        <f>IF(I837="","",IF(I837="ENTRADA",ABS(J837),-ABS(J837)))</f>
        <v>-900</v>
      </c>
      <c r="L837" t="s">
        <v>37</v>
      </c>
      <c r="N837">
        <v>65327</v>
      </c>
      <c r="O837" t="s">
        <v>382</v>
      </c>
      <c r="P837">
        <v>2020</v>
      </c>
      <c r="Q837" s="47">
        <v>46322</v>
      </c>
      <c r="R837" s="22" t="str">
        <f>IF(H837="","",H837&amp;I837)</f>
        <v>260910-622SALIDA</v>
      </c>
      <c r="S837" s="22" t="str">
        <f>IF(C837="","",C837&amp;I837)</f>
        <v>AzukaSALIDA</v>
      </c>
      <c r="T837" t="str">
        <f>IF(OR(C837="",I837&lt;&gt;"ENTRADA"),"",TEXT(B837,"AAMMDD")&amp;"-"&amp;TEXT(VALUE(SUBSTITUTE(A837,"MOV-","")),"000"))</f>
        <v/>
      </c>
      <c r="V837" t="s">
        <v>1111</v>
      </c>
    </row>
    <row r="838" spans="1:22">
      <c r="A838" s="20" t="s">
        <v>1226</v>
      </c>
      <c r="B838" s="47">
        <v>46321</v>
      </c>
      <c r="C838" t="s">
        <v>122</v>
      </c>
      <c r="D838" t="s">
        <v>123</v>
      </c>
      <c r="E838" t="s">
        <v>34</v>
      </c>
      <c r="F838" t="s">
        <v>35</v>
      </c>
      <c r="G838" t="s">
        <v>117</v>
      </c>
      <c r="H838" s="20" t="s">
        <v>939</v>
      </c>
      <c r="I838" t="s">
        <v>65</v>
      </c>
      <c r="J838" s="30">
        <v>400</v>
      </c>
      <c r="K838" s="22">
        <f>IF(I838="","",IF(I838="ENTRADA",ABS(J838),-ABS(J838)))</f>
        <v>-400</v>
      </c>
      <c r="L838" t="s">
        <v>37</v>
      </c>
      <c r="N838">
        <v>65327</v>
      </c>
      <c r="O838" t="s">
        <v>382</v>
      </c>
      <c r="P838">
        <v>2020</v>
      </c>
      <c r="Q838" s="47">
        <v>46322</v>
      </c>
      <c r="R838" s="22" t="str">
        <f>IF(H838="","",H838&amp;I838)</f>
        <v>260727-380SALIDA</v>
      </c>
      <c r="S838" s="22" t="str">
        <f>IF(C838="","",C838&amp;I838)</f>
        <v>PardoSALIDA</v>
      </c>
      <c r="T838" t="str">
        <f>IF(OR(C838="",I838&lt;&gt;"ENTRADA"),"",TEXT(B838,"AAMMDD")&amp;"-"&amp;TEXT(VALUE(SUBSTITUTE(A838,"MOV-","")),"000"))</f>
        <v/>
      </c>
      <c r="V838" t="s">
        <v>1111</v>
      </c>
    </row>
    <row r="839" spans="1:22">
      <c r="A839" s="20" t="s">
        <v>1227</v>
      </c>
      <c r="B839" s="47">
        <v>46321</v>
      </c>
      <c r="C839" t="s">
        <v>784</v>
      </c>
      <c r="D839" t="s">
        <v>785</v>
      </c>
      <c r="E839" t="s">
        <v>34</v>
      </c>
      <c r="F839" t="s">
        <v>46</v>
      </c>
      <c r="G839" t="s">
        <v>27</v>
      </c>
      <c r="H839" s="20" t="s">
        <v>798</v>
      </c>
      <c r="I839" t="s">
        <v>65</v>
      </c>
      <c r="J839" s="30">
        <v>40</v>
      </c>
      <c r="K839" s="22">
        <f>IF(I839="","",IF(I839="ENTRADA",ABS(J839),-ABS(J839)))</f>
        <v>-40</v>
      </c>
      <c r="L839" t="s">
        <v>29</v>
      </c>
      <c r="N839">
        <v>65327</v>
      </c>
      <c r="O839" t="s">
        <v>382</v>
      </c>
      <c r="P839">
        <v>2020</v>
      </c>
      <c r="Q839" s="47">
        <v>46322</v>
      </c>
      <c r="R839" s="22" t="str">
        <f>IF(H839="","",H839&amp;I839)</f>
        <v>260801-489SALIDA</v>
      </c>
      <c r="S839" s="22" t="str">
        <f>IF(C839="","",C839&amp;I839)</f>
        <v>PyroxateSALIDA</v>
      </c>
      <c r="T839" t="str">
        <f>IF(OR(C839="",I839&lt;&gt;"ENTRADA"),"",TEXT(B839,"AAMMDD")&amp;"-"&amp;TEXT(VALUE(SUBSTITUTE(A839,"MOV-","")),"000"))</f>
        <v/>
      </c>
      <c r="V839" t="s">
        <v>1111</v>
      </c>
    </row>
    <row r="840" spans="1:22">
      <c r="A840" s="20" t="s">
        <v>1228</v>
      </c>
      <c r="B840" s="47">
        <v>46321</v>
      </c>
      <c r="C840" t="s">
        <v>130</v>
      </c>
      <c r="D840" t="s">
        <v>131</v>
      </c>
      <c r="E840" t="s">
        <v>132</v>
      </c>
      <c r="G840" t="s">
        <v>133</v>
      </c>
      <c r="H840" s="20" t="s">
        <v>221</v>
      </c>
      <c r="I840" t="s">
        <v>65</v>
      </c>
      <c r="J840" s="30">
        <v>100</v>
      </c>
      <c r="K840" s="22">
        <f>IF(I840="","",IF(I840="ENTRADA",ABS(J840),-ABS(J840)))</f>
        <v>-100</v>
      </c>
      <c r="L840" t="s">
        <v>37</v>
      </c>
      <c r="N840">
        <v>65327</v>
      </c>
      <c r="O840" t="s">
        <v>382</v>
      </c>
      <c r="P840">
        <v>2020</v>
      </c>
      <c r="Q840" s="47">
        <v>46322</v>
      </c>
      <c r="R840" s="22" t="str">
        <f>IF(H840="","",H840&amp;I840)</f>
        <v>260414-029SALIDA</v>
      </c>
      <c r="S840" s="22" t="str">
        <f>IF(C840="","",C840&amp;I840)</f>
        <v>HarrierSALIDA</v>
      </c>
      <c r="T840" t="str">
        <f>IF(OR(C840="",I840&lt;&gt;"ENTRADA"),"",TEXT(B840,"AAMMDD")&amp;"-"&amp;TEXT(VALUE(SUBSTITUTE(A840,"MOV-","")),"000"))</f>
        <v/>
      </c>
      <c r="V840" t="s">
        <v>1111</v>
      </c>
    </row>
    <row r="841" spans="1:22">
      <c r="A841" s="20" t="s">
        <v>1229</v>
      </c>
      <c r="B841" s="47">
        <v>46321</v>
      </c>
      <c r="C841" t="s">
        <v>137</v>
      </c>
      <c r="D841" t="s">
        <v>138</v>
      </c>
      <c r="E841" t="s">
        <v>132</v>
      </c>
      <c r="G841" t="s">
        <v>133</v>
      </c>
      <c r="H841" s="20" t="s">
        <v>211</v>
      </c>
      <c r="I841" t="s">
        <v>65</v>
      </c>
      <c r="J841" s="30">
        <v>15</v>
      </c>
      <c r="K841" s="22">
        <f>IF(I841="","",IF(I841="ENTRADA",ABS(J841),-ABS(J841)))</f>
        <v>-15</v>
      </c>
      <c r="L841" t="s">
        <v>37</v>
      </c>
      <c r="N841">
        <v>65327</v>
      </c>
      <c r="O841" t="s">
        <v>382</v>
      </c>
      <c r="P841">
        <v>2020</v>
      </c>
      <c r="Q841" s="47">
        <v>46322</v>
      </c>
      <c r="R841" s="22" t="str">
        <f>IF(H841="","",H841&amp;I841)</f>
        <v>260414-030SALIDA</v>
      </c>
      <c r="S841" s="22" t="str">
        <f>IF(C841="","",C841&amp;I841)</f>
        <v>Full controlSALIDA</v>
      </c>
      <c r="T841" t="str">
        <f>IF(OR(C841="",I841&lt;&gt;"ENTRADA"),"",TEXT(B841,"AAMMDD")&amp;"-"&amp;TEXT(VALUE(SUBSTITUTE(A841,"MOV-","")),"000"))</f>
        <v/>
      </c>
      <c r="V841" t="s">
        <v>1111</v>
      </c>
    </row>
    <row r="842" spans="1:22">
      <c r="A842" s="20" t="s">
        <v>1230</v>
      </c>
      <c r="B842" s="47">
        <v>46322</v>
      </c>
      <c r="C842" t="s">
        <v>1054</v>
      </c>
      <c r="D842" t="s">
        <v>1055</v>
      </c>
      <c r="E842" t="s">
        <v>25</v>
      </c>
      <c r="F842" t="s">
        <v>1056</v>
      </c>
      <c r="G842" t="s">
        <v>180</v>
      </c>
      <c r="H842" s="20" t="s">
        <v>1067</v>
      </c>
      <c r="I842" t="s">
        <v>65</v>
      </c>
      <c r="J842" s="30">
        <v>6</v>
      </c>
      <c r="K842" s="22">
        <f>IF(I842="","",IF(I842="ENTRADA",ABS(J842),-ABS(J842)))</f>
        <v>-6</v>
      </c>
      <c r="L842" t="s">
        <v>633</v>
      </c>
      <c r="N842">
        <v>65329</v>
      </c>
      <c r="O842" t="s">
        <v>309</v>
      </c>
      <c r="P842">
        <v>2021</v>
      </c>
      <c r="Q842" s="47">
        <v>46322</v>
      </c>
      <c r="R842" s="22" t="str">
        <f>IF(H842="","",H842&amp;I842)</f>
        <v>261006-718SALIDA</v>
      </c>
      <c r="S842" s="22" t="str">
        <f>IF(C842="","",C842&amp;I842)</f>
        <v>Sorgo forrajero adv 2800SALIDA</v>
      </c>
      <c r="T842" t="str">
        <f>IF(OR(C842="",I842&lt;&gt;"ENTRADA"),"",TEXT(B842,"AAMMDD")&amp;"-"&amp;TEXT(VALUE(SUBSTITUTE(A842,"MOV-","")),"000"))</f>
        <v/>
      </c>
      <c r="V842" t="s">
        <v>1231</v>
      </c>
    </row>
    <row r="843" spans="1:22">
      <c r="A843" s="20" t="s">
        <v>1232</v>
      </c>
      <c r="B843" s="47">
        <v>46322</v>
      </c>
      <c r="C843" t="s">
        <v>1218</v>
      </c>
      <c r="D843" t="s">
        <v>1219</v>
      </c>
      <c r="E843" t="s">
        <v>34</v>
      </c>
      <c r="F843" t="s">
        <v>1220</v>
      </c>
      <c r="G843" t="s">
        <v>1032</v>
      </c>
      <c r="H843" s="20" t="s">
        <v>1233</v>
      </c>
      <c r="I843" t="s">
        <v>65</v>
      </c>
      <c r="J843" s="30">
        <v>320</v>
      </c>
      <c r="K843" s="22">
        <f>IF(I843="","",IF(I843="ENTRADA",ABS(J843),-ABS(J843)))</f>
        <v>-320</v>
      </c>
      <c r="L843" t="s">
        <v>37</v>
      </c>
      <c r="N843">
        <v>65328</v>
      </c>
      <c r="O843" t="s">
        <v>213</v>
      </c>
      <c r="P843">
        <v>2024</v>
      </c>
      <c r="Q843" s="47">
        <v>46324</v>
      </c>
      <c r="R843" s="22" t="str">
        <f>IF(H843="","",H843&amp;I843)</f>
        <v>261026-837SALIDA</v>
      </c>
      <c r="S843" s="22" t="str">
        <f>IF(C843="","",C843&amp;I843)</f>
        <v>Burner 200SALIDA</v>
      </c>
      <c r="T843" t="str">
        <f>IF(OR(C843="",I843&lt;&gt;"ENTRADA"),"",TEXT(B843,"AAMMDD")&amp;"-"&amp;TEXT(VALUE(SUBSTITUTE(A843,"MOV-","")),"000"))</f>
        <v/>
      </c>
      <c r="V843" t="s">
        <v>1234</v>
      </c>
    </row>
    <row r="844" spans="1:22">
      <c r="A844" s="20" t="s">
        <v>1235</v>
      </c>
      <c r="B844" s="47">
        <v>46323</v>
      </c>
      <c r="C844" t="s">
        <v>90</v>
      </c>
      <c r="D844" t="s">
        <v>91</v>
      </c>
      <c r="E844" t="s">
        <v>34</v>
      </c>
      <c r="F844" t="s">
        <v>35</v>
      </c>
      <c r="G844" t="s">
        <v>36</v>
      </c>
      <c r="H844" s="20" t="s">
        <v>375</v>
      </c>
      <c r="I844" t="s">
        <v>65</v>
      </c>
      <c r="J844" s="30">
        <v>5</v>
      </c>
      <c r="K844" s="22">
        <f>IF(I844="","",IF(I844="ENTRADA",ABS(J844),-ABS(J844)))</f>
        <v>-5</v>
      </c>
      <c r="L844" t="s">
        <v>37</v>
      </c>
      <c r="O844" t="s">
        <v>1042</v>
      </c>
      <c r="R844" s="22" t="str">
        <f>IF(H844="","",H844&amp;I844)</f>
        <v>260405-132SALIDA</v>
      </c>
      <c r="S844" s="22" t="str">
        <f>IF(C844="","",C844&amp;I844)</f>
        <v>PixxaroSALIDA</v>
      </c>
      <c r="T844" t="str">
        <f>IF(OR(C844="",I844&lt;&gt;"ENTRADA"),"",TEXT(B844,"AAMMDD")&amp;"-"&amp;TEXT(VALUE(SUBSTITUTE(A844,"MOV-","")),"000"))</f>
        <v/>
      </c>
      <c r="V844" t="s">
        <v>1236</v>
      </c>
    </row>
    <row r="845" spans="1:22">
      <c r="A845" s="20" t="s">
        <v>1237</v>
      </c>
      <c r="B845" s="47">
        <v>46324</v>
      </c>
      <c r="C845" t="s">
        <v>1218</v>
      </c>
      <c r="D845" t="s">
        <v>1219</v>
      </c>
      <c r="E845" t="s">
        <v>34</v>
      </c>
      <c r="F845" t="s">
        <v>1220</v>
      </c>
      <c r="G845" t="s">
        <v>1032</v>
      </c>
      <c r="H845" s="20" t="s">
        <v>1233</v>
      </c>
      <c r="J845" s="30">
        <v>560</v>
      </c>
      <c r="K845" s="22" t="str">
        <f>IF(I845="","",IF(I845="ENTRADA",ABS(J845),-ABS(J845)))</f>
        <v/>
      </c>
      <c r="L845" t="s">
        <v>37</v>
      </c>
      <c r="N845">
        <v>14884</v>
      </c>
      <c r="P845">
        <v>15368</v>
      </c>
      <c r="Q845" s="47">
        <v>46324</v>
      </c>
      <c r="R845" s="22" t="str">
        <f>IF(H845="","",H845&amp;I845)</f>
        <v>261026-837</v>
      </c>
      <c r="S845" s="22" t="str">
        <f>IF(C845="","",C845&amp;I845)</f>
        <v>Burner 200</v>
      </c>
      <c r="T845" t="str">
        <f>IF(OR(C845="",I845&lt;&gt;"ENTRADA"),"",TEXT(B845,"AAMMDD")&amp;"-"&amp;TEXT(VALUE(SUBSTITUTE(A845,"MOV-","")),"000"))</f>
        <v/>
      </c>
    </row>
    <row r="846" spans="1:22">
      <c r="A846" s="20" t="s">
        <v>1238</v>
      </c>
      <c r="B846" s="47">
        <v>46324</v>
      </c>
      <c r="C846" t="s">
        <v>1239</v>
      </c>
      <c r="D846" s="34" t="s">
        <v>1240</v>
      </c>
      <c r="E846" s="34" t="s">
        <v>34</v>
      </c>
      <c r="F846" s="34"/>
      <c r="G846" s="34" t="s">
        <v>158</v>
      </c>
      <c r="H846" s="20" t="str">
        <f>+T846</f>
        <v>261029-848</v>
      </c>
      <c r="I846" s="34" t="s">
        <v>28</v>
      </c>
      <c r="J846" s="30">
        <v>4000</v>
      </c>
      <c r="K846" s="22">
        <f>IF(I846="","",IF(I846="ENTRADA",ABS(J846),-ABS(J846)))</f>
        <v>4000</v>
      </c>
      <c r="L846" s="34" t="s">
        <v>29</v>
      </c>
      <c r="M846" s="34"/>
      <c r="N846">
        <v>37627</v>
      </c>
      <c r="O846" s="34"/>
      <c r="P846" s="34"/>
      <c r="Q846" s="35"/>
      <c r="R846" s="22" t="str">
        <f>IF(H846="","",H846&amp;I846)</f>
        <v>261029-848ENTRADA</v>
      </c>
      <c r="S846" s="22" t="str">
        <f>IF(C846="","",C846&amp;I846)</f>
        <v>Rainsima PlusENTRADA</v>
      </c>
      <c r="T846" t="str">
        <f>IF(OR(C846="",I846&lt;&gt;"ENTRADA"),"",TEXT(B846,"AAMMDD")&amp;"-"&amp;TEXT(VALUE(SUBSTITUTE(A846,"MOV-","")),"000"))</f>
        <v>261029-848</v>
      </c>
    </row>
    <row r="847" spans="1:22">
      <c r="A847" s="20" t="s">
        <v>1241</v>
      </c>
      <c r="B847" s="47">
        <v>46323</v>
      </c>
      <c r="C847" t="s">
        <v>115</v>
      </c>
      <c r="D847" t="s">
        <v>116</v>
      </c>
      <c r="E847" t="s">
        <v>34</v>
      </c>
      <c r="F847" t="s">
        <v>35</v>
      </c>
      <c r="G847" t="s">
        <v>117</v>
      </c>
      <c r="H847" s="20" t="s">
        <v>813</v>
      </c>
      <c r="I847" t="s">
        <v>65</v>
      </c>
      <c r="J847" s="30">
        <v>360</v>
      </c>
      <c r="K847" s="22">
        <f>IF(I847="","",IF(I847="ENTRADA",ABS(J847),-ABS(J847)))</f>
        <v>-360</v>
      </c>
      <c r="L847" t="s">
        <v>37</v>
      </c>
      <c r="N847">
        <v>65330</v>
      </c>
      <c r="O847" t="s">
        <v>1023</v>
      </c>
      <c r="P847">
        <v>2025</v>
      </c>
      <c r="Q847" s="47">
        <v>46324</v>
      </c>
      <c r="R847" s="22" t="str">
        <f>IF(H847="","",H847&amp;I847)</f>
        <v>260910-622SALIDA</v>
      </c>
      <c r="S847" s="22" t="str">
        <f>IF(C847="","",C847&amp;I847)</f>
        <v>AzukaSALIDA</v>
      </c>
      <c r="T847" t="str">
        <f>IF(OR(C847="",I847&lt;&gt;"ENTRADA"),"",TEXT(B847,"AAMMDD")&amp;"-"&amp;TEXT(VALUE(SUBSTITUTE(A847,"MOV-","")),"000"))</f>
        <v/>
      </c>
      <c r="V847" t="s">
        <v>1111</v>
      </c>
    </row>
    <row r="848" spans="1:22">
      <c r="A848" s="20" t="s">
        <v>1242</v>
      </c>
      <c r="B848" s="47">
        <v>46323</v>
      </c>
      <c r="C848" t="s">
        <v>130</v>
      </c>
      <c r="D848" t="s">
        <v>131</v>
      </c>
      <c r="E848" t="s">
        <v>132</v>
      </c>
      <c r="G848" t="s">
        <v>133</v>
      </c>
      <c r="H848" s="20" t="s">
        <v>221</v>
      </c>
      <c r="I848" t="s">
        <v>65</v>
      </c>
      <c r="J848" s="30">
        <v>20</v>
      </c>
      <c r="K848" s="22">
        <f>IF(I848="","",IF(I848="ENTRADA",ABS(J848),-ABS(J848)))</f>
        <v>-20</v>
      </c>
      <c r="L848" t="s">
        <v>37</v>
      </c>
      <c r="N848">
        <v>65330</v>
      </c>
      <c r="O848" t="s">
        <v>1023</v>
      </c>
      <c r="P848">
        <v>2025</v>
      </c>
      <c r="Q848" s="47">
        <v>46324</v>
      </c>
      <c r="R848" s="22" t="str">
        <f>IF(H848="","",H848&amp;I848)</f>
        <v>260414-029SALIDA</v>
      </c>
      <c r="S848" s="22" t="str">
        <f>IF(C848="","",C848&amp;I848)</f>
        <v>HarrierSALIDA</v>
      </c>
      <c r="T848" t="str">
        <f>IF(OR(C848="",I848&lt;&gt;"ENTRADA"),"",TEXT(B848,"AAMMDD")&amp;"-"&amp;TEXT(VALUE(SUBSTITUTE(A848,"MOV-","")),"000"))</f>
        <v/>
      </c>
      <c r="V848" t="s">
        <v>1111</v>
      </c>
    </row>
    <row r="849" spans="1:22">
      <c r="A849" s="20" t="s">
        <v>1243</v>
      </c>
      <c r="B849" s="47">
        <v>46323</v>
      </c>
      <c r="C849" t="s">
        <v>122</v>
      </c>
      <c r="D849" t="s">
        <v>123</v>
      </c>
      <c r="E849" t="s">
        <v>34</v>
      </c>
      <c r="F849" t="s">
        <v>35</v>
      </c>
      <c r="G849" t="s">
        <v>117</v>
      </c>
      <c r="H849" s="20" t="s">
        <v>939</v>
      </c>
      <c r="I849" t="s">
        <v>65</v>
      </c>
      <c r="J849" s="30">
        <v>210</v>
      </c>
      <c r="K849" s="22">
        <f>IF(I849="","",IF(I849="ENTRADA",ABS(J849),-ABS(J849)))</f>
        <v>-210</v>
      </c>
      <c r="L849" t="s">
        <v>37</v>
      </c>
      <c r="N849">
        <v>65330</v>
      </c>
      <c r="O849" t="s">
        <v>1023</v>
      </c>
      <c r="P849">
        <v>2025</v>
      </c>
      <c r="Q849" s="47">
        <v>46324</v>
      </c>
      <c r="R849" s="22" t="str">
        <f>IF(H849="","",H849&amp;I849)</f>
        <v>260727-380SALIDA</v>
      </c>
      <c r="S849" s="22" t="str">
        <f>IF(C849="","",C849&amp;I849)</f>
        <v>PardoSALIDA</v>
      </c>
      <c r="T849" t="str">
        <f>IF(OR(C849="",I849&lt;&gt;"ENTRADA"),"",TEXT(B849,"AAMMDD")&amp;"-"&amp;TEXT(VALUE(SUBSTITUTE(A849,"MOV-","")),"000"))</f>
        <v/>
      </c>
      <c r="V849" t="s">
        <v>1111</v>
      </c>
    </row>
    <row r="850" spans="1:22">
      <c r="A850" s="20" t="s">
        <v>1244</v>
      </c>
      <c r="B850" s="47">
        <v>46323</v>
      </c>
      <c r="C850" t="s">
        <v>75</v>
      </c>
      <c r="D850" t="s">
        <v>76</v>
      </c>
      <c r="E850" t="s">
        <v>34</v>
      </c>
      <c r="F850" t="s">
        <v>35</v>
      </c>
      <c r="G850" t="s">
        <v>77</v>
      </c>
      <c r="H850" s="20" t="s">
        <v>94</v>
      </c>
      <c r="I850" t="s">
        <v>65</v>
      </c>
      <c r="J850" s="30">
        <v>80</v>
      </c>
      <c r="K850" s="22">
        <f>IF(I850="","",IF(I850="ENTRADA",ABS(J850),-ABS(J850)))</f>
        <v>-80</v>
      </c>
      <c r="L850" t="s">
        <v>37</v>
      </c>
      <c r="N850">
        <v>65330</v>
      </c>
      <c r="O850" t="s">
        <v>1023</v>
      </c>
      <c r="P850">
        <v>2025</v>
      </c>
      <c r="Q850" s="47">
        <v>46324</v>
      </c>
      <c r="R850" s="22" t="str">
        <f>IF(H850="","",H850&amp;I850)</f>
        <v>260407-012SALIDA</v>
      </c>
      <c r="S850" s="22" t="str">
        <f>IF(C850="","",C850&amp;I850)</f>
        <v>Dedalo eliteSALIDA</v>
      </c>
      <c r="T850" t="str">
        <f>IF(OR(C850="",I850&lt;&gt;"ENTRADA"),"",TEXT(B850,"AAMMDD")&amp;"-"&amp;TEXT(VALUE(SUBSTITUTE(A850,"MOV-","")),"000"))</f>
        <v/>
      </c>
      <c r="V850" t="s">
        <v>1111</v>
      </c>
    </row>
    <row r="851" spans="1:22">
      <c r="A851" s="20" t="s">
        <v>1245</v>
      </c>
      <c r="B851" s="47">
        <v>46324</v>
      </c>
      <c r="C851" t="s">
        <v>1218</v>
      </c>
      <c r="D851" t="s">
        <v>1219</v>
      </c>
      <c r="E851" t="s">
        <v>34</v>
      </c>
      <c r="F851" t="s">
        <v>1220</v>
      </c>
      <c r="G851" t="s">
        <v>1032</v>
      </c>
      <c r="H851" s="20" t="s">
        <v>1233</v>
      </c>
      <c r="I851" t="s">
        <v>65</v>
      </c>
      <c r="J851" s="30">
        <v>960</v>
      </c>
      <c r="K851" s="22">
        <f>IF(I851="","",IF(I851="ENTRADA",ABS(J851),-ABS(J851)))</f>
        <v>-960</v>
      </c>
      <c r="L851" t="s">
        <v>37</v>
      </c>
      <c r="N851">
        <v>65331</v>
      </c>
      <c r="O851" t="s">
        <v>237</v>
      </c>
      <c r="P851">
        <v>2026</v>
      </c>
      <c r="Q851" s="47">
        <v>46324</v>
      </c>
      <c r="R851" s="22" t="str">
        <f>IF(H851="","",H851&amp;I851)</f>
        <v>261026-837SALIDA</v>
      </c>
      <c r="S851" s="22" t="str">
        <f>IF(C851="","",C851&amp;I851)</f>
        <v>Burner 200SALIDA</v>
      </c>
      <c r="T851" t="str">
        <f>IF(OR(C851="",I851&lt;&gt;"ENTRADA"),"",TEXT(B851,"AAMMDD")&amp;"-"&amp;TEXT(VALUE(SUBSTITUTE(A851,"MOV-","")),"000"))</f>
        <v/>
      </c>
      <c r="V851" t="s">
        <v>1246</v>
      </c>
    </row>
    <row r="852" spans="1:22">
      <c r="A852" s="20" t="s">
        <v>1247</v>
      </c>
      <c r="B852" s="47">
        <v>46324</v>
      </c>
      <c r="C852" t="s">
        <v>122</v>
      </c>
      <c r="D852" t="s">
        <v>123</v>
      </c>
      <c r="E852" t="s">
        <v>34</v>
      </c>
      <c r="F852" t="s">
        <v>35</v>
      </c>
      <c r="G852" t="s">
        <v>117</v>
      </c>
      <c r="H852" s="20" t="s">
        <v>939</v>
      </c>
      <c r="I852" t="s">
        <v>65</v>
      </c>
      <c r="J852" s="30">
        <v>80</v>
      </c>
      <c r="K852" s="22">
        <f>IF(I852="","",IF(I852="ENTRADA",ABS(J852),-ABS(J852)))</f>
        <v>-80</v>
      </c>
      <c r="L852" t="s">
        <v>37</v>
      </c>
      <c r="N852">
        <v>65331</v>
      </c>
      <c r="O852" t="s">
        <v>237</v>
      </c>
      <c r="P852">
        <v>2026</v>
      </c>
      <c r="Q852" s="47">
        <v>46324</v>
      </c>
      <c r="R852" s="22" t="str">
        <f>IF(H852="","",H852&amp;I852)</f>
        <v>260727-380SALIDA</v>
      </c>
      <c r="S852" s="22" t="str">
        <f>IF(C852="","",C852&amp;I852)</f>
        <v>PardoSALIDA</v>
      </c>
      <c r="T852" t="str">
        <f>IF(OR(C852="",I852&lt;&gt;"ENTRADA"),"",TEXT(B852,"AAMMDD")&amp;"-"&amp;TEXT(VALUE(SUBSTITUTE(A852,"MOV-","")),"000"))</f>
        <v/>
      </c>
      <c r="V852" t="s">
        <v>1246</v>
      </c>
    </row>
    <row r="853" spans="1:22">
      <c r="A853" s="20" t="s">
        <v>1248</v>
      </c>
      <c r="B853" s="47">
        <v>46324</v>
      </c>
      <c r="C853" t="s">
        <v>657</v>
      </c>
      <c r="D853" t="s">
        <v>658</v>
      </c>
      <c r="E853" t="s">
        <v>132</v>
      </c>
      <c r="G853" t="s">
        <v>133</v>
      </c>
      <c r="H853" s="20" t="s">
        <v>660</v>
      </c>
      <c r="I853" t="s">
        <v>65</v>
      </c>
      <c r="J853" s="30">
        <v>40</v>
      </c>
      <c r="K853" s="22">
        <f>IF(I853="","",IF(I853="ENTRADA",ABS(J853),-ABS(J853)))</f>
        <v>-40</v>
      </c>
      <c r="L853" t="s">
        <v>37</v>
      </c>
      <c r="N853">
        <v>65331</v>
      </c>
      <c r="O853" t="s">
        <v>237</v>
      </c>
      <c r="P853">
        <v>2026</v>
      </c>
      <c r="Q853" s="47">
        <v>46324</v>
      </c>
      <c r="R853" s="22" t="str">
        <f>IF(H853="","",H853&amp;I853)</f>
        <v>260729-393SALIDA</v>
      </c>
      <c r="S853" s="22" t="str">
        <f>IF(C853="","",C853&amp;I853)</f>
        <v>Harrier Drone SALIDA</v>
      </c>
      <c r="T853" t="str">
        <f>IF(OR(C853="",I853&lt;&gt;"ENTRADA"),"",TEXT(B853,"AAMMDD")&amp;"-"&amp;TEXT(VALUE(SUBSTITUTE(A853,"MOV-","")),"000"))</f>
        <v/>
      </c>
      <c r="V853" t="s">
        <v>1246</v>
      </c>
    </row>
    <row r="854" spans="1:22">
      <c r="A854" s="20" t="s">
        <v>1249</v>
      </c>
      <c r="B854" s="47">
        <v>46324</v>
      </c>
      <c r="C854" t="s">
        <v>130</v>
      </c>
      <c r="D854" t="s">
        <v>131</v>
      </c>
      <c r="E854" t="s">
        <v>132</v>
      </c>
      <c r="G854" t="s">
        <v>133</v>
      </c>
      <c r="H854" s="20" t="s">
        <v>221</v>
      </c>
      <c r="I854" t="s">
        <v>65</v>
      </c>
      <c r="J854" s="30">
        <v>40</v>
      </c>
      <c r="K854" s="22">
        <f>IF(I854="","",IF(I854="ENTRADA",ABS(J854),-ABS(J854)))</f>
        <v>-40</v>
      </c>
      <c r="L854" t="s">
        <v>37</v>
      </c>
      <c r="N854">
        <v>65331</v>
      </c>
      <c r="O854" t="s">
        <v>237</v>
      </c>
      <c r="P854">
        <v>2026</v>
      </c>
      <c r="Q854" s="47">
        <v>46324</v>
      </c>
      <c r="R854" s="22" t="str">
        <f>IF(H854="","",H854&amp;I854)</f>
        <v>260414-029SALIDA</v>
      </c>
      <c r="S854" s="22" t="str">
        <f>IF(C854="","",C854&amp;I854)</f>
        <v>HarrierSALIDA</v>
      </c>
      <c r="T854" t="str">
        <f>IF(OR(C854="",I854&lt;&gt;"ENTRADA"),"",TEXT(B854,"AAMMDD")&amp;"-"&amp;TEXT(VALUE(SUBSTITUTE(A854,"MOV-","")),"000"))</f>
        <v/>
      </c>
      <c r="V854" t="s">
        <v>1246</v>
      </c>
    </row>
    <row r="855" spans="1:22">
      <c r="A855" s="20" t="s">
        <v>1250</v>
      </c>
      <c r="B855" s="47">
        <v>46324</v>
      </c>
      <c r="C855" t="s">
        <v>75</v>
      </c>
      <c r="D855" t="s">
        <v>76</v>
      </c>
      <c r="E855" t="s">
        <v>34</v>
      </c>
      <c r="F855" t="s">
        <v>35</v>
      </c>
      <c r="G855" t="s">
        <v>77</v>
      </c>
      <c r="H855" s="20" t="s">
        <v>94</v>
      </c>
      <c r="I855" t="s">
        <v>65</v>
      </c>
      <c r="J855" s="30">
        <v>400</v>
      </c>
      <c r="K855" s="22">
        <f>IF(I855="","",IF(I855="ENTRADA",ABS(J855),-ABS(J855)))</f>
        <v>-400</v>
      </c>
      <c r="L855" t="s">
        <v>37</v>
      </c>
      <c r="N855">
        <v>65331</v>
      </c>
      <c r="O855" t="s">
        <v>237</v>
      </c>
      <c r="P855">
        <v>2026</v>
      </c>
      <c r="Q855" s="47">
        <v>46324</v>
      </c>
      <c r="R855" s="22" t="str">
        <f>IF(H855="","",H855&amp;I855)</f>
        <v>260407-012SALIDA</v>
      </c>
      <c r="S855" s="22" t="str">
        <f>IF(C855="","",C855&amp;I855)</f>
        <v>Dedalo eliteSALIDA</v>
      </c>
      <c r="T855" t="str">
        <f>IF(OR(C855="",I855&lt;&gt;"ENTRADA"),"",TEXT(B855,"AAMMDD")&amp;"-"&amp;TEXT(VALUE(SUBSTITUTE(A855,"MOV-","")),"000"))</f>
        <v/>
      </c>
      <c r="V855" t="s">
        <v>1246</v>
      </c>
    </row>
    <row r="856" spans="1:22">
      <c r="A856" s="20" t="s">
        <v>1251</v>
      </c>
      <c r="B856" s="47">
        <v>46324</v>
      </c>
      <c r="C856" t="s">
        <v>1218</v>
      </c>
      <c r="D856" t="s">
        <v>1219</v>
      </c>
      <c r="E856" t="s">
        <v>34</v>
      </c>
      <c r="F856" t="s">
        <v>1220</v>
      </c>
      <c r="G856" t="s">
        <v>1032</v>
      </c>
      <c r="H856" s="20" t="s">
        <v>1233</v>
      </c>
      <c r="I856" t="s">
        <v>65</v>
      </c>
      <c r="J856" s="30">
        <v>260</v>
      </c>
      <c r="K856" s="22">
        <f>IF(I856="","",IF(I856="ENTRADA",ABS(J856),-ABS(J856)))</f>
        <v>-260</v>
      </c>
      <c r="L856" t="s">
        <v>37</v>
      </c>
      <c r="N856">
        <v>65332</v>
      </c>
      <c r="O856" t="s">
        <v>66</v>
      </c>
      <c r="P856">
        <v>2027</v>
      </c>
      <c r="Q856" s="47">
        <v>46324</v>
      </c>
      <c r="R856" s="22" t="str">
        <f>IF(H856="","",H856&amp;I856)</f>
        <v>261026-837SALIDA</v>
      </c>
      <c r="S856" s="22" t="str">
        <f>IF(C856="","",C856&amp;I856)</f>
        <v>Burner 200SALIDA</v>
      </c>
      <c r="T856" t="str">
        <f>IF(OR(C856="",I856&lt;&gt;"ENTRADA"),"",TEXT(B856,"AAMMDD")&amp;"-"&amp;TEXT(VALUE(SUBSTITUTE(A856,"MOV-","")),"000"))</f>
        <v/>
      </c>
      <c r="V856" t="s">
        <v>1252</v>
      </c>
    </row>
    <row r="857" spans="1:22">
      <c r="A857" s="20" t="s">
        <v>1253</v>
      </c>
      <c r="B857" s="34"/>
      <c r="C857" s="34"/>
      <c r="D857" s="34"/>
      <c r="E857" s="34"/>
      <c r="F857" s="34"/>
      <c r="G857" s="34"/>
      <c r="H857" s="20" t="str">
        <f>+T857</f>
        <v/>
      </c>
      <c r="I857" s="34"/>
      <c r="J857" s="36"/>
      <c r="K857" s="22" t="str">
        <f>IF(I857="","",IF(I857="ENTRADA",ABS(J857),-ABS(J857)))</f>
        <v/>
      </c>
      <c r="L857" s="34"/>
      <c r="M857" s="34"/>
      <c r="N857" s="34"/>
      <c r="O857" s="34"/>
      <c r="P857" s="34"/>
      <c r="Q857" s="35"/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2">
      <c r="A858" s="20" t="s">
        <v>1254</v>
      </c>
      <c r="H858" s="20" t="str">
        <f>+T858</f>
        <v/>
      </c>
      <c r="J858" s="30"/>
      <c r="K858" s="22" t="str">
        <f>IF(I858="","",IF(I858="ENTRADA",ABS(J858),-ABS(J858)))</f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2">
      <c r="A859" s="20" t="s">
        <v>1255</v>
      </c>
      <c r="H859" s="20" t="str">
        <f>+T859</f>
        <v/>
      </c>
      <c r="J859" s="30"/>
      <c r="K859" s="22" t="str">
        <f>IF(I859="","",IF(I859="ENTRADA",ABS(J859),-ABS(J859)))</f>
        <v/>
      </c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2">
      <c r="A860" s="20" t="s">
        <v>1256</v>
      </c>
      <c r="H860" s="20" t="str">
        <f>+T860</f>
        <v/>
      </c>
      <c r="J860" s="30"/>
      <c r="K860" s="22" t="str">
        <f>IF(I860="","",IF(I860="ENTRADA",ABS(J860),-ABS(J860)))</f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2">
      <c r="A861" s="20" t="s">
        <v>1257</v>
      </c>
      <c r="H861" s="20" t="str">
        <f>+T861</f>
        <v/>
      </c>
      <c r="J861" s="30"/>
      <c r="K861" s="22" t="str">
        <f>IF(I861="","",IF(I861="ENTRADA",ABS(J861),-ABS(J861)))</f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2">
      <c r="A862" s="20" t="s">
        <v>1258</v>
      </c>
      <c r="H862" s="20" t="str">
        <f>+T862</f>
        <v/>
      </c>
      <c r="J862" s="30"/>
      <c r="K862" s="22" t="str">
        <f>IF(I862="","",IF(I862="ENTRADA",ABS(J862),-ABS(J862)))</f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2">
      <c r="A863" s="20" t="s">
        <v>1259</v>
      </c>
      <c r="H863" s="20" t="str">
        <f>+T863</f>
        <v/>
      </c>
      <c r="J863" s="30"/>
      <c r="K863" s="22" t="str">
        <f>IF(I863="","",IF(I863="ENTRADA",ABS(J863),-ABS(J863)))</f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2">
      <c r="A864" s="20" t="s">
        <v>1260</v>
      </c>
      <c r="H864" s="20" t="str">
        <f>+T864</f>
        <v/>
      </c>
      <c r="J864" s="30"/>
      <c r="K864" s="22" t="str">
        <f>IF(I864="","",IF(I864="ENTRADA",ABS(J864),-ABS(J864)))</f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1261</v>
      </c>
      <c r="H865" s="20" t="str">
        <f>+T865</f>
        <v/>
      </c>
      <c r="J865" s="30"/>
      <c r="K865" s="22" t="str">
        <f>IF(I865="","",IF(I865="ENTRADA",ABS(J865),-ABS(J865)))</f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1262</v>
      </c>
      <c r="H866" s="20" t="str">
        <f>+T866</f>
        <v/>
      </c>
      <c r="J866" s="30"/>
      <c r="K866" s="22" t="str">
        <f>IF(I866="","",IF(I866="ENTRADA",ABS(J866),-ABS(J866)))</f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1263</v>
      </c>
      <c r="H867" s="20" t="str">
        <f>+T867</f>
        <v/>
      </c>
      <c r="J867" s="30"/>
      <c r="K867" s="22" t="str">
        <f>IF(I867="","",IF(I867="ENTRADA",ABS(J867),-ABS(J867)))</f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1264</v>
      </c>
      <c r="B868" s="34"/>
      <c r="C868" s="34"/>
      <c r="D868" s="34"/>
      <c r="E868" s="34"/>
      <c r="F868" s="34"/>
      <c r="G868" s="34"/>
      <c r="H868" s="20" t="str">
        <f>+T868</f>
        <v/>
      </c>
      <c r="I868" s="34"/>
      <c r="J868" s="36"/>
      <c r="K868" s="22" t="str">
        <f>IF(I868="","",IF(I868="ENTRADA",ABS(J868),-ABS(J868)))</f>
        <v/>
      </c>
      <c r="L868" s="34"/>
      <c r="M868" s="34"/>
      <c r="N868" s="34"/>
      <c r="O868" s="34"/>
      <c r="P868" s="34"/>
      <c r="Q868" s="35"/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1265</v>
      </c>
      <c r="H869" s="20" t="str">
        <f>+T869</f>
        <v/>
      </c>
      <c r="J869" s="30"/>
      <c r="K869" s="22" t="str">
        <f>IF(I869="","",IF(I869="ENTRADA",ABS(J869),-ABS(J869)))</f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1266</v>
      </c>
      <c r="H870" s="20" t="str">
        <f>+T870</f>
        <v/>
      </c>
      <c r="J870" s="30"/>
      <c r="K870" s="22" t="str">
        <f>IF(I870="","",IF(I870="ENTRADA",ABS(J870),-ABS(J870)))</f>
        <v/>
      </c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1267</v>
      </c>
      <c r="H871" s="20" t="str">
        <f>+T871</f>
        <v/>
      </c>
      <c r="J871" s="30"/>
      <c r="K871" s="22" t="str">
        <f>IF(I871="","",IF(I871="ENTRADA",ABS(J871),-ABS(J871)))</f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1268</v>
      </c>
      <c r="H872" s="20" t="str">
        <f>+T872</f>
        <v/>
      </c>
      <c r="J872" s="30"/>
      <c r="K872" s="22" t="str">
        <f>IF(I872="","",IF(I872="ENTRADA",ABS(J872),-ABS(J872)))</f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1269</v>
      </c>
      <c r="H873" s="20" t="str">
        <f>+T873</f>
        <v/>
      </c>
      <c r="J873" s="30"/>
      <c r="K873" s="22" t="str">
        <f>IF(I873="","",IF(I873="ENTRADA",ABS(J873),-ABS(J873)))</f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1270</v>
      </c>
      <c r="H874" s="20" t="str">
        <f>+T874</f>
        <v/>
      </c>
      <c r="J874" s="30"/>
      <c r="K874" s="22" t="str">
        <f>IF(I874="","",IF(I874="ENTRADA",ABS(J874),-ABS(J874)))</f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1271</v>
      </c>
      <c r="H875" s="20" t="str">
        <f>+T875</f>
        <v/>
      </c>
      <c r="J875" s="30"/>
      <c r="K875" s="22" t="str">
        <f>IF(I875="","",IF(I875="ENTRADA",ABS(J875),-ABS(J875)))</f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1272</v>
      </c>
      <c r="H876" s="20" t="str">
        <f>+T876</f>
        <v/>
      </c>
      <c r="J876" s="30"/>
      <c r="K876" s="22" t="str">
        <f>IF(I876="","",IF(I876="ENTRADA",ABS(J876),-ABS(J876)))</f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1273</v>
      </c>
      <c r="H877" s="20" t="str">
        <f>+T877</f>
        <v/>
      </c>
      <c r="J877" s="30"/>
      <c r="K877" s="22" t="str">
        <f>IF(I877="","",IF(I877="ENTRADA",ABS(J877),-ABS(J877)))</f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1274</v>
      </c>
      <c r="H878" s="20" t="str">
        <f>+T878</f>
        <v/>
      </c>
      <c r="J878" s="30"/>
      <c r="K878" s="22" t="str">
        <f>IF(I878="","",IF(I878="ENTRADA",ABS(J878),-ABS(J878)))</f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1275</v>
      </c>
      <c r="B879" s="34"/>
      <c r="C879" s="34"/>
      <c r="D879" s="34"/>
      <c r="E879" s="34"/>
      <c r="F879" s="34"/>
      <c r="G879" s="34"/>
      <c r="H879" s="20" t="str">
        <f>+T879</f>
        <v/>
      </c>
      <c r="I879" s="34"/>
      <c r="J879" s="36"/>
      <c r="K879" s="22" t="str">
        <f>IF(I879="","",IF(I879="ENTRADA",ABS(J879),-ABS(J879)))</f>
        <v/>
      </c>
      <c r="L879" s="34"/>
      <c r="M879" s="34"/>
      <c r="N879" s="34"/>
      <c r="O879" s="34"/>
      <c r="P879" s="34"/>
      <c r="Q879" s="35"/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1276</v>
      </c>
      <c r="H880" s="20" t="str">
        <f>+T880</f>
        <v/>
      </c>
      <c r="J880" s="30"/>
      <c r="K880" s="22" t="str">
        <f>IF(I880="","",IF(I880="ENTRADA",ABS(J880),-ABS(J880)))</f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1277</v>
      </c>
      <c r="H881" s="20" t="str">
        <f>+T881</f>
        <v/>
      </c>
      <c r="J881" s="30"/>
      <c r="K881" s="22" t="str">
        <f>IF(I881="","",IF(I881="ENTRADA",ABS(J881),-ABS(J881)))</f>
        <v/>
      </c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1278</v>
      </c>
      <c r="H882" s="20" t="str">
        <f>+T882</f>
        <v/>
      </c>
      <c r="J882" s="30"/>
      <c r="K882" s="22" t="str">
        <f>IF(I882="","",IF(I882="ENTRADA",ABS(J882),-ABS(J882)))</f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1279</v>
      </c>
      <c r="H883" s="20" t="str">
        <f>+T883</f>
        <v/>
      </c>
      <c r="J883" s="30"/>
      <c r="K883" s="22" t="str">
        <f>IF(I883="","",IF(I883="ENTRADA",ABS(J883),-ABS(J883)))</f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1280</v>
      </c>
      <c r="H884" s="20" t="str">
        <f>+T884</f>
        <v/>
      </c>
      <c r="J884" s="30"/>
      <c r="K884" s="22" t="str">
        <f>IF(I884="","",IF(I884="ENTRADA",ABS(J884),-ABS(J884)))</f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1281</v>
      </c>
      <c r="H885" s="20" t="str">
        <f>+T885</f>
        <v/>
      </c>
      <c r="J885" s="30"/>
      <c r="K885" s="22" t="str">
        <f>IF(I885="","",IF(I885="ENTRADA",ABS(J885),-ABS(J885)))</f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1282</v>
      </c>
      <c r="H886" s="20" t="str">
        <f>+T886</f>
        <v/>
      </c>
      <c r="J886" s="30"/>
      <c r="K886" s="22" t="str">
        <f>IF(I886="","",IF(I886="ENTRADA",ABS(J886),-ABS(J886)))</f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1283</v>
      </c>
      <c r="H887" s="20" t="str">
        <f>+T887</f>
        <v/>
      </c>
      <c r="J887" s="30"/>
      <c r="K887" s="22" t="str">
        <f>IF(I887="","",IF(I887="ENTRADA",ABS(J887),-ABS(J887)))</f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1284</v>
      </c>
      <c r="H888" s="20" t="str">
        <f>+T888</f>
        <v/>
      </c>
      <c r="J888" s="30"/>
      <c r="K888" s="22" t="str">
        <f>IF(I888="","",IF(I888="ENTRADA",ABS(J888),-ABS(J888)))</f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1285</v>
      </c>
      <c r="H889" s="20" t="str">
        <f>+T889</f>
        <v/>
      </c>
      <c r="J889" s="30"/>
      <c r="K889" s="22" t="str">
        <f>IF(I889="","",IF(I889="ENTRADA",ABS(J889),-ABS(J889)))</f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1286</v>
      </c>
      <c r="B890" s="34"/>
      <c r="C890" s="34"/>
      <c r="D890" s="34"/>
      <c r="E890" s="34"/>
      <c r="F890" s="34"/>
      <c r="G890" s="34"/>
      <c r="H890" s="20" t="str">
        <f>+T890</f>
        <v/>
      </c>
      <c r="I890" s="34"/>
      <c r="J890" s="36"/>
      <c r="K890" s="22" t="str">
        <f>IF(I890="","",IF(I890="ENTRADA",ABS(J890),-ABS(J890)))</f>
        <v/>
      </c>
      <c r="L890" s="34"/>
      <c r="M890" s="34"/>
      <c r="N890" s="34"/>
      <c r="O890" s="34"/>
      <c r="P890" s="34"/>
      <c r="Q890" s="35"/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1287</v>
      </c>
      <c r="H891" s="20" t="str">
        <f>+T891</f>
        <v/>
      </c>
      <c r="J891" s="30"/>
      <c r="K891" s="22" t="str">
        <f>IF(I891="","",IF(I891="ENTRADA",ABS(J891),-ABS(J891)))</f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1288</v>
      </c>
      <c r="H892" s="20" t="str">
        <f>+T892</f>
        <v/>
      </c>
      <c r="J892" s="30"/>
      <c r="K892" s="22" t="str">
        <f>IF(I892="","",IF(I892="ENTRADA",ABS(J892),-ABS(J892)))</f>
        <v/>
      </c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1289</v>
      </c>
      <c r="H893" s="20" t="str">
        <f>+T893</f>
        <v/>
      </c>
      <c r="J893" s="30"/>
      <c r="K893" s="22" t="str">
        <f>IF(I893="","",IF(I893="ENTRADA",ABS(J893),-ABS(J893)))</f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1290</v>
      </c>
      <c r="H894" s="20" t="str">
        <f>+T894</f>
        <v/>
      </c>
      <c r="J894" s="30"/>
      <c r="K894" s="22" t="str">
        <f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1291</v>
      </c>
      <c r="H895" s="20" t="str">
        <f>+T895</f>
        <v/>
      </c>
      <c r="J895" s="30"/>
      <c r="K895" s="22" t="str">
        <f>IF(I895="","",IF(I895="ENTRADA",ABS(J895),-ABS(J895)))</f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1292</v>
      </c>
      <c r="H896" s="20" t="str">
        <f>+T896</f>
        <v/>
      </c>
      <c r="J896" s="30"/>
      <c r="K896" s="22" t="str">
        <f>IF(I896="","",IF(I896="ENTRADA",ABS(J896),-ABS(J896)))</f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1293</v>
      </c>
      <c r="H897" s="20" t="str">
        <f>+T897</f>
        <v/>
      </c>
      <c r="J897" s="30"/>
      <c r="K897" s="22" t="str">
        <f>IF(I897="","",IF(I897="ENTRADA",ABS(J897),-ABS(J897)))</f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1294</v>
      </c>
      <c r="H898" s="20" t="str">
        <f>+T898</f>
        <v/>
      </c>
      <c r="J898" s="30"/>
      <c r="K898" s="22" t="str">
        <f>IF(I898="","",IF(I898="ENTRADA",ABS(J898),-ABS(J898)))</f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1295</v>
      </c>
      <c r="H899" s="20" t="str">
        <f>+T899</f>
        <v/>
      </c>
      <c r="J899" s="30"/>
      <c r="K899" s="22" t="str">
        <f>IF(I899="","",IF(I899="ENTRADA",ABS(J899),-ABS(J899)))</f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1296</v>
      </c>
      <c r="H900" s="20" t="str">
        <f>+T900</f>
        <v/>
      </c>
      <c r="J900" s="30"/>
      <c r="K900" s="22" t="str">
        <f>IF(I900="","",IF(I900="ENTRADA",ABS(J900),-ABS(J900)))</f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1297</v>
      </c>
      <c r="B901" s="34"/>
      <c r="C901" s="34"/>
      <c r="D901" s="34"/>
      <c r="E901" s="34"/>
      <c r="F901" s="34"/>
      <c r="G901" s="34"/>
      <c r="H901" s="20" t="str">
        <f>+T901</f>
        <v/>
      </c>
      <c r="I901" s="34"/>
      <c r="J901" s="36"/>
      <c r="K901" s="22" t="str">
        <f>IF(I901="","",IF(I901="ENTRADA",ABS(J901),-ABS(J901)))</f>
        <v/>
      </c>
      <c r="L901" s="34"/>
      <c r="M901" s="34"/>
      <c r="N901" s="34"/>
      <c r="O901" s="34"/>
      <c r="P901" s="34"/>
      <c r="Q901" s="35"/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1298</v>
      </c>
      <c r="H902" s="20" t="str">
        <f>+T902</f>
        <v/>
      </c>
      <c r="J902" s="30"/>
      <c r="K902" s="22" t="str">
        <f>IF(I902="","",IF(I902="ENTRADA",ABS(J902),-ABS(J902)))</f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1299</v>
      </c>
      <c r="H903" s="20" t="str">
        <f>+T903</f>
        <v/>
      </c>
      <c r="J903" s="30"/>
      <c r="K903" s="22" t="str">
        <f>IF(I903="","",IF(I903="ENTRADA",ABS(J903),-ABS(J903)))</f>
        <v/>
      </c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1300</v>
      </c>
      <c r="H904" s="20" t="str">
        <f>+T904</f>
        <v/>
      </c>
      <c r="J904" s="30"/>
      <c r="K904" s="22" t="str">
        <f>IF(I904="","",IF(I904="ENTRADA",ABS(J904),-ABS(J904)))</f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1301</v>
      </c>
      <c r="H905" s="20" t="str">
        <f>+T905</f>
        <v/>
      </c>
      <c r="J905" s="30"/>
      <c r="K905" s="22" t="str">
        <f>IF(I905="","",IF(I905="ENTRADA",ABS(J905),-ABS(J905)))</f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1302</v>
      </c>
      <c r="H906" s="20" t="str">
        <f>+T906</f>
        <v/>
      </c>
      <c r="J906" s="30"/>
      <c r="K906" s="22" t="str">
        <f>IF(I906="","",IF(I906="ENTRADA",ABS(J906),-ABS(J906)))</f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1303</v>
      </c>
      <c r="H907" s="20" t="str">
        <f>+T907</f>
        <v/>
      </c>
      <c r="J907" s="30"/>
      <c r="K907" s="22" t="str">
        <f>IF(I907="","",IF(I907="ENTRADA",ABS(J907),-ABS(J907)))</f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1304</v>
      </c>
      <c r="H908" s="20" t="str">
        <f>+T908</f>
        <v/>
      </c>
      <c r="J908" s="30"/>
      <c r="K908" s="22" t="str">
        <f>IF(I908="","",IF(I908="ENTRADA",ABS(J908),-ABS(J908)))</f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1305</v>
      </c>
      <c r="H909" s="20" t="str">
        <f>+T909</f>
        <v/>
      </c>
      <c r="J909" s="30"/>
      <c r="K909" s="22" t="str">
        <f>IF(I909="","",IF(I909="ENTRADA",ABS(J909),-ABS(J909)))</f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1306</v>
      </c>
      <c r="H910" s="20" t="str">
        <f>+T910</f>
        <v/>
      </c>
      <c r="J910" s="30"/>
      <c r="K910" s="22" t="str">
        <f>IF(I910="","",IF(I910="ENTRADA",ABS(J910),-ABS(J910)))</f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1307</v>
      </c>
      <c r="H911" s="20" t="str">
        <f>+T911</f>
        <v/>
      </c>
      <c r="J911" s="30"/>
      <c r="K911" s="22" t="str">
        <f>IF(I911="","",IF(I911="ENTRADA",ABS(J911),-ABS(J911)))</f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1308</v>
      </c>
      <c r="B912" s="34"/>
      <c r="C912" s="34"/>
      <c r="D912" s="34"/>
      <c r="E912" s="34"/>
      <c r="F912" s="34"/>
      <c r="G912" s="34"/>
      <c r="H912" s="20" t="str">
        <f>+T912</f>
        <v/>
      </c>
      <c r="I912" s="34"/>
      <c r="J912" s="36"/>
      <c r="K912" s="22" t="str">
        <f>IF(I912="","",IF(I912="ENTRADA",ABS(J912),-ABS(J912)))</f>
        <v/>
      </c>
      <c r="L912" s="34"/>
      <c r="M912" s="34"/>
      <c r="N912" s="34"/>
      <c r="O912" s="34"/>
      <c r="P912" s="34"/>
      <c r="Q912" s="35"/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1309</v>
      </c>
      <c r="H913" s="20" t="str">
        <f>+T913</f>
        <v/>
      </c>
      <c r="J913" s="30"/>
      <c r="K913" s="22" t="str">
        <f>IF(I913="","",IF(I913="ENTRADA",ABS(J913),-ABS(J913)))</f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1310</v>
      </c>
      <c r="H914" s="20" t="str">
        <f>+T914</f>
        <v/>
      </c>
      <c r="J914" s="30"/>
      <c r="K914" s="22" t="str">
        <f>IF(I914="","",IF(I914="ENTRADA",ABS(J914),-ABS(J914)))</f>
        <v/>
      </c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1311</v>
      </c>
      <c r="H915" s="20" t="str">
        <f>+T915</f>
        <v/>
      </c>
      <c r="J915" s="30"/>
      <c r="K915" s="22" t="str">
        <f>IF(I915="","",IF(I915="ENTRADA",ABS(J915),-ABS(J915)))</f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1312</v>
      </c>
      <c r="H916" s="20" t="str">
        <f>+T916</f>
        <v/>
      </c>
      <c r="J916" s="30"/>
      <c r="K916" s="22" t="str">
        <f>IF(I916="","",IF(I916="ENTRADA",ABS(J916),-ABS(J916)))</f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1313</v>
      </c>
      <c r="H917" s="20" t="str">
        <f>+T917</f>
        <v/>
      </c>
      <c r="J917" s="30"/>
      <c r="K917" s="22" t="str">
        <f>IF(I917="","",IF(I917="ENTRADA",ABS(J917),-ABS(J917)))</f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1314</v>
      </c>
      <c r="H918" s="20" t="str">
        <f>+T918</f>
        <v/>
      </c>
      <c r="J918" s="30"/>
      <c r="K918" s="22" t="str">
        <f>IF(I918="","",IF(I918="ENTRADA",ABS(J918),-ABS(J918)))</f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1315</v>
      </c>
      <c r="H919" s="20" t="str">
        <f>+T919</f>
        <v/>
      </c>
      <c r="J919" s="30"/>
      <c r="K919" s="22" t="str">
        <f>IF(I919="","",IF(I919="ENTRADA",ABS(J919),-ABS(J919)))</f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1316</v>
      </c>
      <c r="H920" s="20" t="str">
        <f>+T920</f>
        <v/>
      </c>
      <c r="J920" s="30"/>
      <c r="K920" s="22" t="str">
        <f>IF(I920="","",IF(I920="ENTRADA",ABS(J920),-ABS(J920)))</f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1317</v>
      </c>
      <c r="H921" s="20" t="str">
        <f>+T921</f>
        <v/>
      </c>
      <c r="J921" s="30"/>
      <c r="K921" s="22" t="str">
        <f>IF(I921="","",IF(I921="ENTRADA",ABS(J921),-ABS(J921)))</f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1318</v>
      </c>
      <c r="H922" s="20" t="str">
        <f>+T922</f>
        <v/>
      </c>
      <c r="J922" s="30"/>
      <c r="K922" s="22" t="str">
        <f>IF(I922="","",IF(I922="ENTRADA",ABS(J922),-ABS(J922)))</f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1319</v>
      </c>
      <c r="B923" s="34"/>
      <c r="C923" s="34"/>
      <c r="D923" s="34"/>
      <c r="E923" s="34"/>
      <c r="F923" s="34"/>
      <c r="G923" s="34"/>
      <c r="H923" s="20" t="str">
        <f>+T923</f>
        <v/>
      </c>
      <c r="I923" s="34"/>
      <c r="J923" s="36"/>
      <c r="K923" s="22" t="str">
        <f>IF(I923="","",IF(I923="ENTRADA",ABS(J923),-ABS(J923)))</f>
        <v/>
      </c>
      <c r="L923" s="34"/>
      <c r="M923" s="34"/>
      <c r="N923" s="34"/>
      <c r="O923" s="34"/>
      <c r="P923" s="34"/>
      <c r="Q923" s="35"/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1320</v>
      </c>
      <c r="H924" s="20" t="str">
        <f>+T924</f>
        <v/>
      </c>
      <c r="J924" s="30"/>
      <c r="K924" s="22" t="str">
        <f>IF(I924="","",IF(I924="ENTRADA",ABS(J924),-ABS(J924)))</f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1321</v>
      </c>
      <c r="H925" s="20" t="str">
        <f>+T925</f>
        <v/>
      </c>
      <c r="J925" s="30"/>
      <c r="K925" s="22" t="str">
        <f>IF(I925="","",IF(I925="ENTRADA",ABS(J925),-ABS(J925)))</f>
        <v/>
      </c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1322</v>
      </c>
      <c r="H926" s="20" t="str">
        <f>+T926</f>
        <v/>
      </c>
      <c r="J926" s="30"/>
      <c r="K926" s="22" t="str">
        <f>IF(I926="","",IF(I926="ENTRADA",ABS(J926),-ABS(J926)))</f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1323</v>
      </c>
      <c r="H927" s="20" t="str">
        <f>+T927</f>
        <v/>
      </c>
      <c r="J927" s="30"/>
      <c r="K927" s="22" t="str">
        <f>IF(I927="","",IF(I927="ENTRADA",ABS(J927),-ABS(J927)))</f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1324</v>
      </c>
      <c r="H928" s="20" t="str">
        <f>+T928</f>
        <v/>
      </c>
      <c r="J928" s="30"/>
      <c r="K928" s="22" t="str">
        <f>IF(I928="","",IF(I928="ENTRADA",ABS(J928),-ABS(J928)))</f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1325</v>
      </c>
      <c r="H929" s="20" t="str">
        <f>+T929</f>
        <v/>
      </c>
      <c r="J929" s="30"/>
      <c r="K929" s="22" t="str">
        <f>IF(I929="","",IF(I929="ENTRADA",ABS(J929),-ABS(J929)))</f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1326</v>
      </c>
      <c r="H930" s="20" t="str">
        <f>+T930</f>
        <v/>
      </c>
      <c r="J930" s="30"/>
      <c r="K930" s="22" t="str">
        <f>IF(I930="","",IF(I930="ENTRADA",ABS(J930),-ABS(J930)))</f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1327</v>
      </c>
      <c r="H931" s="20" t="str">
        <f>+T931</f>
        <v/>
      </c>
      <c r="J931" s="30"/>
      <c r="K931" s="22" t="str">
        <f>IF(I931="","",IF(I931="ENTRADA",ABS(J931),-ABS(J931)))</f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1328</v>
      </c>
      <c r="H932" s="20" t="str">
        <f>+T932</f>
        <v/>
      </c>
      <c r="J932" s="30"/>
      <c r="K932" s="22" t="str">
        <f>IF(I932="","",IF(I932="ENTRADA",ABS(J932),-ABS(J932)))</f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1329</v>
      </c>
      <c r="H933" s="20" t="str">
        <f>+T933</f>
        <v/>
      </c>
      <c r="J933" s="30"/>
      <c r="K933" s="22" t="str">
        <f>IF(I933="","",IF(I933="ENTRADA",ABS(J933),-ABS(J933)))</f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1330</v>
      </c>
      <c r="B934" s="34"/>
      <c r="C934" s="34"/>
      <c r="D934" s="34"/>
      <c r="E934" s="34"/>
      <c r="F934" s="34"/>
      <c r="G934" s="34"/>
      <c r="H934" s="20" t="str">
        <f>+T934</f>
        <v/>
      </c>
      <c r="I934" s="34"/>
      <c r="J934" s="36"/>
      <c r="K934" s="22" t="str">
        <f>IF(I934="","",IF(I934="ENTRADA",ABS(J934),-ABS(J934)))</f>
        <v/>
      </c>
      <c r="L934" s="34"/>
      <c r="M934" s="34"/>
      <c r="N934" s="34"/>
      <c r="O934" s="34"/>
      <c r="P934" s="34"/>
      <c r="Q934" s="35"/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1331</v>
      </c>
      <c r="H935" s="20" t="str">
        <f>+T935</f>
        <v/>
      </c>
      <c r="J935" s="30"/>
      <c r="K935" s="22" t="str">
        <f>IF(I935="","",IF(I935="ENTRADA",ABS(J935),-ABS(J935)))</f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1332</v>
      </c>
      <c r="H936" s="20" t="str">
        <f>+T936</f>
        <v/>
      </c>
      <c r="J936" s="30"/>
      <c r="K936" s="22" t="str">
        <f>IF(I936="","",IF(I936="ENTRADA",ABS(J936),-ABS(J936)))</f>
        <v/>
      </c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1333</v>
      </c>
      <c r="H937" s="20" t="str">
        <f>+T937</f>
        <v/>
      </c>
      <c r="J937" s="30"/>
      <c r="K937" s="22" t="str">
        <f>IF(I937="","",IF(I937="ENTRADA",ABS(J937),-ABS(J937)))</f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1334</v>
      </c>
      <c r="H938" s="20" t="str">
        <f>+T938</f>
        <v/>
      </c>
      <c r="J938" s="30"/>
      <c r="K938" s="22" t="str">
        <f>IF(I938="","",IF(I938="ENTRADA",ABS(J938),-ABS(J938)))</f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1335</v>
      </c>
      <c r="H939" s="20" t="str">
        <f>+T939</f>
        <v/>
      </c>
      <c r="J939" s="30"/>
      <c r="K939" s="22" t="str">
        <f>IF(I939="","",IF(I939="ENTRADA",ABS(J939),-ABS(J939)))</f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1336</v>
      </c>
      <c r="H940" s="20" t="str">
        <f>+T940</f>
        <v/>
      </c>
      <c r="J940" s="30"/>
      <c r="K940" s="22" t="str">
        <f>IF(I940="","",IF(I940="ENTRADA",ABS(J940),-ABS(J940)))</f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1337</v>
      </c>
      <c r="H941" s="20" t="str">
        <f>+T941</f>
        <v/>
      </c>
      <c r="J941" s="30"/>
      <c r="K941" s="22" t="str">
        <f>IF(I941="","",IF(I941="ENTRADA",ABS(J941),-ABS(J941)))</f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1338</v>
      </c>
      <c r="H942" s="20" t="str">
        <f>+T942</f>
        <v/>
      </c>
      <c r="J942" s="30"/>
      <c r="K942" s="22" t="str">
        <f>IF(I942="","",IF(I942="ENTRADA",ABS(J942),-ABS(J942)))</f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1339</v>
      </c>
      <c r="H943" s="20" t="str">
        <f>+T943</f>
        <v/>
      </c>
      <c r="J943" s="30"/>
      <c r="K943" s="22" t="str">
        <f>IF(I943="","",IF(I943="ENTRADA",ABS(J943),-ABS(J943)))</f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1340</v>
      </c>
      <c r="H944" s="20" t="str">
        <f>+T944</f>
        <v/>
      </c>
      <c r="J944" s="30"/>
      <c r="K944" s="22" t="str">
        <f>IF(I944="","",IF(I944="ENTRADA",ABS(J944),-ABS(J944)))</f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1341</v>
      </c>
      <c r="B945" s="34"/>
      <c r="C945" s="34"/>
      <c r="D945" s="34"/>
      <c r="E945" s="34"/>
      <c r="F945" s="34"/>
      <c r="G945" s="34"/>
      <c r="H945" s="20" t="str">
        <f>+T945</f>
        <v/>
      </c>
      <c r="I945" s="34"/>
      <c r="J945" s="36"/>
      <c r="K945" s="22" t="str">
        <f>IF(I945="","",IF(I945="ENTRADA",ABS(J945),-ABS(J945)))</f>
        <v/>
      </c>
      <c r="L945" s="34"/>
      <c r="M945" s="34"/>
      <c r="N945" s="34"/>
      <c r="O945" s="34"/>
      <c r="P945" s="34"/>
      <c r="Q945" s="35"/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1342</v>
      </c>
      <c r="H946" s="20" t="str">
        <f>+T946</f>
        <v/>
      </c>
      <c r="J946" s="30"/>
      <c r="K946" s="22" t="str">
        <f>IF(I946="","",IF(I946="ENTRADA",ABS(J946),-ABS(J946)))</f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1343</v>
      </c>
      <c r="H947" s="20" t="str">
        <f>+T947</f>
        <v/>
      </c>
      <c r="J947" s="30"/>
      <c r="K947" s="22" t="str">
        <f>IF(I947="","",IF(I947="ENTRADA",ABS(J947),-ABS(J947)))</f>
        <v/>
      </c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1344</v>
      </c>
      <c r="H948" s="20" t="str">
        <f>+T948</f>
        <v/>
      </c>
      <c r="J948" s="30"/>
      <c r="K948" s="22" t="str">
        <f>IF(I948="","",IF(I948="ENTRADA",ABS(J948),-ABS(J948)))</f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1345</v>
      </c>
      <c r="H949" s="20" t="str">
        <f>+T949</f>
        <v/>
      </c>
      <c r="J949" s="30"/>
      <c r="K949" s="22" t="str">
        <f>IF(I949="","",IF(I949="ENTRADA",ABS(J949),-ABS(J949)))</f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1346</v>
      </c>
      <c r="H950" s="20" t="str">
        <f>+T950</f>
        <v/>
      </c>
      <c r="J950" s="30"/>
      <c r="K950" s="22" t="str">
        <f>IF(I950="","",IF(I950="ENTRADA",ABS(J950),-ABS(J950)))</f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1347</v>
      </c>
      <c r="H951" s="20" t="str">
        <f>+T951</f>
        <v/>
      </c>
      <c r="J951" s="30"/>
      <c r="K951" s="22" t="str">
        <f>IF(I951="","",IF(I951="ENTRADA",ABS(J951),-ABS(J951)))</f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1348</v>
      </c>
      <c r="H952" s="20" t="str">
        <f>+T952</f>
        <v/>
      </c>
      <c r="J952" s="30"/>
      <c r="K952" s="22" t="str">
        <f>IF(I952="","",IF(I952="ENTRADA",ABS(J952),-ABS(J952)))</f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1349</v>
      </c>
      <c r="H953" s="20" t="str">
        <f>+T953</f>
        <v/>
      </c>
      <c r="J953" s="30"/>
      <c r="K953" s="22" t="str">
        <f>IF(I953="","",IF(I953="ENTRADA",ABS(J953),-ABS(J953)))</f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1350</v>
      </c>
      <c r="H954" s="20" t="str">
        <f>+T954</f>
        <v/>
      </c>
      <c r="J954" s="30"/>
      <c r="K954" s="22" t="str">
        <f>IF(I954="","",IF(I954="ENTRADA",ABS(J954),-ABS(J954)))</f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1351</v>
      </c>
      <c r="H955" s="20" t="str">
        <f>+T955</f>
        <v/>
      </c>
      <c r="J955" s="30"/>
      <c r="K955" s="22" t="str">
        <f>IF(I955="","",IF(I955="ENTRADA",ABS(J955),-ABS(J955)))</f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1352</v>
      </c>
      <c r="B956" s="34"/>
      <c r="C956" s="34"/>
      <c r="D956" s="34"/>
      <c r="E956" s="34"/>
      <c r="F956" s="34"/>
      <c r="G956" s="34"/>
      <c r="H956" s="20" t="str">
        <f>+T956</f>
        <v/>
      </c>
      <c r="I956" s="34"/>
      <c r="J956" s="36"/>
      <c r="K956" s="22" t="str">
        <f>IF(I956="","",IF(I956="ENTRADA",ABS(J956),-ABS(J956)))</f>
        <v/>
      </c>
      <c r="L956" s="34"/>
      <c r="M956" s="34"/>
      <c r="N956" s="34"/>
      <c r="O956" s="34"/>
      <c r="P956" s="34"/>
      <c r="Q956" s="35"/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1353</v>
      </c>
      <c r="H957" s="20" t="str">
        <f>+T957</f>
        <v/>
      </c>
      <c r="J957" s="30"/>
      <c r="K957" s="22" t="str">
        <f>IF(I957="","",IF(I957="ENTRADA",ABS(J957),-ABS(J957)))</f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1354</v>
      </c>
      <c r="H958" s="20" t="str">
        <f>+T958</f>
        <v/>
      </c>
      <c r="J958" s="30"/>
      <c r="K958" s="22" t="str">
        <f>IF(I958="","",IF(I958="ENTRADA",ABS(J958),-ABS(J958)))</f>
        <v/>
      </c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1355</v>
      </c>
      <c r="H959" s="20" t="str">
        <f>+T959</f>
        <v/>
      </c>
      <c r="J959" s="30"/>
      <c r="K959" s="22" t="str">
        <f>IF(I959="","",IF(I959="ENTRADA",ABS(J959),-ABS(J959)))</f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1356</v>
      </c>
      <c r="H960" s="20" t="str">
        <f>+T960</f>
        <v/>
      </c>
      <c r="J960" s="30"/>
      <c r="K960" s="22" t="str">
        <f>IF(I960="","",IF(I960="ENTRADA",ABS(J960),-ABS(J960)))</f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1357</v>
      </c>
      <c r="H961" s="20" t="str">
        <f>+T961</f>
        <v/>
      </c>
      <c r="J961" s="30"/>
      <c r="K961" s="22" t="str">
        <f>IF(I961="","",IF(I961="ENTRADA",ABS(J961),-ABS(J961)))</f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1358</v>
      </c>
      <c r="H962" s="20" t="str">
        <f>+T962</f>
        <v/>
      </c>
      <c r="J962" s="30"/>
      <c r="K962" s="22" t="str">
        <f>IF(I962="","",IF(I962="ENTRADA",ABS(J962),-ABS(J962)))</f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1359</v>
      </c>
      <c r="H963" s="20" t="str">
        <f>+T963</f>
        <v/>
      </c>
      <c r="J963" s="30"/>
      <c r="K963" s="22" t="str">
        <f>IF(I963="","",IF(I963="ENTRADA",ABS(J963),-ABS(J963)))</f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1360</v>
      </c>
      <c r="H964" s="20" t="str">
        <f>+T964</f>
        <v/>
      </c>
      <c r="J964" s="30"/>
      <c r="K964" s="22" t="str">
        <f>IF(I964="","",IF(I964="ENTRADA",ABS(J964),-ABS(J964)))</f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1361</v>
      </c>
      <c r="H965" s="20" t="str">
        <f>+T965</f>
        <v/>
      </c>
      <c r="J965" s="30"/>
      <c r="K965" s="22" t="str">
        <f>IF(I965="","",IF(I965="ENTRADA",ABS(J965),-ABS(J965)))</f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1362</v>
      </c>
      <c r="H966" s="20" t="str">
        <f>+T966</f>
        <v/>
      </c>
      <c r="J966" s="30"/>
      <c r="K966" s="22" t="str">
        <f>IF(I966="","",IF(I966="ENTRADA",ABS(J966),-ABS(J966)))</f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1363</v>
      </c>
      <c r="B967" s="34"/>
      <c r="C967" s="34"/>
      <c r="D967" s="34"/>
      <c r="E967" s="34"/>
      <c r="F967" s="34"/>
      <c r="G967" s="34"/>
      <c r="H967" s="20" t="str">
        <f>+T967</f>
        <v/>
      </c>
      <c r="I967" s="34"/>
      <c r="J967" s="36"/>
      <c r="K967" s="22" t="str">
        <f>IF(I967="","",IF(I967="ENTRADA",ABS(J967),-ABS(J967)))</f>
        <v/>
      </c>
      <c r="L967" s="34"/>
      <c r="M967" s="34"/>
      <c r="N967" s="34"/>
      <c r="O967" s="34"/>
      <c r="P967" s="34"/>
      <c r="Q967" s="35"/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1364</v>
      </c>
      <c r="H968" s="20" t="str">
        <f>+T968</f>
        <v/>
      </c>
      <c r="J968" s="30"/>
      <c r="K968" s="22" t="str">
        <f>IF(I968="","",IF(I968="ENTRADA",ABS(J968),-ABS(J968)))</f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1365</v>
      </c>
      <c r="H969" s="20" t="str">
        <f>+T969</f>
        <v/>
      </c>
      <c r="J969" s="30"/>
      <c r="K969" s="22" t="str">
        <f>IF(I969="","",IF(I969="ENTRADA",ABS(J969),-ABS(J969)))</f>
        <v/>
      </c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1366</v>
      </c>
      <c r="H970" s="20" t="str">
        <f>+T970</f>
        <v/>
      </c>
      <c r="J970" s="30"/>
      <c r="K970" s="22" t="str">
        <f>IF(I970="","",IF(I970="ENTRADA",ABS(J970),-ABS(J970)))</f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1367</v>
      </c>
      <c r="H971" s="20" t="str">
        <f>+T971</f>
        <v/>
      </c>
      <c r="J971" s="30"/>
      <c r="K971" s="22" t="str">
        <f>IF(I971="","",IF(I971="ENTRADA",ABS(J971),-ABS(J971)))</f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1368</v>
      </c>
      <c r="H972" s="20" t="str">
        <f>+T972</f>
        <v/>
      </c>
      <c r="J972" s="30"/>
      <c r="K972" s="22" t="str">
        <f>IF(I972="","",IF(I972="ENTRADA",ABS(J972),-ABS(J972)))</f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1369</v>
      </c>
      <c r="H973" s="20" t="str">
        <f>+T973</f>
        <v/>
      </c>
      <c r="J973" s="30"/>
      <c r="K973" s="22" t="str">
        <f>IF(I973="","",IF(I973="ENTRADA",ABS(J973),-ABS(J973)))</f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1370</v>
      </c>
      <c r="H974" s="20" t="str">
        <f>+T974</f>
        <v/>
      </c>
      <c r="J974" s="30"/>
      <c r="K974" s="22" t="str">
        <f>IF(I974="","",IF(I974="ENTRADA",ABS(J974),-ABS(J974)))</f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1371</v>
      </c>
      <c r="H975" s="20" t="str">
        <f>+T975</f>
        <v/>
      </c>
      <c r="J975" s="30"/>
      <c r="K975" s="22" t="str">
        <f>IF(I975="","",IF(I975="ENTRADA",ABS(J975),-ABS(J975)))</f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1372</v>
      </c>
      <c r="H976" s="20" t="str">
        <f>+T976</f>
        <v/>
      </c>
      <c r="J976" s="30"/>
      <c r="K976" s="22" t="str">
        <f>IF(I976="","",IF(I976="ENTRADA",ABS(J976),-ABS(J976)))</f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1373</v>
      </c>
      <c r="H977" s="20" t="str">
        <f>+T977</f>
        <v/>
      </c>
      <c r="J977" s="30"/>
      <c r="K977" s="22" t="str">
        <f>IF(I977="","",IF(I977="ENTRADA",ABS(J977),-ABS(J977)))</f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1374</v>
      </c>
      <c r="B978" s="34"/>
      <c r="C978" s="34"/>
      <c r="D978" s="34"/>
      <c r="E978" s="34"/>
      <c r="F978" s="34"/>
      <c r="G978" s="34"/>
      <c r="H978" s="20" t="str">
        <f>+T978</f>
        <v/>
      </c>
      <c r="I978" s="34"/>
      <c r="J978" s="36"/>
      <c r="K978" s="22" t="str">
        <f>IF(I978="","",IF(I978="ENTRADA",ABS(J978),-ABS(J978)))</f>
        <v/>
      </c>
      <c r="L978" s="34"/>
      <c r="M978" s="34"/>
      <c r="N978" s="34"/>
      <c r="O978" s="34"/>
      <c r="P978" s="34"/>
      <c r="Q978" s="35"/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1375</v>
      </c>
      <c r="H979" s="20" t="str">
        <f>+T979</f>
        <v/>
      </c>
      <c r="J979" s="30"/>
      <c r="K979" s="22" t="str">
        <f>IF(I979="","",IF(I979="ENTRADA",ABS(J979),-ABS(J979)))</f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1376</v>
      </c>
      <c r="H980" s="20" t="str">
        <f>+T980</f>
        <v/>
      </c>
      <c r="J980" s="30"/>
      <c r="K980" s="22" t="str">
        <f>IF(I980="","",IF(I980="ENTRADA",ABS(J980),-ABS(J980)))</f>
        <v/>
      </c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1377</v>
      </c>
      <c r="H981" s="20" t="str">
        <f>+T981</f>
        <v/>
      </c>
      <c r="J981" s="30"/>
      <c r="K981" s="22" t="str">
        <f>IF(I981="","",IF(I981="ENTRADA",ABS(J981),-ABS(J981)))</f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1378</v>
      </c>
      <c r="H982" s="20" t="str">
        <f>+T982</f>
        <v/>
      </c>
      <c r="J982" s="30"/>
      <c r="K982" s="22" t="str">
        <f>IF(I982="","",IF(I982="ENTRADA",ABS(J982),-ABS(J982)))</f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1379</v>
      </c>
      <c r="H983" s="20" t="str">
        <f>+T983</f>
        <v/>
      </c>
      <c r="J983" s="30"/>
      <c r="K983" s="22" t="str">
        <f>IF(I983="","",IF(I983="ENTRADA",ABS(J983),-ABS(J983)))</f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1380</v>
      </c>
      <c r="H984" s="20" t="str">
        <f>+T984</f>
        <v/>
      </c>
      <c r="J984" s="30"/>
      <c r="K984" s="22" t="str">
        <f>IF(I984="","",IF(I984="ENTRADA",ABS(J984),-ABS(J984)))</f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1381</v>
      </c>
      <c r="H985" s="20" t="str">
        <f>+T985</f>
        <v/>
      </c>
      <c r="J985" s="30"/>
      <c r="K985" s="22" t="str">
        <f>IF(I985="","",IF(I985="ENTRADA",ABS(J985),-ABS(J985)))</f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1382</v>
      </c>
      <c r="H986" s="20" t="str">
        <f>+T986</f>
        <v/>
      </c>
      <c r="J986" s="30"/>
      <c r="K986" s="22" t="str">
        <f>IF(I986="","",IF(I986="ENTRADA",ABS(J986),-ABS(J986)))</f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1383</v>
      </c>
      <c r="H987" s="20" t="str">
        <f>+T987</f>
        <v/>
      </c>
      <c r="J987" s="30"/>
      <c r="K987" s="22" t="str">
        <f>IF(I987="","",IF(I987="ENTRADA",ABS(J987),-ABS(J987)))</f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1384</v>
      </c>
      <c r="H988" s="20" t="str">
        <f>+T988</f>
        <v/>
      </c>
      <c r="J988" s="30"/>
      <c r="K988" s="22" t="str">
        <f>IF(I988="","",IF(I988="ENTRADA",ABS(J988),-ABS(J988)))</f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1385</v>
      </c>
      <c r="B989" s="34"/>
      <c r="C989" s="34"/>
      <c r="D989" s="34"/>
      <c r="E989" s="34"/>
      <c r="F989" s="34"/>
      <c r="G989" s="34"/>
      <c r="H989" s="20" t="str">
        <f>+T989</f>
        <v/>
      </c>
      <c r="I989" s="34"/>
      <c r="J989" s="36"/>
      <c r="K989" s="22" t="str">
        <f>IF(I989="","",IF(I989="ENTRADA",ABS(J989),-ABS(J989)))</f>
        <v/>
      </c>
      <c r="L989" s="34"/>
      <c r="M989" s="34"/>
      <c r="N989" s="34"/>
      <c r="O989" s="34"/>
      <c r="P989" s="34"/>
      <c r="Q989" s="35"/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1386</v>
      </c>
      <c r="H990" s="20" t="str">
        <f>+T990</f>
        <v/>
      </c>
      <c r="J990" s="30"/>
      <c r="K990" s="22" t="str">
        <f>IF(I990="","",IF(I990="ENTRADA",ABS(J990),-ABS(J990)))</f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1387</v>
      </c>
      <c r="H991" s="20" t="str">
        <f>+T991</f>
        <v/>
      </c>
      <c r="J991" s="30"/>
      <c r="K991" s="22" t="str">
        <f>IF(I991="","",IF(I991="ENTRADA",ABS(J991),-ABS(J991)))</f>
        <v/>
      </c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1388</v>
      </c>
      <c r="H992" s="20" t="str">
        <f>+T992</f>
        <v/>
      </c>
      <c r="J992" s="30"/>
      <c r="K992" s="22" t="str">
        <f>IF(I992="","",IF(I992="ENTRADA",ABS(J992),-ABS(J992)))</f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1389</v>
      </c>
      <c r="H993" s="20" t="str">
        <f>+T993</f>
        <v/>
      </c>
      <c r="J993" s="30"/>
      <c r="K993" s="22" t="str">
        <f>IF(I993="","",IF(I993="ENTRADA",ABS(J993),-ABS(J993)))</f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1390</v>
      </c>
      <c r="H994" s="20" t="str">
        <f>+T994</f>
        <v/>
      </c>
      <c r="J994" s="30"/>
      <c r="K994" s="22" t="str">
        <f>IF(I994="","",IF(I994="ENTRADA",ABS(J994),-ABS(J994)))</f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1391</v>
      </c>
      <c r="H995" s="20" t="str">
        <f>+T995</f>
        <v/>
      </c>
      <c r="J995" s="30"/>
      <c r="K995" s="22" t="str">
        <f>IF(I995="","",IF(I995="ENTRADA",ABS(J995),-ABS(J995)))</f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1392</v>
      </c>
      <c r="H996" s="20" t="str">
        <f>+T996</f>
        <v/>
      </c>
      <c r="J996" s="30"/>
      <c r="K996" s="22" t="str">
        <f>IF(I996="","",IF(I996="ENTRADA",ABS(J996),-ABS(J996)))</f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1393</v>
      </c>
      <c r="H997" s="20" t="str">
        <f>+T997</f>
        <v/>
      </c>
      <c r="J997" s="30"/>
      <c r="K997" s="22" t="str">
        <f>IF(I997="","",IF(I997="ENTRADA",ABS(J997),-ABS(J997)))</f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1394</v>
      </c>
      <c r="H998" s="20" t="str">
        <f>+T998</f>
        <v/>
      </c>
      <c r="J998" s="30"/>
      <c r="K998" s="22" t="str">
        <f>IF(I998="","",IF(I998="ENTRADA",ABS(J998),-ABS(J998)))</f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1395</v>
      </c>
      <c r="H999" s="20" t="str">
        <f>+T999</f>
        <v/>
      </c>
      <c r="J999" s="30"/>
      <c r="K999" s="22" t="str">
        <f>IF(I999="","",IF(I999="ENTRADA",ABS(J999),-ABS(J999)))</f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1396</v>
      </c>
      <c r="B1000" s="34"/>
      <c r="C1000" s="34"/>
      <c r="D1000" s="34"/>
      <c r="E1000" s="34"/>
      <c r="F1000" s="34"/>
      <c r="G1000" s="34"/>
      <c r="H1000" s="20" t="str">
        <f>+T1000</f>
        <v/>
      </c>
      <c r="I1000" s="34"/>
      <c r="J1000" s="36"/>
      <c r="K1000" s="22" t="str">
        <f>IF(I1000="","",IF(I1000="ENTRADA",ABS(J1000),-ABS(J1000)))</f>
        <v/>
      </c>
      <c r="L1000" s="34"/>
      <c r="M1000" s="34"/>
      <c r="N1000" s="34"/>
      <c r="O1000" s="34"/>
      <c r="P1000" s="34"/>
      <c r="Q1000" s="35"/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1397</v>
      </c>
      <c r="H1001" s="20" t="str">
        <f>+T1001</f>
        <v/>
      </c>
      <c r="J1001" s="30"/>
      <c r="K1001" s="22" t="str">
        <f>IF(I1001="","",IF(I1001="ENTRADA",ABS(J1001),-ABS(J1001)))</f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1398</v>
      </c>
      <c r="H1002" s="20" t="str">
        <f>+T1002</f>
        <v/>
      </c>
      <c r="J1002" s="30"/>
      <c r="K1002" s="22" t="str">
        <f>IF(I1002="","",IF(I1002="ENTRADA",ABS(J1002),-ABS(J1002)))</f>
        <v/>
      </c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1399</v>
      </c>
      <c r="H1003" s="20" t="str">
        <f>+T1003</f>
        <v/>
      </c>
      <c r="J1003" s="30"/>
      <c r="K1003" s="22" t="str">
        <f>IF(I1003="","",IF(I1003="ENTRADA",ABS(J1003),-ABS(J1003)))</f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1400</v>
      </c>
      <c r="H1004" s="20" t="str">
        <f>+T1004</f>
        <v/>
      </c>
      <c r="J1004" s="30"/>
      <c r="K1004" s="22" t="str">
        <f>IF(I1004="","",IF(I1004="ENTRADA",ABS(J1004),-ABS(J1004)))</f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1401</v>
      </c>
      <c r="H1005" s="20" t="str">
        <f>+T1005</f>
        <v/>
      </c>
      <c r="J1005" s="30"/>
      <c r="K1005" s="22" t="str">
        <f>IF(I1005="","",IF(I1005="ENTRADA",ABS(J1005),-ABS(J1005)))</f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1402</v>
      </c>
      <c r="H1006" s="20" t="str">
        <f>+T1006</f>
        <v/>
      </c>
      <c r="J1006" s="30"/>
      <c r="K1006" s="22" t="str">
        <f>IF(I1006="","",IF(I1006="ENTRADA",ABS(J1006),-ABS(J1006)))</f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1403</v>
      </c>
      <c r="H1007" s="20" t="str">
        <f>+T1007</f>
        <v/>
      </c>
      <c r="J1007" s="30"/>
      <c r="K1007" s="22" t="str">
        <f>IF(I1007="","",IF(I1007="ENTRADA",ABS(J1007),-ABS(J1007)))</f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1404</v>
      </c>
      <c r="H1008" s="20" t="str">
        <f>+T1008</f>
        <v/>
      </c>
      <c r="J1008" s="30"/>
      <c r="K1008" s="22" t="str">
        <f>IF(I1008="","",IF(I1008="ENTRADA",ABS(J1008),-ABS(J1008)))</f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1405</v>
      </c>
      <c r="H1009" s="20" t="str">
        <f>+T1009</f>
        <v/>
      </c>
      <c r="J1009" s="30"/>
      <c r="K1009" s="22" t="str">
        <f>IF(I1009="","",IF(I1009="ENTRADA",ABS(J1009),-ABS(J1009)))</f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1406</v>
      </c>
      <c r="H1010" s="20" t="str">
        <f>+T1010</f>
        <v/>
      </c>
      <c r="J1010" s="30"/>
      <c r="K1010" s="22" t="str">
        <f>IF(I1010="","",IF(I1010="ENTRADA",ABS(J1010),-ABS(J1010)))</f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1407</v>
      </c>
      <c r="B1011" s="34"/>
      <c r="C1011" s="34"/>
      <c r="D1011" s="34"/>
      <c r="E1011" s="34"/>
      <c r="F1011" s="34"/>
      <c r="G1011" s="34"/>
      <c r="H1011" s="20" t="str">
        <f>+T1011</f>
        <v/>
      </c>
      <c r="I1011" s="34"/>
      <c r="J1011" s="36"/>
      <c r="K1011" s="22" t="str">
        <f>IF(I1011="","",IF(I1011="ENTRADA",ABS(J1011),-ABS(J1011)))</f>
        <v/>
      </c>
      <c r="L1011" s="34"/>
      <c r="M1011" s="34"/>
      <c r="N1011" s="34"/>
      <c r="O1011" s="34"/>
      <c r="P1011" s="34"/>
      <c r="Q1011" s="35"/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1408</v>
      </c>
      <c r="H1012" s="20" t="str">
        <f>+T1012</f>
        <v/>
      </c>
      <c r="J1012" s="30"/>
      <c r="K1012" s="22" t="str">
        <f>IF(I1012="","",IF(I1012="ENTRADA",ABS(J1012),-ABS(J1012)))</f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1409</v>
      </c>
      <c r="H1013" s="20" t="str">
        <f>+T1013</f>
        <v/>
      </c>
      <c r="J1013" s="30"/>
      <c r="K1013" s="22" t="str">
        <f>IF(I1013="","",IF(I1013="ENTRADA",ABS(J1013),-ABS(J1013)))</f>
        <v/>
      </c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1410</v>
      </c>
      <c r="H1014" s="20" t="str">
        <f>+T1014</f>
        <v/>
      </c>
      <c r="J1014" s="30"/>
      <c r="K1014" s="22" t="str">
        <f>IF(I1014="","",IF(I1014="ENTRADA",ABS(J1014),-ABS(J1014)))</f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1411</v>
      </c>
      <c r="H1015" s="20" t="str">
        <f>+T1015</f>
        <v/>
      </c>
      <c r="J1015" s="30"/>
      <c r="K1015" s="22" t="str">
        <f>IF(I1015="","",IF(I1015="ENTRADA",ABS(J1015),-ABS(J1015)))</f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1412</v>
      </c>
      <c r="H1016" s="20" t="str">
        <f>+T1016</f>
        <v/>
      </c>
      <c r="J1016" s="30"/>
      <c r="K1016" s="22" t="str">
        <f>IF(I1016="","",IF(I1016="ENTRADA",ABS(J1016),-ABS(J1016)))</f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1413</v>
      </c>
      <c r="H1017" s="20" t="str">
        <f>+T1017</f>
        <v/>
      </c>
      <c r="J1017" s="30"/>
      <c r="K1017" s="22" t="str">
        <f>IF(I1017="","",IF(I1017="ENTRADA",ABS(J1017),-ABS(J1017)))</f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1414</v>
      </c>
      <c r="H1018" s="20" t="str">
        <f>+T1018</f>
        <v/>
      </c>
      <c r="J1018" s="30"/>
      <c r="K1018" s="22" t="str">
        <f>IF(I1018="","",IF(I1018="ENTRADA",ABS(J1018),-ABS(J1018)))</f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1415</v>
      </c>
      <c r="H1019" s="20" t="str">
        <f>+T1019</f>
        <v/>
      </c>
      <c r="J1019" s="30"/>
      <c r="K1019" s="22" t="str">
        <f>IF(I1019="","",IF(I1019="ENTRADA",ABS(J1019),-ABS(J1019)))</f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1416</v>
      </c>
      <c r="H1020" s="20" t="str">
        <f>+T1020</f>
        <v/>
      </c>
      <c r="J1020" s="30"/>
      <c r="K1020" s="22" t="str">
        <f>IF(I1020="","",IF(I1020="ENTRADA",ABS(J1020),-ABS(J1020)))</f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1417</v>
      </c>
      <c r="H1021" s="20" t="str">
        <f>+T1021</f>
        <v/>
      </c>
      <c r="J1021" s="30"/>
      <c r="K1021" s="22" t="str">
        <f>IF(I1021="","",IF(I1021="ENTRADA",ABS(J1021),-ABS(J1021)))</f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1418</v>
      </c>
      <c r="B1022" s="34"/>
      <c r="C1022" s="34"/>
      <c r="D1022" s="34"/>
      <c r="E1022" s="34"/>
      <c r="F1022" s="34"/>
      <c r="G1022" s="34"/>
      <c r="H1022" s="20" t="str">
        <f>+T1022</f>
        <v/>
      </c>
      <c r="I1022" s="34"/>
      <c r="J1022" s="36"/>
      <c r="K1022" s="22" t="str">
        <f>IF(I1022="","",IF(I1022="ENTRADA",ABS(J1022),-ABS(J1022)))</f>
        <v/>
      </c>
      <c r="L1022" s="34"/>
      <c r="M1022" s="34"/>
      <c r="N1022" s="34"/>
      <c r="O1022" s="34"/>
      <c r="P1022" s="34"/>
      <c r="Q1022" s="35"/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1419</v>
      </c>
      <c r="H1023" s="20" t="str">
        <f>+T1023</f>
        <v/>
      </c>
      <c r="J1023" s="30"/>
      <c r="K1023" s="22" t="str">
        <f>IF(I1023="","",IF(I1023="ENTRADA",ABS(J1023),-ABS(J1023)))</f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1420</v>
      </c>
      <c r="H1024" s="20" t="str">
        <f>+T1024</f>
        <v/>
      </c>
      <c r="J1024" s="30"/>
      <c r="K1024" s="22" t="str">
        <f>IF(I1024="","",IF(I1024="ENTRADA",ABS(J1024),-ABS(J1024)))</f>
        <v/>
      </c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1421</v>
      </c>
      <c r="H1025" s="20" t="str">
        <f>+T1025</f>
        <v/>
      </c>
      <c r="J1025" s="30"/>
      <c r="K1025" s="22" t="str">
        <f>IF(I1025="","",IF(I1025="ENTRADA",ABS(J1025),-ABS(J1025)))</f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1422</v>
      </c>
      <c r="H1026" s="20" t="str">
        <f>+T1026</f>
        <v/>
      </c>
      <c r="J1026" s="30"/>
      <c r="K1026" s="22" t="str">
        <f>IF(I1026="","",IF(I1026="ENTRADA",ABS(J1026),-ABS(J1026)))</f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1423</v>
      </c>
      <c r="H1027" s="20" t="str">
        <f>+T1027</f>
        <v/>
      </c>
      <c r="J1027" s="30"/>
      <c r="K1027" s="22" t="str">
        <f>IF(I1027="","",IF(I1027="ENTRADA",ABS(J1027),-ABS(J1027)))</f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1424</v>
      </c>
      <c r="H1028" s="20" t="str">
        <f>+T1028</f>
        <v/>
      </c>
      <c r="J1028" s="30"/>
      <c r="K1028" s="22" t="str">
        <f>IF(I1028="","",IF(I1028="ENTRADA",ABS(J1028),-ABS(J1028)))</f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1425</v>
      </c>
      <c r="H1029" s="20" t="str">
        <f>+T1029</f>
        <v/>
      </c>
      <c r="J1029" s="30"/>
      <c r="K1029" s="22" t="str">
        <f>IF(I1029="","",IF(I1029="ENTRADA",ABS(J1029),-ABS(J1029)))</f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1426</v>
      </c>
      <c r="H1030" s="20" t="str">
        <f>+T1030</f>
        <v/>
      </c>
      <c r="J1030" s="30"/>
      <c r="K1030" s="22" t="str">
        <f>IF(I1030="","",IF(I1030="ENTRADA",ABS(J1030),-ABS(J1030)))</f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1427</v>
      </c>
      <c r="H1031" s="20" t="str">
        <f>+T1031</f>
        <v/>
      </c>
      <c r="J1031" s="30"/>
      <c r="K1031" s="22" t="str">
        <f>IF(I1031="","",IF(I1031="ENTRADA",ABS(J1031),-ABS(J1031)))</f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1428</v>
      </c>
      <c r="H1032" s="20" t="str">
        <f>+T1032</f>
        <v/>
      </c>
      <c r="J1032" s="30"/>
      <c r="K1032" s="22" t="str">
        <f>IF(I1032="","",IF(I1032="ENTRADA",ABS(J1032),-ABS(J1032)))</f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1429</v>
      </c>
      <c r="B1033" s="34"/>
      <c r="C1033" s="34"/>
      <c r="D1033" s="34"/>
      <c r="E1033" s="34"/>
      <c r="F1033" s="34"/>
      <c r="G1033" s="34"/>
      <c r="H1033" s="20" t="str">
        <f>+T1033</f>
        <v/>
      </c>
      <c r="I1033" s="34"/>
      <c r="J1033" s="36"/>
      <c r="K1033" s="22" t="str">
        <f>IF(I1033="","",IF(I1033="ENTRADA",ABS(J1033),-ABS(J1033)))</f>
        <v/>
      </c>
      <c r="L1033" s="34"/>
      <c r="M1033" s="34"/>
      <c r="N1033" s="34"/>
      <c r="O1033" s="34"/>
      <c r="P1033" s="34"/>
      <c r="Q1033" s="35"/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1430</v>
      </c>
      <c r="H1034" s="20" t="str">
        <f>+T1034</f>
        <v/>
      </c>
      <c r="J1034" s="30"/>
      <c r="K1034" s="22" t="str">
        <f>IF(I1034="","",IF(I1034="ENTRADA",ABS(J1034),-ABS(J1034)))</f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1431</v>
      </c>
      <c r="H1035" s="20" t="str">
        <f>+T1035</f>
        <v/>
      </c>
      <c r="J1035" s="30"/>
      <c r="K1035" s="22" t="str">
        <f>IF(I1035="","",IF(I1035="ENTRADA",ABS(J1035),-ABS(J1035)))</f>
        <v/>
      </c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1432</v>
      </c>
      <c r="H1036" s="20" t="str">
        <f>+T1036</f>
        <v/>
      </c>
      <c r="J1036" s="30"/>
      <c r="K1036" s="22" t="str">
        <f>IF(I1036="","",IF(I1036="ENTRADA",ABS(J1036),-ABS(J1036)))</f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1433</v>
      </c>
      <c r="H1037" s="20" t="str">
        <f>+T1037</f>
        <v/>
      </c>
      <c r="J1037" s="30"/>
      <c r="K1037" s="22" t="str">
        <f>IF(I1037="","",IF(I1037="ENTRADA",ABS(J1037),-ABS(J1037)))</f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1434</v>
      </c>
      <c r="H1038" s="20" t="str">
        <f>+T1038</f>
        <v/>
      </c>
      <c r="J1038" s="30"/>
      <c r="K1038" s="22" t="str">
        <f>IF(I1038="","",IF(I1038="ENTRADA",ABS(J1038),-ABS(J1038)))</f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1435</v>
      </c>
      <c r="H1039" s="20" t="str">
        <f>+T1039</f>
        <v/>
      </c>
      <c r="J1039" s="30"/>
      <c r="K1039" s="22" t="str">
        <f>IF(I1039="","",IF(I1039="ENTRADA",ABS(J1039),-ABS(J1039)))</f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1436</v>
      </c>
      <c r="H1040" s="20" t="str">
        <f>+T1040</f>
        <v/>
      </c>
      <c r="J1040" s="30"/>
      <c r="K1040" s="22" t="str">
        <f>IF(I1040="","",IF(I1040="ENTRADA",ABS(J1040),-ABS(J1040)))</f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1437</v>
      </c>
      <c r="H1041" s="20" t="str">
        <f>+T1041</f>
        <v/>
      </c>
      <c r="J1041" s="30"/>
      <c r="K1041" s="22" t="str">
        <f>IF(I1041="","",IF(I1041="ENTRADA",ABS(J1041),-ABS(J1041)))</f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1438</v>
      </c>
      <c r="H1042" s="20" t="str">
        <f>+T1042</f>
        <v/>
      </c>
      <c r="J1042" s="30"/>
      <c r="K1042" s="22" t="str">
        <f>IF(I1042="","",IF(I1042="ENTRADA",ABS(J1042),-ABS(J1042)))</f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1439</v>
      </c>
      <c r="H1043" s="20" t="str">
        <f>+T1043</f>
        <v/>
      </c>
      <c r="J1043" s="30"/>
      <c r="K1043" s="22" t="str">
        <f>IF(I1043="","",IF(I1043="ENTRADA",ABS(J1043),-ABS(J1043)))</f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1440</v>
      </c>
      <c r="B1044" s="34"/>
      <c r="C1044" s="34"/>
      <c r="D1044" s="34"/>
      <c r="E1044" s="34"/>
      <c r="F1044" s="34"/>
      <c r="G1044" s="34"/>
      <c r="H1044" s="20" t="str">
        <f>+T1044</f>
        <v/>
      </c>
      <c r="I1044" s="34"/>
      <c r="J1044" s="36"/>
      <c r="K1044" s="22" t="str">
        <f>IF(I1044="","",IF(I1044="ENTRADA",ABS(J1044),-ABS(J1044)))</f>
        <v/>
      </c>
      <c r="L1044" s="34"/>
      <c r="M1044" s="34"/>
      <c r="N1044" s="34"/>
      <c r="O1044" s="34"/>
      <c r="P1044" s="34"/>
      <c r="Q1044" s="35"/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1441</v>
      </c>
      <c r="H1045" s="20" t="str">
        <f>+T1045</f>
        <v/>
      </c>
      <c r="J1045" s="30"/>
      <c r="K1045" s="22" t="str">
        <f>IF(I1045="","",IF(I1045="ENTRADA",ABS(J1045),-ABS(J1045)))</f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1442</v>
      </c>
      <c r="H1046" s="20" t="str">
        <f>+T1046</f>
        <v/>
      </c>
      <c r="J1046" s="30"/>
      <c r="K1046" s="22" t="str">
        <f>IF(I1046="","",IF(I1046="ENTRADA",ABS(J1046),-ABS(J1046)))</f>
        <v/>
      </c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1443</v>
      </c>
      <c r="H1047" s="20" t="str">
        <f>+T1047</f>
        <v/>
      </c>
      <c r="J1047" s="30"/>
      <c r="K1047" s="22" t="str">
        <f>IF(I1047="","",IF(I1047="ENTRADA",ABS(J1047),-ABS(J1047)))</f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1444</v>
      </c>
      <c r="H1048" s="20" t="str">
        <f>+T1048</f>
        <v/>
      </c>
      <c r="J1048" s="30"/>
      <c r="K1048" s="22" t="str">
        <f>IF(I1048="","",IF(I1048="ENTRADA",ABS(J1048),-ABS(J1048)))</f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1445</v>
      </c>
      <c r="H1049" s="20" t="str">
        <f>+T1049</f>
        <v/>
      </c>
      <c r="J1049" s="30"/>
      <c r="K1049" s="22" t="str">
        <f>IF(I1049="","",IF(I1049="ENTRADA",ABS(J1049),-ABS(J1049)))</f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1446</v>
      </c>
      <c r="H1050" s="20" t="str">
        <f>+T1050</f>
        <v/>
      </c>
      <c r="J1050" s="30"/>
      <c r="K1050" s="22" t="str">
        <f>IF(I1050="","",IF(I1050="ENTRADA",ABS(J1050),-ABS(J1050)))</f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1447</v>
      </c>
      <c r="H1051" s="20" t="str">
        <f>+T1051</f>
        <v/>
      </c>
      <c r="J1051" s="30"/>
      <c r="K1051" s="22" t="str">
        <f>IF(I1051="","",IF(I1051="ENTRADA",ABS(J1051),-ABS(J1051)))</f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1448</v>
      </c>
      <c r="H1052" s="20" t="str">
        <f>+T1052</f>
        <v/>
      </c>
      <c r="J1052" s="30"/>
      <c r="K1052" s="22" t="str">
        <f>IF(I1052="","",IF(I1052="ENTRADA",ABS(J1052),-ABS(J1052)))</f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1449</v>
      </c>
      <c r="H1053" s="20" t="str">
        <f>+T1053</f>
        <v/>
      </c>
      <c r="J1053" s="30"/>
      <c r="K1053" s="22" t="str">
        <f>IF(I1053="","",IF(I1053="ENTRADA",ABS(J1053),-ABS(J1053)))</f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1450</v>
      </c>
      <c r="H1054" s="20" t="str">
        <f>+T1054</f>
        <v/>
      </c>
      <c r="J1054" s="30"/>
      <c r="K1054" s="22" t="str">
        <f>IF(I1054="","",IF(I1054="ENTRADA",ABS(J1054),-ABS(J1054)))</f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1451</v>
      </c>
      <c r="B1055" s="34"/>
      <c r="C1055" s="34"/>
      <c r="D1055" s="34"/>
      <c r="E1055" s="34"/>
      <c r="F1055" s="34"/>
      <c r="G1055" s="34"/>
      <c r="H1055" s="20" t="str">
        <f>+T1055</f>
        <v/>
      </c>
      <c r="I1055" s="34"/>
      <c r="J1055" s="36"/>
      <c r="K1055" s="22" t="str">
        <f>IF(I1055="","",IF(I1055="ENTRADA",ABS(J1055),-ABS(J1055)))</f>
        <v/>
      </c>
      <c r="L1055" s="34"/>
      <c r="M1055" s="34"/>
      <c r="N1055" s="34"/>
      <c r="O1055" s="34"/>
      <c r="P1055" s="34"/>
      <c r="Q1055" s="35"/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1452</v>
      </c>
      <c r="H1056" s="20" t="str">
        <f>+T1056</f>
        <v/>
      </c>
      <c r="J1056" s="30"/>
      <c r="K1056" s="22" t="str">
        <f>IF(I1056="","",IF(I1056="ENTRADA",ABS(J1056),-ABS(J1056)))</f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1453</v>
      </c>
      <c r="H1057" s="20" t="str">
        <f>+T1057</f>
        <v/>
      </c>
      <c r="J1057" s="30"/>
      <c r="K1057" s="22" t="str">
        <f>IF(I1057="","",IF(I1057="ENTRADA",ABS(J1057),-ABS(J1057)))</f>
        <v/>
      </c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1454</v>
      </c>
      <c r="H1058" s="20" t="str">
        <f>+T1058</f>
        <v/>
      </c>
      <c r="J1058" s="30"/>
      <c r="K1058" s="22" t="str">
        <f>IF(I1058="","",IF(I1058="ENTRADA",ABS(J1058),-ABS(J1058)))</f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1455</v>
      </c>
      <c r="H1059" s="20" t="str">
        <f>+T1059</f>
        <v/>
      </c>
      <c r="J1059" s="30"/>
      <c r="K1059" s="22" t="str">
        <f>IF(I1059="","",IF(I1059="ENTRADA",ABS(J1059),-ABS(J1059)))</f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1456</v>
      </c>
      <c r="H1060" s="20" t="str">
        <f>+T1060</f>
        <v/>
      </c>
      <c r="J1060" s="30"/>
      <c r="K1060" s="22" t="str">
        <f>IF(I1060="","",IF(I1060="ENTRADA",ABS(J1060),-ABS(J1060)))</f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1457</v>
      </c>
      <c r="H1061" s="20" t="str">
        <f>+T1061</f>
        <v/>
      </c>
      <c r="J1061" s="30"/>
      <c r="K1061" s="22" t="str">
        <f>IF(I1061="","",IF(I1061="ENTRADA",ABS(J1061),-ABS(J1061)))</f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1458</v>
      </c>
      <c r="H1062" s="20" t="str">
        <f>+T1062</f>
        <v/>
      </c>
      <c r="J1062" s="30"/>
      <c r="K1062" s="22" t="str">
        <f>IF(I1062="","",IF(I1062="ENTRADA",ABS(J1062),-ABS(J1062)))</f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1459</v>
      </c>
      <c r="H1063" s="20" t="str">
        <f>+T1063</f>
        <v/>
      </c>
      <c r="J1063" s="30"/>
      <c r="K1063" s="22" t="str">
        <f>IF(I1063="","",IF(I1063="ENTRADA",ABS(J1063),-ABS(J1063)))</f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1460</v>
      </c>
      <c r="H1064" s="20" t="str">
        <f>+T1064</f>
        <v/>
      </c>
      <c r="J1064" s="30"/>
      <c r="K1064" s="22" t="str">
        <f>IF(I1064="","",IF(I1064="ENTRADA",ABS(J1064),-ABS(J1064)))</f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1461</v>
      </c>
      <c r="H1065" s="20" t="str">
        <f>+T1065</f>
        <v/>
      </c>
      <c r="J1065" s="30"/>
      <c r="K1065" s="22" t="str">
        <f>IF(I1065="","",IF(I1065="ENTRADA",ABS(J1065),-ABS(J1065)))</f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1462</v>
      </c>
      <c r="B1066" s="34"/>
      <c r="C1066" s="34"/>
      <c r="D1066" s="34"/>
      <c r="E1066" s="34"/>
      <c r="F1066" s="34"/>
      <c r="G1066" s="34"/>
      <c r="H1066" s="20" t="str">
        <f>+T1066</f>
        <v/>
      </c>
      <c r="I1066" s="34"/>
      <c r="J1066" s="36"/>
      <c r="K1066" s="22" t="str">
        <f>IF(I1066="","",IF(I1066="ENTRADA",ABS(J1066),-ABS(J1066)))</f>
        <v/>
      </c>
      <c r="L1066" s="34"/>
      <c r="M1066" s="34"/>
      <c r="N1066" s="34"/>
      <c r="O1066" s="34"/>
      <c r="P1066" s="34"/>
      <c r="Q1066" s="35"/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1463</v>
      </c>
      <c r="H1067" s="20" t="str">
        <f>+T1067</f>
        <v/>
      </c>
      <c r="J1067" s="30"/>
      <c r="K1067" s="22" t="str">
        <f>IF(I1067="","",IF(I1067="ENTRADA",ABS(J1067),-ABS(J1067)))</f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1464</v>
      </c>
      <c r="H1068" s="20" t="str">
        <f>+T1068</f>
        <v/>
      </c>
      <c r="J1068" s="30"/>
      <c r="K1068" s="22" t="str">
        <f>IF(I1068="","",IF(I1068="ENTRADA",ABS(J1068),-ABS(J1068)))</f>
        <v/>
      </c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1465</v>
      </c>
      <c r="H1069" s="20" t="str">
        <f>+T1069</f>
        <v/>
      </c>
      <c r="J1069" s="30"/>
      <c r="K1069" s="22" t="str">
        <f>IF(I1069="","",IF(I1069="ENTRADA",ABS(J1069),-ABS(J1069)))</f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1466</v>
      </c>
      <c r="H1070" s="20" t="str">
        <f>+T1070</f>
        <v/>
      </c>
      <c r="J1070" s="30"/>
      <c r="K1070" s="22" t="str">
        <f>IF(I1070="","",IF(I1070="ENTRADA",ABS(J1070),-ABS(J1070)))</f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1467</v>
      </c>
      <c r="H1071" s="20" t="str">
        <f>+T1071</f>
        <v/>
      </c>
      <c r="J1071" s="30"/>
      <c r="K1071" s="22" t="str">
        <f>IF(I1071="","",IF(I1071="ENTRADA",ABS(J1071),-ABS(J1071)))</f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1468</v>
      </c>
      <c r="H1072" s="20" t="str">
        <f>+T1072</f>
        <v/>
      </c>
      <c r="J1072" s="30"/>
      <c r="K1072" s="22" t="str">
        <f>IF(I1072="","",IF(I1072="ENTRADA",ABS(J1072),-ABS(J1072)))</f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1469</v>
      </c>
      <c r="H1073" s="20" t="str">
        <f>+T1073</f>
        <v/>
      </c>
      <c r="J1073" s="30"/>
      <c r="K1073" s="22" t="str">
        <f>IF(I1073="","",IF(I1073="ENTRADA",ABS(J1073),-ABS(J1073)))</f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1470</v>
      </c>
      <c r="H1074" s="20" t="str">
        <f>+T1074</f>
        <v/>
      </c>
      <c r="J1074" s="30"/>
      <c r="K1074" s="22" t="str">
        <f>IF(I1074="","",IF(I1074="ENTRADA",ABS(J1074),-ABS(J1074)))</f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1471</v>
      </c>
      <c r="H1075" s="20" t="str">
        <f>+T1075</f>
        <v/>
      </c>
      <c r="J1075" s="30"/>
      <c r="K1075" s="22" t="str">
        <f>IF(I1075="","",IF(I1075="ENTRADA",ABS(J1075),-ABS(J1075)))</f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1472</v>
      </c>
      <c r="H1076" s="20" t="str">
        <f>+T1076</f>
        <v/>
      </c>
      <c r="J1076" s="30"/>
      <c r="K1076" s="22" t="str">
        <f>IF(I1076="","",IF(I1076="ENTRADA",ABS(J1076),-ABS(J1076)))</f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1473</v>
      </c>
      <c r="B1077" s="34"/>
      <c r="C1077" s="34"/>
      <c r="D1077" s="34"/>
      <c r="E1077" s="34"/>
      <c r="F1077" s="34"/>
      <c r="G1077" s="34"/>
      <c r="H1077" s="20" t="str">
        <f>+T1077</f>
        <v/>
      </c>
      <c r="I1077" s="34"/>
      <c r="J1077" s="36"/>
      <c r="K1077" s="22" t="str">
        <f>IF(I1077="","",IF(I1077="ENTRADA",ABS(J1077),-ABS(J1077)))</f>
        <v/>
      </c>
      <c r="L1077" s="34"/>
      <c r="M1077" s="34"/>
      <c r="N1077" s="34"/>
      <c r="O1077" s="34"/>
      <c r="P1077" s="34"/>
      <c r="Q1077" s="35"/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1474</v>
      </c>
      <c r="H1078" s="20" t="str">
        <f>+T1078</f>
        <v/>
      </c>
      <c r="J1078" s="30"/>
      <c r="K1078" s="22" t="str">
        <f>IF(I1078="","",IF(I1078="ENTRADA",ABS(J1078),-ABS(J1078)))</f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1475</v>
      </c>
      <c r="H1079" s="20" t="str">
        <f>+T1079</f>
        <v/>
      </c>
      <c r="J1079" s="30"/>
      <c r="K1079" s="22" t="str">
        <f>IF(I1079="","",IF(I1079="ENTRADA",ABS(J1079),-ABS(J1079)))</f>
        <v/>
      </c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1476</v>
      </c>
      <c r="H1080" s="20" t="str">
        <f>+T1080</f>
        <v/>
      </c>
      <c r="J1080" s="30"/>
      <c r="K1080" s="22" t="str">
        <f>IF(I1080="","",IF(I1080="ENTRADA",ABS(J1080),-ABS(J1080)))</f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1477</v>
      </c>
      <c r="H1081" s="20" t="str">
        <f>+T1081</f>
        <v/>
      </c>
      <c r="J1081" s="30"/>
      <c r="K1081" s="22" t="str">
        <f>IF(I1081="","",IF(I1081="ENTRADA",ABS(J1081),-ABS(J1081)))</f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1478</v>
      </c>
      <c r="H1082" s="20" t="str">
        <f>+T1082</f>
        <v/>
      </c>
      <c r="J1082" s="30"/>
      <c r="K1082" s="22" t="str">
        <f>IF(I1082="","",IF(I1082="ENTRADA",ABS(J1082),-ABS(J1082)))</f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1479</v>
      </c>
      <c r="H1083" s="20" t="str">
        <f>+T1083</f>
        <v/>
      </c>
      <c r="J1083" s="30"/>
      <c r="K1083" s="22" t="str">
        <f>IF(I1083="","",IF(I1083="ENTRADA",ABS(J1083),-ABS(J1083)))</f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1480</v>
      </c>
      <c r="H1084" s="20" t="str">
        <f>+T1084</f>
        <v/>
      </c>
      <c r="J1084" s="30"/>
      <c r="K1084" s="22" t="str">
        <f>IF(I1084="","",IF(I1084="ENTRADA",ABS(J1084),-ABS(J1084)))</f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1481</v>
      </c>
      <c r="H1085" s="20" t="str">
        <f>+T1085</f>
        <v/>
      </c>
      <c r="J1085" s="30"/>
      <c r="K1085" s="22" t="str">
        <f>IF(I1085="","",IF(I1085="ENTRADA",ABS(J1085),-ABS(J1085)))</f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1482</v>
      </c>
      <c r="H1086" s="20" t="str">
        <f>+T1086</f>
        <v/>
      </c>
      <c r="J1086" s="30"/>
      <c r="K1086" s="22" t="str">
        <f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1483</v>
      </c>
      <c r="H1087" s="20" t="str">
        <f>+T1087</f>
        <v/>
      </c>
      <c r="J1087" s="30"/>
      <c r="K1087" s="22" t="str">
        <f>IF(I1087="","",IF(I1087="ENTRADA",ABS(J1087),-ABS(J1087)))</f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1484</v>
      </c>
      <c r="B1088" s="34"/>
      <c r="C1088" s="34"/>
      <c r="D1088" s="34"/>
      <c r="E1088" s="34"/>
      <c r="F1088" s="34"/>
      <c r="G1088" s="34"/>
      <c r="H1088" s="20" t="str">
        <f>+T1088</f>
        <v/>
      </c>
      <c r="I1088" s="34"/>
      <c r="J1088" s="36"/>
      <c r="K1088" s="22" t="str">
        <f>IF(I1088="","",IF(I1088="ENTRADA",ABS(J1088),-ABS(J1088)))</f>
        <v/>
      </c>
      <c r="L1088" s="34"/>
      <c r="M1088" s="34"/>
      <c r="N1088" s="34"/>
      <c r="O1088" s="34"/>
      <c r="P1088" s="34"/>
      <c r="Q1088" s="35"/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1485</v>
      </c>
      <c r="H1089" s="20" t="str">
        <f>+T1089</f>
        <v/>
      </c>
      <c r="J1089" s="30"/>
      <c r="K1089" s="22" t="str">
        <f>IF(I1089="","",IF(I1089="ENTRADA",ABS(J1089),-ABS(J1089)))</f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1486</v>
      </c>
      <c r="H1090" s="20" t="str">
        <f>+T1090</f>
        <v/>
      </c>
      <c r="J1090" s="30"/>
      <c r="K1090" s="22" t="str">
        <f>IF(I1090="","",IF(I1090="ENTRADA",ABS(J1090),-ABS(J1090)))</f>
        <v/>
      </c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1487</v>
      </c>
      <c r="H1091" s="20" t="str">
        <f>+T1091</f>
        <v/>
      </c>
      <c r="J1091" s="30"/>
      <c r="K1091" s="22" t="str">
        <f>IF(I1091="","",IF(I1091="ENTRADA",ABS(J1091),-ABS(J1091)))</f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1488</v>
      </c>
      <c r="H1092" s="20" t="str">
        <f>+T1092</f>
        <v/>
      </c>
      <c r="J1092" s="30"/>
      <c r="K1092" s="22" t="str">
        <f>IF(I1092="","",IF(I1092="ENTRADA",ABS(J1092),-ABS(J1092)))</f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1489</v>
      </c>
      <c r="H1093" s="20" t="str">
        <f>+T1093</f>
        <v/>
      </c>
      <c r="J1093" s="30"/>
      <c r="K1093" s="22" t="str">
        <f>IF(I1093="","",IF(I1093="ENTRADA",ABS(J1093),-ABS(J1093)))</f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1490</v>
      </c>
      <c r="H1094" s="20" t="str">
        <f>+T1094</f>
        <v/>
      </c>
      <c r="J1094" s="30"/>
      <c r="K1094" s="22" t="str">
        <f>IF(I1094="","",IF(I1094="ENTRADA",ABS(J1094),-ABS(J1094)))</f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1491</v>
      </c>
      <c r="H1095" s="20" t="str">
        <f>+T1095</f>
        <v/>
      </c>
      <c r="J1095" s="30"/>
      <c r="K1095" s="22" t="str">
        <f>IF(I1095="","",IF(I1095="ENTRADA",ABS(J1095),-ABS(J1095)))</f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1492</v>
      </c>
      <c r="H1096" s="20" t="str">
        <f>+T1096</f>
        <v/>
      </c>
      <c r="J1096" s="30"/>
      <c r="K1096" s="22" t="str">
        <f>IF(I1096="","",IF(I1096="ENTRADA",ABS(J1096),-ABS(J1096)))</f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1493</v>
      </c>
      <c r="H1097" s="20" t="str">
        <f>+T1097</f>
        <v/>
      </c>
      <c r="J1097" s="30"/>
      <c r="K1097" s="22" t="str">
        <f>IF(I1097="","",IF(I1097="ENTRADA",ABS(J1097),-ABS(J1097)))</f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1494</v>
      </c>
      <c r="H1098" s="20" t="str">
        <f>+T1098</f>
        <v/>
      </c>
      <c r="J1098" s="30"/>
      <c r="K1098" s="22" t="str">
        <f>IF(I1098="","",IF(I1098="ENTRADA",ABS(J1098),-ABS(J1098)))</f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1495</v>
      </c>
      <c r="B1099" s="34"/>
      <c r="C1099" s="34"/>
      <c r="D1099" s="34"/>
      <c r="E1099" s="34"/>
      <c r="F1099" s="34"/>
      <c r="G1099" s="34"/>
      <c r="H1099" s="20" t="str">
        <f>+T1099</f>
        <v/>
      </c>
      <c r="I1099" s="34"/>
      <c r="J1099" s="36"/>
      <c r="K1099" s="22" t="str">
        <f>IF(I1099="","",IF(I1099="ENTRADA",ABS(J1099),-ABS(J1099)))</f>
        <v/>
      </c>
      <c r="L1099" s="34"/>
      <c r="M1099" s="34"/>
      <c r="N1099" s="34"/>
      <c r="O1099" s="34"/>
      <c r="P1099" s="34"/>
      <c r="Q1099" s="35"/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1496</v>
      </c>
      <c r="H1100" s="20" t="str">
        <f>+T1100</f>
        <v/>
      </c>
      <c r="J1100" s="30"/>
      <c r="K1100" s="22" t="str">
        <f>IF(I1100="","",IF(I1100="ENTRADA",ABS(J1100),-ABS(J1100)))</f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1497</v>
      </c>
      <c r="H1101" s="20" t="str">
        <f>+T1101</f>
        <v/>
      </c>
      <c r="J1101" s="30"/>
      <c r="K1101" s="22" t="str">
        <f>IF(I1101="","",IF(I1101="ENTRADA",ABS(J1101),-ABS(J1101)))</f>
        <v/>
      </c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1498</v>
      </c>
      <c r="H1102" s="20" t="str">
        <f>+T1102</f>
        <v/>
      </c>
      <c r="J1102" s="30"/>
      <c r="K1102" s="22" t="str">
        <f>IF(I1102="","",IF(I1102="ENTRADA",ABS(J1102),-ABS(J1102)))</f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1499</v>
      </c>
      <c r="H1103" s="20" t="str">
        <f>+T1103</f>
        <v/>
      </c>
      <c r="J1103" s="30"/>
      <c r="K1103" s="22" t="str">
        <f>IF(I1103="","",IF(I1103="ENTRADA",ABS(J1103),-ABS(J1103)))</f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1500</v>
      </c>
      <c r="H1104" s="20" t="str">
        <f>+T1104</f>
        <v/>
      </c>
      <c r="J1104" s="30"/>
      <c r="K1104" s="22" t="str">
        <f>IF(I1104="","",IF(I1104="ENTRADA",ABS(J1104),-ABS(J1104)))</f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1501</v>
      </c>
      <c r="H1105" s="20" t="str">
        <f>+T1105</f>
        <v/>
      </c>
      <c r="J1105" s="30"/>
      <c r="K1105" s="22" t="str">
        <f>IF(I1105="","",IF(I1105="ENTRADA",ABS(J1105),-ABS(J1105)))</f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1502</v>
      </c>
      <c r="H1106" s="20" t="str">
        <f>+T1106</f>
        <v/>
      </c>
      <c r="J1106" s="30"/>
      <c r="K1106" s="22" t="str">
        <f>IF(I1106="","",IF(I1106="ENTRADA",ABS(J1106),-ABS(J1106)))</f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1503</v>
      </c>
      <c r="H1107" s="20" t="str">
        <f>+T1107</f>
        <v/>
      </c>
      <c r="J1107" s="30"/>
      <c r="K1107" s="22" t="str">
        <f>IF(I1107="","",IF(I1107="ENTRADA",ABS(J1107),-ABS(J1107)))</f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1504</v>
      </c>
      <c r="H1108" s="20" t="str">
        <f>+T1108</f>
        <v/>
      </c>
      <c r="J1108" s="30"/>
      <c r="K1108" s="22" t="str">
        <f>IF(I1108="","",IF(I1108="ENTRADA",ABS(J1108),-ABS(J1108)))</f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1505</v>
      </c>
      <c r="H1109" s="20" t="str">
        <f>+T1109</f>
        <v/>
      </c>
      <c r="J1109" s="30"/>
      <c r="K1109" s="22" t="str">
        <f>IF(I1109="","",IF(I1109="ENTRADA",ABS(J1109),-ABS(J1109)))</f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1506</v>
      </c>
      <c r="B1110" s="34"/>
      <c r="C1110" s="34"/>
      <c r="D1110" s="34"/>
      <c r="E1110" s="34"/>
      <c r="F1110" s="34"/>
      <c r="G1110" s="34"/>
      <c r="H1110" s="20" t="str">
        <f>+T1110</f>
        <v/>
      </c>
      <c r="I1110" s="34"/>
      <c r="J1110" s="36"/>
      <c r="K1110" s="22" t="str">
        <f>IF(I1110="","",IF(I1110="ENTRADA",ABS(J1110),-ABS(J1110)))</f>
        <v/>
      </c>
      <c r="L1110" s="34"/>
      <c r="M1110" s="34"/>
      <c r="N1110" s="34"/>
      <c r="O1110" s="34"/>
      <c r="P1110" s="34"/>
      <c r="Q1110" s="35"/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1507</v>
      </c>
      <c r="H1111" s="20" t="str">
        <f>+T1111</f>
        <v/>
      </c>
      <c r="J1111" s="30"/>
      <c r="K1111" s="22" t="str">
        <f>IF(I1111="","",IF(I1111="ENTRADA",ABS(J1111),-ABS(J1111)))</f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1508</v>
      </c>
      <c r="H1112" s="20" t="str">
        <f>+T1112</f>
        <v/>
      </c>
      <c r="J1112" s="30"/>
      <c r="K1112" s="22" t="str">
        <f>IF(I1112="","",IF(I1112="ENTRADA",ABS(J1112),-ABS(J1112)))</f>
        <v/>
      </c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1509</v>
      </c>
      <c r="H1113" s="20" t="str">
        <f>+T1113</f>
        <v/>
      </c>
      <c r="J1113" s="30"/>
      <c r="K1113" s="22" t="str">
        <f>IF(I1113="","",IF(I1113="ENTRADA",ABS(J1113),-ABS(J1113)))</f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1510</v>
      </c>
      <c r="H1114" s="20" t="str">
        <f>+T1114</f>
        <v/>
      </c>
      <c r="J1114" s="30"/>
      <c r="K1114" s="22" t="str">
        <f>IF(I1114="","",IF(I1114="ENTRADA",ABS(J1114),-ABS(J1114)))</f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1511</v>
      </c>
      <c r="H1115" s="20" t="str">
        <f>+T1115</f>
        <v/>
      </c>
      <c r="J1115" s="30"/>
      <c r="K1115" s="22" t="str">
        <f>IF(I1115="","",IF(I1115="ENTRADA",ABS(J1115),-ABS(J1115)))</f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1512</v>
      </c>
      <c r="H1116" s="20" t="str">
        <f>+T1116</f>
        <v/>
      </c>
      <c r="J1116" s="30"/>
      <c r="K1116" s="22" t="str">
        <f>IF(I1116="","",IF(I1116="ENTRADA",ABS(J1116),-ABS(J1116)))</f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1513</v>
      </c>
      <c r="H1117" s="20" t="str">
        <f>+T1117</f>
        <v/>
      </c>
      <c r="J1117" s="30"/>
      <c r="K1117" s="22" t="str">
        <f>IF(I1117="","",IF(I1117="ENTRADA",ABS(J1117),-ABS(J1117)))</f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1514</v>
      </c>
      <c r="H1118" s="20" t="str">
        <f>+T1118</f>
        <v/>
      </c>
      <c r="J1118" s="30"/>
      <c r="K1118" s="22" t="str">
        <f>IF(I1118="","",IF(I1118="ENTRADA",ABS(J1118),-ABS(J1118)))</f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1515</v>
      </c>
      <c r="H1119" s="20" t="str">
        <f>+T1119</f>
        <v/>
      </c>
      <c r="J1119" s="30"/>
      <c r="K1119" s="22" t="str">
        <f>IF(I1119="","",IF(I1119="ENTRADA",ABS(J1119),-ABS(J1119)))</f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1516</v>
      </c>
      <c r="H1120" s="20" t="str">
        <f>+T1120</f>
        <v/>
      </c>
      <c r="J1120" s="30"/>
      <c r="K1120" s="22" t="str">
        <f>IF(I1120="","",IF(I1120="ENTRADA",ABS(J1120),-ABS(J1120)))</f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1517</v>
      </c>
      <c r="B1121" s="34"/>
      <c r="C1121" s="34"/>
      <c r="D1121" s="34"/>
      <c r="E1121" s="34"/>
      <c r="F1121" s="34"/>
      <c r="G1121" s="34"/>
      <c r="H1121" s="20" t="str">
        <f>+T1121</f>
        <v/>
      </c>
      <c r="I1121" s="34"/>
      <c r="J1121" s="36"/>
      <c r="K1121" s="22" t="str">
        <f>IF(I1121="","",IF(I1121="ENTRADA",ABS(J1121),-ABS(J1121)))</f>
        <v/>
      </c>
      <c r="L1121" s="34"/>
      <c r="M1121" s="34"/>
      <c r="N1121" s="34"/>
      <c r="O1121" s="34"/>
      <c r="P1121" s="34"/>
      <c r="Q1121" s="35"/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1518</v>
      </c>
      <c r="H1122" s="20" t="str">
        <f>+T1122</f>
        <v/>
      </c>
      <c r="J1122" s="30"/>
      <c r="K1122" s="22" t="str">
        <f>IF(I1122="","",IF(I1122="ENTRADA",ABS(J1122),-ABS(J1122)))</f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1519</v>
      </c>
      <c r="H1123" s="20" t="str">
        <f>+T1123</f>
        <v/>
      </c>
      <c r="J1123" s="30"/>
      <c r="K1123" s="22" t="str">
        <f>IF(I1123="","",IF(I1123="ENTRADA",ABS(J1123),-ABS(J1123)))</f>
        <v/>
      </c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1520</v>
      </c>
      <c r="H1124" s="20" t="str">
        <f>+T1124</f>
        <v/>
      </c>
      <c r="J1124" s="30"/>
      <c r="K1124" s="22" t="str">
        <f>IF(I1124="","",IF(I1124="ENTRADA",ABS(J1124),-ABS(J1124)))</f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1521</v>
      </c>
      <c r="H1125" s="20" t="str">
        <f>+T1125</f>
        <v/>
      </c>
      <c r="J1125" s="30"/>
      <c r="K1125" s="22" t="str">
        <f>IF(I1125="","",IF(I1125="ENTRADA",ABS(J1125),-ABS(J1125)))</f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1522</v>
      </c>
      <c r="H1126" s="20" t="str">
        <f>+T1126</f>
        <v/>
      </c>
      <c r="J1126" s="30"/>
      <c r="K1126" s="22" t="str">
        <f>IF(I1126="","",IF(I1126="ENTRADA",ABS(J1126),-ABS(J1126)))</f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1523</v>
      </c>
      <c r="H1127" s="20" t="str">
        <f>+T1127</f>
        <v/>
      </c>
      <c r="J1127" s="30"/>
      <c r="K1127" s="22" t="str">
        <f>IF(I1127="","",IF(I1127="ENTRADA",ABS(J1127),-ABS(J1127)))</f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1524</v>
      </c>
      <c r="H1128" s="20" t="str">
        <f>+T1128</f>
        <v/>
      </c>
      <c r="J1128" s="30"/>
      <c r="K1128" s="22" t="str">
        <f>IF(I1128="","",IF(I1128="ENTRADA",ABS(J1128),-ABS(J1128)))</f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1525</v>
      </c>
      <c r="H1129" s="20" t="str">
        <f>+T1129</f>
        <v/>
      </c>
      <c r="J1129" s="30"/>
      <c r="K1129" s="22" t="str">
        <f>IF(I1129="","",IF(I1129="ENTRADA",ABS(J1129),-ABS(J1129)))</f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1526</v>
      </c>
      <c r="H1130" s="20" t="str">
        <f>+T1130</f>
        <v/>
      </c>
      <c r="J1130" s="30"/>
      <c r="K1130" s="22" t="str">
        <f>IF(I1130="","",IF(I1130="ENTRADA",ABS(J1130),-ABS(J1130)))</f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1527</v>
      </c>
      <c r="H1131" s="20" t="str">
        <f>+T1131</f>
        <v/>
      </c>
      <c r="J1131" s="30"/>
      <c r="K1131" s="22" t="str">
        <f>IF(I1131="","",IF(I1131="ENTRADA",ABS(J1131),-ABS(J1131)))</f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1528</v>
      </c>
      <c r="B1132" s="34"/>
      <c r="C1132" s="34"/>
      <c r="D1132" s="34"/>
      <c r="E1132" s="34"/>
      <c r="F1132" s="34"/>
      <c r="G1132" s="34"/>
      <c r="H1132" s="20" t="str">
        <f>+T1132</f>
        <v/>
      </c>
      <c r="I1132" s="34"/>
      <c r="J1132" s="36"/>
      <c r="K1132" s="22" t="str">
        <f>IF(I1132="","",IF(I1132="ENTRADA",ABS(J1132),-ABS(J1132)))</f>
        <v/>
      </c>
      <c r="L1132" s="34"/>
      <c r="M1132" s="34"/>
      <c r="N1132" s="34"/>
      <c r="O1132" s="34"/>
      <c r="P1132" s="34"/>
      <c r="Q1132" s="35"/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1529</v>
      </c>
      <c r="H1133" s="20" t="str">
        <f>+T1133</f>
        <v/>
      </c>
      <c r="J1133" s="30"/>
      <c r="K1133" s="22" t="str">
        <f>IF(I1133="","",IF(I1133="ENTRADA",ABS(J1133),-ABS(J1133)))</f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1530</v>
      </c>
      <c r="H1134" s="20" t="str">
        <f>+T1134</f>
        <v/>
      </c>
      <c r="J1134" s="30"/>
      <c r="K1134" s="22" t="str">
        <f>IF(I1134="","",IF(I1134="ENTRADA",ABS(J1134),-ABS(J1134)))</f>
        <v/>
      </c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1531</v>
      </c>
      <c r="H1135" s="20" t="str">
        <f>+T1135</f>
        <v/>
      </c>
      <c r="J1135" s="30"/>
      <c r="K1135" s="22" t="str">
        <f>IF(I1135="","",IF(I1135="ENTRADA",ABS(J1135),-ABS(J1135)))</f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1532</v>
      </c>
      <c r="H1136" s="20" t="str">
        <f>+T1136</f>
        <v/>
      </c>
      <c r="J1136" s="30"/>
      <c r="K1136" s="22" t="str">
        <f>IF(I1136="","",IF(I1136="ENTRADA",ABS(J1136),-ABS(J1136)))</f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1533</v>
      </c>
      <c r="H1137" s="20" t="str">
        <f>+T1137</f>
        <v/>
      </c>
      <c r="J1137" s="30"/>
      <c r="K1137" s="22" t="str">
        <f>IF(I1137="","",IF(I1137="ENTRADA",ABS(J1137),-ABS(J1137)))</f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1534</v>
      </c>
      <c r="H1138" s="20" t="str">
        <f>+T1138</f>
        <v/>
      </c>
      <c r="J1138" s="30"/>
      <c r="K1138" s="22" t="str">
        <f>IF(I1138="","",IF(I1138="ENTRADA",ABS(J1138),-ABS(J1138)))</f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1535</v>
      </c>
      <c r="H1139" s="20" t="str">
        <f>+T1139</f>
        <v/>
      </c>
      <c r="J1139" s="30"/>
      <c r="K1139" s="22" t="str">
        <f>IF(I1139="","",IF(I1139="ENTRADA",ABS(J1139),-ABS(J1139)))</f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1536</v>
      </c>
      <c r="H1140" s="20" t="str">
        <f>+T1140</f>
        <v/>
      </c>
      <c r="J1140" s="30"/>
      <c r="K1140" s="22" t="str">
        <f>IF(I1140="","",IF(I1140="ENTRADA",ABS(J1140),-ABS(J1140)))</f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1537</v>
      </c>
      <c r="H1141" s="20" t="str">
        <f>+T1141</f>
        <v/>
      </c>
      <c r="J1141" s="30"/>
      <c r="K1141" s="22" t="str">
        <f>IF(I1141="","",IF(I1141="ENTRADA",ABS(J1141),-ABS(J1141)))</f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1538</v>
      </c>
      <c r="H1142" s="20" t="str">
        <f>+T1142</f>
        <v/>
      </c>
      <c r="J1142" s="30"/>
      <c r="K1142" s="22" t="str">
        <f>IF(I1142="","",IF(I1142="ENTRADA",ABS(J1142),-ABS(J1142)))</f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1539</v>
      </c>
      <c r="B1143" s="34"/>
      <c r="C1143" s="34"/>
      <c r="D1143" s="34"/>
      <c r="E1143" s="34"/>
      <c r="F1143" s="34"/>
      <c r="G1143" s="34"/>
      <c r="H1143" s="20" t="str">
        <f>+T1143</f>
        <v/>
      </c>
      <c r="I1143" s="34"/>
      <c r="J1143" s="36"/>
      <c r="K1143" s="22" t="str">
        <f>IF(I1143="","",IF(I1143="ENTRADA",ABS(J1143),-ABS(J1143)))</f>
        <v/>
      </c>
      <c r="L1143" s="34"/>
      <c r="M1143" s="34"/>
      <c r="N1143" s="34"/>
      <c r="O1143" s="34"/>
      <c r="P1143" s="34"/>
      <c r="Q1143" s="35"/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1540</v>
      </c>
      <c r="H1144" s="20" t="str">
        <f>+T1144</f>
        <v/>
      </c>
      <c r="J1144" s="30"/>
      <c r="K1144" s="22" t="str">
        <f>IF(I1144="","",IF(I1144="ENTRADA",ABS(J1144),-ABS(J1144)))</f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1541</v>
      </c>
      <c r="H1145" s="20" t="str">
        <f>+T1145</f>
        <v/>
      </c>
      <c r="J1145" s="30"/>
      <c r="K1145" s="22" t="str">
        <f>IF(I1145="","",IF(I1145="ENTRADA",ABS(J1145),-ABS(J1145)))</f>
        <v/>
      </c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1542</v>
      </c>
      <c r="H1146" s="20" t="str">
        <f>+T1146</f>
        <v/>
      </c>
      <c r="J1146" s="30"/>
      <c r="K1146" s="22" t="str">
        <f>IF(I1146="","",IF(I1146="ENTRADA",ABS(J1146),-ABS(J1146)))</f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1543</v>
      </c>
      <c r="H1147" s="20" t="str">
        <f>+T1147</f>
        <v/>
      </c>
      <c r="J1147" s="30"/>
      <c r="K1147" s="22" t="str">
        <f>IF(I1147="","",IF(I1147="ENTRADA",ABS(J1147),-ABS(J1147)))</f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1544</v>
      </c>
      <c r="H1148" s="20" t="str">
        <f>+T1148</f>
        <v/>
      </c>
      <c r="J1148" s="30"/>
      <c r="K1148" s="22" t="str">
        <f>IF(I1148="","",IF(I1148="ENTRADA",ABS(J1148),-ABS(J1148)))</f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1545</v>
      </c>
      <c r="H1149" s="20" t="str">
        <f>+T1149</f>
        <v/>
      </c>
      <c r="J1149" s="30"/>
      <c r="K1149" s="22" t="str">
        <f>IF(I1149="","",IF(I1149="ENTRADA",ABS(J1149),-ABS(J1149)))</f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1546</v>
      </c>
      <c r="H1150" s="20" t="str">
        <f>+T1150</f>
        <v/>
      </c>
      <c r="J1150" s="30"/>
      <c r="K1150" s="22" t="str">
        <f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1547</v>
      </c>
      <c r="H1151" s="20" t="str">
        <f>+T1151</f>
        <v/>
      </c>
      <c r="J1151" s="30"/>
      <c r="K1151" s="22" t="str">
        <f>IF(I1151="","",IF(I1151="ENTRADA",ABS(J1151),-ABS(J1151)))</f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1548</v>
      </c>
      <c r="H1152" s="20" t="str">
        <f>+T1152</f>
        <v/>
      </c>
      <c r="J1152" s="30"/>
      <c r="K1152" s="22" t="str">
        <f>IF(I1152="","",IF(I1152="ENTRADA",ABS(J1152),-ABS(J1152)))</f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1549</v>
      </c>
      <c r="H1153" s="20" t="str">
        <f>+T1153</f>
        <v/>
      </c>
      <c r="J1153" s="30"/>
      <c r="K1153" s="22" t="str">
        <f>IF(I1153="","",IF(I1153="ENTRADA",ABS(J1153),-ABS(J1153)))</f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1550</v>
      </c>
      <c r="B1154" s="34"/>
      <c r="C1154" s="34"/>
      <c r="D1154" s="34"/>
      <c r="E1154" s="34"/>
      <c r="F1154" s="34"/>
      <c r="G1154" s="34"/>
      <c r="H1154" s="20" t="str">
        <f>+T1154</f>
        <v/>
      </c>
      <c r="I1154" s="34"/>
      <c r="J1154" s="36"/>
      <c r="K1154" s="22" t="str">
        <f>IF(I1154="","",IF(I1154="ENTRADA",ABS(J1154),-ABS(J1154)))</f>
        <v/>
      </c>
      <c r="L1154" s="34"/>
      <c r="M1154" s="34"/>
      <c r="N1154" s="34"/>
      <c r="O1154" s="34"/>
      <c r="P1154" s="34"/>
      <c r="Q1154" s="35"/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1551</v>
      </c>
      <c r="H1155" s="20" t="str">
        <f>+T1155</f>
        <v/>
      </c>
      <c r="J1155" s="30"/>
      <c r="K1155" s="22" t="str">
        <f>IF(I1155="","",IF(I1155="ENTRADA",ABS(J1155),-ABS(J1155)))</f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1552</v>
      </c>
      <c r="H1156" s="20" t="str">
        <f>+T1156</f>
        <v/>
      </c>
      <c r="J1156" s="30"/>
      <c r="K1156" s="22" t="str">
        <f>IF(I1156="","",IF(I1156="ENTRADA",ABS(J1156),-ABS(J1156)))</f>
        <v/>
      </c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1553</v>
      </c>
      <c r="H1157" s="20" t="str">
        <f>+T1157</f>
        <v/>
      </c>
      <c r="J1157" s="30"/>
      <c r="K1157" s="22" t="str">
        <f>IF(I1157="","",IF(I1157="ENTRADA",ABS(J1157),-ABS(J1157)))</f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1554</v>
      </c>
      <c r="H1158" s="20" t="str">
        <f>+T1158</f>
        <v/>
      </c>
      <c r="J1158" s="30"/>
      <c r="K1158" s="22" t="str">
        <f>IF(I1158="","",IF(I1158="ENTRADA",ABS(J1158),-ABS(J1158)))</f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1555</v>
      </c>
      <c r="H1159" s="20" t="str">
        <f>+T1159</f>
        <v/>
      </c>
      <c r="J1159" s="30"/>
      <c r="K1159" s="22" t="str">
        <f>IF(I1159="","",IF(I1159="ENTRADA",ABS(J1159),-ABS(J1159)))</f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1556</v>
      </c>
      <c r="H1160" s="20" t="str">
        <f>+T1160</f>
        <v/>
      </c>
      <c r="J1160" s="30"/>
      <c r="K1160" s="22" t="str">
        <f>IF(I1160="","",IF(I1160="ENTRADA",ABS(J1160),-ABS(J1160)))</f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1557</v>
      </c>
      <c r="H1161" s="20" t="str">
        <f>+T1161</f>
        <v/>
      </c>
      <c r="J1161" s="30"/>
      <c r="K1161" s="22" t="str">
        <f>IF(I1161="","",IF(I1161="ENTRADA",ABS(J1161),-ABS(J1161)))</f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1558</v>
      </c>
      <c r="H1162" s="20" t="str">
        <f>+T1162</f>
        <v/>
      </c>
      <c r="J1162" s="30"/>
      <c r="K1162" s="22" t="str">
        <f>IF(I1162="","",IF(I1162="ENTRADA",ABS(J1162),-ABS(J1162)))</f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1559</v>
      </c>
      <c r="H1163" s="20" t="str">
        <f>+T1163</f>
        <v/>
      </c>
      <c r="J1163" s="30"/>
      <c r="K1163" s="22" t="str">
        <f>IF(I1163="","",IF(I1163="ENTRADA",ABS(J1163),-ABS(J1163)))</f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1560</v>
      </c>
      <c r="H1164" s="20" t="str">
        <f>+T1164</f>
        <v/>
      </c>
      <c r="J1164" s="30"/>
      <c r="K1164" s="22" t="str">
        <f>IF(I1164="","",IF(I1164="ENTRADA",ABS(J1164),-ABS(J1164)))</f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1561</v>
      </c>
      <c r="B1165" s="34"/>
      <c r="C1165" s="34"/>
      <c r="D1165" s="34"/>
      <c r="E1165" s="34"/>
      <c r="F1165" s="34"/>
      <c r="G1165" s="34"/>
      <c r="H1165" s="20" t="str">
        <f>+T1165</f>
        <v/>
      </c>
      <c r="I1165" s="34"/>
      <c r="J1165" s="36"/>
      <c r="K1165" s="22" t="str">
        <f>IF(I1165="","",IF(I1165="ENTRADA",ABS(J1165),-ABS(J1165)))</f>
        <v/>
      </c>
      <c r="L1165" s="34"/>
      <c r="M1165" s="34"/>
      <c r="N1165" s="34"/>
      <c r="O1165" s="34"/>
      <c r="P1165" s="34"/>
      <c r="Q1165" s="35"/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1562</v>
      </c>
      <c r="H1166" s="20" t="str">
        <f>+T1166</f>
        <v/>
      </c>
      <c r="J1166" s="30"/>
      <c r="K1166" s="22" t="str">
        <f>IF(I1166="","",IF(I1166="ENTRADA",ABS(J1166),-ABS(J1166)))</f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1563</v>
      </c>
      <c r="H1167" s="20" t="str">
        <f>+T1167</f>
        <v/>
      </c>
      <c r="J1167" s="30"/>
      <c r="K1167" s="22" t="str">
        <f>IF(I1167="","",IF(I1167="ENTRADA",ABS(J1167),-ABS(J1167)))</f>
        <v/>
      </c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1564</v>
      </c>
      <c r="H1168" s="20" t="str">
        <f>+T1168</f>
        <v/>
      </c>
      <c r="J1168" s="30"/>
      <c r="K1168" s="22" t="str">
        <f>IF(I1168="","",IF(I1168="ENTRADA",ABS(J1168),-ABS(J1168)))</f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1565</v>
      </c>
      <c r="H1169" s="20" t="str">
        <f>+T1169</f>
        <v/>
      </c>
      <c r="J1169" s="30"/>
      <c r="K1169" s="22" t="str">
        <f>IF(I1169="","",IF(I1169="ENTRADA",ABS(J1169),-ABS(J1169)))</f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1566</v>
      </c>
      <c r="H1170" s="20" t="str">
        <f>+T1170</f>
        <v/>
      </c>
      <c r="J1170" s="30"/>
      <c r="K1170" s="22" t="str">
        <f>IF(I1170="","",IF(I1170="ENTRADA",ABS(J1170),-ABS(J1170)))</f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1567</v>
      </c>
      <c r="H1171" s="20" t="str">
        <f>+T1171</f>
        <v/>
      </c>
      <c r="J1171" s="30"/>
      <c r="K1171" s="22" t="str">
        <f>IF(I1171="","",IF(I1171="ENTRADA",ABS(J1171),-ABS(J1171)))</f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1568</v>
      </c>
      <c r="H1172" s="20" t="str">
        <f>+T1172</f>
        <v/>
      </c>
      <c r="J1172" s="30"/>
      <c r="K1172" s="22" t="str">
        <f>IF(I1172="","",IF(I1172="ENTRADA",ABS(J1172),-ABS(J1172)))</f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1569</v>
      </c>
      <c r="H1173" s="20" t="str">
        <f>+T1173</f>
        <v/>
      </c>
      <c r="J1173" s="30"/>
      <c r="K1173" s="22" t="str">
        <f>IF(I1173="","",IF(I1173="ENTRADA",ABS(J1173),-ABS(J1173)))</f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1570</v>
      </c>
      <c r="H1174" s="20" t="str">
        <f>+T1174</f>
        <v/>
      </c>
      <c r="J1174" s="30"/>
      <c r="K1174" s="22" t="str">
        <f>IF(I1174="","",IF(I1174="ENTRADA",ABS(J1174),-ABS(J1174)))</f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1571</v>
      </c>
      <c r="H1175" s="20" t="str">
        <f>+T1175</f>
        <v/>
      </c>
      <c r="J1175" s="30"/>
      <c r="K1175" s="22" t="str">
        <f>IF(I1175="","",IF(I1175="ENTRADA",ABS(J1175),-ABS(J1175)))</f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1572</v>
      </c>
      <c r="B1176" s="34"/>
      <c r="C1176" s="34"/>
      <c r="D1176" s="34"/>
      <c r="E1176" s="34"/>
      <c r="F1176" s="34"/>
      <c r="G1176" s="34"/>
      <c r="H1176" s="20" t="str">
        <f>+T1176</f>
        <v/>
      </c>
      <c r="I1176" s="34"/>
      <c r="J1176" s="36"/>
      <c r="K1176" s="22" t="str">
        <f>IF(I1176="","",IF(I1176="ENTRADA",ABS(J1176),-ABS(J1176)))</f>
        <v/>
      </c>
      <c r="L1176" s="34"/>
      <c r="M1176" s="34"/>
      <c r="N1176" s="34"/>
      <c r="O1176" s="34"/>
      <c r="P1176" s="34"/>
      <c r="Q1176" s="35"/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1573</v>
      </c>
      <c r="H1177" s="20" t="str">
        <f>+T1177</f>
        <v/>
      </c>
      <c r="J1177" s="30"/>
      <c r="K1177" s="22" t="str">
        <f>IF(I1177="","",IF(I1177="ENTRADA",ABS(J1177),-ABS(J1177)))</f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1574</v>
      </c>
      <c r="H1178" s="20" t="str">
        <f>+T1178</f>
        <v/>
      </c>
      <c r="J1178" s="30"/>
      <c r="K1178" s="22" t="str">
        <f>IF(I1178="","",IF(I1178="ENTRADA",ABS(J1178),-ABS(J1178)))</f>
        <v/>
      </c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1575</v>
      </c>
      <c r="H1179" s="20" t="str">
        <f>+T1179</f>
        <v/>
      </c>
      <c r="J1179" s="30"/>
      <c r="K1179" s="22" t="str">
        <f>IF(I1179="","",IF(I1179="ENTRADA",ABS(J1179),-ABS(J1179)))</f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1576</v>
      </c>
      <c r="H1180" s="20" t="str">
        <f>+T1180</f>
        <v/>
      </c>
      <c r="J1180" s="30"/>
      <c r="K1180" s="22" t="str">
        <f>IF(I1180="","",IF(I1180="ENTRADA",ABS(J1180),-ABS(J1180)))</f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1577</v>
      </c>
      <c r="H1181" s="20" t="str">
        <f>+T1181</f>
        <v/>
      </c>
      <c r="J1181" s="30"/>
      <c r="K1181" s="22" t="str">
        <f>IF(I1181="","",IF(I1181="ENTRADA",ABS(J1181),-ABS(J1181)))</f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1578</v>
      </c>
      <c r="H1182" s="20" t="str">
        <f>+T1182</f>
        <v/>
      </c>
      <c r="J1182" s="30"/>
      <c r="K1182" s="22" t="str">
        <f>IF(I1182="","",IF(I1182="ENTRADA",ABS(J1182),-ABS(J1182)))</f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1579</v>
      </c>
      <c r="H1183" s="20" t="str">
        <f>+T1183</f>
        <v/>
      </c>
      <c r="J1183" s="30"/>
      <c r="K1183" s="22" t="str">
        <f>IF(I1183="","",IF(I1183="ENTRADA",ABS(J1183),-ABS(J1183)))</f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1580</v>
      </c>
      <c r="H1184" s="20" t="str">
        <f>+T1184</f>
        <v/>
      </c>
      <c r="J1184" s="30"/>
      <c r="K1184" s="22" t="str">
        <f>IF(I1184="","",IF(I1184="ENTRADA",ABS(J1184),-ABS(J1184)))</f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1581</v>
      </c>
      <c r="H1185" s="20" t="str">
        <f>+T1185</f>
        <v/>
      </c>
      <c r="J1185" s="30"/>
      <c r="K1185" s="22" t="str">
        <f>IF(I1185="","",IF(I1185="ENTRADA",ABS(J1185),-ABS(J1185)))</f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1582</v>
      </c>
      <c r="H1186" s="20" t="str">
        <f>+T1186</f>
        <v/>
      </c>
      <c r="J1186" s="30"/>
      <c r="K1186" s="22" t="str">
        <f>IF(I1186="","",IF(I1186="ENTRADA",ABS(J1186),-ABS(J1186)))</f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1583</v>
      </c>
      <c r="B1187" s="34"/>
      <c r="C1187" s="34"/>
      <c r="D1187" s="34"/>
      <c r="E1187" s="34"/>
      <c r="F1187" s="34"/>
      <c r="G1187" s="34"/>
      <c r="H1187" s="20" t="str">
        <f>+T1187</f>
        <v/>
      </c>
      <c r="I1187" s="34"/>
      <c r="J1187" s="36"/>
      <c r="K1187" s="22" t="str">
        <f>IF(I1187="","",IF(I1187="ENTRADA",ABS(J1187),-ABS(J1187)))</f>
        <v/>
      </c>
      <c r="L1187" s="34"/>
      <c r="M1187" s="34"/>
      <c r="N1187" s="34"/>
      <c r="O1187" s="34"/>
      <c r="P1187" s="34"/>
      <c r="Q1187" s="35"/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1584</v>
      </c>
      <c r="H1188" s="20" t="str">
        <f>+T1188</f>
        <v/>
      </c>
      <c r="J1188" s="30"/>
      <c r="K1188" s="22" t="str">
        <f>IF(I1188="","",IF(I1188="ENTRADA",ABS(J1188),-ABS(J1188)))</f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1585</v>
      </c>
      <c r="H1189" s="20" t="str">
        <f>+T1189</f>
        <v/>
      </c>
      <c r="J1189" s="30"/>
      <c r="K1189" s="22" t="str">
        <f>IF(I1189="","",IF(I1189="ENTRADA",ABS(J1189),-ABS(J1189)))</f>
        <v/>
      </c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1586</v>
      </c>
      <c r="H1190" s="20" t="str">
        <f>+T1190</f>
        <v/>
      </c>
      <c r="J1190" s="30"/>
      <c r="K1190" s="22" t="str">
        <f>IF(I1190="","",IF(I1190="ENTRADA",ABS(J1190),-ABS(J1190)))</f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1587</v>
      </c>
      <c r="H1191" s="20" t="str">
        <f>+T1191</f>
        <v/>
      </c>
      <c r="J1191" s="30"/>
      <c r="K1191" s="22" t="str">
        <f>IF(I1191="","",IF(I1191="ENTRADA",ABS(J1191),-ABS(J1191)))</f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1588</v>
      </c>
      <c r="H1192" s="20" t="str">
        <f>+T1192</f>
        <v/>
      </c>
      <c r="J1192" s="30"/>
      <c r="K1192" s="22" t="str">
        <f>IF(I1192="","",IF(I1192="ENTRADA",ABS(J1192),-ABS(J1192)))</f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1589</v>
      </c>
      <c r="H1193" s="20" t="str">
        <f>+T1193</f>
        <v/>
      </c>
      <c r="J1193" s="30"/>
      <c r="K1193" s="22" t="str">
        <f>IF(I1193="","",IF(I1193="ENTRADA",ABS(J1193),-ABS(J1193)))</f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1590</v>
      </c>
      <c r="H1194" s="20" t="str">
        <f>+T1194</f>
        <v/>
      </c>
      <c r="J1194" s="30"/>
      <c r="K1194" s="22" t="str">
        <f>IF(I1194="","",IF(I1194="ENTRADA",ABS(J1194),-ABS(J1194)))</f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1591</v>
      </c>
      <c r="H1195" s="33"/>
      <c r="K1195" s="22" t="str">
        <f>IF(I1195="","",IF(I1195="ENTRADA",ABS(J1195),-ABS(J1195)))</f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1592</v>
      </c>
      <c r="H1196" s="33"/>
      <c r="K1196" s="22" t="str">
        <f>IF(I1196="","",IF(I1196="ENTRADA",ABS(J1196),-ABS(J1196)))</f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1593</v>
      </c>
      <c r="H1197" s="33"/>
      <c r="K1197" s="22" t="str">
        <f>IF(I1197="","",IF(I1197="ENTRADA",ABS(J1197),-ABS(J1197)))</f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1594</v>
      </c>
      <c r="B1198" s="34"/>
      <c r="C1198" s="34"/>
      <c r="D1198" s="34"/>
      <c r="E1198" s="34"/>
      <c r="F1198" s="34"/>
      <c r="G1198" s="34"/>
      <c r="H1198" s="20" t="str">
        <f>+T1198</f>
        <v/>
      </c>
      <c r="I1198" s="34"/>
      <c r="J1198" s="36"/>
      <c r="K1198" s="22" t="str">
        <f>IF(I1198="","",IF(I1198="ENTRADA",ABS(J1198),-ABS(J1198)))</f>
        <v/>
      </c>
      <c r="L1198" s="34"/>
      <c r="M1198" s="34"/>
      <c r="N1198" s="34"/>
      <c r="O1198" s="34"/>
      <c r="P1198" s="34"/>
      <c r="Q1198" s="35"/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1595</v>
      </c>
      <c r="H1199" s="33"/>
      <c r="K1199" s="22" t="str">
        <f>IF(I1199="","",IF(I1199="ENTRADA",ABS(J1199),-ABS(J1199)))</f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1596</v>
      </c>
      <c r="H1200" s="20" t="str">
        <f>+T1200</f>
        <v/>
      </c>
      <c r="J1200" s="30"/>
      <c r="K1200" s="22" t="str">
        <f>IF(I1200="","",IF(I1200="ENTRADA",ABS(J1200),-ABS(J1200)))</f>
        <v/>
      </c>
      <c r="Q1200" s="35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1597</v>
      </c>
      <c r="H1201" s="20" t="str">
        <f>+T1201</f>
        <v/>
      </c>
      <c r="J1201" s="30"/>
      <c r="K1201" s="22" t="str">
        <f>IF(I1201="","",IF(I1201="ENTRADA",ABS(J1201),-ABS(J1201)))</f>
        <v/>
      </c>
      <c r="Q1201" s="35"/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1598</v>
      </c>
      <c r="H1202" s="20" t="str">
        <f>+T1202</f>
        <v/>
      </c>
      <c r="J1202" s="30"/>
      <c r="K1202" s="22" t="str">
        <f>IF(I1202="","",IF(I1202="ENTRADA",ABS(J1202),-ABS(J1202)))</f>
        <v/>
      </c>
      <c r="Q1202" s="35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1599</v>
      </c>
      <c r="H1203" s="20" t="str">
        <f>+T1203</f>
        <v/>
      </c>
      <c r="J1203" s="30"/>
      <c r="K1203" s="22" t="str">
        <f>IF(I1203="","",IF(I1203="ENTRADA",ABS(J1203),-ABS(J1203)))</f>
        <v/>
      </c>
      <c r="Q1203" s="35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1600</v>
      </c>
      <c r="H1204" s="20" t="str">
        <f>+T1204</f>
        <v/>
      </c>
      <c r="J1204" s="30"/>
      <c r="K1204" s="22" t="str">
        <f>IF(I1204="","",IF(I1204="ENTRADA",ABS(J1204),-ABS(J1204)))</f>
        <v/>
      </c>
      <c r="Q1204" s="35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1601</v>
      </c>
      <c r="H1205" s="20" t="str">
        <f>+T1205</f>
        <v/>
      </c>
      <c r="J1205" s="30"/>
      <c r="K1205" s="22" t="str">
        <f>IF(I1205="","",IF(I1205="ENTRADA",ABS(J1205),-ABS(J1205)))</f>
        <v/>
      </c>
      <c r="Q1205" s="35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1602</v>
      </c>
      <c r="H1206" s="20" t="str">
        <f>+T1206</f>
        <v/>
      </c>
      <c r="J1206" s="30"/>
      <c r="K1206" s="22" t="str">
        <f>IF(I1206="","",IF(I1206="ENTRADA",ABS(J1206),-ABS(J1206)))</f>
        <v/>
      </c>
      <c r="Q1206" s="35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1603</v>
      </c>
      <c r="H1207" s="20" t="str">
        <f>+T1207</f>
        <v/>
      </c>
      <c r="J1207" s="30"/>
      <c r="K1207" s="22" t="str">
        <f>IF(I1207="","",IF(I1207="ENTRADA",ABS(J1207),-ABS(J1207)))</f>
        <v/>
      </c>
      <c r="Q1207" s="35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1604</v>
      </c>
      <c r="H1208" s="20" t="str">
        <f>+T1208</f>
        <v/>
      </c>
      <c r="J1208" s="30"/>
      <c r="K1208" s="22" t="str">
        <f>IF(I1208="","",IF(I1208="ENTRADA",ABS(J1208),-ABS(J1208)))</f>
        <v/>
      </c>
      <c r="Q1208" s="35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1605</v>
      </c>
      <c r="H1209" s="20" t="str">
        <f>+T1209</f>
        <v/>
      </c>
      <c r="J1209" s="30"/>
      <c r="K1209" s="22" t="str">
        <f>IF(I1209="","",IF(I1209="ENTRADA",ABS(J1209),-ABS(J1209)))</f>
        <v/>
      </c>
      <c r="Q1209" s="35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1606</v>
      </c>
      <c r="H1210" s="20" t="str">
        <f>+T1210</f>
        <v/>
      </c>
      <c r="J1210" s="30"/>
      <c r="K1210" s="22" t="str">
        <f>IF(I1210="","",IF(I1210="ENTRADA",ABS(J1210),-ABS(J1210)))</f>
        <v/>
      </c>
      <c r="Q1210" s="35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1607</v>
      </c>
      <c r="H1211" s="20" t="str">
        <f>+T1211</f>
        <v/>
      </c>
      <c r="J1211" s="30"/>
      <c r="K1211" s="22" t="str">
        <f>IF(I1211="","",IF(I1211="ENTRADA",ABS(J1211),-ABS(J1211)))</f>
        <v/>
      </c>
      <c r="Q1211" s="35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1608</v>
      </c>
      <c r="H1212" s="20" t="str">
        <f>+T1212</f>
        <v/>
      </c>
      <c r="J1212" s="30"/>
      <c r="K1212" s="22" t="str">
        <f>IF(I1212="","",IF(I1212="ENTRADA",ABS(J1212),-ABS(J1212)))</f>
        <v/>
      </c>
      <c r="Q1212" s="35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1609</v>
      </c>
      <c r="H1213" s="20" t="str">
        <f>+T1213</f>
        <v/>
      </c>
      <c r="J1213" s="30"/>
      <c r="K1213" s="22" t="str">
        <f>IF(I1213="","",IF(I1213="ENTRADA",ABS(J1213),-ABS(J1213)))</f>
        <v/>
      </c>
      <c r="Q1213" s="35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1610</v>
      </c>
      <c r="H1214" s="20" t="str">
        <f>+T1214</f>
        <v/>
      </c>
      <c r="J1214" s="30"/>
      <c r="K1214" s="22" t="str">
        <f>IF(I1214="","",IF(I1214="ENTRADA",ABS(J1214),-ABS(J1214)))</f>
        <v/>
      </c>
      <c r="Q1214" s="35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1611</v>
      </c>
      <c r="H1215" s="20" t="str">
        <f>+T1215</f>
        <v/>
      </c>
      <c r="J1215" s="30"/>
      <c r="K1215" s="22" t="str">
        <f>IF(I1215="","",IF(I1215="ENTRADA",ABS(J1215),-ABS(J1215)))</f>
        <v/>
      </c>
      <c r="Q1215" s="35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1612</v>
      </c>
      <c r="H1216" s="20" t="str">
        <f>+T1216</f>
        <v/>
      </c>
      <c r="J1216" s="30"/>
      <c r="K1216" s="22" t="str">
        <f>IF(I1216="","",IF(I1216="ENTRADA",ABS(J1216),-ABS(J1216)))</f>
        <v/>
      </c>
      <c r="Q1216" s="35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1613</v>
      </c>
      <c r="H1217" s="20" t="str">
        <f>+T1217</f>
        <v/>
      </c>
      <c r="J1217" s="30"/>
      <c r="K1217" s="22" t="str">
        <f>IF(I1217="","",IF(I1217="ENTRADA",ABS(J1217),-ABS(J1217)))</f>
        <v/>
      </c>
      <c r="Q1217" s="35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1614</v>
      </c>
      <c r="H1218" s="20" t="str">
        <f>+T1218</f>
        <v/>
      </c>
      <c r="J1218" s="30"/>
      <c r="K1218" s="22" t="str">
        <f>IF(I1218="","",IF(I1218="ENTRADA",ABS(J1218),-ABS(J1218)))</f>
        <v/>
      </c>
      <c r="Q1218" s="35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1615</v>
      </c>
      <c r="H1219" s="20" t="str">
        <f>+T1219</f>
        <v/>
      </c>
      <c r="J1219" s="30"/>
      <c r="K1219" s="22" t="str">
        <f>IF(I1219="","",IF(I1219="ENTRADA",ABS(J1219),-ABS(J1219)))</f>
        <v/>
      </c>
      <c r="Q1219" s="35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1616</v>
      </c>
      <c r="H1220" s="20" t="str">
        <f>+T1220</f>
        <v/>
      </c>
      <c r="J1220" s="30"/>
      <c r="K1220" s="22" t="str">
        <f>IF(I1220="","",IF(I1220="ENTRADA",ABS(J1220),-ABS(J1220)))</f>
        <v/>
      </c>
      <c r="Q1220" s="35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1617</v>
      </c>
      <c r="H1221" s="20" t="str">
        <f>+T1221</f>
        <v/>
      </c>
      <c r="J1221" s="30"/>
      <c r="K1221" s="22" t="str">
        <f>IF(I1221="","",IF(I1221="ENTRADA",ABS(J1221),-ABS(J1221)))</f>
        <v/>
      </c>
      <c r="Q1221" s="35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1618</v>
      </c>
      <c r="H1222" s="20" t="str">
        <f>+T1222</f>
        <v/>
      </c>
      <c r="J1222" s="30"/>
      <c r="K1222" s="22" t="str">
        <f>IF(I1222="","",IF(I1222="ENTRADA",ABS(J1222),-ABS(J1222)))</f>
        <v/>
      </c>
      <c r="Q1222" s="35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1619</v>
      </c>
      <c r="H1223" s="20" t="str">
        <f>+T1223</f>
        <v/>
      </c>
      <c r="J1223" s="30"/>
      <c r="K1223" s="22" t="str">
        <f>IF(I1223="","",IF(I1223="ENTRADA",ABS(J1223),-ABS(J1223)))</f>
        <v/>
      </c>
      <c r="Q1223" s="35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1620</v>
      </c>
      <c r="H1224" s="20" t="str">
        <f>+T1224</f>
        <v/>
      </c>
      <c r="J1224" s="30"/>
      <c r="K1224" s="22" t="str">
        <f>IF(I1224="","",IF(I1224="ENTRADA",ABS(J1224),-ABS(J1224)))</f>
        <v/>
      </c>
      <c r="Q1224" s="35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1621</v>
      </c>
      <c r="H1225" s="20" t="str">
        <f>+T1225</f>
        <v/>
      </c>
      <c r="J1225" s="30"/>
      <c r="K1225" s="22" t="str">
        <f>IF(I1225="","",IF(I1225="ENTRADA",ABS(J1225),-ABS(J1225)))</f>
        <v/>
      </c>
      <c r="Q1225" s="35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1622</v>
      </c>
      <c r="H1226" s="20" t="str">
        <f>+T1226</f>
        <v/>
      </c>
      <c r="J1226" s="30"/>
      <c r="K1226" s="22" t="str">
        <f>IF(I1226="","",IF(I1226="ENTRADA",ABS(J1226),-ABS(J1226)))</f>
        <v/>
      </c>
      <c r="Q1226" s="35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1623</v>
      </c>
      <c r="H1227" s="20" t="str">
        <f>+T1227</f>
        <v/>
      </c>
      <c r="J1227" s="30"/>
      <c r="K1227" s="22" t="str">
        <f>IF(I1227="","",IF(I1227="ENTRADA",ABS(J1227),-ABS(J1227)))</f>
        <v/>
      </c>
      <c r="Q1227" s="35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1624</v>
      </c>
      <c r="H1228" s="20" t="str">
        <f>+T1228</f>
        <v/>
      </c>
      <c r="J1228" s="30"/>
      <c r="K1228" s="22" t="str">
        <f>IF(I1228="","",IF(I1228="ENTRADA",ABS(J1228),-ABS(J1228)))</f>
        <v/>
      </c>
      <c r="Q1228" s="35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1625</v>
      </c>
      <c r="H1229" s="20" t="str">
        <f>+T1229</f>
        <v/>
      </c>
      <c r="J1229" s="30"/>
      <c r="K1229" s="22" t="str">
        <f>IF(I1229="","",IF(I1229="ENTRADA",ABS(J1229),-ABS(J1229)))</f>
        <v/>
      </c>
      <c r="Q1229" s="35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1626</v>
      </c>
      <c r="H1230" s="20" t="str">
        <f>+T1230</f>
        <v/>
      </c>
      <c r="J1230" s="30"/>
      <c r="K1230" s="22" t="str">
        <f>IF(I1230="","",IF(I1230="ENTRADA",ABS(J1230),-ABS(J1230)))</f>
        <v/>
      </c>
      <c r="Q1230" s="35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1627</v>
      </c>
      <c r="H1231" s="20" t="str">
        <f>+T1231</f>
        <v/>
      </c>
      <c r="J1231" s="30"/>
      <c r="K1231" s="22" t="str">
        <f>IF(I1231="","",IF(I1231="ENTRADA",ABS(J1231),-ABS(J1231)))</f>
        <v/>
      </c>
      <c r="Q1231" s="35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1628</v>
      </c>
      <c r="H1232" s="20" t="str">
        <f>+T1232</f>
        <v/>
      </c>
      <c r="J1232" s="30"/>
      <c r="K1232" s="22" t="str">
        <f>IF(I1232="","",IF(I1232="ENTRADA",ABS(J1232),-ABS(J1232)))</f>
        <v/>
      </c>
      <c r="Q1232" s="35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1629</v>
      </c>
      <c r="H1233" s="20" t="str">
        <f>+T1233</f>
        <v/>
      </c>
      <c r="J1233" s="30"/>
      <c r="K1233" s="22" t="str">
        <f>IF(I1233="","",IF(I1233="ENTRADA",ABS(J1233),-ABS(J1233)))</f>
        <v/>
      </c>
      <c r="Q1233" s="35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1630</v>
      </c>
      <c r="H1234" s="20" t="str">
        <f>+T1234</f>
        <v/>
      </c>
      <c r="J1234" s="30"/>
      <c r="K1234" s="22" t="str">
        <f>IF(I1234="","",IF(I1234="ENTRADA",ABS(J1234),-ABS(J1234)))</f>
        <v/>
      </c>
      <c r="Q1234" s="35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1631</v>
      </c>
      <c r="H1235" s="20" t="str">
        <f>+T1235</f>
        <v/>
      </c>
      <c r="J1235" s="30"/>
      <c r="K1235" s="22" t="str">
        <f>IF(I1235="","",IF(I1235="ENTRADA",ABS(J1235),-ABS(J1235)))</f>
        <v/>
      </c>
      <c r="Q1235" s="35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1632</v>
      </c>
      <c r="H1236" s="20" t="str">
        <f>+T1236</f>
        <v/>
      </c>
      <c r="J1236" s="30"/>
      <c r="K1236" s="22" t="str">
        <f>IF(I1236="","",IF(I1236="ENTRADA",ABS(J1236),-ABS(J1236)))</f>
        <v/>
      </c>
      <c r="Q1236" s="35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1633</v>
      </c>
      <c r="H1237" s="20" t="str">
        <f>+T1237</f>
        <v/>
      </c>
      <c r="J1237" s="30"/>
      <c r="K1237" s="22" t="str">
        <f>IF(I1237="","",IF(I1237="ENTRADA",ABS(J1237),-ABS(J1237)))</f>
        <v/>
      </c>
      <c r="Q1237" s="35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1634</v>
      </c>
      <c r="H1238" s="20" t="str">
        <f>+T1238</f>
        <v/>
      </c>
      <c r="J1238" s="30"/>
      <c r="K1238" s="22" t="str">
        <f>IF(I1238="","",IF(I1238="ENTRADA",ABS(J1238),-ABS(J1238)))</f>
        <v/>
      </c>
      <c r="Q1238" s="35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1635</v>
      </c>
      <c r="H1239" s="20" t="str">
        <f>+T1239</f>
        <v/>
      </c>
      <c r="J1239" s="30"/>
      <c r="K1239" s="22" t="str">
        <f>IF(I1239="","",IF(I1239="ENTRADA",ABS(J1239),-ABS(J1239)))</f>
        <v/>
      </c>
      <c r="Q1239" s="35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1636</v>
      </c>
      <c r="H1240" s="20" t="str">
        <f>+T1240</f>
        <v/>
      </c>
      <c r="J1240" s="30"/>
      <c r="K1240" s="22" t="str">
        <f>IF(I1240="","",IF(I1240="ENTRADA",ABS(J1240),-ABS(J1240)))</f>
        <v/>
      </c>
      <c r="Q1240" s="35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1637</v>
      </c>
      <c r="H1241" s="20" t="str">
        <f>+T1241</f>
        <v/>
      </c>
      <c r="J1241" s="30"/>
      <c r="K1241" s="22" t="str">
        <f>IF(I1241="","",IF(I1241="ENTRADA",ABS(J1241),-ABS(J1241)))</f>
        <v/>
      </c>
      <c r="Q1241" s="35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1638</v>
      </c>
      <c r="H1242" s="20" t="str">
        <f>+T1242</f>
        <v/>
      </c>
      <c r="J1242" s="30"/>
      <c r="K1242" s="22" t="str">
        <f>IF(I1242="","",IF(I1242="ENTRADA",ABS(J1242),-ABS(J1242)))</f>
        <v/>
      </c>
      <c r="Q1242" s="35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1639</v>
      </c>
      <c r="H1243" s="20" t="str">
        <f>+T1243</f>
        <v/>
      </c>
      <c r="J1243" s="30"/>
      <c r="K1243" s="22" t="str">
        <f>IF(I1243="","",IF(I1243="ENTRADA",ABS(J1243),-ABS(J1243)))</f>
        <v/>
      </c>
      <c r="Q1243" s="35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1640</v>
      </c>
      <c r="H1244" s="20" t="str">
        <f>+T1244</f>
        <v/>
      </c>
      <c r="J1244" s="30"/>
      <c r="K1244" s="22" t="str">
        <f>IF(I1244="","",IF(I1244="ENTRADA",ABS(J1244),-ABS(J1244)))</f>
        <v/>
      </c>
      <c r="Q1244" s="35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1641</v>
      </c>
      <c r="H1245" s="20" t="str">
        <f>+T1245</f>
        <v/>
      </c>
      <c r="J1245" s="30"/>
      <c r="K1245" s="22" t="str">
        <f>IF(I1245="","",IF(I1245="ENTRADA",ABS(J1245),-ABS(J1245)))</f>
        <v/>
      </c>
      <c r="Q1245" s="35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1642</v>
      </c>
      <c r="H1246" s="20" t="str">
        <f>+T1246</f>
        <v/>
      </c>
      <c r="J1246" s="30"/>
      <c r="K1246" s="22" t="str">
        <f>IF(I1246="","",IF(I1246="ENTRADA",ABS(J1246),-ABS(J1246)))</f>
        <v/>
      </c>
      <c r="Q1246" s="35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1643</v>
      </c>
      <c r="H1247" s="20" t="str">
        <f>+T1247</f>
        <v/>
      </c>
      <c r="J1247" s="30"/>
      <c r="K1247" s="22" t="str">
        <f>IF(I1247="","",IF(I1247="ENTRADA",ABS(J1247),-ABS(J1247)))</f>
        <v/>
      </c>
      <c r="Q1247" s="35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1644</v>
      </c>
      <c r="H1248" s="20" t="str">
        <f>+T1248</f>
        <v/>
      </c>
      <c r="J1248" s="30"/>
      <c r="K1248" s="22" t="str">
        <f>IF(I1248="","",IF(I1248="ENTRADA",ABS(J1248),-ABS(J1248)))</f>
        <v/>
      </c>
      <c r="Q1248" s="35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1645</v>
      </c>
      <c r="H1249" s="20" t="str">
        <f>+T1249</f>
        <v/>
      </c>
      <c r="J1249" s="30"/>
      <c r="K1249" s="22" t="str">
        <f>IF(I1249="","",IF(I1249="ENTRADA",ABS(J1249),-ABS(J1249)))</f>
        <v/>
      </c>
      <c r="Q1249" s="35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1646</v>
      </c>
      <c r="H1250" s="20" t="str">
        <f>+T1250</f>
        <v/>
      </c>
      <c r="J1250" s="30"/>
      <c r="K1250" s="22" t="str">
        <f>IF(I1250="","",IF(I1250="ENTRADA",ABS(J1250),-ABS(J1250)))</f>
        <v/>
      </c>
      <c r="Q1250" s="35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1647</v>
      </c>
      <c r="H1251" s="20" t="str">
        <f>+T1251</f>
        <v/>
      </c>
      <c r="J1251" s="30"/>
      <c r="K1251" s="22" t="str">
        <f>IF(I1251="","",IF(I1251="ENTRADA",ABS(J1251),-ABS(J1251)))</f>
        <v/>
      </c>
      <c r="Q1251" s="35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1648</v>
      </c>
      <c r="H1252" s="20" t="str">
        <f>+T1252</f>
        <v/>
      </c>
      <c r="J1252" s="30"/>
      <c r="K1252" s="22" t="str">
        <f>IF(I1252="","",IF(I1252="ENTRADA",ABS(J1252),-ABS(J1252)))</f>
        <v/>
      </c>
      <c r="Q1252" s="35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1649</v>
      </c>
      <c r="H1253" s="20" t="str">
        <f>+T1253</f>
        <v/>
      </c>
      <c r="J1253" s="30"/>
      <c r="K1253" s="22" t="str">
        <f>IF(I1253="","",IF(I1253="ENTRADA",ABS(J1253),-ABS(J1253)))</f>
        <v/>
      </c>
      <c r="Q1253" s="35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1650</v>
      </c>
      <c r="H1254" s="20" t="str">
        <f>+T1254</f>
        <v/>
      </c>
      <c r="J1254" s="30"/>
      <c r="K1254" s="22" t="str">
        <f>IF(I1254="","",IF(I1254="ENTRADA",ABS(J1254),-ABS(J1254)))</f>
        <v/>
      </c>
      <c r="Q1254" s="35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1651</v>
      </c>
      <c r="H1255" s="20" t="str">
        <f>+T1255</f>
        <v/>
      </c>
      <c r="J1255" s="30"/>
      <c r="K1255" s="22" t="str">
        <f>IF(I1255="","",IF(I1255="ENTRADA",ABS(J1255),-ABS(J1255)))</f>
        <v/>
      </c>
      <c r="Q1255" s="35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1652</v>
      </c>
      <c r="H1256" s="20" t="str">
        <f>+T1256</f>
        <v/>
      </c>
      <c r="J1256" s="30"/>
      <c r="K1256" s="22" t="str">
        <f>IF(I1256="","",IF(I1256="ENTRADA",ABS(J1256),-ABS(J1256)))</f>
        <v/>
      </c>
      <c r="Q1256" s="35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1653</v>
      </c>
      <c r="H1257" s="20" t="str">
        <f>+T1257</f>
        <v/>
      </c>
      <c r="J1257" s="30"/>
      <c r="K1257" s="22" t="str">
        <f>IF(I1257="","",IF(I1257="ENTRADA",ABS(J1257),-ABS(J1257)))</f>
        <v/>
      </c>
      <c r="Q1257" s="35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1654</v>
      </c>
      <c r="H1258" s="20" t="str">
        <f>+T1258</f>
        <v/>
      </c>
      <c r="J1258" s="30"/>
      <c r="K1258" s="22" t="str">
        <f>IF(I1258="","",IF(I1258="ENTRADA",ABS(J1258),-ABS(J1258)))</f>
        <v/>
      </c>
      <c r="Q1258" s="35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1655</v>
      </c>
      <c r="H1259" s="20" t="str">
        <f>+T1259</f>
        <v/>
      </c>
      <c r="J1259" s="30"/>
      <c r="K1259" s="22" t="str">
        <f>IF(I1259="","",IF(I1259="ENTRADA",ABS(J1259),-ABS(J1259)))</f>
        <v/>
      </c>
      <c r="Q1259" s="35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1656</v>
      </c>
      <c r="H1260" s="20" t="str">
        <f>+T1260</f>
        <v/>
      </c>
      <c r="J1260" s="30"/>
      <c r="K1260" s="22" t="str">
        <f>IF(I1260="","",IF(I1260="ENTRADA",ABS(J1260),-ABS(J1260)))</f>
        <v/>
      </c>
      <c r="Q1260" s="35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1657</v>
      </c>
      <c r="H1261" s="20" t="str">
        <f>+T1261</f>
        <v/>
      </c>
      <c r="J1261" s="30"/>
      <c r="K1261" s="22" t="str">
        <f>IF(I1261="","",IF(I1261="ENTRADA",ABS(J1261),-ABS(J1261)))</f>
        <v/>
      </c>
      <c r="Q1261" s="35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1658</v>
      </c>
      <c r="H1262" s="20" t="str">
        <f>+T1262</f>
        <v/>
      </c>
      <c r="J1262" s="30"/>
      <c r="K1262" s="22" t="str">
        <f>IF(I1262="","",IF(I1262="ENTRADA",ABS(J1262),-ABS(J1262)))</f>
        <v/>
      </c>
      <c r="Q1262" s="35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1659</v>
      </c>
      <c r="H1263" s="20" t="str">
        <f>+T1263</f>
        <v/>
      </c>
      <c r="J1263" s="30"/>
      <c r="K1263" s="22" t="str">
        <f>IF(I1263="","",IF(I1263="ENTRADA",ABS(J1263),-ABS(J1263)))</f>
        <v/>
      </c>
      <c r="Q1263" s="35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1660</v>
      </c>
      <c r="H1264" s="20" t="str">
        <f>+T1264</f>
        <v/>
      </c>
      <c r="J1264" s="30"/>
      <c r="K1264" s="22" t="str">
        <f>IF(I1264="","",IF(I1264="ENTRADA",ABS(J1264),-ABS(J1264)))</f>
        <v/>
      </c>
      <c r="Q1264" s="35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1661</v>
      </c>
      <c r="H1265" s="20" t="str">
        <f>+T1265</f>
        <v/>
      </c>
      <c r="J1265" s="30"/>
      <c r="K1265" s="22" t="str">
        <f>IF(I1265="","",IF(I1265="ENTRADA",ABS(J1265),-ABS(J1265)))</f>
        <v/>
      </c>
      <c r="Q1265" s="35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1662</v>
      </c>
      <c r="H1266" s="20" t="str">
        <f>+T1266</f>
        <v/>
      </c>
      <c r="J1266" s="30"/>
      <c r="K1266" s="22" t="str">
        <f>IF(I1266="","",IF(I1266="ENTRADA",ABS(J1266),-ABS(J1266)))</f>
        <v/>
      </c>
      <c r="Q1266" s="35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1663</v>
      </c>
      <c r="H1267" s="20" t="str">
        <f>+T1267</f>
        <v/>
      </c>
      <c r="J1267" s="30"/>
      <c r="K1267" s="22" t="str">
        <f>IF(I1267="","",IF(I1267="ENTRADA",ABS(J1267),-ABS(J1267)))</f>
        <v/>
      </c>
      <c r="Q1267" s="35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1664</v>
      </c>
      <c r="H1268" s="20" t="str">
        <f>+T1268</f>
        <v/>
      </c>
      <c r="J1268" s="30"/>
      <c r="K1268" s="22" t="str">
        <f>IF(I1268="","",IF(I1268="ENTRADA",ABS(J1268),-ABS(J1268)))</f>
        <v/>
      </c>
      <c r="Q1268" s="35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1665</v>
      </c>
      <c r="H1269" s="20" t="str">
        <f>+T1269</f>
        <v/>
      </c>
      <c r="J1269" s="30"/>
      <c r="K1269" s="22" t="str">
        <f>IF(I1269="","",IF(I1269="ENTRADA",ABS(J1269),-ABS(J1269)))</f>
        <v/>
      </c>
      <c r="Q1269" s="35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1666</v>
      </c>
      <c r="H1270" s="20" t="str">
        <f>+T1270</f>
        <v/>
      </c>
      <c r="J1270" s="30"/>
      <c r="K1270" s="22" t="str">
        <f>IF(I1270="","",IF(I1270="ENTRADA",ABS(J1270),-ABS(J1270)))</f>
        <v/>
      </c>
      <c r="Q1270" s="35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1667</v>
      </c>
      <c r="H1271" s="20" t="str">
        <f>+T1271</f>
        <v/>
      </c>
      <c r="J1271" s="30"/>
      <c r="K1271" s="22" t="str">
        <f>IF(I1271="","",IF(I1271="ENTRADA",ABS(J1271),-ABS(J1271)))</f>
        <v/>
      </c>
      <c r="Q1271" s="35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1668</v>
      </c>
      <c r="H1272" s="20" t="str">
        <f>+T1272</f>
        <v/>
      </c>
      <c r="J1272" s="30"/>
      <c r="K1272" s="22" t="str">
        <f>IF(I1272="","",IF(I1272="ENTRADA",ABS(J1272),-ABS(J1272)))</f>
        <v/>
      </c>
      <c r="Q1272" s="35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1669</v>
      </c>
      <c r="H1273" s="20" t="str">
        <f>+T1273</f>
        <v/>
      </c>
      <c r="J1273" s="30"/>
      <c r="K1273" s="22" t="str">
        <f>IF(I1273="","",IF(I1273="ENTRADA",ABS(J1273),-ABS(J1273)))</f>
        <v/>
      </c>
      <c r="Q1273" s="35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1670</v>
      </c>
      <c r="H1274" s="20" t="str">
        <f>+T1274</f>
        <v/>
      </c>
      <c r="J1274" s="30"/>
      <c r="K1274" s="22" t="str">
        <f>IF(I1274="","",IF(I1274="ENTRADA",ABS(J1274),-ABS(J1274)))</f>
        <v/>
      </c>
      <c r="Q1274" s="35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1671</v>
      </c>
      <c r="H1275" s="20" t="str">
        <f>+T1275</f>
        <v/>
      </c>
      <c r="J1275" s="30"/>
      <c r="K1275" s="22" t="str">
        <f>IF(I1275="","",IF(I1275="ENTRADA",ABS(J1275),-ABS(J1275)))</f>
        <v/>
      </c>
      <c r="Q1275" s="35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1672</v>
      </c>
      <c r="H1276" s="20" t="str">
        <f>+T1276</f>
        <v/>
      </c>
      <c r="J1276" s="30"/>
      <c r="K1276" s="22" t="str">
        <f>IF(I1276="","",IF(I1276="ENTRADA",ABS(J1276),-ABS(J1276)))</f>
        <v/>
      </c>
      <c r="Q1276" s="35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1673</v>
      </c>
      <c r="H1277" s="20" t="str">
        <f>+T1277</f>
        <v/>
      </c>
      <c r="J1277" s="30"/>
      <c r="K1277" s="22" t="str">
        <f>IF(I1277="","",IF(I1277="ENTRADA",ABS(J1277),-ABS(J1277)))</f>
        <v/>
      </c>
      <c r="Q1277" s="35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1674</v>
      </c>
      <c r="H1278" s="20" t="str">
        <f>+T1278</f>
        <v/>
      </c>
      <c r="J1278" s="30"/>
      <c r="K1278" s="22" t="str">
        <f>IF(I1278="","",IF(I1278="ENTRADA",ABS(J1278),-ABS(J1278)))</f>
        <v/>
      </c>
      <c r="Q1278" s="35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1675</v>
      </c>
      <c r="H1279" s="20" t="str">
        <f>+T1279</f>
        <v/>
      </c>
      <c r="J1279" s="30"/>
      <c r="K1279" s="22" t="str">
        <f>IF(I1279="","",IF(I1279="ENTRADA",ABS(J1279),-ABS(J1279)))</f>
        <v/>
      </c>
      <c r="Q1279" s="35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1676</v>
      </c>
      <c r="H1280" s="20" t="str">
        <f>+T1280</f>
        <v/>
      </c>
      <c r="J1280" s="30"/>
      <c r="K1280" s="22" t="str">
        <f>IF(I1280="","",IF(I1280="ENTRADA",ABS(J1280),-ABS(J1280)))</f>
        <v/>
      </c>
      <c r="Q1280" s="35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1677</v>
      </c>
      <c r="H1281" s="20" t="str">
        <f>+T1281</f>
        <v/>
      </c>
      <c r="J1281" s="30"/>
      <c r="K1281" s="22" t="str">
        <f>IF(I1281="","",IF(I1281="ENTRADA",ABS(J1281),-ABS(J1281)))</f>
        <v/>
      </c>
      <c r="Q1281" s="35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1678</v>
      </c>
      <c r="H1282" s="20" t="str">
        <f>+T1282</f>
        <v/>
      </c>
      <c r="J1282" s="30"/>
      <c r="K1282" s="22" t="str">
        <f>IF(I1282="","",IF(I1282="ENTRADA",ABS(J1282),-ABS(J1282)))</f>
        <v/>
      </c>
      <c r="Q1282" s="35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1679</v>
      </c>
      <c r="H1283" s="20" t="str">
        <f>+T1283</f>
        <v/>
      </c>
      <c r="J1283" s="30"/>
      <c r="K1283" s="22" t="str">
        <f>IF(I1283="","",IF(I1283="ENTRADA",ABS(J1283),-ABS(J1283)))</f>
        <v/>
      </c>
      <c r="Q1283" s="35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1680</v>
      </c>
      <c r="H1284" s="20" t="str">
        <f>+T1284</f>
        <v/>
      </c>
      <c r="J1284" s="30"/>
      <c r="K1284" s="22" t="str">
        <f>IF(I1284="","",IF(I1284="ENTRADA",ABS(J1284),-ABS(J1284)))</f>
        <v/>
      </c>
      <c r="Q1284" s="35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1681</v>
      </c>
      <c r="H1285" s="20" t="str">
        <f>+T1285</f>
        <v/>
      </c>
      <c r="J1285" s="30"/>
      <c r="K1285" s="22" t="str">
        <f>IF(I1285="","",IF(I1285="ENTRADA",ABS(J1285),-ABS(J1285)))</f>
        <v/>
      </c>
      <c r="Q1285" s="35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1682</v>
      </c>
      <c r="H1286" s="20" t="str">
        <f>+T1286</f>
        <v/>
      </c>
      <c r="J1286" s="30"/>
      <c r="K1286" s="22" t="str">
        <f>IF(I1286="","",IF(I1286="ENTRADA",ABS(J1286),-ABS(J1286)))</f>
        <v/>
      </c>
      <c r="Q1286" s="35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1683</v>
      </c>
      <c r="H1287" s="20" t="str">
        <f>+T1287</f>
        <v/>
      </c>
      <c r="J1287" s="30"/>
      <c r="K1287" s="22" t="str">
        <f>IF(I1287="","",IF(I1287="ENTRADA",ABS(J1287),-ABS(J1287)))</f>
        <v/>
      </c>
      <c r="Q1287" s="35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1684</v>
      </c>
      <c r="H1288" s="20" t="str">
        <f>+T1288</f>
        <v/>
      </c>
      <c r="J1288" s="30"/>
      <c r="K1288" s="22" t="str">
        <f>IF(I1288="","",IF(I1288="ENTRADA",ABS(J1288),-ABS(J1288)))</f>
        <v/>
      </c>
      <c r="Q1288" s="35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1685</v>
      </c>
      <c r="H1289" s="20" t="str">
        <f>+T1289</f>
        <v/>
      </c>
      <c r="J1289" s="30"/>
      <c r="K1289" s="22" t="str">
        <f>IF(I1289="","",IF(I1289="ENTRADA",ABS(J1289),-ABS(J1289)))</f>
        <v/>
      </c>
      <c r="Q1289" s="35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1686</v>
      </c>
      <c r="H1290" s="20" t="str">
        <f>+T1290</f>
        <v/>
      </c>
      <c r="J1290" s="30"/>
      <c r="K1290" s="22" t="str">
        <f>IF(I1290="","",IF(I1290="ENTRADA",ABS(J1290),-ABS(J1290)))</f>
        <v/>
      </c>
      <c r="Q1290" s="35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1687</v>
      </c>
      <c r="H1291" s="20" t="str">
        <f>+T1291</f>
        <v/>
      </c>
      <c r="J1291" s="30"/>
      <c r="K1291" s="22" t="str">
        <f>IF(I1291="","",IF(I1291="ENTRADA",ABS(J1291),-ABS(J1291)))</f>
        <v/>
      </c>
      <c r="Q1291" s="35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1688</v>
      </c>
      <c r="H1292" s="20" t="str">
        <f>+T1292</f>
        <v/>
      </c>
      <c r="J1292" s="30"/>
      <c r="K1292" s="22" t="str">
        <f>IF(I1292="","",IF(I1292="ENTRADA",ABS(J1292),-ABS(J1292)))</f>
        <v/>
      </c>
      <c r="Q1292" s="35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1689</v>
      </c>
      <c r="H1293" s="20" t="str">
        <f>+T1293</f>
        <v/>
      </c>
      <c r="J1293" s="30"/>
      <c r="K1293" s="22" t="str">
        <f>IF(I1293="","",IF(I1293="ENTRADA",ABS(J1293),-ABS(J1293)))</f>
        <v/>
      </c>
      <c r="Q1293" s="35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1690</v>
      </c>
      <c r="H1294" s="20" t="str">
        <f>+T1294</f>
        <v/>
      </c>
      <c r="J1294" s="30"/>
      <c r="K1294" s="22" t="str">
        <f>IF(I1294="","",IF(I1294="ENTRADA",ABS(J1294),-ABS(J1294)))</f>
        <v/>
      </c>
      <c r="Q1294" s="35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1691</v>
      </c>
      <c r="H1295" s="20" t="str">
        <f>+T1295</f>
        <v/>
      </c>
      <c r="J1295" s="30"/>
      <c r="K1295" s="22" t="str">
        <f>IF(I1295="","",IF(I1295="ENTRADA",ABS(J1295),-ABS(J1295)))</f>
        <v/>
      </c>
      <c r="Q1295" s="35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1692</v>
      </c>
      <c r="H1296" s="20" t="str">
        <f>+T1296</f>
        <v/>
      </c>
      <c r="J1296" s="30"/>
      <c r="K1296" s="22" t="str">
        <f>IF(I1296="","",IF(I1296="ENTRADA",ABS(J1296),-ABS(J1296)))</f>
        <v/>
      </c>
      <c r="Q1296" s="35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1693</v>
      </c>
      <c r="H1297" s="20" t="str">
        <f>+T1297</f>
        <v/>
      </c>
      <c r="J1297" s="30"/>
      <c r="K1297" s="22" t="str">
        <f>IF(I1297="","",IF(I1297="ENTRADA",ABS(J1297),-ABS(J1297)))</f>
        <v/>
      </c>
      <c r="Q1297" s="35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1694</v>
      </c>
      <c r="H1298" s="20" t="str">
        <f>+T1298</f>
        <v/>
      </c>
      <c r="J1298" s="30"/>
      <c r="K1298" s="22" t="str">
        <f>IF(I1298="","",IF(I1298="ENTRADA",ABS(J1298),-ABS(J1298)))</f>
        <v/>
      </c>
      <c r="Q1298" s="35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1695</v>
      </c>
      <c r="H1299" s="20" t="str">
        <f>+T1299</f>
        <v/>
      </c>
      <c r="J1299" s="30"/>
      <c r="K1299" s="22" t="str">
        <f>IF(I1299="","",IF(I1299="ENTRADA",ABS(J1299),-ABS(J1299)))</f>
        <v/>
      </c>
      <c r="Q1299" s="35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1696</v>
      </c>
      <c r="H1300" s="20" t="str">
        <f>+T1300</f>
        <v/>
      </c>
      <c r="J1300" s="30"/>
      <c r="K1300" s="22" t="str">
        <f>IF(I1300="","",IF(I1300="ENTRADA",ABS(J1300),-ABS(J1300)))</f>
        <v/>
      </c>
      <c r="Q1300" s="35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1697</v>
      </c>
      <c r="H1301" s="20" t="str">
        <f>+T1301</f>
        <v/>
      </c>
      <c r="J1301" s="30"/>
      <c r="K1301" s="22" t="str">
        <f>IF(I1301="","",IF(I1301="ENTRADA",ABS(J1301),-ABS(J1301)))</f>
        <v/>
      </c>
      <c r="Q1301" s="35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1698</v>
      </c>
      <c r="H1302" s="20" t="str">
        <f>+T1302</f>
        <v/>
      </c>
      <c r="J1302" s="30"/>
      <c r="K1302" s="22" t="str">
        <f>IF(I1302="","",IF(I1302="ENTRADA",ABS(J1302),-ABS(J1302)))</f>
        <v/>
      </c>
      <c r="Q1302" s="35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1699</v>
      </c>
      <c r="H1303" s="20" t="str">
        <f>+T1303</f>
        <v/>
      </c>
      <c r="J1303" s="30"/>
      <c r="K1303" s="22" t="str">
        <f>IF(I1303="","",IF(I1303="ENTRADA",ABS(J1303),-ABS(J1303)))</f>
        <v/>
      </c>
      <c r="Q1303" s="35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1700</v>
      </c>
      <c r="H1304" s="20" t="str">
        <f>+T1304</f>
        <v/>
      </c>
      <c r="J1304" s="30"/>
      <c r="K1304" s="22" t="str">
        <f>IF(I1304="","",IF(I1304="ENTRADA",ABS(J1304),-ABS(J1304)))</f>
        <v/>
      </c>
      <c r="Q1304" s="35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1701</v>
      </c>
      <c r="H1305" s="20" t="str">
        <f>+T1305</f>
        <v/>
      </c>
      <c r="J1305" s="30"/>
      <c r="K1305" s="22" t="str">
        <f>IF(I1305="","",IF(I1305="ENTRADA",ABS(J1305),-ABS(J1305)))</f>
        <v/>
      </c>
      <c r="Q1305" s="35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1702</v>
      </c>
      <c r="H1306" s="20" t="str">
        <f>+T1306</f>
        <v/>
      </c>
      <c r="J1306" s="30"/>
      <c r="K1306" s="22" t="str">
        <f>IF(I1306="","",IF(I1306="ENTRADA",ABS(J1306),-ABS(J1306)))</f>
        <v/>
      </c>
      <c r="Q1306" s="35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1703</v>
      </c>
      <c r="H1307" s="20" t="str">
        <f>+T1307</f>
        <v/>
      </c>
      <c r="J1307" s="30"/>
      <c r="K1307" s="22" t="str">
        <f>IF(I1307="","",IF(I1307="ENTRADA",ABS(J1307),-ABS(J1307)))</f>
        <v/>
      </c>
      <c r="Q1307" s="35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1704</v>
      </c>
      <c r="H1308" s="20" t="str">
        <f>+T1308</f>
        <v/>
      </c>
      <c r="J1308" s="30"/>
      <c r="K1308" s="22" t="str">
        <f>IF(I1308="","",IF(I1308="ENTRADA",ABS(J1308),-ABS(J1308)))</f>
        <v/>
      </c>
      <c r="Q1308" s="35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1705</v>
      </c>
      <c r="H1309" s="20" t="str">
        <f>+T1309</f>
        <v/>
      </c>
      <c r="J1309" s="30"/>
      <c r="K1309" s="22" t="str">
        <f>IF(I1309="","",IF(I1309="ENTRADA",ABS(J1309),-ABS(J1309)))</f>
        <v/>
      </c>
      <c r="Q1309" s="35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1706</v>
      </c>
      <c r="H1310" s="20" t="str">
        <f>+T1310</f>
        <v/>
      </c>
      <c r="J1310" s="30"/>
      <c r="K1310" s="22" t="str">
        <f>IF(I1310="","",IF(I1310="ENTRADA",ABS(J1310),-ABS(J1310)))</f>
        <v/>
      </c>
      <c r="Q1310" s="35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1707</v>
      </c>
      <c r="H1311" s="20" t="str">
        <f>+T1311</f>
        <v/>
      </c>
      <c r="J1311" s="30"/>
      <c r="K1311" s="22" t="str">
        <f>IF(I1311="","",IF(I1311="ENTRADA",ABS(J1311),-ABS(J1311)))</f>
        <v/>
      </c>
      <c r="Q1311" s="35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1708</v>
      </c>
      <c r="H1312" s="20" t="str">
        <f>+T1312</f>
        <v/>
      </c>
      <c r="J1312" s="30"/>
      <c r="K1312" s="22" t="str">
        <f>IF(I1312="","",IF(I1312="ENTRADA",ABS(J1312),-ABS(J1312)))</f>
        <v/>
      </c>
      <c r="Q1312" s="35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1709</v>
      </c>
      <c r="H1313" s="20" t="str">
        <f>+T1313</f>
        <v/>
      </c>
      <c r="J1313" s="30"/>
      <c r="K1313" s="22" t="str">
        <f>IF(I1313="","",IF(I1313="ENTRADA",ABS(J1313),-ABS(J1313)))</f>
        <v/>
      </c>
      <c r="Q1313" s="35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1710</v>
      </c>
      <c r="H1314" s="20" t="str">
        <f>+T1314</f>
        <v/>
      </c>
      <c r="J1314" s="30"/>
      <c r="K1314" s="22" t="str">
        <f>IF(I1314="","",IF(I1314="ENTRADA",ABS(J1314),-ABS(J1314)))</f>
        <v/>
      </c>
      <c r="Q1314" s="35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1711</v>
      </c>
      <c r="H1315" s="20" t="str">
        <f>+T1315</f>
        <v/>
      </c>
      <c r="J1315" s="30"/>
      <c r="K1315" s="22" t="str">
        <f>IF(I1315="","",IF(I1315="ENTRADA",ABS(J1315),-ABS(J1315)))</f>
        <v/>
      </c>
      <c r="Q1315" s="35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1712</v>
      </c>
      <c r="H1316" s="20" t="str">
        <f>+T1316</f>
        <v/>
      </c>
      <c r="J1316" s="30"/>
      <c r="K1316" s="22" t="str">
        <f>IF(I1316="","",IF(I1316="ENTRADA",ABS(J1316),-ABS(J1316)))</f>
        <v/>
      </c>
      <c r="Q1316" s="35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1713</v>
      </c>
      <c r="H1317" s="20" t="str">
        <f>+T1317</f>
        <v/>
      </c>
      <c r="J1317" s="30"/>
      <c r="K1317" s="22" t="str">
        <f>IF(I1317="","",IF(I1317="ENTRADA",ABS(J1317),-ABS(J1317)))</f>
        <v/>
      </c>
      <c r="Q1317" s="35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1714</v>
      </c>
      <c r="H1318" s="20" t="str">
        <f>+T1318</f>
        <v/>
      </c>
      <c r="J1318" s="30"/>
      <c r="K1318" s="22" t="str">
        <f>IF(I1318="","",IF(I1318="ENTRADA",ABS(J1318),-ABS(J1318)))</f>
        <v/>
      </c>
      <c r="Q1318" s="35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1715</v>
      </c>
      <c r="H1319" s="20" t="str">
        <f>+T1319</f>
        <v/>
      </c>
      <c r="J1319" s="30"/>
      <c r="K1319" s="22" t="str">
        <f>IF(I1319="","",IF(I1319="ENTRADA",ABS(J1319),-ABS(J1319)))</f>
        <v/>
      </c>
      <c r="Q1319" s="35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1716</v>
      </c>
      <c r="H1320" s="20" t="str">
        <f>+T1320</f>
        <v/>
      </c>
      <c r="J1320" s="30"/>
      <c r="K1320" s="22" t="str">
        <f>IF(I1320="","",IF(I1320="ENTRADA",ABS(J1320),-ABS(J1320)))</f>
        <v/>
      </c>
      <c r="Q1320" s="35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1717</v>
      </c>
      <c r="H1321" s="20" t="str">
        <f>+T1321</f>
        <v/>
      </c>
      <c r="J1321" s="30"/>
      <c r="K1321" s="22" t="str">
        <f>IF(I1321="","",IF(I1321="ENTRADA",ABS(J1321),-ABS(J1321)))</f>
        <v/>
      </c>
      <c r="Q1321" s="35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1718</v>
      </c>
      <c r="H1322" s="20" t="str">
        <f>+T1322</f>
        <v/>
      </c>
      <c r="J1322" s="30"/>
      <c r="K1322" s="22" t="str">
        <f>IF(I1322="","",IF(I1322="ENTRADA",ABS(J1322),-ABS(J1322)))</f>
        <v/>
      </c>
      <c r="Q1322" s="35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1719</v>
      </c>
      <c r="H1323" s="20" t="str">
        <f>+T1323</f>
        <v/>
      </c>
      <c r="J1323" s="30"/>
      <c r="K1323" s="22" t="str">
        <f>IF(I1323="","",IF(I1323="ENTRADA",ABS(J1323),-ABS(J1323)))</f>
        <v/>
      </c>
      <c r="Q1323" s="35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1720</v>
      </c>
      <c r="H1324" s="20" t="str">
        <f>+T1324</f>
        <v/>
      </c>
      <c r="J1324" s="30"/>
      <c r="K1324" s="22" t="str">
        <f>IF(I1324="","",IF(I1324="ENTRADA",ABS(J1324),-ABS(J1324)))</f>
        <v/>
      </c>
      <c r="Q1324" s="35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1721</v>
      </c>
      <c r="H1325" s="20" t="str">
        <f>+T1325</f>
        <v/>
      </c>
      <c r="J1325" s="30"/>
      <c r="K1325" s="22" t="str">
        <f>IF(I1325="","",IF(I1325="ENTRADA",ABS(J1325),-ABS(J1325)))</f>
        <v/>
      </c>
      <c r="Q1325" s="35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1722</v>
      </c>
      <c r="H1326" s="20" t="str">
        <f>+T1326</f>
        <v/>
      </c>
      <c r="J1326" s="30"/>
      <c r="K1326" s="22" t="str">
        <f>IF(I1326="","",IF(I1326="ENTRADA",ABS(J1326),-ABS(J1326)))</f>
        <v/>
      </c>
      <c r="Q1326" s="35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1723</v>
      </c>
      <c r="H1327" s="20" t="str">
        <f>+T1327</f>
        <v/>
      </c>
      <c r="J1327" s="30"/>
      <c r="K1327" s="22" t="str">
        <f>IF(I1327="","",IF(I1327="ENTRADA",ABS(J1327),-ABS(J1327)))</f>
        <v/>
      </c>
      <c r="Q1327" s="35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1724</v>
      </c>
      <c r="H1328" s="20" t="str">
        <f>+T1328</f>
        <v/>
      </c>
      <c r="J1328" s="30"/>
      <c r="K1328" s="22" t="str">
        <f>IF(I1328="","",IF(I1328="ENTRADA",ABS(J1328),-ABS(J1328)))</f>
        <v/>
      </c>
      <c r="Q1328" s="35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1725</v>
      </c>
      <c r="H1329" s="20" t="str">
        <f>+T1329</f>
        <v/>
      </c>
      <c r="J1329" s="30"/>
      <c r="K1329" s="22" t="str">
        <f>IF(I1329="","",IF(I1329="ENTRADA",ABS(J1329),-ABS(J1329)))</f>
        <v/>
      </c>
      <c r="Q1329" s="35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1726</v>
      </c>
      <c r="H1330" s="20" t="str">
        <f>+T1330</f>
        <v/>
      </c>
      <c r="J1330" s="30"/>
      <c r="K1330" s="22" t="str">
        <f>IF(I1330="","",IF(I1330="ENTRADA",ABS(J1330),-ABS(J1330)))</f>
        <v/>
      </c>
      <c r="Q1330" s="35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1727</v>
      </c>
      <c r="H1331" s="20" t="str">
        <f>+T1331</f>
        <v/>
      </c>
      <c r="J1331" s="30"/>
      <c r="K1331" s="22" t="str">
        <f>IF(I1331="","",IF(I1331="ENTRADA",ABS(J1331),-ABS(J1331)))</f>
        <v/>
      </c>
      <c r="Q1331" s="35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1728</v>
      </c>
      <c r="H1332" s="20" t="str">
        <f>+T1332</f>
        <v/>
      </c>
      <c r="J1332" s="30"/>
      <c r="K1332" s="22" t="str">
        <f>IF(I1332="","",IF(I1332="ENTRADA",ABS(J1332),-ABS(J1332)))</f>
        <v/>
      </c>
      <c r="Q1332" s="35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1729</v>
      </c>
      <c r="H1333" s="20" t="str">
        <f>+T1333</f>
        <v/>
      </c>
      <c r="J1333" s="30"/>
      <c r="K1333" s="22" t="str">
        <f>IF(I1333="","",IF(I1333="ENTRADA",ABS(J1333),-ABS(J1333)))</f>
        <v/>
      </c>
      <c r="Q1333" s="35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1730</v>
      </c>
      <c r="H1334" s="20" t="str">
        <f>+T1334</f>
        <v/>
      </c>
      <c r="J1334" s="30"/>
      <c r="K1334" s="22" t="str">
        <f>IF(I1334="","",IF(I1334="ENTRADA",ABS(J1334),-ABS(J1334)))</f>
        <v/>
      </c>
      <c r="Q1334" s="35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1731</v>
      </c>
      <c r="H1335" s="20" t="str">
        <f>+T1335</f>
        <v/>
      </c>
      <c r="J1335" s="30"/>
      <c r="K1335" s="22" t="str">
        <f>IF(I1335="","",IF(I1335="ENTRADA",ABS(J1335),-ABS(J1335)))</f>
        <v/>
      </c>
      <c r="Q1335" s="35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1732</v>
      </c>
      <c r="H1336" s="20" t="str">
        <f>+T1336</f>
        <v/>
      </c>
      <c r="J1336" s="30"/>
      <c r="K1336" s="22" t="str">
        <f>IF(I1336="","",IF(I1336="ENTRADA",ABS(J1336),-ABS(J1336)))</f>
        <v/>
      </c>
      <c r="Q1336" s="35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1733</v>
      </c>
      <c r="H1337" s="20" t="str">
        <f>+T1337</f>
        <v/>
      </c>
      <c r="J1337" s="30"/>
      <c r="K1337" s="22" t="str">
        <f>IF(I1337="","",IF(I1337="ENTRADA",ABS(J1337),-ABS(J1337)))</f>
        <v/>
      </c>
      <c r="Q1337" s="35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1734</v>
      </c>
      <c r="H1338" s="20" t="str">
        <f>+T1338</f>
        <v/>
      </c>
      <c r="J1338" s="30"/>
      <c r="K1338" s="22" t="str">
        <f>IF(I1338="","",IF(I1338="ENTRADA",ABS(J1338),-ABS(J1338)))</f>
        <v/>
      </c>
      <c r="Q1338" s="35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1735</v>
      </c>
      <c r="H1339" s="20" t="str">
        <f>+T1339</f>
        <v/>
      </c>
      <c r="J1339" s="30"/>
      <c r="K1339" s="22" t="str">
        <f>IF(I1339="","",IF(I1339="ENTRADA",ABS(J1339),-ABS(J1339)))</f>
        <v/>
      </c>
      <c r="Q1339" s="35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1736</v>
      </c>
      <c r="H1340" s="20" t="str">
        <f>+T1340</f>
        <v/>
      </c>
      <c r="J1340" s="30"/>
      <c r="K1340" s="22" t="str">
        <f>IF(I1340="","",IF(I1340="ENTRADA",ABS(J1340),-ABS(J1340)))</f>
        <v/>
      </c>
      <c r="Q1340" s="35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1737</v>
      </c>
      <c r="H1341" s="20" t="str">
        <f>+T1341</f>
        <v/>
      </c>
      <c r="J1341" s="30"/>
      <c r="K1341" s="22" t="str">
        <f>IF(I1341="","",IF(I1341="ENTRADA",ABS(J1341),-ABS(J1341)))</f>
        <v/>
      </c>
      <c r="Q1341" s="35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1738</v>
      </c>
      <c r="H1342" s="20" t="str">
        <f>+T1342</f>
        <v/>
      </c>
      <c r="J1342" s="30"/>
      <c r="K1342" s="22" t="str">
        <f>IF(I1342="","",IF(I1342="ENTRADA",ABS(J1342),-ABS(J1342)))</f>
        <v/>
      </c>
      <c r="Q1342" s="35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1739</v>
      </c>
      <c r="H1343" s="20" t="str">
        <f>+T1343</f>
        <v/>
      </c>
      <c r="J1343" s="30"/>
      <c r="K1343" s="22" t="str">
        <f>IF(I1343="","",IF(I1343="ENTRADA",ABS(J1343),-ABS(J1343)))</f>
        <v/>
      </c>
      <c r="Q1343" s="35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1740</v>
      </c>
      <c r="H1344" s="20" t="str">
        <f>+T1344</f>
        <v/>
      </c>
      <c r="J1344" s="30"/>
      <c r="K1344" s="22" t="str">
        <f>IF(I1344="","",IF(I1344="ENTRADA",ABS(J1344),-ABS(J1344)))</f>
        <v/>
      </c>
      <c r="Q1344" s="35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1741</v>
      </c>
      <c r="H1345" s="20" t="str">
        <f>+T1345</f>
        <v/>
      </c>
      <c r="J1345" s="30"/>
      <c r="K1345" s="22" t="str">
        <f>IF(I1345="","",IF(I1345="ENTRADA",ABS(J1345),-ABS(J1345)))</f>
        <v/>
      </c>
      <c r="Q1345" s="35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1742</v>
      </c>
      <c r="H1346" s="20" t="str">
        <f>+T1346</f>
        <v/>
      </c>
      <c r="J1346" s="30"/>
      <c r="K1346" s="22" t="str">
        <f>IF(I1346="","",IF(I1346="ENTRADA",ABS(J1346),-ABS(J1346)))</f>
        <v/>
      </c>
      <c r="Q1346" s="35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1743</v>
      </c>
      <c r="H1347" s="20" t="str">
        <f>+T1347</f>
        <v/>
      </c>
      <c r="J1347" s="30"/>
      <c r="K1347" s="22" t="str">
        <f>IF(I1347="","",IF(I1347="ENTRADA",ABS(J1347),-ABS(J1347)))</f>
        <v/>
      </c>
      <c r="Q1347" s="35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1744</v>
      </c>
      <c r="H1348" s="20" t="str">
        <f>+T1348</f>
        <v/>
      </c>
      <c r="J1348" s="30"/>
      <c r="K1348" s="22" t="str">
        <f>IF(I1348="","",IF(I1348="ENTRADA",ABS(J1348),-ABS(J1348)))</f>
        <v/>
      </c>
      <c r="Q1348" s="35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1745</v>
      </c>
      <c r="H1349" s="20" t="str">
        <f>+T1349</f>
        <v/>
      </c>
      <c r="J1349" s="30"/>
      <c r="K1349" s="22" t="str">
        <f>IF(I1349="","",IF(I1349="ENTRADA",ABS(J1349),-ABS(J1349)))</f>
        <v/>
      </c>
      <c r="Q1349" s="35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1746</v>
      </c>
      <c r="H1350" s="20" t="str">
        <f>+T1350</f>
        <v/>
      </c>
      <c r="J1350" s="30"/>
      <c r="K1350" s="22" t="str">
        <f>IF(I1350="","",IF(I1350="ENTRADA",ABS(J1350),-ABS(J1350)))</f>
        <v/>
      </c>
      <c r="Q1350" s="35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1747</v>
      </c>
      <c r="H1351" s="20" t="str">
        <f>+T1351</f>
        <v/>
      </c>
      <c r="J1351" s="30"/>
      <c r="K1351" s="22" t="str">
        <f>IF(I1351="","",IF(I1351="ENTRADA",ABS(J1351),-ABS(J1351)))</f>
        <v/>
      </c>
      <c r="Q1351" s="35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1748</v>
      </c>
      <c r="H1352" s="20" t="str">
        <f>+T1352</f>
        <v/>
      </c>
      <c r="J1352" s="30"/>
      <c r="K1352" s="22" t="str">
        <f>IF(I1352="","",IF(I1352="ENTRADA",ABS(J1352),-ABS(J1352)))</f>
        <v/>
      </c>
      <c r="Q1352" s="35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1749</v>
      </c>
      <c r="H1353" s="20" t="str">
        <f>+T1353</f>
        <v/>
      </c>
      <c r="J1353" s="30"/>
      <c r="K1353" s="22" t="str">
        <f>IF(I1353="","",IF(I1353="ENTRADA",ABS(J1353),-ABS(J1353)))</f>
        <v/>
      </c>
      <c r="Q1353" s="35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1750</v>
      </c>
      <c r="H1354" s="20" t="str">
        <f>+T1354</f>
        <v/>
      </c>
      <c r="J1354" s="30"/>
      <c r="K1354" s="22" t="str">
        <f>IF(I1354="","",IF(I1354="ENTRADA",ABS(J1354),-ABS(J1354)))</f>
        <v/>
      </c>
      <c r="Q1354" s="35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1751</v>
      </c>
      <c r="H1355" s="20" t="str">
        <f>+T1355</f>
        <v/>
      </c>
      <c r="J1355" s="30"/>
      <c r="K1355" s="22" t="str">
        <f>IF(I1355="","",IF(I1355="ENTRADA",ABS(J1355),-ABS(J1355)))</f>
        <v/>
      </c>
      <c r="Q1355" s="35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1752</v>
      </c>
      <c r="H1356" s="20" t="str">
        <f>+T1356</f>
        <v/>
      </c>
      <c r="J1356" s="30"/>
      <c r="K1356" s="22" t="str">
        <f>IF(I1356="","",IF(I1356="ENTRADA",ABS(J1356),-ABS(J1356)))</f>
        <v/>
      </c>
      <c r="Q1356" s="35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1753</v>
      </c>
      <c r="H1357" s="20" t="str">
        <f>+T1357</f>
        <v/>
      </c>
      <c r="J1357" s="30"/>
      <c r="K1357" s="22" t="str">
        <f>IF(I1357="","",IF(I1357="ENTRADA",ABS(J1357),-ABS(J1357)))</f>
        <v/>
      </c>
      <c r="Q1357" s="35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1754</v>
      </c>
      <c r="H1358" s="20" t="str">
        <f>+T1358</f>
        <v/>
      </c>
      <c r="J1358" s="30"/>
      <c r="K1358" s="22" t="str">
        <f>IF(I1358="","",IF(I1358="ENTRADA",ABS(J1358),-ABS(J1358)))</f>
        <v/>
      </c>
      <c r="Q1358" s="35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1755</v>
      </c>
      <c r="H1359" s="20" t="str">
        <f>+T1359</f>
        <v/>
      </c>
      <c r="J1359" s="30"/>
      <c r="K1359" s="22" t="str">
        <f>IF(I1359="","",IF(I1359="ENTRADA",ABS(J1359),-ABS(J1359)))</f>
        <v/>
      </c>
      <c r="Q1359" s="35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1756</v>
      </c>
      <c r="H1360" s="20" t="str">
        <f>+T1360</f>
        <v/>
      </c>
      <c r="J1360" s="30"/>
      <c r="K1360" s="22" t="str">
        <f>IF(I1360="","",IF(I1360="ENTRADA",ABS(J1360),-ABS(J1360)))</f>
        <v/>
      </c>
      <c r="Q1360" s="35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1757</v>
      </c>
      <c r="H1361" s="20" t="str">
        <f>+T1361</f>
        <v/>
      </c>
      <c r="J1361" s="30"/>
      <c r="K1361" s="22" t="str">
        <f>IF(I1361="","",IF(I1361="ENTRADA",ABS(J1361),-ABS(J1361)))</f>
        <v/>
      </c>
      <c r="Q1361" s="35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1758</v>
      </c>
      <c r="H1362" s="20" t="str">
        <f>+T1362</f>
        <v/>
      </c>
      <c r="J1362" s="30"/>
      <c r="K1362" s="22" t="str">
        <f>IF(I1362="","",IF(I1362="ENTRADA",ABS(J1362),-ABS(J1362)))</f>
        <v/>
      </c>
      <c r="Q1362" s="35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1759</v>
      </c>
      <c r="H1363" s="20" t="str">
        <f>+T1363</f>
        <v/>
      </c>
      <c r="J1363" s="30"/>
      <c r="K1363" s="22" t="str">
        <f>IF(I1363="","",IF(I1363="ENTRADA",ABS(J1363),-ABS(J1363)))</f>
        <v/>
      </c>
      <c r="Q1363" s="35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1760</v>
      </c>
      <c r="H1364" s="20" t="str">
        <f>+T1364</f>
        <v/>
      </c>
      <c r="J1364" s="30"/>
      <c r="K1364" s="22" t="str">
        <f>IF(I1364="","",IF(I1364="ENTRADA",ABS(J1364),-ABS(J1364)))</f>
        <v/>
      </c>
      <c r="Q1364" s="35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1761</v>
      </c>
      <c r="H1365" s="20" t="str">
        <f>+T1365</f>
        <v/>
      </c>
      <c r="J1365" s="30"/>
      <c r="K1365" s="22" t="str">
        <f>IF(I1365="","",IF(I1365="ENTRADA",ABS(J1365),-ABS(J1365)))</f>
        <v/>
      </c>
      <c r="Q1365" s="35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1762</v>
      </c>
      <c r="H1366" s="20" t="str">
        <f>+T1366</f>
        <v/>
      </c>
      <c r="J1366" s="30"/>
      <c r="K1366" s="22" t="str">
        <f>IF(I1366="","",IF(I1366="ENTRADA",ABS(J1366),-ABS(J1366)))</f>
        <v/>
      </c>
      <c r="Q1366" s="35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1763</v>
      </c>
      <c r="H1367" s="20" t="str">
        <f>+T1367</f>
        <v/>
      </c>
      <c r="J1367" s="30"/>
      <c r="K1367" s="22" t="str">
        <f>IF(I1367="","",IF(I1367="ENTRADA",ABS(J1367),-ABS(J1367)))</f>
        <v/>
      </c>
      <c r="Q1367" s="35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1764</v>
      </c>
      <c r="H1368" s="20" t="str">
        <f>+T1368</f>
        <v/>
      </c>
      <c r="J1368" s="30"/>
      <c r="K1368" s="22" t="str">
        <f>IF(I1368="","",IF(I1368="ENTRADA",ABS(J1368),-ABS(J1368)))</f>
        <v/>
      </c>
      <c r="Q1368" s="35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1765</v>
      </c>
      <c r="H1369" s="20" t="str">
        <f>+T1369</f>
        <v/>
      </c>
      <c r="J1369" s="30"/>
      <c r="K1369" s="22" t="str">
        <f>IF(I1369="","",IF(I1369="ENTRADA",ABS(J1369),-ABS(J1369)))</f>
        <v/>
      </c>
      <c r="Q1369" s="35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1766</v>
      </c>
      <c r="H1370" s="20" t="str">
        <f>+T1370</f>
        <v/>
      </c>
      <c r="J1370" s="30"/>
      <c r="K1370" s="22" t="str">
        <f>IF(I1370="","",IF(I1370="ENTRADA",ABS(J1370),-ABS(J1370)))</f>
        <v/>
      </c>
      <c r="Q1370" s="35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1767</v>
      </c>
      <c r="H1371" s="20" t="str">
        <f>+T1371</f>
        <v/>
      </c>
      <c r="J1371" s="30"/>
      <c r="K1371" s="22" t="str">
        <f>IF(I1371="","",IF(I1371="ENTRADA",ABS(J1371),-ABS(J1371)))</f>
        <v/>
      </c>
      <c r="Q1371" s="35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1768</v>
      </c>
      <c r="H1372" s="20" t="str">
        <f>+T1372</f>
        <v/>
      </c>
      <c r="J1372" s="30"/>
      <c r="K1372" s="22" t="str">
        <f>IF(I1372="","",IF(I1372="ENTRADA",ABS(J1372),-ABS(J1372)))</f>
        <v/>
      </c>
      <c r="Q1372" s="35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1769</v>
      </c>
      <c r="H1373" s="20" t="str">
        <f>+T1373</f>
        <v/>
      </c>
      <c r="J1373" s="30"/>
      <c r="K1373" s="22" t="str">
        <f>IF(I1373="","",IF(I1373="ENTRADA",ABS(J1373),-ABS(J1373)))</f>
        <v/>
      </c>
      <c r="Q1373" s="35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1770</v>
      </c>
      <c r="H1374" s="20" t="str">
        <f>+T1374</f>
        <v/>
      </c>
      <c r="J1374" s="30"/>
      <c r="K1374" s="22" t="str">
        <f>IF(I1374="","",IF(I1374="ENTRADA",ABS(J1374),-ABS(J1374)))</f>
        <v/>
      </c>
      <c r="Q1374" s="35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1771</v>
      </c>
      <c r="H1375" s="20" t="str">
        <f>+T1375</f>
        <v/>
      </c>
      <c r="J1375" s="30"/>
      <c r="K1375" s="22" t="str">
        <f>IF(I1375="","",IF(I1375="ENTRADA",ABS(J1375),-ABS(J1375)))</f>
        <v/>
      </c>
      <c r="Q1375" s="35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1772</v>
      </c>
      <c r="H1376" s="20" t="str">
        <f>+T1376</f>
        <v/>
      </c>
      <c r="J1376" s="30"/>
      <c r="K1376" s="22" t="str">
        <f>IF(I1376="","",IF(I1376="ENTRADA",ABS(J1376),-ABS(J1376)))</f>
        <v/>
      </c>
      <c r="Q1376" s="35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1773</v>
      </c>
      <c r="H1377" s="20" t="str">
        <f>+T1377</f>
        <v/>
      </c>
      <c r="J1377" s="30"/>
      <c r="K1377" s="22" t="str">
        <f>IF(I1377="","",IF(I1377="ENTRADA",ABS(J1377),-ABS(J1377)))</f>
        <v/>
      </c>
      <c r="Q1377" s="35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1774</v>
      </c>
      <c r="H1378" s="20" t="str">
        <f>+T1378</f>
        <v/>
      </c>
      <c r="J1378" s="30"/>
      <c r="K1378" s="22" t="str">
        <f>IF(I1378="","",IF(I1378="ENTRADA",ABS(J1378),-ABS(J1378)))</f>
        <v/>
      </c>
      <c r="Q1378" s="35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1775</v>
      </c>
      <c r="H1379" s="20" t="str">
        <f>+T1379</f>
        <v/>
      </c>
      <c r="J1379" s="30"/>
      <c r="K1379" s="22" t="str">
        <f>IF(I1379="","",IF(I1379="ENTRADA",ABS(J1379),-ABS(J1379)))</f>
        <v/>
      </c>
      <c r="Q1379" s="35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1776</v>
      </c>
      <c r="H1380" s="20" t="str">
        <f>+T1380</f>
        <v/>
      </c>
      <c r="J1380" s="30"/>
      <c r="K1380" s="22" t="str">
        <f>IF(I1380="","",IF(I1380="ENTRADA",ABS(J1380),-ABS(J1380)))</f>
        <v/>
      </c>
      <c r="Q1380" s="35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1777</v>
      </c>
      <c r="H1381" s="20" t="str">
        <f>+T1381</f>
        <v/>
      </c>
      <c r="J1381" s="30"/>
      <c r="K1381" s="22" t="str">
        <f>IF(I1381="","",IF(I1381="ENTRADA",ABS(J1381),-ABS(J1381)))</f>
        <v/>
      </c>
      <c r="Q1381" s="35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1778</v>
      </c>
      <c r="H1382" s="20" t="str">
        <f>+T1382</f>
        <v/>
      </c>
      <c r="J1382" s="30"/>
      <c r="K1382" s="22" t="str">
        <f>IF(I1382="","",IF(I1382="ENTRADA",ABS(J1382),-ABS(J1382)))</f>
        <v/>
      </c>
      <c r="Q1382" s="35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1779</v>
      </c>
      <c r="H1383" s="20" t="str">
        <f>+T1383</f>
        <v/>
      </c>
      <c r="J1383" s="30"/>
      <c r="K1383" s="22" t="str">
        <f>IF(I1383="","",IF(I1383="ENTRADA",ABS(J1383),-ABS(J1383)))</f>
        <v/>
      </c>
      <c r="Q1383" s="35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1780</v>
      </c>
      <c r="H1384" s="20" t="str">
        <f>+T1384</f>
        <v/>
      </c>
      <c r="J1384" s="30"/>
      <c r="K1384" s="22" t="str">
        <f>IF(I1384="","",IF(I1384="ENTRADA",ABS(J1384),-ABS(J1384)))</f>
        <v/>
      </c>
      <c r="Q1384" s="35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1781</v>
      </c>
      <c r="H1385" s="20" t="str">
        <f>+T1385</f>
        <v/>
      </c>
      <c r="J1385" s="30"/>
      <c r="K1385" s="22" t="str">
        <f>IF(I1385="","",IF(I1385="ENTRADA",ABS(J1385),-ABS(J1385)))</f>
        <v/>
      </c>
      <c r="Q1385" s="35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1782</v>
      </c>
      <c r="H1386" s="20" t="str">
        <f>+T1386</f>
        <v/>
      </c>
      <c r="J1386" s="30"/>
      <c r="K1386" s="22" t="str">
        <f>IF(I1386="","",IF(I1386="ENTRADA",ABS(J1386),-ABS(J1386)))</f>
        <v/>
      </c>
      <c r="Q1386" s="35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1783</v>
      </c>
      <c r="H1387" s="20" t="str">
        <f>+T1387</f>
        <v/>
      </c>
      <c r="J1387" s="30"/>
      <c r="K1387" s="22" t="str">
        <f>IF(I1387="","",IF(I1387="ENTRADA",ABS(J1387),-ABS(J1387)))</f>
        <v/>
      </c>
      <c r="Q1387" s="35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1784</v>
      </c>
      <c r="H1388" s="20" t="str">
        <f>+T1388</f>
        <v/>
      </c>
      <c r="J1388" s="30"/>
      <c r="K1388" s="22" t="str">
        <f>IF(I1388="","",IF(I1388="ENTRADA",ABS(J1388),-ABS(J1388)))</f>
        <v/>
      </c>
      <c r="Q1388" s="35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1785</v>
      </c>
      <c r="H1389" s="20" t="str">
        <f>+T1389</f>
        <v/>
      </c>
      <c r="J1389" s="30"/>
      <c r="K1389" s="22" t="str">
        <f>IF(I1389="","",IF(I1389="ENTRADA",ABS(J1389),-ABS(J1389)))</f>
        <v/>
      </c>
      <c r="Q1389" s="35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1786</v>
      </c>
      <c r="H1390" s="20" t="str">
        <f>+T1390</f>
        <v/>
      </c>
      <c r="J1390" s="30"/>
      <c r="K1390" s="22" t="str">
        <f>IF(I1390="","",IF(I1390="ENTRADA",ABS(J1390),-ABS(J1390)))</f>
        <v/>
      </c>
      <c r="Q1390" s="35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1787</v>
      </c>
      <c r="H1391" s="20" t="str">
        <f>+T1391</f>
        <v/>
      </c>
      <c r="J1391" s="30"/>
      <c r="K1391" s="22" t="str">
        <f>IF(I1391="","",IF(I1391="ENTRADA",ABS(J1391),-ABS(J1391)))</f>
        <v/>
      </c>
      <c r="Q1391" s="35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1788</v>
      </c>
      <c r="H1392" s="20" t="str">
        <f>+T1392</f>
        <v/>
      </c>
      <c r="J1392" s="30"/>
      <c r="K1392" s="22" t="str">
        <f>IF(I1392="","",IF(I1392="ENTRADA",ABS(J1392),-ABS(J1392)))</f>
        <v/>
      </c>
      <c r="Q1392" s="35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1789</v>
      </c>
      <c r="H1393" s="20" t="str">
        <f>+T1393</f>
        <v/>
      </c>
      <c r="J1393" s="30"/>
      <c r="K1393" s="22" t="str">
        <f>IF(I1393="","",IF(I1393="ENTRADA",ABS(J1393),-ABS(J1393)))</f>
        <v/>
      </c>
      <c r="Q1393" s="35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1790</v>
      </c>
      <c r="H1394" s="20" t="str">
        <f>+T1394</f>
        <v/>
      </c>
      <c r="J1394" s="30"/>
      <c r="K1394" s="22" t="str">
        <f>IF(I1394="","",IF(I1394="ENTRADA",ABS(J1394),-ABS(J1394)))</f>
        <v/>
      </c>
      <c r="Q1394" s="35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1791</v>
      </c>
      <c r="H1395" s="20" t="str">
        <f>+T1395</f>
        <v/>
      </c>
      <c r="J1395" s="30"/>
      <c r="K1395" s="22" t="str">
        <f>IF(I1395="","",IF(I1395="ENTRADA",ABS(J1395),-ABS(J1395)))</f>
        <v/>
      </c>
      <c r="Q1395" s="35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1792</v>
      </c>
      <c r="H1396" s="20" t="str">
        <f>+T1396</f>
        <v/>
      </c>
      <c r="J1396" s="30"/>
      <c r="K1396" s="22" t="str">
        <f>IF(I1396="","",IF(I1396="ENTRADA",ABS(J1396),-ABS(J1396)))</f>
        <v/>
      </c>
      <c r="Q1396" s="35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1793</v>
      </c>
      <c r="H1397" s="20" t="str">
        <f>+T1397</f>
        <v/>
      </c>
      <c r="J1397" s="30"/>
      <c r="K1397" s="22" t="str">
        <f>IF(I1397="","",IF(I1397="ENTRADA",ABS(J1397),-ABS(J1397)))</f>
        <v/>
      </c>
      <c r="Q1397" s="35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1794</v>
      </c>
      <c r="H1398" s="20" t="str">
        <f>+T1398</f>
        <v/>
      </c>
      <c r="J1398" s="30"/>
      <c r="K1398" s="22" t="str">
        <f>IF(I1398="","",IF(I1398="ENTRADA",ABS(J1398),-ABS(J1398)))</f>
        <v/>
      </c>
      <c r="Q1398" s="35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1795</v>
      </c>
      <c r="H1399" s="20" t="str">
        <f>+T1399</f>
        <v/>
      </c>
      <c r="J1399" s="30"/>
      <c r="K1399" s="22" t="str">
        <f>IF(I1399="","",IF(I1399="ENTRADA",ABS(J1399),-ABS(J1399)))</f>
        <v/>
      </c>
      <c r="Q1399" s="35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1796</v>
      </c>
      <c r="H1400" s="20" t="str">
        <f>+T1400</f>
        <v/>
      </c>
      <c r="J1400" s="30"/>
      <c r="K1400" s="22" t="str">
        <f>IF(I1400="","",IF(I1400="ENTRADA",ABS(J1400),-ABS(J1400)))</f>
        <v/>
      </c>
      <c r="Q1400" s="35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1797</v>
      </c>
      <c r="H1401" s="20" t="str">
        <f>+T1401</f>
        <v/>
      </c>
      <c r="J1401" s="30"/>
      <c r="K1401" s="22" t="str">
        <f>IF(I1401="","",IF(I1401="ENTRADA",ABS(J1401),-ABS(J1401)))</f>
        <v/>
      </c>
      <c r="Q1401" s="35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1798</v>
      </c>
      <c r="H1402" s="20" t="str">
        <f>+T1402</f>
        <v/>
      </c>
      <c r="J1402" s="30"/>
      <c r="K1402" s="22" t="str">
        <f>IF(I1402="","",IF(I1402="ENTRADA",ABS(J1402),-ABS(J1402)))</f>
        <v/>
      </c>
      <c r="Q1402" s="35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1799</v>
      </c>
      <c r="H1403" s="20" t="str">
        <f>+T1403</f>
        <v/>
      </c>
      <c r="J1403" s="30"/>
      <c r="K1403" s="22" t="str">
        <f>IF(I1403="","",IF(I1403="ENTRADA",ABS(J1403),-ABS(J1403)))</f>
        <v/>
      </c>
      <c r="Q1403" s="35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1800</v>
      </c>
      <c r="H1404" s="20" t="str">
        <f>+T1404</f>
        <v/>
      </c>
      <c r="J1404" s="30"/>
      <c r="K1404" s="22" t="str">
        <f>IF(I1404="","",IF(I1404="ENTRADA",ABS(J1404),-ABS(J1404)))</f>
        <v/>
      </c>
      <c r="Q1404" s="35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1801</v>
      </c>
      <c r="H1405" s="20" t="str">
        <f>+T1405</f>
        <v/>
      </c>
      <c r="J1405" s="30"/>
      <c r="K1405" s="22" t="str">
        <f>IF(I1405="","",IF(I1405="ENTRADA",ABS(J1405),-ABS(J1405)))</f>
        <v/>
      </c>
      <c r="Q1405" s="35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1802</v>
      </c>
      <c r="H1406" s="20" t="str">
        <f>+T1406</f>
        <v/>
      </c>
      <c r="J1406" s="30"/>
      <c r="K1406" s="22" t="str">
        <f>IF(I1406="","",IF(I1406="ENTRADA",ABS(J1406),-ABS(J1406)))</f>
        <v/>
      </c>
      <c r="Q1406" s="35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1803</v>
      </c>
      <c r="H1407" s="20" t="str">
        <f>+T1407</f>
        <v/>
      </c>
      <c r="J1407" s="30"/>
      <c r="K1407" s="22" t="str">
        <f>IF(I1407="","",IF(I1407="ENTRADA",ABS(J1407),-ABS(J1407)))</f>
        <v/>
      </c>
      <c r="Q1407" s="35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1804</v>
      </c>
      <c r="H1408" s="20" t="str">
        <f>+T1408</f>
        <v/>
      </c>
      <c r="J1408" s="30"/>
      <c r="K1408" s="22" t="str">
        <f>IF(I1408="","",IF(I1408="ENTRADA",ABS(J1408),-ABS(J1408)))</f>
        <v/>
      </c>
      <c r="Q1408" s="35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1805</v>
      </c>
      <c r="H1409" s="20" t="str">
        <f>+T1409</f>
        <v/>
      </c>
      <c r="J1409" s="30"/>
      <c r="K1409" s="22" t="str">
        <f>IF(I1409="","",IF(I1409="ENTRADA",ABS(J1409),-ABS(J1409)))</f>
        <v/>
      </c>
      <c r="Q1409" s="35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1806</v>
      </c>
      <c r="H1410" s="20" t="str">
        <f>+T1410</f>
        <v/>
      </c>
      <c r="J1410" s="30"/>
      <c r="K1410" s="22" t="str">
        <f>IF(I1410="","",IF(I1410="ENTRADA",ABS(J1410),-ABS(J1410)))</f>
        <v/>
      </c>
      <c r="Q1410" s="35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1807</v>
      </c>
      <c r="H1411" s="20" t="str">
        <f>+T1411</f>
        <v/>
      </c>
      <c r="J1411" s="30"/>
      <c r="K1411" s="22" t="str">
        <f>IF(I1411="","",IF(I1411="ENTRADA",ABS(J1411),-ABS(J1411)))</f>
        <v/>
      </c>
      <c r="Q1411" s="35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1808</v>
      </c>
      <c r="H1412" s="20" t="str">
        <f>+T1412</f>
        <v/>
      </c>
      <c r="J1412" s="30"/>
      <c r="K1412" s="22" t="str">
        <f>IF(I1412="","",IF(I1412="ENTRADA",ABS(J1412),-ABS(J1412)))</f>
        <v/>
      </c>
      <c r="Q1412" s="35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1809</v>
      </c>
      <c r="H1413" s="20" t="str">
        <f>+T1413</f>
        <v/>
      </c>
      <c r="J1413" s="30"/>
      <c r="K1413" s="22" t="str">
        <f>IF(I1413="","",IF(I1413="ENTRADA",ABS(J1413),-ABS(J1413)))</f>
        <v/>
      </c>
      <c r="Q1413" s="35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1810</v>
      </c>
      <c r="H1414" s="20" t="str">
        <f>+T1414</f>
        <v/>
      </c>
      <c r="J1414" s="30"/>
      <c r="K1414" s="22" t="str">
        <f>IF(I1414="","",IF(I1414="ENTRADA",ABS(J1414),-ABS(J1414)))</f>
        <v/>
      </c>
      <c r="Q1414" s="35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1811</v>
      </c>
      <c r="H1415" s="20" t="str">
        <f>+T1415</f>
        <v/>
      </c>
      <c r="J1415" s="30"/>
      <c r="K1415" s="22" t="str">
        <f>IF(I1415="","",IF(I1415="ENTRADA",ABS(J1415),-ABS(J1415)))</f>
        <v/>
      </c>
      <c r="Q1415" s="35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1812</v>
      </c>
      <c r="H1416" s="20" t="str">
        <f>+T1416</f>
        <v/>
      </c>
      <c r="J1416" s="30"/>
      <c r="K1416" s="22" t="str">
        <f>IF(I1416="","",IF(I1416="ENTRADA",ABS(J1416),-ABS(J1416)))</f>
        <v/>
      </c>
      <c r="Q1416" s="35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1813</v>
      </c>
      <c r="H1417" s="20" t="str">
        <f>+T1417</f>
        <v/>
      </c>
      <c r="J1417" s="30"/>
      <c r="K1417" s="22" t="str">
        <f>IF(I1417="","",IF(I1417="ENTRADA",ABS(J1417),-ABS(J1417)))</f>
        <v/>
      </c>
      <c r="Q1417" s="35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1814</v>
      </c>
      <c r="H1418" s="20" t="str">
        <f>+T1418</f>
        <v/>
      </c>
      <c r="J1418" s="30"/>
      <c r="K1418" s="22" t="str">
        <f>IF(I1418="","",IF(I1418="ENTRADA",ABS(J1418),-ABS(J1418)))</f>
        <v/>
      </c>
      <c r="Q1418" s="35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1815</v>
      </c>
      <c r="H1419" s="20" t="str">
        <f>+T1419</f>
        <v/>
      </c>
      <c r="J1419" s="30"/>
      <c r="K1419" s="22" t="str">
        <f>IF(I1419="","",IF(I1419="ENTRADA",ABS(J1419),-ABS(J1419)))</f>
        <v/>
      </c>
      <c r="Q1419" s="35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1816</v>
      </c>
      <c r="H1420" s="20" t="str">
        <f>+T1420</f>
        <v/>
      </c>
      <c r="J1420" s="30"/>
      <c r="K1420" s="22" t="str">
        <f>IF(I1420="","",IF(I1420="ENTRADA",ABS(J1420),-ABS(J1420)))</f>
        <v/>
      </c>
      <c r="Q1420" s="35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1817</v>
      </c>
      <c r="H1421" s="20" t="str">
        <f>+T1421</f>
        <v/>
      </c>
      <c r="J1421" s="30"/>
      <c r="K1421" s="22" t="str">
        <f>IF(I1421="","",IF(I1421="ENTRADA",ABS(J1421),-ABS(J1421)))</f>
        <v/>
      </c>
      <c r="Q1421" s="35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1818</v>
      </c>
      <c r="H1422" s="20" t="str">
        <f>+T1422</f>
        <v/>
      </c>
      <c r="J1422" s="30"/>
      <c r="K1422" s="22" t="str">
        <f>IF(I1422="","",IF(I1422="ENTRADA",ABS(J1422),-ABS(J1422)))</f>
        <v/>
      </c>
      <c r="Q1422" s="35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1819</v>
      </c>
      <c r="H1423" s="20" t="str">
        <f>+T1423</f>
        <v/>
      </c>
      <c r="J1423" s="30"/>
      <c r="K1423" s="22" t="str">
        <f>IF(I1423="","",IF(I1423="ENTRADA",ABS(J1423),-ABS(J1423)))</f>
        <v/>
      </c>
      <c r="Q1423" s="35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1820</v>
      </c>
      <c r="H1424" s="20" t="str">
        <f>+T1424</f>
        <v/>
      </c>
      <c r="J1424" s="30"/>
      <c r="K1424" s="22" t="str">
        <f>IF(I1424="","",IF(I1424="ENTRADA",ABS(J1424),-ABS(J1424)))</f>
        <v/>
      </c>
      <c r="Q1424" s="35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1821</v>
      </c>
      <c r="H1425" s="20" t="str">
        <f>+T1425</f>
        <v/>
      </c>
      <c r="J1425" s="30"/>
      <c r="K1425" s="22" t="str">
        <f>IF(I1425="","",IF(I1425="ENTRADA",ABS(J1425),-ABS(J1425)))</f>
        <v/>
      </c>
      <c r="Q1425" s="35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1822</v>
      </c>
      <c r="H1426" s="20" t="str">
        <f>+T1426</f>
        <v/>
      </c>
      <c r="J1426" s="30"/>
      <c r="K1426" s="22" t="str">
        <f>IF(I1426="","",IF(I1426="ENTRADA",ABS(J1426),-ABS(J1426)))</f>
        <v/>
      </c>
      <c r="Q1426" s="35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1823</v>
      </c>
      <c r="H1427" s="20" t="str">
        <f>+T1427</f>
        <v/>
      </c>
      <c r="J1427" s="30"/>
      <c r="K1427" s="22" t="str">
        <f>IF(I1427="","",IF(I1427="ENTRADA",ABS(J1427),-ABS(J1427)))</f>
        <v/>
      </c>
      <c r="Q1427" s="35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1824</v>
      </c>
      <c r="H1428" s="20" t="str">
        <f>+T1428</f>
        <v/>
      </c>
      <c r="J1428" s="30"/>
      <c r="K1428" s="22" t="str">
        <f>IF(I1428="","",IF(I1428="ENTRADA",ABS(J1428),-ABS(J1428)))</f>
        <v/>
      </c>
      <c r="Q1428" s="35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1825</v>
      </c>
      <c r="H1429" s="20" t="str">
        <f>+T1429</f>
        <v/>
      </c>
      <c r="J1429" s="30"/>
      <c r="K1429" s="22" t="str">
        <f>IF(I1429="","",IF(I1429="ENTRADA",ABS(J1429),-ABS(J1429)))</f>
        <v/>
      </c>
      <c r="Q1429" s="35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1826</v>
      </c>
      <c r="H1430" s="20" t="str">
        <f>+T1430</f>
        <v/>
      </c>
      <c r="J1430" s="30"/>
      <c r="K1430" s="22" t="str">
        <f>IF(I1430="","",IF(I1430="ENTRADA",ABS(J1430),-ABS(J1430)))</f>
        <v/>
      </c>
      <c r="Q1430" s="35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1827</v>
      </c>
      <c r="H1431" s="20" t="str">
        <f>+T1431</f>
        <v/>
      </c>
      <c r="J1431" s="30"/>
      <c r="K1431" s="22" t="str">
        <f>IF(I1431="","",IF(I1431="ENTRADA",ABS(J1431),-ABS(J1431)))</f>
        <v/>
      </c>
      <c r="Q1431" s="35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1828</v>
      </c>
      <c r="H1432" s="20" t="str">
        <f>+T1432</f>
        <v/>
      </c>
      <c r="J1432" s="30"/>
      <c r="K1432" s="22" t="str">
        <f>IF(I1432="","",IF(I1432="ENTRADA",ABS(J1432),-ABS(J1432)))</f>
        <v/>
      </c>
      <c r="Q1432" s="35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1829</v>
      </c>
      <c r="H1433" s="20" t="str">
        <f>+T1433</f>
        <v/>
      </c>
      <c r="J1433" s="30"/>
      <c r="K1433" s="22" t="str">
        <f>IF(I1433="","",IF(I1433="ENTRADA",ABS(J1433),-ABS(J1433)))</f>
        <v/>
      </c>
      <c r="Q1433" s="35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1830</v>
      </c>
      <c r="H1434" s="20" t="str">
        <f>+T1434</f>
        <v/>
      </c>
      <c r="J1434" s="30"/>
      <c r="K1434" s="22" t="str">
        <f>IF(I1434="","",IF(I1434="ENTRADA",ABS(J1434),-ABS(J1434)))</f>
        <v/>
      </c>
      <c r="Q1434" s="35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1831</v>
      </c>
      <c r="H1435" s="20" t="str">
        <f>+T1435</f>
        <v/>
      </c>
      <c r="J1435" s="30"/>
      <c r="K1435" s="22" t="str">
        <f>IF(I1435="","",IF(I1435="ENTRADA",ABS(J1435),-ABS(J1435)))</f>
        <v/>
      </c>
      <c r="Q1435" s="35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1832</v>
      </c>
      <c r="H1436" s="20" t="str">
        <f>+T1436</f>
        <v/>
      </c>
      <c r="J1436" s="30"/>
      <c r="K1436" s="22" t="str">
        <f>IF(I1436="","",IF(I1436="ENTRADA",ABS(J1436),-ABS(J1436)))</f>
        <v/>
      </c>
      <c r="Q1436" s="35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1833</v>
      </c>
      <c r="H1437" s="20" t="str">
        <f>+T1437</f>
        <v/>
      </c>
      <c r="J1437" s="30"/>
      <c r="K1437" s="22" t="str">
        <f>IF(I1437="","",IF(I1437="ENTRADA",ABS(J1437),-ABS(J1437)))</f>
        <v/>
      </c>
      <c r="Q1437" s="35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1834</v>
      </c>
      <c r="H1438" s="20" t="str">
        <f>+T1438</f>
        <v/>
      </c>
      <c r="J1438" s="30"/>
      <c r="K1438" s="22" t="str">
        <f>IF(I1438="","",IF(I1438="ENTRADA",ABS(J1438),-ABS(J1438)))</f>
        <v/>
      </c>
      <c r="Q1438" s="35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1835</v>
      </c>
      <c r="H1439" s="20" t="str">
        <f>+T1439</f>
        <v/>
      </c>
      <c r="J1439" s="30"/>
      <c r="K1439" s="22" t="str">
        <f>IF(I1439="","",IF(I1439="ENTRADA",ABS(J1439),-ABS(J1439)))</f>
        <v/>
      </c>
      <c r="Q1439" s="35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1836</v>
      </c>
      <c r="H1440" s="20" t="str">
        <f>+T1440</f>
        <v/>
      </c>
      <c r="J1440" s="30"/>
      <c r="K1440" s="22" t="str">
        <f>IF(I1440="","",IF(I1440="ENTRADA",ABS(J1440),-ABS(J1440)))</f>
        <v/>
      </c>
      <c r="Q1440" s="35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1837</v>
      </c>
      <c r="H1441" s="20" t="str">
        <f>+T1441</f>
        <v/>
      </c>
      <c r="J1441" s="30"/>
      <c r="K1441" s="22" t="str">
        <f>IF(I1441="","",IF(I1441="ENTRADA",ABS(J1441),-ABS(J1441)))</f>
        <v/>
      </c>
      <c r="Q1441" s="35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1838</v>
      </c>
      <c r="H1442" s="20" t="str">
        <f>+T1442</f>
        <v/>
      </c>
      <c r="J1442" s="30"/>
      <c r="K1442" s="22" t="str">
        <f>IF(I1442="","",IF(I1442="ENTRADA",ABS(J1442),-ABS(J1442)))</f>
        <v/>
      </c>
      <c r="Q1442" s="35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1839</v>
      </c>
      <c r="H1443" s="20" t="str">
        <f>+T1443</f>
        <v/>
      </c>
      <c r="J1443" s="30"/>
      <c r="K1443" s="22" t="str">
        <f>IF(I1443="","",IF(I1443="ENTRADA",ABS(J1443),-ABS(J1443)))</f>
        <v/>
      </c>
      <c r="Q1443" s="35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1840</v>
      </c>
      <c r="H1444" s="20" t="str">
        <f>+T1444</f>
        <v/>
      </c>
      <c r="J1444" s="30"/>
      <c r="K1444" s="22" t="str">
        <f>IF(I1444="","",IF(I1444="ENTRADA",ABS(J1444),-ABS(J1444)))</f>
        <v/>
      </c>
      <c r="Q1444" s="35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1841</v>
      </c>
      <c r="H1445" s="20" t="str">
        <f>+T1445</f>
        <v/>
      </c>
      <c r="J1445" s="30"/>
      <c r="K1445" s="22" t="str">
        <f>IF(I1445="","",IF(I1445="ENTRADA",ABS(J1445),-ABS(J1445)))</f>
        <v/>
      </c>
      <c r="Q1445" s="35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1842</v>
      </c>
      <c r="H1446" s="20" t="str">
        <f>+T1446</f>
        <v/>
      </c>
      <c r="J1446" s="30"/>
      <c r="K1446" s="22" t="str">
        <f>IF(I1446="","",IF(I1446="ENTRADA",ABS(J1446),-ABS(J1446)))</f>
        <v/>
      </c>
      <c r="Q1446" s="35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1843</v>
      </c>
      <c r="H1447" s="20" t="str">
        <f>+T1447</f>
        <v/>
      </c>
      <c r="J1447" s="30"/>
      <c r="K1447" s="22" t="str">
        <f>IF(I1447="","",IF(I1447="ENTRADA",ABS(J1447),-ABS(J1447)))</f>
        <v/>
      </c>
      <c r="Q1447" s="35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1844</v>
      </c>
      <c r="H1448" s="20" t="str">
        <f>+T1448</f>
        <v/>
      </c>
      <c r="J1448" s="30"/>
      <c r="K1448" s="22" t="str">
        <f>IF(I1448="","",IF(I1448="ENTRADA",ABS(J1448),-ABS(J1448)))</f>
        <v/>
      </c>
      <c r="Q1448" s="35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1845</v>
      </c>
      <c r="H1449" s="20" t="str">
        <f>+T1449</f>
        <v/>
      </c>
      <c r="J1449" s="30"/>
      <c r="K1449" s="22" t="str">
        <f>IF(I1449="","",IF(I1449="ENTRADA",ABS(J1449),-ABS(J1449)))</f>
        <v/>
      </c>
      <c r="Q1449" s="35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1846</v>
      </c>
      <c r="H1450" s="20" t="str">
        <f>+T1450</f>
        <v/>
      </c>
      <c r="J1450" s="30"/>
      <c r="K1450" s="22" t="str">
        <f>IF(I1450="","",IF(I1450="ENTRADA",ABS(J1450),-ABS(J1450)))</f>
        <v/>
      </c>
      <c r="Q1450" s="35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1847</v>
      </c>
      <c r="H1451" s="20" t="str">
        <f>+T1451</f>
        <v/>
      </c>
      <c r="J1451" s="30"/>
      <c r="K1451" s="22" t="str">
        <f>IF(I1451="","",IF(I1451="ENTRADA",ABS(J1451),-ABS(J1451)))</f>
        <v/>
      </c>
      <c r="Q1451" s="35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1848</v>
      </c>
      <c r="H1452" s="20" t="str">
        <f>+T1452</f>
        <v/>
      </c>
      <c r="J1452" s="30"/>
      <c r="K1452" s="22" t="str">
        <f>IF(I1452="","",IF(I1452="ENTRADA",ABS(J1452),-ABS(J1452)))</f>
        <v/>
      </c>
      <c r="Q1452" s="35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1849</v>
      </c>
      <c r="H1453" s="20" t="str">
        <f>+T1453</f>
        <v/>
      </c>
      <c r="J1453" s="30"/>
      <c r="K1453" s="22" t="str">
        <f>IF(I1453="","",IF(I1453="ENTRADA",ABS(J1453),-ABS(J1453)))</f>
        <v/>
      </c>
      <c r="Q1453" s="35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1850</v>
      </c>
      <c r="H1454" s="20" t="str">
        <f>+T1454</f>
        <v/>
      </c>
      <c r="J1454" s="30"/>
      <c r="K1454" s="22" t="str">
        <f>IF(I1454="","",IF(I1454="ENTRADA",ABS(J1454),-ABS(J1454)))</f>
        <v/>
      </c>
      <c r="Q1454" s="35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1851</v>
      </c>
      <c r="H1455" s="20" t="str">
        <f>+T1455</f>
        <v/>
      </c>
      <c r="J1455" s="30"/>
      <c r="K1455" s="22" t="str">
        <f>IF(I1455="","",IF(I1455="ENTRADA",ABS(J1455),-ABS(J1455)))</f>
        <v/>
      </c>
      <c r="Q1455" s="35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1852</v>
      </c>
      <c r="H1456" s="20" t="str">
        <f>+T1456</f>
        <v/>
      </c>
      <c r="J1456" s="30"/>
      <c r="K1456" s="22" t="str">
        <f>IF(I1456="","",IF(I1456="ENTRADA",ABS(J1456),-ABS(J1456)))</f>
        <v/>
      </c>
      <c r="Q1456" s="35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1853</v>
      </c>
      <c r="H1457" s="20" t="str">
        <f>+T1457</f>
        <v/>
      </c>
      <c r="J1457" s="30"/>
      <c r="K1457" s="22" t="str">
        <f>IF(I1457="","",IF(I1457="ENTRADA",ABS(J1457),-ABS(J1457)))</f>
        <v/>
      </c>
      <c r="Q1457" s="35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1854</v>
      </c>
      <c r="H1458" s="20" t="str">
        <f>+T1458</f>
        <v/>
      </c>
      <c r="J1458" s="30"/>
      <c r="K1458" s="22" t="str">
        <f>IF(I1458="","",IF(I1458="ENTRADA",ABS(J1458),-ABS(J1458)))</f>
        <v/>
      </c>
      <c r="Q1458" s="35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1855</v>
      </c>
      <c r="H1459" s="20" t="str">
        <f>+T1459</f>
        <v/>
      </c>
      <c r="J1459" s="30"/>
      <c r="K1459" s="22" t="str">
        <f>IF(I1459="","",IF(I1459="ENTRADA",ABS(J1459),-ABS(J1459)))</f>
        <v/>
      </c>
      <c r="Q1459" s="35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1856</v>
      </c>
      <c r="H1460" s="20" t="str">
        <f>+T1460</f>
        <v/>
      </c>
      <c r="J1460" s="30"/>
      <c r="K1460" s="22" t="str">
        <f>IF(I1460="","",IF(I1460="ENTRADA",ABS(J1460),-ABS(J1460)))</f>
        <v/>
      </c>
      <c r="Q1460" s="35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1857</v>
      </c>
      <c r="H1461" s="20" t="str">
        <f>+T1461</f>
        <v/>
      </c>
      <c r="J1461" s="30"/>
      <c r="K1461" s="22" t="str">
        <f>IF(I1461="","",IF(I1461="ENTRADA",ABS(J1461),-ABS(J1461)))</f>
        <v/>
      </c>
      <c r="Q1461" s="35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1858</v>
      </c>
      <c r="H1462" s="20" t="str">
        <f>+T1462</f>
        <v/>
      </c>
      <c r="J1462" s="30"/>
      <c r="K1462" s="22" t="str">
        <f>IF(I1462="","",IF(I1462="ENTRADA",ABS(J1462),-ABS(J1462)))</f>
        <v/>
      </c>
      <c r="Q1462" s="35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1859</v>
      </c>
      <c r="H1463" s="20" t="str">
        <f>+T1463</f>
        <v/>
      </c>
      <c r="J1463" s="30"/>
      <c r="K1463" s="22" t="str">
        <f>IF(I1463="","",IF(I1463="ENTRADA",ABS(J1463),-ABS(J1463)))</f>
        <v/>
      </c>
      <c r="Q1463" s="35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1860</v>
      </c>
      <c r="H1464" s="20" t="str">
        <f>+T1464</f>
        <v/>
      </c>
      <c r="J1464" s="30"/>
      <c r="K1464" s="22" t="str">
        <f>IF(I1464="","",IF(I1464="ENTRADA",ABS(J1464),-ABS(J1464)))</f>
        <v/>
      </c>
      <c r="Q1464" s="35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1861</v>
      </c>
      <c r="H1465" s="20" t="str">
        <f>+T1465</f>
        <v/>
      </c>
      <c r="J1465" s="30"/>
      <c r="K1465" s="22" t="str">
        <f>IF(I1465="","",IF(I1465="ENTRADA",ABS(J1465),-ABS(J1465)))</f>
        <v/>
      </c>
      <c r="Q1465" s="35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1862</v>
      </c>
      <c r="H1466" s="20" t="str">
        <f>+T1466</f>
        <v/>
      </c>
      <c r="J1466" s="30"/>
      <c r="K1466" s="22" t="str">
        <f>IF(I1466="","",IF(I1466="ENTRADA",ABS(J1466),-ABS(J1466)))</f>
        <v/>
      </c>
      <c r="Q1466" s="35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1863</v>
      </c>
      <c r="H1467" s="20" t="str">
        <f>+T1467</f>
        <v/>
      </c>
      <c r="J1467" s="30"/>
      <c r="K1467" s="22" t="str">
        <f>IF(I1467="","",IF(I1467="ENTRADA",ABS(J1467),-ABS(J1467)))</f>
        <v/>
      </c>
      <c r="Q1467" s="35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1864</v>
      </c>
      <c r="H1468" s="20" t="str">
        <f>+T1468</f>
        <v/>
      </c>
      <c r="J1468" s="30"/>
      <c r="K1468" s="22" t="str">
        <f>IF(I1468="","",IF(I1468="ENTRADA",ABS(J1468),-ABS(J1468)))</f>
        <v/>
      </c>
      <c r="Q1468" s="35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1865</v>
      </c>
      <c r="H1469" s="20" t="str">
        <f>+T1469</f>
        <v/>
      </c>
      <c r="J1469" s="30"/>
      <c r="K1469" s="22" t="str">
        <f>IF(I1469="","",IF(I1469="ENTRADA",ABS(J1469),-ABS(J1469)))</f>
        <v/>
      </c>
      <c r="Q1469" s="35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1866</v>
      </c>
      <c r="H1470" s="20" t="str">
        <f>+T1470</f>
        <v/>
      </c>
      <c r="J1470" s="30"/>
      <c r="K1470" s="22" t="str">
        <f>IF(I1470="","",IF(I1470="ENTRADA",ABS(J1470),-ABS(J1470)))</f>
        <v/>
      </c>
      <c r="Q1470" s="35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1867</v>
      </c>
      <c r="H1471" s="20" t="str">
        <f>+T1471</f>
        <v/>
      </c>
      <c r="J1471" s="30"/>
      <c r="K1471" s="22" t="str">
        <f>IF(I1471="","",IF(I1471="ENTRADA",ABS(J1471),-ABS(J1471)))</f>
        <v/>
      </c>
      <c r="Q1471" s="35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1868</v>
      </c>
      <c r="H1472" s="20" t="str">
        <f>+T1472</f>
        <v/>
      </c>
      <c r="J1472" s="30"/>
      <c r="K1472" s="22" t="str">
        <f>IF(I1472="","",IF(I1472="ENTRADA",ABS(J1472),-ABS(J1472)))</f>
        <v/>
      </c>
      <c r="Q1472" s="35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1869</v>
      </c>
      <c r="H1473" s="20" t="str">
        <f>+T1473</f>
        <v/>
      </c>
      <c r="J1473" s="30"/>
      <c r="K1473" s="22" t="str">
        <f>IF(I1473="","",IF(I1473="ENTRADA",ABS(J1473),-ABS(J1473)))</f>
        <v/>
      </c>
      <c r="Q1473" s="35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1870</v>
      </c>
      <c r="H1474" s="20" t="str">
        <f>+T1474</f>
        <v/>
      </c>
      <c r="J1474" s="30"/>
      <c r="K1474" s="22" t="str">
        <f>IF(I1474="","",IF(I1474="ENTRADA",ABS(J1474),-ABS(J1474)))</f>
        <v/>
      </c>
      <c r="Q1474" s="35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1871</v>
      </c>
      <c r="H1475" s="20" t="str">
        <f>+T1475</f>
        <v/>
      </c>
      <c r="J1475" s="30"/>
      <c r="K1475" s="22" t="str">
        <f>IF(I1475="","",IF(I1475="ENTRADA",ABS(J1475),-ABS(J1475)))</f>
        <v/>
      </c>
      <c r="Q1475" s="35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1872</v>
      </c>
      <c r="H1476" s="20" t="str">
        <f>+T1476</f>
        <v/>
      </c>
      <c r="J1476" s="30"/>
      <c r="K1476" s="22" t="str">
        <f>IF(I1476="","",IF(I1476="ENTRADA",ABS(J1476),-ABS(J1476)))</f>
        <v/>
      </c>
      <c r="Q1476" s="35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1873</v>
      </c>
      <c r="H1477" s="20" t="str">
        <f>+T1477</f>
        <v/>
      </c>
      <c r="J1477" s="30"/>
      <c r="K1477" s="22" t="str">
        <f>IF(I1477="","",IF(I1477="ENTRADA",ABS(J1477),-ABS(J1477)))</f>
        <v/>
      </c>
      <c r="Q1477" s="35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1874</v>
      </c>
      <c r="H1478" s="20" t="str">
        <f>+T1478</f>
        <v/>
      </c>
      <c r="J1478" s="30"/>
      <c r="K1478" s="22" t="str">
        <f>IF(I1478="","",IF(I1478="ENTRADA",ABS(J1478),-ABS(J1478)))</f>
        <v/>
      </c>
      <c r="Q1478" s="35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1875</v>
      </c>
      <c r="H1479" s="20" t="str">
        <f>+T1479</f>
        <v/>
      </c>
      <c r="J1479" s="30"/>
      <c r="K1479" s="22" t="str">
        <f>IF(I1479="","",IF(I1479="ENTRADA",ABS(J1479),-ABS(J1479)))</f>
        <v/>
      </c>
      <c r="Q1479" s="35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1876</v>
      </c>
      <c r="H1480" s="20" t="str">
        <f>+T1480</f>
        <v/>
      </c>
      <c r="J1480" s="30"/>
      <c r="K1480" s="22" t="str">
        <f>IF(I1480="","",IF(I1480="ENTRADA",ABS(J1480),-ABS(J1480)))</f>
        <v/>
      </c>
      <c r="Q1480" s="35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1877</v>
      </c>
      <c r="H1481" s="20" t="str">
        <f>+T1481</f>
        <v/>
      </c>
      <c r="J1481" s="30"/>
      <c r="K1481" s="22" t="str">
        <f>IF(I1481="","",IF(I1481="ENTRADA",ABS(J1481),-ABS(J1481)))</f>
        <v/>
      </c>
      <c r="Q1481" s="35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1878</v>
      </c>
      <c r="H1482" s="20" t="str">
        <f>+T1482</f>
        <v/>
      </c>
      <c r="J1482" s="30"/>
      <c r="K1482" s="22" t="str">
        <f>IF(I1482="","",IF(I1482="ENTRADA",ABS(J1482),-ABS(J1482)))</f>
        <v/>
      </c>
      <c r="Q1482" s="35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1879</v>
      </c>
      <c r="H1483" s="20" t="str">
        <f>+T1483</f>
        <v/>
      </c>
      <c r="J1483" s="30"/>
      <c r="K1483" s="22" t="str">
        <f>IF(I1483="","",IF(I1483="ENTRADA",ABS(J1483),-ABS(J1483)))</f>
        <v/>
      </c>
      <c r="Q1483" s="35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1880</v>
      </c>
      <c r="H1484" s="20" t="str">
        <f>+T1484</f>
        <v/>
      </c>
      <c r="J1484" s="30"/>
      <c r="K1484" s="22" t="str">
        <f>IF(I1484="","",IF(I1484="ENTRADA",ABS(J1484),-ABS(J1484)))</f>
        <v/>
      </c>
      <c r="Q1484" s="35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1881</v>
      </c>
      <c r="H1485" s="20" t="str">
        <f>+T1485</f>
        <v/>
      </c>
      <c r="J1485" s="30"/>
      <c r="K1485" s="22" t="str">
        <f>IF(I1485="","",IF(I1485="ENTRADA",ABS(J1485),-ABS(J1485)))</f>
        <v/>
      </c>
      <c r="Q1485" s="35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1882</v>
      </c>
      <c r="H1486" s="20" t="str">
        <f>+T1486</f>
        <v/>
      </c>
      <c r="J1486" s="30"/>
      <c r="K1486" s="22" t="str">
        <f>IF(I1486="","",IF(I1486="ENTRADA",ABS(J1486),-ABS(J1486)))</f>
        <v/>
      </c>
      <c r="Q1486" s="35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1883</v>
      </c>
      <c r="H1487" s="20" t="str">
        <f>+T1487</f>
        <v/>
      </c>
      <c r="J1487" s="30"/>
      <c r="K1487" s="22" t="str">
        <f>IF(I1487="","",IF(I1487="ENTRADA",ABS(J1487),-ABS(J1487)))</f>
        <v/>
      </c>
      <c r="Q1487" s="35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1884</v>
      </c>
      <c r="H1488" s="20" t="str">
        <f>+T1488</f>
        <v/>
      </c>
      <c r="J1488" s="30"/>
      <c r="K1488" s="22" t="str">
        <f>IF(I1488="","",IF(I1488="ENTRADA",ABS(J1488),-ABS(J1488)))</f>
        <v/>
      </c>
      <c r="Q1488" s="35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1885</v>
      </c>
      <c r="H1489" s="20" t="str">
        <f>+T1489</f>
        <v/>
      </c>
      <c r="J1489" s="30"/>
      <c r="K1489" s="22" t="str">
        <f>IF(I1489="","",IF(I1489="ENTRADA",ABS(J1489),-ABS(J1489)))</f>
        <v/>
      </c>
      <c r="Q1489" s="35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1886</v>
      </c>
      <c r="H1490" s="20" t="str">
        <f>+T1490</f>
        <v/>
      </c>
      <c r="J1490" s="30"/>
      <c r="K1490" s="22" t="str">
        <f>IF(I1490="","",IF(I1490="ENTRADA",ABS(J1490),-ABS(J1490)))</f>
        <v/>
      </c>
      <c r="Q1490" s="35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1887</v>
      </c>
      <c r="H1491" s="20" t="str">
        <f>+T1491</f>
        <v/>
      </c>
      <c r="J1491" s="30"/>
      <c r="K1491" s="22" t="str">
        <f>IF(I1491="","",IF(I1491="ENTRADA",ABS(J1491),-ABS(J1491)))</f>
        <v/>
      </c>
      <c r="Q1491" s="35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1888</v>
      </c>
      <c r="H1492" s="20" t="str">
        <f>+T1492</f>
        <v/>
      </c>
      <c r="J1492" s="30"/>
      <c r="K1492" s="22" t="str">
        <f>IF(I1492="","",IF(I1492="ENTRADA",ABS(J1492),-ABS(J1492)))</f>
        <v/>
      </c>
      <c r="Q1492" s="35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1889</v>
      </c>
      <c r="H1493" s="20" t="str">
        <f>+T1493</f>
        <v/>
      </c>
      <c r="J1493" s="30"/>
      <c r="K1493" s="22" t="str">
        <f>IF(I1493="","",IF(I1493="ENTRADA",ABS(J1493),-ABS(J1493)))</f>
        <v/>
      </c>
      <c r="Q1493" s="35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1890</v>
      </c>
      <c r="H1494" s="20" t="str">
        <f>+T1494</f>
        <v/>
      </c>
      <c r="J1494" s="30"/>
      <c r="K1494" s="22" t="str">
        <f>IF(I1494="","",IF(I1494="ENTRADA",ABS(J1494),-ABS(J1494)))</f>
        <v/>
      </c>
      <c r="Q1494" s="35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1891</v>
      </c>
      <c r="H1495" s="20" t="str">
        <f>+T1495</f>
        <v/>
      </c>
      <c r="J1495" s="30"/>
      <c r="K1495" s="22" t="str">
        <f>IF(I1495="","",IF(I1495="ENTRADA",ABS(J1495),-ABS(J1495)))</f>
        <v/>
      </c>
      <c r="Q1495" s="35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1892</v>
      </c>
      <c r="H1496" s="20" t="str">
        <f>+T1496</f>
        <v/>
      </c>
      <c r="J1496" s="30"/>
      <c r="K1496" s="22" t="str">
        <f>IF(I1496="","",IF(I1496="ENTRADA",ABS(J1496),-ABS(J1496)))</f>
        <v/>
      </c>
      <c r="Q1496" s="35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1893</v>
      </c>
      <c r="H1497" s="20" t="str">
        <f>+T1497</f>
        <v/>
      </c>
      <c r="J1497" s="30"/>
      <c r="K1497" s="22" t="str">
        <f>IF(I1497="","",IF(I1497="ENTRADA",ABS(J1497),-ABS(J1497)))</f>
        <v/>
      </c>
      <c r="Q1497" s="35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1894</v>
      </c>
      <c r="H1498" s="20" t="str">
        <f>+T1498</f>
        <v/>
      </c>
      <c r="J1498" s="30"/>
      <c r="K1498" s="22" t="str">
        <f>IF(I1498="","",IF(I1498="ENTRADA",ABS(J1498),-ABS(J1498)))</f>
        <v/>
      </c>
      <c r="Q1498" s="35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1895</v>
      </c>
      <c r="H1499" s="20" t="str">
        <f>+T1499</f>
        <v/>
      </c>
      <c r="J1499" s="30"/>
      <c r="K1499" s="22" t="str">
        <f>IF(I1499="","",IF(I1499="ENTRADA",ABS(J1499),-ABS(J1499)))</f>
        <v/>
      </c>
      <c r="Q1499" s="35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1896</v>
      </c>
      <c r="H1500" s="20" t="str">
        <f>+T1500</f>
        <v/>
      </c>
      <c r="J1500" s="30"/>
      <c r="K1500" s="22" t="str">
        <f>IF(I1500="","",IF(I1500="ENTRADA",ABS(J1500),-ABS(J1500)))</f>
        <v/>
      </c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1897</v>
      </c>
      <c r="H1501" s="20" t="str">
        <f>+T1501</f>
        <v/>
      </c>
      <c r="J1501" s="30"/>
      <c r="K1501" s="22" t="str">
        <f>IF(I1501="","",IF(I1501="ENTRADA",ABS(J1501),-ABS(J1501)))</f>
        <v/>
      </c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1898</v>
      </c>
      <c r="H1502" s="20" t="str">
        <f>+T1502</f>
        <v/>
      </c>
      <c r="J1502" s="30"/>
      <c r="K1502" s="22" t="str">
        <f>IF(I1502="","",IF(I1502="ENTRADA",ABS(J1502),-ABS(J1502)))</f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1899</v>
      </c>
      <c r="H1503" s="20" t="str">
        <f>+T1503</f>
        <v/>
      </c>
      <c r="J1503" s="30"/>
      <c r="K1503" s="22" t="str">
        <f>IF(I1503="","",IF(I1503="ENTRADA",ABS(J1503),-ABS(J1503)))</f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1900</v>
      </c>
      <c r="H1504" s="20" t="str">
        <f>+T1504</f>
        <v/>
      </c>
      <c r="J1504" s="30"/>
      <c r="K1504" s="22" t="str">
        <f>IF(I1504="","",IF(I1504="ENTRADA",ABS(J1504),-ABS(J1504)))</f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1901</v>
      </c>
      <c r="H1505" s="20" t="str">
        <f>+T1505</f>
        <v/>
      </c>
      <c r="J1505" s="30"/>
      <c r="K1505" s="22" t="str">
        <f>IF(I1505="","",IF(I1505="ENTRADA",ABS(J1505),-ABS(J1505)))</f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1902</v>
      </c>
      <c r="H1506" s="20" t="str">
        <f>+T1506</f>
        <v/>
      </c>
      <c r="J1506" s="30"/>
      <c r="K1506" s="22" t="str">
        <f>IF(I1506="","",IF(I1506="ENTRADA",ABS(J1506),-ABS(J1506)))</f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1903</v>
      </c>
      <c r="H1507" s="20" t="str">
        <f>+T1507</f>
        <v/>
      </c>
      <c r="J1507" s="30"/>
      <c r="K1507" s="22" t="str">
        <f>IF(I1507="","",IF(I1507="ENTRADA",ABS(J1507),-ABS(J1507)))</f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1904</v>
      </c>
      <c r="H1508" s="20" t="str">
        <f>+T1508</f>
        <v/>
      </c>
      <c r="J1508" s="30"/>
      <c r="K1508" s="22" t="str">
        <f>IF(I1508="","",IF(I1508="ENTRADA",ABS(J1508),-ABS(J1508)))</f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1905</v>
      </c>
      <c r="H1509" s="20" t="str">
        <f>+T1509</f>
        <v/>
      </c>
      <c r="J1509" s="30"/>
      <c r="K1509" s="22" t="str">
        <f>IF(I1509="","",IF(I1509="ENTRADA",ABS(J1509),-ABS(J1509)))</f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1906</v>
      </c>
      <c r="H1510" s="20" t="str">
        <f>+T1510</f>
        <v/>
      </c>
      <c r="J1510" s="30"/>
      <c r="K1510" s="22" t="str">
        <f>IF(I1510="","",IF(I1510="ENTRADA",ABS(J1510),-ABS(J1510)))</f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1907</v>
      </c>
      <c r="H1511" s="20" t="str">
        <f>+T1511</f>
        <v/>
      </c>
      <c r="J1511" s="30"/>
      <c r="K1511" s="22" t="str">
        <f>IF(I1511="","",IF(I1511="ENTRADA",ABS(J1511),-ABS(J1511)))</f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1908</v>
      </c>
      <c r="H1512" s="20" t="str">
        <f>+T1512</f>
        <v/>
      </c>
      <c r="J1512" s="30"/>
      <c r="K1512" s="22" t="str">
        <f>IF(I1512="","",IF(I1512="ENTRADA",ABS(J1512),-ABS(J1512)))</f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1909</v>
      </c>
      <c r="H1513" s="20" t="str">
        <f>+T1513</f>
        <v/>
      </c>
      <c r="J1513" s="30"/>
      <c r="K1513" s="22" t="str">
        <f>IF(I1513="","",IF(I1513="ENTRADA",ABS(J1513),-ABS(J1513)))</f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1910</v>
      </c>
      <c r="H1514" s="20" t="str">
        <f>+T1514</f>
        <v/>
      </c>
      <c r="J1514" s="30"/>
      <c r="K1514" s="22" t="str">
        <f>IF(I1514="","",IF(I1514="ENTRADA",ABS(J1514),-ABS(J1514)))</f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1911</v>
      </c>
      <c r="H1515" s="20" t="str">
        <f>+T1515</f>
        <v/>
      </c>
      <c r="J1515" s="30"/>
      <c r="K1515" s="22" t="str">
        <f>IF(I1515="","",IF(I1515="ENTRADA",ABS(J1515),-ABS(J1515)))</f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1912</v>
      </c>
      <c r="H1516" s="20" t="str">
        <f>+T1516</f>
        <v/>
      </c>
      <c r="J1516" s="30"/>
      <c r="K1516" s="22" t="str">
        <f>IF(I1516="","",IF(I1516="ENTRADA",ABS(J1516),-ABS(J1516)))</f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1913</v>
      </c>
      <c r="H1517" s="20" t="str">
        <f>+T1517</f>
        <v/>
      </c>
      <c r="J1517" s="30"/>
      <c r="K1517" s="22" t="str">
        <f>IF(I1517="","",IF(I1517="ENTRADA",ABS(J1517),-ABS(J1517)))</f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1914</v>
      </c>
      <c r="H1518" s="20" t="str">
        <f>+T1518</f>
        <v/>
      </c>
      <c r="J1518" s="30"/>
      <c r="K1518" s="22" t="str">
        <f>IF(I1518="","",IF(I1518="ENTRADA",ABS(J1518),-ABS(J1518)))</f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1915</v>
      </c>
      <c r="H1519" s="20" t="str">
        <f>+T1519</f>
        <v/>
      </c>
      <c r="J1519" s="30"/>
      <c r="K1519" s="22" t="str">
        <f>IF(I1519="","",IF(I1519="ENTRADA",ABS(J1519),-ABS(J1519)))</f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1916</v>
      </c>
      <c r="H1520" s="20" t="str">
        <f>+T1520</f>
        <v/>
      </c>
      <c r="J1520" s="30"/>
      <c r="K1520" s="22" t="str">
        <f>IF(I1520="","",IF(I1520="ENTRADA",ABS(J1520),-ABS(J1520)))</f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1917</v>
      </c>
      <c r="H1521" s="20" t="str">
        <f>+T1521</f>
        <v/>
      </c>
      <c r="J1521" s="30"/>
      <c r="K1521" s="22" t="str">
        <f>IF(I1521="","",IF(I1521="ENTRADA",ABS(J1521),-ABS(J1521)))</f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1918</v>
      </c>
      <c r="H1522" s="20" t="str">
        <f>+T1522</f>
        <v/>
      </c>
      <c r="J1522" s="30"/>
      <c r="K1522" s="22" t="str">
        <f>IF(I1522="","",IF(I1522="ENTRADA",ABS(J1522),-ABS(J1522)))</f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1919</v>
      </c>
      <c r="H1523" s="20" t="str">
        <f>+T1523</f>
        <v/>
      </c>
      <c r="J1523" s="30"/>
      <c r="K1523" s="22" t="str">
        <f>IF(I1523="","",IF(I1523="ENTRADA",ABS(J1523),-ABS(J1523)))</f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1920</v>
      </c>
      <c r="H1524" s="20" t="str">
        <f>+T1524</f>
        <v/>
      </c>
      <c r="J1524" s="30"/>
      <c r="K1524" s="22" t="str">
        <f>IF(I1524="","",IF(I1524="ENTRADA",ABS(J1524),-ABS(J1524)))</f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1921</v>
      </c>
      <c r="H1525" s="20" t="str">
        <f>+T1525</f>
        <v/>
      </c>
      <c r="J1525" s="30"/>
      <c r="K1525" s="22" t="str">
        <f>IF(I1525="","",IF(I1525="ENTRADA",ABS(J1525),-ABS(J1525)))</f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1922</v>
      </c>
      <c r="H1526" s="20" t="str">
        <f>+T1526</f>
        <v/>
      </c>
      <c r="J1526" s="30"/>
      <c r="K1526" s="22" t="str">
        <f>IF(I1526="","",IF(I1526="ENTRADA",ABS(J1526),-ABS(J1526)))</f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1923</v>
      </c>
      <c r="H1527" s="20" t="str">
        <f>+T1527</f>
        <v/>
      </c>
      <c r="J1527" s="30"/>
      <c r="K1527" s="22" t="str">
        <f>IF(I1527="","",IF(I1527="ENTRADA",ABS(J1527),-ABS(J1527)))</f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1924</v>
      </c>
      <c r="H1528" s="20" t="str">
        <f>+T1528</f>
        <v/>
      </c>
      <c r="J1528" s="30"/>
      <c r="K1528" s="22" t="str">
        <f>IF(I1528="","",IF(I1528="ENTRADA",ABS(J1528),-ABS(J1528)))</f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1925</v>
      </c>
      <c r="H1529" s="20" t="str">
        <f>+T1529</f>
        <v/>
      </c>
      <c r="J1529" s="30"/>
      <c r="K1529" s="22" t="str">
        <f>IF(I1529="","",IF(I1529="ENTRADA",ABS(J1529),-ABS(J1529)))</f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1926</v>
      </c>
      <c r="H1530" s="20" t="str">
        <f>+T1530</f>
        <v/>
      </c>
      <c r="J1530" s="30"/>
      <c r="K1530" s="22" t="str">
        <f>IF(I1530="","",IF(I1530="ENTRADA",ABS(J1530),-ABS(J1530)))</f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1927</v>
      </c>
      <c r="H1531" s="20" t="str">
        <f>+T1531</f>
        <v/>
      </c>
      <c r="J1531" s="30"/>
      <c r="K1531" s="22" t="str">
        <f>IF(I1531="","",IF(I1531="ENTRADA",ABS(J1531),-ABS(J1531)))</f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1928</v>
      </c>
      <c r="H1532" s="20" t="str">
        <f>+T1532</f>
        <v/>
      </c>
      <c r="J1532" s="30"/>
      <c r="K1532" s="22" t="str">
        <f>IF(I1532="","",IF(I1532="ENTRADA",ABS(J1532),-ABS(J1532)))</f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1929</v>
      </c>
      <c r="H1533" s="20" t="str">
        <f>+T1533</f>
        <v/>
      </c>
      <c r="J1533" s="30"/>
      <c r="K1533" s="22" t="str">
        <f>IF(I1533="","",IF(I1533="ENTRADA",ABS(J1533),-ABS(J1533)))</f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1930</v>
      </c>
      <c r="H1534" s="20" t="str">
        <f>+T1534</f>
        <v/>
      </c>
      <c r="J1534" s="30"/>
      <c r="K1534" s="22" t="str">
        <f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1931</v>
      </c>
      <c r="H1535" s="20" t="str">
        <f>+T1535</f>
        <v/>
      </c>
      <c r="J1535" s="30"/>
      <c r="K1535" s="22" t="str">
        <f>IF(I1535="","",IF(I1535="ENTRADA",ABS(J1535),-ABS(J1535)))</f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1932</v>
      </c>
      <c r="H1536" s="20" t="str">
        <f>+T1536</f>
        <v/>
      </c>
      <c r="J1536" s="30"/>
      <c r="K1536" s="22" t="str">
        <f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1933</v>
      </c>
      <c r="H1537" s="20" t="str">
        <f>+T1537</f>
        <v/>
      </c>
      <c r="J1537" s="30"/>
      <c r="K1537" s="22" t="str">
        <f>IF(I1537="","",IF(I1537="ENTRADA",ABS(J1537),-ABS(J1537)))</f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1934</v>
      </c>
      <c r="H1538" s="20" t="str">
        <f>+T1538</f>
        <v/>
      </c>
      <c r="J1538" s="30"/>
      <c r="K1538" s="22" t="str">
        <f>IF(I1538="","",IF(I1538="ENTRADA",ABS(J1538),-ABS(J1538)))</f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1935</v>
      </c>
      <c r="H1539" s="20" t="str">
        <f>+T1539</f>
        <v/>
      </c>
      <c r="J1539" s="30"/>
      <c r="K1539" s="22" t="str">
        <f>IF(I1539="","",IF(I1539="ENTRADA",ABS(J1539),-ABS(J1539)))</f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1936</v>
      </c>
      <c r="H1540" s="20" t="str">
        <f>+T1540</f>
        <v/>
      </c>
      <c r="J1540" s="30"/>
      <c r="K1540" s="22" t="str">
        <f>IF(I1540="","",IF(I1540="ENTRADA",ABS(J1540),-ABS(J1540)))</f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1937</v>
      </c>
      <c r="H1541" s="20" t="str">
        <f>+T1541</f>
        <v/>
      </c>
      <c r="J1541" s="30"/>
      <c r="K1541" s="22" t="str">
        <f>IF(I1541="","",IF(I1541="ENTRADA",ABS(J1541),-ABS(J1541)))</f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1938</v>
      </c>
      <c r="H1542" s="20" t="str">
        <f>+T1542</f>
        <v/>
      </c>
      <c r="J1542" s="30"/>
      <c r="K1542" s="22" t="str">
        <f>IF(I1542="","",IF(I1542="ENTRADA",ABS(J1542),-ABS(J1542)))</f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1939</v>
      </c>
      <c r="H1543" s="20" t="str">
        <f>+T1543</f>
        <v/>
      </c>
      <c r="J1543" s="30"/>
      <c r="K1543" s="22" t="str">
        <f>IF(I1543="","",IF(I1543="ENTRADA",ABS(J1543),-ABS(J1543)))</f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1940</v>
      </c>
      <c r="H1544" s="20" t="str">
        <f>+T1544</f>
        <v/>
      </c>
      <c r="J1544" s="30"/>
      <c r="K1544" s="22" t="str">
        <f>IF(I1544="","",IF(I1544="ENTRADA",ABS(J1544),-ABS(J1544)))</f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1941</v>
      </c>
      <c r="H1545" s="20" t="str">
        <f>+T1545</f>
        <v/>
      </c>
      <c r="J1545" s="30"/>
      <c r="K1545" s="22" t="str">
        <f>IF(I1545="","",IF(I1545="ENTRADA",ABS(J1545),-ABS(J1545)))</f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1942</v>
      </c>
      <c r="H1546" s="20" t="str">
        <f>+T1546</f>
        <v/>
      </c>
      <c r="J1546" s="30"/>
      <c r="K1546" s="22" t="str">
        <f>IF(I1546="","",IF(I1546="ENTRADA",ABS(J1546),-ABS(J1546)))</f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1943</v>
      </c>
      <c r="H1547" s="20" t="str">
        <f>+T1547</f>
        <v/>
      </c>
      <c r="J1547" s="30"/>
      <c r="K1547" s="22" t="str">
        <f>IF(I1547="","",IF(I1547="ENTRADA",ABS(J1547),-ABS(J1547)))</f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1944</v>
      </c>
      <c r="H1548" s="20" t="str">
        <f>+T1548</f>
        <v/>
      </c>
      <c r="J1548" s="30"/>
      <c r="K1548" s="22" t="str">
        <f>IF(I1548="","",IF(I1548="ENTRADA",ABS(J1548),-ABS(J1548)))</f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1945</v>
      </c>
      <c r="H1549" s="20" t="str">
        <f>+T1549</f>
        <v/>
      </c>
      <c r="J1549" s="30"/>
      <c r="K1549" s="22" t="str">
        <f>IF(I1549="","",IF(I1549="ENTRADA",ABS(J1549),-ABS(J1549)))</f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1946</v>
      </c>
      <c r="H1550" s="20" t="str">
        <f>+T1550</f>
        <v/>
      </c>
      <c r="J1550" s="30"/>
      <c r="K1550" s="22" t="str">
        <f>IF(I1550="","",IF(I1550="ENTRADA",ABS(J1550),-ABS(J1550)))</f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1947</v>
      </c>
      <c r="H1551" s="20" t="str">
        <f>+T1551</f>
        <v/>
      </c>
      <c r="J1551" s="30"/>
      <c r="K1551" s="22" t="str">
        <f>IF(I1551="","",IF(I1551="ENTRADA",ABS(J1551),-ABS(J1551)))</f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1948</v>
      </c>
      <c r="H1552" s="20" t="str">
        <f>+T1552</f>
        <v/>
      </c>
      <c r="J1552" s="30"/>
      <c r="K1552" s="22" t="str">
        <f>IF(I1552="","",IF(I1552="ENTRADA",ABS(J1552),-ABS(J1552)))</f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1949</v>
      </c>
      <c r="H1553" s="20" t="str">
        <f>+T1553</f>
        <v/>
      </c>
      <c r="J1553" s="30"/>
      <c r="K1553" s="22" t="str">
        <f>IF(I1553="","",IF(I1553="ENTRADA",ABS(J1553),-ABS(J1553)))</f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1950</v>
      </c>
      <c r="H1554" s="20" t="str">
        <f>+T1554</f>
        <v/>
      </c>
      <c r="J1554" s="30"/>
      <c r="K1554" s="22" t="str">
        <f>IF(I1554="","",IF(I1554="ENTRADA",ABS(J1554),-ABS(J1554)))</f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1951</v>
      </c>
      <c r="H1555" s="20" t="str">
        <f>+T1555</f>
        <v/>
      </c>
      <c r="J1555" s="30"/>
      <c r="K1555" s="22" t="str">
        <f>IF(I1555="","",IF(I1555="ENTRADA",ABS(J1555),-ABS(J1555)))</f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1952</v>
      </c>
      <c r="H1556" s="20" t="str">
        <f>+T1556</f>
        <v/>
      </c>
      <c r="J1556" s="30"/>
      <c r="K1556" s="22" t="str">
        <f>IF(I1556="","",IF(I1556="ENTRADA",ABS(J1556),-ABS(J1556)))</f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1953</v>
      </c>
      <c r="H1557" s="20" t="str">
        <f>+T1557</f>
        <v/>
      </c>
      <c r="J1557" s="30"/>
      <c r="K1557" s="22" t="str">
        <f>IF(I1557="","",IF(I1557="ENTRADA",ABS(J1557),-ABS(J1557)))</f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1954</v>
      </c>
      <c r="H1558" s="20" t="str">
        <f>+T1558</f>
        <v/>
      </c>
      <c r="J1558" s="30"/>
      <c r="K1558" s="22" t="str">
        <f>IF(I1558="","",IF(I1558="ENTRADA",ABS(J1558),-ABS(J1558)))</f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1955</v>
      </c>
      <c r="H1559" s="20" t="str">
        <f>+T1559</f>
        <v/>
      </c>
      <c r="J1559" s="30"/>
      <c r="K1559" s="22" t="str">
        <f>IF(I1559="","",IF(I1559="ENTRADA",ABS(J1559),-ABS(J1559)))</f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1956</v>
      </c>
      <c r="H1560" s="20" t="str">
        <f>+T1560</f>
        <v/>
      </c>
      <c r="J1560" s="30"/>
      <c r="K1560" s="22" t="str">
        <f>IF(I1560="","",IF(I1560="ENTRADA",ABS(J1560),-ABS(J1560)))</f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1957</v>
      </c>
      <c r="H1561" s="20" t="str">
        <f>+T1561</f>
        <v/>
      </c>
      <c r="J1561" s="30"/>
      <c r="K1561" s="22" t="str">
        <f>IF(I1561="","",IF(I1561="ENTRADA",ABS(J1561),-ABS(J1561)))</f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1958</v>
      </c>
      <c r="H1562" s="20" t="str">
        <f>+T1562</f>
        <v/>
      </c>
      <c r="J1562" s="30"/>
      <c r="K1562" s="22" t="str">
        <f>IF(I1562="","",IF(I1562="ENTRADA",ABS(J1562),-ABS(J1562)))</f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1959</v>
      </c>
      <c r="H1563" s="20" t="str">
        <f>+T1563</f>
        <v/>
      </c>
      <c r="J1563" s="30"/>
      <c r="K1563" s="22" t="str">
        <f>IF(I1563="","",IF(I1563="ENTRADA",ABS(J1563),-ABS(J1563)))</f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1960</v>
      </c>
      <c r="H1564" s="20" t="str">
        <f>+T1564</f>
        <v/>
      </c>
      <c r="J1564" s="30"/>
      <c r="K1564" s="22" t="str">
        <f>IF(I1564="","",IF(I1564="ENTRADA",ABS(J1564),-ABS(J1564)))</f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1961</v>
      </c>
      <c r="H1565" s="20" t="str">
        <f>+T1565</f>
        <v/>
      </c>
      <c r="J1565" s="30"/>
      <c r="K1565" s="22" t="str">
        <f>IF(I1565="","",IF(I1565="ENTRADA",ABS(J1565),-ABS(J1565)))</f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1962</v>
      </c>
      <c r="H1566" s="20" t="str">
        <f>+T1566</f>
        <v/>
      </c>
      <c r="J1566" s="30"/>
      <c r="K1566" s="22" t="str">
        <f>IF(I1566="","",IF(I1566="ENTRADA",ABS(J1566),-ABS(J1566)))</f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1963</v>
      </c>
      <c r="H1567" s="20" t="str">
        <f>+T1567</f>
        <v/>
      </c>
      <c r="J1567" s="30"/>
      <c r="K1567" s="22" t="str">
        <f>IF(I1567="","",IF(I1567="ENTRADA",ABS(J1567),-ABS(J1567)))</f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1964</v>
      </c>
      <c r="H1568" s="20" t="str">
        <f>+T1568</f>
        <v/>
      </c>
      <c r="J1568" s="30"/>
      <c r="K1568" s="22" t="str">
        <f>IF(I1568="","",IF(I1568="ENTRADA",ABS(J1568),-ABS(J1568)))</f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1965</v>
      </c>
      <c r="H1569" s="20" t="str">
        <f>+T1569</f>
        <v/>
      </c>
      <c r="J1569" s="30"/>
      <c r="K1569" s="22" t="str">
        <f>IF(I1569="","",IF(I1569="ENTRADA",ABS(J1569),-ABS(J1569)))</f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1966</v>
      </c>
      <c r="H1570" s="20" t="str">
        <f>+T1570</f>
        <v/>
      </c>
      <c r="J1570" s="30"/>
      <c r="K1570" s="22" t="str">
        <f>IF(I1570="","",IF(I1570="ENTRADA",ABS(J1570),-ABS(J1570)))</f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1967</v>
      </c>
      <c r="H1571" s="20" t="str">
        <f>+T1571</f>
        <v/>
      </c>
      <c r="J1571" s="30"/>
      <c r="K1571" s="22" t="str">
        <f>IF(I1571="","",IF(I1571="ENTRADA",ABS(J1571),-ABS(J1571)))</f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1968</v>
      </c>
      <c r="H1572" s="20" t="str">
        <f>+T1572</f>
        <v/>
      </c>
      <c r="J1572" s="30"/>
      <c r="K1572" s="22" t="str">
        <f>IF(I1572="","",IF(I1572="ENTRADA",ABS(J1572),-ABS(J1572)))</f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1969</v>
      </c>
      <c r="H1573" s="20" t="str">
        <f>+T1573</f>
        <v/>
      </c>
      <c r="J1573" s="30"/>
      <c r="K1573" s="22" t="str">
        <f>IF(I1573="","",IF(I1573="ENTRADA",ABS(J1573),-ABS(J1573)))</f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1970</v>
      </c>
      <c r="H1574" s="20" t="str">
        <f>+T1574</f>
        <v/>
      </c>
      <c r="J1574" s="30"/>
      <c r="K1574" s="22" t="str">
        <f>IF(I1574="","",IF(I1574="ENTRADA",ABS(J1574),-ABS(J1574)))</f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1971</v>
      </c>
      <c r="H1575" s="20" t="str">
        <f>+T1575</f>
        <v/>
      </c>
      <c r="J1575" s="30"/>
      <c r="K1575" s="22" t="str">
        <f>IF(I1575="","",IF(I1575="ENTRADA",ABS(J1575),-ABS(J1575)))</f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1972</v>
      </c>
      <c r="H1576" s="20" t="str">
        <f>+T1576</f>
        <v/>
      </c>
      <c r="J1576" s="30"/>
      <c r="K1576" s="22" t="str">
        <f>IF(I1576="","",IF(I1576="ENTRADA",ABS(J1576),-ABS(J1576)))</f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1973</v>
      </c>
      <c r="H1577" s="20" t="str">
        <f>+T1577</f>
        <v/>
      </c>
      <c r="J1577" s="30"/>
      <c r="K1577" s="22" t="str">
        <f>IF(I1577="","",IF(I1577="ENTRADA",ABS(J1577),-ABS(J1577)))</f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1974</v>
      </c>
      <c r="H1578" s="20" t="str">
        <f>+T1578</f>
        <v/>
      </c>
      <c r="J1578" s="30"/>
      <c r="K1578" s="22" t="str">
        <f>IF(I1578="","",IF(I1578="ENTRADA",ABS(J1578),-ABS(J1578)))</f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1975</v>
      </c>
      <c r="H1579" s="20" t="str">
        <f>+T1579</f>
        <v/>
      </c>
      <c r="J1579" s="30"/>
      <c r="K1579" s="22" t="str">
        <f>IF(I1579="","",IF(I1579="ENTRADA",ABS(J1579),-ABS(J1579)))</f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1976</v>
      </c>
      <c r="H1580" s="20" t="str">
        <f>+T1580</f>
        <v/>
      </c>
      <c r="J1580" s="30"/>
      <c r="K1580" s="22" t="str">
        <f>IF(I1580="","",IF(I1580="ENTRADA",ABS(J1580),-ABS(J1580)))</f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1977</v>
      </c>
      <c r="H1581" s="20" t="str">
        <f>+T1581</f>
        <v/>
      </c>
      <c r="J1581" s="30"/>
      <c r="K1581" s="22" t="str">
        <f>IF(I1581="","",IF(I1581="ENTRADA",ABS(J1581),-ABS(J1581)))</f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1978</v>
      </c>
      <c r="H1582" s="20" t="str">
        <f>+T1582</f>
        <v/>
      </c>
      <c r="J1582" s="30"/>
      <c r="K1582" s="22" t="str">
        <f>IF(I1582="","",IF(I1582="ENTRADA",ABS(J1582),-ABS(J1582)))</f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1979</v>
      </c>
      <c r="H1583" s="20" t="str">
        <f>+T1583</f>
        <v/>
      </c>
      <c r="J1583" s="30"/>
      <c r="K1583" s="22" t="str">
        <f>IF(I1583="","",IF(I1583="ENTRADA",ABS(J1583),-ABS(J1583)))</f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1980</v>
      </c>
      <c r="H1584" s="20" t="str">
        <f>+T1584</f>
        <v/>
      </c>
      <c r="J1584" s="30"/>
      <c r="K1584" s="22" t="str">
        <f>IF(I1584="","",IF(I1584="ENTRADA",ABS(J1584),-ABS(J1584)))</f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1981</v>
      </c>
      <c r="H1585" s="20" t="str">
        <f>+T1585</f>
        <v/>
      </c>
      <c r="J1585" s="30"/>
      <c r="K1585" s="22" t="str">
        <f>IF(I1585="","",IF(I1585="ENTRADA",ABS(J1585),-ABS(J1585)))</f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1982</v>
      </c>
      <c r="H1586" s="20" t="str">
        <f>+T1586</f>
        <v/>
      </c>
      <c r="J1586" s="30"/>
      <c r="K1586" s="22" t="str">
        <f>IF(I1586="","",IF(I1586="ENTRADA",ABS(J1586),-ABS(J1586)))</f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1983</v>
      </c>
      <c r="H1587" s="20" t="str">
        <f>+T1587</f>
        <v/>
      </c>
      <c r="J1587" s="30"/>
      <c r="K1587" s="22" t="str">
        <f>IF(I1587="","",IF(I1587="ENTRADA",ABS(J1587),-ABS(J1587)))</f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1984</v>
      </c>
      <c r="H1588" s="20" t="str">
        <f>+T1588</f>
        <v/>
      </c>
      <c r="J1588" s="30"/>
      <c r="K1588" s="22" t="str">
        <f>IF(I1588="","",IF(I1588="ENTRADA",ABS(J1588),-ABS(J1588)))</f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1985</v>
      </c>
      <c r="H1589" s="20" t="str">
        <f>+T1589</f>
        <v/>
      </c>
      <c r="J1589" s="30"/>
      <c r="K1589" s="22" t="str">
        <f>IF(I1589="","",IF(I1589="ENTRADA",ABS(J1589),-ABS(J1589)))</f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1986</v>
      </c>
      <c r="H1590" s="20" t="str">
        <f>+T1590</f>
        <v/>
      </c>
      <c r="J1590" s="30"/>
      <c r="K1590" s="22" t="str">
        <f>IF(I1590="","",IF(I1590="ENTRADA",ABS(J1590),-ABS(J1590)))</f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1987</v>
      </c>
      <c r="H1591" s="20" t="str">
        <f>+T1591</f>
        <v/>
      </c>
      <c r="J1591" s="30"/>
      <c r="K1591" s="22" t="str">
        <f>IF(I1591="","",IF(I1591="ENTRADA",ABS(J1591),-ABS(J1591)))</f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1988</v>
      </c>
      <c r="H1592" s="20" t="str">
        <f>+T1592</f>
        <v/>
      </c>
      <c r="J1592" s="30"/>
      <c r="K1592" s="22" t="str">
        <f>IF(I1592="","",IF(I1592="ENTRADA",ABS(J1592),-ABS(J1592)))</f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1989</v>
      </c>
      <c r="H1593" s="20" t="str">
        <f>+T1593</f>
        <v/>
      </c>
      <c r="J1593" s="30"/>
      <c r="K1593" s="22" t="str">
        <f>IF(I1593="","",IF(I1593="ENTRADA",ABS(J1593),-ABS(J1593)))</f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1990</v>
      </c>
      <c r="H1594" s="20" t="str">
        <f>+T1594</f>
        <v/>
      </c>
      <c r="J1594" s="30"/>
      <c r="K1594" s="22" t="str">
        <f>IF(I1594="","",IF(I1594="ENTRADA",ABS(J1594),-ABS(J1594)))</f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1991</v>
      </c>
      <c r="H1595" s="20" t="str">
        <f>+T1595</f>
        <v/>
      </c>
      <c r="J1595" s="30"/>
      <c r="K1595" s="22" t="str">
        <f>IF(I1595="","",IF(I1595="ENTRADA",ABS(J1595),-ABS(J1595)))</f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1992</v>
      </c>
      <c r="H1596" s="20" t="str">
        <f>+T1596</f>
        <v/>
      </c>
      <c r="J1596" s="30"/>
      <c r="K1596" s="22" t="str">
        <f>IF(I1596="","",IF(I1596="ENTRADA",ABS(J1596),-ABS(J1596)))</f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1993</v>
      </c>
      <c r="H1597" s="20" t="str">
        <f>+T1597</f>
        <v/>
      </c>
      <c r="J1597" s="30"/>
      <c r="K1597" s="22" t="str">
        <f>IF(I1597="","",IF(I1597="ENTRADA",ABS(J1597),-ABS(J1597)))</f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1994</v>
      </c>
      <c r="H1598" s="20" t="str">
        <f>+T1598</f>
        <v/>
      </c>
      <c r="J1598" s="30"/>
      <c r="K1598" s="22" t="str">
        <f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1995</v>
      </c>
      <c r="H1599" s="20" t="str">
        <f>+T1599</f>
        <v/>
      </c>
      <c r="J1599" s="30"/>
      <c r="K1599" s="22" t="str">
        <f>IF(I1599="","",IF(I1599="ENTRADA",ABS(J1599),-ABS(J1599)))</f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1996</v>
      </c>
      <c r="H1600" s="20" t="str">
        <f>+T1600</f>
        <v/>
      </c>
      <c r="J1600" s="30"/>
      <c r="K1600" s="22" t="str">
        <f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1997</v>
      </c>
      <c r="H1601" s="20" t="str">
        <f>+T1601</f>
        <v/>
      </c>
      <c r="J1601" s="30"/>
      <c r="K1601" s="22" t="str">
        <f>IF(I1601="","",IF(I1601="ENTRADA",ABS(J1601),-ABS(J1601)))</f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1998</v>
      </c>
      <c r="H1602" s="20" t="str">
        <f>+T1602</f>
        <v/>
      </c>
      <c r="J1602" s="30"/>
      <c r="K1602" s="22" t="str">
        <f>IF(I1602="","",IF(I1602="ENTRADA",ABS(J1602),-ABS(J1602)))</f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1999</v>
      </c>
      <c r="H1603" s="20" t="str">
        <f>+T1603</f>
        <v/>
      </c>
      <c r="J1603" s="30"/>
      <c r="K1603" s="22" t="str">
        <f>IF(I1603="","",IF(I1603="ENTRADA",ABS(J1603),-ABS(J1603)))</f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2000</v>
      </c>
      <c r="H1604" s="20" t="str">
        <f>+T1604</f>
        <v/>
      </c>
      <c r="J1604" s="30"/>
      <c r="K1604" s="22" t="str">
        <f>IF(I1604="","",IF(I1604="ENTRADA",ABS(J1604),-ABS(J1604)))</f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2001</v>
      </c>
      <c r="H1605" s="20" t="str">
        <f>+T1605</f>
        <v/>
      </c>
      <c r="J1605" s="30"/>
      <c r="K1605" s="22" t="str">
        <f>IF(I1605="","",IF(I1605="ENTRADA",ABS(J1605),-ABS(J1605)))</f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2002</v>
      </c>
      <c r="H1606" s="20" t="str">
        <f>+T1606</f>
        <v/>
      </c>
      <c r="J1606" s="30"/>
      <c r="K1606" s="22" t="str">
        <f>IF(I1606="","",IF(I1606="ENTRADA",ABS(J1606),-ABS(J1606)))</f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2003</v>
      </c>
      <c r="H1607" s="20" t="str">
        <f>+T1607</f>
        <v/>
      </c>
      <c r="J1607" s="30"/>
      <c r="K1607" s="22" t="str">
        <f>IF(I1607="","",IF(I1607="ENTRADA",ABS(J1607),-ABS(J1607)))</f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2004</v>
      </c>
      <c r="H1608" s="20" t="str">
        <f>+T1608</f>
        <v/>
      </c>
      <c r="J1608" s="30"/>
      <c r="K1608" s="22" t="str">
        <f>IF(I1608="","",IF(I1608="ENTRADA",ABS(J1608),-ABS(J1608)))</f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2005</v>
      </c>
      <c r="H1609" s="20" t="str">
        <f>+T1609</f>
        <v/>
      </c>
      <c r="J1609" s="30"/>
      <c r="K1609" s="22" t="str">
        <f>IF(I1609="","",IF(I1609="ENTRADA",ABS(J1609),-ABS(J1609)))</f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2006</v>
      </c>
      <c r="H1610" s="20" t="str">
        <f>+T1610</f>
        <v/>
      </c>
      <c r="J1610" s="30"/>
      <c r="K1610" s="22" t="str">
        <f>IF(I1610="","",IF(I1610="ENTRADA",ABS(J1610),-ABS(J1610)))</f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2007</v>
      </c>
      <c r="H1611" s="20" t="str">
        <f>+T1611</f>
        <v/>
      </c>
      <c r="J1611" s="30"/>
      <c r="K1611" s="22" t="str">
        <f>IF(I1611="","",IF(I1611="ENTRADA",ABS(J1611),-ABS(J1611)))</f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2008</v>
      </c>
      <c r="H1612" s="20" t="str">
        <f>+T1612</f>
        <v/>
      </c>
      <c r="J1612" s="30"/>
      <c r="K1612" s="22" t="str">
        <f>IF(I1612="","",IF(I1612="ENTRADA",ABS(J1612),-ABS(J1612)))</f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2009</v>
      </c>
      <c r="H1613" s="20" t="str">
        <f>+T1613</f>
        <v/>
      </c>
      <c r="J1613" s="30"/>
      <c r="K1613" s="22" t="str">
        <f>IF(I1613="","",IF(I1613="ENTRADA",ABS(J1613),-ABS(J1613)))</f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2010</v>
      </c>
      <c r="H1614" s="20" t="str">
        <f>+T1614</f>
        <v/>
      </c>
      <c r="J1614" s="30"/>
      <c r="K1614" s="22" t="str">
        <f>IF(I1614="","",IF(I1614="ENTRADA",ABS(J1614),-ABS(J1614)))</f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2011</v>
      </c>
      <c r="H1615" s="20" t="str">
        <f>+T1615</f>
        <v/>
      </c>
      <c r="J1615" s="30"/>
      <c r="K1615" s="22" t="str">
        <f>IF(I1615="","",IF(I1615="ENTRADA",ABS(J1615),-ABS(J1615)))</f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2012</v>
      </c>
      <c r="H1616" s="20" t="str">
        <f>+T1616</f>
        <v/>
      </c>
      <c r="J1616" s="30"/>
      <c r="K1616" s="22" t="str">
        <f>IF(I1616="","",IF(I1616="ENTRADA",ABS(J1616),-ABS(J1616)))</f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2013</v>
      </c>
      <c r="H1617" s="20" t="str">
        <f>+T1617</f>
        <v/>
      </c>
      <c r="J1617" s="30"/>
      <c r="K1617" s="22" t="str">
        <f>IF(I1617="","",IF(I1617="ENTRADA",ABS(J1617),-ABS(J1617)))</f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2014</v>
      </c>
      <c r="H1618" s="20" t="str">
        <f>+T1618</f>
        <v/>
      </c>
      <c r="J1618" s="30"/>
      <c r="K1618" s="22" t="str">
        <f>IF(I1618="","",IF(I1618="ENTRADA",ABS(J1618),-ABS(J1618)))</f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2015</v>
      </c>
      <c r="H1619" s="20" t="str">
        <f>+T1619</f>
        <v/>
      </c>
      <c r="J1619" s="30"/>
      <c r="K1619" s="22" t="str">
        <f>IF(I1619="","",IF(I1619="ENTRADA",ABS(J1619),-ABS(J1619)))</f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2016</v>
      </c>
      <c r="H1620" s="20" t="str">
        <f>+T1620</f>
        <v/>
      </c>
      <c r="J1620" s="30"/>
      <c r="K1620" s="22" t="str">
        <f>IF(I1620="","",IF(I1620="ENTRADA",ABS(J1620),-ABS(J1620)))</f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2017</v>
      </c>
      <c r="H1621" s="20" t="str">
        <f>+T1621</f>
        <v/>
      </c>
      <c r="J1621" s="30"/>
      <c r="K1621" s="22" t="str">
        <f>IF(I1621="","",IF(I1621="ENTRADA",ABS(J1621),-ABS(J1621)))</f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2018</v>
      </c>
      <c r="H1622" s="20" t="str">
        <f>+T1622</f>
        <v/>
      </c>
      <c r="J1622" s="30"/>
      <c r="K1622" s="22" t="str">
        <f>IF(I1622="","",IF(I1622="ENTRADA",ABS(J1622),-ABS(J1622)))</f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2019</v>
      </c>
      <c r="H1623" s="20" t="str">
        <f>+T1623</f>
        <v/>
      </c>
      <c r="J1623" s="30"/>
      <c r="K1623" s="22" t="str">
        <f>IF(I1623="","",IF(I1623="ENTRADA",ABS(J1623),-ABS(J1623)))</f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2020</v>
      </c>
      <c r="H1624" s="20" t="str">
        <f>+T1624</f>
        <v/>
      </c>
      <c r="J1624" s="30"/>
      <c r="K1624" s="22" t="str">
        <f>IF(I1624="","",IF(I1624="ENTRADA",ABS(J1624),-ABS(J1624)))</f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2021</v>
      </c>
      <c r="H1625" s="20" t="str">
        <f>+T1625</f>
        <v/>
      </c>
      <c r="J1625" s="30"/>
      <c r="K1625" s="22" t="str">
        <f>IF(I1625="","",IF(I1625="ENTRADA",ABS(J1625),-ABS(J1625)))</f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2022</v>
      </c>
      <c r="H1626" s="20" t="str">
        <f>+T1626</f>
        <v/>
      </c>
      <c r="J1626" s="30"/>
      <c r="K1626" s="22" t="str">
        <f>IF(I1626="","",IF(I1626="ENTRADA",ABS(J1626),-ABS(J1626)))</f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2023</v>
      </c>
      <c r="H1627" s="20" t="str">
        <f>+T1627</f>
        <v/>
      </c>
      <c r="J1627" s="30"/>
      <c r="K1627" s="22" t="str">
        <f>IF(I1627="","",IF(I1627="ENTRADA",ABS(J1627),-ABS(J1627)))</f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2024</v>
      </c>
      <c r="H1628" s="20" t="str">
        <f>+T1628</f>
        <v/>
      </c>
      <c r="J1628" s="30"/>
      <c r="K1628" s="22" t="str">
        <f>IF(I1628="","",IF(I1628="ENTRADA",ABS(J1628),-ABS(J1628)))</f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2025</v>
      </c>
      <c r="H1629" s="20" t="str">
        <f>+T1629</f>
        <v/>
      </c>
      <c r="J1629" s="30"/>
      <c r="K1629" s="22" t="str">
        <f>IF(I1629="","",IF(I1629="ENTRADA",ABS(J1629),-ABS(J1629)))</f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2026</v>
      </c>
      <c r="H1630" s="20" t="str">
        <f>+T1630</f>
        <v/>
      </c>
      <c r="J1630" s="30"/>
      <c r="K1630" s="22" t="str">
        <f>IF(I1630="","",IF(I1630="ENTRADA",ABS(J1630),-ABS(J1630)))</f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2027</v>
      </c>
      <c r="H1631" s="20" t="str">
        <f>+T1631</f>
        <v/>
      </c>
      <c r="J1631" s="30"/>
      <c r="K1631" s="22" t="str">
        <f>IF(I1631="","",IF(I1631="ENTRADA",ABS(J1631),-ABS(J1631)))</f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2028</v>
      </c>
      <c r="H1632" s="20" t="str">
        <f>+T1632</f>
        <v/>
      </c>
      <c r="J1632" s="30"/>
      <c r="K1632" s="22" t="str">
        <f>IF(I1632="","",IF(I1632="ENTRADA",ABS(J1632),-ABS(J1632)))</f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2029</v>
      </c>
      <c r="H1633" s="20" t="str">
        <f>+T1633</f>
        <v/>
      </c>
      <c r="J1633" s="30"/>
      <c r="K1633" s="22" t="str">
        <f>IF(I1633="","",IF(I1633="ENTRADA",ABS(J1633),-ABS(J1633)))</f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2030</v>
      </c>
      <c r="H1634" s="20" t="str">
        <f>+T1634</f>
        <v/>
      </c>
      <c r="J1634" s="30"/>
      <c r="K1634" s="22" t="str">
        <f>IF(I1634="","",IF(I1634="ENTRADA",ABS(J1634),-ABS(J1634)))</f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2031</v>
      </c>
      <c r="H1635" s="20" t="str">
        <f>+T1635</f>
        <v/>
      </c>
      <c r="J1635" s="30"/>
      <c r="K1635" s="22" t="str">
        <f>IF(I1635="","",IF(I1635="ENTRADA",ABS(J1635),-ABS(J1635)))</f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2032</v>
      </c>
      <c r="H1636" s="20" t="str">
        <f>+T1636</f>
        <v/>
      </c>
      <c r="J1636" s="30"/>
      <c r="K1636" s="22" t="str">
        <f>IF(I1636="","",IF(I1636="ENTRADA",ABS(J1636),-ABS(J1636)))</f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2033</v>
      </c>
      <c r="H1637" s="20" t="str">
        <f>+T1637</f>
        <v/>
      </c>
      <c r="J1637" s="30"/>
      <c r="K1637" s="22" t="str">
        <f>IF(I1637="","",IF(I1637="ENTRADA",ABS(J1637),-ABS(J1637)))</f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2034</v>
      </c>
      <c r="H1638" s="20" t="str">
        <f>+T1638</f>
        <v/>
      </c>
      <c r="J1638" s="30"/>
      <c r="K1638" s="22" t="str">
        <f>IF(I1638="","",IF(I1638="ENTRADA",ABS(J1638),-ABS(J1638)))</f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2035</v>
      </c>
      <c r="H1639" s="20" t="str">
        <f>+T1639</f>
        <v/>
      </c>
      <c r="J1639" s="30"/>
      <c r="K1639" s="22" t="str">
        <f>IF(I1639="","",IF(I1639="ENTRADA",ABS(J1639),-ABS(J1639)))</f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2036</v>
      </c>
      <c r="H1640" s="20" t="str">
        <f>+T1640</f>
        <v/>
      </c>
      <c r="J1640" s="30"/>
      <c r="K1640" s="22" t="str">
        <f>IF(I1640="","",IF(I1640="ENTRADA",ABS(J1640),-ABS(J1640)))</f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2037</v>
      </c>
      <c r="H1641" s="20" t="str">
        <f>+T1641</f>
        <v/>
      </c>
      <c r="J1641" s="30"/>
      <c r="K1641" s="22" t="str">
        <f>IF(I1641="","",IF(I1641="ENTRADA",ABS(J1641),-ABS(J1641)))</f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2038</v>
      </c>
      <c r="H1642" s="20" t="str">
        <f>+T1642</f>
        <v/>
      </c>
      <c r="J1642" s="30"/>
      <c r="K1642" s="22" t="str">
        <f>IF(I1642="","",IF(I1642="ENTRADA",ABS(J1642),-ABS(J1642)))</f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2039</v>
      </c>
      <c r="H1643" s="20" t="str">
        <f>+T1643</f>
        <v/>
      </c>
      <c r="J1643" s="30"/>
      <c r="K1643" s="22" t="str">
        <f>IF(I1643="","",IF(I1643="ENTRADA",ABS(J1643),-ABS(J1643)))</f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2040</v>
      </c>
      <c r="H1644" s="20" t="str">
        <f>+T1644</f>
        <v/>
      </c>
      <c r="J1644" s="30"/>
      <c r="K1644" s="22" t="str">
        <f>IF(I1644="","",IF(I1644="ENTRADA",ABS(J1644),-ABS(J1644)))</f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2041</v>
      </c>
      <c r="H1645" s="20" t="str">
        <f>+T1645</f>
        <v/>
      </c>
      <c r="J1645" s="30"/>
      <c r="K1645" s="22" t="str">
        <f>IF(I1645="","",IF(I1645="ENTRADA",ABS(J1645),-ABS(J1645)))</f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2042</v>
      </c>
      <c r="H1646" s="20" t="str">
        <f>+T1646</f>
        <v/>
      </c>
      <c r="J1646" s="30"/>
      <c r="K1646" s="22" t="str">
        <f>IF(I1646="","",IF(I1646="ENTRADA",ABS(J1646),-ABS(J1646)))</f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2043</v>
      </c>
      <c r="H1647" s="20" t="str">
        <f>+T1647</f>
        <v/>
      </c>
      <c r="J1647" s="30"/>
      <c r="K1647" s="22" t="str">
        <f>IF(I1647="","",IF(I1647="ENTRADA",ABS(J1647),-ABS(J1647)))</f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2044</v>
      </c>
      <c r="H1648" s="20" t="str">
        <f>+T1648</f>
        <v/>
      </c>
      <c r="J1648" s="30"/>
      <c r="K1648" s="22" t="str">
        <f>IF(I1648="","",IF(I1648="ENTRADA",ABS(J1648),-ABS(J1648)))</f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2045</v>
      </c>
      <c r="H1649" s="20" t="str">
        <f>+T1649</f>
        <v/>
      </c>
      <c r="J1649" s="30"/>
      <c r="K1649" s="22" t="str">
        <f>IF(I1649="","",IF(I1649="ENTRADA",ABS(J1649),-ABS(J1649)))</f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2046</v>
      </c>
      <c r="H1650" s="20" t="str">
        <f>+T1650</f>
        <v/>
      </c>
      <c r="J1650" s="30"/>
      <c r="K1650" s="22" t="str">
        <f>IF(I1650="","",IF(I1650="ENTRADA",ABS(J1650),-ABS(J1650)))</f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2047</v>
      </c>
      <c r="H1651" s="20" t="str">
        <f>+T1651</f>
        <v/>
      </c>
      <c r="J1651" s="30"/>
      <c r="K1651" s="22" t="str">
        <f>IF(I1651="","",IF(I1651="ENTRADA",ABS(J1651),-ABS(J1651)))</f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2048</v>
      </c>
      <c r="H1652" s="20" t="str">
        <f>+T1652</f>
        <v/>
      </c>
      <c r="J1652" s="30"/>
      <c r="K1652" s="22" t="str">
        <f>IF(I1652="","",IF(I1652="ENTRADA",ABS(J1652),-ABS(J1652)))</f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2049</v>
      </c>
      <c r="H1653" s="20" t="str">
        <f>+T1653</f>
        <v/>
      </c>
      <c r="J1653" s="30"/>
      <c r="K1653" s="22" t="str">
        <f>IF(I1653="","",IF(I1653="ENTRADA",ABS(J1653),-ABS(J1653)))</f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2050</v>
      </c>
      <c r="H1654" s="20" t="str">
        <f>+T1654</f>
        <v/>
      </c>
      <c r="J1654" s="30"/>
      <c r="K1654" s="22" t="str">
        <f>IF(I1654="","",IF(I1654="ENTRADA",ABS(J1654),-ABS(J1654)))</f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2051</v>
      </c>
      <c r="H1655" s="20" t="str">
        <f>+T1655</f>
        <v/>
      </c>
      <c r="J1655" s="30"/>
      <c r="K1655" s="22" t="str">
        <f>IF(I1655="","",IF(I1655="ENTRADA",ABS(J1655),-ABS(J1655)))</f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2052</v>
      </c>
      <c r="H1656" s="20" t="str">
        <f>+T1656</f>
        <v/>
      </c>
      <c r="J1656" s="30"/>
      <c r="K1656" s="22" t="str">
        <f>IF(I1656="","",IF(I1656="ENTRADA",ABS(J1656),-ABS(J1656)))</f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2053</v>
      </c>
      <c r="H1657" s="20" t="str">
        <f>+T1657</f>
        <v/>
      </c>
      <c r="J1657" s="30"/>
      <c r="K1657" s="22" t="str">
        <f>IF(I1657="","",IF(I1657="ENTRADA",ABS(J1657),-ABS(J1657)))</f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2054</v>
      </c>
      <c r="H1658" s="20" t="str">
        <f>+T1658</f>
        <v/>
      </c>
      <c r="J1658" s="30"/>
      <c r="K1658" s="22" t="str">
        <f>IF(I1658="","",IF(I1658="ENTRADA",ABS(J1658),-ABS(J1658)))</f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2055</v>
      </c>
      <c r="H1659" s="20" t="str">
        <f>+T1659</f>
        <v/>
      </c>
      <c r="J1659" s="30"/>
      <c r="K1659" s="22" t="str">
        <f>IF(I1659="","",IF(I1659="ENTRADA",ABS(J1659),-ABS(J1659)))</f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2056</v>
      </c>
      <c r="H1660" s="20" t="str">
        <f>+T1660</f>
        <v/>
      </c>
      <c r="J1660" s="30"/>
      <c r="K1660" s="22" t="str">
        <f>IF(I1660="","",IF(I1660="ENTRADA",ABS(J1660),-ABS(J1660)))</f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2057</v>
      </c>
      <c r="H1661" s="20" t="str">
        <f>+T1661</f>
        <v/>
      </c>
      <c r="J1661" s="30"/>
      <c r="K1661" s="22" t="str">
        <f>IF(I1661="","",IF(I1661="ENTRADA",ABS(J1661),-ABS(J1661)))</f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2058</v>
      </c>
      <c r="H1662" s="20" t="str">
        <f>+T1662</f>
        <v/>
      </c>
      <c r="J1662" s="30"/>
      <c r="K1662" s="22" t="str">
        <f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2059</v>
      </c>
      <c r="H1663" s="20" t="str">
        <f>+T1663</f>
        <v/>
      </c>
      <c r="J1663" s="30"/>
      <c r="K1663" s="22" t="str">
        <f>IF(I1663="","",IF(I1663="ENTRADA",ABS(J1663),-ABS(J1663)))</f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2060</v>
      </c>
      <c r="H1664" s="20" t="str">
        <f>+T1664</f>
        <v/>
      </c>
      <c r="J1664" s="30"/>
      <c r="K1664" s="22" t="str">
        <f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2061</v>
      </c>
      <c r="H1665" s="20" t="str">
        <f>+T1665</f>
        <v/>
      </c>
      <c r="J1665" s="30"/>
      <c r="K1665" s="22" t="str">
        <f>IF(I1665="","",IF(I1665="ENTRADA",ABS(J1665),-ABS(J1665)))</f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2062</v>
      </c>
      <c r="H1666" s="20" t="str">
        <f>+T1666</f>
        <v/>
      </c>
      <c r="J1666" s="30"/>
      <c r="K1666" s="22" t="str">
        <f>IF(I1666="","",IF(I1666="ENTRADA",ABS(J1666),-ABS(J1666)))</f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2063</v>
      </c>
      <c r="H1667" s="20" t="str">
        <f>+T1667</f>
        <v/>
      </c>
      <c r="J1667" s="30"/>
      <c r="K1667" s="22" t="str">
        <f>IF(I1667="","",IF(I1667="ENTRADA",ABS(J1667),-ABS(J1667)))</f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2064</v>
      </c>
      <c r="H1668" s="20" t="str">
        <f>+T1668</f>
        <v/>
      </c>
      <c r="J1668" s="30"/>
      <c r="K1668" s="22" t="str">
        <f>IF(I1668="","",IF(I1668="ENTRADA",ABS(J1668),-ABS(J1668)))</f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2065</v>
      </c>
      <c r="H1669" s="20" t="str">
        <f>+T1669</f>
        <v/>
      </c>
      <c r="J1669" s="30"/>
      <c r="K1669" s="22" t="str">
        <f>IF(I1669="","",IF(I1669="ENTRADA",ABS(J1669),-ABS(J1669)))</f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2066</v>
      </c>
      <c r="H1670" s="20" t="str">
        <f>+T1670</f>
        <v/>
      </c>
      <c r="J1670" s="30"/>
      <c r="K1670" s="22" t="str">
        <f>IF(I1670="","",IF(I1670="ENTRADA",ABS(J1670),-ABS(J1670)))</f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2067</v>
      </c>
      <c r="H1671" s="20" t="str">
        <f>+T1671</f>
        <v/>
      </c>
      <c r="J1671" s="30"/>
      <c r="K1671" s="22" t="str">
        <f>IF(I1671="","",IF(I1671="ENTRADA",ABS(J1671),-ABS(J1671)))</f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2068</v>
      </c>
      <c r="H1672" s="20" t="str">
        <f>+T1672</f>
        <v/>
      </c>
      <c r="J1672" s="30"/>
      <c r="K1672" s="22" t="str">
        <f>IF(I1672="","",IF(I1672="ENTRADA",ABS(J1672),-ABS(J1672)))</f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2069</v>
      </c>
      <c r="H1673" s="20" t="str">
        <f>+T1673</f>
        <v/>
      </c>
      <c r="J1673" s="30"/>
      <c r="K1673" s="22" t="str">
        <f>IF(I1673="","",IF(I1673="ENTRADA",ABS(J1673),-ABS(J1673)))</f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2070</v>
      </c>
      <c r="H1674" s="20" t="str">
        <f>+T1674</f>
        <v/>
      </c>
      <c r="J1674" s="30"/>
      <c r="K1674" s="22" t="str">
        <f>IF(I1674="","",IF(I1674="ENTRADA",ABS(J1674),-ABS(J1674)))</f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2071</v>
      </c>
      <c r="H1675" s="20" t="str">
        <f>+T1675</f>
        <v/>
      </c>
      <c r="J1675" s="30"/>
      <c r="K1675" s="22" t="str">
        <f>IF(I1675="","",IF(I1675="ENTRADA",ABS(J1675),-ABS(J1675)))</f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2072</v>
      </c>
      <c r="H1676" s="20" t="str">
        <f>+T1676</f>
        <v/>
      </c>
      <c r="J1676" s="30"/>
      <c r="K1676" s="22" t="str">
        <f>IF(I1676="","",IF(I1676="ENTRADA",ABS(J1676),-ABS(J1676)))</f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2073</v>
      </c>
      <c r="H1677" s="20" t="str">
        <f>+T1677</f>
        <v/>
      </c>
      <c r="J1677" s="30"/>
      <c r="K1677" s="22" t="str">
        <f>IF(I1677="","",IF(I1677="ENTRADA",ABS(J1677),-ABS(J1677)))</f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2074</v>
      </c>
      <c r="H1678" s="20" t="str">
        <f>+T1678</f>
        <v/>
      </c>
      <c r="J1678" s="30"/>
      <c r="K1678" s="22" t="str">
        <f>IF(I1678="","",IF(I1678="ENTRADA",ABS(J1678),-ABS(J1678)))</f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2075</v>
      </c>
      <c r="H1679" s="20" t="str">
        <f>+T1679</f>
        <v/>
      </c>
      <c r="J1679" s="30"/>
      <c r="K1679" s="22" t="str">
        <f>IF(I1679="","",IF(I1679="ENTRADA",ABS(J1679),-ABS(J1679)))</f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2076</v>
      </c>
      <c r="H1680" s="20" t="str">
        <f>+T1680</f>
        <v/>
      </c>
      <c r="J1680" s="30"/>
      <c r="K1680" s="22" t="str">
        <f>IF(I1680="","",IF(I1680="ENTRADA",ABS(J1680),-ABS(J1680)))</f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2077</v>
      </c>
      <c r="H1681" s="20" t="str">
        <f>+T1681</f>
        <v/>
      </c>
      <c r="J1681" s="30"/>
      <c r="K1681" s="22" t="str">
        <f>IF(I1681="","",IF(I1681="ENTRADA",ABS(J1681),-ABS(J1681)))</f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2078</v>
      </c>
      <c r="H1682" s="20" t="str">
        <f>+T1682</f>
        <v/>
      </c>
      <c r="J1682" s="30"/>
      <c r="K1682" s="22" t="str">
        <f>IF(I1682="","",IF(I1682="ENTRADA",ABS(J1682),-ABS(J1682)))</f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2079</v>
      </c>
      <c r="H1683" s="20" t="str">
        <f>+T1683</f>
        <v/>
      </c>
      <c r="J1683" s="30"/>
      <c r="K1683" s="22" t="str">
        <f>IF(I1683="","",IF(I1683="ENTRADA",ABS(J1683),-ABS(J1683)))</f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2080</v>
      </c>
      <c r="H1684" s="20" t="str">
        <f>+T1684</f>
        <v/>
      </c>
      <c r="J1684" s="30"/>
      <c r="K1684" s="22" t="str">
        <f>IF(I1684="","",IF(I1684="ENTRADA",ABS(J1684),-ABS(J1684)))</f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2081</v>
      </c>
      <c r="H1685" s="20" t="str">
        <f>+T1685</f>
        <v/>
      </c>
      <c r="J1685" s="30"/>
      <c r="K1685" s="22" t="str">
        <f>IF(I1685="","",IF(I1685="ENTRADA",ABS(J1685),-ABS(J1685)))</f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2082</v>
      </c>
      <c r="H1686" s="20" t="str">
        <f>+T1686</f>
        <v/>
      </c>
      <c r="J1686" s="30"/>
      <c r="K1686" s="22" t="str">
        <f>IF(I1686="","",IF(I1686="ENTRADA",ABS(J1686),-ABS(J1686)))</f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2083</v>
      </c>
      <c r="H1687" s="20" t="str">
        <f>+T1687</f>
        <v/>
      </c>
      <c r="J1687" s="30"/>
      <c r="K1687" s="22" t="str">
        <f>IF(I1687="","",IF(I1687="ENTRADA",ABS(J1687),-ABS(J1687)))</f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2084</v>
      </c>
      <c r="H1688" s="20" t="str">
        <f>+T1688</f>
        <v/>
      </c>
      <c r="J1688" s="30"/>
      <c r="K1688" s="22" t="str">
        <f>IF(I1688="","",IF(I1688="ENTRADA",ABS(J1688),-ABS(J1688)))</f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2085</v>
      </c>
      <c r="H1689" s="20" t="str">
        <f>+T1689</f>
        <v/>
      </c>
      <c r="J1689" s="30"/>
      <c r="K1689" s="22" t="str">
        <f>IF(I1689="","",IF(I1689="ENTRADA",ABS(J1689),-ABS(J1689)))</f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2086</v>
      </c>
      <c r="H1690" s="20" t="str">
        <f>+T1690</f>
        <v/>
      </c>
      <c r="J1690" s="30"/>
      <c r="K1690" s="22" t="str">
        <f>IF(I1690="","",IF(I1690="ENTRADA",ABS(J1690),-ABS(J1690)))</f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2087</v>
      </c>
      <c r="H1691" s="20" t="str">
        <f>+T1691</f>
        <v/>
      </c>
      <c r="J1691" s="30"/>
      <c r="K1691" s="22" t="str">
        <f>IF(I1691="","",IF(I1691="ENTRADA",ABS(J1691),-ABS(J1691)))</f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2088</v>
      </c>
      <c r="H1692" s="20" t="str">
        <f>+T1692</f>
        <v/>
      </c>
      <c r="J1692" s="30"/>
      <c r="K1692" s="22" t="str">
        <f>IF(I1692="","",IF(I1692="ENTRADA",ABS(J1692),-ABS(J1692)))</f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2089</v>
      </c>
      <c r="H1693" s="20" t="str">
        <f>+T1693</f>
        <v/>
      </c>
      <c r="J1693" s="30"/>
      <c r="K1693" s="22" t="str">
        <f>IF(I1693="","",IF(I1693="ENTRADA",ABS(J1693),-ABS(J1693)))</f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2090</v>
      </c>
      <c r="H1694" s="20" t="str">
        <f>+T1694</f>
        <v/>
      </c>
      <c r="J1694" s="30"/>
      <c r="K1694" s="22" t="str">
        <f>IF(I1694="","",IF(I1694="ENTRADA",ABS(J1694),-ABS(J1694)))</f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2091</v>
      </c>
      <c r="H1695" s="20" t="str">
        <f>+T1695</f>
        <v/>
      </c>
      <c r="J1695" s="30"/>
      <c r="K1695" s="22" t="str">
        <f>IF(I1695="","",IF(I1695="ENTRADA",ABS(J1695),-ABS(J1695)))</f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2092</v>
      </c>
      <c r="H1696" s="20" t="str">
        <f>+T1696</f>
        <v/>
      </c>
      <c r="J1696" s="30"/>
      <c r="K1696" s="22" t="str">
        <f>IF(I1696="","",IF(I1696="ENTRADA",ABS(J1696),-ABS(J1696)))</f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2093</v>
      </c>
      <c r="H1697" s="20" t="str">
        <f>+T1697</f>
        <v/>
      </c>
      <c r="J1697" s="30"/>
      <c r="K1697" s="22" t="str">
        <f>IF(I1697="","",IF(I1697="ENTRADA",ABS(J1697),-ABS(J1697)))</f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2094</v>
      </c>
      <c r="H1698" s="20" t="str">
        <f>+T1698</f>
        <v/>
      </c>
      <c r="J1698" s="30"/>
      <c r="K1698" s="22" t="str">
        <f>IF(I1698="","",IF(I1698="ENTRADA",ABS(J1698),-ABS(J1698)))</f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2095</v>
      </c>
      <c r="H1699" s="20" t="str">
        <f>+T1699</f>
        <v/>
      </c>
      <c r="J1699" s="30"/>
      <c r="K1699" s="22" t="str">
        <f>IF(I1699="","",IF(I1699="ENTRADA",ABS(J1699),-ABS(J1699)))</f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2096</v>
      </c>
      <c r="H1700" s="20" t="str">
        <f>+T1700</f>
        <v/>
      </c>
      <c r="J1700" s="30"/>
      <c r="K1700" s="22" t="str">
        <f>IF(I1700="","",IF(I1700="ENTRADA",ABS(J1700),-ABS(J1700)))</f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2097</v>
      </c>
      <c r="H1701" s="20" t="str">
        <f>+T1701</f>
        <v/>
      </c>
      <c r="J1701" s="30"/>
      <c r="K1701" s="22" t="str">
        <f>IF(I1701="","",IF(I1701="ENTRADA",ABS(J1701),-ABS(J1701)))</f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2098</v>
      </c>
      <c r="H1702" s="20" t="str">
        <f>+T1702</f>
        <v/>
      </c>
      <c r="J1702" s="30"/>
      <c r="K1702" s="22" t="str">
        <f>IF(I1702="","",IF(I1702="ENTRADA",ABS(J1702),-ABS(J1702)))</f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2099</v>
      </c>
      <c r="H1703" s="20" t="str">
        <f>+T1703</f>
        <v/>
      </c>
      <c r="J1703" s="30"/>
      <c r="K1703" s="22" t="str">
        <f>IF(I1703="","",IF(I1703="ENTRADA",ABS(J1703),-ABS(J1703)))</f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2100</v>
      </c>
      <c r="H1704" s="20" t="str">
        <f>+T1704</f>
        <v/>
      </c>
      <c r="J1704" s="30"/>
      <c r="K1704" s="22" t="str">
        <f>IF(I1704="","",IF(I1704="ENTRADA",ABS(J1704),-ABS(J1704)))</f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2101</v>
      </c>
      <c r="H1705" s="20" t="str">
        <f>+T1705</f>
        <v/>
      </c>
      <c r="J1705" s="30"/>
      <c r="K1705" s="22" t="str">
        <f>IF(I1705="","",IF(I1705="ENTRADA",ABS(J1705),-ABS(J1705)))</f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2102</v>
      </c>
      <c r="H1706" s="20" t="str">
        <f>+T1706</f>
        <v/>
      </c>
      <c r="J1706" s="30"/>
      <c r="K1706" s="22" t="str">
        <f>IF(I1706="","",IF(I1706="ENTRADA",ABS(J1706),-ABS(J1706)))</f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2103</v>
      </c>
      <c r="H1707" s="20" t="str">
        <f>+T1707</f>
        <v/>
      </c>
      <c r="J1707" s="30"/>
      <c r="K1707" s="22" t="str">
        <f>IF(I1707="","",IF(I1707="ENTRADA",ABS(J1707),-ABS(J1707)))</f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2104</v>
      </c>
      <c r="H1708" s="20" t="str">
        <f>+T1708</f>
        <v/>
      </c>
      <c r="J1708" s="30"/>
      <c r="K1708" s="22" t="str">
        <f>IF(I1708="","",IF(I1708="ENTRADA",ABS(J1708),-ABS(J1708)))</f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2105</v>
      </c>
      <c r="H1709" s="20" t="str">
        <f>+T1709</f>
        <v/>
      </c>
      <c r="J1709" s="30"/>
      <c r="K1709" s="22" t="str">
        <f>IF(I1709="","",IF(I1709="ENTRADA",ABS(J1709),-ABS(J1709)))</f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2106</v>
      </c>
      <c r="H1710" s="20" t="str">
        <f>+T1710</f>
        <v/>
      </c>
      <c r="J1710" s="30"/>
      <c r="K1710" s="22" t="str">
        <f>IF(I1710="","",IF(I1710="ENTRADA",ABS(J1710),-ABS(J1710)))</f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2107</v>
      </c>
      <c r="H1711" s="20" t="str">
        <f>+T1711</f>
        <v/>
      </c>
      <c r="J1711" s="30"/>
      <c r="K1711" s="22" t="str">
        <f>IF(I1711="","",IF(I1711="ENTRADA",ABS(J1711),-ABS(J1711)))</f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2108</v>
      </c>
      <c r="H1712" s="20" t="str">
        <f>+T1712</f>
        <v/>
      </c>
      <c r="J1712" s="30"/>
      <c r="K1712" s="22" t="str">
        <f>IF(I1712="","",IF(I1712="ENTRADA",ABS(J1712),-ABS(J1712)))</f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2109</v>
      </c>
      <c r="H1713" s="20" t="str">
        <f>+T1713</f>
        <v/>
      </c>
      <c r="J1713" s="30"/>
      <c r="K1713" s="22" t="str">
        <f>IF(I1713="","",IF(I1713="ENTRADA",ABS(J1713),-ABS(J1713)))</f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2110</v>
      </c>
      <c r="H1714" s="20" t="str">
        <f>+T1714</f>
        <v/>
      </c>
      <c r="J1714" s="30"/>
      <c r="K1714" s="22" t="str">
        <f>IF(I1714="","",IF(I1714="ENTRADA",ABS(J1714),-ABS(J1714)))</f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2111</v>
      </c>
      <c r="H1715" s="20" t="str">
        <f>+T1715</f>
        <v/>
      </c>
      <c r="J1715" s="30"/>
      <c r="K1715" s="22" t="str">
        <f>IF(I1715="","",IF(I1715="ENTRADA",ABS(J1715),-ABS(J1715)))</f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2112</v>
      </c>
      <c r="H1716" s="20" t="str">
        <f>+T1716</f>
        <v/>
      </c>
      <c r="J1716" s="30"/>
      <c r="K1716" s="22" t="str">
        <f>IF(I1716="","",IF(I1716="ENTRADA",ABS(J1716),-ABS(J1716)))</f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2113</v>
      </c>
      <c r="H1717" s="20" t="str">
        <f>+T1717</f>
        <v/>
      </c>
      <c r="J1717" s="30"/>
      <c r="K1717" s="22" t="str">
        <f>IF(I1717="","",IF(I1717="ENTRADA",ABS(J1717),-ABS(J1717)))</f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2114</v>
      </c>
      <c r="H1718" s="20" t="str">
        <f>+T1718</f>
        <v/>
      </c>
      <c r="J1718" s="30"/>
      <c r="K1718" s="22" t="str">
        <f>IF(I1718="","",IF(I1718="ENTRADA",ABS(J1718),-ABS(J1718)))</f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2115</v>
      </c>
      <c r="H1719" s="20" t="str">
        <f>+T1719</f>
        <v/>
      </c>
      <c r="J1719" s="30"/>
      <c r="K1719" s="22" t="str">
        <f>IF(I1719="","",IF(I1719="ENTRADA",ABS(J1719),-ABS(J1719)))</f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2116</v>
      </c>
      <c r="H1720" s="20" t="str">
        <f>+T1720</f>
        <v/>
      </c>
      <c r="J1720" s="30"/>
      <c r="K1720" s="22" t="str">
        <f>IF(I1720="","",IF(I1720="ENTRADA",ABS(J1720),-ABS(J1720)))</f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2117</v>
      </c>
      <c r="H1721" s="20" t="str">
        <f>+T1721</f>
        <v/>
      </c>
      <c r="J1721" s="30"/>
      <c r="K1721" s="22" t="str">
        <f>IF(I1721="","",IF(I1721="ENTRADA",ABS(J1721),-ABS(J1721)))</f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2118</v>
      </c>
      <c r="H1722" s="20" t="str">
        <f>+T1722</f>
        <v/>
      </c>
      <c r="J1722" s="30"/>
      <c r="K1722" s="22" t="str">
        <f>IF(I1722="","",IF(I1722="ENTRADA",ABS(J1722),-ABS(J1722)))</f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2119</v>
      </c>
      <c r="H1723" s="20" t="str">
        <f>+T1723</f>
        <v/>
      </c>
      <c r="J1723" s="30"/>
      <c r="K1723" s="22" t="str">
        <f>IF(I1723="","",IF(I1723="ENTRADA",ABS(J1723),-ABS(J1723)))</f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2120</v>
      </c>
      <c r="H1724" s="20" t="str">
        <f>+T1724</f>
        <v/>
      </c>
      <c r="J1724" s="30"/>
      <c r="K1724" s="22" t="str">
        <f>IF(I1724="","",IF(I1724="ENTRADA",ABS(J1724),-ABS(J1724)))</f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2121</v>
      </c>
      <c r="H1725" s="20" t="str">
        <f>+T1725</f>
        <v/>
      </c>
      <c r="J1725" s="30"/>
      <c r="K1725" s="22" t="str">
        <f>IF(I1725="","",IF(I1725="ENTRADA",ABS(J1725),-ABS(J1725)))</f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2122</v>
      </c>
      <c r="H1726" s="20" t="str">
        <f>+T1726</f>
        <v/>
      </c>
      <c r="J1726" s="30"/>
      <c r="K1726" s="22" t="str">
        <f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2123</v>
      </c>
      <c r="H1727" s="20" t="str">
        <f>+T1727</f>
        <v/>
      </c>
      <c r="J1727" s="30"/>
      <c r="K1727" s="22" t="str">
        <f>IF(I1727="","",IF(I1727="ENTRADA",ABS(J1727),-ABS(J1727)))</f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2124</v>
      </c>
      <c r="H1728" s="20" t="str">
        <f>+T1728</f>
        <v/>
      </c>
      <c r="J1728" s="30"/>
      <c r="K1728" s="22" t="str">
        <f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2125</v>
      </c>
      <c r="H1729" s="20" t="str">
        <f>+T1729</f>
        <v/>
      </c>
      <c r="J1729" s="30"/>
      <c r="K1729" s="22" t="str">
        <f>IF(I1729="","",IF(I1729="ENTRADA",ABS(J1729),-ABS(J1729)))</f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2126</v>
      </c>
      <c r="H1730" s="20" t="str">
        <f>+T1730</f>
        <v/>
      </c>
      <c r="J1730" s="30"/>
      <c r="K1730" s="22" t="str">
        <f>IF(I1730="","",IF(I1730="ENTRADA",ABS(J1730),-ABS(J1730)))</f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2127</v>
      </c>
      <c r="H1731" s="20" t="str">
        <f>+T1731</f>
        <v/>
      </c>
      <c r="J1731" s="30"/>
      <c r="K1731" s="22" t="str">
        <f>IF(I1731="","",IF(I1731="ENTRADA",ABS(J1731),-ABS(J1731)))</f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2128</v>
      </c>
      <c r="H1732" s="20" t="str">
        <f>+T1732</f>
        <v/>
      </c>
      <c r="J1732" s="30"/>
      <c r="K1732" s="22" t="str">
        <f>IF(I1732="","",IF(I1732="ENTRADA",ABS(J1732),-ABS(J1732)))</f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2129</v>
      </c>
      <c r="H1733" s="20" t="str">
        <f>+T1733</f>
        <v/>
      </c>
      <c r="J1733" s="30"/>
      <c r="K1733" s="22" t="str">
        <f>IF(I1733="","",IF(I1733="ENTRADA",ABS(J1733),-ABS(J1733)))</f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2130</v>
      </c>
      <c r="H1734" s="20" t="str">
        <f>+T1734</f>
        <v/>
      </c>
      <c r="J1734" s="30"/>
      <c r="K1734" s="22" t="str">
        <f>IF(I1734="","",IF(I1734="ENTRADA",ABS(J1734),-ABS(J1734)))</f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2131</v>
      </c>
      <c r="H1735" s="20" t="str">
        <f>+T1735</f>
        <v/>
      </c>
      <c r="J1735" s="30"/>
      <c r="K1735" s="22" t="str">
        <f>IF(I1735="","",IF(I1735="ENTRADA",ABS(J1735),-ABS(J1735)))</f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2132</v>
      </c>
      <c r="H1736" s="20" t="str">
        <f>+T1736</f>
        <v/>
      </c>
      <c r="J1736" s="30"/>
      <c r="K1736" s="22" t="str">
        <f>IF(I1736="","",IF(I1736="ENTRADA",ABS(J1736),-ABS(J1736)))</f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2133</v>
      </c>
      <c r="H1737" s="20" t="str">
        <f>+T1737</f>
        <v/>
      </c>
      <c r="J1737" s="30"/>
      <c r="K1737" s="22" t="str">
        <f>IF(I1737="","",IF(I1737="ENTRADA",ABS(J1737),-ABS(J1737)))</f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2134</v>
      </c>
      <c r="H1738" s="20" t="str">
        <f>+T1738</f>
        <v/>
      </c>
      <c r="J1738" s="30"/>
      <c r="K1738" s="22" t="str">
        <f>IF(I1738="","",IF(I1738="ENTRADA",ABS(J1738),-ABS(J1738)))</f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2135</v>
      </c>
      <c r="H1739" s="20" t="str">
        <f>+T1739</f>
        <v/>
      </c>
      <c r="J1739" s="30"/>
      <c r="K1739" s="22" t="str">
        <f>IF(I1739="","",IF(I1739="ENTRADA",ABS(J1739),-ABS(J1739)))</f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2136</v>
      </c>
      <c r="H1740" s="20" t="str">
        <f>+T1740</f>
        <v/>
      </c>
      <c r="J1740" s="30"/>
      <c r="K1740" s="22" t="str">
        <f>IF(I1740="","",IF(I1740="ENTRADA",ABS(J1740),-ABS(J1740)))</f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2137</v>
      </c>
      <c r="H1741" s="20" t="str">
        <f>+T1741</f>
        <v/>
      </c>
      <c r="J1741" s="30"/>
      <c r="K1741" s="22" t="str">
        <f>IF(I1741="","",IF(I1741="ENTRADA",ABS(J1741),-ABS(J1741)))</f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2138</v>
      </c>
      <c r="H1742" s="20" t="str">
        <f>+T1742</f>
        <v/>
      </c>
      <c r="J1742" s="30"/>
      <c r="K1742" s="22" t="str">
        <f>IF(I1742="","",IF(I1742="ENTRADA",ABS(J1742),-ABS(J1742)))</f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2139</v>
      </c>
      <c r="H1743" s="20" t="str">
        <f>+T1743</f>
        <v/>
      </c>
      <c r="J1743" s="30"/>
      <c r="K1743" s="22" t="str">
        <f>IF(I1743="","",IF(I1743="ENTRADA",ABS(J1743),-ABS(J1743)))</f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2140</v>
      </c>
      <c r="H1744" s="20" t="str">
        <f>+T1744</f>
        <v/>
      </c>
      <c r="J1744" s="30"/>
      <c r="K1744" s="22" t="str">
        <f>IF(I1744="","",IF(I1744="ENTRADA",ABS(J1744),-ABS(J1744)))</f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2141</v>
      </c>
      <c r="H1745" s="20" t="str">
        <f>+T1745</f>
        <v/>
      </c>
      <c r="J1745" s="30"/>
      <c r="K1745" s="22" t="str">
        <f>IF(I1745="","",IF(I1745="ENTRADA",ABS(J1745),-ABS(J1745)))</f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2142</v>
      </c>
      <c r="H1746" s="20" t="str">
        <f>+T1746</f>
        <v/>
      </c>
      <c r="J1746" s="30"/>
      <c r="K1746" s="22" t="str">
        <f>IF(I1746="","",IF(I1746="ENTRADA",ABS(J1746),-ABS(J1746)))</f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2143</v>
      </c>
      <c r="H1747" s="20" t="str">
        <f>+T1747</f>
        <v/>
      </c>
      <c r="J1747" s="30"/>
      <c r="K1747" s="22" t="str">
        <f>IF(I1747="","",IF(I1747="ENTRADA",ABS(J1747),-ABS(J1747)))</f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2144</v>
      </c>
      <c r="H1748" s="20" t="str">
        <f>+T1748</f>
        <v/>
      </c>
      <c r="J1748" s="30"/>
      <c r="K1748" s="22" t="str">
        <f>IF(I1748="","",IF(I1748="ENTRADA",ABS(J1748),-ABS(J1748)))</f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2145</v>
      </c>
      <c r="H1749" s="20" t="str">
        <f>+T1749</f>
        <v/>
      </c>
      <c r="J1749" s="30"/>
      <c r="K1749" s="22" t="str">
        <f>IF(I1749="","",IF(I1749="ENTRADA",ABS(J1749),-ABS(J1749)))</f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2146</v>
      </c>
      <c r="H1750" s="20" t="str">
        <f>+T1750</f>
        <v/>
      </c>
      <c r="J1750" s="30"/>
      <c r="K1750" s="22" t="str">
        <f>IF(I1750="","",IF(I1750="ENTRADA",ABS(J1750),-ABS(J1750)))</f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2147</v>
      </c>
      <c r="H1751" s="20" t="str">
        <f>+T1751</f>
        <v/>
      </c>
      <c r="J1751" s="30"/>
      <c r="K1751" s="22" t="str">
        <f>IF(I1751="","",IF(I1751="ENTRADA",ABS(J1751),-ABS(J1751)))</f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2148</v>
      </c>
      <c r="H1752" s="20" t="str">
        <f>+T1752</f>
        <v/>
      </c>
      <c r="J1752" s="30"/>
      <c r="K1752" s="22" t="str">
        <f>IF(I1752="","",IF(I1752="ENTRADA",ABS(J1752),-ABS(J1752)))</f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2149</v>
      </c>
      <c r="H1753" s="20" t="str">
        <f>+T1753</f>
        <v/>
      </c>
      <c r="J1753" s="30"/>
      <c r="K1753" s="22" t="str">
        <f>IF(I1753="","",IF(I1753="ENTRADA",ABS(J1753),-ABS(J1753)))</f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2150</v>
      </c>
      <c r="H1754" s="20" t="str">
        <f>+T1754</f>
        <v/>
      </c>
      <c r="J1754" s="30"/>
      <c r="K1754" s="22" t="str">
        <f>IF(I1754="","",IF(I1754="ENTRADA",ABS(J1754),-ABS(J1754)))</f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2151</v>
      </c>
      <c r="H1755" s="20" t="str">
        <f>+T1755</f>
        <v/>
      </c>
      <c r="J1755" s="30"/>
      <c r="K1755" s="22" t="str">
        <f>IF(I1755="","",IF(I1755="ENTRADA",ABS(J1755),-ABS(J1755)))</f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2152</v>
      </c>
      <c r="H1756" s="20" t="str">
        <f>+T1756</f>
        <v/>
      </c>
      <c r="J1756" s="30"/>
      <c r="K1756" s="22" t="str">
        <f>IF(I1756="","",IF(I1756="ENTRADA",ABS(J1756),-ABS(J1756)))</f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2153</v>
      </c>
      <c r="H1757" s="20" t="str">
        <f>+T1757</f>
        <v/>
      </c>
      <c r="J1757" s="30"/>
      <c r="K1757" s="22" t="str">
        <f>IF(I1757="","",IF(I1757="ENTRADA",ABS(J1757),-ABS(J1757)))</f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2154</v>
      </c>
      <c r="H1758" s="20" t="str">
        <f>+T1758</f>
        <v/>
      </c>
      <c r="J1758" s="30"/>
      <c r="K1758" s="22" t="str">
        <f>IF(I1758="","",IF(I1758="ENTRADA",ABS(J1758),-ABS(J1758)))</f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2155</v>
      </c>
      <c r="H1759" s="20" t="str">
        <f>+T1759</f>
        <v/>
      </c>
      <c r="J1759" s="30"/>
      <c r="K1759" s="22" t="str">
        <f>IF(I1759="","",IF(I1759="ENTRADA",ABS(J1759),-ABS(J1759)))</f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2156</v>
      </c>
      <c r="H1760" s="20" t="str">
        <f>+T1760</f>
        <v/>
      </c>
      <c r="J1760" s="30"/>
      <c r="K1760" s="22" t="str">
        <f>IF(I1760="","",IF(I1760="ENTRADA",ABS(J1760),-ABS(J1760)))</f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2157</v>
      </c>
      <c r="H1761" s="20" t="str">
        <f>+T1761</f>
        <v/>
      </c>
      <c r="J1761" s="30"/>
      <c r="K1761" s="22" t="str">
        <f>IF(I1761="","",IF(I1761="ENTRADA",ABS(J1761),-ABS(J1761)))</f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2158</v>
      </c>
      <c r="H1762" s="20" t="str">
        <f>+T1762</f>
        <v/>
      </c>
      <c r="J1762" s="30"/>
      <c r="K1762" s="22" t="str">
        <f>IF(I1762="","",IF(I1762="ENTRADA",ABS(J1762),-ABS(J1762)))</f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2159</v>
      </c>
      <c r="H1763" s="20" t="str">
        <f>+T1763</f>
        <v/>
      </c>
      <c r="J1763" s="30"/>
      <c r="K1763" s="22" t="str">
        <f>IF(I1763="","",IF(I1763="ENTRADA",ABS(J1763),-ABS(J1763)))</f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2160</v>
      </c>
      <c r="H1764" s="20" t="str">
        <f>+T1764</f>
        <v/>
      </c>
      <c r="J1764" s="30"/>
      <c r="K1764" s="22" t="str">
        <f>IF(I1764="","",IF(I1764="ENTRADA",ABS(J1764),-ABS(J1764)))</f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2161</v>
      </c>
      <c r="H1765" s="20" t="str">
        <f>+T1765</f>
        <v/>
      </c>
      <c r="J1765" s="30"/>
      <c r="K1765" s="22" t="str">
        <f>IF(I1765="","",IF(I1765="ENTRADA",ABS(J1765),-ABS(J1765)))</f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2162</v>
      </c>
      <c r="H1766" s="20" t="str">
        <f>+T1766</f>
        <v/>
      </c>
      <c r="J1766" s="30"/>
      <c r="K1766" s="22" t="str">
        <f>IF(I1766="","",IF(I1766="ENTRADA",ABS(J1766),-ABS(J1766)))</f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2163</v>
      </c>
      <c r="H1767" s="20" t="str">
        <f>+T1767</f>
        <v/>
      </c>
      <c r="J1767" s="30"/>
      <c r="K1767" s="22" t="str">
        <f>IF(I1767="","",IF(I1767="ENTRADA",ABS(J1767),-ABS(J1767)))</f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2164</v>
      </c>
      <c r="H1768" s="20" t="str">
        <f>+T1768</f>
        <v/>
      </c>
      <c r="J1768" s="30"/>
      <c r="K1768" s="22" t="str">
        <f>IF(I1768="","",IF(I1768="ENTRADA",ABS(J1768),-ABS(J1768)))</f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2165</v>
      </c>
      <c r="H1769" s="20" t="str">
        <f>+T1769</f>
        <v/>
      </c>
      <c r="J1769" s="30"/>
      <c r="K1769" s="22" t="str">
        <f>IF(I1769="","",IF(I1769="ENTRADA",ABS(J1769),-ABS(J1769)))</f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2166</v>
      </c>
      <c r="H1770" s="20" t="str">
        <f>+T1770</f>
        <v/>
      </c>
      <c r="J1770" s="30"/>
      <c r="K1770" s="22" t="str">
        <f>IF(I1770="","",IF(I1770="ENTRADA",ABS(J1770),-ABS(J1770)))</f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2167</v>
      </c>
      <c r="H1771" s="20" t="str">
        <f>+T1771</f>
        <v/>
      </c>
      <c r="J1771" s="30"/>
      <c r="K1771" s="22" t="str">
        <f>IF(I1771="","",IF(I1771="ENTRADA",ABS(J1771),-ABS(J1771)))</f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2168</v>
      </c>
      <c r="H1772" s="20" t="str">
        <f>+T1772</f>
        <v/>
      </c>
      <c r="J1772" s="30"/>
      <c r="K1772" s="22" t="str">
        <f>IF(I1772="","",IF(I1772="ENTRADA",ABS(J1772),-ABS(J1772)))</f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2169</v>
      </c>
      <c r="H1773" s="20" t="str">
        <f>+T1773</f>
        <v/>
      </c>
      <c r="J1773" s="30"/>
      <c r="K1773" s="22" t="str">
        <f>IF(I1773="","",IF(I1773="ENTRADA",ABS(J1773),-ABS(J1773)))</f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2170</v>
      </c>
      <c r="H1774" s="20" t="str">
        <f>+T1774</f>
        <v/>
      </c>
      <c r="J1774" s="30"/>
      <c r="K1774" s="22" t="str">
        <f>IF(I1774="","",IF(I1774="ENTRADA",ABS(J1774),-ABS(J1774)))</f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2171</v>
      </c>
      <c r="H1775" s="20" t="str">
        <f>+T1775</f>
        <v/>
      </c>
      <c r="J1775" s="30"/>
      <c r="K1775" s="22" t="str">
        <f>IF(I1775="","",IF(I1775="ENTRADA",ABS(J1775),-ABS(J1775)))</f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2172</v>
      </c>
      <c r="H1776" s="20" t="str">
        <f>+T1776</f>
        <v/>
      </c>
      <c r="J1776" s="30"/>
      <c r="K1776" s="22" t="str">
        <f>IF(I1776="","",IF(I1776="ENTRADA",ABS(J1776),-ABS(J1776)))</f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2173</v>
      </c>
      <c r="H1777" s="20" t="str">
        <f>+T1777</f>
        <v/>
      </c>
      <c r="J1777" s="30"/>
      <c r="K1777" s="22" t="str">
        <f>IF(I1777="","",IF(I1777="ENTRADA",ABS(J1777),-ABS(J1777)))</f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2174</v>
      </c>
      <c r="H1778" s="20" t="str">
        <f>+T1778</f>
        <v/>
      </c>
      <c r="J1778" s="30"/>
      <c r="K1778" s="22" t="str">
        <f>IF(I1778="","",IF(I1778="ENTRADA",ABS(J1778),-ABS(J1778)))</f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2175</v>
      </c>
      <c r="H1779" s="20" t="str">
        <f>+T1779</f>
        <v/>
      </c>
      <c r="J1779" s="30"/>
      <c r="K1779" s="22" t="str">
        <f>IF(I1779="","",IF(I1779="ENTRADA",ABS(J1779),-ABS(J1779)))</f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2176</v>
      </c>
      <c r="H1780" s="20" t="str">
        <f>+T1780</f>
        <v/>
      </c>
      <c r="J1780" s="30"/>
      <c r="K1780" s="22" t="str">
        <f>IF(I1780="","",IF(I1780="ENTRADA",ABS(J1780),-ABS(J1780)))</f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2177</v>
      </c>
      <c r="H1781" s="20" t="str">
        <f>+T1781</f>
        <v/>
      </c>
      <c r="J1781" s="30"/>
      <c r="K1781" s="22" t="str">
        <f>IF(I1781="","",IF(I1781="ENTRADA",ABS(J1781),-ABS(J1781)))</f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2178</v>
      </c>
      <c r="H1782" s="20" t="str">
        <f>+T1782</f>
        <v/>
      </c>
      <c r="J1782" s="30"/>
      <c r="K1782" s="22" t="str">
        <f>IF(I1782="","",IF(I1782="ENTRADA",ABS(J1782),-ABS(J1782)))</f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2179</v>
      </c>
      <c r="H1783" s="20" t="str">
        <f>+T1783</f>
        <v/>
      </c>
      <c r="J1783" s="30"/>
      <c r="K1783" s="22" t="str">
        <f>IF(I1783="","",IF(I1783="ENTRADA",ABS(J1783),-ABS(J1783)))</f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2180</v>
      </c>
      <c r="H1784" s="20" t="str">
        <f>+T1784</f>
        <v/>
      </c>
      <c r="J1784" s="30"/>
      <c r="K1784" s="22" t="str">
        <f>IF(I1784="","",IF(I1784="ENTRADA",ABS(J1784),-ABS(J1784)))</f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2181</v>
      </c>
      <c r="H1785" s="20" t="str">
        <f>+T1785</f>
        <v/>
      </c>
      <c r="J1785" s="30"/>
      <c r="K1785" s="22" t="str">
        <f>IF(I1785="","",IF(I1785="ENTRADA",ABS(J1785),-ABS(J1785)))</f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2182</v>
      </c>
      <c r="H1786" s="20" t="str">
        <f>+T1786</f>
        <v/>
      </c>
      <c r="J1786" s="30"/>
      <c r="K1786" s="22" t="str">
        <f>IF(I1786="","",IF(I1786="ENTRADA",ABS(J1786),-ABS(J1786)))</f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2183</v>
      </c>
      <c r="H1787" s="20" t="str">
        <f>+T1787</f>
        <v/>
      </c>
      <c r="J1787" s="30"/>
      <c r="K1787" s="22" t="str">
        <f>IF(I1787="","",IF(I1787="ENTRADA",ABS(J1787),-ABS(J1787)))</f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2184</v>
      </c>
      <c r="H1788" s="20" t="str">
        <f>+T1788</f>
        <v/>
      </c>
      <c r="J1788" s="30"/>
      <c r="K1788" s="22" t="str">
        <f>IF(I1788="","",IF(I1788="ENTRADA",ABS(J1788),-ABS(J1788)))</f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2185</v>
      </c>
      <c r="H1789" s="20" t="str">
        <f>+T1789</f>
        <v/>
      </c>
      <c r="J1789" s="30"/>
      <c r="K1789" s="22" t="str">
        <f>IF(I1789="","",IF(I1789="ENTRADA",ABS(J1789),-ABS(J1789)))</f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2186</v>
      </c>
      <c r="H1790" s="20" t="str">
        <f>+T1790</f>
        <v/>
      </c>
      <c r="J1790" s="30"/>
      <c r="K1790" s="22" t="str">
        <f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2187</v>
      </c>
      <c r="H1791" s="20" t="str">
        <f>+T1791</f>
        <v/>
      </c>
      <c r="J1791" s="30"/>
      <c r="K1791" s="22" t="str">
        <f>IF(I1791="","",IF(I1791="ENTRADA",ABS(J1791),-ABS(J1791)))</f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2188</v>
      </c>
      <c r="H1792" s="20" t="str">
        <f>+T1792</f>
        <v/>
      </c>
      <c r="J1792" s="30"/>
      <c r="K1792" s="22" t="str">
        <f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2189</v>
      </c>
      <c r="H1793" s="20" t="str">
        <f>+T1793</f>
        <v/>
      </c>
      <c r="J1793" s="30"/>
      <c r="K1793" s="22" t="str">
        <f>IF(I1793="","",IF(I1793="ENTRADA",ABS(J1793),-ABS(J1793)))</f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2190</v>
      </c>
      <c r="H1794" s="20" t="str">
        <f>+T1794</f>
        <v/>
      </c>
      <c r="J1794" s="30"/>
      <c r="K1794" s="22" t="str">
        <f>IF(I1794="","",IF(I1794="ENTRADA",ABS(J1794),-ABS(J1794)))</f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2191</v>
      </c>
      <c r="H1795" s="20" t="str">
        <f>+T1795</f>
        <v/>
      </c>
      <c r="J1795" s="30"/>
      <c r="K1795" s="22" t="str">
        <f>IF(I1795="","",IF(I1795="ENTRADA",ABS(J1795),-ABS(J1795)))</f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2192</v>
      </c>
      <c r="H1796" s="20" t="str">
        <f>+T1796</f>
        <v/>
      </c>
      <c r="J1796" s="30"/>
      <c r="K1796" s="22" t="str">
        <f>IF(I1796="","",IF(I1796="ENTRADA",ABS(J1796),-ABS(J1796)))</f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2193</v>
      </c>
      <c r="H1797" s="20" t="str">
        <f>+T1797</f>
        <v/>
      </c>
      <c r="J1797" s="30"/>
      <c r="K1797" s="22" t="str">
        <f>IF(I1797="","",IF(I1797="ENTRADA",ABS(J1797),-ABS(J1797)))</f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2194</v>
      </c>
      <c r="H1798" s="20" t="str">
        <f>+T1798</f>
        <v/>
      </c>
      <c r="J1798" s="30"/>
      <c r="K1798" s="22" t="str">
        <f>IF(I1798="","",IF(I1798="ENTRADA",ABS(J1798),-ABS(J1798)))</f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2195</v>
      </c>
      <c r="H1799" s="20" t="str">
        <f>+T1799</f>
        <v/>
      </c>
      <c r="J1799" s="30"/>
      <c r="K1799" s="22" t="str">
        <f>IF(I1799="","",IF(I1799="ENTRADA",ABS(J1799),-ABS(J1799)))</f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2196</v>
      </c>
      <c r="H1800" s="20" t="str">
        <f>+T1800</f>
        <v/>
      </c>
      <c r="J1800" s="30"/>
      <c r="K1800" s="22" t="str">
        <f>IF(I1800="","",IF(I1800="ENTRADA",ABS(J1800),-ABS(J1800)))</f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2197</v>
      </c>
      <c r="H1801" s="20" t="str">
        <f>+T1801</f>
        <v/>
      </c>
      <c r="J1801" s="30"/>
      <c r="K1801" s="22" t="str">
        <f>IF(I1801="","",IF(I1801="ENTRADA",ABS(J1801),-ABS(J1801)))</f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2198</v>
      </c>
      <c r="H1802" s="20" t="str">
        <f>+T1802</f>
        <v/>
      </c>
      <c r="J1802" s="30"/>
      <c r="K1802" s="22" t="str">
        <f>IF(I1802="","",IF(I1802="ENTRADA",ABS(J1802),-ABS(J1802)))</f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2199</v>
      </c>
      <c r="H1803" s="20" t="str">
        <f>+T1803</f>
        <v/>
      </c>
      <c r="J1803" s="30"/>
      <c r="K1803" s="22" t="str">
        <f>IF(I1803="","",IF(I1803="ENTRADA",ABS(J1803),-ABS(J1803)))</f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2200</v>
      </c>
      <c r="H1804" s="20" t="str">
        <f>+T1804</f>
        <v/>
      </c>
      <c r="J1804" s="30"/>
      <c r="K1804" s="22" t="str">
        <f>IF(I1804="","",IF(I1804="ENTRADA",ABS(J1804),-ABS(J1804)))</f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2201</v>
      </c>
      <c r="H1805" s="20" t="str">
        <f>+T1805</f>
        <v/>
      </c>
      <c r="J1805" s="30"/>
      <c r="K1805" s="22" t="str">
        <f>IF(I1805="","",IF(I1805="ENTRADA",ABS(J1805),-ABS(J1805)))</f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2202</v>
      </c>
      <c r="H1806" s="20" t="str">
        <f>+T1806</f>
        <v/>
      </c>
      <c r="J1806" s="30"/>
      <c r="K1806" s="22" t="str">
        <f>IF(I1806="","",IF(I1806="ENTRADA",ABS(J1806),-ABS(J1806)))</f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2203</v>
      </c>
      <c r="H1807" s="20" t="str">
        <f>+T1807</f>
        <v/>
      </c>
      <c r="J1807" s="30"/>
      <c r="K1807" s="22" t="str">
        <f>IF(I1807="","",IF(I1807="ENTRADA",ABS(J1807),-ABS(J1807)))</f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2204</v>
      </c>
      <c r="H1808" s="20" t="str">
        <f>+T1808</f>
        <v/>
      </c>
      <c r="J1808" s="30"/>
      <c r="K1808" s="22" t="str">
        <f>IF(I1808="","",IF(I1808="ENTRADA",ABS(J1808),-ABS(J1808)))</f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2205</v>
      </c>
      <c r="H1809" s="20" t="str">
        <f>+T1809</f>
        <v/>
      </c>
      <c r="J1809" s="30"/>
      <c r="K1809" s="22" t="str">
        <f>IF(I1809="","",IF(I1809="ENTRADA",ABS(J1809),-ABS(J1809)))</f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2206</v>
      </c>
      <c r="H1810" s="20" t="str">
        <f>+T1810</f>
        <v/>
      </c>
      <c r="J1810" s="30"/>
      <c r="K1810" s="22" t="str">
        <f>IF(I1810="","",IF(I1810="ENTRADA",ABS(J1810),-ABS(J1810)))</f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2207</v>
      </c>
      <c r="H1811" s="20" t="str">
        <f>+T1811</f>
        <v/>
      </c>
      <c r="J1811" s="30"/>
      <c r="K1811" s="22" t="str">
        <f>IF(I1811="","",IF(I1811="ENTRADA",ABS(J1811),-ABS(J1811)))</f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2208</v>
      </c>
      <c r="H1812" s="20" t="str">
        <f>+T1812</f>
        <v/>
      </c>
      <c r="J1812" s="30"/>
      <c r="K1812" s="22" t="str">
        <f>IF(I1812="","",IF(I1812="ENTRADA",ABS(J1812),-ABS(J1812)))</f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2209</v>
      </c>
      <c r="H1813" s="20" t="str">
        <f>+T1813</f>
        <v/>
      </c>
      <c r="J1813" s="30"/>
      <c r="K1813" s="22" t="str">
        <f>IF(I1813="","",IF(I1813="ENTRADA",ABS(J1813),-ABS(J1813)))</f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2210</v>
      </c>
      <c r="H1814" s="20" t="str">
        <f>+T1814</f>
        <v/>
      </c>
      <c r="J1814" s="30"/>
      <c r="K1814" s="22" t="str">
        <f>IF(I1814="","",IF(I1814="ENTRADA",ABS(J1814),-ABS(J1814)))</f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2211</v>
      </c>
      <c r="H1815" s="20" t="str">
        <f>+T1815</f>
        <v/>
      </c>
      <c r="J1815" s="30"/>
      <c r="K1815" s="22" t="str">
        <f>IF(I1815="","",IF(I1815="ENTRADA",ABS(J1815),-ABS(J1815)))</f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2212</v>
      </c>
      <c r="H1816" s="20" t="str">
        <f>+T1816</f>
        <v/>
      </c>
      <c r="J1816" s="30"/>
      <c r="K1816" s="22" t="str">
        <f>IF(I1816="","",IF(I1816="ENTRADA",ABS(J1816),-ABS(J1816)))</f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2213</v>
      </c>
      <c r="H1817" s="20" t="str">
        <f>+T1817</f>
        <v/>
      </c>
      <c r="J1817" s="30"/>
      <c r="K1817" s="22" t="str">
        <f>IF(I1817="","",IF(I1817="ENTRADA",ABS(J1817),-ABS(J1817)))</f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2214</v>
      </c>
      <c r="H1818" s="20" t="str">
        <f>+T1818</f>
        <v/>
      </c>
      <c r="J1818" s="30"/>
      <c r="K1818" s="22" t="str">
        <f>IF(I1818="","",IF(I1818="ENTRADA",ABS(J1818),-ABS(J1818)))</f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2215</v>
      </c>
      <c r="H1819" s="20" t="str">
        <f>+T1819</f>
        <v/>
      </c>
      <c r="J1819" s="30"/>
      <c r="K1819" s="22" t="str">
        <f>IF(I1819="","",IF(I1819="ENTRADA",ABS(J1819),-ABS(J1819)))</f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2216</v>
      </c>
      <c r="H1820" s="20" t="str">
        <f>+T1820</f>
        <v/>
      </c>
      <c r="J1820" s="30"/>
      <c r="K1820" s="22" t="str">
        <f>IF(I1820="","",IF(I1820="ENTRADA",ABS(J1820),-ABS(J1820)))</f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2217</v>
      </c>
      <c r="H1821" s="20" t="str">
        <f>+T1821</f>
        <v/>
      </c>
      <c r="J1821" s="30"/>
      <c r="K1821" s="22" t="str">
        <f>IF(I1821="","",IF(I1821="ENTRADA",ABS(J1821),-ABS(J1821)))</f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2218</v>
      </c>
      <c r="H1822" s="20" t="str">
        <f>+T1822</f>
        <v/>
      </c>
      <c r="J1822" s="30"/>
      <c r="K1822" s="22" t="str">
        <f>IF(I1822="","",IF(I1822="ENTRADA",ABS(J1822),-ABS(J1822)))</f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2219</v>
      </c>
      <c r="H1823" s="20" t="str">
        <f>+T1823</f>
        <v/>
      </c>
      <c r="J1823" s="30"/>
      <c r="K1823" s="22" t="str">
        <f>IF(I1823="","",IF(I1823="ENTRADA",ABS(J1823),-ABS(J1823)))</f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2220</v>
      </c>
      <c r="H1824" s="20" t="str">
        <f>+T1824</f>
        <v/>
      </c>
      <c r="J1824" s="30"/>
      <c r="K1824" s="22" t="str">
        <f>IF(I1824="","",IF(I1824="ENTRADA",ABS(J1824),-ABS(J1824)))</f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2221</v>
      </c>
      <c r="H1825" s="20" t="str">
        <f>+T1825</f>
        <v/>
      </c>
      <c r="J1825" s="30"/>
      <c r="K1825" s="22" t="str">
        <f>IF(I1825="","",IF(I1825="ENTRADA",ABS(J1825),-ABS(J1825)))</f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2222</v>
      </c>
      <c r="H1826" s="20" t="str">
        <f>+T1826</f>
        <v/>
      </c>
      <c r="J1826" s="30"/>
      <c r="K1826" s="22" t="str">
        <f>IF(I1826="","",IF(I1826="ENTRADA",ABS(J1826),-ABS(J1826)))</f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2223</v>
      </c>
      <c r="H1827" s="20" t="str">
        <f>+T1827</f>
        <v/>
      </c>
      <c r="J1827" s="30"/>
      <c r="K1827" s="22" t="str">
        <f>IF(I1827="","",IF(I1827="ENTRADA",ABS(J1827),-ABS(J1827)))</f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2224</v>
      </c>
      <c r="H1828" s="20" t="str">
        <f>+T1828</f>
        <v/>
      </c>
      <c r="J1828" s="30"/>
      <c r="K1828" s="22" t="str">
        <f>IF(I1828="","",IF(I1828="ENTRADA",ABS(J1828),-ABS(J1828)))</f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2225</v>
      </c>
      <c r="H1829" s="20" t="str">
        <f>+T1829</f>
        <v/>
      </c>
      <c r="J1829" s="30"/>
      <c r="K1829" s="22" t="str">
        <f>IF(I1829="","",IF(I1829="ENTRADA",ABS(J1829),-ABS(J1829)))</f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2226</v>
      </c>
      <c r="H1830" s="20" t="str">
        <f>+T1830</f>
        <v/>
      </c>
      <c r="J1830" s="30"/>
      <c r="K1830" s="22" t="str">
        <f>IF(I1830="","",IF(I1830="ENTRADA",ABS(J1830),-ABS(J1830)))</f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2227</v>
      </c>
      <c r="H1831" s="20" t="str">
        <f>+T1831</f>
        <v/>
      </c>
      <c r="J1831" s="30"/>
      <c r="K1831" s="22" t="str">
        <f>IF(I1831="","",IF(I1831="ENTRADA",ABS(J1831),-ABS(J1831)))</f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2228</v>
      </c>
      <c r="H1832" s="20" t="str">
        <f>+T1832</f>
        <v/>
      </c>
      <c r="J1832" s="30"/>
      <c r="K1832" s="22" t="str">
        <f>IF(I1832="","",IF(I1832="ENTRADA",ABS(J1832),-ABS(J1832)))</f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2229</v>
      </c>
      <c r="H1833" s="20" t="str">
        <f>+T1833</f>
        <v/>
      </c>
      <c r="J1833" s="30"/>
      <c r="K1833" s="22" t="str">
        <f>IF(I1833="","",IF(I1833="ENTRADA",ABS(J1833),-ABS(J1833)))</f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2230</v>
      </c>
      <c r="H1834" s="20" t="str">
        <f>+T1834</f>
        <v/>
      </c>
      <c r="J1834" s="30"/>
      <c r="K1834" s="22" t="str">
        <f>IF(I1834="","",IF(I1834="ENTRADA",ABS(J1834),-ABS(J1834)))</f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2231</v>
      </c>
      <c r="H1835" s="20" t="str">
        <f>+T1835</f>
        <v/>
      </c>
      <c r="J1835" s="30"/>
      <c r="K1835" s="22" t="str">
        <f>IF(I1835="","",IF(I1835="ENTRADA",ABS(J1835),-ABS(J1835)))</f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2232</v>
      </c>
      <c r="H1836" s="20" t="str">
        <f>+T1836</f>
        <v/>
      </c>
      <c r="J1836" s="30"/>
      <c r="K1836" s="22" t="str">
        <f>IF(I1836="","",IF(I1836="ENTRADA",ABS(J1836),-ABS(J1836)))</f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2233</v>
      </c>
      <c r="H1837" s="20" t="str">
        <f>+T1837</f>
        <v/>
      </c>
      <c r="J1837" s="30"/>
      <c r="K1837" s="22" t="str">
        <f>IF(I1837="","",IF(I1837="ENTRADA",ABS(J1837),-ABS(J1837)))</f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2234</v>
      </c>
      <c r="H1838" s="20" t="str">
        <f>+T1838</f>
        <v/>
      </c>
      <c r="J1838" s="30"/>
      <c r="K1838" s="22" t="str">
        <f>IF(I1838="","",IF(I1838="ENTRADA",ABS(J1838),-ABS(J1838)))</f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2235</v>
      </c>
      <c r="H1839" s="20" t="str">
        <f>+T1839</f>
        <v/>
      </c>
      <c r="J1839" s="30"/>
      <c r="K1839" s="22" t="str">
        <f>IF(I1839="","",IF(I1839="ENTRADA",ABS(J1839),-ABS(J1839)))</f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2236</v>
      </c>
      <c r="H1840" s="20" t="str">
        <f>+T1840</f>
        <v/>
      </c>
      <c r="J1840" s="30"/>
      <c r="K1840" s="22" t="str">
        <f>IF(I1840="","",IF(I1840="ENTRADA",ABS(J1840),-ABS(J1840)))</f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2237</v>
      </c>
      <c r="H1841" s="20" t="str">
        <f>+T1841</f>
        <v/>
      </c>
      <c r="J1841" s="30"/>
      <c r="K1841" s="22" t="str">
        <f>IF(I1841="","",IF(I1841="ENTRADA",ABS(J1841),-ABS(J1841)))</f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2238</v>
      </c>
      <c r="H1842" s="20" t="str">
        <f>+T1842</f>
        <v/>
      </c>
      <c r="J1842" s="30"/>
      <c r="K1842" s="22" t="str">
        <f>IF(I1842="","",IF(I1842="ENTRADA",ABS(J1842),-ABS(J1842)))</f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2239</v>
      </c>
      <c r="H1843" s="20" t="str">
        <f>+T1843</f>
        <v/>
      </c>
      <c r="J1843" s="30"/>
      <c r="K1843" s="22" t="str">
        <f>IF(I1843="","",IF(I1843="ENTRADA",ABS(J1843),-ABS(J1843)))</f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2240</v>
      </c>
      <c r="H1844" s="20" t="str">
        <f>+T1844</f>
        <v/>
      </c>
      <c r="J1844" s="30"/>
      <c r="K1844" s="22" t="str">
        <f>IF(I1844="","",IF(I1844="ENTRADA",ABS(J1844),-ABS(J1844)))</f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2241</v>
      </c>
      <c r="H1845" s="20" t="str">
        <f>+T1845</f>
        <v/>
      </c>
      <c r="J1845" s="30"/>
      <c r="K1845" s="22" t="str">
        <f>IF(I1845="","",IF(I1845="ENTRADA",ABS(J1845),-ABS(J1845)))</f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2242</v>
      </c>
      <c r="H1846" s="20" t="str">
        <f>+T1846</f>
        <v/>
      </c>
      <c r="J1846" s="30"/>
      <c r="K1846" s="22" t="str">
        <f>IF(I1846="","",IF(I1846="ENTRADA",ABS(J1846),-ABS(J1846)))</f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2243</v>
      </c>
      <c r="H1847" s="20" t="str">
        <f>+T1847</f>
        <v/>
      </c>
      <c r="J1847" s="30"/>
      <c r="K1847" s="22" t="str">
        <f>IF(I1847="","",IF(I1847="ENTRADA",ABS(J1847),-ABS(J1847)))</f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2244</v>
      </c>
      <c r="H1848" s="20" t="str">
        <f>+T1848</f>
        <v/>
      </c>
      <c r="J1848" s="30"/>
      <c r="K1848" s="22" t="str">
        <f>IF(I1848="","",IF(I1848="ENTRADA",ABS(J1848),-ABS(J1848)))</f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2245</v>
      </c>
      <c r="H1849" s="20" t="str">
        <f>+T1849</f>
        <v/>
      </c>
      <c r="J1849" s="30"/>
      <c r="K1849" s="22" t="str">
        <f>IF(I1849="","",IF(I1849="ENTRADA",ABS(J1849),-ABS(J1849)))</f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2246</v>
      </c>
      <c r="H1850" s="20" t="str">
        <f>+T1850</f>
        <v/>
      </c>
      <c r="J1850" s="30"/>
      <c r="K1850" s="22" t="str">
        <f>IF(I1850="","",IF(I1850="ENTRADA",ABS(J1850),-ABS(J1850)))</f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2247</v>
      </c>
      <c r="H1851" s="20" t="str">
        <f>+T1851</f>
        <v/>
      </c>
      <c r="J1851" s="30"/>
      <c r="K1851" s="22" t="str">
        <f>IF(I1851="","",IF(I1851="ENTRADA",ABS(J1851),-ABS(J1851)))</f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2248</v>
      </c>
      <c r="H1852" s="20" t="str">
        <f>+T1852</f>
        <v/>
      </c>
      <c r="J1852" s="30"/>
      <c r="K1852" s="22" t="str">
        <f>IF(I1852="","",IF(I1852="ENTRADA",ABS(J1852),-ABS(J1852)))</f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2249</v>
      </c>
      <c r="H1853" s="20" t="str">
        <f>+T1853</f>
        <v/>
      </c>
      <c r="J1853" s="30"/>
      <c r="K1853" s="22" t="str">
        <f>IF(I1853="","",IF(I1853="ENTRADA",ABS(J1853),-ABS(J1853)))</f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2250</v>
      </c>
      <c r="H1854" s="20" t="str">
        <f>+T1854</f>
        <v/>
      </c>
      <c r="J1854" s="30"/>
      <c r="K1854" s="22" t="str">
        <f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2251</v>
      </c>
      <c r="H1855" s="20" t="str">
        <f>+T1855</f>
        <v/>
      </c>
      <c r="J1855" s="30"/>
      <c r="K1855" s="22" t="str">
        <f>IF(I1855="","",IF(I1855="ENTRADA",ABS(J1855),-ABS(J1855)))</f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2252</v>
      </c>
      <c r="H1856" s="20" t="str">
        <f>+T1856</f>
        <v/>
      </c>
      <c r="J1856" s="30"/>
      <c r="K1856" s="22" t="str">
        <f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2253</v>
      </c>
      <c r="H1857" s="20" t="str">
        <f>+T1857</f>
        <v/>
      </c>
      <c r="J1857" s="30"/>
      <c r="K1857" s="22" t="str">
        <f>IF(I1857="","",IF(I1857="ENTRADA",ABS(J1857),-ABS(J1857)))</f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2254</v>
      </c>
      <c r="H1858" s="20" t="str">
        <f>+T1858</f>
        <v/>
      </c>
      <c r="J1858" s="30"/>
      <c r="K1858" s="22" t="str">
        <f>IF(I1858="","",IF(I1858="ENTRADA",ABS(J1858),-ABS(J1858)))</f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2255</v>
      </c>
      <c r="H1859" s="20" t="str">
        <f>+T1859</f>
        <v/>
      </c>
      <c r="J1859" s="30"/>
      <c r="K1859" s="22" t="str">
        <f>IF(I1859="","",IF(I1859="ENTRADA",ABS(J1859),-ABS(J1859)))</f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2256</v>
      </c>
      <c r="H1860" s="20" t="str">
        <f>+T1860</f>
        <v/>
      </c>
      <c r="J1860" s="30"/>
      <c r="K1860" s="22" t="str">
        <f>IF(I1860="","",IF(I1860="ENTRADA",ABS(J1860),-ABS(J1860)))</f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2257</v>
      </c>
      <c r="H1861" s="20" t="str">
        <f>+T1861</f>
        <v/>
      </c>
      <c r="J1861" s="30"/>
      <c r="K1861" s="22" t="str">
        <f>IF(I1861="","",IF(I1861="ENTRADA",ABS(J1861),-ABS(J1861)))</f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2258</v>
      </c>
      <c r="H1862" s="20" t="str">
        <f>+T1862</f>
        <v/>
      </c>
      <c r="J1862" s="30"/>
      <c r="K1862" s="22" t="str">
        <f>IF(I1862="","",IF(I1862="ENTRADA",ABS(J1862),-ABS(J1862)))</f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2259</v>
      </c>
      <c r="H1863" s="20" t="str">
        <f>+T1863</f>
        <v/>
      </c>
      <c r="J1863" s="30"/>
      <c r="K1863" s="22" t="str">
        <f>IF(I1863="","",IF(I1863="ENTRADA",ABS(J1863),-ABS(J1863)))</f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2260</v>
      </c>
      <c r="H1864" s="20" t="str">
        <f>+T1864</f>
        <v/>
      </c>
      <c r="J1864" s="30"/>
      <c r="K1864" s="22" t="str">
        <f>IF(I1864="","",IF(I1864="ENTRADA",ABS(J1864),-ABS(J1864)))</f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2261</v>
      </c>
      <c r="H1865" s="20" t="str">
        <f>+T1865</f>
        <v/>
      </c>
      <c r="J1865" s="30"/>
      <c r="K1865" s="22" t="str">
        <f>IF(I1865="","",IF(I1865="ENTRADA",ABS(J1865),-ABS(J1865)))</f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2262</v>
      </c>
      <c r="H1866" s="20" t="str">
        <f>+T1866</f>
        <v/>
      </c>
      <c r="J1866" s="30"/>
      <c r="K1866" s="22" t="str">
        <f>IF(I1866="","",IF(I1866="ENTRADA",ABS(J1866),-ABS(J1866)))</f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2263</v>
      </c>
      <c r="H1867" s="20" t="str">
        <f>+T1867</f>
        <v/>
      </c>
      <c r="J1867" s="30"/>
      <c r="K1867" s="22" t="str">
        <f>IF(I1867="","",IF(I1867="ENTRADA",ABS(J1867),-ABS(J1867)))</f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2264</v>
      </c>
      <c r="H1868" s="20" t="str">
        <f>+T1868</f>
        <v/>
      </c>
      <c r="J1868" s="30"/>
      <c r="K1868" s="22" t="str">
        <f>IF(I1868="","",IF(I1868="ENTRADA",ABS(J1868),-ABS(J1868)))</f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2265</v>
      </c>
      <c r="H1869" s="20" t="str">
        <f>+T1869</f>
        <v/>
      </c>
      <c r="J1869" s="30"/>
      <c r="K1869" s="22" t="str">
        <f>IF(I1869="","",IF(I1869="ENTRADA",ABS(J1869),-ABS(J1869)))</f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2266</v>
      </c>
      <c r="H1870" s="20" t="str">
        <f>+T1870</f>
        <v/>
      </c>
      <c r="J1870" s="30"/>
      <c r="K1870" s="22" t="str">
        <f>IF(I1870="","",IF(I1870="ENTRADA",ABS(J1870),-ABS(J1870)))</f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2267</v>
      </c>
      <c r="H1871" s="20" t="str">
        <f>+T1871</f>
        <v/>
      </c>
      <c r="J1871" s="30"/>
      <c r="K1871" s="22" t="str">
        <f>IF(I1871="","",IF(I1871="ENTRADA",ABS(J1871),-ABS(J1871)))</f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2268</v>
      </c>
      <c r="H1872" s="20" t="str">
        <f>+T1872</f>
        <v/>
      </c>
      <c r="J1872" s="30"/>
      <c r="K1872" s="22" t="str">
        <f>IF(I1872="","",IF(I1872="ENTRADA",ABS(J1872),-ABS(J1872)))</f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2269</v>
      </c>
      <c r="H1873" s="20" t="str">
        <f>+T1873</f>
        <v/>
      </c>
      <c r="J1873" s="30"/>
      <c r="K1873" s="22" t="str">
        <f>IF(I1873="","",IF(I1873="ENTRADA",ABS(J1873),-ABS(J1873)))</f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2270</v>
      </c>
      <c r="H1874" s="20" t="str">
        <f>+T1874</f>
        <v/>
      </c>
      <c r="J1874" s="30"/>
      <c r="K1874" s="22" t="str">
        <f>IF(I1874="","",IF(I1874="ENTRADA",ABS(J1874),-ABS(J1874)))</f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2271</v>
      </c>
      <c r="H1875" s="20" t="str">
        <f>+T1875</f>
        <v/>
      </c>
      <c r="J1875" s="30"/>
      <c r="K1875" s="22" t="str">
        <f>IF(I1875="","",IF(I1875="ENTRADA",ABS(J1875),-ABS(J1875)))</f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2272</v>
      </c>
      <c r="H1876" s="20" t="str">
        <f>+T1876</f>
        <v/>
      </c>
      <c r="J1876" s="30"/>
      <c r="K1876" s="22" t="str">
        <f>IF(I1876="","",IF(I1876="ENTRADA",ABS(J1876),-ABS(J1876)))</f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2273</v>
      </c>
      <c r="H1877" s="20" t="str">
        <f>+T1877</f>
        <v/>
      </c>
      <c r="J1877" s="30"/>
      <c r="K1877" s="22" t="str">
        <f>IF(I1877="","",IF(I1877="ENTRADA",ABS(J1877),-ABS(J1877)))</f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2274</v>
      </c>
      <c r="H1878" s="20" t="str">
        <f>+T1878</f>
        <v/>
      </c>
      <c r="J1878" s="30"/>
      <c r="K1878" s="22" t="str">
        <f>IF(I1878="","",IF(I1878="ENTRADA",ABS(J1878),-ABS(J1878)))</f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2275</v>
      </c>
      <c r="H1879" s="20" t="str">
        <f>+T1879</f>
        <v/>
      </c>
      <c r="J1879" s="30"/>
      <c r="K1879" s="22" t="str">
        <f>IF(I1879="","",IF(I1879="ENTRADA",ABS(J1879),-ABS(J1879)))</f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2276</v>
      </c>
      <c r="H1880" s="20" t="str">
        <f>+T1880</f>
        <v/>
      </c>
      <c r="J1880" s="30"/>
      <c r="K1880" s="22" t="str">
        <f>IF(I1880="","",IF(I1880="ENTRADA",ABS(J1880),-ABS(J1880)))</f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2277</v>
      </c>
      <c r="H1881" s="20" t="str">
        <f>+T1881</f>
        <v/>
      </c>
      <c r="J1881" s="30"/>
      <c r="K1881" s="22" t="str">
        <f>IF(I1881="","",IF(I1881="ENTRADA",ABS(J1881),-ABS(J1881)))</f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2278</v>
      </c>
      <c r="H1882" s="20" t="str">
        <f>+T1882</f>
        <v/>
      </c>
      <c r="J1882" s="30"/>
      <c r="K1882" s="22" t="str">
        <f>IF(I1882="","",IF(I1882="ENTRADA",ABS(J1882),-ABS(J1882)))</f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2279</v>
      </c>
      <c r="H1883" s="20" t="str">
        <f>+T1883</f>
        <v/>
      </c>
      <c r="J1883" s="30"/>
      <c r="K1883" s="22" t="str">
        <f>IF(I1883="","",IF(I1883="ENTRADA",ABS(J1883),-ABS(J1883)))</f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2280</v>
      </c>
      <c r="H1884" s="20" t="str">
        <f>+T1884</f>
        <v/>
      </c>
      <c r="J1884" s="30"/>
      <c r="K1884" s="22" t="str">
        <f>IF(I1884="","",IF(I1884="ENTRADA",ABS(J1884),-ABS(J1884)))</f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2281</v>
      </c>
      <c r="H1885" s="20" t="str">
        <f>+T1885</f>
        <v/>
      </c>
      <c r="J1885" s="30"/>
      <c r="K1885" s="22" t="str">
        <f>IF(I1885="","",IF(I1885="ENTRADA",ABS(J1885),-ABS(J1885)))</f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2282</v>
      </c>
      <c r="H1886" s="20" t="str">
        <f>+T1886</f>
        <v/>
      </c>
      <c r="J1886" s="30"/>
      <c r="K1886" s="22" t="str">
        <f>IF(I1886="","",IF(I1886="ENTRADA",ABS(J1886),-ABS(J1886)))</f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2283</v>
      </c>
      <c r="H1887" s="20" t="str">
        <f>+T1887</f>
        <v/>
      </c>
      <c r="J1887" s="30"/>
      <c r="K1887" s="22" t="str">
        <f>IF(I1887="","",IF(I1887="ENTRADA",ABS(J1887),-ABS(J1887)))</f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2284</v>
      </c>
      <c r="H1888" s="20" t="str">
        <f>+T1888</f>
        <v/>
      </c>
      <c r="J1888" s="30"/>
      <c r="K1888" s="22" t="str">
        <f>IF(I1888="","",IF(I1888="ENTRADA",ABS(J1888),-ABS(J1888)))</f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2285</v>
      </c>
      <c r="H1889" s="20" t="str">
        <f>+T1889</f>
        <v/>
      </c>
      <c r="J1889" s="30"/>
      <c r="K1889" s="22" t="str">
        <f>IF(I1889="","",IF(I1889="ENTRADA",ABS(J1889),-ABS(J1889)))</f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2286</v>
      </c>
      <c r="H1890" s="20" t="str">
        <f>+T1890</f>
        <v/>
      </c>
      <c r="J1890" s="30"/>
      <c r="K1890" s="22" t="str">
        <f>IF(I1890="","",IF(I1890="ENTRADA",ABS(J1890),-ABS(J1890)))</f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2287</v>
      </c>
      <c r="H1891" s="20" t="str">
        <f>+T1891</f>
        <v/>
      </c>
      <c r="J1891" s="30"/>
      <c r="K1891" s="22" t="str">
        <f>IF(I1891="","",IF(I1891="ENTRADA",ABS(J1891),-ABS(J1891)))</f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2288</v>
      </c>
      <c r="H1892" s="20" t="str">
        <f>+T1892</f>
        <v/>
      </c>
      <c r="J1892" s="30"/>
      <c r="K1892" s="22" t="str">
        <f>IF(I1892="","",IF(I1892="ENTRADA",ABS(J1892),-ABS(J1892)))</f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2289</v>
      </c>
      <c r="H1893" s="20" t="str">
        <f>+T1893</f>
        <v/>
      </c>
      <c r="J1893" s="30"/>
      <c r="K1893" s="22" t="str">
        <f>IF(I1893="","",IF(I1893="ENTRADA",ABS(J1893),-ABS(J1893)))</f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2290</v>
      </c>
      <c r="H1894" s="20" t="str">
        <f>+T1894</f>
        <v/>
      </c>
      <c r="J1894" s="30"/>
      <c r="K1894" s="22" t="str">
        <f>IF(I1894="","",IF(I1894="ENTRADA",ABS(J1894),-ABS(J1894)))</f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2291</v>
      </c>
      <c r="H1895" s="20" t="str">
        <f>+T1895</f>
        <v/>
      </c>
      <c r="J1895" s="30"/>
      <c r="K1895" s="22" t="str">
        <f>IF(I1895="","",IF(I1895="ENTRADA",ABS(J1895),-ABS(J1895)))</f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2292</v>
      </c>
      <c r="H1896" s="20" t="str">
        <f>+T1896</f>
        <v/>
      </c>
      <c r="J1896" s="30"/>
      <c r="K1896" s="22" t="str">
        <f>IF(I1896="","",IF(I1896="ENTRADA",ABS(J1896),-ABS(J1896)))</f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2293</v>
      </c>
      <c r="H1897" s="20" t="str">
        <f>+T1897</f>
        <v/>
      </c>
      <c r="J1897" s="30"/>
      <c r="K1897" s="22" t="str">
        <f>IF(I1897="","",IF(I1897="ENTRADA",ABS(J1897),-ABS(J1897)))</f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2294</v>
      </c>
      <c r="H1898" s="20" t="str">
        <f>+T1898</f>
        <v/>
      </c>
      <c r="J1898" s="30"/>
      <c r="K1898" s="22" t="str">
        <f>IF(I1898="","",IF(I1898="ENTRADA",ABS(J1898),-ABS(J1898)))</f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2295</v>
      </c>
      <c r="H1899" s="20" t="str">
        <f>+T1899</f>
        <v/>
      </c>
      <c r="J1899" s="30"/>
      <c r="K1899" s="22" t="str">
        <f>IF(I1899="","",IF(I1899="ENTRADA",ABS(J1899),-ABS(J1899)))</f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2296</v>
      </c>
      <c r="H1900" s="20" t="str">
        <f>+T1900</f>
        <v/>
      </c>
      <c r="J1900" s="30"/>
      <c r="K1900" s="22" t="str">
        <f>IF(I1900="","",IF(I1900="ENTRADA",ABS(J1900),-ABS(J1900)))</f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2297</v>
      </c>
      <c r="H1901" s="20" t="str">
        <f>+T1901</f>
        <v/>
      </c>
      <c r="J1901" s="30"/>
      <c r="K1901" s="22" t="str">
        <f>IF(I1901="","",IF(I1901="ENTRADA",ABS(J1901),-ABS(J1901)))</f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2298</v>
      </c>
      <c r="H1902" s="20" t="str">
        <f>+T1902</f>
        <v/>
      </c>
      <c r="J1902" s="30"/>
      <c r="K1902" s="22" t="str">
        <f>IF(I1902="","",IF(I1902="ENTRADA",ABS(J1902),-ABS(J1902)))</f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2299</v>
      </c>
      <c r="H1903" s="20" t="str">
        <f>+T1903</f>
        <v/>
      </c>
      <c r="J1903" s="30"/>
      <c r="K1903" s="22" t="str">
        <f>IF(I1903="","",IF(I1903="ENTRADA",ABS(J1903),-ABS(J1903)))</f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2300</v>
      </c>
      <c r="H1904" s="20" t="str">
        <f>+T1904</f>
        <v/>
      </c>
      <c r="J1904" s="30"/>
      <c r="K1904" s="22" t="str">
        <f>IF(I1904="","",IF(I1904="ENTRADA",ABS(J1904),-ABS(J1904)))</f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2301</v>
      </c>
      <c r="H1905" s="20" t="str">
        <f>+T1905</f>
        <v/>
      </c>
      <c r="J1905" s="30"/>
      <c r="K1905" s="22" t="str">
        <f>IF(I1905="","",IF(I1905="ENTRADA",ABS(J1905),-ABS(J1905)))</f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2302</v>
      </c>
      <c r="H1906" s="20" t="str">
        <f>+T1906</f>
        <v/>
      </c>
      <c r="J1906" s="30"/>
      <c r="K1906" s="22" t="str">
        <f>IF(I1906="","",IF(I1906="ENTRADA",ABS(J1906),-ABS(J1906)))</f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2303</v>
      </c>
      <c r="H1907" s="20" t="str">
        <f>+T1907</f>
        <v/>
      </c>
      <c r="J1907" s="30"/>
      <c r="K1907" s="22" t="str">
        <f>IF(I1907="","",IF(I1907="ENTRADA",ABS(J1907),-ABS(J1907)))</f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2304</v>
      </c>
      <c r="H1908" s="20" t="str">
        <f>+T1908</f>
        <v/>
      </c>
      <c r="J1908" s="30"/>
      <c r="K1908" s="22" t="str">
        <f>IF(I1908="","",IF(I1908="ENTRADA",ABS(J1908),-ABS(J1908)))</f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2305</v>
      </c>
      <c r="H1909" s="20" t="str">
        <f>+T1909</f>
        <v/>
      </c>
      <c r="J1909" s="30"/>
      <c r="K1909" s="22" t="str">
        <f>IF(I1909="","",IF(I1909="ENTRADA",ABS(J1909),-ABS(J1909)))</f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2306</v>
      </c>
      <c r="H1910" s="20" t="str">
        <f>+T1910</f>
        <v/>
      </c>
      <c r="J1910" s="30"/>
      <c r="K1910" s="22" t="str">
        <f>IF(I1910="","",IF(I1910="ENTRADA",ABS(J1910),-ABS(J1910)))</f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2307</v>
      </c>
      <c r="H1911" s="20" t="str">
        <f>+T1911</f>
        <v/>
      </c>
      <c r="J1911" s="30"/>
      <c r="K1911" s="22" t="str">
        <f>IF(I1911="","",IF(I1911="ENTRADA",ABS(J1911),-ABS(J1911)))</f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2308</v>
      </c>
      <c r="H1912" s="20" t="str">
        <f>+T1912</f>
        <v/>
      </c>
      <c r="J1912" s="30"/>
      <c r="K1912" s="22" t="str">
        <f>IF(I1912="","",IF(I1912="ENTRADA",ABS(J1912),-ABS(J1912)))</f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2309</v>
      </c>
      <c r="H1913" s="20" t="str">
        <f>+T1913</f>
        <v/>
      </c>
      <c r="J1913" s="30"/>
      <c r="K1913" s="22" t="str">
        <f>IF(I1913="","",IF(I1913="ENTRADA",ABS(J1913),-ABS(J1913)))</f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2310</v>
      </c>
      <c r="H1914" s="20" t="str">
        <f>+T1914</f>
        <v/>
      </c>
      <c r="J1914" s="30"/>
      <c r="K1914" s="22" t="str">
        <f>IF(I1914="","",IF(I1914="ENTRADA",ABS(J1914),-ABS(J1914)))</f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2311</v>
      </c>
      <c r="H1915" s="20" t="str">
        <f>+T1915</f>
        <v/>
      </c>
      <c r="J1915" s="30"/>
      <c r="K1915" s="22" t="str">
        <f>IF(I1915="","",IF(I1915="ENTRADA",ABS(J1915),-ABS(J1915)))</f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2312</v>
      </c>
      <c r="H1916" s="20" t="str">
        <f>+T1916</f>
        <v/>
      </c>
      <c r="J1916" s="30"/>
      <c r="K1916" s="22" t="str">
        <f>IF(I1916="","",IF(I1916="ENTRADA",ABS(J1916),-ABS(J1916)))</f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2313</v>
      </c>
      <c r="H1917" s="20" t="str">
        <f>+T1917</f>
        <v/>
      </c>
      <c r="J1917" s="30"/>
      <c r="K1917" s="22" t="str">
        <f>IF(I1917="","",IF(I1917="ENTRADA",ABS(J1917),-ABS(J1917)))</f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2314</v>
      </c>
      <c r="H1918" s="20" t="str">
        <f>+T1918</f>
        <v/>
      </c>
      <c r="J1918" s="30"/>
      <c r="K1918" s="22" t="str">
        <f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2315</v>
      </c>
      <c r="H1919" s="20" t="str">
        <f>+T1919</f>
        <v/>
      </c>
      <c r="J1919" s="30"/>
      <c r="K1919" s="22" t="str">
        <f>IF(I1919="","",IF(I1919="ENTRADA",ABS(J1919),-ABS(J1919)))</f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2316</v>
      </c>
      <c r="H1920" s="20" t="str">
        <f>+T1920</f>
        <v/>
      </c>
      <c r="J1920" s="30"/>
      <c r="K1920" s="22" t="str">
        <f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2317</v>
      </c>
      <c r="H1921" s="20" t="str">
        <f>+T1921</f>
        <v/>
      </c>
      <c r="J1921" s="30"/>
      <c r="K1921" s="22" t="str">
        <f>IF(I1921="","",IF(I1921="ENTRADA",ABS(J1921),-ABS(J1921)))</f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2318</v>
      </c>
      <c r="H1922" s="20" t="str">
        <f>+T1922</f>
        <v/>
      </c>
      <c r="J1922" s="30"/>
      <c r="K1922" s="22" t="str">
        <f>IF(I1922="","",IF(I1922="ENTRADA",ABS(J1922),-ABS(J1922)))</f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2319</v>
      </c>
      <c r="H1923" s="20" t="str">
        <f>+T1923</f>
        <v/>
      </c>
      <c r="J1923" s="30"/>
      <c r="K1923" s="22" t="str">
        <f>IF(I1923="","",IF(I1923="ENTRADA",ABS(J1923),-ABS(J1923)))</f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2320</v>
      </c>
      <c r="H1924" s="20" t="str">
        <f>+T1924</f>
        <v/>
      </c>
      <c r="J1924" s="30"/>
      <c r="K1924" s="22" t="str">
        <f>IF(I1924="","",IF(I1924="ENTRADA",ABS(J1924),-ABS(J1924)))</f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2321</v>
      </c>
      <c r="H1925" s="20" t="str">
        <f>+T1925</f>
        <v/>
      </c>
      <c r="J1925" s="30"/>
      <c r="K1925" s="22" t="str">
        <f>IF(I1925="","",IF(I1925="ENTRADA",ABS(J1925),-ABS(J1925)))</f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2322</v>
      </c>
      <c r="H1926" s="20" t="str">
        <f>+T1926</f>
        <v/>
      </c>
      <c r="J1926" s="30"/>
      <c r="K1926" s="22" t="str">
        <f>IF(I1926="","",IF(I1926="ENTRADA",ABS(J1926),-ABS(J1926)))</f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2323</v>
      </c>
      <c r="H1927" s="20" t="str">
        <f>+T1927</f>
        <v/>
      </c>
      <c r="J1927" s="30"/>
      <c r="K1927" s="22" t="str">
        <f>IF(I1927="","",IF(I1927="ENTRADA",ABS(J1927),-ABS(J1927)))</f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2324</v>
      </c>
      <c r="H1928" s="20" t="str">
        <f>+T1928</f>
        <v/>
      </c>
      <c r="J1928" s="30"/>
      <c r="K1928" s="22" t="str">
        <f>IF(I1928="","",IF(I1928="ENTRADA",ABS(J1928),-ABS(J1928)))</f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2325</v>
      </c>
      <c r="H1929" s="20" t="str">
        <f>+T1929</f>
        <v/>
      </c>
      <c r="J1929" s="30"/>
      <c r="K1929" s="22" t="str">
        <f>IF(I1929="","",IF(I1929="ENTRADA",ABS(J1929),-ABS(J1929)))</f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2326</v>
      </c>
      <c r="H1930" s="20" t="str">
        <f>+T1930</f>
        <v/>
      </c>
      <c r="J1930" s="30"/>
      <c r="K1930" s="22" t="str">
        <f>IF(I1930="","",IF(I1930="ENTRADA",ABS(J1930),-ABS(J1930)))</f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2327</v>
      </c>
      <c r="H1931" s="20" t="str">
        <f>+T1931</f>
        <v/>
      </c>
      <c r="J1931" s="30"/>
      <c r="K1931" s="22" t="str">
        <f>IF(I1931="","",IF(I1931="ENTRADA",ABS(J1931),-ABS(J1931)))</f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2328</v>
      </c>
      <c r="H1932" s="20" t="str">
        <f>+T1932</f>
        <v/>
      </c>
      <c r="J1932" s="30"/>
      <c r="K1932" s="22" t="str">
        <f>IF(I1932="","",IF(I1932="ENTRADA",ABS(J1932),-ABS(J1932)))</f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2329</v>
      </c>
      <c r="H1933" s="20" t="str">
        <f>+T1933</f>
        <v/>
      </c>
      <c r="J1933" s="30"/>
      <c r="K1933" s="22" t="str">
        <f>IF(I1933="","",IF(I1933="ENTRADA",ABS(J1933),-ABS(J1933)))</f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2330</v>
      </c>
      <c r="H1934" s="20" t="str">
        <f>+T1934</f>
        <v/>
      </c>
      <c r="J1934" s="30"/>
      <c r="K1934" s="22" t="str">
        <f>IF(I1934="","",IF(I1934="ENTRADA",ABS(J1934),-ABS(J1934)))</f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2331</v>
      </c>
      <c r="H1935" s="20" t="str">
        <f>+T1935</f>
        <v/>
      </c>
      <c r="J1935" s="30"/>
      <c r="K1935" s="22" t="str">
        <f>IF(I1935="","",IF(I1935="ENTRADA",ABS(J1935),-ABS(J1935)))</f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2332</v>
      </c>
      <c r="H1936" s="20" t="str">
        <f>+T1936</f>
        <v/>
      </c>
      <c r="J1936" s="30"/>
      <c r="K1936" s="22" t="str">
        <f>IF(I1936="","",IF(I1936="ENTRADA",ABS(J1936),-ABS(J1936)))</f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2333</v>
      </c>
      <c r="H1937" s="20" t="str">
        <f>+T1937</f>
        <v/>
      </c>
      <c r="J1937" s="30"/>
      <c r="K1937" s="22" t="str">
        <f>IF(I1937="","",IF(I1937="ENTRADA",ABS(J1937),-ABS(J1937)))</f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2334</v>
      </c>
      <c r="H1938" s="20" t="str">
        <f>+T1938</f>
        <v/>
      </c>
      <c r="J1938" s="30"/>
      <c r="K1938" s="22" t="str">
        <f>IF(I1938="","",IF(I1938="ENTRADA",ABS(J1938),-ABS(J1938)))</f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2335</v>
      </c>
      <c r="H1939" s="20" t="str">
        <f>+T1939</f>
        <v/>
      </c>
      <c r="J1939" s="30"/>
      <c r="K1939" s="22" t="str">
        <f>IF(I1939="","",IF(I1939="ENTRADA",ABS(J1939),-ABS(J1939)))</f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2336</v>
      </c>
      <c r="H1940" s="20" t="str">
        <f>+T1940</f>
        <v/>
      </c>
      <c r="J1940" s="30"/>
      <c r="K1940" s="22" t="str">
        <f>IF(I1940="","",IF(I1940="ENTRADA",ABS(J1940),-ABS(J1940)))</f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2337</v>
      </c>
      <c r="H1941" s="20" t="str">
        <f>+T1941</f>
        <v/>
      </c>
      <c r="J1941" s="30"/>
      <c r="K1941" s="22" t="str">
        <f>IF(I1941="","",IF(I1941="ENTRADA",ABS(J1941),-ABS(J1941)))</f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2338</v>
      </c>
      <c r="H1942" s="20" t="str">
        <f>+T1942</f>
        <v/>
      </c>
      <c r="J1942" s="30"/>
      <c r="K1942" s="22" t="str">
        <f>IF(I1942="","",IF(I1942="ENTRADA",ABS(J1942),-ABS(J1942)))</f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2339</v>
      </c>
      <c r="H1943" s="20" t="str">
        <f>+T1943</f>
        <v/>
      </c>
      <c r="J1943" s="30"/>
      <c r="K1943" s="22" t="str">
        <f>IF(I1943="","",IF(I1943="ENTRADA",ABS(J1943),-ABS(J1943)))</f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2340</v>
      </c>
      <c r="H1944" s="20" t="str">
        <f>+T1944</f>
        <v/>
      </c>
      <c r="J1944" s="30"/>
      <c r="K1944" s="22" t="str">
        <f>IF(I1944="","",IF(I1944="ENTRADA",ABS(J1944),-ABS(J1944)))</f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2341</v>
      </c>
      <c r="H1945" s="20" t="str">
        <f>+T1945</f>
        <v/>
      </c>
      <c r="J1945" s="30"/>
      <c r="K1945" s="22" t="str">
        <f>IF(I1945="","",IF(I1945="ENTRADA",ABS(J1945),-ABS(J1945)))</f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2342</v>
      </c>
      <c r="H1946" s="20" t="str">
        <f>+T1946</f>
        <v/>
      </c>
      <c r="J1946" s="30"/>
      <c r="K1946" s="22" t="str">
        <f>IF(I1946="","",IF(I1946="ENTRADA",ABS(J1946),-ABS(J1946)))</f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2343</v>
      </c>
      <c r="H1947" s="20" t="str">
        <f>+T1947</f>
        <v/>
      </c>
      <c r="J1947" s="30"/>
      <c r="K1947" s="22" t="str">
        <f>IF(I1947="","",IF(I1947="ENTRADA",ABS(J1947),-ABS(J1947)))</f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2344</v>
      </c>
      <c r="H1948" s="20" t="str">
        <f>+T1948</f>
        <v/>
      </c>
      <c r="J1948" s="30"/>
      <c r="K1948" s="22" t="str">
        <f>IF(I1948="","",IF(I1948="ENTRADA",ABS(J1948),-ABS(J1948)))</f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2345</v>
      </c>
      <c r="H1949" s="20" t="str">
        <f>+T1949</f>
        <v/>
      </c>
      <c r="J1949" s="30"/>
      <c r="K1949" s="22" t="str">
        <f>IF(I1949="","",IF(I1949="ENTRADA",ABS(J1949),-ABS(J1949)))</f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2346</v>
      </c>
      <c r="H1950" s="20" t="str">
        <f>+T1950</f>
        <v/>
      </c>
      <c r="J1950" s="30"/>
      <c r="K1950" s="22" t="str">
        <f>IF(I1950="","",IF(I1950="ENTRADA",ABS(J1950),-ABS(J1950)))</f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2347</v>
      </c>
      <c r="H1951" s="20" t="str">
        <f>+T1951</f>
        <v/>
      </c>
      <c r="J1951" s="30"/>
      <c r="K1951" s="22" t="str">
        <f>IF(I1951="","",IF(I1951="ENTRADA",ABS(J1951),-ABS(J1951)))</f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2348</v>
      </c>
      <c r="H1952" s="20" t="str">
        <f>+T1952</f>
        <v/>
      </c>
      <c r="J1952" s="30"/>
      <c r="K1952" s="22" t="str">
        <f>IF(I1952="","",IF(I1952="ENTRADA",ABS(J1952),-ABS(J1952)))</f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2349</v>
      </c>
      <c r="H1953" s="20" t="str">
        <f>+T1953</f>
        <v/>
      </c>
      <c r="J1953" s="30"/>
      <c r="K1953" s="22" t="str">
        <f>IF(I1953="","",IF(I1953="ENTRADA",ABS(J1953),-ABS(J1953)))</f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2350</v>
      </c>
      <c r="H1954" s="20" t="str">
        <f>+T1954</f>
        <v/>
      </c>
      <c r="J1954" s="30"/>
      <c r="K1954" s="22" t="str">
        <f>IF(I1954="","",IF(I1954="ENTRADA",ABS(J1954),-ABS(J1954)))</f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2351</v>
      </c>
      <c r="H1955" s="20" t="str">
        <f>+T1955</f>
        <v/>
      </c>
      <c r="J1955" s="30"/>
      <c r="K1955" s="22" t="str">
        <f>IF(I1955="","",IF(I1955="ENTRADA",ABS(J1955),-ABS(J1955)))</f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2352</v>
      </c>
      <c r="H1956" s="20" t="str">
        <f>+T1956</f>
        <v/>
      </c>
      <c r="J1956" s="30"/>
      <c r="K1956" s="22" t="str">
        <f>IF(I1956="","",IF(I1956="ENTRADA",ABS(J1956),-ABS(J1956)))</f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2353</v>
      </c>
      <c r="H1957" s="20" t="str">
        <f>+T1957</f>
        <v/>
      </c>
      <c r="J1957" s="30"/>
      <c r="K1957" s="22" t="str">
        <f>IF(I1957="","",IF(I1957="ENTRADA",ABS(J1957),-ABS(J1957)))</f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2354</v>
      </c>
      <c r="H1958" s="20" t="str">
        <f>+T1958</f>
        <v/>
      </c>
      <c r="J1958" s="30"/>
      <c r="K1958" s="22" t="str">
        <f>IF(I1958="","",IF(I1958="ENTRADA",ABS(J1958),-ABS(J1958)))</f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2355</v>
      </c>
      <c r="H1959" s="20" t="str">
        <f>+T1959</f>
        <v/>
      </c>
      <c r="J1959" s="30"/>
      <c r="K1959" s="22" t="str">
        <f>IF(I1959="","",IF(I1959="ENTRADA",ABS(J1959),-ABS(J1959)))</f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2356</v>
      </c>
      <c r="H1960" s="20" t="str">
        <f>+T1960</f>
        <v/>
      </c>
      <c r="J1960" s="30"/>
      <c r="K1960" s="22" t="str">
        <f>IF(I1960="","",IF(I1960="ENTRADA",ABS(J1960),-ABS(J1960)))</f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2357</v>
      </c>
      <c r="H1961" s="20" t="str">
        <f>+T1961</f>
        <v/>
      </c>
      <c r="J1961" s="30"/>
      <c r="K1961" s="22" t="str">
        <f>IF(I1961="","",IF(I1961="ENTRADA",ABS(J1961),-ABS(J1961)))</f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2358</v>
      </c>
      <c r="H1962" s="20" t="str">
        <f>+T1962</f>
        <v/>
      </c>
      <c r="J1962" s="30"/>
      <c r="K1962" s="22" t="str">
        <f>IF(I1962="","",IF(I1962="ENTRADA",ABS(J1962),-ABS(J1962)))</f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2359</v>
      </c>
      <c r="H1963" s="20" t="str">
        <f>+T1963</f>
        <v/>
      </c>
      <c r="J1963" s="30"/>
      <c r="K1963" s="22" t="str">
        <f>IF(I1963="","",IF(I1963="ENTRADA",ABS(J1963),-ABS(J1963)))</f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2360</v>
      </c>
      <c r="H1964" s="20" t="str">
        <f>+T1964</f>
        <v/>
      </c>
      <c r="J1964" s="30"/>
      <c r="K1964" s="22" t="str">
        <f>IF(I1964="","",IF(I1964="ENTRADA",ABS(J1964),-ABS(J1964)))</f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2361</v>
      </c>
      <c r="H1965" s="20" t="str">
        <f>+T1965</f>
        <v/>
      </c>
      <c r="J1965" s="30"/>
      <c r="K1965" s="22" t="str">
        <f>IF(I1965="","",IF(I1965="ENTRADA",ABS(J1965),-ABS(J1965)))</f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2362</v>
      </c>
      <c r="H1966" s="20" t="str">
        <f>+T1966</f>
        <v/>
      </c>
      <c r="J1966" s="30"/>
      <c r="K1966" s="22" t="str">
        <f>IF(I1966="","",IF(I1966="ENTRADA",ABS(J1966),-ABS(J1966)))</f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2363</v>
      </c>
      <c r="H1967" s="20" t="str">
        <f>+T1967</f>
        <v/>
      </c>
      <c r="J1967" s="30"/>
      <c r="K1967" s="22" t="str">
        <f>IF(I1967="","",IF(I1967="ENTRADA",ABS(J1967),-ABS(J1967)))</f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2364</v>
      </c>
      <c r="H1968" s="20" t="str">
        <f>+T1968</f>
        <v/>
      </c>
      <c r="J1968" s="30"/>
      <c r="K1968" s="22" t="str">
        <f>IF(I1968="","",IF(I1968="ENTRADA",ABS(J1968),-ABS(J1968)))</f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2365</v>
      </c>
      <c r="H1969" s="20" t="str">
        <f>+T1969</f>
        <v/>
      </c>
      <c r="J1969" s="30"/>
      <c r="K1969" s="22" t="str">
        <f>IF(I1969="","",IF(I1969="ENTRADA",ABS(J1969),-ABS(J1969)))</f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2366</v>
      </c>
      <c r="H1970" s="20" t="str">
        <f>+T1970</f>
        <v/>
      </c>
      <c r="J1970" s="30"/>
      <c r="K1970" s="22" t="str">
        <f>IF(I1970="","",IF(I1970="ENTRADA",ABS(J1970),-ABS(J1970)))</f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2367</v>
      </c>
      <c r="H1971" s="20" t="str">
        <f>+T1971</f>
        <v/>
      </c>
      <c r="J1971" s="30"/>
      <c r="K1971" s="22" t="str">
        <f>IF(I1971="","",IF(I1971="ENTRADA",ABS(J1971),-ABS(J1971)))</f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2368</v>
      </c>
      <c r="H1972" s="20" t="str">
        <f>+T1972</f>
        <v/>
      </c>
      <c r="J1972" s="30"/>
      <c r="K1972" s="22" t="str">
        <f>IF(I1972="","",IF(I1972="ENTRADA",ABS(J1972),-ABS(J1972)))</f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2369</v>
      </c>
      <c r="H1973" s="20" t="str">
        <f>+T1973</f>
        <v/>
      </c>
      <c r="J1973" s="30"/>
      <c r="K1973" s="22" t="str">
        <f>IF(I1973="","",IF(I1973="ENTRADA",ABS(J1973),-ABS(J1973)))</f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2370</v>
      </c>
      <c r="H1974" s="20" t="str">
        <f>+T1974</f>
        <v/>
      </c>
      <c r="J1974" s="30"/>
      <c r="K1974" s="22" t="str">
        <f>IF(I1974="","",IF(I1974="ENTRADA",ABS(J1974),-ABS(J1974)))</f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2371</v>
      </c>
      <c r="H1975" s="20" t="str">
        <f>+T1975</f>
        <v/>
      </c>
      <c r="J1975" s="30"/>
      <c r="K1975" s="22" t="str">
        <f>IF(I1975="","",IF(I1975="ENTRADA",ABS(J1975),-ABS(J1975)))</f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2372</v>
      </c>
      <c r="H1976" s="20" t="str">
        <f>+T1976</f>
        <v/>
      </c>
      <c r="J1976" s="30"/>
      <c r="K1976" s="22" t="str">
        <f>IF(I1976="","",IF(I1976="ENTRADA",ABS(J1976),-ABS(J1976)))</f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2373</v>
      </c>
      <c r="H1977" s="20" t="str">
        <f>+T1977</f>
        <v/>
      </c>
      <c r="J1977" s="30"/>
      <c r="K1977" s="22" t="str">
        <f>IF(I1977="","",IF(I1977="ENTRADA",ABS(J1977),-ABS(J1977)))</f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2374</v>
      </c>
      <c r="H1978" s="20" t="str">
        <f>+T1978</f>
        <v/>
      </c>
      <c r="J1978" s="30"/>
      <c r="K1978" s="22" t="str">
        <f>IF(I1978="","",IF(I1978="ENTRADA",ABS(J1978),-ABS(J1978)))</f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2375</v>
      </c>
      <c r="H1979" s="20" t="str">
        <f>+T1979</f>
        <v/>
      </c>
      <c r="J1979" s="30"/>
      <c r="K1979" s="22" t="str">
        <f>IF(I1979="","",IF(I1979="ENTRADA",ABS(J1979),-ABS(J1979)))</f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2376</v>
      </c>
      <c r="H1980" s="20" t="str">
        <f>+T1980</f>
        <v/>
      </c>
      <c r="J1980" s="30"/>
      <c r="K1980" s="22" t="str">
        <f>IF(I1980="","",IF(I1980="ENTRADA",ABS(J1980),-ABS(J1980)))</f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2377</v>
      </c>
      <c r="H1981" s="20" t="str">
        <f>+T1981</f>
        <v/>
      </c>
      <c r="J1981" s="30"/>
      <c r="K1981" s="22" t="str">
        <f>IF(I1981="","",IF(I1981="ENTRADA",ABS(J1981),-ABS(J1981)))</f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2378</v>
      </c>
      <c r="H1982" s="20" t="str">
        <f>+T1982</f>
        <v/>
      </c>
      <c r="J1982" s="30"/>
      <c r="K1982" s="22" t="str">
        <f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2379</v>
      </c>
      <c r="H1983" s="20" t="str">
        <f>+T1983</f>
        <v/>
      </c>
      <c r="J1983" s="30"/>
      <c r="K1983" s="22" t="str">
        <f>IF(I1983="","",IF(I1983="ENTRADA",ABS(J1983),-ABS(J1983)))</f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2380</v>
      </c>
      <c r="H1984" s="20" t="str">
        <f>+T1984</f>
        <v/>
      </c>
      <c r="J1984" s="30"/>
      <c r="K1984" s="22" t="str">
        <f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2381</v>
      </c>
      <c r="H1985" s="20" t="str">
        <f>+T1985</f>
        <v/>
      </c>
      <c r="J1985" s="30"/>
      <c r="K1985" s="22" t="str">
        <f>IF(I1985="","",IF(I1985="ENTRADA",ABS(J1985),-ABS(J1985)))</f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2382</v>
      </c>
      <c r="H1986" s="20" t="str">
        <f>+T1986</f>
        <v/>
      </c>
      <c r="J1986" s="30"/>
      <c r="K1986" s="22" t="str">
        <f>IF(I1986="","",IF(I1986="ENTRADA",ABS(J1986),-ABS(J1986)))</f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2383</v>
      </c>
      <c r="H1987" s="20" t="str">
        <f>+T1987</f>
        <v/>
      </c>
      <c r="J1987" s="30"/>
      <c r="K1987" s="22" t="str">
        <f>IF(I1987="","",IF(I1987="ENTRADA",ABS(J1987),-ABS(J1987)))</f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2384</v>
      </c>
      <c r="H1988" s="20" t="str">
        <f>+T1988</f>
        <v/>
      </c>
      <c r="J1988" s="30"/>
      <c r="K1988" s="22" t="str">
        <f>IF(I1988="","",IF(I1988="ENTRADA",ABS(J1988),-ABS(J1988)))</f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2385</v>
      </c>
      <c r="H1989" s="20" t="str">
        <f>+T1989</f>
        <v/>
      </c>
      <c r="J1989" s="30"/>
      <c r="K1989" s="22" t="str">
        <f>IF(I1989="","",IF(I1989="ENTRADA",ABS(J1989),-ABS(J1989)))</f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2386</v>
      </c>
      <c r="H1990" s="20" t="str">
        <f>+T1990</f>
        <v/>
      </c>
      <c r="J1990" s="30"/>
      <c r="K1990" s="22" t="str">
        <f>IF(I1990="","",IF(I1990="ENTRADA",ABS(J1990),-ABS(J1990)))</f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2387</v>
      </c>
      <c r="H1991" s="20" t="str">
        <f>+T1991</f>
        <v/>
      </c>
      <c r="J1991" s="30"/>
      <c r="K1991" s="22" t="str">
        <f>IF(I1991="","",IF(I1991="ENTRADA",ABS(J1991),-ABS(J1991)))</f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2388</v>
      </c>
      <c r="H1992" s="20" t="str">
        <f>+T1992</f>
        <v/>
      </c>
      <c r="J1992" s="30"/>
      <c r="K1992" s="22" t="str">
        <f>IF(I1992="","",IF(I1992="ENTRADA",ABS(J1992),-ABS(J1992)))</f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2389</v>
      </c>
      <c r="H1993" s="41" t="str">
        <f>+T1993</f>
        <v/>
      </c>
      <c r="J1993" s="30"/>
      <c r="K1993" s="22" t="str">
        <f>IF(I1993="","",IF(I1993="ENTRADA",ABS(J1993),-ABS(J1993)))</f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2390</v>
      </c>
      <c r="H1994" s="41" t="str">
        <f>+T1994</f>
        <v/>
      </c>
      <c r="J1994" s="30"/>
      <c r="K1994" s="22" t="str">
        <f>IF(I1994="","",IF(I1994="ENTRADA",ABS(J1994),-ABS(J1994)))</f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2391</v>
      </c>
      <c r="H1995" s="41" t="str">
        <f>+T1995</f>
        <v/>
      </c>
      <c r="J1995" s="30"/>
      <c r="K1995" s="22" t="str">
        <f>IF(I1995="","",IF(I1995="ENTRADA",ABS(J1995),-ABS(J1995)))</f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2392</v>
      </c>
      <c r="H1996" s="41" t="str">
        <f>+T1996</f>
        <v/>
      </c>
      <c r="J1996" s="30"/>
      <c r="K1996" s="22" t="str">
        <f>IF(I1996="","",IF(I1996="ENTRADA",ABS(J1996),-ABS(J1996)))</f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2393</v>
      </c>
      <c r="H1997" s="41" t="str">
        <f>+T1997</f>
        <v/>
      </c>
      <c r="J1997" s="30"/>
      <c r="K1997" s="22" t="str">
        <f>IF(I1997="","",IF(I1997="ENTRADA",ABS(J1997),-ABS(J1997)))</f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2394</v>
      </c>
      <c r="H1998" s="41" t="str">
        <f>+T1998</f>
        <v/>
      </c>
      <c r="J1998" s="30"/>
      <c r="K1998" s="22" t="str">
        <f>IF(I1998="","",IF(I1998="ENTRADA",ABS(J1998),-ABS(J1998)))</f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K1999" s="22" t="str">
        <f>IF(I1999="","",IF(I1999="ENTRADA",ABS(J1999),-ABS(J1999)))</f>
        <v/>
      </c>
      <c r="R1999" s="33"/>
      <c r="S1999" s="33"/>
      <c r="T1999" t="str">
        <f>IF(C1999="","",UPPER(LEFT(SUBSTITUTE(C1999," ",""),3))&amp;"-"&amp;TEXT(B1999,"AAMMDD")&amp;"-1")</f>
        <v/>
      </c>
    </row>
    <row r="2000" spans="1:20">
      <c r="K2000" s="22" t="str">
        <f>IF(I2000="","",IF(I2000="ENTRADA",ABS(J2000),-ABS(J2000)))</f>
        <v/>
      </c>
      <c r="R2000" s="33"/>
      <c r="S2000" s="33"/>
      <c r="T2000" t="str">
        <f>IF(C2000="","",UPPER(LEFT(SUBSTITUTE(C2000," ",""),3))&amp;"-"&amp;TEXT(B2000,"AAMMDD")&amp;"-1")</f>
        <v/>
      </c>
    </row>
    <row r="2001" spans="11:20">
      <c r="K2001" s="22" t="str">
        <f>IF(I2001="","",IF(I2001="ENTRADA",ABS(J2001),-ABS(J2001)))</f>
        <v/>
      </c>
      <c r="R2001" s="33"/>
      <c r="S2001" s="33"/>
      <c r="T2001" t="str">
        <f>IF(C2001="","",UPPER(LEFT(SUBSTITUTE(C2001," ",""),3))&amp;"-"&amp;TEXT(B2001,"AAMMDD")&amp;"-1")</f>
        <v/>
      </c>
    </row>
    <row r="2002" spans="11:20">
      <c r="K2002" s="22" t="str">
        <f>IF(I2002="","",IF(I2002="ENTRADA",ABS(J2002),-ABS(J2002)))</f>
        <v/>
      </c>
      <c r="R2002" s="22" t="str">
        <f>IF(H2002="","",H2002&amp;I2002)</f>
        <v/>
      </c>
      <c r="S2002" s="22" t="str">
        <f>IF(C2002="","",C2002&amp;I2002)</f>
        <v/>
      </c>
      <c r="T2002" t="str">
        <f>IF(OR(C2002="",I2002&lt;&gt;"ENTRADA"),"",TEXT(B2002,"AAMMDD")&amp;"-"&amp;TEXT(VALUE(SUBSTITUTE(A2002,"MOV-","")),"000"))</f>
        <v/>
      </c>
    </row>
    <row r="2003" spans="11:20">
      <c r="K2003" s="22" t="str">
        <f>IF(I2003="","",IF(I2003="ENTRADA",ABS(J2003),-ABS(J2003)))</f>
        <v/>
      </c>
      <c r="R2003" s="22" t="str">
        <f>IF(H2003="","",H2003&amp;I2003)</f>
        <v/>
      </c>
      <c r="S2003" s="22" t="str">
        <f>IF(C2003="","",C2003&amp;I2003)</f>
        <v/>
      </c>
      <c r="T2003" t="str">
        <f>IF(OR(C2003="",I2003&lt;&gt;"ENTRADA"),"",TEXT(B2003,"AAMMDD")&amp;"-"&amp;TEXT(VALUE(SUBSTITUTE(A2003,"MOV-","")),"000"))</f>
        <v/>
      </c>
    </row>
    <row r="2004" spans="11:20">
      <c r="K2004" s="22" t="str">
        <f>IF(I2004="","",IF(I2004="ENTRADA",ABS(J2004),-ABS(J2004)))</f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>
      <c r="K2005" s="22" t="str">
        <f>IF(I2005="","",IF(I2005="ENTRADA",ABS(J2005),-ABS(J2005)))</f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>
      <c r="K2006" s="22" t="str">
        <f>IF(I2006="","",IF(I2006="ENTRADA",ABS(J2006),-ABS(J2006)))</f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>
      <c r="K2007" s="22" t="str">
        <f>IF(I2007="","",IF(I2007="ENTRADA",ABS(J2007),-ABS(J2007)))</f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>
      <c r="K2008" s="22" t="str">
        <f>IF(I2008="","",IF(I2008="ENTRADA",ABS(J2008),-ABS(J2008)))</f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>
      <c r="K2009" s="22" t="str">
        <f>IF(I2009="","",IF(I2009="ENTRADA",ABS(J2009),-ABS(J2009)))</f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>
      <c r="K2010" s="22" t="str">
        <f>IF(I2010="","",IF(I2010="ENTRADA",ABS(J2010),-ABS(J2010)))</f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>
      <c r="K2011" s="22" t="str">
        <f>IF(I2011="","",IF(I2011="ENTRADA",ABS(J2011),-ABS(J2011)))</f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>
      <c r="K2012" s="22" t="str">
        <f>IF(I2012="","",IF(I2012="ENTRADA",ABS(J2012),-ABS(J2012)))</f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>
      <c r="K2013" s="22" t="str">
        <f>IF(I2013="","",IF(I2013="ENTRADA",ABS(J2013),-ABS(J2013)))</f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>
      <c r="K2014" s="22" t="str">
        <f>IF(I2014="","",IF(I2014="ENTRADA",ABS(J2014),-ABS(J2014)))</f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>
      <c r="K2015" s="22" t="str">
        <f>IF(I2015="","",IF(I2015="ENTRADA",ABS(J2015),-ABS(J2015)))</f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>
      <c r="K2016" s="22" t="str">
        <f>IF(I2016="","",IF(I2016="ENTRADA",ABS(J2016),-ABS(J2016)))</f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>
      <c r="K2017" s="22" t="str">
        <f>IF(I2017="","",IF(I2017="ENTRADA",ABS(J2017),-ABS(J2017)))</f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>
      <c r="K2018" s="22" t="str">
        <f>IF(I2018="","",IF(I2018="ENTRADA",ABS(J2018),-ABS(J2018)))</f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Q5788" s="33"/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33"/>
      <c r="S6000" s="33"/>
      <c r="T6000" t="str">
        <f>IF(C6000="","",UPPER(LEFT(SUBSTITUTE(C6000," ",""),3))&amp;"-"&amp;TEXT(B6000,"AAMMDD")&amp;"-1")</f>
        <v/>
      </c>
    </row>
    <row r="6001" spans="18:20">
      <c r="R6001" s="33"/>
      <c r="S6001" s="33"/>
      <c r="T6001" t="str">
        <f>IF(C6001="","",UPPER(LEFT(SUBSTITUTE(C6001," ",""),3))&amp;"-"&amp;TEXT(B6001,"AAMMDD")&amp;"-1")</f>
        <v/>
      </c>
    </row>
    <row r="6002" spans="18:20">
      <c r="R6002" s="33"/>
      <c r="S6002" s="33"/>
      <c r="T6002" t="str">
        <f>IF(C6002="","",UPPER(LEFT(SUBSTITUTE(C6002," ",""),3))&amp;"-"&amp;TEXT(B6002,"AAMMDD")&amp;"-1")</f>
        <v/>
      </c>
    </row>
    <row r="6003" spans="18:20">
      <c r="R6003" s="33"/>
      <c r="S6003" s="33"/>
      <c r="T6003" t="str">
        <f>IF(C6003="","",UPPER(LEFT(SUBSTITUTE(C6003," ",""),3))&amp;"-"&amp;TEXT(B6003,"AAMMDD")&amp;"-1")</f>
        <v/>
      </c>
    </row>
    <row r="6004" spans="18:20">
      <c r="R6004" s="33"/>
      <c r="S6004" s="33"/>
      <c r="T6004" t="str">
        <f>IF(C6004="","",UPPER(LEFT(SUBSTITUTE(C6004," ",""),3))&amp;"-"&amp;TEXT(B6004,"AAMMDD")&amp;"-1")</f>
        <v/>
      </c>
    </row>
    <row r="6005" spans="18:20">
      <c r="R6005" s="22" t="str">
        <f>IF(H6005="","",H6005&amp;I6005)</f>
        <v/>
      </c>
      <c r="S6005" s="22" t="str">
        <f>IF(C6005="","",C6005&amp;I6005)</f>
        <v/>
      </c>
      <c r="T6005" t="str">
        <f>IF(OR(C6005="",I6005&lt;&gt;"ENTRADA"),"",TEXT(B6005,"AAMMDD")&amp;"-"&amp;TEXT(VALUE(SUBSTITUTE(A6005,"MOV-","")),"000"))</f>
        <v/>
      </c>
    </row>
    <row r="6006" spans="18:20">
      <c r="R6006" s="22" t="str">
        <f>IF(H6006="","",H6006&amp;I6006)</f>
        <v/>
      </c>
      <c r="S6006" s="22" t="str">
        <f>IF(C6006="","",C6006&amp;I6006)</f>
        <v/>
      </c>
      <c r="T6006" t="str">
        <f>IF(OR(C6006="",I6006&lt;&gt;"ENTRADA"),"",TEXT(B6006,"AAMMDD")&amp;"-"&amp;TEXT(VALUE(SUBSTITUTE(A6006,"MOV-","")),"000"))</f>
        <v/>
      </c>
    </row>
    <row r="6007" spans="18:20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33"/>
      <c r="S6182" s="33"/>
      <c r="T6182" t="str">
        <f>IF(C6182="","",UPPER(LEFT(SUBSTITUTE(C6182," ",""),3))&amp;"-"&amp;TEXT(B6182,"AAMMDD")&amp;"-1")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22" t="str">
        <f>IF(H6184="","",H6184&amp;I6184)</f>
        <v/>
      </c>
      <c r="S6184" s="22" t="str">
        <f>IF(C6184="","",C6184&amp;I6184)</f>
        <v/>
      </c>
      <c r="T6184" t="str">
        <f>IF(OR(C6184="",I6184&lt;&gt;"ENTRADA"),"",TEXT(B6184,"AAMMDD")&amp;"-"&amp;TEXT(VALUE(SUBSTITUTE(A6184,"MOV-","")),"000"))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38" t="str">
        <f>IF(H6697="","",H6697&amp;I6697)</f>
        <v/>
      </c>
      <c r="S6697" s="38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38" t="str">
        <f>IF(H6698="","",H6698&amp;I6698)</f>
        <v/>
      </c>
      <c r="S6698" s="38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38" t="str">
        <f>IF(H6699="","",H6699&amp;I6699)</f>
        <v/>
      </c>
      <c r="S6699" s="38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38" t="str">
        <f>IF(H6700="","",H6700&amp;I6700)</f>
        <v/>
      </c>
      <c r="S6700" s="38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8" t="str">
        <f>IF(H6701="","",H6701&amp;I6701)</f>
        <v/>
      </c>
      <c r="S6701" s="38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8" t="str">
        <f>IF(H6702="","",H6702&amp;I6702)</f>
        <v/>
      </c>
      <c r="S6702" s="38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8" t="str">
        <f>IF(H6703="","",H6703&amp;I6703)</f>
        <v/>
      </c>
      <c r="S6703" s="38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8" t="str">
        <f>IF(H6704="","",H6704&amp;I6704)</f>
        <v/>
      </c>
      <c r="S6704" s="38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8" t="str">
        <f>IF(H6705="","",H6705&amp;I6705)</f>
        <v/>
      </c>
      <c r="S6705" s="38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8" t="str">
        <f>IF(H6706="","",H6706&amp;I6706)</f>
        <v/>
      </c>
      <c r="S6706" s="38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8" t="str">
        <f>IF(H6707="","",H6707&amp;I6707)</f>
        <v/>
      </c>
      <c r="S6707" s="38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T6708" t="str">
        <f>IF(C6708="","",UPPER(LEFT(SUBSTITUTE(C6708," ",""),3))&amp;"-"&amp;TEXT(B6708,"AAMMDD")&amp;"-1")</f>
        <v/>
      </c>
    </row>
    <row r="6709" spans="18:20">
      <c r="T6709" t="str">
        <f>IF(C6709="","",UPPER(LEFT(SUBSTITUTE(C6709," ",""),3))&amp;"-"&amp;TEXT(B6709,"AAMMDD")&amp;"-1")</f>
        <v/>
      </c>
    </row>
    <row r="6710" spans="18:20">
      <c r="T6710" t="str">
        <f>IF(C6710="","",UPPER(LEFT(SUBSTITUTE(C6710," ",""),3))&amp;"-"&amp;TEXT(B6710,"AAMMDD")&amp;"-1")</f>
        <v/>
      </c>
    </row>
    <row r="6711" spans="18:20">
      <c r="T6711" t="str">
        <f>IF(C6711="","",UPPER(LEFT(SUBSTITUTE(C6711," ",""),3))&amp;"-"&amp;TEXT(B6711,"AAMMDD")&amp;"-1")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:20">
      <c r="T11985" t="str">
        <f>IF(C11985="","",UPPER(LEFT(SUBSTITUTE(C11985," ",""),3))&amp;"-"&amp;TEXT(B11985,"AAMMDD")&amp;"-1")</f>
        <v/>
      </c>
    </row>
    <row r="11986" spans="2:20">
      <c r="T11986" t="str">
        <f>IF(C11986="","",UPPER(LEFT(SUBSTITUTE(C11986," ",""),3))&amp;"-"&amp;TEXT(B11986,"AAMMDD")&amp;"-1")</f>
        <v/>
      </c>
    </row>
    <row r="11987" spans="2:20">
      <c r="T11987" t="str">
        <f>IF(C11987="","",UPPER(LEFT(SUBSTITUTE(C11987," ",""),3))&amp;"-"&amp;TEXT(B11987,"AAMMDD")&amp;"-1")</f>
        <v/>
      </c>
    </row>
    <row r="11988" spans="2:20">
      <c r="T11988" t="str">
        <f>IF(C11988="","",UPPER(LEFT(SUBSTITUTE(C11988," ",""),3))&amp;"-"&amp;TEXT(B11988,"AAMMDD")&amp;"-1")</f>
        <v/>
      </c>
    </row>
    <row r="11989" spans="2:20">
      <c r="T11989" t="str">
        <f>IF(C11989="","",UPPER(LEFT(SUBSTITUTE(C11989," ",""),3))&amp;"-"&amp;TEXT(B11989,"AAMMDD")&amp;"-1")</f>
        <v/>
      </c>
    </row>
    <row r="11990" spans="2:20">
      <c r="T11990" t="str">
        <f>IF(C11990="","",UPPER(LEFT(SUBSTITUTE(C11990," ",""),3))&amp;"-"&amp;TEXT(B11990,"AAMMDD")&amp;"-1")</f>
        <v/>
      </c>
    </row>
    <row r="11991" spans="2:20">
      <c r="T11991" t="str">
        <f>IF(C11991="","",UPPER(LEFT(SUBSTITUTE(C11991," ",""),3))&amp;"-"&amp;TEXT(B11991,"AAMMDD")&amp;"-1")</f>
        <v/>
      </c>
    </row>
    <row r="11992" spans="2:20">
      <c r="T11992" t="str">
        <f>IF(C11992="","",UPPER(LEFT(SUBSTITUTE(C11992," ",""),3))&amp;"-"&amp;TEXT(B11992,"AAMMDD")&amp;"-1")</f>
        <v/>
      </c>
    </row>
    <row r="11993" spans="2:20">
      <c r="T11993" t="str">
        <f>IF(C11993="","",UPPER(LEFT(SUBSTITUTE(C11993," ",""),3))&amp;"-"&amp;TEXT(B11993,"AAMMDD")&amp;"-1")</f>
        <v/>
      </c>
    </row>
    <row r="11994" spans="2:20">
      <c r="B11994" s="47"/>
      <c r="T11994" t="str">
        <f>IF(C11994="","",UPPER(LEFT(SUBSTITUTE(C11994," ",""),3))&amp;"-"&amp;TEXT(B11994,"AAMMDD")&amp;"-1")</f>
        <v/>
      </c>
    </row>
    <row r="11995" spans="2:20">
      <c r="B11995" s="47"/>
      <c r="T11995" t="str">
        <f>IF(C11995="","",UPPER(LEFT(SUBSTITUTE(C11995," ",""),3))&amp;"-"&amp;TEXT(B11995,"AAMMDD")&amp;"-1")</f>
        <v/>
      </c>
    </row>
    <row r="11996" spans="2:20">
      <c r="B11996" s="47"/>
      <c r="T11996" t="str">
        <f>IF(C11996="","",UPPER(LEFT(SUBSTITUTE(C11996," ",""),3))&amp;"-"&amp;TEXT(B11996,"AAMMDD")&amp;"-1")</f>
        <v/>
      </c>
    </row>
    <row r="11997" spans="2:20">
      <c r="B11997" s="47"/>
      <c r="T11997" t="str">
        <f>IF(C11997="","",UPPER(LEFT(SUBSTITUTE(C11997," ",""),3))&amp;"-"&amp;TEXT(B11997,"AAMMDD")&amp;"-1")</f>
        <v/>
      </c>
    </row>
  </sheetData>
  <autoFilter ref="C12003" xr:uid="{00000000-0001-0000-0000-000000000000}"/>
  <phoneticPr fontId="9" type="noConversion"/>
  <conditionalFormatting sqref="A2:Q2 A3:P11 N11994:N11995 B12:P12 Q3:Q500 B11994:B11997 D662:J663 B662:B663 B13:O13 K219:K2018 A12:A1998 J658:J672 N353:N744 B14:P218 L219:P500 B219:J661 B664:J1993 L501:Q1993">
    <cfRule type="expression" dxfId="20" priority="3">
      <formula>$I2="ENTRADA"</formula>
    </cfRule>
    <cfRule type="expression" dxfId="19" priority="4">
      <formula>$I2="SALIDA"</formula>
    </cfRule>
  </conditionalFormatting>
  <conditionalFormatting sqref="Q5788">
    <cfRule type="expression" dxfId="18" priority="1">
      <formula>$I5788="ENTRADA"</formula>
    </cfRule>
    <cfRule type="expression" dxfId="17" priority="2">
      <formula>$I5788="SALIDA"</formula>
    </cfRule>
  </conditionalFormatting>
  <conditionalFormatting sqref="C663">
    <cfRule type="expression" dxfId="16" priority="11">
      <formula>$I662="ENTRADA"</formula>
    </cfRule>
    <cfRule type="expression" dxfId="15" priority="12">
      <formula>$I662="SALIDA"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0000000}">
          <x14:formula1>
            <xm:f>Listas!$A$2:$A$199</xm:f>
          </x14:formula1>
          <xm:sqref>C2:C295 C663:C1993 C297:C661</xm:sqref>
        </x14:dataValidation>
        <x14:dataValidation type="list" allowBlank="1" xr:uid="{00000000-0002-0000-0000-000002000000}">
          <x14:formula1>
            <xm:f>Listas!$C$2:$C$199</xm:f>
          </x14:formula1>
          <xm:sqref>E2:E1993</xm:sqref>
        </x14:dataValidation>
        <x14:dataValidation type="list" allowBlank="1" xr:uid="{00000000-0002-0000-0000-000005000000}">
          <x14:formula1>
            <xm:f>Listas!$F$2:$F$199</xm:f>
          </x14:formula1>
          <xm:sqref>I2:I1993</xm:sqref>
        </x14:dataValidation>
        <x14:dataValidation type="list" allowBlank="1" xr:uid="{00000000-0002-0000-0000-000006000000}">
          <x14:formula1>
            <xm:f>Listas!$G$2:$G$199</xm:f>
          </x14:formula1>
          <xm:sqref>L2:L1993</xm:sqref>
        </x14:dataValidation>
        <x14:dataValidation type="list" allowBlank="1" xr:uid="{00000000-0002-0000-0000-000007000000}">
          <x14:formula1>
            <xm:f>Listas!$H$2:$H$199</xm:f>
          </x14:formula1>
          <xm:sqref>O2:O1993</xm:sqref>
        </x14:dataValidation>
        <x14:dataValidation type="list" allowBlank="1" xr:uid="{00000000-0002-0000-0000-000001000000}">
          <x14:formula1>
            <xm:f>Listas!$B$2:$B$199</xm:f>
          </x14:formula1>
          <xm:sqref>D2:D1993</xm:sqref>
        </x14:dataValidation>
        <x14:dataValidation type="list" allowBlank="1" xr:uid="{00000000-0002-0000-0000-000004000000}">
          <x14:formula1>
            <xm:f>Listas!$E$2:$E$199</xm:f>
          </x14:formula1>
          <xm:sqref>G2:G1993</xm:sqref>
        </x14:dataValidation>
        <x14:dataValidation type="list" allowBlank="1" xr:uid="{00000000-0002-0000-0000-000003000000}">
          <x14:formula1>
            <xm:f>Listas!$D$2:$D$199</xm:f>
          </x14:formula1>
          <xm:sqref>F2:F1993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112"/>
  <sheetViews>
    <sheetView showGridLines="0" workbookViewId="0">
      <pane ySplit="1" topLeftCell="A12" activePane="bottomLeft" state="frozen"/>
      <selection pane="bottomLeft" activeCell="G16" sqref="G16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2395</v>
      </c>
      <c r="B1" s="18" t="s">
        <v>2396</v>
      </c>
      <c r="C1" s="18" t="s">
        <v>4</v>
      </c>
      <c r="D1" s="18" t="s">
        <v>5</v>
      </c>
      <c r="E1" s="18" t="s">
        <v>11</v>
      </c>
      <c r="F1" s="18" t="s">
        <v>2397</v>
      </c>
      <c r="G1" s="18" t="s">
        <v>2398</v>
      </c>
      <c r="H1" s="18" t="s">
        <v>2399</v>
      </c>
    </row>
    <row r="2" spans="1:8">
      <c r="A2" s="7" t="s">
        <v>23</v>
      </c>
      <c r="B2" s="3" t="str">
        <f>IF(A2="","",IFERROR(INDEX(Movimientos!$D$2:$D$1993,MATCH(A2&amp;"ENTRADA",Movimientos!$S$2:$S$1993,0)),"-"))</f>
        <v>CURRY CL</v>
      </c>
      <c r="C2" s="3" t="str">
        <f>IF(A2="","",IFERROR(INDEX(Movimientos!$E$2:$E$1993,MATCH(A2&amp;"ENTRADA",Movimientos!$S$2:$S$1993,0)),"-"))</f>
        <v>Semilla</v>
      </c>
      <c r="D2" s="3" t="str">
        <f>IF(A2="","",IFERROR(INDEX(Movimientos!$F$2:$F$1993,MATCH(A2&amp;"ENTRADA",Movimientos!$S$2:$S$1993,0)),"-"))</f>
        <v>Colza</v>
      </c>
      <c r="E2" s="3" t="str">
        <f>IF(A2="","",IFERROR(INDEX(Movimientos!$L$2:$L$1993,MATCH(A2&amp;"ENTRADA",Movimientos!$S$2:$S$1993,0)),"-"))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32</v>
      </c>
      <c r="B3" s="3" t="str">
        <f>IF(A3="","",IFERROR(INDEX(Movimientos!$D$2:$D$1993,MATCH(A3&amp;"ENTRADA",Movimientos!$S$2:$S$1993,0)),"-"))</f>
        <v xml:space="preserve">Clopyralid 12% + Halauxyfen methyl 0,51% </v>
      </c>
      <c r="C3" s="3" t="str">
        <f>IF(A3="","",IFERROR(INDEX(Movimientos!$E$2:$E$1993,MATCH(A3&amp;"ENTRADA",Movimientos!$S$2:$S$1993,0)),"-"))</f>
        <v>Herbicida</v>
      </c>
      <c r="D3" s="3" t="str">
        <f>IF(A3="","",IFERROR(INDEX(Movimientos!$F$2:$F$1993,MATCH(A3&amp;"ENTRADA",Movimientos!$S$2:$S$1993,0)),"-"))</f>
        <v>Postemergente</v>
      </c>
      <c r="E3" s="3" t="str">
        <f>IF(A3="","",IFERROR(INDEX(Movimientos!$L$2:$L$1993,MATCH(A3&amp;"ENTRADA",Movimientos!$S$2:$S$1993,0)),"-"))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10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40</v>
      </c>
      <c r="B4" s="3" t="str">
        <f>IF(A4="","",IFERROR(INDEX(Movimientos!$D$2:$D$1993,MATCH(A4&amp;"ENTRADA",Movimientos!$S$2:$S$1993,0)),"-"))</f>
        <v>Clopyralid sal monoetanolamina 40.9%</v>
      </c>
      <c r="C4" s="3" t="str">
        <f>IF(A4="","",IFERROR(INDEX(Movimientos!$E$2:$E$1993,MATCH(A4&amp;"ENTRADA",Movimientos!$S$2:$S$1993,0)),"-"))</f>
        <v>Herbicida</v>
      </c>
      <c r="D4" s="3" t="str">
        <f>IF(A4="","",IFERROR(INDEX(Movimientos!$F$2:$F$1993,MATCH(A4&amp;"ENTRADA",Movimientos!$S$2:$S$1993,0)),"-"))</f>
        <v>Postemergente</v>
      </c>
      <c r="E4" s="3" t="str">
        <f>IF(A4="","",IFERROR(INDEX(Movimientos!$L$2:$L$1993,MATCH(A4&amp;"ENTRADA",Movimientos!$S$2:$S$1993,0)),"-"))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255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44</v>
      </c>
      <c r="B5" s="3" t="str">
        <f>IF(A5="","",IFERROR(INDEX(Movimientos!$D$2:$D$1993,MATCH(A5&amp;"ENTRADA",Movimientos!$S$2:$S$1993,0)),"-"))</f>
        <v>Flumetsulam 11,35%</v>
      </c>
      <c r="C5" s="3" t="str">
        <f>IF(A5="","",IFERROR(INDEX(Movimientos!$E$2:$E$1993,MATCH(A5&amp;"ENTRADA",Movimientos!$S$2:$S$1993,0)),"-"))</f>
        <v>Herbicida</v>
      </c>
      <c r="D5" s="3" t="str">
        <f>IF(A5="","",IFERROR(INDEX(Movimientos!$F$2:$F$1993,MATCH(A5&amp;"ENTRADA",Movimientos!$S$2:$S$1993,0)),"-"))</f>
        <v>Preemergente</v>
      </c>
      <c r="E5" s="3" t="str">
        <f>IF(A5="","",IFERROR(INDEX(Movimientos!$L$2:$L$1993,MATCH(A5&amp;"ENTRADA",Movimientos!$S$2:$S$1993,0)),"-"))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1920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50</v>
      </c>
      <c r="B6" s="3" t="str">
        <f>IF(A6="","",IFERROR(INDEX(Movimientos!$D$2:$D$1993,MATCH(A6&amp;"ENTRADA",Movimientos!$S$2:$S$1993,0)),"-"))</f>
        <v>Picloram 24,9%</v>
      </c>
      <c r="C6" s="3" t="str">
        <f>IF(A6="","",IFERROR(INDEX(Movimientos!$E$2:$E$1993,MATCH(A6&amp;"ENTRADA",Movimientos!$S$2:$S$1993,0)),"-"))</f>
        <v>Herbicida</v>
      </c>
      <c r="D6" s="3" t="str">
        <f>IF(A6="","",IFERROR(INDEX(Movimientos!$F$2:$F$1993,MATCH(A6&amp;"ENTRADA",Movimientos!$S$2:$S$1993,0)),"-"))</f>
        <v>Postemergente</v>
      </c>
      <c r="E6" s="3" t="str">
        <f>IF(A6="","",IFERROR(INDEX(Movimientos!$L$2:$L$1993,MATCH(A6&amp;"ENTRADA",Movimientos!$S$2:$S$1993,0)),"-"))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70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54</v>
      </c>
      <c r="B7" s="3" t="str">
        <f>IF(A7="","",IFERROR(INDEX(Movimientos!$D$2:$D$1993,MATCH(A7&amp;"ENTRADA",Movimientos!$S$2:$S$1993,0)),"-"))</f>
        <v>Halauxifen metil 3.3% + Aminopyralid 2.7% + Metsulfuron metil 20%</v>
      </c>
      <c r="C7" s="3" t="str">
        <f>IF(A7="","",IFERROR(INDEX(Movimientos!$E$2:$E$1993,MATCH(A7&amp;"ENTRADA",Movimientos!$S$2:$S$1993,0)),"-"))</f>
        <v>Herbicida</v>
      </c>
      <c r="D7" s="3" t="str">
        <f>IF(A7="","",IFERROR(INDEX(Movimientos!$F$2:$F$1993,MATCH(A7&amp;"ENTRADA",Movimientos!$S$2:$S$1993,0)),"-"))</f>
        <v>Postemergente</v>
      </c>
      <c r="E7" s="3" t="str">
        <f>IF(A7="","",IFERROR(INDEX(Movimientos!$L$2:$L$1993,MATCH(A7&amp;"ENTRADA",Movimientos!$S$2:$S$1993,0)),"-"))</f>
        <v>Pack</v>
      </c>
      <c r="F7" s="8">
        <f>IF(A7="","",COUNTIFS(Stock_por_Lote!$B:$B,A7,Stock_por_Lote!$J:$J,"&gt;0"))</f>
        <v>0</v>
      </c>
      <c r="G7" s="9">
        <f>IF(A7="","",SUMIFS(Movimientos!$K:$K,Movimientos!$C:$C,A7))</f>
        <v>0</v>
      </c>
      <c r="H7" s="14" t="str">
        <f>IF(A7="","",IFERROR(IF(_xlfn.MINIFS(Stock_por_Lote!$H:$H,Stock_por_Lote!$B:$B,A7,Stock_por_Lote!$J:$J,"&gt;0")=0,"S/D",_xlfn.MINIFS(Stock_por_Lote!$H:$H,Stock_por_Lote!$B:$B,A7,Stock_por_Lote!$J:$J,"&gt;0")),"S/D"))</f>
        <v>S/D</v>
      </c>
    </row>
    <row r="8" spans="1:8">
      <c r="A8" s="7" t="s">
        <v>59</v>
      </c>
      <c r="B8" s="3" t="str">
        <f>IF(A8="","",IFERROR(INDEX(Movimientos!$D$2:$D$1993,MATCH(A8&amp;"ENTRADA",Movimientos!$S$2:$S$1993,0)),"-"))</f>
        <v>2,4-Db-Butilo 93.1%</v>
      </c>
      <c r="C8" s="3" t="str">
        <f>IF(A8="","",IFERROR(INDEX(Movimientos!$E$2:$E$1993,MATCH(A8&amp;"ENTRADA",Movimientos!$S$2:$S$1993,0)),"-"))</f>
        <v>Herbicida</v>
      </c>
      <c r="D8" s="3" t="str">
        <f>IF(A8="","",IFERROR(INDEX(Movimientos!$F$2:$F$1993,MATCH(A8&amp;"ENTRADA",Movimientos!$S$2:$S$1993,0)),"-"))</f>
        <v>Postemergente</v>
      </c>
      <c r="E8" s="3" t="str">
        <f>IF(A8="","",IFERROR(INDEX(Movimientos!$L$2:$L$1993,MATCH(A8&amp;"ENTRADA",Movimientos!$S$2:$S$1993,0)),"-"))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1700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75</v>
      </c>
      <c r="B9" s="3" t="str">
        <f>IF(A9="","",IFERROR(INDEX(Movimientos!$D$2:$D$1993,MATCH(A9&amp;"ENTRADA",Movimientos!$S$2:$S$1993,0)),"-"))</f>
        <v>2,4 D Acido 27.2%</v>
      </c>
      <c r="C9" s="3" t="str">
        <f>IF(A9="","",IFERROR(INDEX(Movimientos!$E$2:$E$1993,MATCH(A9&amp;"ENTRADA",Movimientos!$S$2:$S$1993,0)),"-"))</f>
        <v>Herbicida</v>
      </c>
      <c r="D9" s="3" t="str">
        <f>IF(A9="","",IFERROR(INDEX(Movimientos!$F$2:$F$1993,MATCH(A9&amp;"ENTRADA",Movimientos!$S$2:$S$1993,0)),"-"))</f>
        <v>Postemergente</v>
      </c>
      <c r="E9" s="3" t="str">
        <f>IF(A9="","",IFERROR(INDEX(Movimientos!$L$2:$L$1993,MATCH(A9&amp;"ENTRADA",Movimientos!$S$2:$S$1993,0)),"-"))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3720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70</v>
      </c>
      <c r="B10" s="3" t="str">
        <f>IF(A10="","",IFERROR(INDEX(Movimientos!$D$2:$D$1993,MATCH(A10&amp;"ENTRADA",Movimientos!$S$2:$S$1993,0)),"-"))</f>
        <v>Silobolsa 9 pies</v>
      </c>
      <c r="C10" s="3" t="str">
        <f>IF(A10="","",IFERROR(INDEX(Movimientos!$E$2:$E$1993,MATCH(A10&amp;"ENTRADA",Movimientos!$S$2:$S$1993,0)),"-"))</f>
        <v>Silobolsa</v>
      </c>
      <c r="D10" s="3">
        <f>IF(A10="","",IFERROR(INDEX(Movimientos!$F$2:$F$1993,MATCH(A10&amp;"ENTRADA",Movimientos!$S$2:$S$1993,0)),"-"))</f>
        <v>0</v>
      </c>
      <c r="E10" s="3" t="str">
        <f>IF(A10="","",IFERROR(INDEX(Movimientos!$L$2:$L$1993,MATCH(A10&amp;"ENTRADA",Movimientos!$S$2:$S$1993,0)),"-"))</f>
        <v>unidad</v>
      </c>
      <c r="F10" s="8">
        <f>IF(A10="","",COUNTIFS(Stock_por_Lote!$B:$B,A10,Stock_por_Lote!$J:$J,"&gt;0"))</f>
        <v>1</v>
      </c>
      <c r="G10" s="9">
        <f>IF(A10="","",SUMIFS(Movimientos!$K:$K,Movimientos!$C:$C,A10))</f>
        <v>30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80</v>
      </c>
      <c r="B11" s="3" t="str">
        <f>IF(A11="","",IFERROR(INDEX(Movimientos!$D$2:$D$1993,MATCH(A11&amp;"ENTRADA",Movimientos!$S$2:$S$1993,0)),"-"))</f>
        <v>Estanzuela 284</v>
      </c>
      <c r="C11" s="3" t="str">
        <f>IF(A11="","",IFERROR(INDEX(Movimientos!$E$2:$E$1993,MATCH(A11&amp;"ENTRADA",Movimientos!$S$2:$S$1993,0)),"-"))</f>
        <v>Semilla</v>
      </c>
      <c r="D11" s="3" t="str">
        <f>IF(A11="","",IFERROR(INDEX(Movimientos!$F$2:$F$1993,MATCH(A11&amp;"ENTRADA",Movimientos!$S$2:$S$1993,0)),"-"))</f>
        <v>Raigrás</v>
      </c>
      <c r="E11" s="3" t="str">
        <f>IF(A11="","",IFERROR(INDEX(Movimientos!$L$2:$L$1993,MATCH(A11&amp;"ENTRADA",Movimientos!$S$2:$S$1993,0)),"-"))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86</v>
      </c>
      <c r="B12" s="3" t="str">
        <f>IF(A12="","",IFERROR(INDEX(Movimientos!$D$2:$D$1993,MATCH(A12&amp;"ENTRADA",Movimientos!$S$2:$S$1993,0)),"-"))</f>
        <v>Fluroxypyr Meptil 45,52%</v>
      </c>
      <c r="C12" s="3" t="str">
        <f>IF(A12="","",IFERROR(INDEX(Movimientos!$E$2:$E$1993,MATCH(A12&amp;"ENTRADA",Movimientos!$S$2:$S$1993,0)),"-"))</f>
        <v>Herbicida</v>
      </c>
      <c r="D12" s="3" t="str">
        <f>IF(A12="","",IFERROR(INDEX(Movimientos!$F$2:$F$1993,MATCH(A12&amp;"ENTRADA",Movimientos!$S$2:$S$1993,0)),"-"))</f>
        <v>Postemergente</v>
      </c>
      <c r="E12" s="3" t="str">
        <f>IF(A12="","",IFERROR(INDEX(Movimientos!$L$2:$L$1993,MATCH(A12&amp;"ENTRADA",Movimientos!$S$2:$S$1993,0)),"-"))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90</v>
      </c>
      <c r="B13" s="3" t="str">
        <f>IF(A13="","",IFERROR(INDEX(Movimientos!$D$2:$D$1993,MATCH(A13&amp;"ENTRADA",Movimientos!$S$2:$S$1993,0)),"-"))</f>
        <v>Fluroxypyr meptyl 34,91% + Halauxyfen methyl 1.64% + Cloquintocet mexyl 1.57%</v>
      </c>
      <c r="C13" s="3" t="str">
        <f>IF(A13="","",IFERROR(INDEX(Movimientos!$E$2:$E$1993,MATCH(A13&amp;"ENTRADA",Movimientos!$S$2:$S$1993,0)),"-"))</f>
        <v>Herbicida</v>
      </c>
      <c r="D13" s="3" t="str">
        <f>IF(A13="","",IFERROR(INDEX(Movimientos!$F$2:$F$1993,MATCH(A13&amp;"ENTRADA",Movimientos!$S$2:$S$1993,0)),"-"))</f>
        <v>Postemergente</v>
      </c>
      <c r="E13" s="3" t="str">
        <f>IF(A13="","",IFERROR(INDEX(Movimientos!$L$2:$L$1993,MATCH(A13&amp;"ENTRADA",Movimientos!$S$2:$S$1993,0)),"-"))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5455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112</v>
      </c>
      <c r="B14" s="3" t="str">
        <f>IF(A14="","",IFERROR(INDEX(Movimientos!$D$2:$D$1993,MATCH(A14&amp;"ENTRADA",Movimientos!$S$2:$S$1993,0)),"-"))</f>
        <v>APOLO CL</v>
      </c>
      <c r="C14" s="3" t="str">
        <f>IF(A14="","",IFERROR(INDEX(Movimientos!$E$2:$E$1993,MATCH(A14&amp;"ENTRADA",Movimientos!$S$2:$S$1993,0)),"-"))</f>
        <v>Semilla</v>
      </c>
      <c r="D14" s="3" t="str">
        <f>IF(A14="","",IFERROR(INDEX(Movimientos!$F$2:$F$1993,MATCH(A14&amp;"ENTRADA",Movimientos!$S$2:$S$1993,0)),"-"))</f>
        <v>Colza</v>
      </c>
      <c r="E14" s="3" t="str">
        <f>IF(A14="","",IFERROR(INDEX(Movimientos!$L$2:$L$1993,MATCH(A14&amp;"ENTRADA",Movimientos!$S$2:$S$1993,0)),"-"))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108</v>
      </c>
      <c r="B15" s="3" t="str">
        <f>IF(A15="","",IFERROR(INDEX(Movimientos!$D$2:$D$1993,MATCH(A15&amp;"ENTRADA",Movimientos!$S$2:$S$1993,0)),"-"))</f>
        <v>HYOLA 575 CL</v>
      </c>
      <c r="C15" s="3" t="str">
        <f>IF(A15="","",IFERROR(INDEX(Movimientos!$E$2:$E$1993,MATCH(A15&amp;"ENTRADA",Movimientos!$S$2:$S$1993,0)),"-"))</f>
        <v>Semilla</v>
      </c>
      <c r="D15" s="3" t="str">
        <f>IF(A15="","",IFERROR(INDEX(Movimientos!$F$2:$F$1993,MATCH(A15&amp;"ENTRADA",Movimientos!$S$2:$S$1993,0)),"-"))</f>
        <v>Colza</v>
      </c>
      <c r="E15" s="3" t="str">
        <f>IF(A15="","",IFERROR(INDEX(Movimientos!$L$2:$L$1993,MATCH(A15&amp;"ENTRADA",Movimientos!$S$2:$S$1993,0)),"-"))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115</v>
      </c>
      <c r="B16" s="3" t="str">
        <f>IF(A16="","",IFERROR(INDEX(Movimientos!$D$2:$D$1993,MATCH(A16&amp;"ENTRADA",Movimientos!$S$2:$S$1993,0)),"-"))</f>
        <v>Glifosato Sal DMA 608 g/L. Equivalente en glifosato 480 g/L</v>
      </c>
      <c r="C16" s="3" t="str">
        <f>IF(A16="","",IFERROR(INDEX(Movimientos!$E$2:$E$1993,MATCH(A16&amp;"ENTRADA",Movimientos!$S$2:$S$1993,0)),"-"))</f>
        <v>Herbicida</v>
      </c>
      <c r="D16" s="3" t="str">
        <f>IF(A16="","",IFERROR(INDEX(Movimientos!$F$2:$F$1993,MATCH(A16&amp;"ENTRADA",Movimientos!$S$2:$S$1993,0)),"-"))</f>
        <v>Postemergente</v>
      </c>
      <c r="E16" s="3" t="str">
        <f>IF(A16="","",IFERROR(INDEX(Movimientos!$L$2:$L$1993,MATCH(A16&amp;"ENTRADA",Movimientos!$S$2:$S$1993,0)),"-"))</f>
        <v>L</v>
      </c>
      <c r="F16" s="8">
        <f>IF(A16="","",COUNTIFS(Stock_por_Lote!$B:$B,A16,Stock_por_Lote!$J:$J,"&gt;0"))</f>
        <v>2</v>
      </c>
      <c r="G16" s="9">
        <f>IF(A16="","",SUMIFS(Movimientos!$K:$K,Movimientos!$C:$C,A16))</f>
        <v>48460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122</v>
      </c>
      <c r="B17" s="3" t="str">
        <f>IF(A17="","",IFERROR(INDEX(Movimientos!$D$2:$D$1993,MATCH(A17&amp;"ENTRADA",Movimientos!$S$2:$S$1993,0)),"-"))</f>
        <v>Clethodim 240 g/L</v>
      </c>
      <c r="C17" s="3" t="str">
        <f>IF(A17="","",IFERROR(INDEX(Movimientos!$E$2:$E$1993,MATCH(A17&amp;"ENTRADA",Movimientos!$S$2:$S$1993,0)),"-"))</f>
        <v>Herbicida</v>
      </c>
      <c r="D17" s="3" t="str">
        <f>IF(A17="","",IFERROR(INDEX(Movimientos!$F$2:$F$1993,MATCH(A17&amp;"ENTRADA",Movimientos!$S$2:$S$1993,0)),"-"))</f>
        <v>Postemergente</v>
      </c>
      <c r="E17" s="3" t="str">
        <f>IF(A17="","",IFERROR(INDEX(Movimientos!$L$2:$L$1993,MATCH(A17&amp;"ENTRADA",Movimientos!$S$2:$S$1993,0)),"-"))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2490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130</v>
      </c>
      <c r="B18" s="3" t="str">
        <f>IF(A18="","",IFERROR(INDEX(Movimientos!$D$2:$D$1993,MATCH(A18&amp;"ENTRADA",Movimientos!$S$2:$S$1993,0)),"-"))</f>
        <v>ALCOHOL LINEAL ETOXILADO 32.7%</v>
      </c>
      <c r="C18" s="3" t="str">
        <f>IF(A18="","",IFERROR(INDEX(Movimientos!$E$2:$E$1993,MATCH(A18&amp;"ENTRADA",Movimientos!$S$2:$S$1993,0)),"-"))</f>
        <v>Coadyuvante</v>
      </c>
      <c r="D18" s="3">
        <f>IF(A18="","",IFERROR(INDEX(Movimientos!$F$2:$F$1993,MATCH(A18&amp;"ENTRADA",Movimientos!$S$2:$S$1993,0)),"-"))</f>
        <v>0</v>
      </c>
      <c r="E18" s="3" t="str">
        <f>IF(A18="","",IFERROR(INDEX(Movimientos!$L$2:$L$1993,MATCH(A18&amp;"ENTRADA",Movimientos!$S$2:$S$1993,0)),"-"))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7835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137</v>
      </c>
      <c r="B19" s="3" t="str">
        <f>IF(A19="","",IFERROR(INDEX(Movimientos!$D$2:$D$1993,MATCH(A19&amp;"ENTRADA",Movimientos!$S$2:$S$1993,0)),"-"))</f>
        <v>ACIDO FOSFORICO 23 g</v>
      </c>
      <c r="C19" s="3" t="str">
        <f>IF(A19="","",IFERROR(INDEX(Movimientos!$E$2:$E$1993,MATCH(A19&amp;"ENTRADA",Movimientos!$S$2:$S$1993,0)),"-"))</f>
        <v>Coadyuvante</v>
      </c>
      <c r="D19" s="3">
        <f>IF(A19="","",IFERROR(INDEX(Movimientos!$F$2:$F$1993,MATCH(A19&amp;"ENTRADA",Movimientos!$S$2:$S$1993,0)),"-"))</f>
        <v>0</v>
      </c>
      <c r="E19" s="3" t="str">
        <f>IF(A19="","",IFERROR(INDEX(Movimientos!$L$2:$L$1993,MATCH(A19&amp;"ENTRADA",Movimientos!$S$2:$S$1993,0)),"-"))</f>
        <v>L</v>
      </c>
      <c r="F19" s="8">
        <f>IF(A19="","",COUNTIFS(Stock_por_Lote!$B:$B,A19,Stock_por_Lote!$J:$J,"&gt;0"))</f>
        <v>0</v>
      </c>
      <c r="G19" s="9">
        <f>IF(A19="","",SUMIFS(Movimientos!$K:$K,Movimientos!$C:$C,A19))</f>
        <v>1764</v>
      </c>
      <c r="H19" s="14" t="str">
        <f>IF(A19="","",IFERROR(IF(_xlfn.MINIFS(Stock_por_Lote!$H:$H,Stock_por_Lote!$B:$B,A19,Stock_por_Lote!$J:$J,"&gt;0")=0,"S/D",_xlfn.MINIFS(Stock_por_Lote!$H:$H,Stock_por_Lote!$B:$B,A19,Stock_por_Lote!$J:$J,"&gt;0")),"S/D"))</f>
        <v>S/D</v>
      </c>
    </row>
    <row r="20" spans="1:8">
      <c r="A20" t="s">
        <v>141</v>
      </c>
      <c r="B20" s="3" t="str">
        <f>IF(A20="","",IFERROR(INDEX(Movimientos!$D$2:$D$1993,MATCH(A20&amp;"ENTRADA",Movimientos!$S$2:$S$1993,0)),"-"))</f>
        <v>ACEITE DE SOJA 48 g</v>
      </c>
      <c r="C20" s="3" t="str">
        <f>IF(A20="","",IFERROR(INDEX(Movimientos!$E$2:$E$1993,MATCH(A20&amp;"ENTRADA",Movimientos!$S$2:$S$1993,0)),"-"))</f>
        <v>Coadyuvante</v>
      </c>
      <c r="D20" s="3">
        <f>IF(A20="","",IFERROR(INDEX(Movimientos!$F$2:$F$1993,MATCH(A20&amp;"ENTRADA",Movimientos!$S$2:$S$1993,0)),"-"))</f>
        <v>0</v>
      </c>
      <c r="E20" s="3" t="str">
        <f>IF(A20="","",IFERROR(INDEX(Movimientos!$L$2:$L$1993,MATCH(A20&amp;"ENTRADA",Movimientos!$S$2:$S$1993,0)),"-"))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375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147</v>
      </c>
      <c r="B21" s="3" t="str">
        <f>IF(A21="","",IFERROR(INDEX(Movimientos!$D$2:$D$1993,MATCH(A21&amp;"ENTRADA",Movimientos!$S$2:$S$1993,0)),"-"))</f>
        <v>PINOXADEN 5 GR + CLOQUINTOCET-MEXIL 1.25 GR</v>
      </c>
      <c r="C21" s="3" t="str">
        <f>IF(A21="","",IFERROR(INDEX(Movimientos!$E$2:$E$1993,MATCH(A21&amp;"ENTRADA",Movimientos!$S$2:$S$1993,0)),"-"))</f>
        <v>Herbicida</v>
      </c>
      <c r="D21" s="3" t="str">
        <f>IF(A21="","",IFERROR(INDEX(Movimientos!$F$2:$F$1993,MATCH(A21&amp;"ENTRADA",Movimientos!$S$2:$S$1993,0)),"-"))</f>
        <v>Postemergente</v>
      </c>
      <c r="E21" s="3" t="str">
        <f>IF(A21="","",IFERROR(INDEX(Movimientos!$L$2:$L$1993,MATCH(A21&amp;"ENTRADA",Movimientos!$S$2:$S$1993,0)),"-"))</f>
        <v>L</v>
      </c>
      <c r="F21" s="8">
        <f>IF(A21="","",COUNTIFS(Stock_por_Lote!$B:$B,A21,Stock_por_Lote!$J:$J,"&gt;0"))</f>
        <v>0</v>
      </c>
      <c r="G21" s="9">
        <f>IF(A21="","",SUMIFS(Movimientos!$K:$K,Movimientos!$C:$C,A21))</f>
        <v>0</v>
      </c>
      <c r="H21" s="14" t="str">
        <f>IF(A21="","",IFERROR(IF(_xlfn.MINIFS(Stock_por_Lote!$H:$H,Stock_por_Lote!$B:$B,A21,Stock_por_Lote!$J:$J,"&gt;0")=0,"S/D",_xlfn.MINIFS(Stock_por_Lote!$H:$H,Stock_por_Lote!$B:$B,A21,Stock_por_Lote!$J:$J,"&gt;0")),"S/D"))</f>
        <v>S/D</v>
      </c>
    </row>
    <row r="22" spans="1:8">
      <c r="A22" t="s">
        <v>156</v>
      </c>
      <c r="B22" s="3" t="str">
        <f>IF(A22="","",IFERROR(INDEX(Movimientos!$D$2:$D$1993,MATCH(A22&amp;"ENTRADA",Movimientos!$S$2:$S$1993,0)),"-"))</f>
        <v>Nuola 300</v>
      </c>
      <c r="C22" s="3" t="str">
        <f>IF(A22="","",IFERROR(INDEX(Movimientos!$E$2:$E$1993,MATCH(A22&amp;"ENTRADA",Movimientos!$S$2:$S$1993,0)),"-"))</f>
        <v>Semilla</v>
      </c>
      <c r="D22" s="3" t="str">
        <f>IF(A22="","",IFERROR(INDEX(Movimientos!$F$2:$F$1993,MATCH(A22&amp;"ENTRADA",Movimientos!$S$2:$S$1993,0)),"-"))</f>
        <v>Colza</v>
      </c>
      <c r="E22" s="3" t="str">
        <f>IF(A22="","",IFERROR(INDEX(Movimientos!$L$2:$L$1993,MATCH(A22&amp;"ENTRADA",Movimientos!$S$2:$S$1993,0)),"-"))</f>
        <v>kg</v>
      </c>
      <c r="F22" s="8">
        <f>IF(A22="","",COUNTIFS(Stock_por_Lote!$B:$B,A22,Stock_por_Lote!$J:$J,"&gt;0"))</f>
        <v>0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160</v>
      </c>
      <c r="B23" s="3" t="str">
        <f>IF(A23="","",IFERROR(INDEX(Movimientos!$D$2:$D$1993,MATCH(A23&amp;"ENTRADA",Movimientos!$S$2:$S$1993,0)),"-"))</f>
        <v>Ceres IMI</v>
      </c>
      <c r="C23" s="3" t="str">
        <f>IF(A23="","",IFERROR(INDEX(Movimientos!$E$2:$E$1993,MATCH(A23&amp;"ENTRADA",Movimientos!$S$2:$S$1993,0)),"-"))</f>
        <v>Semilla</v>
      </c>
      <c r="D23" s="3" t="str">
        <f>IF(A23="","",IFERROR(INDEX(Movimientos!$F$2:$F$1993,MATCH(A23&amp;"ENTRADA",Movimientos!$S$2:$S$1993,0)),"-"))</f>
        <v>Colza</v>
      </c>
      <c r="E23" s="3" t="str">
        <f>IF(A23="","",IFERROR(INDEX(Movimientos!$L$2:$L$1993,MATCH(A23&amp;"ENTRADA",Movimientos!$S$2:$S$1993,0)),"-"))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164</v>
      </c>
      <c r="B24" s="3" t="str">
        <f>IF(A24="","",IFERROR(INDEX(Movimientos!$D$2:$D$1993,MATCH(A24&amp;"ENTRADA",Movimientos!$S$2:$S$1993,0)),"-"))</f>
        <v>Festuca Carape</v>
      </c>
      <c r="C24" s="3" t="str">
        <f>IF(A24="","",IFERROR(INDEX(Movimientos!$E$2:$E$1993,MATCH(A24&amp;"ENTRADA",Movimientos!$S$2:$S$1993,0)),"-"))</f>
        <v>Semilla</v>
      </c>
      <c r="D24" s="3" t="str">
        <f>IF(A24="","",IFERROR(INDEX(Movimientos!$F$2:$F$1993,MATCH(A24&amp;"ENTRADA",Movimientos!$S$2:$S$1993,0)),"-"))</f>
        <v>Festuca</v>
      </c>
      <c r="E24" s="3" t="str">
        <f>IF(A24="","",IFERROR(INDEX(Movimientos!$L$2:$L$1993,MATCH(A24&amp;"ENTRADA",Movimientos!$S$2:$S$1993,0)),"-"))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168</v>
      </c>
      <c r="B25" s="3" t="str">
        <f>IF(A25="","",IFERROR(INDEX(Movimientos!$D$2:$D$1993,MATCH(A25&amp;"ENTRADA",Movimientos!$S$2:$S$1993,0)),"-"))</f>
        <v>Alfalfa Verdor momla 384-2n-04</v>
      </c>
      <c r="C25" s="3" t="str">
        <f>IF(A25="","",IFERROR(INDEX(Movimientos!$E$2:$E$1993,MATCH(A25&amp;"ENTRADA",Movimientos!$S$2:$S$1993,0)),"-"))</f>
        <v>Semilla</v>
      </c>
      <c r="D25" s="3" t="str">
        <f>IF(A25="","",IFERROR(INDEX(Movimientos!$F$2:$F$1993,MATCH(A25&amp;"ENTRADA",Movimientos!$S$2:$S$1993,0)),"-"))</f>
        <v>Alfalfa</v>
      </c>
      <c r="E25" s="3" t="str">
        <f>IF(A25="","",IFERROR(INDEX(Movimientos!$L$2:$L$1993,MATCH(A25&amp;"ENTRADA",Movimientos!$S$2:$S$1993,0)),"-"))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172</v>
      </c>
      <c r="B26" s="3" t="str">
        <f>IF(A26="","",IFERROR(INDEX(Movimientos!$D$2:$D$1993,MATCH(A26&amp;"ENTRADA",Movimientos!$S$2:$S$1993,0)),"-"))</f>
        <v xml:space="preserve">Achicora inia nova </v>
      </c>
      <c r="C26" s="3" t="str">
        <f>IF(A26="","",IFERROR(INDEX(Movimientos!$E$2:$E$1993,MATCH(A26&amp;"ENTRADA",Movimientos!$S$2:$S$1993,0)),"-"))</f>
        <v>Semilla</v>
      </c>
      <c r="D26" s="3" t="str">
        <f>IF(A26="","",IFERROR(INDEX(Movimientos!$F$2:$F$1993,MATCH(A26&amp;"ENTRADA",Movimientos!$S$2:$S$1993,0)),"-"))</f>
        <v>Achicoria</v>
      </c>
      <c r="E26" s="3" t="str">
        <f>IF(A26="","",IFERROR(INDEX(Movimientos!$L$2:$L$1993,MATCH(A26&amp;"ENTRADA",Movimientos!$S$2:$S$1993,0)),"-"))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178</v>
      </c>
      <c r="B27" s="3" t="str">
        <f>IF(A27="","",IFERROR(INDEX(Movimientos!$D$2:$D$1993,MATCH(A27&amp;"ENTRADA",Movimientos!$S$2:$S$1993,0)),"-"))</f>
        <v>Festuca Sortija C2</v>
      </c>
      <c r="C27" s="3" t="str">
        <f>IF(A27="","",IFERROR(INDEX(Movimientos!$E$2:$E$1993,MATCH(A27&amp;"ENTRADA",Movimientos!$S$2:$S$1993,0)),"-"))</f>
        <v>Semilla</v>
      </c>
      <c r="D27" s="3" t="str">
        <f>IF(A27="","",IFERROR(INDEX(Movimientos!$F$2:$F$1993,MATCH(A27&amp;"ENTRADA",Movimientos!$S$2:$S$1993,0)),"-"))</f>
        <v>Festuca</v>
      </c>
      <c r="E27" s="3" t="str">
        <f>IF(A27="","",IFERROR(INDEX(Movimientos!$L$2:$L$1993,MATCH(A27&amp;"ENTRADA",Movimientos!$S$2:$S$1993,0)),"-"))</f>
        <v>kg</v>
      </c>
      <c r="F27" s="8">
        <f>IF(A27="","",COUNTIFS(Stock_por_Lote!$B:$B,A27,Stock_por_Lote!$J:$J,"&gt;0"))</f>
        <v>0</v>
      </c>
      <c r="G27" s="9">
        <f>IF(A27="","",SUMIFS(Movimientos!$K:$K,Movimientos!$C:$C,A27))</f>
        <v>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182</v>
      </c>
      <c r="B28" s="3" t="str">
        <f>IF(A28="","",IFERROR(INDEX(Movimientos!$D$2:$D$1993,MATCH(A28&amp;"ENTRADA",Movimientos!$S$2:$S$1993,0)),"-"))</f>
        <v>Dactylis Drover ecotec af gram c2</v>
      </c>
      <c r="C28" s="3" t="str">
        <f>IF(A28="","",IFERROR(INDEX(Movimientos!$E$2:$E$1993,MATCH(A28&amp;"ENTRADA",Movimientos!$S$2:$S$1993,0)),"-"))</f>
        <v>Semilla</v>
      </c>
      <c r="D28" s="3" t="str">
        <f>IF(A28="","",IFERROR(INDEX(Movimientos!$F$2:$F$1993,MATCH(A28&amp;"ENTRADA",Movimientos!$S$2:$S$1993,0)),"-"))</f>
        <v>Dactylis</v>
      </c>
      <c r="E28" s="3" t="str">
        <f>IF(A28="","",IFERROR(INDEX(Movimientos!$L$2:$L$1993,MATCH(A28&amp;"ENTRADA",Movimientos!$S$2:$S$1993,0)),"-"))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50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186</v>
      </c>
      <c r="B29" s="3" t="str">
        <f>IF(A29="","",IFERROR(INDEX(Movimientos!$D$2:$D$1993,MATCH(A29&amp;"ENTRADA",Movimientos!$S$2:$S$1993,0)),"-"))</f>
        <v>Trebol Blanco E Zapican Ecotec AF</v>
      </c>
      <c r="C29" s="3" t="str">
        <f>IF(A29="","",IFERROR(INDEX(Movimientos!$E$2:$E$1993,MATCH(A29&amp;"ENTRADA",Movimientos!$S$2:$S$1993,0)),"-"))</f>
        <v>Semilla</v>
      </c>
      <c r="D29" s="3" t="str">
        <f>IF(A29="","",IFERROR(INDEX(Movimientos!$F$2:$F$1993,MATCH(A29&amp;"ENTRADA",Movimientos!$S$2:$S$1993,0)),"-"))</f>
        <v>Trebol Blanco</v>
      </c>
      <c r="E29" s="3" t="str">
        <f>IF(A29="","",IFERROR(INDEX(Movimientos!$L$2:$L$1993,MATCH(A29&amp;"ENTRADA",Movimientos!$S$2:$S$1993,0)),"-"))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190</v>
      </c>
      <c r="B30" s="3" t="str">
        <f>IF(A30="","",IFERROR(INDEX(Movimientos!$D$2:$D$1993,MATCH(A30&amp;"ENTRADA",Movimientos!$S$2:$S$1993,0)),"-"))</f>
        <v>Trebol Rojo E116 Ecotec AF</v>
      </c>
      <c r="C30" s="3" t="str">
        <f>IF(A30="","",IFERROR(INDEX(Movimientos!$E$2:$E$1993,MATCH(A30&amp;"ENTRADA",Movimientos!$S$2:$S$1993,0)),"-"))</f>
        <v>Semilla</v>
      </c>
      <c r="D30" s="3" t="str">
        <f>IF(A30="","",IFERROR(INDEX(Movimientos!$F$2:$F$1993,MATCH(A30&amp;"ENTRADA",Movimientos!$S$2:$S$1993,0)),"-"))</f>
        <v xml:space="preserve">Trebol Rojo </v>
      </c>
      <c r="E30" s="3" t="str">
        <f>IF(A30="","",IFERROR(INDEX(Movimientos!$L$2:$L$1993,MATCH(A30&amp;"ENTRADA",Movimientos!$S$2:$S$1993,0)),"-"))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194</v>
      </c>
      <c r="B31" s="3" t="str">
        <f>IF(A31="","",IFERROR(INDEX(Movimientos!$D$2:$D$1993,MATCH(A31&amp;"ENTRADA",Movimientos!$S$2:$S$1993,0)),"-"))</f>
        <v>Phalaris Stockman Comb</v>
      </c>
      <c r="C31" s="3" t="str">
        <f>IF(A31="","",IFERROR(INDEX(Movimientos!$E$2:$E$1993,MATCH(A31&amp;"ENTRADA",Movimientos!$S$2:$S$1993,0)),"-"))</f>
        <v>Semilla</v>
      </c>
      <c r="D31" s="3" t="str">
        <f>IF(A31="","",IFERROR(INDEX(Movimientos!$F$2:$F$1993,MATCH(A31&amp;"ENTRADA",Movimientos!$S$2:$S$1993,0)),"-"))</f>
        <v>Phalaris</v>
      </c>
      <c r="E31" s="3" t="str">
        <f>IF(A31="","",IFERROR(INDEX(Movimientos!$L$2:$L$1993,MATCH(A31&amp;"ENTRADA",Movimientos!$S$2:$S$1993,0)),"-"))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228</v>
      </c>
      <c r="B32" s="3" t="str">
        <f>IF(A32="","",IFERROR(INDEX(Movimientos!$D$2:$D$1993,MATCH(A32&amp;"ENTRADA",Movimientos!$S$2:$S$1993,0)),"-"))</f>
        <v>Continuum CL</v>
      </c>
      <c r="C32" s="3" t="str">
        <f>IF(A32="","",IFERROR(INDEX(Movimientos!$E$2:$E$1993,MATCH(A32&amp;"ENTRADA",Movimientos!$S$2:$S$1993,0)),"-"))</f>
        <v>Semilla</v>
      </c>
      <c r="D32" s="3" t="str">
        <f>IF(A32="","",IFERROR(INDEX(Movimientos!$F$2:$F$1993,MATCH(A32&amp;"ENTRADA",Movimientos!$S$2:$S$1993,0)),"-"))</f>
        <v>Colza</v>
      </c>
      <c r="E32" s="3" t="str">
        <f>IF(A32="","",IFERROR(INDEX(Movimientos!$L$2:$L$1993,MATCH(A32&amp;"ENTRADA",Movimientos!$S$2:$S$1993,0)),"-"))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231</v>
      </c>
      <c r="B33" s="3" t="str">
        <f>IF(A33="","",IFERROR(INDEX(Movimientos!$D$2:$D$1993,MATCH(A33&amp;"ENTRADA",Movimientos!$S$2:$S$1993,0)),"-"))</f>
        <v>Colza Hyola Solstice cl</v>
      </c>
      <c r="C33" s="3" t="str">
        <f>IF(A33="","",IFERROR(INDEX(Movimientos!$E$2:$E$1993,MATCH(A33&amp;"ENTRADA",Movimientos!$S$2:$S$1993,0)),"-"))</f>
        <v>Semilla</v>
      </c>
      <c r="D33" s="3" t="str">
        <f>IF(A33="","",IFERROR(INDEX(Movimientos!$F$2:$F$1993,MATCH(A33&amp;"ENTRADA",Movimientos!$S$2:$S$1993,0)),"-"))</f>
        <v>Colza</v>
      </c>
      <c r="E33" s="3" t="str">
        <f>IF(A33="","",IFERROR(INDEX(Movimientos!$L$2:$L$1993,MATCH(A33&amp;"ENTRADA",Movimientos!$S$2:$S$1993,0)),"-"))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126</v>
      </c>
      <c r="B34" s="3" t="str">
        <f>IF(A34="","",IFERROR(INDEX(Movimientos!$D$2:$D$1993,MATCH(A34&amp;"ENTRADA",Movimientos!$S$2:$S$1993,0)),"-"))</f>
        <v xml:space="preserve">Avena propia </v>
      </c>
      <c r="C34" s="3" t="str">
        <f>IF(A34="","",IFERROR(INDEX(Movimientos!$E$2:$E$1993,MATCH(A34&amp;"ENTRADA",Movimientos!$S$2:$S$1993,0)),"-"))</f>
        <v>Semilla</v>
      </c>
      <c r="D34" s="3" t="str">
        <f>IF(A34="","",IFERROR(INDEX(Movimientos!$F$2:$F$1993,MATCH(A34&amp;"ENTRADA",Movimientos!$S$2:$S$1993,0)),"-"))</f>
        <v>Avena</v>
      </c>
      <c r="E34" s="3" t="str">
        <f>IF(A34="","",IFERROR(INDEX(Movimientos!$L$2:$L$1993,MATCH(A34&amp;"ENTRADA",Movimientos!$S$2:$S$1993,0)),"-"))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245</v>
      </c>
      <c r="B35" s="3" t="str">
        <f>IF(A35="","",IFERROR(INDEX(Movimientos!$D$2:$D$1993,MATCH(A35&amp;"ENTRADA",Movimientos!$S$2:$S$1993,0)),"-"))</f>
        <v>Imazapir sal isopropilamina 24,2%</v>
      </c>
      <c r="C35" s="3" t="str">
        <f>IF(A35="","",IFERROR(INDEX(Movimientos!$E$2:$E$1993,MATCH(A35&amp;"ENTRADA",Movimientos!$S$2:$S$1993,0)),"-"))</f>
        <v>Herbicida</v>
      </c>
      <c r="D35" s="3" t="str">
        <f>IF(A35="","",IFERROR(INDEX(Movimientos!$F$2:$F$1993,MATCH(A35&amp;"ENTRADA",Movimientos!$S$2:$S$1993,0)),"-"))</f>
        <v>Postemergente</v>
      </c>
      <c r="E35" s="3" t="str">
        <f>IF(A35="","",IFERROR(INDEX(Movimientos!$L$2:$L$1993,MATCH(A35&amp;"ENTRADA",Movimientos!$S$2:$S$1993,0)),"-"))</f>
        <v>L</v>
      </c>
      <c r="F35" s="8">
        <f>IF(A35="","",COUNTIFS(Stock_por_Lote!$B:$B,A35,Stock_por_Lote!$J:$J,"&gt;0"))</f>
        <v>0</v>
      </c>
      <c r="G35" s="9">
        <f>IF(A35="","",SUMIFS(Movimientos!$K:$K,Movimientos!$C:$C,A35))</f>
        <v>0</v>
      </c>
      <c r="H35" s="14" t="str">
        <f>IF(A35="","",IFERROR(IF(_xlfn.MINIFS(Stock_por_Lote!$H:$H,Stock_por_Lote!$B:$B,A35,Stock_por_Lote!$J:$J,"&gt;0")=0,"S/D",_xlfn.MINIFS(Stock_por_Lote!$H:$H,Stock_por_Lote!$B:$B,A35,Stock_por_Lote!$J:$J,"&gt;0")),"S/D"))</f>
        <v>S/D</v>
      </c>
    </row>
    <row r="36" spans="1:8">
      <c r="A36" t="s">
        <v>249</v>
      </c>
      <c r="B36" s="3" t="str">
        <f>IF(A36="","",IFERROR(INDEX(Movimientos!$D$2:$D$1993,MATCH(A36&amp;"ENTRADA",Movimientos!$S$2:$S$1993,0)),"-"))</f>
        <v>Esteres metílicos de aceite vegetal 42,5%</v>
      </c>
      <c r="C36" s="3" t="str">
        <f>IF(A36="","",IFERROR(INDEX(Movimientos!$E$2:$E$1993,MATCH(A36&amp;"ENTRADA",Movimientos!$S$2:$S$1993,0)),"-"))</f>
        <v>Coadyuvante</v>
      </c>
      <c r="D36" s="3">
        <f>IF(A36="","",IFERROR(INDEX(Movimientos!$F$2:$F$1993,MATCH(A36&amp;"ENTRADA",Movimientos!$S$2:$S$1993,0)),"-"))</f>
        <v>0</v>
      </c>
      <c r="E36" s="3" t="str">
        <f>IF(A36="","",IFERROR(INDEX(Movimientos!$L$2:$L$1993,MATCH(A36&amp;"ENTRADA",Movimientos!$S$2:$S$1993,0)),"-"))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264</v>
      </c>
      <c r="B37" s="3" t="str">
        <f>IF(A37="","",IFERROR(INDEX(Movimientos!$D$2:$D$1993,MATCH(A37&amp;"ENTRADA",Movimientos!$S$2:$S$1993,0)),"-"))</f>
        <v>Alfalfa latte 920 gen protect plus</v>
      </c>
      <c r="C37" s="3" t="str">
        <f>IF(A37="","",IFERROR(INDEX(Movimientos!$E$2:$E$1993,MATCH(A37&amp;"ENTRADA",Movimientos!$S$2:$S$1993,0)),"-"))</f>
        <v>Semilla</v>
      </c>
      <c r="D37" s="3" t="str">
        <f>IF(A37="","",IFERROR(INDEX(Movimientos!$F$2:$F$1993,MATCH(A37&amp;"ENTRADA",Movimientos!$S$2:$S$1993,0)),"-"))</f>
        <v>Alfalfa</v>
      </c>
      <c r="E37" s="3" t="str">
        <f>IF(A37="","",IFERROR(INDEX(Movimientos!$L$2:$L$1993,MATCH(A37&amp;"ENTRADA",Movimientos!$S$2:$S$1993,0)),"-"))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A38" t="s">
        <v>527</v>
      </c>
      <c r="B38" s="3" t="str">
        <f>IF(A38="","",IFERROR(INDEX(Movimientos!$D$2:$D$1993,MATCH(A38&amp;"ENTRADA",Movimientos!$S$2:$S$1993,0)),"-"))</f>
        <v xml:space="preserve">fertilizante foliar </v>
      </c>
      <c r="C38" s="3" t="str">
        <f>IF(A38="","",IFERROR(INDEX(Movimientos!$E$2:$E$1993,MATCH(A38&amp;"ENTRADA",Movimientos!$S$2:$S$1993,0)),"-"))</f>
        <v>Fertilizante</v>
      </c>
      <c r="D38" s="3">
        <f>IF(A38="","",IFERROR(INDEX(Movimientos!$F$2:$F$1993,MATCH(A38&amp;"ENTRADA",Movimientos!$S$2:$S$1993,0)),"-"))</f>
        <v>0</v>
      </c>
      <c r="E38" s="3" t="str">
        <f>IF(A38="","",IFERROR(INDEX(Movimientos!$L$2:$L$1993,MATCH(A38&amp;"ENTRADA",Movimientos!$S$2:$S$1993,0)),"-"))</f>
        <v>kg</v>
      </c>
      <c r="F38" s="8">
        <f>IF(A38="","",COUNTIFS(Stock_por_Lote!$B:$B,A38,Stock_por_Lote!$J:$J,"&gt;0"))</f>
        <v>0</v>
      </c>
      <c r="G38" s="9">
        <f>IF(A38="","",SUMIFS(Movimientos!$K:$K,Movimientos!$C:$C,A38))</f>
        <v>0</v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>S/D</v>
      </c>
    </row>
    <row r="39" spans="1:8" ht="14.25">
      <c r="A39" t="s">
        <v>267</v>
      </c>
      <c r="B39" s="3" t="str">
        <f>IF(A39="","",IFERROR(INDEX(Movimientos!$D$2:$D$1993,MATCH(A39&amp;"ENTRADA",Movimientos!$S$2:$S$1993,0)),"-"))</f>
        <v>Colza 45y95cl</v>
      </c>
      <c r="C39" s="3" t="str">
        <f>IF(A39="","",IFERROR(INDEX(Movimientos!$E$2:$E$1993,MATCH(A39&amp;"ENTRADA",Movimientos!$S$2:$S$1993,0)),"-"))</f>
        <v>Semilla</v>
      </c>
      <c r="D39" s="3" t="str">
        <f>IF(A39="","",IFERROR(INDEX(Movimientos!$F$2:$F$1993,MATCH(A39&amp;"ENTRADA",Movimientos!$S$2:$S$1993,0)),"-"))</f>
        <v>Colza</v>
      </c>
      <c r="E39" s="3" t="str">
        <f>IF(A39="","",IFERROR(INDEX(Movimientos!$L$2:$L$1993,MATCH(A39&amp;"ENTRADA",Movimientos!$S$2:$S$1993,0)),"-"))</f>
        <v>kg</v>
      </c>
      <c r="F39" s="8">
        <f>IF(A39="","",COUNTIFS(Stock_por_Lote!$B:$B,A39,Stock_por_Lote!$J:$J,"&gt;0"))</f>
        <v>0</v>
      </c>
      <c r="G39" s="9">
        <f>IF(A39="","",SUMIFS(Movimientos!$K:$K,Movimientos!$C:$C,A39))</f>
        <v>0</v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>S/D</v>
      </c>
    </row>
    <row r="40" spans="1:8" ht="14.25">
      <c r="A40" t="s">
        <v>283</v>
      </c>
      <c r="B40" s="3" t="str">
        <f>IF(A40="","",IFERROR(INDEX(Movimientos!$D$2:$D$1993,MATCH(A40&amp;"ENTRADA",Movimientos!$S$2:$S$1993,0)),"-"))</f>
        <v xml:space="preserve">Hydra hume </v>
      </c>
      <c r="C40" s="3" t="str">
        <f>IF(A40="","",IFERROR(INDEX(Movimientos!$E$2:$E$1993,MATCH(A40&amp;"ENTRADA",Movimientos!$S$2:$S$1993,0)),"-"))</f>
        <v>Biológico</v>
      </c>
      <c r="D40" s="3" t="str">
        <f>IF(A40="","",IFERROR(INDEX(Movimientos!$F$2:$F$1993,MATCH(A40&amp;"ENTRADA",Movimientos!$S$2:$S$1993,0)),"-"))</f>
        <v>Acidos Humicos</v>
      </c>
      <c r="E40" s="3" t="str">
        <f>IF(A40="","",IFERROR(INDEX(Movimientos!$L$2:$L$1993,MATCH(A40&amp;"ENTRADA",Movimientos!$S$2:$S$1993,0)),"-"))</f>
        <v>L</v>
      </c>
      <c r="F40" s="8">
        <f>IF(A40="","",COUNTIFS(Stock_por_Lote!$B:$B,A40,Stock_por_Lote!$J:$J,"&gt;0"))</f>
        <v>1</v>
      </c>
      <c r="G40" s="9">
        <f>IF(A40="","",SUMIFS(Movimientos!$K:$K,Movimientos!$C:$C,A40))</f>
        <v>21480</v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>S/D</v>
      </c>
    </row>
    <row r="41" spans="1:8" ht="14.25">
      <c r="A41" t="s">
        <v>70</v>
      </c>
      <c r="B41" s="3" t="str">
        <f>IF(A41="","",IFERROR(INDEX(Movimientos!$D$2:$D$1993,MATCH(A41&amp;"ENTRADA",Movimientos!$S$2:$S$1993,0)),"-"))</f>
        <v>Silobolsa 9 pies</v>
      </c>
      <c r="C41" s="3" t="str">
        <f>IF(A41="","",IFERROR(INDEX(Movimientos!$E$2:$E$1993,MATCH(A41&amp;"ENTRADA",Movimientos!$S$2:$S$1993,0)),"-"))</f>
        <v>Silobolsa</v>
      </c>
      <c r="D41" s="3">
        <f>IF(A41="","",IFERROR(INDEX(Movimientos!$F$2:$F$1993,MATCH(A41&amp;"ENTRADA",Movimientos!$S$2:$S$1993,0)),"-"))</f>
        <v>0</v>
      </c>
      <c r="E41" s="3" t="str">
        <f>IF(A41="","",IFERROR(INDEX(Movimientos!$L$2:$L$1993,MATCH(A41&amp;"ENTRADA",Movimientos!$S$2:$S$1993,0)),"-"))</f>
        <v>unidad</v>
      </c>
      <c r="F41" s="8">
        <f>IF(A41="","",COUNTIFS(Stock_por_Lote!$B:$B,A41,Stock_por_Lote!$J:$J,"&gt;0"))</f>
        <v>1</v>
      </c>
      <c r="G41" s="9">
        <f>IF(A41="","",SUMIFS(Movimientos!$K:$K,Movimientos!$C:$C,A41))</f>
        <v>30</v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>S/D</v>
      </c>
    </row>
    <row r="42" spans="1:8">
      <c r="A42" t="s">
        <v>299</v>
      </c>
      <c r="B42" s="3" t="str">
        <f>IF(A42="","",IFERROR(INDEX(Movimientos!$D$2:$D$1993,MATCH(A42&amp;"ENTRADA",Movimientos!$S$2:$S$1993,0)),"-"))</f>
        <v xml:space="preserve">festuca elodie </v>
      </c>
      <c r="C42" s="3" t="str">
        <f>IF(A42="","",IFERROR(INDEX(Movimientos!$E$2:$E$1993,MATCH(A42&amp;"ENTRADA",Movimientos!$S$2:$S$1993,0)),"-"))</f>
        <v>Semilla</v>
      </c>
      <c r="D42" s="3" t="str">
        <f>IF(A42="","",IFERROR(INDEX(Movimientos!$F$2:$F$1993,MATCH(A42&amp;"ENTRADA",Movimientos!$S$2:$S$1993,0)),"-"))</f>
        <v>Festuca</v>
      </c>
      <c r="E42" s="3" t="str">
        <f>IF(A42="","",IFERROR(INDEX(Movimientos!$L$2:$L$1993,MATCH(A42&amp;"ENTRADA",Movimientos!$S$2:$S$1993,0)),"-"))</f>
        <v>kg</v>
      </c>
      <c r="F42" s="8">
        <f>IF(A42="","",COUNTIFS(Stock_por_Lote!$B:$B,A42,Stock_por_Lote!$J:$J,"&gt;0"))</f>
        <v>0</v>
      </c>
      <c r="G42" s="9">
        <f>IF(A42="","",SUMIFS(Movimientos!$K:$K,Movimientos!$C:$C,A42))</f>
        <v>0</v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>S/D</v>
      </c>
    </row>
    <row r="43" spans="1:8">
      <c r="A43" t="s">
        <v>304</v>
      </c>
      <c r="B43" s="3" t="str">
        <f>IF(A43="","",IFERROR(INDEX(Movimientos!$D$2:$D$1993,MATCH(A43&amp;"ENTRADA",Movimientos!$S$2:$S$1993,0)),"-"))</f>
        <v xml:space="preserve">trebol blanco zapican </v>
      </c>
      <c r="C43" s="3" t="str">
        <f>IF(A43="","",IFERROR(INDEX(Movimientos!$E$2:$E$1993,MATCH(A43&amp;"ENTRADA",Movimientos!$S$2:$S$1993,0)),"-"))</f>
        <v>Semilla</v>
      </c>
      <c r="D43" s="3" t="str">
        <f>IF(A43="","",IFERROR(INDEX(Movimientos!$F$2:$F$1993,MATCH(A43&amp;"ENTRADA",Movimientos!$S$2:$S$1993,0)),"-"))</f>
        <v>Trebol Blanco</v>
      </c>
      <c r="E43" s="3" t="str">
        <f>IF(A43="","",IFERROR(INDEX(Movimientos!$L$2:$L$1993,MATCH(A43&amp;"ENTRADA",Movimientos!$S$2:$S$1993,0)),"-"))</f>
        <v>kg</v>
      </c>
      <c r="F43" s="8">
        <f>IF(A43="","",COUNTIFS(Stock_por_Lote!$B:$B,A43,Stock_por_Lote!$J:$J,"&gt;0"))</f>
        <v>1</v>
      </c>
      <c r="G43" s="9">
        <f>IF(A43="","",SUMIFS(Movimientos!$K:$K,Movimientos!$C:$C,A43))</f>
        <v>100</v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>S/D</v>
      </c>
    </row>
    <row r="44" spans="1:8">
      <c r="A44" t="s">
        <v>90</v>
      </c>
      <c r="B44" s="3" t="str">
        <f>IF(A44="","",IFERROR(INDEX(Movimientos!$D$2:$D$1993,MATCH(A44&amp;"ENTRADA",Movimientos!$S$2:$S$1993,0)),"-"))</f>
        <v>Fluroxypyr meptyl 34,91% + Halauxyfen methyl 1.64% + Cloquintocet mexyl 1.57%</v>
      </c>
      <c r="C44" s="3" t="str">
        <f>IF(A44="","",IFERROR(INDEX(Movimientos!$E$2:$E$1993,MATCH(A44&amp;"ENTRADA",Movimientos!$S$2:$S$1993,0)),"-"))</f>
        <v>Herbicida</v>
      </c>
      <c r="D44" s="3" t="str">
        <f>IF(A44="","",IFERROR(INDEX(Movimientos!$F$2:$F$1993,MATCH(A44&amp;"ENTRADA",Movimientos!$S$2:$S$1993,0)),"-"))</f>
        <v>Postemergente</v>
      </c>
      <c r="E44" s="3" t="str">
        <f>IF(A44="","",IFERROR(INDEX(Movimientos!$L$2:$L$1993,MATCH(A44&amp;"ENTRADA",Movimientos!$S$2:$S$1993,0)),"-"))</f>
        <v>L</v>
      </c>
      <c r="F44" s="8">
        <f>IF(A44="","",COUNTIFS(Stock_por_Lote!$B:$B,A44,Stock_por_Lote!$J:$J,"&gt;0"))</f>
        <v>1</v>
      </c>
      <c r="G44" s="9">
        <f>IF(A44="","",SUMIFS(Movimientos!$K:$K,Movimientos!$C:$C,A44))</f>
        <v>5455</v>
      </c>
      <c r="H44" s="14">
        <f>IF(A44="","",IFERROR(IF(_xlfn.MINIFS(Stock_por_Lote!$H:$H,Stock_por_Lote!$B:$B,A44,Stock_por_Lote!$J:$J,"&gt;0")=0,"S/D",_xlfn.MINIFS(Stock_por_Lote!$H:$H,Stock_por_Lote!$B:$B,A44,Stock_por_Lote!$J:$J,"&gt;0")),"S/D"))</f>
        <v>46801</v>
      </c>
    </row>
    <row r="45" spans="1:8" ht="14.25">
      <c r="A45" t="s">
        <v>425</v>
      </c>
      <c r="B45" s="3" t="str">
        <f>IF(A45="","",IFERROR(INDEX(Movimientos!$D$2:$D$1993,MATCH(A45&amp;"ENTRADA",Movimientos!$S$2:$S$1993,0)),"-"))</f>
        <v>semilla trigo tipa</v>
      </c>
      <c r="C45" s="3" t="str">
        <f>IF(A45="","",IFERROR(INDEX(Movimientos!$E$2:$E$1993,MATCH(A45&amp;"ENTRADA",Movimientos!$S$2:$S$1993,0)),"-"))</f>
        <v>Semilla</v>
      </c>
      <c r="D45" s="3" t="str">
        <f>IF(A45="","",IFERROR(INDEX(Movimientos!$F$2:$F$1993,MATCH(A45&amp;"ENTRADA",Movimientos!$S$2:$S$1993,0)),"-"))</f>
        <v>Trigo</v>
      </c>
      <c r="E45" s="3" t="str">
        <f>IF(A45="","",IFERROR(INDEX(Movimientos!$L$2:$L$1993,MATCH(A45&amp;"ENTRADA",Movimientos!$S$2:$S$1993,0)),"-"))</f>
        <v>kg</v>
      </c>
      <c r="F45" s="8">
        <f>IF(A45="","",COUNTIFS(Stock_por_Lote!$B:$B,A45,Stock_por_Lote!$J:$J,"&gt;0"))</f>
        <v>0</v>
      </c>
      <c r="G45" s="9">
        <f>IF(A45="","",SUMIFS(Movimientos!$K:$K,Movimientos!$C:$C,A45))</f>
        <v>0</v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>S/D</v>
      </c>
    </row>
    <row r="46" spans="1:8">
      <c r="A46" t="s">
        <v>429</v>
      </c>
      <c r="B46" s="3" t="str">
        <f>IF(A46="","",IFERROR(INDEX(Movimientos!$D$2:$D$1993,MATCH(A46&amp;"ENTRADA",Movimientos!$S$2:$S$1993,0)),"-"))</f>
        <v>semillatrigo aromo</v>
      </c>
      <c r="C46" s="3" t="str">
        <f>IF(A46="","",IFERROR(INDEX(Movimientos!$E$2:$E$1993,MATCH(A46&amp;"ENTRADA",Movimientos!$S$2:$S$1993,0)),"-"))</f>
        <v>Semilla</v>
      </c>
      <c r="D46" s="3" t="str">
        <f>IF(A46="","",IFERROR(INDEX(Movimientos!$F$2:$F$1993,MATCH(A46&amp;"ENTRADA",Movimientos!$S$2:$S$1993,0)),"-"))</f>
        <v>Trigo</v>
      </c>
      <c r="E46" s="3" t="str">
        <f>IF(A46="","",IFERROR(INDEX(Movimientos!$L$2:$L$1993,MATCH(A46&amp;"ENTRADA",Movimientos!$S$2:$S$1993,0)),"-"))</f>
        <v>kg</v>
      </c>
      <c r="F46" s="8">
        <f>IF(A46="","",COUNTIFS(Stock_por_Lote!$B:$B,A46,Stock_por_Lote!$J:$J,"&gt;0"))</f>
        <v>0</v>
      </c>
      <c r="G46" s="9">
        <f>IF(A46="","",SUMIFS(Movimientos!$K:$K,Movimientos!$C:$C,A46))</f>
        <v>0</v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>S/D</v>
      </c>
    </row>
    <row r="47" spans="1:8">
      <c r="A47" t="s">
        <v>156</v>
      </c>
      <c r="B47" s="3" t="str">
        <f>IF(A47="","",IFERROR(INDEX(Movimientos!$D$2:$D$1993,MATCH(A47&amp;"ENTRADA",Movimientos!$S$2:$S$1993,0)),"-"))</f>
        <v>Nuola 300</v>
      </c>
      <c r="C47" s="3" t="str">
        <f>IF(A47="","",IFERROR(INDEX(Movimientos!$E$2:$E$1993,MATCH(A47&amp;"ENTRADA",Movimientos!$S$2:$S$1993,0)),"-"))</f>
        <v>Semilla</v>
      </c>
      <c r="D47" s="3" t="str">
        <f>IF(A47="","",IFERROR(INDEX(Movimientos!$F$2:$F$1993,MATCH(A47&amp;"ENTRADA",Movimientos!$S$2:$S$1993,0)),"-"))</f>
        <v>Colza</v>
      </c>
      <c r="E47" s="3" t="str">
        <f>IF(A47="","",IFERROR(INDEX(Movimientos!$L$2:$L$1993,MATCH(A47&amp;"ENTRADA",Movimientos!$S$2:$S$1993,0)),"-"))</f>
        <v>kg</v>
      </c>
      <c r="F47" s="8">
        <f>IF(A47="","",COUNTIFS(Stock_por_Lote!$B:$B,A47,Stock_por_Lote!$J:$J,"&gt;0"))</f>
        <v>0</v>
      </c>
      <c r="G47" s="9">
        <f>IF(A47="","",SUMIFS(Movimientos!$K:$K,Movimientos!$C:$C,A47))</f>
        <v>0</v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>S/D</v>
      </c>
    </row>
    <row r="48" spans="1:8" ht="14.25">
      <c r="A48" t="s">
        <v>491</v>
      </c>
      <c r="B48" s="3" t="str">
        <f>IF(A48="","",IFERROR(INDEX(Movimientos!$D$2:$D$1993,MATCH(A48&amp;"ENTRADA",Movimientos!$S$2:$S$1993,0)),"-"))</f>
        <v xml:space="preserve">Keylate Zinc Plus </v>
      </c>
      <c r="C48" s="3" t="str">
        <f>IF(A48="","",IFERROR(INDEX(Movimientos!$E$2:$E$1993,MATCH(A48&amp;"ENTRADA",Movimientos!$S$2:$S$1993,0)),"-"))</f>
        <v>Fertilizante</v>
      </c>
      <c r="D48" s="3">
        <f>IF(A48="","",IFERROR(INDEX(Movimientos!$F$2:$F$1993,MATCH(A48&amp;"ENTRADA",Movimientos!$S$2:$S$1993,0)),"-"))</f>
        <v>0</v>
      </c>
      <c r="E48" s="3" t="str">
        <f>IF(A48="","",IFERROR(INDEX(Movimientos!$L$2:$L$1993,MATCH(A48&amp;"ENTRADA",Movimientos!$S$2:$S$1993,0)),"-"))</f>
        <v>L</v>
      </c>
      <c r="F48" s="8">
        <f>IF(A48="","",COUNTIFS(Stock_por_Lote!$B:$B,A48,Stock_por_Lote!$J:$J,"&gt;0"))</f>
        <v>1</v>
      </c>
      <c r="G48" s="9">
        <f>IF(A48="","",SUMIFS(Movimientos!$K:$K,Movimientos!$C:$C,A48))</f>
        <v>12320</v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>S/D</v>
      </c>
    </row>
    <row r="49" spans="1:8">
      <c r="A49" t="s">
        <v>491</v>
      </c>
      <c r="B49" s="3" t="str">
        <f>IF(A49="","",IFERROR(INDEX(Movimientos!$D$2:$D$1993,MATCH(A49&amp;"ENTRADA",Movimientos!$S$2:$S$1993,0)),"-"))</f>
        <v xml:space="preserve">Keylate Zinc Plus </v>
      </c>
      <c r="C49" s="3" t="str">
        <f>IF(A49="","",IFERROR(INDEX(Movimientos!$E$2:$E$1993,MATCH(A49&amp;"ENTRADA",Movimientos!$S$2:$S$1993,0)),"-"))</f>
        <v>Fertilizante</v>
      </c>
      <c r="D49" s="3">
        <f>IF(A49="","",IFERROR(INDEX(Movimientos!$F$2:$F$1993,MATCH(A49&amp;"ENTRADA",Movimientos!$S$2:$S$1993,0)),"-"))</f>
        <v>0</v>
      </c>
      <c r="E49" s="3" t="str">
        <f>IF(A49="","",IFERROR(INDEX(Movimientos!$L$2:$L$1993,MATCH(A49&amp;"ENTRADA",Movimientos!$S$2:$S$1993,0)),"-"))</f>
        <v>L</v>
      </c>
      <c r="F49" s="8">
        <f>IF(A49="","",COUNTIFS(Stock_por_Lote!$B:$B,A49,Stock_por_Lote!$J:$J,"&gt;0"))</f>
        <v>1</v>
      </c>
      <c r="G49" s="9">
        <f>IF(A49="","",SUMIFS(Movimientos!$K:$K,Movimientos!$C:$C,A49))</f>
        <v>12320</v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>S/D</v>
      </c>
    </row>
    <row r="50" spans="1:8">
      <c r="A50" t="s">
        <v>514</v>
      </c>
      <c r="B50" s="3" t="str">
        <f>IF(A50="","",IFERROR(INDEX(Movimientos!$D$2:$D$1993,MATCH(A50&amp;"ENTRADA",Movimientos!$S$2:$S$1993,0)),"-"))</f>
        <v>(Protioconazol 175 g/L + Piraclostrobin 142 g/L + Bixafen 125 g/L – SC)</v>
      </c>
      <c r="C50" s="3" t="str">
        <f>IF(A50="","",IFERROR(INDEX(Movimientos!$E$2:$E$1993,MATCH(A50&amp;"ENTRADA",Movimientos!$S$2:$S$1993,0)),"-"))</f>
        <v>Fungicida</v>
      </c>
      <c r="D50" s="3">
        <f>IF(A50="","",IFERROR(INDEX(Movimientos!$F$2:$F$1993,MATCH(A50&amp;"ENTRADA",Movimientos!$S$2:$S$1993,0)),"-"))</f>
        <v>0</v>
      </c>
      <c r="E50" s="3" t="str">
        <f>IF(A50="","",IFERROR(INDEX(Movimientos!$L$2:$L$1993,MATCH(A50&amp;"ENTRADA",Movimientos!$S$2:$S$1993,0)),"-"))</f>
        <v>L</v>
      </c>
      <c r="F50" s="8">
        <f>IF(A50="","",COUNTIFS(Stock_por_Lote!$B:$B,A50,Stock_por_Lote!$J:$J,"&gt;0"))</f>
        <v>2</v>
      </c>
      <c r="G50" s="9">
        <f>IF(A50="","",SUMIFS(Movimientos!$K:$K,Movimientos!$C:$C,A50))</f>
        <v>575</v>
      </c>
      <c r="H50" s="14">
        <f>IF(A50="","",IFERROR(IF(_xlfn.MINIFS(Stock_por_Lote!$H:$H,Stock_por_Lote!$B:$B,A50,Stock_por_Lote!$J:$J,"&gt;0")=0,"S/D",_xlfn.MINIFS(Stock_por_Lote!$H:$H,Stock_por_Lote!$B:$B,A50,Stock_por_Lote!$J:$J,"&gt;0")),"S/D"))</f>
        <v>46569</v>
      </c>
    </row>
    <row r="51" spans="1:8" ht="14.25">
      <c r="A51" t="s">
        <v>524</v>
      </c>
      <c r="B51" s="3" t="str">
        <f>IF(A51="","",IFERROR(INDEX(Movimientos!$D$2:$D$1993,MATCH(A51&amp;"ENTRADA",Movimientos!$S$2:$S$1993,0)),"-"))</f>
        <v>Protioconazol 175g/l trifloxistrobin 150g/l bixafen 125g/l</v>
      </c>
      <c r="C51" s="3" t="str">
        <f>IF(A51="","",IFERROR(INDEX(Movimientos!$E$2:$E$1993,MATCH(A51&amp;"ENTRADA",Movimientos!$S$2:$S$1993,0)),"-"))</f>
        <v>Fungicida</v>
      </c>
      <c r="D51" s="3">
        <f>IF(A51="","",IFERROR(INDEX(Movimientos!$F$2:$F$1993,MATCH(A51&amp;"ENTRADA",Movimientos!$S$2:$S$1993,0)),"-"))</f>
        <v>0</v>
      </c>
      <c r="E51" s="3" t="str">
        <f>IF(A51="","",IFERROR(INDEX(Movimientos!$L$2:$L$1993,MATCH(A51&amp;"ENTRADA",Movimientos!$S$2:$S$1993,0)),"-"))</f>
        <v>L</v>
      </c>
      <c r="F51" s="8">
        <f>IF(A51="","",COUNTIFS(Stock_por_Lote!$B:$B,A51,Stock_por_Lote!$J:$J,"&gt;0"))</f>
        <v>1</v>
      </c>
      <c r="G51" s="9">
        <f>IF(A51="","",SUMIFS(Movimientos!$K:$K,Movimientos!$C:$C,A51))</f>
        <v>0</v>
      </c>
      <c r="H51" s="14">
        <f>IF(A51="","",IFERROR(IF(_xlfn.MINIFS(Stock_por_Lote!$H:$H,Stock_por_Lote!$B:$B,A51,Stock_por_Lote!$J:$J,"&gt;0")=0,"S/D",_xlfn.MINIFS(Stock_por_Lote!$H:$H,Stock_por_Lote!$B:$B,A51,Stock_por_Lote!$J:$J,"&gt;0")),"S/D"))</f>
        <v>46584</v>
      </c>
    </row>
    <row r="52" spans="1:8" ht="14.25">
      <c r="A52" t="s">
        <v>534</v>
      </c>
      <c r="B52" s="3" t="str">
        <f>IF(A52="","",IFERROR(INDEX(Movimientos!$D$2:$D$1993,MATCH(A52&amp;"ENTRADA",Movimientos!$S$2:$S$1993,0)),"-"))</f>
        <v>Florasulam 20,0% Halauxyfen metil 20,85% Equivalente ácido Halauxyfen metil 20,0%</v>
      </c>
      <c r="C52" s="3" t="str">
        <f>IF(A52="","",IFERROR(INDEX(Movimientos!$E$2:$E$1993,MATCH(A52&amp;"ENTRADA",Movimientos!$S$2:$S$1993,0)),"-"))</f>
        <v>Herbicida</v>
      </c>
      <c r="D52" s="3" t="str">
        <f>IF(A52="","",IFERROR(INDEX(Movimientos!$F$2:$F$1993,MATCH(A52&amp;"ENTRADA",Movimientos!$S$2:$S$1993,0)),"-"))</f>
        <v>Postemergente</v>
      </c>
      <c r="E52" s="3" t="str">
        <f>IF(A52="","",IFERROR(INDEX(Movimientos!$L$2:$L$1993,MATCH(A52&amp;"ENTRADA",Movimientos!$S$2:$S$1993,0)),"-"))</f>
        <v>kg</v>
      </c>
      <c r="F52" s="8">
        <f>IF(A52="","",COUNTIFS(Stock_por_Lote!$B:$B,A52,Stock_por_Lote!$J:$J,"&gt;0"))</f>
        <v>0</v>
      </c>
      <c r="G52" s="9">
        <f>IF(A52="","",SUMIFS(Movimientos!$K:$K,Movimientos!$C:$C,A52))</f>
        <v>0</v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>S/D</v>
      </c>
    </row>
    <row r="53" spans="1:8" ht="14.25">
      <c r="A53" t="s">
        <v>556</v>
      </c>
      <c r="B53" s="3" t="str">
        <f>IF(A53="","",IFERROR(INDEX(Movimientos!$D$2:$D$1993,MATCH(A53&amp;"ENTRADA",Movimientos!$S$2:$S$1993,0)),"-"))</f>
        <v>cebada osiris</v>
      </c>
      <c r="C53" s="3" t="str">
        <f>IF(A53="","",IFERROR(INDEX(Movimientos!$E$2:$E$1993,MATCH(A53&amp;"ENTRADA",Movimientos!$S$2:$S$1993,0)),"-"))</f>
        <v>Semilla</v>
      </c>
      <c r="D53" s="3" t="str">
        <f>IF(A53="","",IFERROR(INDEX(Movimientos!$F$2:$F$1993,MATCH(A53&amp;"ENTRADA",Movimientos!$S$2:$S$1993,0)),"-"))</f>
        <v>Cebada</v>
      </c>
      <c r="E53" s="3" t="str">
        <f>IF(A53="","",IFERROR(INDEX(Movimientos!$L$2:$L$1993,MATCH(A53&amp;"ENTRADA",Movimientos!$S$2:$S$1993,0)),"-"))</f>
        <v>kg</v>
      </c>
      <c r="F53" s="8">
        <f>IF(A53="","",COUNTIFS(Stock_por_Lote!$B:$B,A53,Stock_por_Lote!$J:$J,"&gt;0"))</f>
        <v>1</v>
      </c>
      <c r="G53" s="9">
        <f>IF(A53="","",SUMIFS(Movimientos!$K:$K,Movimientos!$C:$C,A53))</f>
        <v>1700</v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>S/D</v>
      </c>
    </row>
    <row r="54" spans="1:8" ht="14.25">
      <c r="A54" t="s">
        <v>576</v>
      </c>
      <c r="B54" s="3" t="str">
        <f>IF(A54="","",IFERROR(INDEX(Movimientos!$D$2:$D$1993,MATCH(A54&amp;"ENTRADA",Movimientos!$S$2:$S$1993,0)),"-"))</f>
        <v>Ácidos Húmicos / L-Triptofano puro / L- Metionina pura / Acreciactiv</v>
      </c>
      <c r="C54" s="3" t="str">
        <f>IF(A54="","",IFERROR(INDEX(Movimientos!$E$2:$E$1993,MATCH(A54&amp;"ENTRADA",Movimientos!$S$2:$S$1993,0)),"-"))</f>
        <v xml:space="preserve">Bioestimulante </v>
      </c>
      <c r="D54" s="3">
        <f>IF(A54="","",IFERROR(INDEX(Movimientos!$F$2:$F$1993,MATCH(A54&amp;"ENTRADA",Movimientos!$S$2:$S$1993,0)),"-"))</f>
        <v>0</v>
      </c>
      <c r="E54" s="3" t="str">
        <f>IF(A54="","",IFERROR(INDEX(Movimientos!$L$2:$L$1993,MATCH(A54&amp;"ENTRADA",Movimientos!$S$2:$S$1993,0)),"-"))</f>
        <v>L</v>
      </c>
      <c r="F54" s="8">
        <f>IF(A54="","",COUNTIFS(Stock_por_Lote!$B:$B,A54,Stock_por_Lote!$J:$J,"&gt;0"))</f>
        <v>0</v>
      </c>
      <c r="G54" s="9">
        <f>IF(A54="","",SUMIFS(Movimientos!$K:$K,Movimientos!$C:$C,A54))</f>
        <v>0</v>
      </c>
      <c r="H54" s="14" t="str">
        <f>IF(A54="","",IFERROR(IF(_xlfn.MINIFS(Stock_por_Lote!$H:$H,Stock_por_Lote!$B:$B,A54,Stock_por_Lote!$J:$J,"&gt;0")=0,"S/D",_xlfn.MINIFS(Stock_por_Lote!$H:$H,Stock_por_Lote!$B:$B,A54,Stock_por_Lote!$J:$J,"&gt;0")),"S/D"))</f>
        <v>S/D</v>
      </c>
    </row>
    <row r="55" spans="1:8" ht="14.25">
      <c r="A55" t="s">
        <v>580</v>
      </c>
      <c r="B55" s="3">
        <f>IF(A55="","",IFERROR(INDEX(Movimientos!$D$2:$D$1993,MATCH(A55&amp;"ENTRADA",Movimientos!$S$2:$S$1993,0)),"-"))</f>
        <v>0</v>
      </c>
      <c r="C55" s="3">
        <f>IF(A55="","",IFERROR(INDEX(Movimientos!$E$2:$E$1993,MATCH(A55&amp;"ENTRADA",Movimientos!$S$2:$S$1993,0)),"-"))</f>
        <v>0</v>
      </c>
      <c r="D55" s="3">
        <f>IF(A55="","",IFERROR(INDEX(Movimientos!$F$2:$F$1993,MATCH(A55&amp;"ENTRADA",Movimientos!$S$2:$S$1993,0)),"-"))</f>
        <v>0</v>
      </c>
      <c r="E55" s="3" t="str">
        <f>IF(A55="","",IFERROR(INDEX(Movimientos!$L$2:$L$1993,MATCH(A55&amp;"ENTRADA",Movimientos!$S$2:$S$1993,0)),"-"))</f>
        <v>L</v>
      </c>
      <c r="F55" s="8">
        <f>IF(A55="","",COUNTIFS(Stock_por_Lote!$B:$B,A55,Stock_por_Lote!$J:$J,"&gt;0"))</f>
        <v>0</v>
      </c>
      <c r="G55" s="9">
        <f>IF(A55="","",SUMIFS(Movimientos!$K:$K,Movimientos!$C:$C,A55))</f>
        <v>0</v>
      </c>
      <c r="H55" s="14" t="str">
        <f>IF(A55="","",IFERROR(IF(_xlfn.MINIFS(Stock_por_Lote!$H:$H,Stock_por_Lote!$B:$B,A55,Stock_por_Lote!$J:$J,"&gt;0")=0,"S/D",_xlfn.MINIFS(Stock_por_Lote!$H:$H,Stock_por_Lote!$B:$B,A55,Stock_por_Lote!$J:$J,"&gt;0")),"S/D"))</f>
        <v>S/D</v>
      </c>
    </row>
    <row r="56" spans="1:8" ht="14.25">
      <c r="A56" t="s">
        <v>527</v>
      </c>
      <c r="B56" s="3" t="str">
        <f>IF(A56="","",IFERROR(INDEX(Movimientos!$D$2:$D$1993,MATCH(A56&amp;"ENTRADA",Movimientos!$S$2:$S$1993,0)),"-"))</f>
        <v xml:space="preserve">fertilizante foliar </v>
      </c>
      <c r="C56" s="3" t="str">
        <f>IF(A56="","",IFERROR(INDEX(Movimientos!$E$2:$E$1993,MATCH(A56&amp;"ENTRADA",Movimientos!$S$2:$S$1993,0)),"-"))</f>
        <v>Fertilizante</v>
      </c>
      <c r="D56" s="3">
        <f>IF(A56="","",IFERROR(INDEX(Movimientos!$F$2:$F$1993,MATCH(A56&amp;"ENTRADA",Movimientos!$S$2:$S$1993,0)),"-"))</f>
        <v>0</v>
      </c>
      <c r="E56" s="3" t="str">
        <f>IF(A56="","",IFERROR(INDEX(Movimientos!$L$2:$L$1993,MATCH(A56&amp;"ENTRADA",Movimientos!$S$2:$S$1993,0)),"-"))</f>
        <v>kg</v>
      </c>
      <c r="F56" s="8">
        <f>IF(A56="","",COUNTIFS(Stock_por_Lote!$B:$B,A56,Stock_por_Lote!$J:$J,"&gt;0"))</f>
        <v>0</v>
      </c>
      <c r="G56" s="9">
        <f>IF(A56="","",SUMIFS(Movimientos!$K:$K,Movimientos!$C:$C,A56))</f>
        <v>0</v>
      </c>
      <c r="H56" s="14" t="str">
        <f>IF(A56="","",IFERROR(IF(_xlfn.MINIFS(Stock_por_Lote!$H:$H,Stock_por_Lote!$B:$B,A56,Stock_por_Lote!$J:$J,"&gt;0")=0,"S/D",_xlfn.MINIFS(Stock_por_Lote!$H:$H,Stock_por_Lote!$B:$B,A56,Stock_por_Lote!$J:$J,"&gt;0")),"S/D"))</f>
        <v>S/D</v>
      </c>
    </row>
    <row r="57" spans="1:8" ht="14.25">
      <c r="A57" t="s">
        <v>777</v>
      </c>
      <c r="B57" s="3" t="str">
        <f>IF(A57="","",IFERROR(INDEX(Movimientos!$D$2:$D$1993,MATCH(A57&amp;"ENTRADA",Movimientos!$S$2:$S$1993,0)),"-"))</f>
        <v>Biciclopirona</v>
      </c>
      <c r="C57" s="3" t="str">
        <f>IF(A57="","",IFERROR(INDEX(Movimientos!$E$2:$E$1993,MATCH(A57&amp;"ENTRADA",Movimientos!$S$2:$S$1993,0)),"-"))</f>
        <v>Herbicida</v>
      </c>
      <c r="D57" s="3" t="str">
        <f>IF(A57="","",IFERROR(INDEX(Movimientos!$F$2:$F$1993,MATCH(A57&amp;"ENTRADA",Movimientos!$S$2:$S$1993,0)),"-"))</f>
        <v>Preemergente</v>
      </c>
      <c r="E57" s="3" t="str">
        <f>IF(A57="","",IFERROR(INDEX(Movimientos!$L$2:$L$1993,MATCH(A57&amp;"ENTRADA",Movimientos!$S$2:$S$1993,0)),"-"))</f>
        <v>L</v>
      </c>
      <c r="F57" s="8">
        <f>IF(A57="","",COUNTIFS(Stock_por_Lote!$B:$B,A57,Stock_por_Lote!$J:$J,"&gt;0"))</f>
        <v>1</v>
      </c>
      <c r="G57" s="9">
        <f>IF(A57="","",SUMIFS(Movimientos!$K:$K,Movimientos!$C:$C,A57))</f>
        <v>1500</v>
      </c>
      <c r="H57" s="14">
        <f>IF(A57="","",IFERROR(IF(_xlfn.MINIFS(Stock_por_Lote!$H:$H,Stock_por_Lote!$B:$B,A57,Stock_por_Lote!$J:$J,"&gt;0")=0,"S/D",_xlfn.MINIFS(Stock_por_Lote!$H:$H,Stock_por_Lote!$B:$B,A57,Stock_por_Lote!$J:$J,"&gt;0")),"S/D"))</f>
        <v>46865</v>
      </c>
    </row>
    <row r="58" spans="1:8" ht="14.25">
      <c r="A58" t="s">
        <v>2400</v>
      </c>
      <c r="B58" s="3" t="str">
        <f>IF(A58="","",IFERROR(INDEX(Movimientos!$D$2:$D$1993,MATCH(A58&amp;"ENTRADA",Movimientos!$S$2:$S$1993,0)),"-"))</f>
        <v>-</v>
      </c>
      <c r="C58" s="3" t="str">
        <f>IF(A58="","",IFERROR(INDEX(Movimientos!$E$2:$E$1993,MATCH(A58&amp;"ENTRADA",Movimientos!$S$2:$S$1993,0)),"-"))</f>
        <v>-</v>
      </c>
      <c r="D58" s="3" t="str">
        <f>IF(A58="","",IFERROR(INDEX(Movimientos!$F$2:$F$1993,MATCH(A58&amp;"ENTRADA",Movimientos!$S$2:$S$1993,0)),"-"))</f>
        <v>-</v>
      </c>
      <c r="E58" s="3" t="str">
        <f>IF(A58="","",IFERROR(INDEX(Movimientos!$L$2:$L$1993,MATCH(A58&amp;"ENTRADA",Movimientos!$S$2:$S$1993,0)),"-"))</f>
        <v>-</v>
      </c>
      <c r="F58" s="8">
        <f>IF(A58="","",COUNTIFS(Stock_por_Lote!$B:$B,A58,Stock_por_Lote!$J:$J,"&gt;0"))</f>
        <v>0</v>
      </c>
      <c r="G58" s="9">
        <f>IF(A58="","",SUMIFS(Movimientos!$K:$K,Movimientos!$C:$C,A58))</f>
        <v>0</v>
      </c>
      <c r="H58" s="14" t="str">
        <f>IF(A58="","",IFERROR(IF(_xlfn.MINIFS(Stock_por_Lote!$H:$H,Stock_por_Lote!$B:$B,A58,Stock_por_Lote!$J:$J,"&gt;0")=0,"S/D",_xlfn.MINIFS(Stock_por_Lote!$H:$H,Stock_por_Lote!$B:$B,A58,Stock_por_Lote!$J:$J,"&gt;0")),"S/D"))</f>
        <v>S/D</v>
      </c>
    </row>
    <row r="59" spans="1:8" ht="14.25">
      <c r="A59" t="s">
        <v>261</v>
      </c>
      <c r="B59" s="3" t="str">
        <f>IF(A59="","",IFERROR(INDEX(Movimientos!$D$2:$D$1993,MATCH(A59&amp;"ENTRADA",Movimientos!$S$2:$S$1993,0)),"-"))</f>
        <v>Dactylis inia perseo cert +ins</v>
      </c>
      <c r="C59" s="3" t="str">
        <f>IF(A59="","",IFERROR(INDEX(Movimientos!$E$2:$E$1993,MATCH(A59&amp;"ENTRADA",Movimientos!$S$2:$S$1993,0)),"-"))</f>
        <v>Semilla</v>
      </c>
      <c r="D59" s="3" t="str">
        <f>IF(A59="","",IFERROR(INDEX(Movimientos!$F$2:$F$1993,MATCH(A59&amp;"ENTRADA",Movimientos!$S$2:$S$1993,0)),"-"))</f>
        <v>Dactylis</v>
      </c>
      <c r="E59" s="3" t="str">
        <f>IF(A59="","",IFERROR(INDEX(Movimientos!$L$2:$L$1993,MATCH(A59&amp;"ENTRADA",Movimientos!$S$2:$S$1993,0)),"-"))</f>
        <v>kg</v>
      </c>
      <c r="F59" s="8">
        <f>IF(A59="","",COUNTIFS(Stock_por_Lote!$B:$B,A59,Stock_por_Lote!$J:$J,"&gt;0"))</f>
        <v>0</v>
      </c>
      <c r="G59" s="9">
        <f>IF(A59="","",SUMIFS(Movimientos!$K:$K,Movimientos!$C:$C,A59))</f>
        <v>0</v>
      </c>
      <c r="H59" s="14" t="str">
        <f>IF(A59="","",IFERROR(IF(_xlfn.MINIFS(Stock_por_Lote!$H:$H,Stock_por_Lote!$B:$B,A59,Stock_por_Lote!$J:$J,"&gt;0")=0,"S/D",_xlfn.MINIFS(Stock_por_Lote!$H:$H,Stock_por_Lote!$B:$B,A59,Stock_por_Lote!$J:$J,"&gt;0")),"S/D"))</f>
        <v>S/D</v>
      </c>
    </row>
    <row r="60" spans="1:8" ht="14.25">
      <c r="A60" t="s">
        <v>752</v>
      </c>
      <c r="B60" s="3" t="str">
        <f>IF(A60="","",IFERROR(INDEX(Movimientos!$D$2:$D$1993,MATCH(A60&amp;"ENTRADA",Movimientos!$S$2:$S$1993,0)),"-"))</f>
        <v>Fluroxipir-Meptil 480g/l</v>
      </c>
      <c r="C60" s="3" t="str">
        <f>IF(A60="","",IFERROR(INDEX(Movimientos!$E$2:$E$1993,MATCH(A60&amp;"ENTRADA",Movimientos!$S$2:$S$1993,0)),"-"))</f>
        <v>Herbicida</v>
      </c>
      <c r="D60" s="3">
        <f>IF(A60="","",IFERROR(INDEX(Movimientos!$F$2:$F$1993,MATCH(A60&amp;"ENTRADA",Movimientos!$S$2:$S$1993,0)),"-"))</f>
        <v>0</v>
      </c>
      <c r="E60" s="3" t="str">
        <f>IF(A60="","",IFERROR(INDEX(Movimientos!$L$2:$L$1993,MATCH(A60&amp;"ENTRADA",Movimientos!$S$2:$S$1993,0)),"-"))</f>
        <v>L</v>
      </c>
      <c r="F60" s="8">
        <f>IF(A60="","",COUNTIFS(Stock_por_Lote!$B:$B,A60,Stock_por_Lote!$J:$J,"&gt;0"))</f>
        <v>0</v>
      </c>
      <c r="G60" s="9">
        <f>IF(A60="","",SUMIFS(Movimientos!$K:$K,Movimientos!$C:$C,A60))</f>
        <v>65</v>
      </c>
      <c r="H60" s="14" t="str">
        <f>IF(A60="","",IFERROR(IF(_xlfn.MINIFS(Stock_por_Lote!$H:$H,Stock_por_Lote!$B:$B,A60,Stock_por_Lote!$J:$J,"&gt;0")=0,"S/D",_xlfn.MINIFS(Stock_por_Lote!$H:$H,Stock_por_Lote!$B:$B,A60,Stock_por_Lote!$J:$J,"&gt;0")),"S/D"))</f>
        <v>S/D</v>
      </c>
    </row>
    <row r="61" spans="1:8" ht="14.25">
      <c r="A61" s="61" t="s">
        <v>657</v>
      </c>
      <c r="B61" s="3" t="str">
        <f>IF(A61="","",IFERROR(INDEX(Movimientos!$D$2:$D$1993,MATCH(A61&amp;"ENTRADA",Movimientos!$S$2:$S$1993,0)),"-"))</f>
        <v>alcohol láurico etixolado 32.7 %</v>
      </c>
      <c r="C61" s="3" t="str">
        <f>IF(A61="","",IFERROR(INDEX(Movimientos!$E$2:$E$1993,MATCH(A61&amp;"ENTRADA",Movimientos!$S$2:$S$1993,0)),"-"))</f>
        <v>Coadyuvante</v>
      </c>
      <c r="D61" s="3">
        <f>IF(A61="","",IFERROR(INDEX(Movimientos!$F$2:$F$1993,MATCH(A61&amp;"ENTRADA",Movimientos!$S$2:$S$1993,0)),"-"))</f>
        <v>0</v>
      </c>
      <c r="E61" s="3" t="str">
        <f>IF(A61="","",IFERROR(INDEX(Movimientos!$L$2:$L$1993,MATCH(A61&amp;"ENTRADA",Movimientos!$S$2:$S$1993,0)),"-"))</f>
        <v>L</v>
      </c>
      <c r="F61" s="8">
        <f>IF(A61="","",COUNTIFS(Stock_por_Lote!$B:$B,A61,Stock_por_Lote!$J:$J,"&gt;0"))</f>
        <v>1</v>
      </c>
      <c r="G61" s="9">
        <f>IF(A61="","",SUMIFS(Movimientos!$K:$K,Movimientos!$C:$C,A61))</f>
        <v>485</v>
      </c>
      <c r="H61" s="14" t="str">
        <f>IF(A61="","",IFERROR(IF(_xlfn.MINIFS(Stock_por_Lote!$H:$H,Stock_por_Lote!$B:$B,A61,Stock_por_Lote!$J:$J,"&gt;0")=0,"S/D",_xlfn.MINIFS(Stock_por_Lote!$H:$H,Stock_por_Lote!$B:$B,A61,Stock_por_Lote!$J:$J,"&gt;0")),"S/D"))</f>
        <v>S/D</v>
      </c>
    </row>
    <row r="62" spans="1:8" ht="14.25">
      <c r="A62" t="s">
        <v>256</v>
      </c>
      <c r="B62" s="3" t="str">
        <f>IF(A62="","",IFERROR(INDEX(Movimientos!$D$2:$D$1993,MATCH(A62&amp;"ENTRADA",Movimientos!$S$2:$S$1993,0)),"-"))</f>
        <v>Lotus Nilo Ht Gen Protect Plus</v>
      </c>
      <c r="C62" s="3" t="str">
        <f>IF(A62="","",IFERROR(INDEX(Movimientos!$E$2:$E$1993,MATCH(A62&amp;"ENTRADA",Movimientos!$S$2:$S$1993,0)),"-"))</f>
        <v>Semilla</v>
      </c>
      <c r="D62" s="3" t="str">
        <f>IF(A62="","",IFERROR(INDEX(Movimientos!$F$2:$F$1993,MATCH(A62&amp;"ENTRADA",Movimientos!$S$2:$S$1993,0)),"-"))</f>
        <v>Lotus</v>
      </c>
      <c r="E62" s="3" t="str">
        <f>IF(A62="","",IFERROR(INDEX(Movimientos!$L$2:$L$1993,MATCH(A62&amp;"ENTRADA",Movimientos!$S$2:$S$1993,0)),"-"))</f>
        <v>kg</v>
      </c>
      <c r="F62" s="8">
        <f>IF(A62="","",COUNTIFS(Stock_por_Lote!$B:$B,A62,Stock_por_Lote!$J:$J,"&gt;0"))</f>
        <v>0</v>
      </c>
      <c r="G62" s="9">
        <f>IF(A62="","",SUMIFS(Movimientos!$K:$K,Movimientos!$C:$C,A62))</f>
        <v>0</v>
      </c>
      <c r="H62" s="14" t="str">
        <f>IF(A62="","",IFERROR(IF(_xlfn.MINIFS(Stock_por_Lote!$H:$H,Stock_por_Lote!$B:$B,A62,Stock_por_Lote!$J:$J,"&gt;0")=0,"S/D",_xlfn.MINIFS(Stock_por_Lote!$H:$H,Stock_por_Lote!$B:$B,A62,Stock_por_Lote!$J:$J,"&gt;0")),"S/D"))</f>
        <v>S/D</v>
      </c>
    </row>
    <row r="63" spans="1:8" ht="14.25">
      <c r="A63" t="s">
        <v>2401</v>
      </c>
      <c r="B63" s="3" t="str">
        <f>IF(A63="","",IFERROR(INDEX(Movimientos!$D$2:$D$1993,MATCH(A63&amp;"ENTRADA",Movimientos!$S$2:$S$1993,0)),"-"))</f>
        <v>-</v>
      </c>
      <c r="C63" s="3" t="str">
        <f>IF(A63="","",IFERROR(INDEX(Movimientos!$E$2:$E$1993,MATCH(A63&amp;"ENTRADA",Movimientos!$S$2:$S$1993,0)),"-"))</f>
        <v>-</v>
      </c>
      <c r="D63" s="3" t="str">
        <f>IF(A63="","",IFERROR(INDEX(Movimientos!$F$2:$F$1993,MATCH(A63&amp;"ENTRADA",Movimientos!$S$2:$S$1993,0)),"-"))</f>
        <v>-</v>
      </c>
      <c r="E63" s="3" t="str">
        <f>IF(A63="","",IFERROR(INDEX(Movimientos!$L$2:$L$1993,MATCH(A63&amp;"ENTRADA",Movimientos!$S$2:$S$1993,0)),"-"))</f>
        <v>-</v>
      </c>
      <c r="F63" s="8">
        <f>IF(A63="","",COUNTIFS(Stock_por_Lote!$B:$B,A63,Stock_por_Lote!$J:$J,"&gt;0"))</f>
        <v>0</v>
      </c>
      <c r="G63" s="9">
        <f>IF(A63="","",SUMIFS(Movimientos!$K:$K,Movimientos!$C:$C,A63))</f>
        <v>0</v>
      </c>
      <c r="H63" s="14" t="str">
        <f>IF(A63="","",IFERROR(IF(_xlfn.MINIFS(Stock_por_Lote!$H:$H,Stock_por_Lote!$B:$B,A63,Stock_por_Lote!$J:$J,"&gt;0")=0,"S/D",_xlfn.MINIFS(Stock_por_Lote!$H:$H,Stock_por_Lote!$B:$B,A63,Stock_por_Lote!$J:$J,"&gt;0")),"S/D"))</f>
        <v>S/D</v>
      </c>
    </row>
    <row r="64" spans="1:8" ht="14.25">
      <c r="A64" t="s">
        <v>944</v>
      </c>
      <c r="B64" s="3" t="str">
        <f>IF(A64="","",IFERROR(INDEX(Movimientos!$D$2:$D$1993,MATCH(A64&amp;"ENTRADA",Movimientos!$S$2:$S$1993,0)),"-"))</f>
        <v>Adepidyn 75 g/l — Solatenol 50 g/l — Propiconazole 250 g/l</v>
      </c>
      <c r="C64" s="3" t="str">
        <f>IF(A64="","",IFERROR(INDEX(Movimientos!$E$2:$E$1993,MATCH(A64&amp;"ENTRADA",Movimientos!$S$2:$S$1993,0)),"-"))</f>
        <v>Fungicida</v>
      </c>
      <c r="D64" s="3">
        <f>IF(A64="","",IFERROR(INDEX(Movimientos!$F$2:$F$1993,MATCH(A64&amp;"ENTRADA",Movimientos!$S$2:$S$1993,0)),"-"))</f>
        <v>0</v>
      </c>
      <c r="E64" s="3" t="str">
        <f>IF(A64="","",IFERROR(INDEX(Movimientos!$L$2:$L$1993,MATCH(A64&amp;"ENTRADA",Movimientos!$S$2:$S$1993,0)),"-"))</f>
        <v>Pack</v>
      </c>
      <c r="F64" s="8">
        <f>IF(A64="","",COUNTIFS(Stock_por_Lote!$B:$B,A64,Stock_por_Lote!$J:$J,"&gt;0"))</f>
        <v>0</v>
      </c>
      <c r="G64" s="9">
        <f>IF(A64="","",SUMIFS(Movimientos!$K:$K,Movimientos!$C:$C,A64))</f>
        <v>55</v>
      </c>
      <c r="H64" s="14" t="str">
        <f>IF(A64="","",IFERROR(IF(_xlfn.MINIFS(Stock_por_Lote!$H:$H,Stock_por_Lote!$B:$B,A64,Stock_por_Lote!$J:$J,"&gt;0")=0,"S/D",_xlfn.MINIFS(Stock_por_Lote!$H:$H,Stock_por_Lote!$B:$B,A64,Stock_por_Lote!$J:$J,"&gt;0")),"S/D"))</f>
        <v>S/D</v>
      </c>
    </row>
    <row r="65" spans="1:8" ht="14.25">
      <c r="A65" t="s">
        <v>784</v>
      </c>
      <c r="B65" s="3" t="str">
        <f>IF(A65="","",IFERROR(INDEX(Movimientos!$D$2:$D$1993,MATCH(A65&amp;"ENTRADA",Movimientos!$S$2:$S$1993,0)),"-"))</f>
        <v>pyroxasulfone 85%</v>
      </c>
      <c r="C65" s="3" t="str">
        <f>IF(A65="","",IFERROR(INDEX(Movimientos!$E$2:$E$1993,MATCH(A65&amp;"ENTRADA",Movimientos!$S$2:$S$1993,0)),"-"))</f>
        <v>Herbicida</v>
      </c>
      <c r="D65" s="3" t="str">
        <f>IF(A65="","",IFERROR(INDEX(Movimientos!$F$2:$F$1993,MATCH(A65&amp;"ENTRADA",Movimientos!$S$2:$S$1993,0)),"-"))</f>
        <v>Preemergente</v>
      </c>
      <c r="E65" s="3" t="str">
        <f>IF(A65="","",IFERROR(INDEX(Movimientos!$L$2:$L$1993,MATCH(A65&amp;"ENTRADA",Movimientos!$S$2:$S$1993,0)),"-"))</f>
        <v>kg</v>
      </c>
      <c r="F65" s="8">
        <f>IF(A65="","",COUNTIFS(Stock_por_Lote!$B:$B,A65,Stock_por_Lote!$J:$J,"&gt;0"))</f>
        <v>0</v>
      </c>
      <c r="G65" s="9">
        <f>IF(A65="","",SUMIFS(Movimientos!$K:$K,Movimientos!$C:$C,A65))</f>
        <v>2026.5</v>
      </c>
      <c r="H65" s="14" t="str">
        <f>IF(A65="","",IFERROR(IF(_xlfn.MINIFS(Stock_por_Lote!$H:$H,Stock_por_Lote!$B:$B,A65,Stock_por_Lote!$J:$J,"&gt;0")=0,"S/D",_xlfn.MINIFS(Stock_por_Lote!$H:$H,Stock_por_Lote!$B:$B,A65,Stock_por_Lote!$J:$J,"&gt;0")),"S/D"))</f>
        <v>S/D</v>
      </c>
    </row>
    <row r="66" spans="1:8" ht="14.25">
      <c r="A66" t="s">
        <v>2402</v>
      </c>
      <c r="B66" s="3" t="str">
        <f>IF(A66="","",IFERROR(INDEX(Movimientos!$D$2:$D$1993,MATCH(A66&amp;"ENTRADA",Movimientos!$S$2:$S$1993,0)),"-"))</f>
        <v>-</v>
      </c>
      <c r="C66" s="3" t="str">
        <f>IF(A66="","",IFERROR(INDEX(Movimientos!$E$2:$E$1993,MATCH(A66&amp;"ENTRADA",Movimientos!$S$2:$S$1993,0)),"-"))</f>
        <v>-</v>
      </c>
      <c r="D66" s="3" t="str">
        <f>IF(A66="","",IFERROR(INDEX(Movimientos!$F$2:$F$1993,MATCH(A66&amp;"ENTRADA",Movimientos!$S$2:$S$1993,0)),"-"))</f>
        <v>-</v>
      </c>
      <c r="E66" s="3" t="str">
        <f>IF(A66="","",IFERROR(INDEX(Movimientos!$L$2:$L$1993,MATCH(A66&amp;"ENTRADA",Movimientos!$S$2:$S$1993,0)),"-"))</f>
        <v>-</v>
      </c>
      <c r="F66" s="8">
        <f>IF(A66="","",COUNTIFS(Stock_por_Lote!$B:$B,A66,Stock_por_Lote!$J:$J,"&gt;0"))</f>
        <v>0</v>
      </c>
      <c r="G66" s="9">
        <f>IF(A66="","",SUMIFS(Movimientos!$K:$K,Movimientos!$C:$C,A66))</f>
        <v>0</v>
      </c>
      <c r="H66" s="14" t="str">
        <f>IF(A66="","",IFERROR(IF(_xlfn.MINIFS(Stock_por_Lote!$H:$H,Stock_por_Lote!$B:$B,A66,Stock_por_Lote!$J:$J,"&gt;0")=0,"S/D",_xlfn.MINIFS(Stock_por_Lote!$H:$H,Stock_por_Lote!$B:$B,A66,Stock_por_Lote!$J:$J,"&gt;0")),"S/D"))</f>
        <v>S/D</v>
      </c>
    </row>
    <row r="67" spans="1:8" ht="14.25">
      <c r="A67" t="s">
        <v>787</v>
      </c>
      <c r="B67" s="3" t="str">
        <f>IF(A67="","",IFERROR(INDEX(Movimientos!$D$2:$D$1993,MATCH(A67&amp;"ENTRADA",Movimientos!$S$2:$S$1993,0)),"-"))</f>
        <v>urea 11.33 % acido fosforico 27.13%</v>
      </c>
      <c r="C67" s="3" t="str">
        <f>IF(A67="","",IFERROR(INDEX(Movimientos!$E$2:$E$1993,MATCH(A67&amp;"ENTRADA",Movimientos!$S$2:$S$1993,0)),"-"))</f>
        <v>Coadyuvante</v>
      </c>
      <c r="D67" s="3">
        <f>IF(A67="","",IFERROR(INDEX(Movimientos!$F$2:$F$1993,MATCH(A67&amp;"ENTRADA",Movimientos!$S$2:$S$1993,0)),"-"))</f>
        <v>0</v>
      </c>
      <c r="E67" s="3" t="str">
        <f>IF(A67="","",IFERROR(INDEX(Movimientos!$L$2:$L$1993,MATCH(A67&amp;"ENTRADA",Movimientos!$S$2:$S$1993,0)),"-"))</f>
        <v>L</v>
      </c>
      <c r="F67" s="8">
        <f>IF(A67="","",COUNTIFS(Stock_por_Lote!$B:$B,A67,Stock_por_Lote!$J:$J,"&gt;0"))</f>
        <v>0</v>
      </c>
      <c r="G67" s="9">
        <f>IF(A67="","",SUMIFS(Movimientos!$K:$K,Movimientos!$C:$C,A67))</f>
        <v>1000</v>
      </c>
      <c r="H67" s="14" t="str">
        <f>IF(A67="","",IFERROR(IF(_xlfn.MINIFS(Stock_por_Lote!$H:$H,Stock_por_Lote!$B:$B,A67,Stock_por_Lote!$J:$J,"&gt;0")=0,"S/D",_xlfn.MINIFS(Stock_por_Lote!$H:$H,Stock_por_Lote!$B:$B,A67,Stock_por_Lote!$J:$J,"&gt;0")),"S/D"))</f>
        <v>S/D</v>
      </c>
    </row>
    <row r="68" spans="1:8" ht="14.25">
      <c r="A68" t="s">
        <v>781</v>
      </c>
      <c r="B68" s="3" t="str">
        <f>IF(A68="","",IFERROR(INDEX(Movimientos!$D$2:$D$1993,MATCH(A68&amp;"ENTRADA",Movimientos!$S$2:$S$1993,0)),"-"))</f>
        <v xml:space="preserve">safuflenacil + trifludimoxazin </v>
      </c>
      <c r="C68" s="3" t="str">
        <f>IF(A68="","",IFERROR(INDEX(Movimientos!$E$2:$E$1993,MATCH(A68&amp;"ENTRADA",Movimientos!$S$2:$S$1993,0)),"-"))</f>
        <v>Herbicida</v>
      </c>
      <c r="D68" s="3">
        <f>IF(A68="","",IFERROR(INDEX(Movimientos!$F$2:$F$1993,MATCH(A68&amp;"ENTRADA",Movimientos!$S$2:$S$1993,0)),"-"))</f>
        <v>0</v>
      </c>
      <c r="E68" s="3" t="str">
        <f>IF(A68="","",IFERROR(INDEX(Movimientos!$L$2:$L$1993,MATCH(A68&amp;"ENTRADA",Movimientos!$S$2:$S$1993,0)),"-"))</f>
        <v>L</v>
      </c>
      <c r="F68" s="8">
        <f>IF(A68="","",COUNTIFS(Stock_por_Lote!$B:$B,A68,Stock_por_Lote!$J:$J,"&gt;0"))</f>
        <v>0</v>
      </c>
      <c r="G68" s="9">
        <f>IF(A68="","",SUMIFS(Movimientos!$K:$K,Movimientos!$C:$C,A68))</f>
        <v>858</v>
      </c>
      <c r="H68" s="14" t="str">
        <f>IF(A68="","",IFERROR(IF(_xlfn.MINIFS(Stock_por_Lote!$H:$H,Stock_por_Lote!$B:$B,A68,Stock_por_Lote!$J:$J,"&gt;0")=0,"S/D",_xlfn.MINIFS(Stock_por_Lote!$H:$H,Stock_por_Lote!$B:$B,A68,Stock_por_Lote!$J:$J,"&gt;0")),"S/D"))</f>
        <v>S/D</v>
      </c>
    </row>
    <row r="69" spans="1:8" ht="14.25">
      <c r="A69" t="s">
        <v>2403</v>
      </c>
      <c r="B69" s="3" t="str">
        <f>IF(A69="","",IFERROR(INDEX(Movimientos!$D$2:$D$1993,MATCH(A69&amp;"ENTRADA",Movimientos!$S$2:$S$1993,0)),"-"))</f>
        <v>-</v>
      </c>
      <c r="C69" s="3" t="str">
        <f>IF(A69="","",IFERROR(INDEX(Movimientos!$E$2:$E$1993,MATCH(A69&amp;"ENTRADA",Movimientos!$S$2:$S$1993,0)),"-"))</f>
        <v>-</v>
      </c>
      <c r="D69" s="3" t="str">
        <f>IF(A69="","",IFERROR(INDEX(Movimientos!$F$2:$F$1993,MATCH(A69&amp;"ENTRADA",Movimientos!$S$2:$S$1993,0)),"-"))</f>
        <v>-</v>
      </c>
      <c r="E69" s="3" t="str">
        <f>IF(A69="","",IFERROR(INDEX(Movimientos!$L$2:$L$1993,MATCH(A69&amp;"ENTRADA",Movimientos!$S$2:$S$1993,0)),"-"))</f>
        <v>-</v>
      </c>
      <c r="F69" s="8">
        <f>IF(A69="","",COUNTIFS(Stock_por_Lote!$B:$B,A69,Stock_por_Lote!$J:$J,"&gt;0"))</f>
        <v>0</v>
      </c>
      <c r="G69" s="9">
        <f>IF(A69="","",SUMIFS(Movimientos!$K:$K,Movimientos!$C:$C,A69))</f>
        <v>0</v>
      </c>
      <c r="H69" s="14" t="str">
        <f>IF(A69="","",IFERROR(IF(_xlfn.MINIFS(Stock_por_Lote!$H:$H,Stock_por_Lote!$B:$B,A69,Stock_por_Lote!$J:$J,"&gt;0")=0,"S/D",_xlfn.MINIFS(Stock_por_Lote!$H:$H,Stock_por_Lote!$B:$B,A69,Stock_por_Lote!$J:$J,"&gt;0")),"S/D"))</f>
        <v>S/D</v>
      </c>
    </row>
    <row r="70" spans="1:8" ht="14.25">
      <c r="A70" t="s">
        <v>911</v>
      </c>
      <c r="B70" s="3" t="str">
        <f>IF(A70="","",IFERROR(INDEX(Movimientos!$D$2:$D$1993,MATCH(A70&amp;"ENTRADA",Movimientos!$S$2:$S$1993,0)),"-"))</f>
        <v xml:space="preserve">semilla comprada maíz </v>
      </c>
      <c r="C70" s="3" t="str">
        <f>IF(A70="","",IFERROR(INDEX(Movimientos!$E$2:$E$1993,MATCH(A70&amp;"ENTRADA",Movimientos!$S$2:$S$1993,0)),"-"))</f>
        <v>Semilla</v>
      </c>
      <c r="D70" s="3" t="str">
        <f>IF(A70="","",IFERROR(INDEX(Movimientos!$F$2:$F$1993,MATCH(A70&amp;"ENTRADA",Movimientos!$S$2:$S$1993,0)),"-"))</f>
        <v>Maíz</v>
      </c>
      <c r="E70" s="3" t="str">
        <f>IF(A70="","",IFERROR(INDEX(Movimientos!$L$2:$L$1993,MATCH(A70&amp;"ENTRADA",Movimientos!$S$2:$S$1993,0)),"-"))</f>
        <v>bolsa</v>
      </c>
      <c r="F70" s="8">
        <f>IF(A70="","",COUNTIFS(Stock_por_Lote!$B:$B,A70,Stock_por_Lote!$J:$J,"&gt;0"))</f>
        <v>0</v>
      </c>
      <c r="G70" s="9">
        <f>IF(A70="","",SUMIFS(Movimientos!$K:$K,Movimientos!$C:$C,A70))</f>
        <v>26</v>
      </c>
      <c r="H70" s="14" t="str">
        <f>IF(A70="","",IFERROR(IF(_xlfn.MINIFS(Stock_por_Lote!$H:$H,Stock_por_Lote!$B:$B,A70,Stock_por_Lote!$J:$J,"&gt;0")=0,"S/D",_xlfn.MINIFS(Stock_por_Lote!$H:$H,Stock_por_Lote!$B:$B,A70,Stock_por_Lote!$J:$J,"&gt;0")),"S/D"))</f>
        <v>S/D</v>
      </c>
    </row>
    <row r="71" spans="1:8" ht="14.25">
      <c r="A71" t="s">
        <v>951</v>
      </c>
      <c r="B71" s="3" t="str">
        <f>IF(A71="","",IFERROR(INDEX(Movimientos!$D$2:$D$1993,MATCH(A71&amp;"ENTRADA",Movimientos!$S$2:$S$1993,0)),"-"))</f>
        <v>refugio Dk 72-72 RR2</v>
      </c>
      <c r="C71" s="3" t="str">
        <f>IF(A71="","",IFERROR(INDEX(Movimientos!$E$2:$E$1993,MATCH(A71&amp;"ENTRADA",Movimientos!$S$2:$S$1993,0)),"-"))</f>
        <v>Semilla</v>
      </c>
      <c r="D71" s="3" t="str">
        <f>IF(A71="","",IFERROR(INDEX(Movimientos!$F$2:$F$1993,MATCH(A71&amp;"ENTRADA",Movimientos!$S$2:$S$1993,0)),"-"))</f>
        <v>Maíz</v>
      </c>
      <c r="E71" s="3" t="str">
        <f>IF(A71="","",IFERROR(INDEX(Movimientos!$L$2:$L$1993,MATCH(A71&amp;"ENTRADA",Movimientos!$S$2:$S$1993,0)),"-"))</f>
        <v>bolsa</v>
      </c>
      <c r="F71" s="8">
        <f>IF(A71="","",COUNTIFS(Stock_por_Lote!$B:$B,A71,Stock_por_Lote!$J:$J,"&gt;0"))</f>
        <v>0</v>
      </c>
      <c r="G71" s="9">
        <f>IF(A71="","",SUMIFS(Movimientos!$K:$K,Movimientos!$C:$C,A71))</f>
        <v>11</v>
      </c>
      <c r="H71" s="14" t="str">
        <f>IF(A71="","",IFERROR(IF(_xlfn.MINIFS(Stock_por_Lote!$H:$H,Stock_por_Lote!$B:$B,A71,Stock_por_Lote!$J:$J,"&gt;0")=0,"S/D",_xlfn.MINIFS(Stock_por_Lote!$H:$H,Stock_por_Lote!$B:$B,A71,Stock_por_Lote!$J:$J,"&gt;0")),"S/D"))</f>
        <v>S/D</v>
      </c>
    </row>
    <row r="72" spans="1:8" ht="14.25">
      <c r="A72" t="s">
        <v>2404</v>
      </c>
      <c r="B72" s="3" t="str">
        <f>IF(A72="","",IFERROR(INDEX(Movimientos!$D$2:$D$1993,MATCH(A72&amp;"ENTRADA",Movimientos!$S$2:$S$1993,0)),"-"))</f>
        <v>-</v>
      </c>
      <c r="C72" s="3" t="str">
        <f>IF(A72="","",IFERROR(INDEX(Movimientos!$E$2:$E$1993,MATCH(A72&amp;"ENTRADA",Movimientos!$S$2:$S$1993,0)),"-"))</f>
        <v>-</v>
      </c>
      <c r="D72" s="3" t="str">
        <f>IF(A72="","",IFERROR(INDEX(Movimientos!$F$2:$F$1993,MATCH(A72&amp;"ENTRADA",Movimientos!$S$2:$S$1993,0)),"-"))</f>
        <v>-</v>
      </c>
      <c r="E72" s="3" t="str">
        <f>IF(A72="","",IFERROR(INDEX(Movimientos!$L$2:$L$1993,MATCH(A72&amp;"ENTRADA",Movimientos!$S$2:$S$1993,0)),"-"))</f>
        <v>-</v>
      </c>
      <c r="F72" s="8">
        <f>IF(A72="","",COUNTIFS(Stock_por_Lote!$B:$B,A72,Stock_por_Lote!$J:$J,"&gt;0"))</f>
        <v>0</v>
      </c>
      <c r="G72" s="9">
        <f>IF(A72="","",SUMIFS(Movimientos!$K:$K,Movimientos!$C:$C,A72))</f>
        <v>0</v>
      </c>
      <c r="H72" s="14" t="str">
        <f>IF(A72="","",IFERROR(IF(_xlfn.MINIFS(Stock_por_Lote!$H:$H,Stock_por_Lote!$B:$B,A72,Stock_por_Lote!$J:$J,"&gt;0")=0,"S/D",_xlfn.MINIFS(Stock_por_Lote!$H:$H,Stock_por_Lote!$B:$B,A72,Stock_por_Lote!$J:$J,"&gt;0")),"S/D"))</f>
        <v>S/D</v>
      </c>
    </row>
    <row r="73" spans="1:8" ht="14.25">
      <c r="A73" t="s">
        <v>990</v>
      </c>
      <c r="B73" s="3" t="str">
        <f>IF(A73="","",IFERROR(INDEX(Movimientos!$D$2:$D$1993,MATCH(A73&amp;"ENTRADA",Movimientos!$S$2:$S$1993,0)),"-"))</f>
        <v>maiz p2123 paioner</v>
      </c>
      <c r="C73" s="3" t="str">
        <f>IF(A73="","",IFERROR(INDEX(Movimientos!$E$2:$E$1993,MATCH(A73&amp;"ENTRADA",Movimientos!$S$2:$S$1993,0)),"-"))</f>
        <v>Semilla</v>
      </c>
      <c r="D73" s="3" t="str">
        <f>IF(A73="","",IFERROR(INDEX(Movimientos!$F$2:$F$1993,MATCH(A73&amp;"ENTRADA",Movimientos!$S$2:$S$1993,0)),"-"))</f>
        <v>Maíz</v>
      </c>
      <c r="E73" s="3" t="str">
        <f>IF(A73="","",IFERROR(INDEX(Movimientos!$L$2:$L$1993,MATCH(A73&amp;"ENTRADA",Movimientos!$S$2:$S$1993,0)),"-"))</f>
        <v>bolsa</v>
      </c>
      <c r="F73" s="8">
        <f>IF(A73="","",COUNTIFS(Stock_por_Lote!$B:$B,A73,Stock_por_Lote!$J:$J,"&gt;0"))</f>
        <v>0</v>
      </c>
      <c r="G73" s="9">
        <f>IF(A73="","",SUMIFS(Movimientos!$K:$K,Movimientos!$C:$C,A73))</f>
        <v>12</v>
      </c>
      <c r="H73" s="14" t="str">
        <f>IF(A73="","",IFERROR(IF(_xlfn.MINIFS(Stock_por_Lote!$H:$H,Stock_por_Lote!$B:$B,A73,Stock_por_Lote!$J:$J,"&gt;0")=0,"S/D",_xlfn.MINIFS(Stock_por_Lote!$H:$H,Stock_por_Lote!$B:$B,A73,Stock_por_Lote!$J:$J,"&gt;0")),"S/D"))</f>
        <v>S/D</v>
      </c>
    </row>
    <row r="74" spans="1:8" ht="14.25">
      <c r="A74" t="s">
        <v>759</v>
      </c>
      <c r="B74" s="3" t="str">
        <f>IF(A74="","",IFERROR(INDEX(Movimientos!$D$2:$D$1993,MATCH(A74&amp;"ENTRADA",Movimientos!$S$2:$S$1993,0)),"-"))</f>
        <v xml:space="preserve">sem maiz illinois 2773 trecepta Maiz 1era </v>
      </c>
      <c r="C74" s="3" t="str">
        <f>IF(A74="","",IFERROR(INDEX(Movimientos!$E$2:$E$1993,MATCH(A74&amp;"ENTRADA",Movimientos!$S$2:$S$1993,0)),"-"))</f>
        <v>Semilla</v>
      </c>
      <c r="D74" s="3" t="str">
        <f>IF(A74="","",IFERROR(INDEX(Movimientos!$F$2:$F$1993,MATCH(A74&amp;"ENTRADA",Movimientos!$S$2:$S$1993,0)),"-"))</f>
        <v>Maíz</v>
      </c>
      <c r="E74" s="3" t="str">
        <f>IF(A74="","",IFERROR(INDEX(Movimientos!$L$2:$L$1993,MATCH(A74&amp;"ENTRADA",Movimientos!$S$2:$S$1993,0)),"-"))</f>
        <v>bolsa</v>
      </c>
      <c r="F74" s="8">
        <f>IF(A74="","",COUNTIFS(Stock_por_Lote!$B:$B,A74,Stock_por_Lote!$J:$J,"&gt;0"))</f>
        <v>0</v>
      </c>
      <c r="G74" s="9">
        <f>IF(A74="","",SUMIFS(Movimientos!$K:$K,Movimientos!$C:$C,A74))</f>
        <v>0</v>
      </c>
      <c r="H74" s="14" t="str">
        <f>IF(A74="","",IFERROR(IF(_xlfn.MINIFS(Stock_por_Lote!$H:$H,Stock_por_Lote!$B:$B,A74,Stock_por_Lote!$J:$J,"&gt;0")=0,"S/D",_xlfn.MINIFS(Stock_por_Lote!$H:$H,Stock_por_Lote!$B:$B,A74,Stock_por_Lote!$J:$J,"&gt;0")),"S/D"))</f>
        <v>S/D</v>
      </c>
    </row>
    <row r="75" spans="1:8" ht="14.25">
      <c r="A75" t="s">
        <v>2405</v>
      </c>
      <c r="B75" s="3" t="str">
        <f>IF(A75="","",IFERROR(INDEX(Movimientos!$D$2:$D$1993,MATCH(A75&amp;"ENTRADA",Movimientos!$S$2:$S$1993,0)),"-"))</f>
        <v>-</v>
      </c>
      <c r="C75" s="3" t="str">
        <f>IF(A75="","",IFERROR(INDEX(Movimientos!$E$2:$E$1993,MATCH(A75&amp;"ENTRADA",Movimientos!$S$2:$S$1993,0)),"-"))</f>
        <v>-</v>
      </c>
      <c r="D75" s="3" t="str">
        <f>IF(A75="","",IFERROR(INDEX(Movimientos!$F$2:$F$1993,MATCH(A75&amp;"ENTRADA",Movimientos!$S$2:$S$1993,0)),"-"))</f>
        <v>-</v>
      </c>
      <c r="E75" s="3" t="str">
        <f>IF(A75="","",IFERROR(INDEX(Movimientos!$L$2:$L$1993,MATCH(A75&amp;"ENTRADA",Movimientos!$S$2:$S$1993,0)),"-"))</f>
        <v>-</v>
      </c>
      <c r="F75" s="8">
        <f>IF(A75="","",COUNTIFS(Stock_por_Lote!$B:$B,A75,Stock_por_Lote!$J:$J,"&gt;0"))</f>
        <v>0</v>
      </c>
      <c r="G75" s="9">
        <f>IF(A75="","",SUMIFS(Movimientos!$K:$K,Movimientos!$C:$C,A75))</f>
        <v>0</v>
      </c>
      <c r="H75" s="14" t="str">
        <f>IF(A75="","",IFERROR(IF(_xlfn.MINIFS(Stock_por_Lote!$H:$H,Stock_por_Lote!$B:$B,A75,Stock_por_Lote!$J:$J,"&gt;0")=0,"S/D",_xlfn.MINIFS(Stock_por_Lote!$H:$H,Stock_por_Lote!$B:$B,A75,Stock_por_Lote!$J:$J,"&gt;0")),"S/D"))</f>
        <v>S/D</v>
      </c>
    </row>
    <row r="76" spans="1:8" ht="14.25">
      <c r="A76" t="s">
        <v>635</v>
      </c>
      <c r="B76" s="3" t="str">
        <f>IF(A76="","",IFERROR(INDEX(Movimientos!$D$2:$D$1993,MATCH(A76&amp;"ENTRADA",Movimientos!$S$2:$S$1993,0)),"-"))</f>
        <v xml:space="preserve">semilla comprada maíz </v>
      </c>
      <c r="C76" s="3" t="str">
        <f>IF(A76="","",IFERROR(INDEX(Movimientos!$E$2:$E$1993,MATCH(A76&amp;"ENTRADA",Movimientos!$S$2:$S$1993,0)),"-"))</f>
        <v>Semilla</v>
      </c>
      <c r="D76" s="3" t="str">
        <f>IF(A76="","",IFERROR(INDEX(Movimientos!$F$2:$F$1993,MATCH(A76&amp;"ENTRADA",Movimientos!$S$2:$S$1993,0)),"-"))</f>
        <v>Maíz</v>
      </c>
      <c r="E76" s="3" t="str">
        <f>IF(A76="","",IFERROR(INDEX(Movimientos!$L$2:$L$1993,MATCH(A76&amp;"ENTRADA",Movimientos!$S$2:$S$1993,0)),"-"))</f>
        <v>bolsa</v>
      </c>
      <c r="F76" s="8">
        <f>IF(A76="","",COUNTIFS(Stock_por_Lote!$B:$B,A76,Stock_por_Lote!$J:$J,"&gt;0"))</f>
        <v>1</v>
      </c>
      <c r="G76" s="9">
        <f>IF(A76="","",SUMIFS(Movimientos!$K:$K,Movimientos!$C:$C,A76))</f>
        <v>5</v>
      </c>
      <c r="H76" s="14" t="str">
        <f>IF(A76="","",IFERROR(IF(_xlfn.MINIFS(Stock_por_Lote!$H:$H,Stock_por_Lote!$B:$B,A76,Stock_por_Lote!$J:$J,"&gt;0")=0,"S/D",_xlfn.MINIFS(Stock_por_Lote!$H:$H,Stock_por_Lote!$B:$B,A76,Stock_por_Lote!$J:$J,"&gt;0")),"S/D"))</f>
        <v>S/D</v>
      </c>
    </row>
    <row r="77" spans="1:8" ht="14.25">
      <c r="A77" t="s">
        <v>637</v>
      </c>
      <c r="B77" s="3" t="str">
        <f>IF(A77="","",IFERROR(INDEX(Movimientos!$D$2:$D$1993,MATCH(A77&amp;"ENTRADA",Movimientos!$S$2:$S$1993,0)),"-"))</f>
        <v xml:space="preserve">semilla comprada maíz </v>
      </c>
      <c r="C77" s="3" t="str">
        <f>IF(A77="","",IFERROR(INDEX(Movimientos!$E$2:$E$1993,MATCH(A77&amp;"ENTRADA",Movimientos!$S$2:$S$1993,0)),"-"))</f>
        <v>Semilla</v>
      </c>
      <c r="D77" s="3" t="str">
        <f>IF(A77="","",IFERROR(INDEX(Movimientos!$F$2:$F$1993,MATCH(A77&amp;"ENTRADA",Movimientos!$S$2:$S$1993,0)),"-"))</f>
        <v>Maíz</v>
      </c>
      <c r="E77" s="3" t="str">
        <f>IF(A77="","",IFERROR(INDEX(Movimientos!$L$2:$L$1993,MATCH(A77&amp;"ENTRADA",Movimientos!$S$2:$S$1993,0)),"-"))</f>
        <v>bolsa</v>
      </c>
      <c r="F77" s="8">
        <f>IF(A77="","",COUNTIFS(Stock_por_Lote!$B:$B,A77,Stock_por_Lote!$J:$J,"&gt;0"))</f>
        <v>1</v>
      </c>
      <c r="G77" s="9">
        <f>IF(A77="","",SUMIFS(Movimientos!$K:$K,Movimientos!$C:$C,A77))</f>
        <v>380</v>
      </c>
      <c r="H77" s="14" t="str">
        <f>IF(A77="","",IFERROR(IF(_xlfn.MINIFS(Stock_por_Lote!$H:$H,Stock_por_Lote!$B:$B,A77,Stock_por_Lote!$J:$J,"&gt;0")=0,"S/D",_xlfn.MINIFS(Stock_por_Lote!$H:$H,Stock_por_Lote!$B:$B,A77,Stock_por_Lote!$J:$J,"&gt;0")),"S/D"))</f>
        <v>S/D</v>
      </c>
    </row>
    <row r="78" spans="1:8" ht="14.25">
      <c r="A78" t="s">
        <v>768</v>
      </c>
      <c r="B78" s="3" t="str">
        <f>IF(A78="","",IFERROR(INDEX(Movimientos!$D$2:$D$1993,MATCH(A78&amp;"ENTRADA",Movimientos!$S$2:$S$1993,0)),"-"))</f>
        <v xml:space="preserve">semilla maiz nk 842 viptera Maiz 1era </v>
      </c>
      <c r="C78" s="3" t="str">
        <f>IF(A78="","",IFERROR(INDEX(Movimientos!$E$2:$E$1993,MATCH(A78&amp;"ENTRADA",Movimientos!$S$2:$S$1993,0)),"-"))</f>
        <v>Semilla</v>
      </c>
      <c r="D78" s="3" t="str">
        <f>IF(A78="","",IFERROR(INDEX(Movimientos!$F$2:$F$1993,MATCH(A78&amp;"ENTRADA",Movimientos!$S$2:$S$1993,0)),"-"))</f>
        <v>Maíz</v>
      </c>
      <c r="E78" s="3" t="str">
        <f>IF(A78="","",IFERROR(INDEX(Movimientos!$L$2:$L$1993,MATCH(A78&amp;"ENTRADA",Movimientos!$S$2:$S$1993,0)),"-"))</f>
        <v>bolsa</v>
      </c>
      <c r="F78" s="8">
        <f>IF(A78="","",COUNTIFS(Stock_por_Lote!$B:$B,A78,Stock_por_Lote!$J:$J,"&gt;0"))</f>
        <v>1</v>
      </c>
      <c r="G78" s="9">
        <f>IF(A78="","",SUMIFS(Movimientos!$K:$K,Movimientos!$C:$C,A78))</f>
        <v>446</v>
      </c>
      <c r="H78" s="14" t="str">
        <f>IF(A78="","",IFERROR(IF(_xlfn.MINIFS(Stock_por_Lote!$H:$H,Stock_por_Lote!$B:$B,A78,Stock_por_Lote!$J:$J,"&gt;0")=0,"S/D",_xlfn.MINIFS(Stock_por_Lote!$H:$H,Stock_por_Lote!$B:$B,A78,Stock_por_Lote!$J:$J,"&gt;0")),"S/D"))</f>
        <v>S/D</v>
      </c>
    </row>
    <row r="79" spans="1:8" ht="14.25">
      <c r="A79" t="s">
        <v>630</v>
      </c>
      <c r="B79" s="3" t="str">
        <f>IF(A79="","",IFERROR(INDEX(Movimientos!$D$2:$D$1993,MATCH(A79&amp;"ENTRADA",Movimientos!$S$2:$S$1993,0)),"-"))</f>
        <v xml:space="preserve">semilla comprada maíz </v>
      </c>
      <c r="C79" s="3" t="str">
        <f>IF(A79="","",IFERROR(INDEX(Movimientos!$E$2:$E$1993,MATCH(A79&amp;"ENTRADA",Movimientos!$S$2:$S$1993,0)),"-"))</f>
        <v>Semilla</v>
      </c>
      <c r="D79" s="3" t="str">
        <f>IF(A79="","",IFERROR(INDEX(Movimientos!$F$2:$F$1993,MATCH(A79&amp;"ENTRADA",Movimientos!$S$2:$S$1993,0)),"-"))</f>
        <v>Maíz</v>
      </c>
      <c r="E79" s="3" t="str">
        <f>IF(A79="","",IFERROR(INDEX(Movimientos!$L$2:$L$1993,MATCH(A79&amp;"ENTRADA",Movimientos!$S$2:$S$1993,0)),"-"))</f>
        <v>bolsa</v>
      </c>
      <c r="F79" s="8">
        <f>IF(A79="","",COUNTIFS(Stock_por_Lote!$B:$B,A79,Stock_por_Lote!$J:$J,"&gt;0"))</f>
        <v>0</v>
      </c>
      <c r="G79" s="9">
        <f>IF(A79="","",SUMIFS(Movimientos!$K:$K,Movimientos!$C:$C,A79))</f>
        <v>472</v>
      </c>
      <c r="H79" s="14" t="str">
        <f>IF(A79="","",IFERROR(IF(_xlfn.MINIFS(Stock_por_Lote!$H:$H,Stock_por_Lote!$B:$B,A79,Stock_por_Lote!$J:$J,"&gt;0")=0,"S/D",_xlfn.MINIFS(Stock_por_Lote!$H:$H,Stock_por_Lote!$B:$B,A79,Stock_por_Lote!$J:$J,"&gt;0")),"S/D"))</f>
        <v>S/D</v>
      </c>
    </row>
    <row r="80" spans="1:8" ht="14.25">
      <c r="A80" t="s">
        <v>934</v>
      </c>
      <c r="B80" s="3" t="str">
        <f>IF(A80="","",IFERROR(INDEX(Movimientos!$D$2:$D$1993,MATCH(A80&amp;"ENTRADA",Movimientos!$S$2:$S$1993,0)),"-"))</f>
        <v>epoxiconazol 37.5g/l metconazol 27.5g/l</v>
      </c>
      <c r="C80" s="3" t="str">
        <f>IF(A80="","",IFERROR(INDEX(Movimientos!$E$2:$E$1993,MATCH(A80&amp;"ENTRADA",Movimientos!$S$2:$S$1993,0)),"-"))</f>
        <v>Fungicida</v>
      </c>
      <c r="D80" s="3">
        <f>IF(A80="","",IFERROR(INDEX(Movimientos!$F$2:$F$1993,MATCH(A80&amp;"ENTRADA",Movimientos!$S$2:$S$1993,0)),"-"))</f>
        <v>0</v>
      </c>
      <c r="E80" s="3" t="str">
        <f>IF(A80="","",IFERROR(INDEX(Movimientos!$L$2:$L$1993,MATCH(A80&amp;"ENTRADA",Movimientos!$S$2:$S$1993,0)),"-"))</f>
        <v>L</v>
      </c>
      <c r="F80" s="8">
        <f>IF(A80="","",COUNTIFS(Stock_por_Lote!$B:$B,A80,Stock_por_Lote!$J:$J,"&gt;0"))</f>
        <v>0</v>
      </c>
      <c r="G80" s="9">
        <f>IF(A80="","",SUMIFS(Movimientos!$K:$K,Movimientos!$C:$C,A80))</f>
        <v>0</v>
      </c>
      <c r="H80" s="14" t="str">
        <f>IF(A80="","",IFERROR(IF(_xlfn.MINIFS(Stock_por_Lote!$H:$H,Stock_por_Lote!$B:$B,A80,Stock_por_Lote!$J:$J,"&gt;0")=0,"S/D",_xlfn.MINIFS(Stock_por_Lote!$H:$H,Stock_por_Lote!$B:$B,A80,Stock_por_Lote!$J:$J,"&gt;0")),"S/D"))</f>
        <v>S/D</v>
      </c>
    </row>
    <row r="81" spans="1:8" ht="14.25">
      <c r="A81" t="s">
        <v>941</v>
      </c>
      <c r="B81" s="3" t="str">
        <f>IF(A81="","",IFERROR(INDEX(Movimientos!$D$2:$D$1993,MATCH(A81&amp;"ENTRADA",Movimientos!$S$2:$S$1993,0)),"-"))</f>
        <v>Dibromuro de diquat</v>
      </c>
      <c r="C81" s="3" t="str">
        <f>IF(A81="","",IFERROR(INDEX(Movimientos!$E$2:$E$1993,MATCH(A81&amp;"ENTRADA",Movimientos!$S$2:$S$1993,0)),"-"))</f>
        <v>Herbicida</v>
      </c>
      <c r="D81" s="3" t="str">
        <f>IF(A81="","",IFERROR(INDEX(Movimientos!$F$2:$F$1993,MATCH(A81&amp;"ENTRADA",Movimientos!$S$2:$S$1993,0)),"-"))</f>
        <v>Postemergente</v>
      </c>
      <c r="E81" s="3" t="str">
        <f>IF(A81="","",IFERROR(INDEX(Movimientos!$L$2:$L$1993,MATCH(A81&amp;"ENTRADA",Movimientos!$S$2:$S$1993,0)),"-"))</f>
        <v>L</v>
      </c>
      <c r="F81" s="8">
        <f>IF(A81="","",COUNTIFS(Stock_por_Lote!$B:$B,A81,Stock_por_Lote!$J:$J,"&gt;0"))</f>
        <v>0</v>
      </c>
      <c r="G81" s="9">
        <f>IF(A81="","",SUMIFS(Movimientos!$K:$K,Movimientos!$C:$C,A81))</f>
        <v>0</v>
      </c>
      <c r="H81" s="14" t="str">
        <f>IF(A81="","",IFERROR(IF(_xlfn.MINIFS(Stock_por_Lote!$H:$H,Stock_por_Lote!$B:$B,A81,Stock_por_Lote!$J:$J,"&gt;0")=0,"S/D",_xlfn.MINIFS(Stock_por_Lote!$H:$H,Stock_por_Lote!$B:$B,A81,Stock_por_Lote!$J:$J,"&gt;0")),"S/D"))</f>
        <v>S/D</v>
      </c>
    </row>
    <row r="82" spans="1:8" ht="14.25">
      <c r="A82" t="s">
        <v>790</v>
      </c>
      <c r="B82" s="3" t="str">
        <f>IF(A82="","",IFERROR(INDEX(Movimientos!$D$2:$D$1993,MATCH(A82&amp;"ENTRADA",Movimientos!$S$2:$S$1993,0)),"-"))</f>
        <v>flumioxazim 480g/l</v>
      </c>
      <c r="C82" s="3" t="str">
        <f>IF(A82="","",IFERROR(INDEX(Movimientos!$E$2:$E$1993,MATCH(A82&amp;"ENTRADA",Movimientos!$S$2:$S$1993,0)),"-"))</f>
        <v>Herbicida</v>
      </c>
      <c r="D82" s="3" t="str">
        <f>IF(A82="","",IFERROR(INDEX(Movimientos!$F$2:$F$1993,MATCH(A82&amp;"ENTRADA",Movimientos!$S$2:$S$1993,0)),"-"))</f>
        <v>Preemergente</v>
      </c>
      <c r="E82" s="3" t="str">
        <f>IF(A82="","",IFERROR(INDEX(Movimientos!$L$2:$L$1993,MATCH(A82&amp;"ENTRADA",Movimientos!$S$2:$S$1993,0)),"-"))</f>
        <v>L</v>
      </c>
      <c r="F82" s="8">
        <f>IF(A82="","",COUNTIFS(Stock_por_Lote!$B:$B,A82,Stock_por_Lote!$J:$J,"&gt;0"))</f>
        <v>0</v>
      </c>
      <c r="G82" s="9">
        <f>IF(A82="","",SUMIFS(Movimientos!$K:$K,Movimientos!$C:$C,A82))</f>
        <v>1040</v>
      </c>
      <c r="H82" s="14" t="str">
        <f>IF(A82="","",IFERROR(IF(_xlfn.MINIFS(Stock_por_Lote!$H:$H,Stock_por_Lote!$B:$B,A82,Stock_por_Lote!$J:$J,"&gt;0")=0,"S/D",_xlfn.MINIFS(Stock_por_Lote!$H:$H,Stock_por_Lote!$B:$B,A82,Stock_por_Lote!$J:$J,"&gt;0")),"S/D"))</f>
        <v>S/D</v>
      </c>
    </row>
    <row r="83" spans="1:8" ht="14.25">
      <c r="A83" s="62" t="s">
        <v>1218</v>
      </c>
      <c r="B83" s="3" t="str">
        <f>IF(A83="","",IFERROR(INDEX(Movimientos!$D$2:$D$1993,MATCH(A83&amp;"ENTRADA",Movimientos!$S$2:$S$1993,0)),"-"))</f>
        <v>Dicuat Sal Dibromuro 374 g/l</v>
      </c>
      <c r="C83" s="3" t="str">
        <f>IF(A83="","",IFERROR(INDEX(Movimientos!$E$2:$E$1993,MATCH(A83&amp;"ENTRADA",Movimientos!$S$2:$S$1993,0)),"-"))</f>
        <v>Herbicida</v>
      </c>
      <c r="D83" s="3" t="str">
        <f>IF(A83="","",IFERROR(INDEX(Movimientos!$F$2:$F$1993,MATCH(A83&amp;"ENTRADA",Movimientos!$S$2:$S$1993,0)),"-"))</f>
        <v>Secante</v>
      </c>
      <c r="E83" s="3" t="str">
        <f>IF(A83="","",IFERROR(INDEX(Movimientos!$L$2:$L$1993,MATCH(A83&amp;"ENTRADA",Movimientos!$S$2:$S$1993,0)),"-"))</f>
        <v>L</v>
      </c>
      <c r="F83" s="8">
        <f>IF(A83="","",COUNTIFS(Stock_por_Lote!$B:$B,A83,Stock_por_Lote!$J:$J,"&gt;0"))</f>
        <v>0</v>
      </c>
      <c r="G83" s="9">
        <f>IF(A83="","",SUMIFS(Movimientos!$K:$K,Movimientos!$C:$C,A83))</f>
        <v>-100</v>
      </c>
      <c r="H83" s="14" t="str">
        <f>IF(A83="","",IFERROR(IF(_xlfn.MINIFS(Stock_por_Lote!$H:$H,Stock_por_Lote!$B:$B,A83,Stock_por_Lote!$J:$J,"&gt;0")=0,"S/D",_xlfn.MINIFS(Stock_por_Lote!$H:$H,Stock_por_Lote!$B:$B,A83,Stock_por_Lote!$J:$J,"&gt;0")),"S/D"))</f>
        <v>S/D</v>
      </c>
    </row>
    <row r="84" spans="1:8" ht="14.25">
      <c r="A84" t="s">
        <v>720</v>
      </c>
      <c r="B84" s="3" t="str">
        <f>IF(A84="","",IFERROR(INDEX(Movimientos!$D$2:$D$1993,MATCH(A84&amp;"ENTRADA",Movimientos!$S$2:$S$1993,0)),"-"))</f>
        <v>2,4-D Sal Dimetilamina | 578g/L  2,4-D Equivalente Ácido | 480g/L</v>
      </c>
      <c r="C84" s="3" t="str">
        <f>IF(A84="","",IFERROR(INDEX(Movimientos!$E$2:$E$1993,MATCH(A84&amp;"ENTRADA",Movimientos!$S$2:$S$1993,0)),"-"))</f>
        <v>Herbicida</v>
      </c>
      <c r="D84" s="3" t="str">
        <f>IF(A84="","",IFERROR(INDEX(Movimientos!$F$2:$F$1993,MATCH(A84&amp;"ENTRADA",Movimientos!$S$2:$S$1993,0)),"-"))</f>
        <v>Postemergente</v>
      </c>
      <c r="E84" s="3" t="str">
        <f>IF(A84="","",IFERROR(INDEX(Movimientos!$L$2:$L$1993,MATCH(A84&amp;"ENTRADA",Movimientos!$S$2:$S$1993,0)),"-"))</f>
        <v>L</v>
      </c>
      <c r="F84" s="8">
        <f>IF(A84="","",COUNTIFS(Stock_por_Lote!$B:$B,A84,Stock_por_Lote!$J:$J,"&gt;0"))</f>
        <v>0</v>
      </c>
      <c r="G84" s="9">
        <f>IF(A84="","",SUMIFS(Movimientos!$K:$K,Movimientos!$C:$C,A84))</f>
        <v>8020</v>
      </c>
      <c r="H84" s="14" t="str">
        <f>IF(A84="","",IFERROR(IF(_xlfn.MINIFS(Stock_por_Lote!$H:$H,Stock_por_Lote!$B:$B,A84,Stock_por_Lote!$J:$J,"&gt;0")=0,"S/D",_xlfn.MINIFS(Stock_por_Lote!$H:$H,Stock_por_Lote!$B:$B,A84,Stock_por_Lote!$J:$J,"&gt;0")),"S/D"))</f>
        <v>S/D</v>
      </c>
    </row>
    <row r="85" spans="1:8" ht="14.25">
      <c r="A85" t="s">
        <v>1222</v>
      </c>
      <c r="B85" s="3" t="str">
        <f>IF(A85="","",IFERROR(INDEX(Movimientos!$D$2:$D$1993,MATCH(A85&amp;"ENTRADA",Movimientos!$S$2:$S$1993,0)),"-"))</f>
        <v>Semillas</v>
      </c>
      <c r="C85" s="3">
        <f>IF(A85="","",IFERROR(INDEX(Movimientos!$E$2:$E$1993,MATCH(A85&amp;"ENTRADA",Movimientos!$S$2:$S$1993,0)),"-"))</f>
        <v>0</v>
      </c>
      <c r="D85" s="3">
        <f>IF(A85="","",IFERROR(INDEX(Movimientos!$F$2:$F$1993,MATCH(A85&amp;"ENTRADA",Movimientos!$S$2:$S$1993,0)),"-"))</f>
        <v>0</v>
      </c>
      <c r="E85" s="3" t="str">
        <f>IF(A85="","",IFERROR(INDEX(Movimientos!$L$2:$L$1993,MATCH(A85&amp;"ENTRADA",Movimientos!$S$2:$S$1993,0)),"-"))</f>
        <v>kg</v>
      </c>
      <c r="F85" s="8">
        <f>IF(A85="","",COUNTIFS(Stock_por_Lote!$B:$B,A85,Stock_por_Lote!$J:$J,"&gt;0"))</f>
        <v>0</v>
      </c>
      <c r="G85" s="9">
        <f>IF(A85="","",SUMIFS(Movimientos!$K:$K,Movimientos!$C:$C,A85))</f>
        <v>700</v>
      </c>
      <c r="H85" s="14" t="str">
        <f>IF(A85="","",IFERROR(IF(_xlfn.MINIFS(Stock_por_Lote!$H:$H,Stock_por_Lote!$B:$B,A85,Stock_por_Lote!$J:$J,"&gt;0")=0,"S/D",_xlfn.MINIFS(Stock_por_Lote!$H:$H,Stock_por_Lote!$B:$B,A85,Stock_por_Lote!$J:$J,"&gt;0")),"S/D"))</f>
        <v>S/D</v>
      </c>
    </row>
    <row r="86" spans="1:8" ht="14.25">
      <c r="A86" t="s">
        <v>1134</v>
      </c>
      <c r="B86" s="3">
        <f>IF(A86="","",IFERROR(INDEX(Movimientos!$D$2:$D$1993,MATCH(A86&amp;"ENTRADA",Movimientos!$S$2:$S$1993,0)),"-"))</f>
        <v>0</v>
      </c>
      <c r="C86" s="3" t="str">
        <f>IF(A86="","",IFERROR(INDEX(Movimientos!$E$2:$E$1993,MATCH(A86&amp;"ENTRADA",Movimientos!$S$2:$S$1993,0)),"-"))</f>
        <v>inoculante+curasemilla</v>
      </c>
      <c r="D86" s="3">
        <f>IF(A86="","",IFERROR(INDEX(Movimientos!$F$2:$F$1993,MATCH(A86&amp;"ENTRADA",Movimientos!$S$2:$S$1993,0)),"-"))</f>
        <v>0</v>
      </c>
      <c r="E86" s="3" t="str">
        <f>IF(A86="","",IFERROR(INDEX(Movimientos!$L$2:$L$1993,MATCH(A86&amp;"ENTRADA",Movimientos!$S$2:$S$1993,0)),"-"))</f>
        <v>Pack</v>
      </c>
      <c r="F86" s="8">
        <f>IF(A86="","",COUNTIFS(Stock_por_Lote!$B:$B,A86,Stock_por_Lote!$J:$J,"&gt;0"))</f>
        <v>0</v>
      </c>
      <c r="G86" s="9">
        <f>IF(A86="","",SUMIFS(Movimientos!$K:$K,Movimientos!$C:$C,A86))</f>
        <v>11</v>
      </c>
      <c r="H86" s="14" t="str">
        <f>IF(A86="","",IFERROR(IF(_xlfn.MINIFS(Stock_por_Lote!$H:$H,Stock_por_Lote!$B:$B,A86,Stock_por_Lote!$J:$J,"&gt;0")=0,"S/D",_xlfn.MINIFS(Stock_por_Lote!$H:$H,Stock_por_Lote!$B:$B,A86,Stock_por_Lote!$J:$J,"&gt;0")),"S/D"))</f>
        <v>S/D</v>
      </c>
    </row>
    <row r="87" spans="1:8" ht="14.25">
      <c r="A87" t="s">
        <v>1061</v>
      </c>
      <c r="B87" s="3" t="str">
        <f>IF(A87="","",IFERROR(INDEX(Movimientos!$D$2:$D$1993,MATCH(A87&amp;"ENTRADA",Movimientos!$S$2:$S$1993,0)),"-"))</f>
        <v>Imazapir + Imazapic SEMAR WG</v>
      </c>
      <c r="C87" s="3" t="str">
        <f>IF(A87="","",IFERROR(INDEX(Movimientos!$E$2:$E$1993,MATCH(A87&amp;"ENTRADA",Movimientos!$S$2:$S$1993,0)),"-"))</f>
        <v>Herbicida</v>
      </c>
      <c r="D87" s="3">
        <f>IF(A87="","",IFERROR(INDEX(Movimientos!$F$2:$F$1993,MATCH(A87&amp;"ENTRADA",Movimientos!$S$2:$S$1993,0)),"-"))</f>
        <v>0</v>
      </c>
      <c r="E87" s="3" t="str">
        <f>IF(A87="","",IFERROR(INDEX(Movimientos!$L$2:$L$1993,MATCH(A87&amp;"ENTRADA",Movimientos!$S$2:$S$1993,0)),"-"))</f>
        <v>kg</v>
      </c>
      <c r="F87" s="8">
        <f>IF(A87="","",COUNTIFS(Stock_por_Lote!$B:$B,A87,Stock_por_Lote!$J:$J,"&gt;0"))</f>
        <v>0</v>
      </c>
      <c r="G87" s="9">
        <f>IF(A87="","",SUMIFS(Movimientos!$K:$K,Movimientos!$C:$C,A87))</f>
        <v>3</v>
      </c>
      <c r="H87" s="14" t="str">
        <f>IF(A87="","",IFERROR(IF(_xlfn.MINIFS(Stock_por_Lote!$H:$H,Stock_por_Lote!$B:$B,A87,Stock_por_Lote!$J:$J,"&gt;0")=0,"S/D",_xlfn.MINIFS(Stock_por_Lote!$H:$H,Stock_por_Lote!$B:$B,A87,Stock_por_Lote!$J:$J,"&gt;0")),"S/D"))</f>
        <v>S/D</v>
      </c>
    </row>
    <row r="88" spans="1:8" ht="14.25">
      <c r="A88" t="s">
        <v>1054</v>
      </c>
      <c r="B88" s="3" t="str">
        <f>IF(A88="","",IFERROR(INDEX(Movimientos!$D$2:$D$1993,MATCH(A88&amp;"ENTRADA",Movimientos!$S$2:$S$1993,0)),"-"))</f>
        <v xml:space="preserve">ADV 2800 (C+BIO) X20KG </v>
      </c>
      <c r="C88" s="3" t="str">
        <f>IF(A88="","",IFERROR(INDEX(Movimientos!$E$2:$E$1993,MATCH(A88&amp;"ENTRADA",Movimientos!$S$2:$S$1993,0)),"-"))</f>
        <v>Semilla</v>
      </c>
      <c r="D88" s="3" t="str">
        <f>IF(A88="","",IFERROR(INDEX(Movimientos!$F$2:$F$1993,MATCH(A88&amp;"ENTRADA",Movimientos!$S$2:$S$1993,0)),"-"))</f>
        <v>Sorgo</v>
      </c>
      <c r="E88" s="3" t="str">
        <f>IF(A88="","",IFERROR(INDEX(Movimientos!$L$2:$L$1993,MATCH(A88&amp;"ENTRADA",Movimientos!$S$2:$S$1993,0)),"-"))</f>
        <v>bolsa</v>
      </c>
      <c r="F88" s="8">
        <f>IF(A88="","",COUNTIFS(Stock_por_Lote!$B:$B,A88,Stock_por_Lote!$J:$J,"&gt;0"))</f>
        <v>1</v>
      </c>
      <c r="G88" s="9">
        <f>IF(A88="","",SUMIFS(Movimientos!$K:$K,Movimientos!$C:$C,A88))</f>
        <v>91</v>
      </c>
      <c r="H88" s="14" t="str">
        <f>IF(A88="","",IFERROR(IF(_xlfn.MINIFS(Stock_por_Lote!$H:$H,Stock_por_Lote!$B:$B,A88,Stock_por_Lote!$J:$J,"&gt;0")=0,"S/D",_xlfn.MINIFS(Stock_por_Lote!$H:$H,Stock_por_Lote!$B:$B,A88,Stock_por_Lote!$J:$J,"&gt;0")),"S/D"))</f>
        <v>S/D</v>
      </c>
    </row>
    <row r="89" spans="1:8" ht="14.25">
      <c r="A89" t="s">
        <v>1127</v>
      </c>
      <c r="B89" s="3" t="str">
        <f>IF(A89="","",IFERROR(INDEX(Movimientos!$D$2:$D$1993,MATCH(A89&amp;"ENTRADA",Movimientos!$S$2:$S$1993,0)),"-"))</f>
        <v>pyroxasulfone 85%</v>
      </c>
      <c r="C89" s="3" t="str">
        <f>IF(A89="","",IFERROR(INDEX(Movimientos!$E$2:$E$1993,MATCH(A89&amp;"ENTRADA",Movimientos!$S$2:$S$1993,0)),"-"))</f>
        <v>Herbicida</v>
      </c>
      <c r="D89" s="3" t="str">
        <f>IF(A89="","",IFERROR(INDEX(Movimientos!$F$2:$F$1993,MATCH(A89&amp;"ENTRADA",Movimientos!$S$2:$S$1993,0)),"-"))</f>
        <v>Preemergente</v>
      </c>
      <c r="E89" s="3" t="str">
        <f>IF(A89="","",IFERROR(INDEX(Movimientos!$L$2:$L$1993,MATCH(A89&amp;"ENTRADA",Movimientos!$S$2:$S$1993,0)),"-"))</f>
        <v>kg</v>
      </c>
      <c r="F89" s="8">
        <f>IF(A89="","",COUNTIFS(Stock_por_Lote!$B:$B,A89,Stock_por_Lote!$J:$J,"&gt;0"))</f>
        <v>0</v>
      </c>
      <c r="G89" s="9">
        <f>IF(A89="","",SUMIFS(Movimientos!$K:$K,Movimientos!$C:$C,A89))</f>
        <v>40</v>
      </c>
      <c r="H89" s="14" t="str">
        <f>IF(A89="","",IFERROR(IF(_xlfn.MINIFS(Stock_por_Lote!$H:$H,Stock_por_Lote!$B:$B,A89,Stock_por_Lote!$J:$J,"&gt;0")=0,"S/D",_xlfn.MINIFS(Stock_por_Lote!$H:$H,Stock_por_Lote!$B:$B,A89,Stock_por_Lote!$J:$J,"&gt;0")),"S/D"))</f>
        <v>S/D</v>
      </c>
    </row>
    <row r="90" spans="1:8" ht="14.25">
      <c r="A90" t="s">
        <v>1095</v>
      </c>
      <c r="B90" s="3" t="str">
        <f>IF(A90="","",IFERROR(INDEX(Movimientos!$D$2:$D$1993,MATCH(A90&amp;"ENTRADA",Movimientos!$S$2:$S$1993,0)),"-"))</f>
        <v>Haloxifop-P-metil | 540g/L</v>
      </c>
      <c r="C90" s="3" t="str">
        <f>IF(A90="","",IFERROR(INDEX(Movimientos!$E$2:$E$1993,MATCH(A90&amp;"ENTRADA",Movimientos!$S$2:$S$1993,0)),"-"))</f>
        <v>Herbicida</v>
      </c>
      <c r="D90" s="3" t="str">
        <f>IF(A90="","",IFERROR(INDEX(Movimientos!$F$2:$F$1993,MATCH(A90&amp;"ENTRADA",Movimientos!$S$2:$S$1993,0)),"-"))</f>
        <v>Postemergente</v>
      </c>
      <c r="E90" s="3" t="str">
        <f>IF(A90="","",IFERROR(INDEX(Movimientos!$L$2:$L$1993,MATCH(A90&amp;"ENTRADA",Movimientos!$S$2:$S$1993,0)),"-"))</f>
        <v>L</v>
      </c>
      <c r="F90" s="8">
        <f>IF(A90="","",COUNTIFS(Stock_por_Lote!$B:$B,A90,Stock_por_Lote!$J:$J,"&gt;0"))</f>
        <v>0</v>
      </c>
      <c r="G90" s="9">
        <f>IF(A90="","",SUMIFS(Movimientos!$K:$K,Movimientos!$C:$C,A90))</f>
        <v>30</v>
      </c>
      <c r="H90" s="14" t="str">
        <f>IF(A90="","",IFERROR(IF(_xlfn.MINIFS(Stock_por_Lote!$H:$H,Stock_por_Lote!$B:$B,A90,Stock_por_Lote!$J:$J,"&gt;0")=0,"S/D",_xlfn.MINIFS(Stock_por_Lote!$H:$H,Stock_por_Lote!$B:$B,A90,Stock_por_Lote!$J:$J,"&gt;0")),"S/D"))</f>
        <v>S/D</v>
      </c>
    </row>
    <row r="91" spans="1:8" ht="14.25">
      <c r="A91" t="s">
        <v>1058</v>
      </c>
      <c r="B91" s="3" t="str">
        <f>IF(A91="","",IFERROR(INDEX(Movimientos!$D$2:$D$1993,MATCH(A91&amp;"ENTRADA",Movimientos!$S$2:$S$1993,0)),"-"))</f>
        <v xml:space="preserve">ADV F2850 FOTO BMR IG CURADO </v>
      </c>
      <c r="C91" s="3" t="str">
        <f>IF(A91="","",IFERROR(INDEX(Movimientos!$E$2:$E$1993,MATCH(A91&amp;"ENTRADA",Movimientos!$S$2:$S$1993,0)),"-"))</f>
        <v>Semilla</v>
      </c>
      <c r="D91" s="3" t="str">
        <f>IF(A91="","",IFERROR(INDEX(Movimientos!$F$2:$F$1993,MATCH(A91&amp;"ENTRADA",Movimientos!$S$2:$S$1993,0)),"-"))</f>
        <v>Sorgo</v>
      </c>
      <c r="E91" s="3" t="str">
        <f>IF(A91="","",IFERROR(INDEX(Movimientos!$L$2:$L$1993,MATCH(A91&amp;"ENTRADA",Movimientos!$S$2:$S$1993,0)),"-"))</f>
        <v>bolsa</v>
      </c>
      <c r="F91" s="8">
        <f>IF(A91="","",COUNTIFS(Stock_por_Lote!$B:$B,A91,Stock_por_Lote!$J:$J,"&gt;0"))</f>
        <v>0</v>
      </c>
      <c r="G91" s="9">
        <f>IF(A91="","",SUMIFS(Movimientos!$K:$K,Movimientos!$C:$C,A91))</f>
        <v>0</v>
      </c>
      <c r="H91" s="14" t="str">
        <f>IF(A91="","",IFERROR(IF(_xlfn.MINIFS(Stock_por_Lote!$H:$H,Stock_por_Lote!$B:$B,A91,Stock_por_Lote!$J:$J,"&gt;0")=0,"S/D",_xlfn.MINIFS(Stock_por_Lote!$H:$H,Stock_por_Lote!$B:$B,A91,Stock_por_Lote!$J:$J,"&gt;0")),"S/D"))</f>
        <v>S/D</v>
      </c>
    </row>
    <row r="92" spans="1:8" ht="14.25">
      <c r="A92" t="s">
        <v>1177</v>
      </c>
      <c r="B92" s="3" t="str">
        <f>IF(A92="","",IFERROR(INDEX(Movimientos!$D$2:$D$1993,MATCH(A92&amp;"ENTRADA",Movimientos!$S$2:$S$1993,0)),"-"))</f>
        <v>Protioconazole 200g/l piraclostribin 190g/l</v>
      </c>
      <c r="C92" s="3" t="str">
        <f>IF(A92="","",IFERROR(INDEX(Movimientos!$E$2:$E$1993,MATCH(A92&amp;"ENTRADA",Movimientos!$S$2:$S$1993,0)),"-"))</f>
        <v>Fungicida</v>
      </c>
      <c r="D92" s="3" t="str">
        <f>IF(A92="","",IFERROR(INDEX(Movimientos!$F$2:$F$1993,MATCH(A92&amp;"ENTRADA",Movimientos!$S$2:$S$1993,0)),"-"))</f>
        <v>sistemico</v>
      </c>
      <c r="E92" s="3" t="str">
        <f>IF(A92="","",IFERROR(INDEX(Movimientos!$L$2:$L$1993,MATCH(A92&amp;"ENTRADA",Movimientos!$S$2:$S$1993,0)),"-"))</f>
        <v>L</v>
      </c>
      <c r="F92" s="8">
        <f>IF(A92="","",COUNTIFS(Stock_por_Lote!$B:$B,A92,Stock_por_Lote!$J:$J,"&gt;0"))</f>
        <v>0</v>
      </c>
      <c r="G92" s="9">
        <f>IF(A92="","",SUMIFS(Movimientos!$K:$K,Movimientos!$C:$C,A92))</f>
        <v>370</v>
      </c>
      <c r="H92" s="14" t="str">
        <f>IF(A92="","",IFERROR(IF(_xlfn.MINIFS(Stock_por_Lote!$H:$H,Stock_por_Lote!$B:$B,A92,Stock_por_Lote!$J:$J,"&gt;0")=0,"S/D",_xlfn.MINIFS(Stock_por_Lote!$H:$H,Stock_por_Lote!$B:$B,A92,Stock_por_Lote!$J:$J,"&gt;0")),"S/D"))</f>
        <v>S/D</v>
      </c>
    </row>
    <row r="93" spans="1:8" ht="14.25">
      <c r="A93" t="s">
        <v>1131</v>
      </c>
      <c r="B93" s="3" t="str">
        <f>IF(A93="","",IFERROR(INDEX(Movimientos!$D$2:$D$1993,MATCH(A93&amp;"ENTRADA",Movimientos!$S$2:$S$1993,0)),"-"))</f>
        <v>Acidos Fulvicos</v>
      </c>
      <c r="C93" s="3" t="str">
        <f>IF(A93="","",IFERROR(INDEX(Movimientos!$E$2:$E$1993,MATCH(A93&amp;"ENTRADA",Movimientos!$S$2:$S$1993,0)),"-"))</f>
        <v xml:space="preserve">Bioestimulante </v>
      </c>
      <c r="D93" s="3">
        <f>IF(A93="","",IFERROR(INDEX(Movimientos!$F$2:$F$1993,MATCH(A93&amp;"ENTRADA",Movimientos!$S$2:$S$1993,0)),"-"))</f>
        <v>0</v>
      </c>
      <c r="E93" s="3" t="str">
        <f>IF(A93="","",IFERROR(INDEX(Movimientos!$L$2:$L$1993,MATCH(A93&amp;"ENTRADA",Movimientos!$S$2:$S$1993,0)),"-"))</f>
        <v>L</v>
      </c>
      <c r="F93" s="8">
        <f>IF(A93="","",COUNTIFS(Stock_por_Lote!$B:$B,A93,Stock_por_Lote!$J:$J,"&gt;0"))</f>
        <v>0</v>
      </c>
      <c r="G93" s="9">
        <f>IF(A93="","",SUMIFS(Movimientos!$K:$K,Movimientos!$C:$C,A93))</f>
        <v>20</v>
      </c>
      <c r="H93" s="14" t="str">
        <f>IF(A93="","",IFERROR(IF(_xlfn.MINIFS(Stock_por_Lote!$H:$H,Stock_por_Lote!$B:$B,A93,Stock_por_Lote!$J:$J,"&gt;0")=0,"S/D",_xlfn.MINIFS(Stock_por_Lote!$H:$H,Stock_por_Lote!$B:$B,A93,Stock_por_Lote!$J:$J,"&gt;0")),"S/D"))</f>
        <v>S/D</v>
      </c>
    </row>
    <row r="94" spans="1:8" ht="14.25">
      <c r="B94" s="3" t="str">
        <f>IF(A94="","",IFERROR(INDEX(Movimientos!$D$2:$D$1993,MATCH(A94&amp;"ENTRADA",Movimientos!$S$2:$S$1993,0)),"-"))</f>
        <v/>
      </c>
      <c r="C94" s="3" t="str">
        <f>IF(A94="","",IFERROR(INDEX(Movimientos!$E$2:$E$1993,MATCH(A94&amp;"ENTRADA",Movimientos!$S$2:$S$1993,0)),"-"))</f>
        <v/>
      </c>
      <c r="D94" s="3" t="str">
        <f>IF(A94="","",IFERROR(INDEX(Movimientos!$F$2:$F$1993,MATCH(A94&amp;"ENTRADA",Movimientos!$S$2:$S$1993,0)),"-"))</f>
        <v/>
      </c>
      <c r="E94" s="3" t="str">
        <f>IF(A94="","",IFERROR(INDEX(Movimientos!$L$2:$L$1993,MATCH(A94&amp;"ENTRADA",Movimientos!$S$2:$S$1993,0)),"-"))</f>
        <v/>
      </c>
      <c r="F94" s="8" t="str">
        <f>IF(A94="","",COUNTIFS(Stock_por_Lote!$B:$B,A94,Stock_por_Lote!$J:$J,"&gt;0"))</f>
        <v/>
      </c>
      <c r="G94" s="9" t="str">
        <f>IF(A94="","",SUMIFS(Movimientos!$K:$K,Movimientos!$C:$C,A94))</f>
        <v/>
      </c>
      <c r="H94" s="14" t="str">
        <f>IF(A94="","",IFERROR(IF(_xlfn.MINIFS(Stock_por_Lote!$H:$H,Stock_por_Lote!$B:$B,A94,Stock_por_Lote!$J:$J,"&gt;0")=0,"S/D",_xlfn.MINIFS(Stock_por_Lote!$H:$H,Stock_por_Lote!$B:$B,A94,Stock_por_Lote!$J:$J,"&gt;0")),"S/D"))</f>
        <v/>
      </c>
    </row>
    <row r="95" spans="1:8" ht="14.25">
      <c r="B95" s="3" t="str">
        <f>IF(A95="","",IFERROR(INDEX(Movimientos!$D$2:$D$1993,MATCH(A95&amp;"ENTRADA",Movimientos!$S$2:$S$1993,0)),"-"))</f>
        <v/>
      </c>
      <c r="C95" s="3" t="str">
        <f>IF(A95="","",IFERROR(INDEX(Movimientos!$E$2:$E$1993,MATCH(A95&amp;"ENTRADA",Movimientos!$S$2:$S$1993,0)),"-"))</f>
        <v/>
      </c>
      <c r="D95" s="3" t="str">
        <f>IF(A95="","",IFERROR(INDEX(Movimientos!$F$2:$F$1993,MATCH(A95&amp;"ENTRADA",Movimientos!$S$2:$S$1993,0)),"-"))</f>
        <v/>
      </c>
      <c r="E95" s="3" t="str">
        <f>IF(A95="","",IFERROR(INDEX(Movimientos!$L$2:$L$1993,MATCH(A95&amp;"ENTRADA",Movimientos!$S$2:$S$1993,0)),"-"))</f>
        <v/>
      </c>
      <c r="F95" s="8" t="str">
        <f>IF(A95="","",COUNTIFS(Stock_por_Lote!$B:$B,A95,Stock_por_Lote!$J:$J,"&gt;0"))</f>
        <v/>
      </c>
      <c r="G95" s="9" t="str">
        <f>IF(A95="","",SUMIFS(Movimientos!$K:$K,Movimientos!$C:$C,A95))</f>
        <v/>
      </c>
      <c r="H95" s="14" t="str">
        <f>IF(A95="","",IFERROR(IF(_xlfn.MINIFS(Stock_por_Lote!$H:$H,Stock_por_Lote!$B:$B,A95,Stock_por_Lote!$J:$J,"&gt;0")=0,"S/D",_xlfn.MINIFS(Stock_por_Lote!$H:$H,Stock_por_Lote!$B:$B,A95,Stock_por_Lote!$J:$J,"&gt;0")),"S/D"))</f>
        <v/>
      </c>
    </row>
    <row r="96" spans="1:8" ht="14.25">
      <c r="B96" s="3" t="str">
        <f>IF(A96="","",IFERROR(INDEX(Movimientos!$D$2:$D$1993,MATCH(A96&amp;"ENTRADA",Movimientos!$S$2:$S$1993,0)),"-"))</f>
        <v/>
      </c>
      <c r="C96" s="3" t="str">
        <f>IF(A96="","",IFERROR(INDEX(Movimientos!$E$2:$E$1993,MATCH(A96&amp;"ENTRADA",Movimientos!$S$2:$S$1993,0)),"-"))</f>
        <v/>
      </c>
      <c r="D96" s="3" t="str">
        <f>IF(A96="","",IFERROR(INDEX(Movimientos!$F$2:$F$1993,MATCH(A96&amp;"ENTRADA",Movimientos!$S$2:$S$1993,0)),"-"))</f>
        <v/>
      </c>
      <c r="E96" s="3" t="str">
        <f>IF(A96="","",IFERROR(INDEX(Movimientos!$L$2:$L$1993,MATCH(A96&amp;"ENTRADA",Movimientos!$S$2:$S$1993,0)),"-"))</f>
        <v/>
      </c>
      <c r="F96" s="8" t="str">
        <f>IF(A96="","",COUNTIFS(Stock_por_Lote!$B:$B,A96,Stock_por_Lote!$J:$J,"&gt;0"))</f>
        <v/>
      </c>
      <c r="G96" s="9" t="str">
        <f>IF(A96="","",SUMIFS(Movimientos!$K:$K,Movimientos!$C:$C,A96))</f>
        <v/>
      </c>
      <c r="H96" s="14" t="str">
        <f>IF(A96="","",IFERROR(IF(_xlfn.MINIFS(Stock_por_Lote!$H:$H,Stock_por_Lote!$B:$B,A96,Stock_por_Lote!$J:$J,"&gt;0")=0,"S/D",_xlfn.MINIFS(Stock_por_Lote!$H:$H,Stock_por_Lote!$B:$B,A96,Stock_por_Lote!$J:$J,"&gt;0")),"S/D"))</f>
        <v/>
      </c>
    </row>
    <row r="97" spans="2:8" ht="14.25">
      <c r="B97" s="3" t="str">
        <f>IF(A97="","",IFERROR(INDEX(Movimientos!$D$2:$D$1993,MATCH(A97&amp;"ENTRADA",Movimientos!$S$2:$S$1993,0)),"-"))</f>
        <v/>
      </c>
      <c r="C97" s="3" t="str">
        <f>IF(A97="","",IFERROR(INDEX(Movimientos!$E$2:$E$1993,MATCH(A97&amp;"ENTRADA",Movimientos!$S$2:$S$1993,0)),"-"))</f>
        <v/>
      </c>
      <c r="D97" s="3" t="str">
        <f>IF(A97="","",IFERROR(INDEX(Movimientos!$F$2:$F$1993,MATCH(A97&amp;"ENTRADA",Movimientos!$S$2:$S$1993,0)),"-"))</f>
        <v/>
      </c>
      <c r="E97" s="3" t="str">
        <f>IF(A97="","",IFERROR(INDEX(Movimientos!$L$2:$L$1993,MATCH(A97&amp;"ENTRADA",Movimientos!$S$2:$S$1993,0)),"-"))</f>
        <v/>
      </c>
      <c r="F97" s="8" t="str">
        <f>IF(A97="","",COUNTIFS(Stock_por_Lote!$B:$B,A97,Stock_por_Lote!$J:$J,"&gt;0"))</f>
        <v/>
      </c>
      <c r="G97" s="9" t="str">
        <f>IF(A97="","",SUMIFS(Movimientos!$K:$K,Movimientos!$C:$C,A97))</f>
        <v/>
      </c>
      <c r="H97" s="14" t="str">
        <f>IF(A97="","",IFERROR(IF(_xlfn.MINIFS(Stock_por_Lote!$H:$H,Stock_por_Lote!$B:$B,A97,Stock_por_Lote!$J:$J,"&gt;0")=0,"S/D",_xlfn.MINIFS(Stock_por_Lote!$H:$H,Stock_por_Lote!$B:$B,A97,Stock_por_Lote!$J:$J,"&gt;0")),"S/D"))</f>
        <v/>
      </c>
    </row>
    <row r="98" spans="2:8" ht="14.25">
      <c r="B98" s="3" t="str">
        <f>IF(A98="","",IFERROR(INDEX(Movimientos!$D$2:$D$1993,MATCH(A98&amp;"ENTRADA",Movimientos!$S$2:$S$1993,0)),"-"))</f>
        <v/>
      </c>
      <c r="C98" s="3" t="str">
        <f>IF(A98="","",IFERROR(INDEX(Movimientos!$E$2:$E$1993,MATCH(A98&amp;"ENTRADA",Movimientos!$S$2:$S$1993,0)),"-"))</f>
        <v/>
      </c>
      <c r="D98" s="3" t="str">
        <f>IF(A98="","",IFERROR(INDEX(Movimientos!$F$2:$F$1993,MATCH(A98&amp;"ENTRADA",Movimientos!$S$2:$S$1993,0)),"-"))</f>
        <v/>
      </c>
      <c r="E98" s="3" t="str">
        <f>IF(A98="","",IFERROR(INDEX(Movimientos!$L$2:$L$1993,MATCH(A98&amp;"ENTRADA",Movimientos!$S$2:$S$1993,0)),"-"))</f>
        <v/>
      </c>
      <c r="F98" s="8" t="str">
        <f>IF(A98="","",COUNTIFS(Stock_por_Lote!$B:$B,A98,Stock_por_Lote!$J:$J,"&gt;0"))</f>
        <v/>
      </c>
      <c r="G98" s="9" t="str">
        <f>IF(A98="","",SUMIFS(Movimientos!$K:$K,Movimientos!$C:$C,A98))</f>
        <v/>
      </c>
      <c r="H98" s="14" t="str">
        <f>IF(A98="","",IFERROR(IF(_xlfn.MINIFS(Stock_por_Lote!$H:$H,Stock_por_Lote!$B:$B,A98,Stock_por_Lote!$J:$J,"&gt;0")=0,"S/D",_xlfn.MINIFS(Stock_por_Lote!$H:$H,Stock_por_Lote!$B:$B,A98,Stock_por_Lote!$J:$J,"&gt;0")),"S/D"))</f>
        <v/>
      </c>
    </row>
    <row r="99" spans="2:8" ht="14.25">
      <c r="B99" s="3" t="str">
        <f>IF(A99="","",IFERROR(INDEX(Movimientos!$D$2:$D$1993,MATCH(A99&amp;"ENTRADA",Movimientos!$S$2:$S$1993,0)),"-"))</f>
        <v/>
      </c>
      <c r="C99" s="3" t="str">
        <f>IF(A99="","",IFERROR(INDEX(Movimientos!$E$2:$E$1993,MATCH(A99&amp;"ENTRADA",Movimientos!$S$2:$S$1993,0)),"-"))</f>
        <v/>
      </c>
      <c r="D99" s="3" t="str">
        <f>IF(A99="","",IFERROR(INDEX(Movimientos!$F$2:$F$1993,MATCH(A99&amp;"ENTRADA",Movimientos!$S$2:$S$1993,0)),"-"))</f>
        <v/>
      </c>
      <c r="E99" s="3" t="str">
        <f>IF(A99="","",IFERROR(INDEX(Movimientos!$L$2:$L$1993,MATCH(A99&amp;"ENTRADA",Movimientos!$S$2:$S$1993,0)),"-"))</f>
        <v/>
      </c>
      <c r="F99" s="8" t="str">
        <f>IF(A99="","",COUNTIFS(Stock_por_Lote!$B:$B,A99,Stock_por_Lote!$J:$J,"&gt;0"))</f>
        <v/>
      </c>
      <c r="G99" s="9" t="str">
        <f>IF(A99="","",SUMIFS(Movimientos!$K:$K,Movimientos!$C:$C,A99))</f>
        <v/>
      </c>
      <c r="H99" s="14" t="str">
        <f>IF(A99="","",IFERROR(IF(_xlfn.MINIFS(Stock_por_Lote!$H:$H,Stock_por_Lote!$B:$B,A99,Stock_por_Lote!$J:$J,"&gt;0")=0,"S/D",_xlfn.MINIFS(Stock_por_Lote!$H:$H,Stock_por_Lote!$B:$B,A99,Stock_por_Lote!$J:$J,"&gt;0")),"S/D"))</f>
        <v/>
      </c>
    </row>
    <row r="100" spans="2:8" ht="14.25">
      <c r="B100" s="3" t="str">
        <f>IF(A100="","",IFERROR(INDEX(Movimientos!$D$2:$D$1993,MATCH(A100&amp;"ENTRADA",Movimientos!$S$2:$S$1993,0)),"-"))</f>
        <v/>
      </c>
      <c r="C100" s="3" t="str">
        <f>IF(A100="","",IFERROR(INDEX(Movimientos!$E$2:$E$1993,MATCH(A100&amp;"ENTRADA",Movimientos!$S$2:$S$1993,0)),"-"))</f>
        <v/>
      </c>
      <c r="D100" s="3" t="str">
        <f>IF(A100="","",IFERROR(INDEX(Movimientos!$F$2:$F$1993,MATCH(A100&amp;"ENTRADA",Movimientos!$S$2:$S$1993,0)),"-"))</f>
        <v/>
      </c>
      <c r="E100" s="3" t="str">
        <f>IF(A100="","",IFERROR(INDEX(Movimientos!$L$2:$L$1993,MATCH(A100&amp;"ENTRADA",Movimientos!$S$2:$S$1993,0)),"-"))</f>
        <v/>
      </c>
      <c r="F100" s="8" t="str">
        <f>IF(A100="","",COUNTIFS(Stock_por_Lote!$B:$B,A100,Stock_por_Lote!$J:$J,"&gt;0"))</f>
        <v/>
      </c>
      <c r="G100" s="9" t="str">
        <f>IF(A100="","",SUMIFS(Movimientos!$K:$K,Movimientos!$C:$C,A100))</f>
        <v/>
      </c>
      <c r="H100" s="14" t="str">
        <f>IF(A100="","",IFERROR(IF(_xlfn.MINIFS(Stock_por_Lote!$H:$H,Stock_por_Lote!$B:$B,A100,Stock_por_Lote!$J:$J,"&gt;0")=0,"S/D",_xlfn.MINIFS(Stock_por_Lote!$H:$H,Stock_por_Lote!$B:$B,A100,Stock_por_Lote!$J:$J,"&gt;0")),"S/D"))</f>
        <v/>
      </c>
    </row>
    <row r="101" spans="2:8" ht="14.25">
      <c r="B101" s="3" t="str">
        <f>IF(A101="","",IFERROR(INDEX(Movimientos!$D$2:$D$1993,MATCH(A101&amp;"ENTRADA",Movimientos!$S$2:$S$1993,0)),"-"))</f>
        <v/>
      </c>
      <c r="C101" s="3" t="str">
        <f>IF(A101="","",IFERROR(INDEX(Movimientos!$E$2:$E$1993,MATCH(A101&amp;"ENTRADA",Movimientos!$S$2:$S$1993,0)),"-"))</f>
        <v/>
      </c>
      <c r="D101" s="3" t="str">
        <f>IF(A101="","",IFERROR(INDEX(Movimientos!$F$2:$F$1993,MATCH(A101&amp;"ENTRADA",Movimientos!$S$2:$S$1993,0)),"-"))</f>
        <v/>
      </c>
      <c r="E101" s="3" t="str">
        <f>IF(A101="","",IFERROR(INDEX(Movimientos!$L$2:$L$1993,MATCH(A101&amp;"ENTRADA",Movimientos!$S$2:$S$1993,0)),"-"))</f>
        <v/>
      </c>
      <c r="F101" s="8" t="str">
        <f>IF(A101="","",COUNTIFS(Stock_por_Lote!$B:$B,A101,Stock_por_Lote!$J:$J,"&gt;0"))</f>
        <v/>
      </c>
      <c r="G101" s="9" t="str">
        <f>IF(A101="","",SUMIFS(Movimientos!$K:$K,Movimientos!$C:$C,A101))</f>
        <v/>
      </c>
      <c r="H101" s="14" t="str">
        <f>IF(A101="","",IFERROR(IF(_xlfn.MINIFS(Stock_por_Lote!$H:$H,Stock_por_Lote!$B:$B,A101,Stock_por_Lote!$J:$J,"&gt;0")=0,"S/D",_xlfn.MINIFS(Stock_por_Lote!$H:$H,Stock_por_Lote!$B:$B,A101,Stock_por_Lote!$J:$J,"&gt;0")),"S/D"))</f>
        <v/>
      </c>
    </row>
    <row r="102" spans="2:8" ht="14.25">
      <c r="B102" s="3" t="str">
        <f>IF(A102="","",IFERROR(INDEX(Movimientos!$D$2:$D$1993,MATCH(A102&amp;"ENTRADA",Movimientos!$S$2:$S$1993,0)),"-"))</f>
        <v/>
      </c>
      <c r="C102" s="3" t="str">
        <f>IF(A102="","",IFERROR(INDEX(Movimientos!$E$2:$E$1993,MATCH(A102&amp;"ENTRADA",Movimientos!$S$2:$S$1993,0)),"-"))</f>
        <v/>
      </c>
      <c r="D102" s="3" t="str">
        <f>IF(A102="","",IFERROR(INDEX(Movimientos!$F$2:$F$1993,MATCH(A102&amp;"ENTRADA",Movimientos!$S$2:$S$1993,0)),"-"))</f>
        <v/>
      </c>
      <c r="E102" s="3" t="str">
        <f>IF(A102="","",IFERROR(INDEX(Movimientos!$L$2:$L$1993,MATCH(A102&amp;"ENTRADA",Movimientos!$S$2:$S$1993,0)),"-"))</f>
        <v/>
      </c>
      <c r="F102" s="8" t="str">
        <f>IF(A102="","",COUNTIFS(Stock_por_Lote!$B:$B,A102,Stock_por_Lote!$J:$J,"&gt;0"))</f>
        <v/>
      </c>
      <c r="G102" s="9" t="str">
        <f>IF(A102="","",SUMIFS(Movimientos!$K:$K,Movimientos!$C:$C,A102))</f>
        <v/>
      </c>
      <c r="H102" s="14" t="str">
        <f>IF(A102="","",IFERROR(IF(_xlfn.MINIFS(Stock_por_Lote!$H:$H,Stock_por_Lote!$B:$B,A102,Stock_por_Lote!$J:$J,"&gt;0")=0,"S/D",_xlfn.MINIFS(Stock_por_Lote!$H:$H,Stock_por_Lote!$B:$B,A102,Stock_por_Lote!$J:$J,"&gt;0")),"S/D"))</f>
        <v/>
      </c>
    </row>
    <row r="103" spans="2:8" ht="14.25">
      <c r="B103" s="3" t="str">
        <f>IF(A103="","",IFERROR(INDEX(Movimientos!$D$2:$D$1993,MATCH(A103&amp;"ENTRADA",Movimientos!$S$2:$S$1993,0)),"-"))</f>
        <v/>
      </c>
      <c r="C103" s="3" t="str">
        <f>IF(A103="","",IFERROR(INDEX(Movimientos!$E$2:$E$1993,MATCH(A103&amp;"ENTRADA",Movimientos!$S$2:$S$1993,0)),"-"))</f>
        <v/>
      </c>
      <c r="D103" s="3" t="str">
        <f>IF(A103="","",IFERROR(INDEX(Movimientos!$F$2:$F$1993,MATCH(A103&amp;"ENTRADA",Movimientos!$S$2:$S$1993,0)),"-"))</f>
        <v/>
      </c>
      <c r="E103" s="3" t="str">
        <f>IF(A103="","",IFERROR(INDEX(Movimientos!$L$2:$L$1993,MATCH(A103&amp;"ENTRADA",Movimientos!$S$2:$S$1993,0)),"-"))</f>
        <v/>
      </c>
      <c r="F103" s="8" t="str">
        <f>IF(A103="","",COUNTIFS(Stock_por_Lote!$B:$B,A103,Stock_por_Lote!$J:$J,"&gt;0"))</f>
        <v/>
      </c>
      <c r="G103" s="9" t="str">
        <f>IF(A103="","",SUMIFS(Movimientos!$K:$K,Movimientos!$C:$C,A103))</f>
        <v/>
      </c>
      <c r="H103" s="14" t="str">
        <f>IF(A103="","",IFERROR(IF(_xlfn.MINIFS(Stock_por_Lote!$H:$H,Stock_por_Lote!$B:$B,A103,Stock_por_Lote!$J:$J,"&gt;0")=0,"S/D",_xlfn.MINIFS(Stock_por_Lote!$H:$H,Stock_por_Lote!$B:$B,A103,Stock_por_Lote!$J:$J,"&gt;0")),"S/D"))</f>
        <v/>
      </c>
    </row>
    <row r="104" spans="2:8" ht="14.25">
      <c r="B104" s="3" t="str">
        <f>IF(A104="","",IFERROR(INDEX(Movimientos!$D$2:$D$1993,MATCH(A104&amp;"ENTRADA",Movimientos!$S$2:$S$1993,0)),"-"))</f>
        <v/>
      </c>
      <c r="C104" s="3" t="str">
        <f>IF(A104="","",IFERROR(INDEX(Movimientos!$E$2:$E$1993,MATCH(A104&amp;"ENTRADA",Movimientos!$S$2:$S$1993,0)),"-"))</f>
        <v/>
      </c>
      <c r="D104" s="3" t="str">
        <f>IF(A104="","",IFERROR(INDEX(Movimientos!$F$2:$F$1993,MATCH(A104&amp;"ENTRADA",Movimientos!$S$2:$S$1993,0)),"-"))</f>
        <v/>
      </c>
      <c r="E104" s="3" t="str">
        <f>IF(A104="","",IFERROR(INDEX(Movimientos!$L$2:$L$1993,MATCH(A104&amp;"ENTRADA",Movimientos!$S$2:$S$1993,0)),"-"))</f>
        <v/>
      </c>
      <c r="F104" s="8" t="str">
        <f>IF(A104="","",COUNTIFS(Stock_por_Lote!$B:$B,A104,Stock_por_Lote!$J:$J,"&gt;0"))</f>
        <v/>
      </c>
      <c r="G104" s="9" t="str">
        <f>IF(A104="","",SUMIFS(Movimientos!$K:$K,Movimientos!$C:$C,A104))</f>
        <v/>
      </c>
      <c r="H104" s="14" t="str">
        <f>IF(A104="","",IFERROR(IF(_xlfn.MINIFS(Stock_por_Lote!$H:$H,Stock_por_Lote!$B:$B,A104,Stock_por_Lote!$J:$J,"&gt;0")=0,"S/D",_xlfn.MINIFS(Stock_por_Lote!$H:$H,Stock_por_Lote!$B:$B,A104,Stock_por_Lote!$J:$J,"&gt;0")),"S/D"))</f>
        <v/>
      </c>
    </row>
    <row r="105" spans="2:8" ht="14.25">
      <c r="B105" s="3" t="str">
        <f>IF(A105="","",IFERROR(INDEX(Movimientos!$D$2:$D$1993,MATCH(A105&amp;"ENTRADA",Movimientos!$S$2:$S$1993,0)),"-"))</f>
        <v/>
      </c>
      <c r="C105" s="3" t="str">
        <f>IF(A105="","",IFERROR(INDEX(Movimientos!$E$2:$E$1993,MATCH(A105&amp;"ENTRADA",Movimientos!$S$2:$S$1993,0)),"-"))</f>
        <v/>
      </c>
      <c r="D105" s="3" t="str">
        <f>IF(A105="","",IFERROR(INDEX(Movimientos!$F$2:$F$1993,MATCH(A105&amp;"ENTRADA",Movimientos!$S$2:$S$1993,0)),"-"))</f>
        <v/>
      </c>
      <c r="E105" s="3" t="str">
        <f>IF(A105="","",IFERROR(INDEX(Movimientos!$L$2:$L$1993,MATCH(A105&amp;"ENTRADA",Movimientos!$S$2:$S$1993,0)),"-"))</f>
        <v/>
      </c>
      <c r="F105" s="8" t="str">
        <f>IF(A105="","",COUNTIFS(Stock_por_Lote!$B:$B,A105,Stock_por_Lote!$J:$J,"&gt;0"))</f>
        <v/>
      </c>
      <c r="G105" s="9" t="str">
        <f>IF(A105="","",SUMIFS(Movimientos!$K:$K,Movimientos!$C:$C,A105))</f>
        <v/>
      </c>
      <c r="H105" s="14" t="str">
        <f>IF(A105="","",IFERROR(IF(_xlfn.MINIFS(Stock_por_Lote!$H:$H,Stock_por_Lote!$B:$B,A105,Stock_por_Lote!$J:$J,"&gt;0")=0,"S/D",_xlfn.MINIFS(Stock_por_Lote!$H:$H,Stock_por_Lote!$B:$B,A105,Stock_por_Lote!$J:$J,"&gt;0")),"S/D"))</f>
        <v/>
      </c>
    </row>
    <row r="106" spans="2:8" ht="14.25">
      <c r="B106" s="3" t="str">
        <f>IF(A106="","",IFERROR(INDEX(Movimientos!$D$2:$D$1993,MATCH(A106&amp;"ENTRADA",Movimientos!$S$2:$S$1993,0)),"-"))</f>
        <v/>
      </c>
      <c r="C106" s="3" t="str">
        <f>IF(A106="","",IFERROR(INDEX(Movimientos!$E$2:$E$1993,MATCH(A106&amp;"ENTRADA",Movimientos!$S$2:$S$1993,0)),"-"))</f>
        <v/>
      </c>
      <c r="D106" s="3" t="str">
        <f>IF(A106="","",IFERROR(INDEX(Movimientos!$F$2:$F$1993,MATCH(A106&amp;"ENTRADA",Movimientos!$S$2:$S$1993,0)),"-"))</f>
        <v/>
      </c>
      <c r="E106" s="3" t="str">
        <f>IF(A106="","",IFERROR(INDEX(Movimientos!$L$2:$L$1993,MATCH(A106&amp;"ENTRADA",Movimientos!$S$2:$S$1993,0)),"-"))</f>
        <v/>
      </c>
      <c r="F106" s="8" t="str">
        <f>IF(A106="","",COUNTIFS(Stock_por_Lote!$B:$B,A106,Stock_por_Lote!$J:$J,"&gt;0"))</f>
        <v/>
      </c>
      <c r="G106" s="9" t="str">
        <f>IF(A106="","",SUMIFS(Movimientos!$K:$K,Movimientos!$C:$C,A106))</f>
        <v/>
      </c>
      <c r="H106" s="14" t="str">
        <f>IF(A106="","",IFERROR(IF(_xlfn.MINIFS(Stock_por_Lote!$H:$H,Stock_por_Lote!$B:$B,A106,Stock_por_Lote!$J:$J,"&gt;0")=0,"S/D",_xlfn.MINIFS(Stock_por_Lote!$H:$H,Stock_por_Lote!$B:$B,A106,Stock_por_Lote!$J:$J,"&gt;0")),"S/D"))</f>
        <v/>
      </c>
    </row>
    <row r="107" spans="2:8" ht="14.25">
      <c r="B107" s="3" t="str">
        <f>IF(A107="","",IFERROR(INDEX(Movimientos!$D$2:$D$1993,MATCH(A107&amp;"ENTRADA",Movimientos!$S$2:$S$1993,0)),"-"))</f>
        <v/>
      </c>
      <c r="C107" s="3" t="str">
        <f>IF(A107="","",IFERROR(INDEX(Movimientos!$E$2:$E$1993,MATCH(A107&amp;"ENTRADA",Movimientos!$S$2:$S$1993,0)),"-"))</f>
        <v/>
      </c>
      <c r="D107" s="3" t="str">
        <f>IF(A107="","",IFERROR(INDEX(Movimientos!$F$2:$F$1993,MATCH(A107&amp;"ENTRADA",Movimientos!$S$2:$S$1993,0)),"-"))</f>
        <v/>
      </c>
      <c r="E107" s="3" t="str">
        <f>IF(A107="","",IFERROR(INDEX(Movimientos!$L$2:$L$1993,MATCH(A107&amp;"ENTRADA",Movimientos!$S$2:$S$1993,0)),"-"))</f>
        <v/>
      </c>
      <c r="F107" s="8" t="str">
        <f>IF(A107="","",COUNTIFS(Stock_por_Lote!$B:$B,A107,Stock_por_Lote!$J:$J,"&gt;0"))</f>
        <v/>
      </c>
      <c r="G107" s="9" t="str">
        <f>IF(A107="","",SUMIFS(Movimientos!$K:$K,Movimientos!$C:$C,A107))</f>
        <v/>
      </c>
      <c r="H107" s="14" t="str">
        <f>IF(A107="","",IFERROR(IF(_xlfn.MINIFS(Stock_por_Lote!$H:$H,Stock_por_Lote!$B:$B,A107,Stock_por_Lote!$J:$J,"&gt;0")=0,"S/D",_xlfn.MINIFS(Stock_por_Lote!$H:$H,Stock_por_Lote!$B:$B,A107,Stock_por_Lote!$J:$J,"&gt;0")),"S/D"))</f>
        <v/>
      </c>
    </row>
    <row r="108" spans="2:8" ht="14.25">
      <c r="B108" s="3" t="str">
        <f>IF(A108="","",IFERROR(INDEX(Movimientos!$D$2:$D$1993,MATCH(A108&amp;"ENTRADA",Movimientos!$S$2:$S$1993,0)),"-"))</f>
        <v/>
      </c>
      <c r="C108" s="3" t="str">
        <f>IF(A108="","",IFERROR(INDEX(Movimientos!$E$2:$E$1993,MATCH(A108&amp;"ENTRADA",Movimientos!$S$2:$S$1993,0)),"-"))</f>
        <v/>
      </c>
      <c r="D108" s="3" t="str">
        <f>IF(A108="","",IFERROR(INDEX(Movimientos!$F$2:$F$1993,MATCH(A108&amp;"ENTRADA",Movimientos!$S$2:$S$1993,0)),"-"))</f>
        <v/>
      </c>
      <c r="E108" s="3" t="str">
        <f>IF(A108="","",IFERROR(INDEX(Movimientos!$L$2:$L$1993,MATCH(A108&amp;"ENTRADA",Movimientos!$S$2:$S$1993,0)),"-"))</f>
        <v/>
      </c>
      <c r="F108" s="8" t="str">
        <f>IF(A108="","",COUNTIFS(Stock_por_Lote!$B:$B,A108,Stock_por_Lote!$J:$J,"&gt;0"))</f>
        <v/>
      </c>
      <c r="G108" s="9" t="str">
        <f>IF(A108="","",SUMIFS(Movimientos!$K:$K,Movimientos!$C:$C,A108))</f>
        <v/>
      </c>
      <c r="H108" s="14" t="str">
        <f>IF(A108="","",IFERROR(IF(_xlfn.MINIFS(Stock_por_Lote!$H:$H,Stock_por_Lote!$B:$B,A108,Stock_por_Lote!$J:$J,"&gt;0")=0,"S/D",_xlfn.MINIFS(Stock_por_Lote!$H:$H,Stock_por_Lote!$B:$B,A108,Stock_por_Lote!$J:$J,"&gt;0")),"S/D"))</f>
        <v/>
      </c>
    </row>
    <row r="109" spans="2:8" ht="14.25">
      <c r="B109" s="3" t="str">
        <f>IF(A109="","",IFERROR(INDEX(Movimientos!$D$2:$D$1993,MATCH(A109&amp;"ENTRADA",Movimientos!$S$2:$S$1993,0)),"-"))</f>
        <v/>
      </c>
      <c r="C109" s="3" t="str">
        <f>IF(A109="","",IFERROR(INDEX(Movimientos!$E$2:$E$1993,MATCH(A109&amp;"ENTRADA",Movimientos!$S$2:$S$1993,0)),"-"))</f>
        <v/>
      </c>
      <c r="D109" s="3" t="str">
        <f>IF(A109="","",IFERROR(INDEX(Movimientos!$F$2:$F$1993,MATCH(A109&amp;"ENTRADA",Movimientos!$S$2:$S$1993,0)),"-"))</f>
        <v/>
      </c>
      <c r="E109" s="3" t="str">
        <f>IF(A109="","",IFERROR(INDEX(Movimientos!$L$2:$L$1993,MATCH(A109&amp;"ENTRADA",Movimientos!$S$2:$S$1993,0)),"-"))</f>
        <v/>
      </c>
      <c r="F109" s="8" t="str">
        <f>IF(A109="","",COUNTIFS(Stock_por_Lote!$B:$B,A109,Stock_por_Lote!$J:$J,"&gt;0"))</f>
        <v/>
      </c>
      <c r="G109" s="9" t="str">
        <f>IF(A109="","",SUMIFS(Movimientos!$K:$K,Movimientos!$C:$C,A109))</f>
        <v/>
      </c>
      <c r="H109" s="14" t="str">
        <f>IF(A109="","",IFERROR(IF(_xlfn.MINIFS(Stock_por_Lote!$H:$H,Stock_por_Lote!$B:$B,A109,Stock_por_Lote!$J:$J,"&gt;0")=0,"S/D",_xlfn.MINIFS(Stock_por_Lote!$H:$H,Stock_por_Lote!$B:$B,A109,Stock_por_Lote!$J:$J,"&gt;0")),"S/D"))</f>
        <v/>
      </c>
    </row>
    <row r="110" spans="2:8" ht="14.25">
      <c r="B110" s="3" t="str">
        <f>IF(A110="","",IFERROR(INDEX(Movimientos!$D$2:$D$1993,MATCH(A110&amp;"ENTRADA",Movimientos!$S$2:$S$1993,0)),"-"))</f>
        <v/>
      </c>
      <c r="C110" s="3" t="str">
        <f>IF(A110="","",IFERROR(INDEX(Movimientos!$E$2:$E$1993,MATCH(A110&amp;"ENTRADA",Movimientos!$S$2:$S$1993,0)),"-"))</f>
        <v/>
      </c>
      <c r="D110" s="3" t="str">
        <f>IF(A110="","",IFERROR(INDEX(Movimientos!$F$2:$F$1993,MATCH(A110&amp;"ENTRADA",Movimientos!$S$2:$S$1993,0)),"-"))</f>
        <v/>
      </c>
      <c r="E110" s="3" t="str">
        <f>IF(A110="","",IFERROR(INDEX(Movimientos!$L$2:$L$1993,MATCH(A110&amp;"ENTRADA",Movimientos!$S$2:$S$1993,0)),"-"))</f>
        <v/>
      </c>
      <c r="F110" s="8" t="str">
        <f>IF(A110="","",COUNTIFS(Stock_por_Lote!$B:$B,A110,Stock_por_Lote!$J:$J,"&gt;0"))</f>
        <v/>
      </c>
      <c r="G110" s="9" t="str">
        <f>IF(A110="","",SUMIFS(Movimientos!$K:$K,Movimientos!$C:$C,A110))</f>
        <v/>
      </c>
      <c r="H110" s="14" t="str">
        <f>IF(A110="","",IFERROR(IF(_xlfn.MINIFS(Stock_por_Lote!$H:$H,Stock_por_Lote!$B:$B,A110,Stock_por_Lote!$J:$J,"&gt;0")=0,"S/D",_xlfn.MINIFS(Stock_por_Lote!$H:$H,Stock_por_Lote!$B:$B,A110,Stock_por_Lote!$J:$J,"&gt;0")),"S/D"))</f>
        <v/>
      </c>
    </row>
    <row r="111" spans="2:8" ht="14.25">
      <c r="B111" s="3" t="str">
        <f>IF(A111="","",IFERROR(INDEX(Movimientos!$D$2:$D$1993,MATCH(A111&amp;"ENTRADA",Movimientos!$S$2:$S$1993,0)),"-"))</f>
        <v/>
      </c>
      <c r="C111" s="3" t="str">
        <f>IF(A111="","",IFERROR(INDEX(Movimientos!$E$2:$E$1993,MATCH(A111&amp;"ENTRADA",Movimientos!$S$2:$S$1993,0)),"-"))</f>
        <v/>
      </c>
      <c r="D111" s="3" t="str">
        <f>IF(A111="","",IFERROR(INDEX(Movimientos!$F$2:$F$1993,MATCH(A111&amp;"ENTRADA",Movimientos!$S$2:$S$1993,0)),"-"))</f>
        <v/>
      </c>
      <c r="E111" s="3" t="str">
        <f>IF(A111="","",IFERROR(INDEX(Movimientos!$L$2:$L$1993,MATCH(A111&amp;"ENTRADA",Movimientos!$S$2:$S$1993,0)),"-"))</f>
        <v/>
      </c>
      <c r="F111" s="8" t="str">
        <f>IF(A111="","",COUNTIFS(Stock_por_Lote!$B:$B,A111,Stock_por_Lote!$J:$J,"&gt;0"))</f>
        <v/>
      </c>
      <c r="G111" s="9" t="str">
        <f>IF(A111="","",SUMIFS(Movimientos!$K:$K,Movimientos!$C:$C,A111))</f>
        <v/>
      </c>
      <c r="H111" s="14" t="str">
        <f>IF(A111="","",IFERROR(IF(_xlfn.MINIFS(Stock_por_Lote!$H:$H,Stock_por_Lote!$B:$B,A111,Stock_por_Lote!$J:$J,"&gt;0")=0,"S/D",_xlfn.MINIFS(Stock_por_Lote!$H:$H,Stock_por_Lote!$B:$B,A111,Stock_por_Lote!$J:$J,"&gt;0")),"S/D"))</f>
        <v/>
      </c>
    </row>
    <row r="112" spans="2:8" ht="14.25">
      <c r="B112" s="3" t="str">
        <f>IF(A112="","",IFERROR(INDEX(Movimientos!$D$2:$D$1993,MATCH(A112&amp;"ENTRADA",Movimientos!$S$2:$S$1993,0)),"-"))</f>
        <v/>
      </c>
      <c r="C112" s="3" t="str">
        <f>IF(A112="","",IFERROR(INDEX(Movimientos!$E$2:$E$1993,MATCH(A112&amp;"ENTRADA",Movimientos!$S$2:$S$1993,0)),"-"))</f>
        <v/>
      </c>
      <c r="D112" s="3" t="str">
        <f>IF(A112="","",IFERROR(INDEX(Movimientos!$F$2:$F$1993,MATCH(A112&amp;"ENTRADA",Movimientos!$S$2:$S$1993,0)),"-"))</f>
        <v/>
      </c>
      <c r="E112" s="3" t="str">
        <f>IF(A112="","",IFERROR(INDEX(Movimientos!$L$2:$L$1993,MATCH(A112&amp;"ENTRADA",Movimientos!$S$2:$S$1993,0)),"-"))</f>
        <v/>
      </c>
      <c r="F112" s="8" t="str">
        <f>IF(A112="","",COUNTIFS(Stock_por_Lote!$B:$B,A112,Stock_por_Lote!$J:$J,"&gt;0"))</f>
        <v/>
      </c>
      <c r="G112" s="9" t="str">
        <f>IF(A112="","",SUMIFS(Movimientos!$K:$K,Movimientos!$C:$C,A112))</f>
        <v/>
      </c>
      <c r="H112" s="14" t="str">
        <f>IF(A112="","",IFERROR(IF(_xlfn.MINIFS(Stock_por_Lote!$H:$H,Stock_por_Lote!$B:$B,A112,Stock_por_Lote!$J:$J,"&gt;0")=0,"S/D",_xlfn.MINIFS(Stock_por_Lote!$H:$H,Stock_por_Lote!$B:$B,A112,Stock_por_Lote!$J:$J,"&gt;0")),"S/D"))</f>
        <v/>
      </c>
    </row>
  </sheetData>
  <autoFilter ref="A1:H112" xr:uid="{00000000-0001-0000-0200-000000000000}"/>
  <conditionalFormatting sqref="A9">
    <cfRule type="expression" dxfId="13" priority="7">
      <formula>$I9="ENTRADA"</formula>
    </cfRule>
    <cfRule type="expression" dxfId="12" priority="8">
      <formula>$I9="SALIDA"</formula>
    </cfRule>
  </conditionalFormatting>
  <conditionalFormatting sqref="A61">
    <cfRule type="expression" dxfId="11" priority="3">
      <formula>$I61="ENTRADA"</formula>
    </cfRule>
    <cfRule type="expression" dxfId="10" priority="4">
      <formula>$I61="SALIDA"</formula>
    </cfRule>
  </conditionalFormatting>
  <conditionalFormatting sqref="A83">
    <cfRule type="expression" dxfId="9" priority="1">
      <formula>$I83="ENTRADA"</formula>
    </cfRule>
    <cfRule type="expression" dxfId="8" priority="2">
      <formula>$I83="SALIDA"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 A39:A55 A61 A83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72" activePane="bottomLeft" state="frozen"/>
      <selection pane="bottomLeft" activeCell="A76" sqref="A76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2406</v>
      </c>
      <c r="B1" s="23" t="s">
        <v>2395</v>
      </c>
      <c r="C1" s="23" t="s">
        <v>2407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2408</v>
      </c>
      <c r="I1" s="18" t="s">
        <v>2409</v>
      </c>
      <c r="J1" s="18" t="s">
        <v>2410</v>
      </c>
      <c r="K1" s="18" t="s">
        <v>2411</v>
      </c>
    </row>
    <row r="2" spans="1:11">
      <c r="A2" s="16" t="s">
        <v>198</v>
      </c>
      <c r="B2" s="2" t="str">
        <f>IFERROR(INDEX(Movimientos!$C$2:$C$1993,MATCH(A2&amp;"ENTRADA",Movimientos!$R$2:$R$1993,0)),"-")</f>
        <v>Colza Curry CL</v>
      </c>
      <c r="C2" s="2" t="str">
        <f>IFERROR(INDEX(Movimientos!$D$2:$D$1993,MATCH(A2&amp;"ENTRADA",Movimientos!$R$2:$R$1993,0)),"-")</f>
        <v>CURRY CL</v>
      </c>
      <c r="D2" s="2" t="str">
        <f>IFERROR(INDEX(Movimientos!$E$2:$E$1993,MATCH(A2&amp;"ENTRADA",Movimientos!$R$2:$R$1993,0)),"-")</f>
        <v>Semilla</v>
      </c>
      <c r="E2" s="2" t="str">
        <f>IFERROR(INDEX(Movimientos!$F$2:$F$1993,MATCH(A2&amp;"ENTRADA",Movimientos!$R$2:$R$1993,0)),"-")</f>
        <v>Colza</v>
      </c>
      <c r="F2" s="2" t="str">
        <f>IFERROR(INDEX(Movimientos!$G$2:$G$1993,MATCH(A2&amp;"ENTRADA",Movimientos!$R$2:$R$1993,0)),"-")</f>
        <v>ERRO</v>
      </c>
      <c r="G2" s="2" t="str">
        <f>IFERROR(INDEX(Movimientos!$L$2:$L$1993,MATCH(A2&amp;"ENTRADA",Movimientos!$R$2:$R$1993,0)),"-")</f>
        <v>kg</v>
      </c>
      <c r="H2" s="17" t="str">
        <f>IFERROR(IF(INDEX(Movimientos!$M$2:$M$1993,MATCH(A2&amp;"ENTRADA",Movimientos!$R$2:$R$1993,0))=0,"S/D",INDEX(Movimientos!$M$2:$M$1993,MATCH(A2&amp;"ENTRADA",Movimientos!$R$2:$R$1993,0))),"S/D")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106</v>
      </c>
      <c r="B3" s="2" t="str">
        <f>IFERROR(INDEX(Movimientos!$C$2:$C$1993,MATCH(A3&amp;"ENTRADA",Movimientos!$R$2:$R$1993,0)),"-")</f>
        <v>Korvetto</v>
      </c>
      <c r="C3" s="2" t="str">
        <f>IFERROR(INDEX(Movimientos!$D$2:$D$1993,MATCH(A3&amp;"ENTRADA",Movimientos!$R$2:$R$1993,0)),"-")</f>
        <v xml:space="preserve">Clopyralid 12% + Halauxyfen methyl 0,51% </v>
      </c>
      <c r="D3" s="2" t="str">
        <f>IFERROR(INDEX(Movimientos!$E$2:$E$1993,MATCH(A3&amp;"ENTRADA",Movimientos!$R$2:$R$1993,0)),"-")</f>
        <v>Herbicida</v>
      </c>
      <c r="E3" s="2" t="str">
        <f>IFERROR(INDEX(Movimientos!$F$2:$F$1993,MATCH(A3&amp;"ENTRADA",Movimientos!$R$2:$R$1993,0)),"-")</f>
        <v>Postemergente</v>
      </c>
      <c r="F3" s="2" t="str">
        <f>IFERROR(INDEX(Movimientos!$G$2:$G$1993,MATCH(A3&amp;"ENTRADA",Movimientos!$R$2:$R$1993,0)),"-")</f>
        <v>GS Agro</v>
      </c>
      <c r="G3" s="2" t="str">
        <f>IFERROR(INDEX(Movimientos!$L$2:$L$1993,MATCH(A3&amp;"ENTRADA",Movimientos!$R$2:$R$1993,0)),"-")</f>
        <v>L</v>
      </c>
      <c r="H3" s="17">
        <f>IFERROR(IF(INDEX(Movimientos!$M$2:$M$1993,MATCH(A3&amp;"ENTRADA",Movimientos!$R$2:$R$1993,0))=0,"S/D",INDEX(Movimientos!$M$2:$M$1993,MATCH(A3&amp;"ENTRADA",Movimientos!$R$2:$R$1993,0))),"S/D")</f>
        <v>46710</v>
      </c>
      <c r="I3" s="15">
        <f t="shared" ca="1" si="0"/>
        <v>385</v>
      </c>
      <c r="J3" s="5">
        <f>IF(A3="","",SUMIFS(Movimientos!$K:$K,Movimientos!$H:$H,A3))</f>
        <v>10</v>
      </c>
      <c r="K3" s="13" t="str">
        <f t="shared" ca="1" si="1"/>
        <v>OK</v>
      </c>
    </row>
    <row r="4" spans="1:11">
      <c r="A4" s="16" t="s">
        <v>471</v>
      </c>
      <c r="B4" s="2" t="str">
        <f>IFERROR(INDEX(Movimientos!$C$2:$C$1993,MATCH(A4&amp;"ENTRADA",Movimientos!$R$2:$R$1993,0)),"-")</f>
        <v>Lontrel</v>
      </c>
      <c r="C4" s="2" t="str">
        <f>IFERROR(INDEX(Movimientos!$D$2:$D$1993,MATCH(A4&amp;"ENTRADA",Movimientos!$R$2:$R$1993,0)),"-")</f>
        <v>Clopyralid sal monoetanolamina 40.9%</v>
      </c>
      <c r="D4" s="2" t="str">
        <f>IFERROR(INDEX(Movimientos!$E$2:$E$1993,MATCH(A4&amp;"ENTRADA",Movimientos!$R$2:$R$1993,0)),"-")</f>
        <v>Herbicida</v>
      </c>
      <c r="E4" s="2" t="str">
        <f>IFERROR(INDEX(Movimientos!$F$2:$F$1993,MATCH(A4&amp;"ENTRADA",Movimientos!$R$2:$R$1993,0)),"-")</f>
        <v>Postemergente</v>
      </c>
      <c r="F4" s="2" t="str">
        <f>IFERROR(INDEX(Movimientos!$G$2:$G$1993,MATCH(A4&amp;"ENTRADA",Movimientos!$R$2:$R$1993,0)),"-")</f>
        <v>GS Agro</v>
      </c>
      <c r="G4" s="2" t="str">
        <f>IFERROR(INDEX(Movimientos!$L$2:$L$1993,MATCH(A4&amp;"ENTRADA",Movimientos!$R$2:$R$1993,0)),"-")</f>
        <v>L</v>
      </c>
      <c r="H4" s="17">
        <f>IFERROR(IF(INDEX(Movimientos!$M$2:$M$1993,MATCH(A4&amp;"ENTRADA",Movimientos!$R$2:$R$1993,0))=0,"S/D",INDEX(Movimientos!$M$2:$M$1993,MATCH(A4&amp;"ENTRADA",Movimientos!$R$2:$R$1993,0))),"S/D")</f>
        <v>46500</v>
      </c>
      <c r="I4" s="15">
        <f t="shared" ca="1" si="0"/>
        <v>175</v>
      </c>
      <c r="J4" s="5">
        <f>IF(A4="","",SUMIFS(Movimientos!$K:$K,Movimientos!$H:$H,A4))</f>
        <v>255</v>
      </c>
      <c r="K4" s="13" t="str">
        <f t="shared" ca="1" si="1"/>
        <v>PRÓXIMO A VENCER</v>
      </c>
    </row>
    <row r="5" spans="1:11">
      <c r="A5" s="16" t="s">
        <v>64</v>
      </c>
      <c r="B5" s="2" t="str">
        <f>IFERROR(INDEX(Movimientos!$C$2:$C$1993,MATCH(A5&amp;"ENTRADA",Movimientos!$R$2:$R$1993,0)),"-")</f>
        <v>Preside</v>
      </c>
      <c r="C5" s="2" t="str">
        <f>IFERROR(INDEX(Movimientos!$D$2:$D$1993,MATCH(A5&amp;"ENTRADA",Movimientos!$R$2:$R$1993,0)),"-")</f>
        <v>Flumetsulam 11,35%</v>
      </c>
      <c r="D5" s="2" t="str">
        <f>IFERROR(INDEX(Movimientos!$E$2:$E$1993,MATCH(A5&amp;"ENTRADA",Movimientos!$R$2:$R$1993,0)),"-")</f>
        <v>Herbicida</v>
      </c>
      <c r="E5" s="2" t="str">
        <f>IFERROR(INDEX(Movimientos!$F$2:$F$1993,MATCH(A5&amp;"ENTRADA",Movimientos!$R$2:$R$1993,0)),"-")</f>
        <v>Preemergente</v>
      </c>
      <c r="F5" s="2" t="str">
        <f>IFERROR(INDEX(Movimientos!$G$2:$G$1993,MATCH(A5&amp;"ENTRADA",Movimientos!$R$2:$R$1993,0)),"-")</f>
        <v>GS Agro</v>
      </c>
      <c r="G5" s="2" t="str">
        <f>IFERROR(INDEX(Movimientos!$L$2:$L$1993,MATCH(A5&amp;"ENTRADA",Movimientos!$R$2:$R$1993,0)),"-")</f>
        <v>L</v>
      </c>
      <c r="H5" s="17">
        <f>IFERROR(IF(INDEX(Movimientos!$M$2:$M$1993,MATCH(A5&amp;"ENTRADA",Movimientos!$R$2:$R$1993,0))=0,"S/D",INDEX(Movimientos!$M$2:$M$1993,MATCH(A5&amp;"ENTRADA",Movimientos!$R$2:$R$1993,0))),"S/D")</f>
        <v>46528</v>
      </c>
      <c r="I5" s="15">
        <f t="shared" ca="1" si="0"/>
        <v>203</v>
      </c>
      <c r="J5" s="5">
        <f>IF(A5="","",SUMIFS(Movimientos!$K:$K,Movimientos!$H:$H,A5))</f>
        <v>1820</v>
      </c>
      <c r="K5" s="13" t="str">
        <f t="shared" ca="1" si="1"/>
        <v>OK</v>
      </c>
    </row>
    <row r="6" spans="1:11">
      <c r="A6" s="16" t="s">
        <v>2412</v>
      </c>
      <c r="B6" s="2" t="str">
        <f>IFERROR(INDEX(Movimientos!$C$2:$C$1993,MATCH(A6&amp;"ENTRADA",Movimientos!$R$2:$R$1993,0)),"-")</f>
        <v>Preside</v>
      </c>
      <c r="C6" s="2" t="str">
        <f>IFERROR(INDEX(Movimientos!$D$2:$D$1993,MATCH(A6&amp;"ENTRADA",Movimientos!$R$2:$R$1993,0)),"-")</f>
        <v>Flumetsulam 11,35%</v>
      </c>
      <c r="D6" s="2" t="str">
        <f>IFERROR(INDEX(Movimientos!$E$2:$E$1993,MATCH(A6&amp;"ENTRADA",Movimientos!$R$2:$R$1993,0)),"-")</f>
        <v>Herbicida</v>
      </c>
      <c r="E6" s="2" t="str">
        <f>IFERROR(INDEX(Movimientos!$F$2:$F$1993,MATCH(A6&amp;"ENTRADA",Movimientos!$R$2:$R$1993,0)),"-")</f>
        <v>Preemergente</v>
      </c>
      <c r="F6" s="2" t="str">
        <f>IFERROR(INDEX(Movimientos!$G$2:$G$1993,MATCH(A6&amp;"ENTRADA",Movimientos!$R$2:$R$1993,0)),"-")</f>
        <v>GS Agro</v>
      </c>
      <c r="G6" s="2" t="str">
        <f>IFERROR(INDEX(Movimientos!$L$2:$L$1993,MATCH(A6&amp;"ENTRADA",Movimientos!$R$2:$R$1993,0)),"-")</f>
        <v>L</v>
      </c>
      <c r="H6" s="17">
        <f>IFERROR(IF(INDEX(Movimientos!$M$2:$M$1993,MATCH(A6&amp;"ENTRADA",Movimientos!$R$2:$R$1993,0))=0,"S/D",INDEX(Movimientos!$M$2:$M$1993,MATCH(A6&amp;"ENTRADA",Movimientos!$R$2:$R$1993,0))),"S/D")</f>
        <v>46761</v>
      </c>
      <c r="I6" s="15">
        <f t="shared" ca="1" si="0"/>
        <v>436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281</v>
      </c>
      <c r="B7" s="2" t="str">
        <f>IFERROR(INDEX(Movimientos!$C$2:$C$1993,MATCH(A7&amp;"ENTRADA",Movimientos!$R$2:$R$1993,0)),"-")</f>
        <v>Tordon 24K</v>
      </c>
      <c r="C7" s="2" t="str">
        <f>IFERROR(INDEX(Movimientos!$D$2:$D$1993,MATCH(A7&amp;"ENTRADA",Movimientos!$R$2:$R$1993,0)),"-")</f>
        <v>Picloram 24,9%</v>
      </c>
      <c r="D7" s="2" t="str">
        <f>IFERROR(INDEX(Movimientos!$E$2:$E$1993,MATCH(A7&amp;"ENTRADA",Movimientos!$R$2:$R$1993,0)),"-")</f>
        <v>Herbicida</v>
      </c>
      <c r="E7" s="2" t="str">
        <f>IFERROR(INDEX(Movimientos!$F$2:$F$1993,MATCH(A7&amp;"ENTRADA",Movimientos!$R$2:$R$1993,0)),"-")</f>
        <v>Postemergente</v>
      </c>
      <c r="F7" s="2" t="str">
        <f>IFERROR(INDEX(Movimientos!$G$2:$G$1993,MATCH(A7&amp;"ENTRADA",Movimientos!$R$2:$R$1993,0)),"-")</f>
        <v>GS Agro</v>
      </c>
      <c r="G7" s="2" t="str">
        <f>IFERROR(INDEX(Movimientos!$L$2:$L$1993,MATCH(A7&amp;"ENTRADA",Movimientos!$R$2:$R$1993,0)),"-")</f>
        <v>L</v>
      </c>
      <c r="H7" s="17">
        <f>IFERROR(IF(INDEX(Movimientos!$M$2:$M$1993,MATCH(A7&amp;"ENTRADA",Movimientos!$R$2:$R$1993,0))=0,"S/D",INDEX(Movimientos!$M$2:$M$1993,MATCH(A7&amp;"ENTRADA",Movimientos!$R$2:$R$1993,0))),"S/D")</f>
        <v>46517</v>
      </c>
      <c r="I7" s="15">
        <f t="shared" ca="1" si="0"/>
        <v>192</v>
      </c>
      <c r="J7" s="5">
        <f>IF(A7="","",SUMIFS(Movimientos!$K:$K,Movimientos!$H:$H,A7))</f>
        <v>70</v>
      </c>
      <c r="K7" s="13" t="str">
        <f t="shared" ca="1" si="1"/>
        <v>OK</v>
      </c>
    </row>
    <row r="8" spans="1:11">
      <c r="A8" s="16" t="s">
        <v>97</v>
      </c>
      <c r="B8" s="2" t="str">
        <f>IFERROR(INDEX(Movimientos!$C$2:$C$1993,MATCH(A8&amp;"ENTRADA",Movimientos!$R$2:$R$1993,0)),"-")</f>
        <v>Tronador</v>
      </c>
      <c r="C8" s="2" t="str">
        <f>IFERROR(INDEX(Movimientos!$D$2:$D$1993,MATCH(A8&amp;"ENTRADA",Movimientos!$R$2:$R$1993,0)),"-")</f>
        <v>Halauxifen metil 3.3% + Aminopyralid 2.7% + Metsulfuron metil 20%</v>
      </c>
      <c r="D8" s="2" t="str">
        <f>IFERROR(INDEX(Movimientos!$E$2:$E$1993,MATCH(A8&amp;"ENTRADA",Movimientos!$R$2:$R$1993,0)),"-")</f>
        <v>Herbicida</v>
      </c>
      <c r="E8" s="2" t="str">
        <f>IFERROR(INDEX(Movimientos!$F$2:$F$1993,MATCH(A8&amp;"ENTRADA",Movimientos!$R$2:$R$1993,0)),"-")</f>
        <v>Postemergente</v>
      </c>
      <c r="F8" s="2" t="str">
        <f>IFERROR(INDEX(Movimientos!$G$2:$G$1993,MATCH(A8&amp;"ENTRADA",Movimientos!$R$2:$R$1993,0)),"-")</f>
        <v>GS Agro</v>
      </c>
      <c r="G8" s="2" t="str">
        <f>IFERROR(INDEX(Movimientos!$L$2:$L$1993,MATCH(A8&amp;"ENTRADA",Movimientos!$R$2:$R$1993,0)),"-")</f>
        <v>Pack</v>
      </c>
      <c r="H8" s="17">
        <f>IFERROR(IF(INDEX(Movimientos!$M$2:$M$1993,MATCH(A8&amp;"ENTRADA",Movimientos!$R$2:$R$1993,0))=0,"S/D",INDEX(Movimientos!$M$2:$M$1993,MATCH(A8&amp;"ENTRADA",Movimientos!$R$2:$R$1993,0))),"S/D")</f>
        <v>46443</v>
      </c>
      <c r="I8" s="15">
        <f t="shared" ca="1" si="0"/>
        <v>118</v>
      </c>
      <c r="J8" s="5">
        <f>IF(A8="","",SUMIFS(Movimientos!$K:$K,Movimientos!$H:$H,A8))</f>
        <v>0</v>
      </c>
      <c r="K8" s="13" t="str">
        <f t="shared" ca="1" si="1"/>
        <v>SIN STOCK</v>
      </c>
    </row>
    <row r="9" spans="1:11">
      <c r="A9" s="16" t="s">
        <v>68</v>
      </c>
      <c r="B9" s="2" t="str">
        <f>IFERROR(INDEX(Movimientos!$C$2:$C$1993,MATCH(A9&amp;"ENTRADA",Movimientos!$R$2:$R$1993,0)),"-")</f>
        <v>Venceweed extra</v>
      </c>
      <c r="C9" s="2" t="str">
        <f>IFERROR(INDEX(Movimientos!$D$2:$D$1993,MATCH(A9&amp;"ENTRADA",Movimientos!$R$2:$R$1993,0)),"-")</f>
        <v>2,4-Db-Butilo 93.1%</v>
      </c>
      <c r="D9" s="2" t="str">
        <f>IFERROR(INDEX(Movimientos!$E$2:$E$1993,MATCH(A9&amp;"ENTRADA",Movimientos!$R$2:$R$1993,0)),"-")</f>
        <v>Herbicida</v>
      </c>
      <c r="E9" s="2" t="str">
        <f>IFERROR(INDEX(Movimientos!$F$2:$F$1993,MATCH(A9&amp;"ENTRADA",Movimientos!$R$2:$R$1993,0)),"-")</f>
        <v>Postemergente</v>
      </c>
      <c r="F9" s="2" t="str">
        <f>IFERROR(INDEX(Movimientos!$G$2:$G$1993,MATCH(A9&amp;"ENTRADA",Movimientos!$R$2:$R$1993,0)),"-")</f>
        <v>GS Agro</v>
      </c>
      <c r="G9" s="2" t="str">
        <f>IFERROR(INDEX(Movimientos!$L$2:$L$1993,MATCH(A9&amp;"ENTRADA",Movimientos!$R$2:$R$1993,0)),"-")</f>
        <v>L</v>
      </c>
      <c r="H9" s="17">
        <f>IFERROR(IF(INDEX(Movimientos!$M$2:$M$1993,MATCH(A9&amp;"ENTRADA",Movimientos!$R$2:$R$1993,0))=0,"S/D",INDEX(Movimientos!$M$2:$M$1993,MATCH(A9&amp;"ENTRADA",Movimientos!$R$2:$R$1993,0))),"S/D")</f>
        <v>46737</v>
      </c>
      <c r="I9" s="15">
        <f t="shared" ref="I9:I68" ca="1" si="2">IF(OR(A9="",H9="S/D"),"S/D",H9-TODAY())</f>
        <v>412</v>
      </c>
      <c r="J9" s="5">
        <f>IF(A9="","",SUMIFS(Movimientos!$K:$K,Movimientos!$H:$H,A9))</f>
        <v>1700</v>
      </c>
      <c r="K9" s="13" t="str">
        <f t="shared" ca="1" si="1"/>
        <v>OK</v>
      </c>
    </row>
    <row r="10" spans="1:11">
      <c r="A10" s="16" t="s">
        <v>154</v>
      </c>
      <c r="B10" s="2" t="str">
        <f>IFERROR(INDEX(Movimientos!$C$2:$C$1993,MATCH(A10&amp;"ENTRADA",Movimientos!$R$2:$R$1993,0)),"-")</f>
        <v>Silobolsa</v>
      </c>
      <c r="C10" s="2" t="str">
        <f>IFERROR(INDEX(Movimientos!$D$2:$D$1993,MATCH(A10&amp;"ENTRADA",Movimientos!$R$2:$R$1993,0)),"-")</f>
        <v>Silobolsa 9 pies</v>
      </c>
      <c r="D10" s="2" t="str">
        <f>IFERROR(INDEX(Movimientos!$E$2:$E$1993,MATCH(A10&amp;"ENTRADA",Movimientos!$R$2:$R$1993,0)),"-")</f>
        <v>Silobolsa</v>
      </c>
      <c r="E10" s="2">
        <f>IFERROR(INDEX(Movimientos!$F$2:$F$1993,MATCH(A10&amp;"ENTRADA",Movimientos!$R$2:$R$1993,0)),"-")</f>
        <v>0</v>
      </c>
      <c r="F10" s="2" t="str">
        <f>IFERROR(INDEX(Movimientos!$G$2:$G$1993,MATCH(A10&amp;"ENTRADA",Movimientos!$R$2:$R$1993,0)),"-")</f>
        <v>AYP Agrogestiones</v>
      </c>
      <c r="G10" s="2" t="str">
        <f>IFERROR(INDEX(Movimientos!$L$2:$L$1993,MATCH(A10&amp;"ENTRADA",Movimientos!$R$2:$R$1993,0)),"-")</f>
        <v>unidad</v>
      </c>
      <c r="H10" s="17" t="str">
        <f>IFERROR(IF(INDEX(Movimientos!$M$2:$M$1993,MATCH(A10&amp;"ENTRADA",Movimientos!$R$2:$R$1993,0))=0,"S/D",INDEX(Movimientos!$M$2:$M$1993,MATCH(A10&amp;"ENTRADA",Movimientos!$R$2:$R$1993,0))),"S/D")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94</v>
      </c>
      <c r="B11" s="2" t="str">
        <f>IFERROR(INDEX(Movimientos!$C$2:$C$1993,MATCH(A11&amp;"ENTRADA",Movimientos!$R$2:$R$1993,0)),"-")</f>
        <v>Dedalo elite</v>
      </c>
      <c r="C11" s="2" t="str">
        <f>IFERROR(INDEX(Movimientos!$D$2:$D$1993,MATCH(A11&amp;"ENTRADA",Movimientos!$R$2:$R$1993,0)),"-")</f>
        <v>2,4 D Acido 27.2%</v>
      </c>
      <c r="D11" s="2" t="str">
        <f>IFERROR(INDEX(Movimientos!$E$2:$E$1993,MATCH(A11&amp;"ENTRADA",Movimientos!$R$2:$R$1993,0)),"-")</f>
        <v>Herbicida</v>
      </c>
      <c r="E11" s="2" t="str">
        <f>IFERROR(INDEX(Movimientos!$F$2:$F$1993,MATCH(A11&amp;"ENTRADA",Movimientos!$R$2:$R$1993,0)),"-")</f>
        <v>Postemergente</v>
      </c>
      <c r="F11" s="2" t="str">
        <f>IFERROR(INDEX(Movimientos!$G$2:$G$1993,MATCH(A11&amp;"ENTRADA",Movimientos!$R$2:$R$1993,0)),"-")</f>
        <v>Agromil</v>
      </c>
      <c r="G11" s="2" t="str">
        <f>IFERROR(INDEX(Movimientos!$L$2:$L$1993,MATCH(A11&amp;"ENTRADA",Movimientos!$R$2:$R$1993,0)),"-")</f>
        <v>L</v>
      </c>
      <c r="H11" s="17">
        <f>IFERROR(IF(INDEX(Movimientos!$M$2:$M$1993,MATCH(A11&amp;"ENTRADA",Movimientos!$R$2:$R$1993,0))=0,"S/D",INDEX(Movimientos!$M$2:$M$1993,MATCH(A11&amp;"ENTRADA",Movimientos!$R$2:$R$1993,0))),"S/D")</f>
        <v>46725</v>
      </c>
      <c r="I11" s="15">
        <f t="shared" ca="1" si="2"/>
        <v>400</v>
      </c>
      <c r="J11" s="5">
        <f>IF(A11="","",SUMIFS(Movimientos!$K:$K,Movimientos!$H:$H,A11))</f>
        <v>3720</v>
      </c>
      <c r="K11" s="13" t="str">
        <f t="shared" ca="1" si="1"/>
        <v>OK</v>
      </c>
    </row>
    <row r="12" spans="1:11">
      <c r="A12" s="16" t="s">
        <v>151</v>
      </c>
      <c r="B12" s="2" t="str">
        <f>IFERROR(INDEX(Movimientos!$C$2:$C$1993,MATCH(A12&amp;"ENTRADA",Movimientos!$R$2:$R$1993,0)),"-")</f>
        <v>Raigrás E284</v>
      </c>
      <c r="C12" s="2" t="str">
        <f>IFERROR(INDEX(Movimientos!$D$2:$D$1993,MATCH(A12&amp;"ENTRADA",Movimientos!$R$2:$R$1993,0)),"-")</f>
        <v>Estanzuela 284</v>
      </c>
      <c r="D12" s="2" t="str">
        <f>IFERROR(INDEX(Movimientos!$E$2:$E$1993,MATCH(A12&amp;"ENTRADA",Movimientos!$R$2:$R$1993,0)),"-")</f>
        <v>Semilla</v>
      </c>
      <c r="E12" s="2" t="str">
        <f>IFERROR(INDEX(Movimientos!$F$2:$F$1993,MATCH(A12&amp;"ENTRADA",Movimientos!$R$2:$R$1993,0)),"-")</f>
        <v>Raigrás</v>
      </c>
      <c r="F12" s="2" t="str">
        <f>IFERROR(INDEX(Movimientos!$G$2:$G$1993,MATCH(A12&amp;"ENTRADA",Movimientos!$R$2:$R$1993,0)),"-")</f>
        <v>Granicor</v>
      </c>
      <c r="G12" s="2" t="str">
        <f>IFERROR(INDEX(Movimientos!$L$2:$L$1993,MATCH(A12&amp;"ENTRADA",Movimientos!$R$2:$R$1993,0)),"-")</f>
        <v>kg</v>
      </c>
      <c r="H12" s="17" t="str">
        <f>IFERROR(IF(INDEX(Movimientos!$M$2:$M$1993,MATCH(A12&amp;"ENTRADA",Movimientos!$R$2:$R$1993,0))=0,"S/D",INDEX(Movimientos!$M$2:$M$1993,MATCH(A12&amp;"ENTRADA",Movimientos!$R$2:$R$1993,0))),"S/D")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100</v>
      </c>
      <c r="B13" s="2" t="str">
        <f>IFERROR(INDEX(Movimientos!$C$2:$C$1993,MATCH(A13&amp;"ENTRADA",Movimientos!$R$2:$R$1993,0)),"-")</f>
        <v>Starane Xtra</v>
      </c>
      <c r="C13" s="2" t="str">
        <f>IFERROR(INDEX(Movimientos!$D$2:$D$1993,MATCH(A13&amp;"ENTRADA",Movimientos!$R$2:$R$1993,0)),"-")</f>
        <v>Fluroxypyr Meptil 45,52%</v>
      </c>
      <c r="D13" s="2" t="str">
        <f>IFERROR(INDEX(Movimientos!$E$2:$E$1993,MATCH(A13&amp;"ENTRADA",Movimientos!$R$2:$R$1993,0)),"-")</f>
        <v>Herbicida</v>
      </c>
      <c r="E13" s="2" t="str">
        <f>IFERROR(INDEX(Movimientos!$F$2:$F$1993,MATCH(A13&amp;"ENTRADA",Movimientos!$R$2:$R$1993,0)),"-")</f>
        <v>Postemergente</v>
      </c>
      <c r="F13" s="2" t="str">
        <f>IFERROR(INDEX(Movimientos!$G$2:$G$1993,MATCH(A13&amp;"ENTRADA",Movimientos!$R$2:$R$1993,0)),"-")</f>
        <v>GS Agro</v>
      </c>
      <c r="G13" s="2" t="str">
        <f>IFERROR(INDEX(Movimientos!$L$2:$L$1993,MATCH(A13&amp;"ENTRADA",Movimientos!$R$2:$R$1993,0)),"-")</f>
        <v>L</v>
      </c>
      <c r="H13" s="17">
        <f>IFERROR(IF(INDEX(Movimientos!$M$2:$M$1993,MATCH(A13&amp;"ENTRADA",Movimientos!$R$2:$R$1993,0))=0,"S/D",INDEX(Movimientos!$M$2:$M$1993,MATCH(A13&amp;"ENTRADA",Movimientos!$R$2:$R$1993,0))),"S/D")</f>
        <v>46509</v>
      </c>
      <c r="I13" s="15">
        <f t="shared" ca="1" si="2"/>
        <v>184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103</v>
      </c>
      <c r="B14" s="2" t="str">
        <f>IFERROR(INDEX(Movimientos!$C$2:$C$1993,MATCH(A14&amp;"ENTRADA",Movimientos!$R$2:$R$1993,0)),"-")</f>
        <v>Pixxaro</v>
      </c>
      <c r="C14" s="2" t="str">
        <f>IFERROR(INDEX(Movimientos!$D$2:$D$1993,MATCH(A14&amp;"ENTRADA",Movimientos!$R$2:$R$1993,0)),"-")</f>
        <v>Fluroxypyr meptyl 34,91% + Halauxyfen methyl 1.64% + Cloquintocet mexyl 1.57%</v>
      </c>
      <c r="D14" s="2" t="str">
        <f>IFERROR(INDEX(Movimientos!$E$2:$E$1993,MATCH(A14&amp;"ENTRADA",Movimientos!$R$2:$R$1993,0)),"-")</f>
        <v>Herbicida</v>
      </c>
      <c r="E14" s="2" t="str">
        <f>IFERROR(INDEX(Movimientos!$F$2:$F$1993,MATCH(A14&amp;"ENTRADA",Movimientos!$R$2:$R$1993,0)),"-")</f>
        <v>Postemergente</v>
      </c>
      <c r="F14" s="2" t="str">
        <f>IFERROR(INDEX(Movimientos!$G$2:$G$1993,MATCH(A14&amp;"ENTRADA",Movimientos!$R$2:$R$1993,0)),"-")</f>
        <v>GS Agro</v>
      </c>
      <c r="G14" s="2" t="str">
        <f>IFERROR(INDEX(Movimientos!$L$2:$L$1993,MATCH(A14&amp;"ENTRADA",Movimientos!$R$2:$R$1993,0)),"-")</f>
        <v>L</v>
      </c>
      <c r="H14" s="17">
        <f>IFERROR(IF(INDEX(Movimientos!$M$2:$M$1993,MATCH(A14&amp;"ENTRADA",Movimientos!$R$2:$R$1993,0))=0,"S/D",INDEX(Movimientos!$M$2:$M$1993,MATCH(A14&amp;"ENTRADA",Movimientos!$R$2:$R$1993,0))),"S/D")</f>
        <v>46397</v>
      </c>
      <c r="I14" s="15">
        <f t="shared" ca="1" si="2"/>
        <v>72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278</v>
      </c>
      <c r="B15" s="2" t="str">
        <f>IFERROR(INDEX(Movimientos!$C$2:$C$1993,MATCH(A15&amp;"ENTRADA",Movimientos!$R$2:$R$1993,0)),"-")</f>
        <v>Colza Hyola 575 CL</v>
      </c>
      <c r="C15" s="2" t="str">
        <f>IFERROR(INDEX(Movimientos!$D$2:$D$1993,MATCH(A15&amp;"ENTRADA",Movimientos!$R$2:$R$1993,0)),"-")</f>
        <v>HYOLA 575 CL</v>
      </c>
      <c r="D15" s="2" t="str">
        <f>IFERROR(INDEX(Movimientos!$E$2:$E$1993,MATCH(A15&amp;"ENTRADA",Movimientos!$R$2:$R$1993,0)),"-")</f>
        <v>Semilla</v>
      </c>
      <c r="E15" s="2" t="str">
        <f>IFERROR(INDEX(Movimientos!$F$2:$F$1993,MATCH(A15&amp;"ENTRADA",Movimientos!$R$2:$R$1993,0)),"-")</f>
        <v>Colza</v>
      </c>
      <c r="F15" s="2" t="str">
        <f>IFERROR(INDEX(Movimientos!$G$2:$G$1993,MATCH(A15&amp;"ENTRADA",Movimientos!$R$2:$R$1993,0)),"-")</f>
        <v>ERRO</v>
      </c>
      <c r="G15" s="2" t="str">
        <f>IFERROR(INDEX(Movimientos!$L$2:$L$1993,MATCH(A15&amp;"ENTRADA",Movimientos!$R$2:$R$1993,0)),"-")</f>
        <v>kg</v>
      </c>
      <c r="H15" s="17" t="str">
        <f>IFERROR(IF(INDEX(Movimientos!$M$2:$M$1993,MATCH(A15&amp;"ENTRADA",Movimientos!$R$2:$R$1993,0))=0,"S/D",INDEX(Movimientos!$M$2:$M$1993,MATCH(A15&amp;"ENTRADA",Movimientos!$R$2:$R$1993,0))),"S/D")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215</v>
      </c>
      <c r="B16" s="2" t="str">
        <f>IFERROR(INDEX(Movimientos!$C$2:$C$1993,MATCH(A16&amp;"ENTRADA",Movimientos!$R$2:$R$1993,0)),"-")</f>
        <v>Colza Apolo CL</v>
      </c>
      <c r="C16" s="2" t="str">
        <f>IFERROR(INDEX(Movimientos!$D$2:$D$1993,MATCH(A16&amp;"ENTRADA",Movimientos!$R$2:$R$1993,0)),"-")</f>
        <v>APOLO CL</v>
      </c>
      <c r="D16" s="2" t="str">
        <f>IFERROR(INDEX(Movimientos!$E$2:$E$1993,MATCH(A16&amp;"ENTRADA",Movimientos!$R$2:$R$1993,0)),"-")</f>
        <v>Semilla</v>
      </c>
      <c r="E16" s="2" t="str">
        <f>IFERROR(INDEX(Movimientos!$F$2:$F$1993,MATCH(A16&amp;"ENTRADA",Movimientos!$R$2:$R$1993,0)),"-")</f>
        <v>Colza</v>
      </c>
      <c r="F16" s="2" t="str">
        <f>IFERROR(INDEX(Movimientos!$G$2:$G$1993,MATCH(A16&amp;"ENTRADA",Movimientos!$R$2:$R$1993,0)),"-")</f>
        <v>ERRO</v>
      </c>
      <c r="G16" s="2" t="str">
        <f>IFERROR(INDEX(Movimientos!$L$2:$L$1993,MATCH(A16&amp;"ENTRADA",Movimientos!$R$2:$R$1993,0)),"-")</f>
        <v>kg</v>
      </c>
      <c r="H16" s="17" t="str">
        <f>IFERROR(IF(INDEX(Movimientos!$M$2:$M$1993,MATCH(A16&amp;"ENTRADA",Movimientos!$R$2:$R$1993,0))=0,"S/D",INDEX(Movimientos!$M$2:$M$1993,MATCH(A16&amp;"ENTRADA",Movimientos!$R$2:$R$1993,0))),"S/D")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120</v>
      </c>
      <c r="B17" s="2" t="str">
        <f>IFERROR(INDEX(Movimientos!$C$2:$C$1993,MATCH(A17&amp;"ENTRADA",Movimientos!$R$2:$R$1993,0)),"-")</f>
        <v>Azuka</v>
      </c>
      <c r="C17" s="2" t="str">
        <f>IFERROR(INDEX(Movimientos!$D$2:$D$1993,MATCH(A17&amp;"ENTRADA",Movimientos!$R$2:$R$1993,0)),"-")</f>
        <v>Glifosato Sal DMA 608 g/L. Equivalente en glifosato 480 g/L</v>
      </c>
      <c r="D17" s="2" t="str">
        <f>IFERROR(INDEX(Movimientos!$E$2:$E$1993,MATCH(A17&amp;"ENTRADA",Movimientos!$R$2:$R$1993,0)),"-")</f>
        <v>Herbicida</v>
      </c>
      <c r="E17" s="2" t="str">
        <f>IFERROR(INDEX(Movimientos!$F$2:$F$1993,MATCH(A17&amp;"ENTRADA",Movimientos!$R$2:$R$1993,0)),"-")</f>
        <v>Postemergente</v>
      </c>
      <c r="F17" s="2" t="str">
        <f>IFERROR(INDEX(Movimientos!$G$2:$G$1993,MATCH(A17&amp;"ENTRADA",Movimientos!$R$2:$R$1993,0)),"-")</f>
        <v>Proquimur</v>
      </c>
      <c r="G17" s="2" t="str">
        <f>IFERROR(INDEX(Movimientos!$L$2:$L$1993,MATCH(A17&amp;"ENTRADA",Movimientos!$R$2:$R$1993,0)),"-")</f>
        <v>L</v>
      </c>
      <c r="H17" s="17">
        <f>IFERROR(IF(INDEX(Movimientos!$M$2:$M$1993,MATCH(A17&amp;"ENTRADA",Movimientos!$R$2:$R$1993,0))=0,"S/D",INDEX(Movimientos!$M$2:$M$1993,MATCH(A17&amp;"ENTRADA",Movimientos!$R$2:$R$1993,0))),"S/D")</f>
        <v>46692</v>
      </c>
      <c r="I17" s="15">
        <f t="shared" ca="1" si="2"/>
        <v>367</v>
      </c>
      <c r="J17" s="5">
        <f>IF(A17="","",SUMIFS(Movimientos!$K:$K,Movimientos!$H:$H,A17))</f>
        <v>27740</v>
      </c>
      <c r="K17" s="13" t="str">
        <f t="shared" ca="1" si="1"/>
        <v>OK</v>
      </c>
    </row>
    <row r="18" spans="1:11">
      <c r="A18" s="16" t="s">
        <v>203</v>
      </c>
      <c r="B18" s="2" t="str">
        <f>IFERROR(INDEX(Movimientos!$C$2:$C$1993,MATCH(A18&amp;"ENTRADA",Movimientos!$R$2:$R$1993,0)),"-")</f>
        <v>Pardo</v>
      </c>
      <c r="C18" s="2" t="str">
        <f>IFERROR(INDEX(Movimientos!$D$2:$D$1993,MATCH(A18&amp;"ENTRADA",Movimientos!$R$2:$R$1993,0)),"-")</f>
        <v>Clethodim 240 g/L</v>
      </c>
      <c r="D18" s="2" t="str">
        <f>IFERROR(INDEX(Movimientos!$E$2:$E$1993,MATCH(A18&amp;"ENTRADA",Movimientos!$R$2:$R$1993,0)),"-")</f>
        <v>Herbicida</v>
      </c>
      <c r="E18" s="2" t="str">
        <f>IFERROR(INDEX(Movimientos!$F$2:$F$1993,MATCH(A18&amp;"ENTRADA",Movimientos!$R$2:$R$1993,0)),"-")</f>
        <v>Postemergente</v>
      </c>
      <c r="F18" s="2" t="str">
        <f>IFERROR(INDEX(Movimientos!$G$2:$G$1993,MATCH(A18&amp;"ENTRADA",Movimientos!$R$2:$R$1993,0)),"-")</f>
        <v>Proquimur</v>
      </c>
      <c r="G18" s="2" t="str">
        <f>IFERROR(INDEX(Movimientos!$L$2:$L$1993,MATCH(A18&amp;"ENTRADA",Movimientos!$R$2:$R$1993,0)),"-")</f>
        <v>L</v>
      </c>
      <c r="H18" s="17">
        <f>IFERROR(IF(INDEX(Movimientos!$M$2:$M$1993,MATCH(A18&amp;"ENTRADA",Movimientos!$R$2:$R$1993,0))=0,"S/D",INDEX(Movimientos!$M$2:$M$1993,MATCH(A18&amp;"ENTRADA",Movimientos!$R$2:$R$1993,0))),"S/D")</f>
        <v>46753</v>
      </c>
      <c r="I18" s="15">
        <f t="shared" ca="1" si="2"/>
        <v>428</v>
      </c>
      <c r="J18" s="5">
        <f>IF(A18="","",SUMIFS(Movimientos!$K:$K,Movimientos!$H:$H,A18))</f>
        <v>2800</v>
      </c>
      <c r="K18" s="13" t="str">
        <f t="shared" ca="1" si="1"/>
        <v>OK</v>
      </c>
    </row>
    <row r="19" spans="1:11">
      <c r="A19" s="16" t="s">
        <v>209</v>
      </c>
      <c r="B19" s="2" t="str">
        <f>IFERROR(INDEX(Movimientos!$C$2:$C$1993,MATCH(A19&amp;"ENTRADA",Movimientos!$R$2:$R$1993,0)),"-")</f>
        <v>Harrier</v>
      </c>
      <c r="C19" s="2" t="str">
        <f>IFERROR(INDEX(Movimientos!$D$2:$D$1993,MATCH(A19&amp;"ENTRADA",Movimientos!$R$2:$R$1993,0)),"-")</f>
        <v>ALCOHOL LINEAL ETOXILADO 32.7%</v>
      </c>
      <c r="D19" s="2" t="str">
        <f>IFERROR(INDEX(Movimientos!$E$2:$E$1993,MATCH(A19&amp;"ENTRADA",Movimientos!$R$2:$R$1993,0)),"-")</f>
        <v>Coadyuvante</v>
      </c>
      <c r="E19" s="2">
        <f>IFERROR(INDEX(Movimientos!$F$2:$F$1993,MATCH(A19&amp;"ENTRADA",Movimientos!$R$2:$R$1993,0)),"-")</f>
        <v>0</v>
      </c>
      <c r="F19" s="2" t="str">
        <f>IFERROR(INDEX(Movimientos!$G$2:$G$1993,MATCH(A19&amp;"ENTRADA",Movimientos!$R$2:$R$1993,0)),"-")</f>
        <v>Don asdrual</v>
      </c>
      <c r="G19" s="2" t="str">
        <f>IFERROR(INDEX(Movimientos!$L$2:$L$1993,MATCH(A19&amp;"ENTRADA",Movimientos!$R$2:$R$1993,0)),"-")</f>
        <v>L</v>
      </c>
      <c r="H19" s="17">
        <f>IFERROR(IF(INDEX(Movimientos!$M$2:$M$1993,MATCH(A19&amp;"ENTRADA",Movimientos!$R$2:$R$1993,0))=0,"S/D",INDEX(Movimientos!$M$2:$M$1993,MATCH(A19&amp;"ENTRADA",Movimientos!$R$2:$R$1993,0))),"S/D")</f>
        <v>46661</v>
      </c>
      <c r="I19" s="15">
        <f t="shared" ca="1" si="2"/>
        <v>336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221</v>
      </c>
      <c r="B20" s="2" t="str">
        <f>IFERROR(INDEX(Movimientos!$C$2:$C$1993,MATCH(A20&amp;"ENTRADA",Movimientos!$R$2:$R$1993,0)),"-")</f>
        <v>Harrier</v>
      </c>
      <c r="C20" s="2" t="str">
        <f>IFERROR(INDEX(Movimientos!$D$2:$D$1993,MATCH(A20&amp;"ENTRADA",Movimientos!$R$2:$R$1993,0)),"-")</f>
        <v>ALCOHOL LINEAL ETOXILADO 32.7%</v>
      </c>
      <c r="D20" s="2" t="str">
        <f>IFERROR(INDEX(Movimientos!$E$2:$E$1993,MATCH(A20&amp;"ENTRADA",Movimientos!$R$2:$R$1993,0)),"-")</f>
        <v>Coadyuvante</v>
      </c>
      <c r="E20" s="2">
        <f>IFERROR(INDEX(Movimientos!$F$2:$F$1993,MATCH(A20&amp;"ENTRADA",Movimientos!$R$2:$R$1993,0)),"-")</f>
        <v>0</v>
      </c>
      <c r="F20" s="2" t="str">
        <f>IFERROR(INDEX(Movimientos!$G$2:$G$1993,MATCH(A20&amp;"ENTRADA",Movimientos!$R$2:$R$1993,0)),"-")</f>
        <v>Don asdrual</v>
      </c>
      <c r="G20" s="2" t="str">
        <f>IFERROR(INDEX(Movimientos!$L$2:$L$1993,MATCH(A20&amp;"ENTRADA",Movimientos!$R$2:$R$1993,0)),"-")</f>
        <v>L</v>
      </c>
      <c r="H20" s="17">
        <f>IFERROR(IF(INDEX(Movimientos!$M$2:$M$1993,MATCH(A20&amp;"ENTRADA",Movimientos!$R$2:$R$1993,0))=0,"S/D",INDEX(Movimientos!$M$2:$M$1993,MATCH(A20&amp;"ENTRADA",Movimientos!$R$2:$R$1993,0))),"S/D")</f>
        <v>46813</v>
      </c>
      <c r="I20" s="15">
        <f t="shared" ca="1" si="2"/>
        <v>488</v>
      </c>
      <c r="J20" s="5">
        <f>IF(A20="","",SUMIFS(Movimientos!$K:$K,Movimientos!$H:$H,A20))</f>
        <v>7155</v>
      </c>
      <c r="K20" s="13" t="str">
        <f t="shared" ca="1" si="1"/>
        <v>OK</v>
      </c>
    </row>
    <row r="21" spans="1:11">
      <c r="A21" s="16" t="s">
        <v>211</v>
      </c>
      <c r="B21" s="2" t="str">
        <f>IFERROR(INDEX(Movimientos!$C$2:$C$1993,MATCH(A21&amp;"ENTRADA",Movimientos!$R$2:$R$1993,0)),"-")</f>
        <v>Full control</v>
      </c>
      <c r="C21" s="2" t="str">
        <f>IFERROR(INDEX(Movimientos!$D$2:$D$1993,MATCH(A21&amp;"ENTRADA",Movimientos!$R$2:$R$1993,0)),"-")</f>
        <v>ACIDO FOSFORICO 23 g</v>
      </c>
      <c r="D21" s="2" t="str">
        <f>IFERROR(INDEX(Movimientos!$E$2:$E$1993,MATCH(A21&amp;"ENTRADA",Movimientos!$R$2:$R$1993,0)),"-")</f>
        <v>Coadyuvante</v>
      </c>
      <c r="E21" s="2">
        <f>IFERROR(INDEX(Movimientos!$F$2:$F$1993,MATCH(A21&amp;"ENTRADA",Movimientos!$R$2:$R$1993,0)),"-")</f>
        <v>0</v>
      </c>
      <c r="F21" s="2" t="str">
        <f>IFERROR(INDEX(Movimientos!$G$2:$G$1993,MATCH(A21&amp;"ENTRADA",Movimientos!$R$2:$R$1993,0)),"-")</f>
        <v>Don asdrual</v>
      </c>
      <c r="G21" s="2" t="str">
        <f>IFERROR(INDEX(Movimientos!$L$2:$L$1993,MATCH(A21&amp;"ENTRADA",Movimientos!$R$2:$R$1993,0)),"-")</f>
        <v>L</v>
      </c>
      <c r="H21" s="17">
        <f>IFERROR(IF(INDEX(Movimientos!$M$2:$M$1993,MATCH(A21&amp;"ENTRADA",Movimientos!$R$2:$R$1993,0))=0,"S/D",INDEX(Movimientos!$M$2:$M$1993,MATCH(A21&amp;"ENTRADA",Movimientos!$R$2:$R$1993,0))),"S/D")</f>
        <v>46661</v>
      </c>
      <c r="I21" s="15">
        <f t="shared" ca="1" si="2"/>
        <v>336</v>
      </c>
      <c r="J21" s="5">
        <f>IF(A21="","",SUMIFS(Movimientos!$K:$K,Movimientos!$H:$H,A21))</f>
        <v>0</v>
      </c>
      <c r="K21" s="13" t="str">
        <f t="shared" ca="1" si="1"/>
        <v>SIN STOCK</v>
      </c>
    </row>
    <row r="22" spans="1:11">
      <c r="A22" s="16" t="s">
        <v>469</v>
      </c>
      <c r="B22" s="2" t="str">
        <f>IFERROR(INDEX(Movimientos!$C$2:$C$1993,MATCH(A22&amp;"ENTRADA",Movimientos!$R$2:$R$1993,0)),"-")</f>
        <v>Maxi Drop</v>
      </c>
      <c r="C22" s="2" t="str">
        <f>IFERROR(INDEX(Movimientos!$D$2:$D$1993,MATCH(A22&amp;"ENTRADA",Movimientos!$R$2:$R$1993,0)),"-")</f>
        <v>ACEITE DE SOJA 48 g</v>
      </c>
      <c r="D22" s="2" t="str">
        <f>IFERROR(INDEX(Movimientos!$E$2:$E$1993,MATCH(A22&amp;"ENTRADA",Movimientos!$R$2:$R$1993,0)),"-")</f>
        <v>Coadyuvante</v>
      </c>
      <c r="E22" s="2">
        <f>IFERROR(INDEX(Movimientos!$F$2:$F$1993,MATCH(A22&amp;"ENTRADA",Movimientos!$R$2:$R$1993,0)),"-")</f>
        <v>0</v>
      </c>
      <c r="F22" s="2" t="str">
        <f>IFERROR(INDEX(Movimientos!$G$2:$G$1993,MATCH(A22&amp;"ENTRADA",Movimientos!$R$2:$R$1993,0)),"-")</f>
        <v>Don asdrual</v>
      </c>
      <c r="G22" s="2" t="str">
        <f>IFERROR(INDEX(Movimientos!$L$2:$L$1993,MATCH(A22&amp;"ENTRADA",Movimientos!$R$2:$R$1993,0)),"-")</f>
        <v>L</v>
      </c>
      <c r="H22" s="17">
        <f>IFERROR(IF(INDEX(Movimientos!$M$2:$M$1993,MATCH(A22&amp;"ENTRADA",Movimientos!$R$2:$R$1993,0))=0,"S/D",INDEX(Movimientos!$M$2:$M$1993,MATCH(A22&amp;"ENTRADA",Movimientos!$R$2:$R$1993,0))),"S/D")</f>
        <v>46388</v>
      </c>
      <c r="I22" s="15">
        <f t="shared" ca="1" si="2"/>
        <v>63</v>
      </c>
      <c r="J22" s="5">
        <f>IF(A22="","",SUMIFS(Movimientos!$K:$K,Movimientos!$H:$H,A22))</f>
        <v>120</v>
      </c>
      <c r="K22" s="13" t="str">
        <f t="shared" ca="1" si="1"/>
        <v>PRÓXIMO A VENCER</v>
      </c>
    </row>
    <row r="23" spans="1:11">
      <c r="A23" s="16" t="s">
        <v>563</v>
      </c>
      <c r="B23" s="2" t="str">
        <f>IFERROR(INDEX(Movimientos!$C$2:$C$1993,MATCH(A23&amp;"ENTRADA",Movimientos!$R$2:$R$1993,0)),"-")</f>
        <v>Axial</v>
      </c>
      <c r="C23" s="2" t="str">
        <f>IFERROR(INDEX(Movimientos!$D$2:$D$1993,MATCH(A23&amp;"ENTRADA",Movimientos!$R$2:$R$1993,0)),"-")</f>
        <v>PINOXADEN 5 GR + CLOQUINTOCET-MEXIL 1.25 GR</v>
      </c>
      <c r="D23" s="2" t="str">
        <f>IFERROR(INDEX(Movimientos!$E$2:$E$1993,MATCH(A23&amp;"ENTRADA",Movimientos!$R$2:$R$1993,0)),"-")</f>
        <v>Herbicida</v>
      </c>
      <c r="E23" s="2" t="str">
        <f>IFERROR(INDEX(Movimientos!$F$2:$F$1993,MATCH(A23&amp;"ENTRADA",Movimientos!$R$2:$R$1993,0)),"-")</f>
        <v>Postemergente</v>
      </c>
      <c r="F23" s="2" t="str">
        <f>IFERROR(INDEX(Movimientos!$G$2:$G$1993,MATCH(A23&amp;"ENTRADA",Movimientos!$R$2:$R$1993,0)),"-")</f>
        <v>GS Agro</v>
      </c>
      <c r="G23" s="2" t="str">
        <f>IFERROR(INDEX(Movimientos!$L$2:$L$1993,MATCH(A23&amp;"ENTRADA",Movimientos!$R$2:$R$1993,0)),"-")</f>
        <v>L</v>
      </c>
      <c r="H23" s="17">
        <f>IFERROR(IF(INDEX(Movimientos!$M$2:$M$1993,MATCH(A23&amp;"ENTRADA",Movimientos!$R$2:$R$1993,0))=0,"S/D",INDEX(Movimientos!$M$2:$M$1993,MATCH(A23&amp;"ENTRADA",Movimientos!$R$2:$R$1993,0))),"S/D")</f>
        <v>46419</v>
      </c>
      <c r="I23" s="15">
        <f t="shared" ca="1" si="2"/>
        <v>94</v>
      </c>
      <c r="J23" s="5">
        <f>IF(A23="","",SUMIFS(Movimientos!$K:$K,Movimientos!$H:$H,A23))</f>
        <v>0</v>
      </c>
      <c r="K23" s="13" t="str">
        <f t="shared" ca="1" si="1"/>
        <v>SIN STOCK</v>
      </c>
    </row>
    <row r="24" spans="1:11">
      <c r="A24" s="16" t="s">
        <v>295</v>
      </c>
      <c r="B24" s="2" t="str">
        <f>IFERROR(INDEX(Movimientos!$C$2:$C$1993,MATCH(A24&amp;"ENTRADA",Movimientos!$R$2:$R$1993,0)),"-")</f>
        <v>Colza Nuola 300</v>
      </c>
      <c r="C24" s="2" t="str">
        <f>IFERROR(INDEX(Movimientos!$D$2:$D$1993,MATCH(A24&amp;"ENTRADA",Movimientos!$R$2:$R$1993,0)),"-")</f>
        <v>Nuola 300</v>
      </c>
      <c r="D24" s="2" t="str">
        <f>IFERROR(INDEX(Movimientos!$E$2:$E$1993,MATCH(A24&amp;"ENTRADA",Movimientos!$R$2:$R$1993,0)),"-")</f>
        <v>Semilla</v>
      </c>
      <c r="E24" s="2" t="str">
        <f>IFERROR(INDEX(Movimientos!$F$2:$F$1993,MATCH(A24&amp;"ENTRADA",Movimientos!$R$2:$R$1993,0)),"-")</f>
        <v>Colza</v>
      </c>
      <c r="F24" s="2" t="str">
        <f>IFERROR(INDEX(Movimientos!$G$2:$G$1993,MATCH(A24&amp;"ENTRADA",Movimientos!$R$2:$R$1993,0)),"-")</f>
        <v>Agroterra</v>
      </c>
      <c r="G24" s="2" t="str">
        <f>IFERROR(INDEX(Movimientos!$L$2:$L$1993,MATCH(A24&amp;"ENTRADA",Movimientos!$R$2:$R$1993,0)),"-")</f>
        <v>kg</v>
      </c>
      <c r="H24" s="17" t="str">
        <f>IFERROR(IF(INDEX(Movimientos!$M$2:$M$1993,MATCH(A24&amp;"ENTRADA",Movimientos!$R$2:$R$1993,0))=0,"S/D",INDEX(Movimientos!$M$2:$M$1993,MATCH(A24&amp;"ENTRADA",Movimientos!$R$2:$R$1993,0))),"S/D")</f>
        <v>S/D</v>
      </c>
      <c r="I24" s="15" t="str">
        <f t="shared" ca="1" si="2"/>
        <v>S/D</v>
      </c>
      <c r="J24" s="5">
        <f>IF(A24="","",SUMIFS(Movimientos!$K:$K,Movimientos!$H:$H,A24))</f>
        <v>0</v>
      </c>
      <c r="K24" s="13" t="str">
        <f t="shared" ca="1" si="1"/>
        <v>SIN STOCK</v>
      </c>
    </row>
    <row r="25" spans="1:11">
      <c r="A25" s="16" t="s">
        <v>239</v>
      </c>
      <c r="B25" s="2" t="str">
        <f>IFERROR(INDEX(Movimientos!$C$2:$C$1993,MATCH(A25&amp;"ENTRADA",Movimientos!$R$2:$R$1993,0)),"-")</f>
        <v>Colza Ceres IMI</v>
      </c>
      <c r="C25" s="2" t="str">
        <f>IFERROR(INDEX(Movimientos!$D$2:$D$1993,MATCH(A25&amp;"ENTRADA",Movimientos!$R$2:$R$1993,0)),"-")</f>
        <v>Ceres IMI</v>
      </c>
      <c r="D25" s="2" t="str">
        <f>IFERROR(INDEX(Movimientos!$E$2:$E$1993,MATCH(A25&amp;"ENTRADA",Movimientos!$R$2:$R$1993,0)),"-")</f>
        <v>Semilla</v>
      </c>
      <c r="E25" s="2" t="str">
        <f>IFERROR(INDEX(Movimientos!$F$2:$F$1993,MATCH(A25&amp;"ENTRADA",Movimientos!$R$2:$R$1993,0)),"-")</f>
        <v>Colza</v>
      </c>
      <c r="F25" s="2" t="str">
        <f>IFERROR(INDEX(Movimientos!$G$2:$G$1993,MATCH(A25&amp;"ENTRADA",Movimientos!$R$2:$R$1993,0)),"-")</f>
        <v>Agroterra</v>
      </c>
      <c r="G25" s="2" t="str">
        <f>IFERROR(INDEX(Movimientos!$L$2:$L$1993,MATCH(A25&amp;"ENTRADA",Movimientos!$R$2:$R$1993,0)),"-")</f>
        <v>kg</v>
      </c>
      <c r="H25" s="17" t="str">
        <f>IFERROR(IF(INDEX(Movimientos!$M$2:$M$1993,MATCH(A25&amp;"ENTRADA",Movimientos!$R$2:$R$1993,0))=0,"S/D",INDEX(Movimientos!$M$2:$M$1993,MATCH(A25&amp;"ENTRADA",Movimientos!$R$2:$R$1993,0))),"S/D")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317</v>
      </c>
      <c r="B26" s="2" t="str">
        <f>IFERROR(INDEX(Movimientos!$C$2:$C$1993,MATCH(A26&amp;"ENTRADA",Movimientos!$R$2:$R$1993,0)),"-")</f>
        <v>Festuca Carape</v>
      </c>
      <c r="C26" s="2" t="str">
        <f>IFERROR(INDEX(Movimientos!$D$2:$D$1993,MATCH(A26&amp;"ENTRADA",Movimientos!$R$2:$R$1993,0)),"-")</f>
        <v>Festuca Carape</v>
      </c>
      <c r="D26" s="2" t="str">
        <f>IFERROR(INDEX(Movimientos!$E$2:$E$1993,MATCH(A26&amp;"ENTRADA",Movimientos!$R$2:$R$1993,0)),"-")</f>
        <v>Semilla</v>
      </c>
      <c r="E26" s="2" t="str">
        <f>IFERROR(INDEX(Movimientos!$F$2:$F$1993,MATCH(A26&amp;"ENTRADA",Movimientos!$R$2:$R$1993,0)),"-")</f>
        <v>Festuca</v>
      </c>
      <c r="F26" s="2" t="str">
        <f>IFERROR(INDEX(Movimientos!$G$2:$G$1993,MATCH(A26&amp;"ENTRADA",Movimientos!$R$2:$R$1993,0)),"-")</f>
        <v>Megaagro</v>
      </c>
      <c r="G26" s="2" t="str">
        <f>IFERROR(INDEX(Movimientos!$L$2:$L$1993,MATCH(A26&amp;"ENTRADA",Movimientos!$R$2:$R$1993,0)),"-")</f>
        <v>kg</v>
      </c>
      <c r="H26" s="17" t="str">
        <f>IFERROR(IF(INDEX(Movimientos!$M$2:$M$1993,MATCH(A26&amp;"ENTRADA",Movimientos!$R$2:$R$1993,0))=0,"S/D",INDEX(Movimientos!$M$2:$M$1993,MATCH(A26&amp;"ENTRADA",Movimientos!$R$2:$R$1993,0))),"S/D")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347</v>
      </c>
      <c r="B27" s="2" t="str">
        <f>IFERROR(INDEX(Movimientos!$C$2:$C$1993,MATCH(A27&amp;"ENTRADA",Movimientos!$R$2:$R$1993,0)),"-")</f>
        <v>Alfalfa Verdor</v>
      </c>
      <c r="C27" s="2" t="str">
        <f>IFERROR(INDEX(Movimientos!$D$2:$D$1993,MATCH(A27&amp;"ENTRADA",Movimientos!$R$2:$R$1993,0)),"-")</f>
        <v>Alfalfa Verdor momla 384-2n-04</v>
      </c>
      <c r="D27" s="2" t="str">
        <f>IFERROR(INDEX(Movimientos!$E$2:$E$1993,MATCH(A27&amp;"ENTRADA",Movimientos!$R$2:$R$1993,0)),"-")</f>
        <v>Semilla</v>
      </c>
      <c r="E27" s="2" t="str">
        <f>IFERROR(INDEX(Movimientos!$F$2:$F$1993,MATCH(A27&amp;"ENTRADA",Movimientos!$R$2:$R$1993,0)),"-")</f>
        <v>Alfalfa</v>
      </c>
      <c r="F27" s="2" t="str">
        <f>IFERROR(INDEX(Movimientos!$G$2:$G$1993,MATCH(A27&amp;"ENTRADA",Movimientos!$R$2:$R$1993,0)),"-")</f>
        <v>Megaagro</v>
      </c>
      <c r="G27" s="2" t="str">
        <f>IFERROR(INDEX(Movimientos!$L$2:$L$1993,MATCH(A27&amp;"ENTRADA",Movimientos!$R$2:$R$1993,0)),"-")</f>
        <v>kg</v>
      </c>
      <c r="H27" s="17" t="str">
        <f>IFERROR(IF(INDEX(Movimientos!$M$2:$M$1993,MATCH(A27&amp;"ENTRADA",Movimientos!$R$2:$R$1993,0))=0,"S/D",INDEX(Movimientos!$M$2:$M$1993,MATCH(A27&amp;"ENTRADA",Movimientos!$R$2:$R$1993,0))),"S/D")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315</v>
      </c>
      <c r="B28" s="2" t="str">
        <f>IFERROR(INDEX(Movimientos!$C$2:$C$1993,MATCH(A28&amp;"ENTRADA",Movimientos!$R$2:$R$1993,0)),"-")</f>
        <v>Achicora Inia Nova</v>
      </c>
      <c r="C28" s="2" t="str">
        <f>IFERROR(INDEX(Movimientos!$D$2:$D$1993,MATCH(A28&amp;"ENTRADA",Movimientos!$R$2:$R$1993,0)),"-")</f>
        <v xml:space="preserve">Achicora inia nova </v>
      </c>
      <c r="D28" s="2" t="str">
        <f>IFERROR(INDEX(Movimientos!$E$2:$E$1993,MATCH(A28&amp;"ENTRADA",Movimientos!$R$2:$R$1993,0)),"-")</f>
        <v>Semilla</v>
      </c>
      <c r="E28" s="2" t="str">
        <f>IFERROR(INDEX(Movimientos!$F$2:$F$1993,MATCH(A28&amp;"ENTRADA",Movimientos!$R$2:$R$1993,0)),"-")</f>
        <v>Achicoria</v>
      </c>
      <c r="F28" s="2" t="str">
        <f>IFERROR(INDEX(Movimientos!$G$2:$G$1993,MATCH(A28&amp;"ENTRADA",Movimientos!$R$2:$R$1993,0)),"-")</f>
        <v>Megaagro</v>
      </c>
      <c r="G28" s="2" t="str">
        <f>IFERROR(INDEX(Movimientos!$L$2:$L$1993,MATCH(A28&amp;"ENTRADA",Movimientos!$R$2:$R$1993,0)),"-")</f>
        <v>kg</v>
      </c>
      <c r="H28" s="17" t="str">
        <f>IFERROR(IF(INDEX(Movimientos!$M$2:$M$1993,MATCH(A28&amp;"ENTRADA",Movimientos!$R$2:$R$1993,0))=0,"S/D",INDEX(Movimientos!$M$2:$M$1993,MATCH(A28&amp;"ENTRADA",Movimientos!$R$2:$R$1993,0))),"S/D")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367</v>
      </c>
      <c r="B29" s="2" t="str">
        <f>IFERROR(INDEX(Movimientos!$C$2:$C$1993,MATCH(A29&amp;"ENTRADA",Movimientos!$R$2:$R$1993,0)),"-")</f>
        <v>Colza Nuola 300</v>
      </c>
      <c r="C29" s="2" t="str">
        <f>IFERROR(INDEX(Movimientos!$D$2:$D$1993,MATCH(A29&amp;"ENTRADA",Movimientos!$R$2:$R$1993,0)),"-")</f>
        <v>Nuola 300</v>
      </c>
      <c r="D29" s="2" t="str">
        <f>IFERROR(INDEX(Movimientos!$E$2:$E$1993,MATCH(A29&amp;"ENTRADA",Movimientos!$R$2:$R$1993,0)),"-")</f>
        <v>Semilla</v>
      </c>
      <c r="E29" s="2" t="str">
        <f>IFERROR(INDEX(Movimientos!$F$2:$F$1993,MATCH(A29&amp;"ENTRADA",Movimientos!$R$2:$R$1993,0)),"-")</f>
        <v>Colza</v>
      </c>
      <c r="F29" s="2" t="str">
        <f>IFERROR(INDEX(Movimientos!$G$2:$G$1993,MATCH(A29&amp;"ENTRADA",Movimientos!$R$2:$R$1993,0)),"-")</f>
        <v>Cargil</v>
      </c>
      <c r="G29" s="2" t="str">
        <f>IFERROR(INDEX(Movimientos!$L$2:$L$1993,MATCH(A29&amp;"ENTRADA",Movimientos!$R$2:$R$1993,0)),"-")</f>
        <v>kg</v>
      </c>
      <c r="H29" s="17" t="str">
        <f>IFERROR(IF(INDEX(Movimientos!$M$2:$M$1993,MATCH(A29&amp;"ENTRADA",Movimientos!$R$2:$R$1993,0))=0,"S/D",INDEX(Movimientos!$M$2:$M$1993,MATCH(A29&amp;"ENTRADA",Movimientos!$R$2:$R$1993,0))),"S/D")</f>
        <v>S/D</v>
      </c>
      <c r="I29" s="15" t="str">
        <f t="shared" ca="1" si="2"/>
        <v>S/D</v>
      </c>
      <c r="J29" s="5">
        <f>IF(A29="","",SUMIFS(Movimientos!$K:$K,Movimientos!$H:$H,A29))</f>
        <v>0</v>
      </c>
      <c r="K29" s="13" t="str">
        <f t="shared" ca="1" si="1"/>
        <v>SIN STOCK</v>
      </c>
    </row>
    <row r="30" spans="1:11">
      <c r="A30" s="16" t="s">
        <v>308</v>
      </c>
      <c r="B30" s="2" t="str">
        <f>IFERROR(INDEX(Movimientos!$C$2:$C$1993,MATCH(A30&amp;"ENTRADA",Movimientos!$R$2:$R$1993,0)),"-")</f>
        <v xml:space="preserve">Festuca Sortija C2 </v>
      </c>
      <c r="C30" s="2" t="str">
        <f>IFERROR(INDEX(Movimientos!$D$2:$D$1993,MATCH(A30&amp;"ENTRADA",Movimientos!$R$2:$R$1993,0)),"-")</f>
        <v>Festuca Sortija C2</v>
      </c>
      <c r="D30" s="2" t="str">
        <f>IFERROR(INDEX(Movimientos!$E$2:$E$1993,MATCH(A30&amp;"ENTRADA",Movimientos!$R$2:$R$1993,0)),"-")</f>
        <v>Semilla</v>
      </c>
      <c r="E30" s="2" t="str">
        <f>IFERROR(INDEX(Movimientos!$F$2:$F$1993,MATCH(A30&amp;"ENTRADA",Movimientos!$R$2:$R$1993,0)),"-")</f>
        <v>Festuca</v>
      </c>
      <c r="F30" s="2" t="str">
        <f>IFERROR(INDEX(Movimientos!$G$2:$G$1993,MATCH(A30&amp;"ENTRADA",Movimientos!$R$2:$R$1993,0)),"-")</f>
        <v>Agrofuturo</v>
      </c>
      <c r="G30" s="2" t="str">
        <f>IFERROR(INDEX(Movimientos!$L$2:$L$1993,MATCH(A30&amp;"ENTRADA",Movimientos!$R$2:$R$1993,0)),"-")</f>
        <v>kg</v>
      </c>
      <c r="H30" s="17" t="str">
        <f>IFERROR(IF(INDEX(Movimientos!$M$2:$M$1993,MATCH(A30&amp;"ENTRADA",Movimientos!$R$2:$R$1993,0))=0,"S/D",INDEX(Movimientos!$M$2:$M$1993,MATCH(A30&amp;"ENTRADA",Movimientos!$R$2:$R$1993,0))),"S/D")</f>
        <v>S/D</v>
      </c>
      <c r="I30" s="15" t="str">
        <f t="shared" ca="1" si="2"/>
        <v>S/D</v>
      </c>
      <c r="J30" s="5">
        <f>IF(A30="","",SUMIFS(Movimientos!$K:$K,Movimientos!$H:$H,A30))</f>
        <v>0</v>
      </c>
      <c r="K30" s="13" t="str">
        <f t="shared" ca="1" si="1"/>
        <v>SIN STOCK</v>
      </c>
    </row>
    <row r="31" spans="1:11">
      <c r="A31" s="16" t="s">
        <v>351</v>
      </c>
      <c r="B31" s="2" t="str">
        <f>IFERROR(INDEX(Movimientos!$C$2:$C$1993,MATCH(A31&amp;"ENTRADA",Movimientos!$R$2:$R$1993,0)),"-")</f>
        <v>Dactylis Drover</v>
      </c>
      <c r="C31" s="2" t="str">
        <f>IFERROR(INDEX(Movimientos!$D$2:$D$1993,MATCH(A31&amp;"ENTRADA",Movimientos!$R$2:$R$1993,0)),"-")</f>
        <v>Dactylis Drover ecotec af gram c2</v>
      </c>
      <c r="D31" s="2" t="str">
        <f>IFERROR(INDEX(Movimientos!$E$2:$E$1993,MATCH(A31&amp;"ENTRADA",Movimientos!$R$2:$R$1993,0)),"-")</f>
        <v>Semilla</v>
      </c>
      <c r="E31" s="2" t="str">
        <f>IFERROR(INDEX(Movimientos!$F$2:$F$1993,MATCH(A31&amp;"ENTRADA",Movimientos!$R$2:$R$1993,0)),"-")</f>
        <v>Dactylis</v>
      </c>
      <c r="F31" s="2" t="str">
        <f>IFERROR(INDEX(Movimientos!$G$2:$G$1993,MATCH(A31&amp;"ENTRADA",Movimientos!$R$2:$R$1993,0)),"-")</f>
        <v>Agrofuturo</v>
      </c>
      <c r="G31" s="2" t="str">
        <f>IFERROR(INDEX(Movimientos!$L$2:$L$1993,MATCH(A31&amp;"ENTRADA",Movimientos!$R$2:$R$1993,0)),"-")</f>
        <v>kg</v>
      </c>
      <c r="H31" s="17" t="str">
        <f>IFERROR(IF(INDEX(Movimientos!$M$2:$M$1993,MATCH(A31&amp;"ENTRADA",Movimientos!$R$2:$R$1993,0))=0,"S/D",INDEX(Movimientos!$M$2:$M$1993,MATCH(A31&amp;"ENTRADA",Movimientos!$R$2:$R$1993,0))),"S/D")</f>
        <v>S/D</v>
      </c>
      <c r="I31" s="15" t="str">
        <f t="shared" ca="1" si="2"/>
        <v>S/D</v>
      </c>
      <c r="J31" s="5">
        <f>IF(A31="","",SUMIFS(Movimientos!$K:$K,Movimientos!$H:$H,A31))</f>
        <v>50</v>
      </c>
      <c r="K31" s="13" t="str">
        <f t="shared" ca="1" si="1"/>
        <v>OK</v>
      </c>
    </row>
    <row r="32" spans="1:11">
      <c r="A32" s="16" t="s">
        <v>319</v>
      </c>
      <c r="B32" s="2" t="str">
        <f>IFERROR(INDEX(Movimientos!$C$2:$C$1993,MATCH(A32&amp;"ENTRADA",Movimientos!$R$2:$R$1993,0)),"-")</f>
        <v>Trebol Blanco E Zapican</v>
      </c>
      <c r="C32" s="2" t="str">
        <f>IFERROR(INDEX(Movimientos!$D$2:$D$1993,MATCH(A32&amp;"ENTRADA",Movimientos!$R$2:$R$1993,0)),"-")</f>
        <v>Trebol Blanco E Zapican Ecotec AF</v>
      </c>
      <c r="D32" s="2" t="str">
        <f>IFERROR(INDEX(Movimientos!$E$2:$E$1993,MATCH(A32&amp;"ENTRADA",Movimientos!$R$2:$R$1993,0)),"-")</f>
        <v>Semilla</v>
      </c>
      <c r="E32" s="2" t="str">
        <f>IFERROR(INDEX(Movimientos!$F$2:$F$1993,MATCH(A32&amp;"ENTRADA",Movimientos!$R$2:$R$1993,0)),"-")</f>
        <v>Trebol Blanco</v>
      </c>
      <c r="F32" s="2" t="str">
        <f>IFERROR(INDEX(Movimientos!$G$2:$G$1993,MATCH(A32&amp;"ENTRADA",Movimientos!$R$2:$R$1993,0)),"-")</f>
        <v>Agrofuturo</v>
      </c>
      <c r="G32" s="2" t="str">
        <f>IFERROR(INDEX(Movimientos!$L$2:$L$1993,MATCH(A32&amp;"ENTRADA",Movimientos!$R$2:$R$1993,0)),"-")</f>
        <v>kg</v>
      </c>
      <c r="H32" s="17" t="str">
        <f>IFERROR(IF(INDEX(Movimientos!$M$2:$M$1993,MATCH(A32&amp;"ENTRADA",Movimientos!$R$2:$R$1993,0))=0,"S/D",INDEX(Movimientos!$M$2:$M$1993,MATCH(A32&amp;"ENTRADA",Movimientos!$R$2:$R$1993,0))),"S/D")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321</v>
      </c>
      <c r="B33" s="2" t="str">
        <f>IFERROR(INDEX(Movimientos!$C$2:$C$1993,MATCH(A33&amp;"ENTRADA",Movimientos!$R$2:$R$1993,0)),"-")</f>
        <v>Trebol Rojo E116</v>
      </c>
      <c r="C33" s="2" t="str">
        <f>IFERROR(INDEX(Movimientos!$D$2:$D$1993,MATCH(A33&amp;"ENTRADA",Movimientos!$R$2:$R$1993,0)),"-")</f>
        <v>Trebol Rojo E116 Ecotec AF</v>
      </c>
      <c r="D33" s="2" t="str">
        <f>IFERROR(INDEX(Movimientos!$E$2:$E$1993,MATCH(A33&amp;"ENTRADA",Movimientos!$R$2:$R$1993,0)),"-")</f>
        <v>Semilla</v>
      </c>
      <c r="E33" s="2" t="str">
        <f>IFERROR(INDEX(Movimientos!$F$2:$F$1993,MATCH(A33&amp;"ENTRADA",Movimientos!$R$2:$R$1993,0)),"-")</f>
        <v xml:space="preserve">Trebol Rojo </v>
      </c>
      <c r="F33" s="2" t="str">
        <f>IFERROR(INDEX(Movimientos!$G$2:$G$1993,MATCH(A33&amp;"ENTRADA",Movimientos!$R$2:$R$1993,0)),"-")</f>
        <v>Agrofuturo</v>
      </c>
      <c r="G33" s="2" t="str">
        <f>IFERROR(INDEX(Movimientos!$L$2:$L$1993,MATCH(A33&amp;"ENTRADA",Movimientos!$R$2:$R$1993,0)),"-")</f>
        <v>kg</v>
      </c>
      <c r="H33" s="17" t="str">
        <f>IFERROR(IF(INDEX(Movimientos!$M$2:$M$1993,MATCH(A33&amp;"ENTRADA",Movimientos!$R$2:$R$1993,0))=0,"S/D",INDEX(Movimientos!$M$2:$M$1993,MATCH(A33&amp;"ENTRADA",Movimientos!$R$2:$R$1993,0))),"S/D")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325</v>
      </c>
      <c r="B34" s="2" t="str">
        <f>IFERROR(INDEX(Movimientos!$C$2:$C$1993,MATCH(A34&amp;"ENTRADA",Movimientos!$R$2:$R$1993,0)),"-")</f>
        <v>Phalaris Stockman Comb</v>
      </c>
      <c r="C34" s="2" t="str">
        <f>IFERROR(INDEX(Movimientos!$D$2:$D$1993,MATCH(A34&amp;"ENTRADA",Movimientos!$R$2:$R$1993,0)),"-")</f>
        <v>Phalaris Stockman Comb</v>
      </c>
      <c r="D34" s="2" t="str">
        <f>IFERROR(INDEX(Movimientos!$E$2:$E$1993,MATCH(A34&amp;"ENTRADA",Movimientos!$R$2:$R$1993,0)),"-")</f>
        <v>Semilla</v>
      </c>
      <c r="E34" s="2" t="str">
        <f>IFERROR(INDEX(Movimientos!$F$2:$F$1993,MATCH(A34&amp;"ENTRADA",Movimientos!$R$2:$R$1993,0)),"-")</f>
        <v>Phalaris</v>
      </c>
      <c r="F34" s="2" t="str">
        <f>IFERROR(INDEX(Movimientos!$G$2:$G$1993,MATCH(A34&amp;"ENTRADA",Movimientos!$R$2:$R$1993,0)),"-")</f>
        <v>Agrofuturo</v>
      </c>
      <c r="G34" s="2" t="str">
        <f>IFERROR(INDEX(Movimientos!$L$2:$L$1993,MATCH(A34&amp;"ENTRADA",Movimientos!$R$2:$R$1993,0)),"-")</f>
        <v>kg</v>
      </c>
      <c r="H34" s="17" t="str">
        <f>IFERROR(IF(INDEX(Movimientos!$M$2:$M$1993,MATCH(A34&amp;"ENTRADA",Movimientos!$R$2:$R$1993,0))=0,"S/D",INDEX(Movimientos!$M$2:$M$1993,MATCH(A34&amp;"ENTRADA",Movimientos!$R$2:$R$1993,0))),"S/D")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327</v>
      </c>
      <c r="B35" s="2" t="str">
        <f>IFERROR(INDEX(Movimientos!$C$2:$C$1993,MATCH(A35&amp;"ENTRADA",Movimientos!$R$2:$R$1993,0)),"-")</f>
        <v>Colza continuum Cl</v>
      </c>
      <c r="C35" s="2" t="str">
        <f>IFERROR(INDEX(Movimientos!$D$2:$D$1993,MATCH(A35&amp;"ENTRADA",Movimientos!$R$2:$R$1993,0)),"-")</f>
        <v>Continuum CL</v>
      </c>
      <c r="D35" s="2" t="str">
        <f>IFERROR(INDEX(Movimientos!$E$2:$E$1993,MATCH(A35&amp;"ENTRADA",Movimientos!$R$2:$R$1993,0)),"-")</f>
        <v>Semilla</v>
      </c>
      <c r="E35" s="2" t="str">
        <f>IFERROR(INDEX(Movimientos!$F$2:$F$1993,MATCH(A35&amp;"ENTRADA",Movimientos!$R$2:$R$1993,0)),"-")</f>
        <v>Colza</v>
      </c>
      <c r="F35" s="2" t="str">
        <f>IFERROR(INDEX(Movimientos!$G$2:$G$1993,MATCH(A35&amp;"ENTRADA",Movimientos!$R$2:$R$1993,0)),"-")</f>
        <v>ERRO</v>
      </c>
      <c r="G35" s="2" t="str">
        <f>IFERROR(INDEX(Movimientos!$L$2:$L$1993,MATCH(A35&amp;"ENTRADA",Movimientos!$R$2:$R$1993,0)),"-")</f>
        <v>kg</v>
      </c>
      <c r="H35" s="17" t="str">
        <f>IFERROR(IF(INDEX(Movimientos!$M$2:$M$1993,MATCH(A35&amp;"ENTRADA",Movimientos!$R$2:$R$1993,0))=0,"S/D",INDEX(Movimientos!$M$2:$M$1993,MATCH(A35&amp;"ENTRADA",Movimientos!$R$2:$R$1993,0))),"S/D")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329</v>
      </c>
      <c r="B36" s="2" t="str">
        <f>IFERROR(INDEX(Movimientos!$C$2:$C$1993,MATCH(A36&amp;"ENTRADA",Movimientos!$R$2:$R$1993,0)),"-")</f>
        <v>Colza Hyola Solstice cl</v>
      </c>
      <c r="C36" s="2" t="str">
        <f>IFERROR(INDEX(Movimientos!$D$2:$D$1993,MATCH(A36&amp;"ENTRADA",Movimientos!$R$2:$R$1993,0)),"-")</f>
        <v>Colza Hyola Solstice cl</v>
      </c>
      <c r="D36" s="2" t="str">
        <f>IFERROR(INDEX(Movimientos!$E$2:$E$1993,MATCH(A36&amp;"ENTRADA",Movimientos!$R$2:$R$1993,0)),"-")</f>
        <v>Semilla</v>
      </c>
      <c r="E36" s="2" t="str">
        <f>IFERROR(INDEX(Movimientos!$F$2:$F$1993,MATCH(A36&amp;"ENTRADA",Movimientos!$R$2:$R$1993,0)),"-")</f>
        <v>Colza</v>
      </c>
      <c r="F36" s="2" t="str">
        <f>IFERROR(INDEX(Movimientos!$G$2:$G$1993,MATCH(A36&amp;"ENTRADA",Movimientos!$R$2:$R$1993,0)),"-")</f>
        <v>ERRO</v>
      </c>
      <c r="G36" s="2" t="str">
        <f>IFERROR(INDEX(Movimientos!$L$2:$L$1993,MATCH(A36&amp;"ENTRADA",Movimientos!$R$2:$R$1993,0)),"-")</f>
        <v>kg</v>
      </c>
      <c r="H36" s="17" t="str">
        <f>IFERROR(IF(INDEX(Movimientos!$M$2:$M$1993,MATCH(A36&amp;"ENTRADA",Movimientos!$R$2:$R$1993,0))=0,"S/D",INDEX(Movimientos!$M$2:$M$1993,MATCH(A36&amp;"ENTRADA",Movimientos!$R$2:$R$1993,0))),"S/D")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145</v>
      </c>
      <c r="B37" s="2" t="str">
        <f>IFERROR(INDEX(Movimientos!$C$2:$C$1993,MATCH(A37&amp;"ENTRADA",Movimientos!$R$2:$R$1993,0)),"-")</f>
        <v xml:space="preserve">Avena </v>
      </c>
      <c r="C37" s="2" t="str">
        <f>IFERROR(INDEX(Movimientos!$D$2:$D$1993,MATCH(A37&amp;"ENTRADA",Movimientos!$R$2:$R$1993,0)),"-")</f>
        <v xml:space="preserve">Avena propia </v>
      </c>
      <c r="D37" s="2" t="str">
        <f>IFERROR(INDEX(Movimientos!$E$2:$E$1993,MATCH(A37&amp;"ENTRADA",Movimientos!$R$2:$R$1993,0)),"-")</f>
        <v>Semilla</v>
      </c>
      <c r="E37" s="2" t="str">
        <f>IFERROR(INDEX(Movimientos!$F$2:$F$1993,MATCH(A37&amp;"ENTRADA",Movimientos!$R$2:$R$1993,0)),"-")</f>
        <v>Avena</v>
      </c>
      <c r="F37" s="2">
        <f>IFERROR(INDEX(Movimientos!$G$2:$G$1993,MATCH(A37&amp;"ENTRADA",Movimientos!$R$2:$R$1993,0)),"-")</f>
        <v>0</v>
      </c>
      <c r="G37" s="2" t="str">
        <f>IFERROR(INDEX(Movimientos!$L$2:$L$1993,MATCH(A37&amp;"ENTRADA",Movimientos!$R$2:$R$1993,0)),"-")</f>
        <v>kg</v>
      </c>
      <c r="H37" s="17" t="str">
        <f>IFERROR(IF(INDEX(Movimientos!$M$2:$M$1993,MATCH(A37&amp;"ENTRADA",Movimientos!$R$2:$R$1993,0))=0,"S/D",INDEX(Movimientos!$M$2:$M$1993,MATCH(A37&amp;"ENTRADA",Movimientos!$R$2:$R$1993,0))),"S/D")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463</v>
      </c>
      <c r="B38" s="2" t="str">
        <f>IFERROR(INDEX(Movimientos!$C$2:$C$1993,MATCH(A38&amp;"ENTRADA",Movimientos!$R$2:$R$1993,0)),"-")</f>
        <v>Arsenal</v>
      </c>
      <c r="C38" s="2" t="str">
        <f>IFERROR(INDEX(Movimientos!$D$2:$D$1993,MATCH(A38&amp;"ENTRADA",Movimientos!$R$2:$R$1993,0)),"-")</f>
        <v>Imazapir sal isopropilamina 24,2%</v>
      </c>
      <c r="D38" s="2" t="str">
        <f>IFERROR(INDEX(Movimientos!$E$2:$E$1993,MATCH(A38&amp;"ENTRADA",Movimientos!$R$2:$R$1993,0)),"-")</f>
        <v>Herbicida</v>
      </c>
      <c r="E38" s="2" t="str">
        <f>IFERROR(INDEX(Movimientos!$F$2:$F$1993,MATCH(A38&amp;"ENTRADA",Movimientos!$R$2:$R$1993,0)),"-")</f>
        <v>Postemergente</v>
      </c>
      <c r="F38" s="2" t="str">
        <f>IFERROR(INDEX(Movimientos!$G$2:$G$1993,MATCH(A38&amp;"ENTRADA",Movimientos!$R$2:$R$1993,0)),"-")</f>
        <v>ERRO</v>
      </c>
      <c r="G38" s="2" t="str">
        <f>IFERROR(INDEX(Movimientos!$L$2:$L$1993,MATCH(A38&amp;"ENTRADA",Movimientos!$R$2:$R$1993,0)),"-")</f>
        <v>L</v>
      </c>
      <c r="H38" s="17">
        <f>IFERROR(IF(INDEX(Movimientos!$M$2:$M$1993,MATCH(A38&amp;"ENTRADA",Movimientos!$R$2:$R$1993,0))=0,"S/D",INDEX(Movimientos!$M$2:$M$1993,MATCH(A38&amp;"ENTRADA",Movimientos!$R$2:$R$1993,0))),"S/D")</f>
        <v>46174</v>
      </c>
      <c r="I38" s="15">
        <f t="shared" ca="1" si="2"/>
        <v>-151</v>
      </c>
      <c r="J38" s="5">
        <f>IF(A38="","",SUMIFS(Movimientos!$K:$K,Movimientos!$H:$H,A38))</f>
        <v>0</v>
      </c>
      <c r="K38" s="13" t="str">
        <f t="shared" ca="1" si="1"/>
        <v>SIN STOCK</v>
      </c>
    </row>
    <row r="39" spans="1:11">
      <c r="A39" s="16" t="s">
        <v>2413</v>
      </c>
      <c r="B39" s="2" t="str">
        <f>IFERROR(INDEX(Movimientos!$C$2:$C$1993,MATCH(A39&amp;"ENTRADA",Movimientos!$R$2:$R$1993,0)),"-")</f>
        <v>Dash HC</v>
      </c>
      <c r="C39" s="2" t="str">
        <f>IFERROR(INDEX(Movimientos!$D$2:$D$1993,MATCH(A39&amp;"ENTRADA",Movimientos!$R$2:$R$1993,0)),"-")</f>
        <v>Esteres metílicos de aceite vegetal 42,5%</v>
      </c>
      <c r="D39" s="2" t="str">
        <f>IFERROR(INDEX(Movimientos!$E$2:$E$1993,MATCH(A39&amp;"ENTRADA",Movimientos!$R$2:$R$1993,0)),"-")</f>
        <v>Coadyuvante</v>
      </c>
      <c r="E39" s="2">
        <f>IFERROR(INDEX(Movimientos!$F$2:$F$1993,MATCH(A39&amp;"ENTRADA",Movimientos!$R$2:$R$1993,0)),"-")</f>
        <v>0</v>
      </c>
      <c r="F39" s="2" t="str">
        <f>IFERROR(INDEX(Movimientos!$G$2:$G$1993,MATCH(A39&amp;"ENTRADA",Movimientos!$R$2:$R$1993,0)),"-")</f>
        <v>ERRO</v>
      </c>
      <c r="G39" s="2" t="str">
        <f>IFERROR(INDEX(Movimientos!$L$2:$L$1993,MATCH(A39&amp;"ENTRADA",Movimientos!$R$2:$R$1993,0)),"-")</f>
        <v>L</v>
      </c>
      <c r="H39" s="17">
        <f>IFERROR(IF(INDEX(Movimientos!$M$2:$M$1993,MATCH(A39&amp;"ENTRADA",Movimientos!$R$2:$R$1993,0))=0,"S/D",INDEX(Movimientos!$M$2:$M$1993,MATCH(A39&amp;"ENTRADA",Movimientos!$R$2:$R$1993,0))),"S/D")</f>
        <v>47574</v>
      </c>
      <c r="I39" s="15">
        <f t="shared" ca="1" si="2"/>
        <v>1249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375</v>
      </c>
      <c r="B40" s="2" t="str">
        <f>IFERROR(INDEX(Movimientos!$C$2:$C$1993,MATCH(A40&amp;"ENTRADA",Movimientos!$R$2:$R$1993,0)),"-")</f>
        <v>Pixxaro</v>
      </c>
      <c r="C40" s="2" t="str">
        <f>IFERROR(INDEX(Movimientos!$D$2:$D$1993,MATCH(A40&amp;"ENTRADA",Movimientos!$R$2:$R$1993,0)),"-")</f>
        <v>Fluroxypyr meptyl 34,91% + Halauxyfen methyl 1.64% + Cloquintocet mexyl 1.57%</v>
      </c>
      <c r="D40" s="2" t="str">
        <f>IFERROR(INDEX(Movimientos!$E$2:$E$1993,MATCH(A40&amp;"ENTRADA",Movimientos!$R$2:$R$1993,0)),"-")</f>
        <v>Herbicida</v>
      </c>
      <c r="E40" s="2" t="str">
        <f>IFERROR(INDEX(Movimientos!$F$2:$F$1993,MATCH(A40&amp;"ENTRADA",Movimientos!$R$2:$R$1993,0)),"-")</f>
        <v>Postemergente</v>
      </c>
      <c r="F40" s="2" t="str">
        <f>IFERROR(INDEX(Movimientos!$G$2:$G$1993,MATCH(A40&amp;"ENTRADA",Movimientos!$R$2:$R$1993,0)),"-")</f>
        <v>GS Agro</v>
      </c>
      <c r="G40" s="2" t="str">
        <f>IFERROR(INDEX(Movimientos!$L$2:$L$1993,MATCH(A40&amp;"ENTRADA",Movimientos!$R$2:$R$1993,0)),"-")</f>
        <v>L</v>
      </c>
      <c r="H40" s="17">
        <f>IFERROR(IF(INDEX(Movimientos!$M$2:$M$1993,MATCH(A40&amp;"ENTRADA",Movimientos!$R$2:$R$1993,0))=0,"S/D",INDEX(Movimientos!$M$2:$M$1993,MATCH(A40&amp;"ENTRADA",Movimientos!$R$2:$R$1993,0))),"S/D")</f>
        <v>46801</v>
      </c>
      <c r="I40" s="15">
        <f t="shared" ca="1" si="2"/>
        <v>476</v>
      </c>
      <c r="J40" s="5">
        <f>IF(A40="","",SUMIFS(Movimientos!$K:$K,Movimientos!$H:$H,A40))</f>
        <v>5455</v>
      </c>
      <c r="K40" s="13" t="str">
        <f t="shared" ca="1" si="1"/>
        <v>OK</v>
      </c>
    </row>
    <row r="41" spans="1:11">
      <c r="A41" s="16" t="s">
        <v>349</v>
      </c>
      <c r="B41" s="2" t="str">
        <f>IFERROR(INDEX(Movimientos!$C$2:$C$1993,MATCH(A41&amp;"ENTRADA",Movimientos!$R$2:$R$1993,0)),"-")</f>
        <v>Alfalfa Latte 920</v>
      </c>
      <c r="C41" s="2" t="str">
        <f>IFERROR(INDEX(Movimientos!$D$2:$D$1993,MATCH(A41&amp;"ENTRADA",Movimientos!$R$2:$R$1993,0)),"-")</f>
        <v>Alfalfa latte 920 gen protect plus</v>
      </c>
      <c r="D41" s="2" t="str">
        <f>IFERROR(INDEX(Movimientos!$E$2:$E$1993,MATCH(A41&amp;"ENTRADA",Movimientos!$R$2:$R$1993,0)),"-")</f>
        <v>Semilla</v>
      </c>
      <c r="E41" s="2" t="str">
        <f>IFERROR(INDEX(Movimientos!$F$2:$F$1993,MATCH(A41&amp;"ENTRADA",Movimientos!$R$2:$R$1993,0)),"-")</f>
        <v>Alfalfa</v>
      </c>
      <c r="F41" s="2" t="str">
        <f>IFERROR(INDEX(Movimientos!$G$2:$G$1993,MATCH(A41&amp;"ENTRADA",Movimientos!$R$2:$R$1993,0)),"-")</f>
        <v xml:space="preserve">Irmacor </v>
      </c>
      <c r="G41" s="2" t="str">
        <f>IFERROR(INDEX(Movimientos!$L$2:$L$1993,MATCH(A41&amp;"ENTRADA",Movimientos!$R$2:$R$1993,0)),"-")</f>
        <v>kg</v>
      </c>
      <c r="H41" s="17" t="str">
        <f>IFERROR(IF(INDEX(Movimientos!$M$2:$M$1993,MATCH(A41&amp;"ENTRADA",Movimientos!$R$2:$R$1993,0))=0,"S/D",INDEX(Movimientos!$M$2:$M$1993,MATCH(A41&amp;"ENTRADA",Movimientos!$R$2:$R$1993,0))),"S/D")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313</v>
      </c>
      <c r="B42" s="2" t="str">
        <f>IFERROR(INDEX(Movimientos!$C$2:$C$1993,MATCH(A42&amp;"ENTRADA",Movimientos!$R$2:$R$1993,0)),"-")</f>
        <v>Lotus Nilo ht</v>
      </c>
      <c r="C42" s="2" t="str">
        <f>IFERROR(INDEX(Movimientos!$D$2:$D$1993,MATCH(A42&amp;"ENTRADA",Movimientos!$R$2:$R$1993,0)),"-")</f>
        <v>Lotus Nilo Ht Gen Protect Plus</v>
      </c>
      <c r="D42" s="2" t="str">
        <f>IFERROR(INDEX(Movimientos!$E$2:$E$1993,MATCH(A42&amp;"ENTRADA",Movimientos!$R$2:$R$1993,0)),"-")</f>
        <v>Semilla</v>
      </c>
      <c r="E42" s="2" t="str">
        <f>IFERROR(INDEX(Movimientos!$F$2:$F$1993,MATCH(A42&amp;"ENTRADA",Movimientos!$R$2:$R$1993,0)),"-")</f>
        <v>Lotus</v>
      </c>
      <c r="F42" s="2" t="str">
        <f>IFERROR(INDEX(Movimientos!$G$2:$G$1993,MATCH(A42&amp;"ENTRADA",Movimientos!$R$2:$R$1993,0)),"-")</f>
        <v xml:space="preserve">Irmacor </v>
      </c>
      <c r="G42" s="2" t="str">
        <f>IFERROR(INDEX(Movimientos!$L$2:$L$1993,MATCH(A42&amp;"ENTRADA",Movimientos!$R$2:$R$1993,0)),"-")</f>
        <v>kg</v>
      </c>
      <c r="H42" s="17" t="str">
        <f>IFERROR(IF(INDEX(Movimientos!$M$2:$M$1993,MATCH(A42&amp;"ENTRADA",Movimientos!$R$2:$R$1993,0))=0,"S/D",INDEX(Movimientos!$M$2:$M$1993,MATCH(A42&amp;"ENTRADA",Movimientos!$R$2:$R$1993,0))),"S/D")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323</v>
      </c>
      <c r="B43" s="2" t="str">
        <f>IFERROR(INDEX(Movimientos!$C$2:$C$1993,MATCH(A43&amp;"ENTRADA",Movimientos!$R$2:$R$1993,0)),"-")</f>
        <v>Dactylis inia perseo</v>
      </c>
      <c r="C43" s="2" t="str">
        <f>IFERROR(INDEX(Movimientos!$D$2:$D$1993,MATCH(A43&amp;"ENTRADA",Movimientos!$R$2:$R$1993,0)),"-")</f>
        <v>Dactylis inia perseo cert +ins</v>
      </c>
      <c r="D43" s="2" t="str">
        <f>IFERROR(INDEX(Movimientos!$E$2:$E$1993,MATCH(A43&amp;"ENTRADA",Movimientos!$R$2:$R$1993,0)),"-")</f>
        <v>Semilla</v>
      </c>
      <c r="E43" s="2" t="str">
        <f>IFERROR(INDEX(Movimientos!$F$2:$F$1993,MATCH(A43&amp;"ENTRADA",Movimientos!$R$2:$R$1993,0)),"-")</f>
        <v>Dactylis</v>
      </c>
      <c r="F43" s="2" t="str">
        <f>IFERROR(INDEX(Movimientos!$G$2:$G$1993,MATCH(A43&amp;"ENTRADA",Movimientos!$R$2:$R$1993,0)),"-")</f>
        <v xml:space="preserve">Irmacor </v>
      </c>
      <c r="G43" s="2" t="str">
        <f>IFERROR(INDEX(Movimientos!$L$2:$L$1993,MATCH(A43&amp;"ENTRADA",Movimientos!$R$2:$R$1993,0)),"-")</f>
        <v>kg</v>
      </c>
      <c r="H43" s="17" t="str">
        <f>IFERROR(IF(INDEX(Movimientos!$M$2:$M$1993,MATCH(A43&amp;"ENTRADA",Movimientos!$R$2:$R$1993,0))=0,"S/D",INDEX(Movimientos!$M$2:$M$1993,MATCH(A43&amp;"ENTRADA",Movimientos!$R$2:$R$1993,0))),"S/D")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448</v>
      </c>
      <c r="B44" s="2" t="str">
        <f>IFERROR(INDEX(Movimientos!$C$2:$C$1993,MATCH(A44&amp;"ENTRADA",Movimientos!$R$2:$R$1993,0)),"-")</f>
        <v>Colza 45y95cl</v>
      </c>
      <c r="C44" s="2" t="str">
        <f>IFERROR(INDEX(Movimientos!$D$2:$D$1993,MATCH(A44&amp;"ENTRADA",Movimientos!$R$2:$R$1993,0)),"-")</f>
        <v>Colza 45y95cl</v>
      </c>
      <c r="D44" s="2" t="str">
        <f>IFERROR(INDEX(Movimientos!$E$2:$E$1993,MATCH(A44&amp;"ENTRADA",Movimientos!$R$2:$R$1993,0)),"-")</f>
        <v>Semilla</v>
      </c>
      <c r="E44" s="2" t="str">
        <f>IFERROR(INDEX(Movimientos!$F$2:$F$1993,MATCH(A44&amp;"ENTRADA",Movimientos!$R$2:$R$1993,0)),"-")</f>
        <v>Colza</v>
      </c>
      <c r="F44" s="2" t="str">
        <f>IFERROR(INDEX(Movimientos!$G$2:$G$1993,MATCH(A44&amp;"ENTRADA",Movimientos!$R$2:$R$1993,0)),"-")</f>
        <v>GS Agro</v>
      </c>
      <c r="G44" s="2" t="str">
        <f>IFERROR(INDEX(Movimientos!$L$2:$L$1993,MATCH(A44&amp;"ENTRADA",Movimientos!$R$2:$R$1993,0)),"-")</f>
        <v>kg</v>
      </c>
      <c r="H44" s="17" t="str">
        <f>IFERROR(IF(INDEX(Movimientos!$M$2:$M$1993,MATCH(A44&amp;"ENTRADA",Movimientos!$R$2:$R$1993,0))=0,"S/D",INDEX(Movimientos!$M$2:$M$1993,MATCH(A44&amp;"ENTRADA",Movimientos!$R$2:$R$1993,0))),"S/D")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365</v>
      </c>
      <c r="B45" s="2" t="str">
        <f>IFERROR(INDEX(Movimientos!$C$2:$C$1993,MATCH(A45&amp;"ENTRADA",Movimientos!$R$2:$R$1993,0)),"-")</f>
        <v>Festuca elodie curada</v>
      </c>
      <c r="C45" s="2" t="str">
        <f>IFERROR(INDEX(Movimientos!$D$2:$D$1993,MATCH(A45&amp;"ENTRADA",Movimientos!$R$2:$R$1993,0)),"-")</f>
        <v xml:space="preserve">festuca elodie </v>
      </c>
      <c r="D45" s="2" t="str">
        <f>IFERROR(INDEX(Movimientos!$E$2:$E$1993,MATCH(A45&amp;"ENTRADA",Movimientos!$R$2:$R$1993,0)),"-")</f>
        <v>Semilla</v>
      </c>
      <c r="E45" s="2" t="str">
        <f>IFERROR(INDEX(Movimientos!$F$2:$F$1993,MATCH(A45&amp;"ENTRADA",Movimientos!$R$2:$R$1993,0)),"-")</f>
        <v>Festuca</v>
      </c>
      <c r="F45" s="2" t="str">
        <f>IFERROR(INDEX(Movimientos!$G$2:$G$1993,MATCH(A45&amp;"ENTRADA",Movimientos!$R$2:$R$1993,0)),"-")</f>
        <v xml:space="preserve">Biosfer </v>
      </c>
      <c r="G45" s="2" t="str">
        <f>IFERROR(INDEX(Movimientos!$L$2:$L$1993,MATCH(A45&amp;"ENTRADA",Movimientos!$R$2:$R$1993,0)),"-")</f>
        <v>kg</v>
      </c>
      <c r="H45" s="17" t="str">
        <f>IFERROR(IF(INDEX(Movimientos!$M$2:$M$1993,MATCH(A45&amp;"ENTRADA",Movimientos!$R$2:$R$1993,0))=0,"S/D",INDEX(Movimientos!$M$2:$M$1993,MATCH(A45&amp;"ENTRADA",Movimientos!$R$2:$R$1993,0))),"S/D")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409</v>
      </c>
      <c r="B46" s="2" t="str">
        <f>IFERROR(INDEX(Movimientos!$C$2:$C$1993,MATCH(A46&amp;"ENTRADA",Movimientos!$R$2:$R$1993,0)),"-")</f>
        <v xml:space="preserve">Trebol blanco Zapican inoculado </v>
      </c>
      <c r="C46" s="2" t="str">
        <f>IFERROR(INDEX(Movimientos!$D$2:$D$1993,MATCH(A46&amp;"ENTRADA",Movimientos!$R$2:$R$1993,0)),"-")</f>
        <v xml:space="preserve">trebol blanco zapican </v>
      </c>
      <c r="D46" s="2" t="str">
        <f>IFERROR(INDEX(Movimientos!$E$2:$E$1993,MATCH(A46&amp;"ENTRADA",Movimientos!$R$2:$R$1993,0)),"-")</f>
        <v>Semilla</v>
      </c>
      <c r="E46" s="2" t="str">
        <f>IFERROR(INDEX(Movimientos!$F$2:$F$1993,MATCH(A46&amp;"ENTRADA",Movimientos!$R$2:$R$1993,0)),"-")</f>
        <v>Trebol Blanco</v>
      </c>
      <c r="F46" s="2" t="str">
        <f>IFERROR(INDEX(Movimientos!$G$2:$G$1993,MATCH(A46&amp;"ENTRADA",Movimientos!$R$2:$R$1993,0)),"-")</f>
        <v xml:space="preserve">Biosfer </v>
      </c>
      <c r="G46" s="2" t="str">
        <f>IFERROR(INDEX(Movimientos!$L$2:$L$1993,MATCH(A46&amp;"ENTRADA",Movimientos!$R$2:$R$1993,0)),"-")</f>
        <v>kg</v>
      </c>
      <c r="H46" s="17" t="str">
        <f>IFERROR(IF(INDEX(Movimientos!$M$2:$M$1993,MATCH(A46&amp;"ENTRADA",Movimientos!$R$2:$R$1993,0))=0,"S/D",INDEX(Movimientos!$M$2:$M$1993,MATCH(A46&amp;"ENTRADA",Movimientos!$R$2:$R$1993,0))),"S/D")</f>
        <v>S/D</v>
      </c>
      <c r="I46" s="15" t="str">
        <f t="shared" ca="1" si="2"/>
        <v>S/D</v>
      </c>
      <c r="J46" s="5">
        <f>IF(A46="","",SUMIFS(Movimientos!$K:$K,Movimientos!$H:$H,A46))</f>
        <v>100</v>
      </c>
      <c r="K46" s="13" t="str">
        <f t="shared" ca="1" si="1"/>
        <v>OK</v>
      </c>
    </row>
    <row r="47" spans="1:11">
      <c r="A47" s="16" t="s">
        <v>2414</v>
      </c>
      <c r="B47" s="2" t="str">
        <f>IFERROR(INDEX(Movimientos!$C$2:$C$1993,MATCH(A47&amp;"ENTRADA",Movimientos!$R$2:$R$1993,0)),"-")</f>
        <v>-</v>
      </c>
      <c r="C47" s="2" t="str">
        <f>IFERROR(INDEX(Movimientos!$D$2:$D$1993,MATCH(A47&amp;"ENTRADA",Movimientos!$R$2:$R$1993,0)),"-")</f>
        <v>-</v>
      </c>
      <c r="D47" s="2" t="str">
        <f>IFERROR(INDEX(Movimientos!$E$2:$E$1993,MATCH(A47&amp;"ENTRADA",Movimientos!$R$2:$R$1993,0)),"-")</f>
        <v>-</v>
      </c>
      <c r="E47" s="2" t="str">
        <f>IFERROR(INDEX(Movimientos!$F$2:$F$1993,MATCH(A47&amp;"ENTRADA",Movimientos!$R$2:$R$1993,0)),"-")</f>
        <v>-</v>
      </c>
      <c r="F47" s="2" t="str">
        <f>IFERROR(INDEX(Movimientos!$G$2:$G$1993,MATCH(A47&amp;"ENTRADA",Movimientos!$R$2:$R$1993,0)),"-")</f>
        <v>-</v>
      </c>
      <c r="G47" s="2" t="str">
        <f>IFERROR(INDEX(Movimientos!$L$2:$L$1993,MATCH(A47&amp;"ENTRADA",Movimientos!$R$2:$R$1993,0)),"-")</f>
        <v>-</v>
      </c>
      <c r="H47" s="17" t="str">
        <f>IFERROR(IF(INDEX(Movimientos!$M$2:$M$1993,MATCH(A47&amp;"ENTRADA",Movimientos!$R$2:$R$1993,0))=0,"S/D",INDEX(Movimientos!$M$2:$M$1993,MATCH(A47&amp;"ENTRADA",Movimientos!$R$2:$R$1993,0))),"S/D")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446</v>
      </c>
      <c r="B48" s="2" t="str">
        <f>IFERROR(INDEX(Movimientos!$C$2:$C$1993,MATCH(A48&amp;"ENTRADA",Movimientos!$R$2:$R$1993,0)),"-")</f>
        <v>Colza Nuola 300</v>
      </c>
      <c r="C48" s="2" t="str">
        <f>IFERROR(INDEX(Movimientos!$D$2:$D$1993,MATCH(A48&amp;"ENTRADA",Movimientos!$R$2:$R$1993,0)),"-")</f>
        <v>Nuola 300</v>
      </c>
      <c r="D48" s="2" t="str">
        <f>IFERROR(INDEX(Movimientos!$E$2:$E$1993,MATCH(A48&amp;"ENTRADA",Movimientos!$R$2:$R$1993,0)),"-")</f>
        <v>Semilla</v>
      </c>
      <c r="E48" s="2" t="str">
        <f>IFERROR(INDEX(Movimientos!$F$2:$F$1993,MATCH(A48&amp;"ENTRADA",Movimientos!$R$2:$R$1993,0)),"-")</f>
        <v>Colza</v>
      </c>
      <c r="F48" s="2" t="str">
        <f>IFERROR(INDEX(Movimientos!$G$2:$G$1993,MATCH(A48&amp;"ENTRADA",Movimientos!$R$2:$R$1993,0)),"-")</f>
        <v xml:space="preserve">Biosfer </v>
      </c>
      <c r="G48" s="2" t="str">
        <f>IFERROR(INDEX(Movimientos!$L$2:$L$1993,MATCH(A48&amp;"ENTRADA",Movimientos!$R$2:$R$1993,0)),"-")</f>
        <v>kg</v>
      </c>
      <c r="H48" s="17" t="str">
        <f>IFERROR(IF(INDEX(Movimientos!$M$2:$M$1993,MATCH(A48&amp;"ENTRADA",Movimientos!$R$2:$R$1993,0))=0,"S/D",INDEX(Movimientos!$M$2:$M$1993,MATCH(A48&amp;"ENTRADA",Movimientos!$R$2:$R$1993,0))),"S/D")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495</v>
      </c>
      <c r="B49" s="2" t="str">
        <f>IFERROR(INDEX(Movimientos!$C$2:$C$1993,MATCH(A49&amp;"ENTRADA",Movimientos!$R$2:$R$1993,0)),"-")</f>
        <v xml:space="preserve">Zinc Plus </v>
      </c>
      <c r="C49" s="2" t="str">
        <f>IFERROR(INDEX(Movimientos!$D$2:$D$1993,MATCH(A49&amp;"ENTRADA",Movimientos!$R$2:$R$1993,0)),"-")</f>
        <v xml:space="preserve">Keylate Zinc Plus </v>
      </c>
      <c r="D49" s="2" t="str">
        <f>IFERROR(INDEX(Movimientos!$E$2:$E$1993,MATCH(A49&amp;"ENTRADA",Movimientos!$R$2:$R$1993,0)),"-")</f>
        <v>Fertilizante</v>
      </c>
      <c r="E49" s="2">
        <f>IFERROR(INDEX(Movimientos!$F$2:$F$1993,MATCH(A49&amp;"ENTRADA",Movimientos!$R$2:$R$1993,0)),"-")</f>
        <v>0</v>
      </c>
      <c r="F49" s="2" t="str">
        <f>IFERROR(INDEX(Movimientos!$G$2:$G$1993,MATCH(A49&amp;"ENTRADA",Movimientos!$R$2:$R$1993,0)),"-")</f>
        <v>GS Agro</v>
      </c>
      <c r="G49" s="2" t="str">
        <f>IFERROR(INDEX(Movimientos!$L$2:$L$1993,MATCH(A49&amp;"ENTRADA",Movimientos!$R$2:$R$1993,0)),"-")</f>
        <v>L</v>
      </c>
      <c r="H49" s="17" t="str">
        <f>IFERROR(IF(INDEX(Movimientos!$M$2:$M$1993,MATCH(A49&amp;"ENTRADA",Movimientos!$R$2:$R$1993,0))=0,"S/D",INDEX(Movimientos!$M$2:$M$1993,MATCH(A49&amp;"ENTRADA",Movimientos!$R$2:$R$1993,0))),"S/D")</f>
        <v>S/D</v>
      </c>
      <c r="I49" s="15" t="str">
        <f t="shared" ca="1" si="2"/>
        <v>S/D</v>
      </c>
      <c r="J49" s="5">
        <f>IF(A49="","",SUMIFS(Movimientos!$K:$K,Movimientos!$H:$H,A49))</f>
        <v>12320</v>
      </c>
      <c r="K49" s="13" t="str">
        <f t="shared" ca="1" si="1"/>
        <v>OK</v>
      </c>
    </row>
    <row r="50" spans="1:11">
      <c r="A50" s="16" t="s">
        <v>497</v>
      </c>
      <c r="B50" s="2" t="str">
        <f>IFERROR(INDEX(Movimientos!$C$2:$C$1993,MATCH(A50&amp;"ENTRADA",Movimientos!$R$2:$R$1993,0)),"-")</f>
        <v>Hydra Hume</v>
      </c>
      <c r="C50" s="2" t="str">
        <f>IFERROR(INDEX(Movimientos!$D$2:$D$1993,MATCH(A50&amp;"ENTRADA",Movimientos!$R$2:$R$1993,0)),"-")</f>
        <v xml:space="preserve">Hydra hume </v>
      </c>
      <c r="D50" s="2" t="str">
        <f>IFERROR(INDEX(Movimientos!$E$2:$E$1993,MATCH(A50&amp;"ENTRADA",Movimientos!$R$2:$R$1993,0)),"-")</f>
        <v>Biológico</v>
      </c>
      <c r="E50" s="2" t="str">
        <f>IFERROR(INDEX(Movimientos!$F$2:$F$1993,MATCH(A50&amp;"ENTRADA",Movimientos!$R$2:$R$1993,0)),"-")</f>
        <v>Acidos Humicos</v>
      </c>
      <c r="F50" s="2" t="str">
        <f>IFERROR(INDEX(Movimientos!$G$2:$G$1993,MATCH(A50&amp;"ENTRADA",Movimientos!$R$2:$R$1993,0)),"-")</f>
        <v>Granicor</v>
      </c>
      <c r="G50" s="2" t="str">
        <f>IFERROR(INDEX(Movimientos!$L$2:$L$1993,MATCH(A50&amp;"ENTRADA",Movimientos!$R$2:$R$1993,0)),"-")</f>
        <v>L</v>
      </c>
      <c r="H50" s="17">
        <f>IFERROR(IF(INDEX(Movimientos!$M$2:$M$1993,MATCH(A50&amp;"ENTRADA",Movimientos!$R$2:$R$1993,0))=0,"S/D",INDEX(Movimientos!$M$2:$M$1993,MATCH(A50&amp;"ENTRADA",Movimientos!$R$2:$R$1993,0))),"S/D")</f>
        <v>46634</v>
      </c>
      <c r="I50" s="15">
        <f t="shared" ca="1" si="2"/>
        <v>309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>
      <c r="A51" s="16" t="s">
        <v>553</v>
      </c>
      <c r="B51" s="2" t="str">
        <f>IFERROR(INDEX(Movimientos!$C$2:$C$1993,MATCH(A51&amp;"ENTRADA",Movimientos!$R$2:$R$1993,0)),"-")</f>
        <v xml:space="preserve">cripton xpro </v>
      </c>
      <c r="C51" s="2" t="str">
        <f>IFERROR(INDEX(Movimientos!$D$2:$D$1993,MATCH(A51&amp;"ENTRADA",Movimientos!$R$2:$R$1993,0)),"-")</f>
        <v>Protioconazol 175g/l trifloxistrobin 150g/l bixafen 125g/l</v>
      </c>
      <c r="D51" s="2" t="str">
        <f>IFERROR(INDEX(Movimientos!$E$2:$E$1993,MATCH(A51&amp;"ENTRADA",Movimientos!$R$2:$R$1993,0)),"-")</f>
        <v>Fungicida</v>
      </c>
      <c r="E51" s="2">
        <f>IFERROR(INDEX(Movimientos!$F$2:$F$1993,MATCH(A51&amp;"ENTRADA",Movimientos!$R$2:$R$1993,0)),"-")</f>
        <v>0</v>
      </c>
      <c r="F51" s="2" t="str">
        <f>IFERROR(INDEX(Movimientos!$G$2:$G$1993,MATCH(A51&amp;"ENTRADA",Movimientos!$R$2:$R$1993,0)),"-")</f>
        <v>Agromil</v>
      </c>
      <c r="G51" s="2" t="str">
        <f>IFERROR(INDEX(Movimientos!$L$2:$L$1993,MATCH(A51&amp;"ENTRADA",Movimientos!$R$2:$R$1993,0)),"-")</f>
        <v>L</v>
      </c>
      <c r="H51" s="17">
        <f>IFERROR(IF(INDEX(Movimientos!$M$2:$M$1993,MATCH(A51&amp;"ENTRADA",Movimientos!$R$2:$R$1993,0))=0,"S/D",INDEX(Movimientos!$M$2:$M$1993,MATCH(A51&amp;"ENTRADA",Movimientos!$R$2:$R$1993,0))),"S/D")</f>
        <v>46476</v>
      </c>
      <c r="I51" s="15">
        <f t="shared" ca="1" si="2"/>
        <v>151</v>
      </c>
      <c r="J51" s="5">
        <f>IF(A51="","",SUMIFS(Movimientos!$K:$K,Movimientos!$H:$H,A51))</f>
        <v>-65</v>
      </c>
      <c r="K51" s="13" t="str">
        <f t="shared" ca="1" si="1"/>
        <v>SIN STOCK</v>
      </c>
    </row>
    <row r="52" spans="1:11">
      <c r="A52" s="16" t="s">
        <v>551</v>
      </c>
      <c r="B52" s="2" t="str">
        <f>IFERROR(INDEX(Movimientos!$C$2:$C$1993,MATCH(A52&amp;"ENTRADA",Movimientos!$R$2:$R$1993,0)),"-")</f>
        <v>vitagrow</v>
      </c>
      <c r="C52" s="2" t="str">
        <f>IFERROR(INDEX(Movimientos!$D$2:$D$1993,MATCH(A52&amp;"ENTRADA",Movimientos!$R$2:$R$1993,0)),"-")</f>
        <v xml:space="preserve">fertilizante foliar </v>
      </c>
      <c r="D52" s="2" t="str">
        <f>IFERROR(INDEX(Movimientos!$E$2:$E$1993,MATCH(A52&amp;"ENTRADA",Movimientos!$R$2:$R$1993,0)),"-")</f>
        <v>Fertilizante</v>
      </c>
      <c r="E52" s="2">
        <f>IFERROR(INDEX(Movimientos!$F$2:$F$1993,MATCH(A52&amp;"ENTRADA",Movimientos!$R$2:$R$1993,0)),"-")</f>
        <v>0</v>
      </c>
      <c r="F52" s="2" t="str">
        <f>IFERROR(INDEX(Movimientos!$G$2:$G$1993,MATCH(A52&amp;"ENTRADA",Movimientos!$R$2:$R$1993,0)),"-")</f>
        <v>Agromil</v>
      </c>
      <c r="G52" s="2" t="str">
        <f>IFERROR(INDEX(Movimientos!$L$2:$L$1993,MATCH(A52&amp;"ENTRADA",Movimientos!$R$2:$R$1993,0)),"-")</f>
        <v>kg</v>
      </c>
      <c r="H52" s="17">
        <f>IFERROR(IF(INDEX(Movimientos!$M$2:$M$1993,MATCH(A52&amp;"ENTRADA",Movimientos!$R$2:$R$1993,0))=0,"S/D",INDEX(Movimientos!$M$2:$M$1993,MATCH(A52&amp;"ENTRADA",Movimientos!$R$2:$R$1993,0))),"S/D")</f>
        <v>47098</v>
      </c>
      <c r="I52" s="15">
        <f t="shared" ca="1" si="2"/>
        <v>773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2415</v>
      </c>
      <c r="B53" s="2" t="str">
        <f>IFERROR(INDEX(Movimientos!$C$2:$C$1993,MATCH(A53&amp;"ENTRADA",Movimientos!$R$2:$R$1993,0)),"-")</f>
        <v xml:space="preserve">semilla comprada cebada </v>
      </c>
      <c r="C53" s="2" t="str">
        <f>IFERROR(INDEX(Movimientos!$D$2:$D$1993,MATCH(A53&amp;"ENTRADA",Movimientos!$R$2:$R$1993,0)),"-")</f>
        <v>cebada osiris</v>
      </c>
      <c r="D53" s="2" t="str">
        <f>IFERROR(INDEX(Movimientos!$E$2:$E$1993,MATCH(A53&amp;"ENTRADA",Movimientos!$R$2:$R$1993,0)),"-")</f>
        <v>Semilla</v>
      </c>
      <c r="E53" s="2" t="str">
        <f>IFERROR(INDEX(Movimientos!$F$2:$F$1993,MATCH(A53&amp;"ENTRADA",Movimientos!$R$2:$R$1993,0)),"-")</f>
        <v>Cebada</v>
      </c>
      <c r="F53" s="2">
        <f>IFERROR(INDEX(Movimientos!$G$2:$G$1993,MATCH(A53&amp;"ENTRADA",Movimientos!$R$2:$R$1993,0)),"-")</f>
        <v>0</v>
      </c>
      <c r="G53" s="2" t="str">
        <f>IFERROR(INDEX(Movimientos!$L$2:$L$1993,MATCH(A53&amp;"ENTRADA",Movimientos!$R$2:$R$1993,0)),"-")</f>
        <v>kg</v>
      </c>
      <c r="H53" s="17" t="str">
        <f>IFERROR(IF(INDEX(Movimientos!$M$2:$M$1993,MATCH(A53&amp;"ENTRADA",Movimientos!$R$2:$R$1993,0))=0,"S/D",INDEX(Movimientos!$M$2:$M$1993,MATCH(A53&amp;"ENTRADA",Movimientos!$R$2:$R$1993,0))),"S/D")</f>
        <v>S/D</v>
      </c>
      <c r="I53" s="15" t="str">
        <f t="shared" ca="1" si="2"/>
        <v>S/D</v>
      </c>
      <c r="J53" s="5">
        <f>IF(A53="","",SUMIFS(Movimientos!$K:$K,Movimientos!$H:$H,A53))</f>
        <v>1700</v>
      </c>
      <c r="K53" s="13" t="str">
        <f t="shared" ca="1" si="1"/>
        <v>OK</v>
      </c>
    </row>
    <row r="54" spans="1:11">
      <c r="A54" s="16" t="s">
        <v>560</v>
      </c>
      <c r="B54" s="2" t="str">
        <f>IFERROR(INDEX(Movimientos!$C$2:$C$1993,MATCH(A54&amp;"ENTRADA",Movimientos!$R$2:$R$1993,0)),"-")</f>
        <v>Paradigm</v>
      </c>
      <c r="C54" s="2" t="str">
        <f>IFERROR(INDEX(Movimientos!$D$2:$D$1993,MATCH(A54&amp;"ENTRADA",Movimientos!$R$2:$R$1993,0)),"-")</f>
        <v>Florasulam 20,0% Halauxyfen metil 20,85% Equivalente ácido Halauxyfen metil 20,0%</v>
      </c>
      <c r="D54" s="2" t="str">
        <f>IFERROR(INDEX(Movimientos!$E$2:$E$1993,MATCH(A54&amp;"ENTRADA",Movimientos!$R$2:$R$1993,0)),"-")</f>
        <v>Herbicida</v>
      </c>
      <c r="E54" s="2" t="str">
        <f>IFERROR(INDEX(Movimientos!$F$2:$F$1993,MATCH(A54&amp;"ENTRADA",Movimientos!$R$2:$R$1993,0)),"-")</f>
        <v>Postemergente</v>
      </c>
      <c r="F54" s="2" t="str">
        <f>IFERROR(INDEX(Movimientos!$G$2:$G$1993,MATCH(A54&amp;"ENTRADA",Movimientos!$R$2:$R$1993,0)),"-")</f>
        <v>GS Agro</v>
      </c>
      <c r="G54" s="2" t="str">
        <f>IFERROR(INDEX(Movimientos!$L$2:$L$1993,MATCH(A54&amp;"ENTRADA",Movimientos!$R$2:$R$1993,0)),"-")</f>
        <v>kg</v>
      </c>
      <c r="H54" s="17" t="str">
        <f>IFERROR(IF(INDEX(Movimientos!$M$2:$M$1993,MATCH(A54&amp;"ENTRADA",Movimientos!$R$2:$R$1993,0))=0,"S/D",INDEX(Movimientos!$M$2:$M$1993,MATCH(A54&amp;"ENTRADA",Movimientos!$R$2:$R$1993,0))),"S/D")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587</v>
      </c>
      <c r="B55" s="2" t="str">
        <f>IFERROR(INDEX(Movimientos!$C$2:$C$1993,MATCH(A55&amp;"ENTRADA",Movimientos!$R$2:$R$1993,0)),"-")</f>
        <v>Unico Max</v>
      </c>
      <c r="C55" s="2" t="str">
        <f>IFERROR(INDEX(Movimientos!$D$2:$D$1993,MATCH(A55&amp;"ENTRADA",Movimientos!$R$2:$R$1993,0)),"-")</f>
        <v>(Protioconazol 175 g/L + Piraclostrobin 142 g/L + Bixafen 125 g/L – SC)</v>
      </c>
      <c r="D55" s="2" t="str">
        <f>IFERROR(INDEX(Movimientos!$E$2:$E$1993,MATCH(A55&amp;"ENTRADA",Movimientos!$R$2:$R$1993,0)),"-")</f>
        <v>Fungicida</v>
      </c>
      <c r="E55" s="2">
        <f>IFERROR(INDEX(Movimientos!$F$2:$F$1993,MATCH(A55&amp;"ENTRADA",Movimientos!$R$2:$R$1993,0)),"-")</f>
        <v>0</v>
      </c>
      <c r="F55" s="2" t="str">
        <f>IFERROR(INDEX(Movimientos!$G$2:$G$1993,MATCH(A55&amp;"ENTRADA",Movimientos!$R$2:$R$1993,0)),"-")</f>
        <v>Proquimur</v>
      </c>
      <c r="G55" s="2" t="str">
        <f>IFERROR(INDEX(Movimientos!$L$2:$L$1993,MATCH(A55&amp;"ENTRADA",Movimientos!$R$2:$R$1993,0)),"-")</f>
        <v>L</v>
      </c>
      <c r="H55" s="17">
        <f>IFERROR(IF(INDEX(Movimientos!$M$2:$M$1993,MATCH(A55&amp;"ENTRADA",Movimientos!$R$2:$R$1993,0))=0,"S/D",INDEX(Movimientos!$M$2:$M$1993,MATCH(A55&amp;"ENTRADA",Movimientos!$R$2:$R$1993,0))),"S/D")</f>
        <v>46569</v>
      </c>
      <c r="I55" s="15">
        <f t="shared" ca="1" si="2"/>
        <v>244</v>
      </c>
      <c r="J55" s="5">
        <f>IF(A55="","",SUMIFS(Movimientos!$K:$K,Movimientos!$H:$H,A55))</f>
        <v>65</v>
      </c>
      <c r="K55" s="13" t="str">
        <f t="shared" ca="1" si="1"/>
        <v>OK</v>
      </c>
    </row>
    <row r="56" spans="1:11">
      <c r="A56" s="16" t="s">
        <v>739</v>
      </c>
      <c r="B56" s="2" t="str">
        <f>IFERROR(INDEX(Movimientos!$C$2:$C$1993,MATCH(A56&amp;"ENTRADA",Movimientos!$R$2:$R$1993,0)),"-")</f>
        <v xml:space="preserve">cripton xpro </v>
      </c>
      <c r="C56" s="2" t="str">
        <f>IFERROR(INDEX(Movimientos!$D$2:$D$1993,MATCH(A56&amp;"ENTRADA",Movimientos!$R$2:$R$1993,0)),"-")</f>
        <v>Protioconazol 175g/l trifloxistrobin 150g/l bixafen 125g/l</v>
      </c>
      <c r="D56" s="2" t="str">
        <f>IFERROR(INDEX(Movimientos!$E$2:$E$1993,MATCH(A56&amp;"ENTRADA",Movimientos!$R$2:$R$1993,0)),"-")</f>
        <v>Fungicida</v>
      </c>
      <c r="E56" s="2">
        <f>IFERROR(INDEX(Movimientos!$F$2:$F$1993,MATCH(A56&amp;"ENTRADA",Movimientos!$R$2:$R$1993,0)),"-")</f>
        <v>0</v>
      </c>
      <c r="F56" s="2" t="str">
        <f>IFERROR(INDEX(Movimientos!$G$2:$G$1993,MATCH(A56&amp;"ENTRADA",Movimientos!$R$2:$R$1993,0)),"-")</f>
        <v>Agroterra</v>
      </c>
      <c r="G56" s="2" t="str">
        <f>IFERROR(INDEX(Movimientos!$L$2:$L$1993,MATCH(A56&amp;"ENTRADA",Movimientos!$R$2:$R$1993,0)),"-")</f>
        <v>L</v>
      </c>
      <c r="H56" s="17">
        <f>IFERROR(IF(INDEX(Movimientos!$M$2:$M$1993,MATCH(A56&amp;"ENTRADA",Movimientos!$R$2:$R$1993,0))=0,"S/D",INDEX(Movimientos!$M$2:$M$1993,MATCH(A56&amp;"ENTRADA",Movimientos!$R$2:$R$1993,0))),"S/D")</f>
        <v>46584</v>
      </c>
      <c r="I56" s="15">
        <f t="shared" ca="1" si="2"/>
        <v>259</v>
      </c>
      <c r="J56" s="5">
        <f>IF(A56="","",SUMIFS(Movimientos!$K:$K,Movimientos!$H:$H,A56))</f>
        <v>65</v>
      </c>
      <c r="K56" s="13" t="str">
        <f t="shared" ca="1" si="1"/>
        <v>OK</v>
      </c>
    </row>
    <row r="57" spans="1:11">
      <c r="A57" s="16" t="s">
        <v>297</v>
      </c>
      <c r="B57" s="2" t="str">
        <f>IFERROR(INDEX(Movimientos!$C$2:$C$1993,MATCH(A57&amp;"ENTRADA",Movimientos!$R$2:$R$1993,0)),"-")</f>
        <v>Silobolsa</v>
      </c>
      <c r="C57" s="2" t="str">
        <f>IFERROR(INDEX(Movimientos!$D$2:$D$1993,MATCH(A57&amp;"ENTRADA",Movimientos!$R$2:$R$1993,0)),"-")</f>
        <v>Silobolsa 9 pies</v>
      </c>
      <c r="D57" s="2" t="str">
        <f>IFERROR(INDEX(Movimientos!$E$2:$E$1993,MATCH(A57&amp;"ENTRADA",Movimientos!$R$2:$R$1993,0)),"-")</f>
        <v>Silobolsa</v>
      </c>
      <c r="E57" s="2">
        <f>IFERROR(INDEX(Movimientos!$F$2:$F$1993,MATCH(A57&amp;"ENTRADA",Movimientos!$R$2:$R$1993,0)),"-")</f>
        <v>0</v>
      </c>
      <c r="F57" s="2" t="str">
        <f>IFERROR(INDEX(Movimientos!$G$2:$G$1993,MATCH(A57&amp;"ENTRADA",Movimientos!$R$2:$R$1993,0)),"-")</f>
        <v>AYP Agrogestiones</v>
      </c>
      <c r="G57" s="2" t="str">
        <f>IFERROR(INDEX(Movimientos!$L$2:$L$1993,MATCH(A57&amp;"ENTRADA",Movimientos!$R$2:$R$1993,0)),"-")</f>
        <v>unidad</v>
      </c>
      <c r="H57" s="17" t="str">
        <f>IFERROR(IF(INDEX(Movimientos!$M$2:$M$1993,MATCH(A57&amp;"ENTRADA",Movimientos!$R$2:$R$1993,0))=0,"S/D",INDEX(Movimientos!$M$2:$M$1993,MATCH(A57&amp;"ENTRADA",Movimientos!$R$2:$R$1993,0))),"S/D")</f>
        <v>S/D</v>
      </c>
      <c r="I57" s="15" t="str">
        <f t="shared" ca="1" si="2"/>
        <v>S/D</v>
      </c>
      <c r="J57" s="5">
        <f>IF(A57="","",SUMIFS(Movimientos!$K:$K,Movimientos!$H:$H,A57))</f>
        <v>30</v>
      </c>
      <c r="K57" s="13" t="str">
        <f t="shared" ca="1" si="1"/>
        <v>OK</v>
      </c>
    </row>
    <row r="58" spans="1:11" ht="14.25">
      <c r="A58" s="16"/>
      <c r="B58" s="2" t="str">
        <f>IFERROR(INDEX(Movimientos!$C$2:$C$1993,MATCH(A58&amp;"ENTRADA",Movimientos!$R$2:$R$1993,0)),"-")</f>
        <v>-</v>
      </c>
      <c r="C58" s="2" t="str">
        <f>IFERROR(INDEX(Movimientos!$D$2:$D$1993,MATCH(A58&amp;"ENTRADA",Movimientos!$R$2:$R$1993,0)),"-")</f>
        <v>-</v>
      </c>
      <c r="D58" s="2" t="str">
        <f>IFERROR(INDEX(Movimientos!$E$2:$E$1993,MATCH(A58&amp;"ENTRADA",Movimientos!$R$2:$R$1993,0)),"-")</f>
        <v>-</v>
      </c>
      <c r="E58" s="2" t="str">
        <f>IFERROR(INDEX(Movimientos!$F$2:$F$1993,MATCH(A58&amp;"ENTRADA",Movimientos!$R$2:$R$1993,0)),"-")</f>
        <v>-</v>
      </c>
      <c r="F58" s="2" t="str">
        <f>IFERROR(INDEX(Movimientos!$G$2:$G$1993,MATCH(A58&amp;"ENTRADA",Movimientos!$R$2:$R$1993,0)),"-")</f>
        <v>-</v>
      </c>
      <c r="G58" s="2" t="str">
        <f>IFERROR(INDEX(Movimientos!$L$2:$L$1993,MATCH(A58&amp;"ENTRADA",Movimientos!$R$2:$R$1993,0)),"-")</f>
        <v>-</v>
      </c>
      <c r="H58" s="17" t="str">
        <f>IFERROR(IF(INDEX(Movimientos!$M$2:$M$1993,MATCH(A58&amp;"ENTRADA",Movimientos!$R$2:$R$1993,0))=0,"S/D",INDEX(Movimientos!$M$2:$M$1993,MATCH(A58&amp;"ENTRADA",Movimientos!$R$2:$R$1993,0))),"S/D")</f>
        <v>S/D</v>
      </c>
      <c r="I58" s="15" t="str">
        <f t="shared" ca="1" si="2"/>
        <v>S/D</v>
      </c>
      <c r="J58" s="5" t="str">
        <f>IF(A58="","",SUMIFS(Movimientos!$K:$K,Movimientos!$H:$H,A58))</f>
        <v/>
      </c>
      <c r="K58" s="13" t="str">
        <f t="shared" ca="1" si="1"/>
        <v/>
      </c>
    </row>
    <row r="59" spans="1:11" ht="14.25">
      <c r="A59" s="55" t="s">
        <v>823</v>
      </c>
      <c r="B59" s="2" t="str">
        <f>IFERROR(INDEX(Movimientos!$C$2:$C$1993,MATCH(A59&amp;"ENTRADA",Movimientos!$R$2:$R$1993,0)),"-")</f>
        <v>semilla maiz DK 69-62 TRE</v>
      </c>
      <c r="C59" s="2" t="str">
        <f>IFERROR(INDEX(Movimientos!$D$2:$D$1993,MATCH(A59&amp;"ENTRADA",Movimientos!$R$2:$R$1993,0)),"-")</f>
        <v xml:space="preserve">semilla comprada maíz </v>
      </c>
      <c r="D59" s="2" t="str">
        <f>IFERROR(INDEX(Movimientos!$E$2:$E$1993,MATCH(A59&amp;"ENTRADA",Movimientos!$R$2:$R$1993,0)),"-")</f>
        <v>Semilla</v>
      </c>
      <c r="E59" s="2" t="str">
        <f>IFERROR(INDEX(Movimientos!$F$2:$F$1993,MATCH(A59&amp;"ENTRADA",Movimientos!$R$2:$R$1993,0)),"-")</f>
        <v>Maíz</v>
      </c>
      <c r="F59" s="2" t="str">
        <f>IFERROR(INDEX(Movimientos!$G$2:$G$1993,MATCH(A59&amp;"ENTRADA",Movimientos!$R$2:$R$1993,0)),"-")</f>
        <v>Agroterra</v>
      </c>
      <c r="G59" s="2" t="str">
        <f>IFERROR(INDEX(Movimientos!$L$2:$L$1993,MATCH(A59&amp;"ENTRADA",Movimientos!$R$2:$R$1993,0)),"-")</f>
        <v>bolsa</v>
      </c>
      <c r="H59" s="17" t="str">
        <f>IFERROR(IF(INDEX(Movimientos!$M$2:$M$1993,MATCH(A59&amp;"ENTRADA",Movimientos!$R$2:$R$1993,0))=0,"S/D",INDEX(Movimientos!$M$2:$M$1993,MATCH(A59&amp;"ENTRADA",Movimientos!$R$2:$R$1993,0))),"S/D")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 ht="14.25">
      <c r="A60" t="s">
        <v>825</v>
      </c>
      <c r="B60" s="2" t="str">
        <f>IFERROR(INDEX(Movimientos!$C$2:$C$1993,MATCH(A60&amp;"ENTRADA",Movimientos!$R$2:$R$1993,0)),"-")</f>
        <v>semilla maiz DK 72-10 RR2C5 refugio</v>
      </c>
      <c r="C60" s="2" t="str">
        <f>IFERROR(INDEX(Movimientos!$D$2:$D$1993,MATCH(A60&amp;"ENTRADA",Movimientos!$R$2:$R$1993,0)),"-")</f>
        <v xml:space="preserve">semilla comprada maíz </v>
      </c>
      <c r="D60" s="2" t="str">
        <f>IFERROR(INDEX(Movimientos!$E$2:$E$1993,MATCH(A60&amp;"ENTRADA",Movimientos!$R$2:$R$1993,0)),"-")</f>
        <v>Semilla</v>
      </c>
      <c r="E60" s="2" t="str">
        <f>IFERROR(INDEX(Movimientos!$F$2:$F$1993,MATCH(A60&amp;"ENTRADA",Movimientos!$R$2:$R$1993,0)),"-")</f>
        <v>Maíz</v>
      </c>
      <c r="F60" s="2" t="str">
        <f>IFERROR(INDEX(Movimientos!$G$2:$G$1993,MATCH(A60&amp;"ENTRADA",Movimientos!$R$2:$R$1993,0)),"-")</f>
        <v>Agroterra</v>
      </c>
      <c r="G60" s="2" t="str">
        <f>IFERROR(INDEX(Movimientos!$L$2:$L$1993,MATCH(A60&amp;"ENTRADA",Movimientos!$R$2:$R$1993,0)),"-")</f>
        <v>bolsa</v>
      </c>
      <c r="H60" s="17" t="str">
        <f>IFERROR(IF(INDEX(Movimientos!$M$2:$M$1993,MATCH(A60&amp;"ENTRADA",Movimientos!$R$2:$R$1993,0))=0,"S/D",INDEX(Movimientos!$M$2:$M$1993,MATCH(A60&amp;"ENTRADA",Movimientos!$R$2:$R$1993,0))),"S/D")</f>
        <v>S/D</v>
      </c>
      <c r="I60" s="15" t="str">
        <f t="shared" ca="1" si="2"/>
        <v>S/D</v>
      </c>
      <c r="J60" s="5">
        <f>IF(A60="","",SUMIFS(Movimientos!$K:$K,Movimientos!$H:$H,A60))</f>
        <v>5</v>
      </c>
      <c r="K60" s="13" t="str">
        <f t="shared" ca="1" si="1"/>
        <v>OK</v>
      </c>
    </row>
    <row r="61" spans="1:11" ht="14.25">
      <c r="A61" t="s">
        <v>966</v>
      </c>
      <c r="B61" s="2" t="str">
        <f>IFERROR(INDEX(Movimientos!$C$2:$C$1993,MATCH(A61&amp;"ENTRADA",Movimientos!$R$2:$R$1993,0)),"-")</f>
        <v>semilla maiz DK 73-03 TRE</v>
      </c>
      <c r="C61" s="2" t="str">
        <f>IFERROR(INDEX(Movimientos!$D$2:$D$1993,MATCH(A61&amp;"ENTRADA",Movimientos!$R$2:$R$1993,0)),"-")</f>
        <v xml:space="preserve">semilla comprada maíz </v>
      </c>
      <c r="D61" s="2" t="str">
        <f>IFERROR(INDEX(Movimientos!$E$2:$E$1993,MATCH(A61&amp;"ENTRADA",Movimientos!$R$2:$R$1993,0)),"-")</f>
        <v>Semilla</v>
      </c>
      <c r="E61" s="2" t="str">
        <f>IFERROR(INDEX(Movimientos!$F$2:$F$1993,MATCH(A61&amp;"ENTRADA",Movimientos!$R$2:$R$1993,0)),"-")</f>
        <v>Maíz</v>
      </c>
      <c r="F61" s="2" t="str">
        <f>IFERROR(INDEX(Movimientos!$G$2:$G$1993,MATCH(A61&amp;"ENTRADA",Movimientos!$R$2:$R$1993,0)),"-")</f>
        <v>Agroterra</v>
      </c>
      <c r="G61" s="2" t="str">
        <f>IFERROR(INDEX(Movimientos!$L$2:$L$1993,MATCH(A61&amp;"ENTRADA",Movimientos!$R$2:$R$1993,0)),"-")</f>
        <v>bolsa</v>
      </c>
      <c r="H61" s="17" t="str">
        <f>IFERROR(IF(INDEX(Movimientos!$M$2:$M$1993,MATCH(A61&amp;"ENTRADA",Movimientos!$R$2:$R$1993,0))=0,"S/D",INDEX(Movimientos!$M$2:$M$1993,MATCH(A61&amp;"ENTRADA",Movimientos!$R$2:$R$1993,0))),"S/D")</f>
        <v>S/D</v>
      </c>
      <c r="I61" s="15" t="str">
        <f t="shared" ca="1" si="2"/>
        <v>S/D</v>
      </c>
      <c r="J61" s="5">
        <f>IF(A61="","",SUMIFS(Movimientos!$K:$K,Movimientos!$H:$H,A61))</f>
        <v>380</v>
      </c>
      <c r="K61" s="13" t="str">
        <f t="shared" ca="1" si="1"/>
        <v>OK</v>
      </c>
    </row>
    <row r="62" spans="1:11" ht="14.25">
      <c r="A62" t="s">
        <v>589</v>
      </c>
      <c r="B62" s="2" t="str">
        <f>IFERROR(INDEX(Movimientos!$C$2:$C$1993,MATCH(A62&amp;"ENTRADA",Movimientos!$R$2:$R$1993,0)),"-")</f>
        <v>Acrecio</v>
      </c>
      <c r="C62" s="2" t="str">
        <f>IFERROR(INDEX(Movimientos!$D$2:$D$1993,MATCH(A62&amp;"ENTRADA",Movimientos!$R$2:$R$1993,0)),"-")</f>
        <v>Ácidos Húmicos / L-Triptofano puro / L- Metionina pura / Acreciactiv</v>
      </c>
      <c r="D62" s="2" t="str">
        <f>IFERROR(INDEX(Movimientos!$E$2:$E$1993,MATCH(A62&amp;"ENTRADA",Movimientos!$R$2:$R$1993,0)),"-")</f>
        <v xml:space="preserve">Bioestimulante </v>
      </c>
      <c r="E62" s="2">
        <f>IFERROR(INDEX(Movimientos!$F$2:$F$1993,MATCH(A62&amp;"ENTRADA",Movimientos!$R$2:$R$1993,0)),"-")</f>
        <v>0</v>
      </c>
      <c r="F62" s="2" t="str">
        <f>IFERROR(INDEX(Movimientos!$G$2:$G$1993,MATCH(A62&amp;"ENTRADA",Movimientos!$R$2:$R$1993,0)),"-")</f>
        <v>Agroterra</v>
      </c>
      <c r="G62" s="2" t="str">
        <f>IFERROR(INDEX(Movimientos!$L$2:$L$1993,MATCH(A62&amp;"ENTRADA",Movimientos!$R$2:$R$1993,0)),"-")</f>
        <v>L</v>
      </c>
      <c r="H62" s="17">
        <f>IFERROR(IF(INDEX(Movimientos!$M$2:$M$1993,MATCH(A62&amp;"ENTRADA",Movimientos!$R$2:$R$1993,0))=0,"S/D",INDEX(Movimientos!$M$2:$M$1993,MATCH(A62&amp;"ENTRADA",Movimientos!$R$2:$R$1993,0))),"S/D")</f>
        <v>47119</v>
      </c>
      <c r="I62" s="15">
        <f t="shared" ca="1" si="2"/>
        <v>794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 ht="14.25">
      <c r="A63" t="s">
        <v>619</v>
      </c>
      <c r="B63" s="2" t="str">
        <f>IFERROR(INDEX(Movimientos!$C$2:$C$1993,MATCH(A63&amp;"ENTRADA",Movimientos!$R$2:$R$1993,0)),"-")</f>
        <v xml:space="preserve">Bioavanza plus </v>
      </c>
      <c r="C63" s="2">
        <f>IFERROR(INDEX(Movimientos!$D$2:$D$1993,MATCH(A63&amp;"ENTRADA",Movimientos!$R$2:$R$1993,0)),"-")</f>
        <v>0</v>
      </c>
      <c r="D63" s="2">
        <f>IFERROR(INDEX(Movimientos!$E$2:$E$1993,MATCH(A63&amp;"ENTRADA",Movimientos!$R$2:$R$1993,0)),"-")</f>
        <v>0</v>
      </c>
      <c r="E63" s="2">
        <f>IFERROR(INDEX(Movimientos!$F$2:$F$1993,MATCH(A63&amp;"ENTRADA",Movimientos!$R$2:$R$1993,0)),"-")</f>
        <v>0</v>
      </c>
      <c r="F63" s="2" t="str">
        <f>IFERROR(INDEX(Movimientos!$G$2:$G$1993,MATCH(A63&amp;"ENTRADA",Movimientos!$R$2:$R$1993,0)),"-")</f>
        <v>Agroterra</v>
      </c>
      <c r="G63" s="2" t="str">
        <f>IFERROR(INDEX(Movimientos!$L$2:$L$1993,MATCH(A63&amp;"ENTRADA",Movimientos!$R$2:$R$1993,0)),"-")</f>
        <v>L</v>
      </c>
      <c r="H63" s="17">
        <f>IFERROR(IF(INDEX(Movimientos!$M$2:$M$1993,MATCH(A63&amp;"ENTRADA",Movimientos!$R$2:$R$1993,0))=0,"S/D",INDEX(Movimientos!$M$2:$M$1993,MATCH(A63&amp;"ENTRADA",Movimientos!$R$2:$R$1993,0))),"S/D")</f>
        <v>47146</v>
      </c>
      <c r="I63" s="15">
        <f t="shared" ca="1" si="2"/>
        <v>821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 ht="14.25">
      <c r="A64" t="s">
        <v>939</v>
      </c>
      <c r="B64" s="2" t="str">
        <f>IFERROR(INDEX(Movimientos!$C$2:$C$1993,MATCH(A64&amp;"ENTRADA",Movimientos!$R$2:$R$1993,0)),"-")</f>
        <v>Pardo</v>
      </c>
      <c r="C64" s="2" t="str">
        <f>IFERROR(INDEX(Movimientos!$D$2:$D$1993,MATCH(A64&amp;"ENTRADA",Movimientos!$R$2:$R$1993,0)),"-")</f>
        <v>Clethodim 240 g/L</v>
      </c>
      <c r="D64" s="2" t="str">
        <f>IFERROR(INDEX(Movimientos!$E$2:$E$1993,MATCH(A64&amp;"ENTRADA",Movimientos!$R$2:$R$1993,0)),"-")</f>
        <v>Herbicida</v>
      </c>
      <c r="E64" s="2" t="str">
        <f>IFERROR(INDEX(Movimientos!$F$2:$F$1993,MATCH(A64&amp;"ENTRADA",Movimientos!$R$2:$R$1993,0)),"-")</f>
        <v>Postemergente</v>
      </c>
      <c r="F64" s="2" t="str">
        <f>IFERROR(INDEX(Movimientos!$G$2:$G$1993,MATCH(A64&amp;"ENTRADA",Movimientos!$R$2:$R$1993,0)),"-")</f>
        <v>Proquimur</v>
      </c>
      <c r="G64" s="2" t="str">
        <f>IFERROR(INDEX(Movimientos!$L$2:$L$1993,MATCH(A64&amp;"ENTRADA",Movimientos!$R$2:$R$1993,0)),"-")</f>
        <v>L</v>
      </c>
      <c r="H64" s="17">
        <f>IFERROR(IF(INDEX(Movimientos!$M$2:$M$1993,MATCH(A64&amp;"ENTRADA",Movimientos!$R$2:$R$1993,0))=0,"S/D",INDEX(Movimientos!$M$2:$M$1993,MATCH(A64&amp;"ENTRADA",Movimientos!$R$2:$R$1993,0))),"S/D")</f>
        <v>46813</v>
      </c>
      <c r="I64" s="15">
        <f t="shared" ca="1" si="2"/>
        <v>488</v>
      </c>
      <c r="J64" s="5">
        <f>IF(A64="","",SUMIFS(Movimientos!$K:$K,Movimientos!$H:$H,A64))</f>
        <v>-310</v>
      </c>
      <c r="K64" s="13" t="str">
        <f t="shared" ca="1" si="3"/>
        <v>SIN STOCK</v>
      </c>
    </row>
    <row r="65" spans="1:11" ht="14.25">
      <c r="A65" t="s">
        <v>669</v>
      </c>
      <c r="B65" s="2" t="str">
        <f>IFERROR(INDEX(Movimientos!$C$2:$C$1993,MATCH(A65&amp;"ENTRADA",Movimientos!$R$2:$R$1993,0)),"-")</f>
        <v>Azuka</v>
      </c>
      <c r="C65" s="2" t="str">
        <f>IFERROR(INDEX(Movimientos!$D$2:$D$1993,MATCH(A65&amp;"ENTRADA",Movimientos!$R$2:$R$1993,0)),"-")</f>
        <v>Glifosato Sal DMA 608 g/L. Equivalente en glifosato 480 g/L</v>
      </c>
      <c r="D65" s="2" t="str">
        <f>IFERROR(INDEX(Movimientos!$E$2:$E$1993,MATCH(A65&amp;"ENTRADA",Movimientos!$R$2:$R$1993,0)),"-")</f>
        <v>Herbicida</v>
      </c>
      <c r="E65" s="2" t="str">
        <f>IFERROR(INDEX(Movimientos!$F$2:$F$1993,MATCH(A65&amp;"ENTRADA",Movimientos!$R$2:$R$1993,0)),"-")</f>
        <v>Postemergente</v>
      </c>
      <c r="F65" s="2" t="str">
        <f>IFERROR(INDEX(Movimientos!$G$2:$G$1993,MATCH(A65&amp;"ENTRADA",Movimientos!$R$2:$R$1993,0)),"-")</f>
        <v>Proquimur</v>
      </c>
      <c r="G65" s="2" t="str">
        <f>IFERROR(INDEX(Movimientos!$L$2:$L$1993,MATCH(A65&amp;"ENTRADA",Movimientos!$R$2:$R$1993,0)),"-")</f>
        <v>L</v>
      </c>
      <c r="H65" s="17">
        <f>IFERROR(IF(INDEX(Movimientos!$M$2:$M$1993,MATCH(A65&amp;"ENTRADA",Movimientos!$R$2:$R$1993,0))=0,"S/D",INDEX(Movimientos!$M$2:$M$1993,MATCH(A65&amp;"ENTRADA",Movimientos!$R$2:$R$1993,0))),"S/D")</f>
        <v>46863</v>
      </c>
      <c r="I65" s="15">
        <f t="shared" ca="1" si="2"/>
        <v>538</v>
      </c>
      <c r="J65" s="5">
        <f>IF(A65="","",SUMIFS(Movimientos!$K:$K,Movimientos!$H:$H,A65))</f>
        <v>-20</v>
      </c>
      <c r="K65" s="13" t="str">
        <f t="shared" ca="1" si="3"/>
        <v>SIN STOCK</v>
      </c>
    </row>
    <row r="66" spans="1:11" ht="14.25">
      <c r="A66" t="s">
        <v>660</v>
      </c>
      <c r="B66" s="2" t="str">
        <f>IFERROR(INDEX(Movimientos!$C$2:$C$1993,MATCH(A66&amp;"ENTRADA",Movimientos!$R$2:$R$1993,0)),"-")</f>
        <v xml:space="preserve">Harrier Drone </v>
      </c>
      <c r="C66" s="2" t="str">
        <f>IFERROR(INDEX(Movimientos!$D$2:$D$1993,MATCH(A66&amp;"ENTRADA",Movimientos!$R$2:$R$1993,0)),"-")</f>
        <v>alcohol láurico etixolado 32.7 %</v>
      </c>
      <c r="D66" s="2" t="str">
        <f>IFERROR(INDEX(Movimientos!$E$2:$E$1993,MATCH(A66&amp;"ENTRADA",Movimientos!$R$2:$R$1993,0)),"-")</f>
        <v>Coadyuvante</v>
      </c>
      <c r="E66" s="2">
        <f>IFERROR(INDEX(Movimientos!$F$2:$F$1993,MATCH(A66&amp;"ENTRADA",Movimientos!$R$2:$R$1993,0)),"-")</f>
        <v>0</v>
      </c>
      <c r="F66" s="2" t="str">
        <f>IFERROR(INDEX(Movimientos!$G$2:$G$1993,MATCH(A66&amp;"ENTRADA",Movimientos!$R$2:$R$1993,0)),"-")</f>
        <v>Don asdrual</v>
      </c>
      <c r="G66" s="2" t="str">
        <f>IFERROR(INDEX(Movimientos!$L$2:$L$1993,MATCH(A66&amp;"ENTRADA",Movimientos!$R$2:$R$1993,0)),"-")</f>
        <v>L</v>
      </c>
      <c r="H66" s="17" t="str">
        <f>IFERROR(IF(INDEX(Movimientos!$M$2:$M$1993,MATCH(A66&amp;"ENTRADA",Movimientos!$R$2:$R$1993,0))=0,"S/D",INDEX(Movimientos!$M$2:$M$1993,MATCH(A66&amp;"ENTRADA",Movimientos!$R$2:$R$1993,0))),"S/D")</f>
        <v>S/D</v>
      </c>
      <c r="I66" s="15" t="str">
        <f t="shared" ca="1" si="2"/>
        <v>S/D</v>
      </c>
      <c r="J66" s="5">
        <f>IF(A66="","",SUMIFS(Movimientos!$K:$K,Movimientos!$H:$H,A66))</f>
        <v>485</v>
      </c>
      <c r="K66" s="13" t="str">
        <f t="shared" ca="1" si="3"/>
        <v>OK</v>
      </c>
    </row>
    <row r="67" spans="1:11" ht="14.25">
      <c r="A67" t="s">
        <v>665</v>
      </c>
      <c r="B67" s="2" t="str">
        <f>IFERROR(INDEX(Movimientos!$C$2:$C$1993,MATCH(A67&amp;"ENTRADA",Movimientos!$R$2:$R$1993,0)),"-")</f>
        <v>Unico Max</v>
      </c>
      <c r="C67" s="2" t="str">
        <f>IFERROR(INDEX(Movimientos!$D$2:$D$1993,MATCH(A67&amp;"ENTRADA",Movimientos!$R$2:$R$1993,0)),"-")</f>
        <v>(Protioconazol 175 g/L + Piraclostrobin 142 g/L + Bixafen 125 g/L – SC)</v>
      </c>
      <c r="D67" s="2" t="str">
        <f>IFERROR(INDEX(Movimientos!$E$2:$E$1993,MATCH(A67&amp;"ENTRADA",Movimientos!$R$2:$R$1993,0)),"-")</f>
        <v>Fungicida</v>
      </c>
      <c r="E67" s="2">
        <f>IFERROR(INDEX(Movimientos!$F$2:$F$1993,MATCH(A67&amp;"ENTRADA",Movimientos!$R$2:$R$1993,0)),"-")</f>
        <v>0</v>
      </c>
      <c r="F67" s="2" t="str">
        <f>IFERROR(INDEX(Movimientos!$G$2:$G$1993,MATCH(A67&amp;"ENTRADA",Movimientos!$R$2:$R$1993,0)),"-")</f>
        <v>Proquimur</v>
      </c>
      <c r="G67" s="2" t="str">
        <f>IFERROR(INDEX(Movimientos!$L$2:$L$1993,MATCH(A67&amp;"ENTRADA",Movimientos!$R$2:$R$1993,0)),"-")</f>
        <v>L</v>
      </c>
      <c r="H67" s="17" t="str">
        <f>IFERROR(IF(INDEX(Movimientos!$M$2:$M$1993,MATCH(A67&amp;"ENTRADA",Movimientos!$R$2:$R$1993,0))=0,"S/D",INDEX(Movimientos!$M$2:$M$1993,MATCH(A67&amp;"ENTRADA",Movimientos!$R$2:$R$1993,0))),"S/D")</f>
        <v>S/D</v>
      </c>
      <c r="I67" s="15" t="str">
        <f t="shared" ca="1" si="2"/>
        <v>S/D</v>
      </c>
      <c r="J67" s="5">
        <f>IF(A67="","",SUMIFS(Movimientos!$K:$K,Movimientos!$H:$H,A67))</f>
        <v>510</v>
      </c>
      <c r="K67" s="13" t="str">
        <f t="shared" ca="1" si="3"/>
        <v>OK</v>
      </c>
    </row>
    <row r="68" spans="1:11" ht="14.25">
      <c r="A68" t="s">
        <v>837</v>
      </c>
      <c r="B68" s="2" t="str">
        <f>IFERROR(INDEX(Movimientos!$C$2:$C$1993,MATCH(A68&amp;"ENTRADA",Movimientos!$R$2:$R$1993,0)),"-")</f>
        <v>Hydra Hume</v>
      </c>
      <c r="C68" s="2" t="str">
        <f>IFERROR(INDEX(Movimientos!$D$2:$D$1993,MATCH(A68&amp;"ENTRADA",Movimientos!$R$2:$R$1993,0)),"-")</f>
        <v xml:space="preserve">Hydra hume </v>
      </c>
      <c r="D68" s="2" t="str">
        <f>IFERROR(INDEX(Movimientos!$E$2:$E$1993,MATCH(A68&amp;"ENTRADA",Movimientos!$R$2:$R$1993,0)),"-")</f>
        <v>Biológico</v>
      </c>
      <c r="E68" s="2" t="str">
        <f>IFERROR(INDEX(Movimientos!$F$2:$F$1993,MATCH(A68&amp;"ENTRADA",Movimientos!$R$2:$R$1993,0)),"-")</f>
        <v>Acidos Humicos</v>
      </c>
      <c r="F68" s="2" t="str">
        <f>IFERROR(INDEX(Movimientos!$G$2:$G$1993,MATCH(A68&amp;"ENTRADA",Movimientos!$R$2:$R$1993,0)),"-")</f>
        <v>Granicor</v>
      </c>
      <c r="G68" s="2" t="str">
        <f>IFERROR(INDEX(Movimientos!$L$2:$L$1993,MATCH(A68&amp;"ENTRADA",Movimientos!$R$2:$R$1993,0)),"-")</f>
        <v>L</v>
      </c>
      <c r="H68" s="17" t="str">
        <f>IFERROR(IF(INDEX(Movimientos!$M$2:$M$1993,MATCH(A68&amp;"ENTRADA",Movimientos!$R$2:$R$1993,0))=0,"S/D",INDEX(Movimientos!$M$2:$M$1993,MATCH(A68&amp;"ENTRADA",Movimientos!$R$2:$R$1993,0))),"S/D")</f>
        <v>S/D</v>
      </c>
      <c r="I68" s="15" t="str">
        <f t="shared" ca="1" si="2"/>
        <v>S/D</v>
      </c>
      <c r="J68" s="5">
        <f>IF(A68="","",SUMIFS(Movimientos!$K:$K,Movimientos!$H:$H,A68))</f>
        <v>21480</v>
      </c>
      <c r="K68" s="13" t="str">
        <f t="shared" ca="1" si="3"/>
        <v>OK</v>
      </c>
    </row>
    <row r="69" spans="1:11">
      <c r="A69" s="16" t="s">
        <v>810</v>
      </c>
      <c r="B69" s="2" t="str">
        <f>IFERROR(INDEX(Movimientos!$C$2:$C$1993,MATCH(A69&amp;"ENTRADA",Movimientos!$R$2:$R$1993,0)),"-")</f>
        <v>semilla comprada maiz illinois 2773</v>
      </c>
      <c r="C69" s="2" t="str">
        <f>IFERROR(INDEX(Movimientos!$D$2:$D$1993,MATCH(A69&amp;"ENTRADA",Movimientos!$R$2:$R$1993,0)),"-")</f>
        <v xml:space="preserve">sem maiz illinois 2773 trecepta Maiz 1era </v>
      </c>
      <c r="D69" s="2" t="str">
        <f>IFERROR(INDEX(Movimientos!$E$2:$E$1993,MATCH(A69&amp;"ENTRADA",Movimientos!$R$2:$R$1993,0)),"-")</f>
        <v>Semilla</v>
      </c>
      <c r="E69" s="2" t="str">
        <f>IFERROR(INDEX(Movimientos!$F$2:$F$1993,MATCH(A69&amp;"ENTRADA",Movimientos!$R$2:$R$1993,0)),"-")</f>
        <v>Maíz</v>
      </c>
      <c r="F69" s="2" t="str">
        <f>IFERROR(INDEX(Movimientos!$G$2:$G$1993,MATCH(A69&amp;"ENTRADA",Movimientos!$R$2:$R$1993,0)),"-")</f>
        <v>ERRO</v>
      </c>
      <c r="G69" s="2" t="str">
        <f>IFERROR(INDEX(Movimientos!$L$2:$L$1993,MATCH(A69&amp;"ENTRADA",Movimientos!$R$2:$R$1993,0)),"-")</f>
        <v>bolsa</v>
      </c>
      <c r="H69" s="17" t="str">
        <f>IFERROR(IF(INDEX(Movimientos!$M$2:$M$1993,MATCH(A69&amp;"ENTRADA",Movimientos!$R$2:$R$1993,0))=0,"S/D",INDEX(Movimientos!$M$2:$M$1993,MATCH(A69&amp;"ENTRADA",Movimientos!$R$2:$R$1993,0))),"S/D")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806</v>
      </c>
      <c r="B70" s="2" t="str">
        <f>IFERROR(INDEX(Movimientos!$C$2:$C$1993,MATCH(A70&amp;"ENTRADA",Movimientos!$R$2:$R$1993,0)),"-")</f>
        <v xml:space="preserve">semilla comprada maiz illinois 7.24 </v>
      </c>
      <c r="C70" s="2" t="str">
        <f>IFERROR(INDEX(Movimientos!$D$2:$D$1993,MATCH(A70&amp;"ENTRADA",Movimientos!$R$2:$R$1993,0)),"-")</f>
        <v>sem maiz illinois 7.24 trecepta Maiz 1era</v>
      </c>
      <c r="D70" s="2" t="str">
        <f>IFERROR(INDEX(Movimientos!$E$2:$E$1993,MATCH(A70&amp;"ENTRADA",Movimientos!$R$2:$R$1993,0)),"-")</f>
        <v>Semilla</v>
      </c>
      <c r="E70" s="2" t="str">
        <f>IFERROR(INDEX(Movimientos!$F$2:$F$1993,MATCH(A70&amp;"ENTRADA",Movimientos!$R$2:$R$1993,0)),"-")</f>
        <v>Maíz</v>
      </c>
      <c r="F70" s="2" t="str">
        <f>IFERROR(INDEX(Movimientos!$G$2:$G$1993,MATCH(A70&amp;"ENTRADA",Movimientos!$R$2:$R$1993,0)),"-")</f>
        <v>ERRO</v>
      </c>
      <c r="G70" s="2" t="str">
        <f>IFERROR(INDEX(Movimientos!$L$2:$L$1993,MATCH(A70&amp;"ENTRADA",Movimientos!$R$2:$R$1993,0)),"-")</f>
        <v>bolsa</v>
      </c>
      <c r="H70" s="17" t="str">
        <f>IFERROR(IF(INDEX(Movimientos!$M$2:$M$1993,MATCH(A70&amp;"ENTRADA",Movimientos!$R$2:$R$1993,0))=0,"S/D",INDEX(Movimientos!$M$2:$M$1993,MATCH(A70&amp;"ENTRADA",Movimientos!$R$2:$R$1993,0))),"S/D")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808</v>
      </c>
      <c r="B71" s="2" t="str">
        <f>IFERROR(INDEX(Movimientos!$C$2:$C$1993,MATCH(A71&amp;"ENTRADA",Movimientos!$R$2:$R$1993,0)),"-")</f>
        <v xml:space="preserve">refugio semilla maiz illinois </v>
      </c>
      <c r="C71" s="2" t="str">
        <f>IFERROR(INDEX(Movimientos!$D$2:$D$1993,MATCH(A71&amp;"ENTRADA",Movimientos!$R$2:$R$1993,0)),"-")</f>
        <v>refugio semi maiz illinoiz b2 z</v>
      </c>
      <c r="D71" s="2" t="str">
        <f>IFERROR(INDEX(Movimientos!$E$2:$E$1993,MATCH(A71&amp;"ENTRADA",Movimientos!$R$2:$R$1993,0)),"-")</f>
        <v>Semilla</v>
      </c>
      <c r="E71" s="2" t="str">
        <f>IFERROR(INDEX(Movimientos!$F$2:$F$1993,MATCH(A71&amp;"ENTRADA",Movimientos!$R$2:$R$1993,0)),"-")</f>
        <v>Maíz</v>
      </c>
      <c r="F71" s="2" t="str">
        <f>IFERROR(INDEX(Movimientos!$G$2:$G$1993,MATCH(A71&amp;"ENTRADA",Movimientos!$R$2:$R$1993,0)),"-")</f>
        <v>ERRO</v>
      </c>
      <c r="G71" s="2" t="str">
        <f>IFERROR(INDEX(Movimientos!$L$2:$L$1993,MATCH(A71&amp;"ENTRADA",Movimientos!$R$2:$R$1993,0)),"-")</f>
        <v>bolsa</v>
      </c>
      <c r="H71" s="17" t="str">
        <f>IFERROR(IF(INDEX(Movimientos!$M$2:$M$1993,MATCH(A71&amp;"ENTRADA",Movimientos!$R$2:$R$1993,0))=0,"S/D",INDEX(Movimientos!$M$2:$M$1993,MATCH(A71&amp;"ENTRADA",Movimientos!$R$2:$R$1993,0))),"S/D")</f>
        <v>S/D</v>
      </c>
      <c r="I71" s="15" t="str">
        <f t="shared" ca="1" si="4"/>
        <v>S/D</v>
      </c>
      <c r="J71" s="5">
        <f>IF(A71="","",SUMIFS(Movimientos!$K:$K,Movimientos!$H:$H,A71))</f>
        <v>13</v>
      </c>
      <c r="K71" s="13" t="str">
        <f t="shared" ca="1" si="3"/>
        <v>OK</v>
      </c>
    </row>
    <row r="72" spans="1:11">
      <c r="A72" s="16" t="s">
        <v>2416</v>
      </c>
      <c r="B72" s="2" t="str">
        <f>IFERROR(INDEX(Movimientos!$C$2:$C$1993,MATCH(A72&amp;"ENTRADA",Movimientos!$R$2:$R$1993,0)),"-")</f>
        <v>semilla maiz NK842</v>
      </c>
      <c r="C72" s="2" t="str">
        <f>IFERROR(INDEX(Movimientos!$D$2:$D$1993,MATCH(A72&amp;"ENTRADA",Movimientos!$R$2:$R$1993,0)),"-")</f>
        <v xml:space="preserve">semilla maiz nk 842 viptera Maiz 1era </v>
      </c>
      <c r="D72" s="2" t="str">
        <f>IFERROR(INDEX(Movimientos!$E$2:$E$1993,MATCH(A72&amp;"ENTRADA",Movimientos!$R$2:$R$1993,0)),"-")</f>
        <v>Semilla</v>
      </c>
      <c r="E72" s="2" t="str">
        <f>IFERROR(INDEX(Movimientos!$F$2:$F$1993,MATCH(A72&amp;"ENTRADA",Movimientos!$R$2:$R$1993,0)),"-")</f>
        <v>Maíz</v>
      </c>
      <c r="F72" s="2" t="str">
        <f>IFERROR(INDEX(Movimientos!$G$2:$G$1993,MATCH(A72&amp;"ENTRADA",Movimientos!$R$2:$R$1993,0)),"-")</f>
        <v xml:space="preserve">Biosfer </v>
      </c>
      <c r="G72" s="2" t="str">
        <f>IFERROR(INDEX(Movimientos!$L$2:$L$1993,MATCH(A72&amp;"ENTRADA",Movimientos!$R$2:$R$1993,0)),"-")</f>
        <v>bolsa</v>
      </c>
      <c r="H72" s="17" t="str">
        <f>IFERROR(IF(INDEX(Movimientos!$M$2:$M$1993,MATCH(A72&amp;"ENTRADA",Movimientos!$R$2:$R$1993,0))=0,"S/D",INDEX(Movimientos!$M$2:$M$1993,MATCH(A72&amp;"ENTRADA",Movimientos!$R$2:$R$1993,0))),"S/D")</f>
        <v>S/D</v>
      </c>
      <c r="I72" s="15" t="str">
        <f t="shared" ca="1" si="4"/>
        <v>S/D</v>
      </c>
      <c r="J72" s="5">
        <f>IF(A72="","",SUMIFS(Movimientos!$K:$K,Movimientos!$H:$H,A72))</f>
        <v>446</v>
      </c>
      <c r="K72" s="13" t="str">
        <f t="shared" ca="1" si="3"/>
        <v>OK</v>
      </c>
    </row>
    <row r="73" spans="1:11">
      <c r="A73" s="16" t="s">
        <v>855</v>
      </c>
      <c r="B73" s="2" t="str">
        <f>IFERROR(INDEX(Movimientos!$C$2:$C$1993,MATCH(A73&amp;"ENTRADA",Movimientos!$R$2:$R$1993,0)),"-")</f>
        <v>Acuron uno</v>
      </c>
      <c r="C73" s="2" t="str">
        <f>IFERROR(INDEX(Movimientos!$D$2:$D$1993,MATCH(A73&amp;"ENTRADA",Movimientos!$R$2:$R$1993,0)),"-")</f>
        <v>Biciclopirona</v>
      </c>
      <c r="D73" s="2" t="str">
        <f>IFERROR(INDEX(Movimientos!$E$2:$E$1993,MATCH(A73&amp;"ENTRADA",Movimientos!$R$2:$R$1993,0)),"-")</f>
        <v>Herbicida</v>
      </c>
      <c r="E73" s="2" t="str">
        <f>IFERROR(INDEX(Movimientos!$F$2:$F$1993,MATCH(A73&amp;"ENTRADA",Movimientos!$R$2:$R$1993,0)),"-")</f>
        <v>Preemergente</v>
      </c>
      <c r="F73" s="2" t="str">
        <f>IFERROR(INDEX(Movimientos!$G$2:$G$1993,MATCH(A73&amp;"ENTRADA",Movimientos!$R$2:$R$1993,0)),"-")</f>
        <v>Maccio</v>
      </c>
      <c r="G73" s="2" t="str">
        <f>IFERROR(INDEX(Movimientos!$L$2:$L$1993,MATCH(A73&amp;"ENTRADA",Movimientos!$R$2:$R$1993,0)),"-")</f>
        <v>L</v>
      </c>
      <c r="H73" s="17">
        <f>IFERROR(IF(INDEX(Movimientos!$M$2:$M$1993,MATCH(A73&amp;"ENTRADA",Movimientos!$R$2:$R$1993,0))=0,"S/D",INDEX(Movimientos!$M$2:$M$1993,MATCH(A73&amp;"ENTRADA",Movimientos!$R$2:$R$1993,0))),"S/D")</f>
        <v>46865</v>
      </c>
      <c r="I73" s="15">
        <f t="shared" ca="1" si="4"/>
        <v>540</v>
      </c>
      <c r="J73" s="5">
        <f>IF(A73="","",SUMIFS(Movimientos!$K:$K,Movimientos!$H:$H,A73))</f>
        <v>1500</v>
      </c>
      <c r="K73" s="13" t="str">
        <f t="shared" ca="1" si="3"/>
        <v>OK</v>
      </c>
    </row>
    <row r="74" spans="1:11">
      <c r="A74" s="16" t="s">
        <v>120</v>
      </c>
      <c r="B74" s="2" t="str">
        <f>IFERROR(INDEX(Movimientos!$C$2:$C$1993,MATCH(A74&amp;"ENTRADA",Movimientos!$R$2:$R$1993,0)),"-")</f>
        <v>Azuka</v>
      </c>
      <c r="C74" s="2" t="str">
        <f>IFERROR(INDEX(Movimientos!$D$2:$D$1993,MATCH(A74&amp;"ENTRADA",Movimientos!$R$2:$R$1993,0)),"-")</f>
        <v>Glifosato Sal DMA 608 g/L. Equivalente en glifosato 480 g/L</v>
      </c>
      <c r="D74" s="2" t="str">
        <f>IFERROR(INDEX(Movimientos!$E$2:$E$1993,MATCH(A74&amp;"ENTRADA",Movimientos!$R$2:$R$1993,0)),"-")</f>
        <v>Herbicida</v>
      </c>
      <c r="E74" s="2" t="str">
        <f>IFERROR(INDEX(Movimientos!$F$2:$F$1993,MATCH(A74&amp;"ENTRADA",Movimientos!$R$2:$R$1993,0)),"-")</f>
        <v>Postemergente</v>
      </c>
      <c r="F74" s="2" t="str">
        <f>IFERROR(INDEX(Movimientos!$G$2:$G$1993,MATCH(A74&amp;"ENTRADA",Movimientos!$R$2:$R$1993,0)),"-")</f>
        <v>Proquimur</v>
      </c>
      <c r="G74" s="2" t="str">
        <f>IFERROR(INDEX(Movimientos!$L$2:$L$1993,MATCH(A74&amp;"ENTRADA",Movimientos!$R$2:$R$1993,0)),"-")</f>
        <v>L</v>
      </c>
      <c r="H74" s="17">
        <f>IFERROR(IF(INDEX(Movimientos!$M$2:$M$1993,MATCH(A74&amp;"ENTRADA",Movimientos!$R$2:$R$1993,0))=0,"S/D",INDEX(Movimientos!$M$2:$M$1993,MATCH(A74&amp;"ENTRADA",Movimientos!$R$2:$R$1993,0))),"S/D")</f>
        <v>46692</v>
      </c>
      <c r="I74" s="15">
        <f t="shared" ca="1" si="4"/>
        <v>367</v>
      </c>
      <c r="J74" s="5">
        <f>IF(A74="","",SUMIFS(Movimientos!$K:$K,Movimientos!$H:$H,A74))</f>
        <v>27740</v>
      </c>
      <c r="K74" s="13" t="str">
        <f t="shared" ca="1" si="3"/>
        <v>OK</v>
      </c>
    </row>
    <row r="75" spans="1:11">
      <c r="A75" s="16" t="s">
        <v>1067</v>
      </c>
      <c r="B75" s="2" t="str">
        <f>IFERROR(INDEX(Movimientos!$C$2:$C$1993,MATCH(A75&amp;"ENTRADA",Movimientos!$R$2:$R$1993,0)),"-")</f>
        <v>Sorgo forrajero adv 2800</v>
      </c>
      <c r="C75" s="2" t="str">
        <f>IFERROR(INDEX(Movimientos!$D$2:$D$1993,MATCH(A75&amp;"ENTRADA",Movimientos!$R$2:$R$1993,0)),"-")</f>
        <v xml:space="preserve">ADV 2800 (C+BIO) X20KG </v>
      </c>
      <c r="D75" s="2" t="str">
        <f>IFERROR(INDEX(Movimientos!$E$2:$E$1993,MATCH(A75&amp;"ENTRADA",Movimientos!$R$2:$R$1993,0)),"-")</f>
        <v>Semilla</v>
      </c>
      <c r="E75" s="2" t="str">
        <f>IFERROR(INDEX(Movimientos!$F$2:$F$1993,MATCH(A75&amp;"ENTRADA",Movimientos!$R$2:$R$1993,0)),"-")</f>
        <v>Sorgo</v>
      </c>
      <c r="F75" s="2" t="str">
        <f>IFERROR(INDEX(Movimientos!$G$2:$G$1993,MATCH(A75&amp;"ENTRADA",Movimientos!$R$2:$R$1993,0)),"-")</f>
        <v>Agrofuturo</v>
      </c>
      <c r="G75" s="2" t="str">
        <f>IFERROR(INDEX(Movimientos!$L$2:$L$1993,MATCH(A75&amp;"ENTRADA",Movimientos!$R$2:$R$1993,0)),"-")</f>
        <v>bolsa</v>
      </c>
      <c r="H75" s="17" t="str">
        <f>IFERROR(IF(INDEX(Movimientos!$M$2:$M$1993,MATCH(A75&amp;"ENTRADA",Movimientos!$R$2:$R$1993,0))=0,"S/D",INDEX(Movimientos!$M$2:$M$1993,MATCH(A75&amp;"ENTRADA",Movimientos!$R$2:$R$1993,0))),"S/D")</f>
        <v>S/D</v>
      </c>
      <c r="I75" s="15" t="str">
        <f t="shared" ca="1" si="4"/>
        <v>S/D</v>
      </c>
      <c r="J75" s="5">
        <f>IF(A75="","",SUMIFS(Movimientos!$K:$K,Movimientos!$H:$H,A75))</f>
        <v>91</v>
      </c>
      <c r="K75" s="13" t="str">
        <f t="shared" ca="1" si="3"/>
        <v>OK</v>
      </c>
    </row>
    <row r="76" spans="1:11">
      <c r="A76" s="16" t="s">
        <v>1079</v>
      </c>
      <c r="B76" s="2" t="str">
        <f>IFERROR(INDEX(Movimientos!$C$2:$C$1993,MATCH(A76&amp;"ENTRADA",Movimientos!$R$2:$R$1993,0)),"-")</f>
        <v>sorgo forrajero adv2850</v>
      </c>
      <c r="C76" s="2" t="str">
        <f>IFERROR(INDEX(Movimientos!$D$2:$D$1993,MATCH(A76&amp;"ENTRADA",Movimientos!$R$2:$R$1993,0)),"-")</f>
        <v xml:space="preserve">ADV F2850 FOTO BMR IG CURADO </v>
      </c>
      <c r="D76" s="2" t="str">
        <f>IFERROR(INDEX(Movimientos!$E$2:$E$1993,MATCH(A76&amp;"ENTRADA",Movimientos!$R$2:$R$1993,0)),"-")</f>
        <v>Semilla</v>
      </c>
      <c r="E76" s="2" t="str">
        <f>IFERROR(INDEX(Movimientos!$F$2:$F$1993,MATCH(A76&amp;"ENTRADA",Movimientos!$R$2:$R$1993,0)),"-")</f>
        <v>Sorgo</v>
      </c>
      <c r="F76" s="2" t="str">
        <f>IFERROR(INDEX(Movimientos!$G$2:$G$1993,MATCH(A76&amp;"ENTRADA",Movimientos!$R$2:$R$1993,0)),"-")</f>
        <v>Agrofuturo</v>
      </c>
      <c r="G76" s="2" t="str">
        <f>IFERROR(INDEX(Movimientos!$L$2:$L$1993,MATCH(A76&amp;"ENTRADA",Movimientos!$R$2:$R$1993,0)),"-")</f>
        <v>bolsa</v>
      </c>
      <c r="H76" s="17" t="str">
        <f>IFERROR(IF(INDEX(Movimientos!$M$2:$M$1993,MATCH(A76&amp;"ENTRADA",Movimientos!$R$2:$R$1993,0))=0,"S/D",INDEX(Movimientos!$M$2:$M$1993,MATCH(A76&amp;"ENTRADA",Movimientos!$R$2:$R$1993,0))),"S/D")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2417</v>
      </c>
      <c r="B77" s="2" t="str">
        <f>IFERROR(INDEX(Movimientos!$C$2:$C$1993,MATCH(A77&amp;"ENTRADA",Movimientos!$R$2:$R$1993,0)),"-")</f>
        <v>-</v>
      </c>
      <c r="C77" s="2" t="str">
        <f>IFERROR(INDEX(Movimientos!$D$2:$D$1993,MATCH(A77&amp;"ENTRADA",Movimientos!$R$2:$R$1993,0)),"-")</f>
        <v>-</v>
      </c>
      <c r="D77" s="2" t="str">
        <f>IFERROR(INDEX(Movimientos!$E$2:$E$1993,MATCH(A77&amp;"ENTRADA",Movimientos!$R$2:$R$1993,0)),"-")</f>
        <v>-</v>
      </c>
      <c r="E77" s="2" t="str">
        <f>IFERROR(INDEX(Movimientos!$F$2:$F$1993,MATCH(A77&amp;"ENTRADA",Movimientos!$R$2:$R$1993,0)),"-")</f>
        <v>-</v>
      </c>
      <c r="F77" s="2" t="str">
        <f>IFERROR(INDEX(Movimientos!$G$2:$G$1993,MATCH(A77&amp;"ENTRADA",Movimientos!$R$2:$R$1993,0)),"-")</f>
        <v>-</v>
      </c>
      <c r="G77" s="2" t="str">
        <f>IFERROR(INDEX(Movimientos!$L$2:$L$1993,MATCH(A77&amp;"ENTRADA",Movimientos!$R$2:$R$1993,0)),"-")</f>
        <v>-</v>
      </c>
      <c r="H77" s="17" t="str">
        <f>IFERROR(IF(INDEX(Movimientos!$M$2:$M$1993,MATCH(A77&amp;"ENTRADA",Movimientos!$R$2:$R$1993,0))=0,"S/D",INDEX(Movimientos!$M$2:$M$1993,MATCH(A77&amp;"ENTRADA",Movimientos!$R$2:$R$1993,0))),"S/D")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2418</v>
      </c>
      <c r="B78" s="2" t="str">
        <f>IFERROR(INDEX(Movimientos!$C$2:$C$1993,MATCH(A78&amp;"ENTRADA",Movimientos!$R$2:$R$1993,0)),"-")</f>
        <v>-</v>
      </c>
      <c r="C78" s="2" t="str">
        <f>IFERROR(INDEX(Movimientos!$D$2:$D$1993,MATCH(A78&amp;"ENTRADA",Movimientos!$R$2:$R$1993,0)),"-")</f>
        <v>-</v>
      </c>
      <c r="D78" s="2" t="str">
        <f>IFERROR(INDEX(Movimientos!$E$2:$E$1993,MATCH(A78&amp;"ENTRADA",Movimientos!$R$2:$R$1993,0)),"-")</f>
        <v>-</v>
      </c>
      <c r="E78" s="2" t="str">
        <f>IFERROR(INDEX(Movimientos!$F$2:$F$1993,MATCH(A78&amp;"ENTRADA",Movimientos!$R$2:$R$1993,0)),"-")</f>
        <v>-</v>
      </c>
      <c r="F78" s="2" t="str">
        <f>IFERROR(INDEX(Movimientos!$G$2:$G$1993,MATCH(A78&amp;"ENTRADA",Movimientos!$R$2:$R$1993,0)),"-")</f>
        <v>-</v>
      </c>
      <c r="G78" s="2" t="str">
        <f>IFERROR(INDEX(Movimientos!$L$2:$L$1993,MATCH(A78&amp;"ENTRADA",Movimientos!$R$2:$R$1993,0)),"-")</f>
        <v>-</v>
      </c>
      <c r="H78" s="17" t="str">
        <f>IFERROR(IF(INDEX(Movimientos!$M$2:$M$1993,MATCH(A78&amp;"ENTRADA",Movimientos!$R$2:$R$1993,0))=0,"S/D",INDEX(Movimientos!$M$2:$M$1993,MATCH(A78&amp;"ENTRADA",Movimientos!$R$2:$R$1993,0))),"S/D")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2419</v>
      </c>
      <c r="B79" s="2" t="str">
        <f>IFERROR(INDEX(Movimientos!$C$2:$C$1993,MATCH(A79&amp;"ENTRADA",Movimientos!$R$2:$R$1993,0)),"-")</f>
        <v>-</v>
      </c>
      <c r="C79" s="2" t="str">
        <f>IFERROR(INDEX(Movimientos!$D$2:$D$1993,MATCH(A79&amp;"ENTRADA",Movimientos!$R$2:$R$1993,0)),"-")</f>
        <v>-</v>
      </c>
      <c r="D79" s="2" t="str">
        <f>IFERROR(INDEX(Movimientos!$E$2:$E$1993,MATCH(A79&amp;"ENTRADA",Movimientos!$R$2:$R$1993,0)),"-")</f>
        <v>-</v>
      </c>
      <c r="E79" s="2" t="str">
        <f>IFERROR(INDEX(Movimientos!$F$2:$F$1993,MATCH(A79&amp;"ENTRADA",Movimientos!$R$2:$R$1993,0)),"-")</f>
        <v>-</v>
      </c>
      <c r="F79" s="2" t="str">
        <f>IFERROR(INDEX(Movimientos!$G$2:$G$1993,MATCH(A79&amp;"ENTRADA",Movimientos!$R$2:$R$1993,0)),"-")</f>
        <v>-</v>
      </c>
      <c r="G79" s="2" t="str">
        <f>IFERROR(INDEX(Movimientos!$L$2:$L$1993,MATCH(A79&amp;"ENTRADA",Movimientos!$R$2:$R$1993,0)),"-")</f>
        <v>-</v>
      </c>
      <c r="H79" s="17" t="str">
        <f>IFERROR(IF(INDEX(Movimientos!$M$2:$M$1993,MATCH(A79&amp;"ENTRADA",Movimientos!$R$2:$R$1993,0))=0,"S/D",INDEX(Movimientos!$M$2:$M$1993,MATCH(A79&amp;"ENTRADA",Movimientos!$R$2:$R$1993,0))),"S/D")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2420</v>
      </c>
      <c r="B80" s="2" t="str">
        <f>IFERROR(INDEX(Movimientos!$C$2:$C$1993,MATCH(A80&amp;"ENTRADA",Movimientos!$R$2:$R$1993,0)),"-")</f>
        <v>-</v>
      </c>
      <c r="C80" s="2" t="str">
        <f>IFERROR(INDEX(Movimientos!$D$2:$D$1993,MATCH(A80&amp;"ENTRADA",Movimientos!$R$2:$R$1993,0)),"-")</f>
        <v>-</v>
      </c>
      <c r="D80" s="2" t="str">
        <f>IFERROR(INDEX(Movimientos!$E$2:$E$1993,MATCH(A80&amp;"ENTRADA",Movimientos!$R$2:$R$1993,0)),"-")</f>
        <v>-</v>
      </c>
      <c r="E80" s="2" t="str">
        <f>IFERROR(INDEX(Movimientos!$F$2:$F$1993,MATCH(A80&amp;"ENTRADA",Movimientos!$R$2:$R$1993,0)),"-")</f>
        <v>-</v>
      </c>
      <c r="F80" s="2" t="str">
        <f>IFERROR(INDEX(Movimientos!$G$2:$G$1993,MATCH(A80&amp;"ENTRADA",Movimientos!$R$2:$R$1993,0)),"-")</f>
        <v>-</v>
      </c>
      <c r="G80" s="2" t="str">
        <f>IFERROR(INDEX(Movimientos!$L$2:$L$1993,MATCH(A80&amp;"ENTRADA",Movimientos!$R$2:$R$1993,0)),"-")</f>
        <v>-</v>
      </c>
      <c r="H80" s="17" t="str">
        <f>IFERROR(IF(INDEX(Movimientos!$M$2:$M$1993,MATCH(A80&amp;"ENTRADA",Movimientos!$R$2:$R$1993,0))=0,"S/D",INDEX(Movimientos!$M$2:$M$1993,MATCH(A80&amp;"ENTRADA",Movimientos!$R$2:$R$1993,0))),"S/D")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2421</v>
      </c>
      <c r="B81" s="2" t="str">
        <f>IFERROR(INDEX(Movimientos!$C$2:$C$1993,MATCH(A81&amp;"ENTRADA",Movimientos!$R$2:$R$1993,0)),"-")</f>
        <v>-</v>
      </c>
      <c r="C81" s="2" t="str">
        <f>IFERROR(INDEX(Movimientos!$D$2:$D$1993,MATCH(A81&amp;"ENTRADA",Movimientos!$R$2:$R$1993,0)),"-")</f>
        <v>-</v>
      </c>
      <c r="D81" s="2" t="str">
        <f>IFERROR(INDEX(Movimientos!$E$2:$E$1993,MATCH(A81&amp;"ENTRADA",Movimientos!$R$2:$R$1993,0)),"-")</f>
        <v>-</v>
      </c>
      <c r="E81" s="2" t="str">
        <f>IFERROR(INDEX(Movimientos!$F$2:$F$1993,MATCH(A81&amp;"ENTRADA",Movimientos!$R$2:$R$1993,0)),"-")</f>
        <v>-</v>
      </c>
      <c r="F81" s="2" t="str">
        <f>IFERROR(INDEX(Movimientos!$G$2:$G$1993,MATCH(A81&amp;"ENTRADA",Movimientos!$R$2:$R$1993,0)),"-")</f>
        <v>-</v>
      </c>
      <c r="G81" s="2" t="str">
        <f>IFERROR(INDEX(Movimientos!$L$2:$L$1993,MATCH(A81&amp;"ENTRADA",Movimientos!$R$2:$R$1993,0)),"-")</f>
        <v>-</v>
      </c>
      <c r="H81" s="17" t="str">
        <f>IFERROR(IF(INDEX(Movimientos!$M$2:$M$1993,MATCH(A81&amp;"ENTRADA",Movimientos!$R$2:$R$1993,0))=0,"S/D",INDEX(Movimientos!$M$2:$M$1993,MATCH(A81&amp;"ENTRADA",Movimientos!$R$2:$R$1993,0))),"S/D")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2422</v>
      </c>
      <c r="B82" s="2" t="str">
        <f>IFERROR(INDEX(Movimientos!$C$2:$C$1993,MATCH(A82&amp;"ENTRADA",Movimientos!$R$2:$R$1993,0)),"-")</f>
        <v>-</v>
      </c>
      <c r="C82" s="2" t="str">
        <f>IFERROR(INDEX(Movimientos!$D$2:$D$1993,MATCH(A82&amp;"ENTRADA",Movimientos!$R$2:$R$1993,0)),"-")</f>
        <v>-</v>
      </c>
      <c r="D82" s="2" t="str">
        <f>IFERROR(INDEX(Movimientos!$E$2:$E$1993,MATCH(A82&amp;"ENTRADA",Movimientos!$R$2:$R$1993,0)),"-")</f>
        <v>-</v>
      </c>
      <c r="E82" s="2" t="str">
        <f>IFERROR(INDEX(Movimientos!$F$2:$F$1993,MATCH(A82&amp;"ENTRADA",Movimientos!$R$2:$R$1993,0)),"-")</f>
        <v>-</v>
      </c>
      <c r="F82" s="2" t="str">
        <f>IFERROR(INDEX(Movimientos!$G$2:$G$1993,MATCH(A82&amp;"ENTRADA",Movimientos!$R$2:$R$1993,0)),"-")</f>
        <v>-</v>
      </c>
      <c r="G82" s="2" t="str">
        <f>IFERROR(INDEX(Movimientos!$L$2:$L$1993,MATCH(A82&amp;"ENTRADA",Movimientos!$R$2:$R$1993,0)),"-")</f>
        <v>-</v>
      </c>
      <c r="H82" s="17" t="str">
        <f>IFERROR(IF(INDEX(Movimientos!$M$2:$M$1993,MATCH(A82&amp;"ENTRADA",Movimientos!$R$2:$R$1993,0))=0,"S/D",INDEX(Movimientos!$M$2:$M$1993,MATCH(A82&amp;"ENTRADA",Movimientos!$R$2:$R$1993,0))),"S/D")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2423</v>
      </c>
      <c r="B83" s="2" t="str">
        <f>IFERROR(INDEX(Movimientos!$C$2:$C$1993,MATCH(A83&amp;"ENTRADA",Movimientos!$R$2:$R$1993,0)),"-")</f>
        <v>-</v>
      </c>
      <c r="C83" s="2" t="str">
        <f>IFERROR(INDEX(Movimientos!$D$2:$D$1993,MATCH(A83&amp;"ENTRADA",Movimientos!$R$2:$R$1993,0)),"-")</f>
        <v>-</v>
      </c>
      <c r="D83" s="2" t="str">
        <f>IFERROR(INDEX(Movimientos!$E$2:$E$1993,MATCH(A83&amp;"ENTRADA",Movimientos!$R$2:$R$1993,0)),"-")</f>
        <v>-</v>
      </c>
      <c r="E83" s="2" t="str">
        <f>IFERROR(INDEX(Movimientos!$F$2:$F$1993,MATCH(A83&amp;"ENTRADA",Movimientos!$R$2:$R$1993,0)),"-")</f>
        <v>-</v>
      </c>
      <c r="F83" s="2" t="str">
        <f>IFERROR(INDEX(Movimientos!$G$2:$G$1993,MATCH(A83&amp;"ENTRADA",Movimientos!$R$2:$R$1993,0)),"-")</f>
        <v>-</v>
      </c>
      <c r="G83" s="2" t="str">
        <f>IFERROR(INDEX(Movimientos!$L$2:$L$1993,MATCH(A83&amp;"ENTRADA",Movimientos!$R$2:$R$1993,0)),"-")</f>
        <v>-</v>
      </c>
      <c r="H83" s="17" t="str">
        <f>IFERROR(IF(INDEX(Movimientos!$M$2:$M$1993,MATCH(A83&amp;"ENTRADA",Movimientos!$R$2:$R$1993,0))=0,"S/D",INDEX(Movimientos!$M$2:$M$1993,MATCH(A83&amp;"ENTRADA",Movimientos!$R$2:$R$1993,0))),"S/D")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2424</v>
      </c>
      <c r="B84" s="2" t="str">
        <f>IFERROR(INDEX(Movimientos!$C$2:$C$1993,MATCH(A84&amp;"ENTRADA",Movimientos!$R$2:$R$1993,0)),"-")</f>
        <v>-</v>
      </c>
      <c r="C84" s="2" t="str">
        <f>IFERROR(INDEX(Movimientos!$D$2:$D$1993,MATCH(A84&amp;"ENTRADA",Movimientos!$R$2:$R$1993,0)),"-")</f>
        <v>-</v>
      </c>
      <c r="D84" s="2" t="str">
        <f>IFERROR(INDEX(Movimientos!$E$2:$E$1993,MATCH(A84&amp;"ENTRADA",Movimientos!$R$2:$R$1993,0)),"-")</f>
        <v>-</v>
      </c>
      <c r="E84" s="2" t="str">
        <f>IFERROR(INDEX(Movimientos!$F$2:$F$1993,MATCH(A84&amp;"ENTRADA",Movimientos!$R$2:$R$1993,0)),"-")</f>
        <v>-</v>
      </c>
      <c r="F84" s="2" t="str">
        <f>IFERROR(INDEX(Movimientos!$G$2:$G$1993,MATCH(A84&amp;"ENTRADA",Movimientos!$R$2:$R$1993,0)),"-")</f>
        <v>-</v>
      </c>
      <c r="G84" s="2" t="str">
        <f>IFERROR(INDEX(Movimientos!$L$2:$L$1993,MATCH(A84&amp;"ENTRADA",Movimientos!$R$2:$R$1993,0)),"-")</f>
        <v>-</v>
      </c>
      <c r="H84" s="17" t="str">
        <f>IFERROR(IF(INDEX(Movimientos!$M$2:$M$1993,MATCH(A84&amp;"ENTRADA",Movimientos!$R$2:$R$1993,0))=0,"S/D",INDEX(Movimientos!$M$2:$M$1993,MATCH(A84&amp;"ENTRADA",Movimientos!$R$2:$R$1993,0))),"S/D")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2425</v>
      </c>
      <c r="B85" s="2" t="str">
        <f>IFERROR(INDEX(Movimientos!$C$2:$C$1993,MATCH(A85&amp;"ENTRADA",Movimientos!$R$2:$R$1993,0)),"-")</f>
        <v>-</v>
      </c>
      <c r="C85" s="2" t="str">
        <f>IFERROR(INDEX(Movimientos!$D$2:$D$1993,MATCH(A85&amp;"ENTRADA",Movimientos!$R$2:$R$1993,0)),"-")</f>
        <v>-</v>
      </c>
      <c r="D85" s="2" t="str">
        <f>IFERROR(INDEX(Movimientos!$E$2:$E$1993,MATCH(A85&amp;"ENTRADA",Movimientos!$R$2:$R$1993,0)),"-")</f>
        <v>-</v>
      </c>
      <c r="E85" s="2" t="str">
        <f>IFERROR(INDEX(Movimientos!$F$2:$F$1993,MATCH(A85&amp;"ENTRADA",Movimientos!$R$2:$R$1993,0)),"-")</f>
        <v>-</v>
      </c>
      <c r="F85" s="2" t="str">
        <f>IFERROR(INDEX(Movimientos!$G$2:$G$1993,MATCH(A85&amp;"ENTRADA",Movimientos!$R$2:$R$1993,0)),"-")</f>
        <v>-</v>
      </c>
      <c r="G85" s="2" t="str">
        <f>IFERROR(INDEX(Movimientos!$L$2:$L$1993,MATCH(A85&amp;"ENTRADA",Movimientos!$R$2:$R$1993,0)),"-")</f>
        <v>-</v>
      </c>
      <c r="H85" s="17" t="str">
        <f>IFERROR(IF(INDEX(Movimientos!$M$2:$M$1993,MATCH(A85&amp;"ENTRADA",Movimientos!$R$2:$R$1993,0))=0,"S/D",INDEX(Movimientos!$M$2:$M$1993,MATCH(A85&amp;"ENTRADA",Movimientos!$R$2:$R$1993,0))),"S/D")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2426</v>
      </c>
      <c r="B86" s="2" t="str">
        <f>IFERROR(INDEX(Movimientos!$C$2:$C$1993,MATCH(A86&amp;"ENTRADA",Movimientos!$R$2:$R$1993,0)),"-")</f>
        <v>-</v>
      </c>
      <c r="C86" s="2" t="str">
        <f>IFERROR(INDEX(Movimientos!$D$2:$D$1993,MATCH(A86&amp;"ENTRADA",Movimientos!$R$2:$R$1993,0)),"-")</f>
        <v>-</v>
      </c>
      <c r="D86" s="2" t="str">
        <f>IFERROR(INDEX(Movimientos!$E$2:$E$1993,MATCH(A86&amp;"ENTRADA",Movimientos!$R$2:$R$1993,0)),"-")</f>
        <v>-</v>
      </c>
      <c r="E86" s="2" t="str">
        <f>IFERROR(INDEX(Movimientos!$F$2:$F$1993,MATCH(A86&amp;"ENTRADA",Movimientos!$R$2:$R$1993,0)),"-")</f>
        <v>-</v>
      </c>
      <c r="F86" s="2" t="str">
        <f>IFERROR(INDEX(Movimientos!$G$2:$G$1993,MATCH(A86&amp;"ENTRADA",Movimientos!$R$2:$R$1993,0)),"-")</f>
        <v>-</v>
      </c>
      <c r="G86" s="2" t="str">
        <f>IFERROR(INDEX(Movimientos!$L$2:$L$1993,MATCH(A86&amp;"ENTRADA",Movimientos!$R$2:$R$1993,0)),"-")</f>
        <v>-</v>
      </c>
      <c r="H86" s="17" t="str">
        <f>IFERROR(IF(INDEX(Movimientos!$M$2:$M$1993,MATCH(A86&amp;"ENTRADA",Movimientos!$R$2:$R$1993,0))=0,"S/D",INDEX(Movimientos!$M$2:$M$1993,MATCH(A86&amp;"ENTRADA",Movimientos!$R$2:$R$1993,0))),"S/D")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2427</v>
      </c>
      <c r="B87" s="2" t="str">
        <f>IFERROR(INDEX(Movimientos!$C$2:$C$1993,MATCH(A87&amp;"ENTRADA",Movimientos!$R$2:$R$1993,0)),"-")</f>
        <v>-</v>
      </c>
      <c r="C87" s="2" t="str">
        <f>IFERROR(INDEX(Movimientos!$D$2:$D$1993,MATCH(A87&amp;"ENTRADA",Movimientos!$R$2:$R$1993,0)),"-")</f>
        <v>-</v>
      </c>
      <c r="D87" s="2" t="str">
        <f>IFERROR(INDEX(Movimientos!$E$2:$E$1993,MATCH(A87&amp;"ENTRADA",Movimientos!$R$2:$R$1993,0)),"-")</f>
        <v>-</v>
      </c>
      <c r="E87" s="2" t="str">
        <f>IFERROR(INDEX(Movimientos!$F$2:$F$1993,MATCH(A87&amp;"ENTRADA",Movimientos!$R$2:$R$1993,0)),"-")</f>
        <v>-</v>
      </c>
      <c r="F87" s="2" t="str">
        <f>IFERROR(INDEX(Movimientos!$G$2:$G$1993,MATCH(A87&amp;"ENTRADA",Movimientos!$R$2:$R$1993,0)),"-")</f>
        <v>-</v>
      </c>
      <c r="G87" s="2" t="str">
        <f>IFERROR(INDEX(Movimientos!$L$2:$L$1993,MATCH(A87&amp;"ENTRADA",Movimientos!$R$2:$R$1993,0)),"-")</f>
        <v>-</v>
      </c>
      <c r="H87" s="17" t="str">
        <f>IFERROR(IF(INDEX(Movimientos!$M$2:$M$1993,MATCH(A87&amp;"ENTRADA",Movimientos!$R$2:$R$1993,0))=0,"S/D",INDEX(Movimientos!$M$2:$M$1993,MATCH(A87&amp;"ENTRADA",Movimientos!$R$2:$R$1993,0))),"S/D")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2428</v>
      </c>
      <c r="B88" s="2" t="str">
        <f>IFERROR(INDEX(Movimientos!$C$2:$C$1993,MATCH(A88&amp;"ENTRADA",Movimientos!$R$2:$R$1993,0)),"-")</f>
        <v>-</v>
      </c>
      <c r="C88" s="2" t="str">
        <f>IFERROR(INDEX(Movimientos!$D$2:$D$1993,MATCH(A88&amp;"ENTRADA",Movimientos!$R$2:$R$1993,0)),"-")</f>
        <v>-</v>
      </c>
      <c r="D88" s="2" t="str">
        <f>IFERROR(INDEX(Movimientos!$E$2:$E$1993,MATCH(A88&amp;"ENTRADA",Movimientos!$R$2:$R$1993,0)),"-")</f>
        <v>-</v>
      </c>
      <c r="E88" s="2" t="str">
        <f>IFERROR(INDEX(Movimientos!$F$2:$F$1993,MATCH(A88&amp;"ENTRADA",Movimientos!$R$2:$R$1993,0)),"-")</f>
        <v>-</v>
      </c>
      <c r="F88" s="2" t="str">
        <f>IFERROR(INDEX(Movimientos!$G$2:$G$1993,MATCH(A88&amp;"ENTRADA",Movimientos!$R$2:$R$1993,0)),"-")</f>
        <v>-</v>
      </c>
      <c r="G88" s="2" t="str">
        <f>IFERROR(INDEX(Movimientos!$L$2:$L$1993,MATCH(A88&amp;"ENTRADA",Movimientos!$R$2:$R$1993,0)),"-")</f>
        <v>-</v>
      </c>
      <c r="H88" s="17" t="str">
        <f>IFERROR(IF(INDEX(Movimientos!$M$2:$M$1993,MATCH(A88&amp;"ENTRADA",Movimientos!$R$2:$R$1993,0))=0,"S/D",INDEX(Movimientos!$M$2:$M$1993,MATCH(A88&amp;"ENTRADA",Movimientos!$R$2:$R$1993,0))),"S/D")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2429</v>
      </c>
      <c r="B89" s="2" t="str">
        <f>IFERROR(INDEX(Movimientos!$C$2:$C$1993,MATCH(A89&amp;"ENTRADA",Movimientos!$R$2:$R$1993,0)),"-")</f>
        <v>-</v>
      </c>
      <c r="C89" s="2" t="str">
        <f>IFERROR(INDEX(Movimientos!$D$2:$D$1993,MATCH(A89&amp;"ENTRADA",Movimientos!$R$2:$R$1993,0)),"-")</f>
        <v>-</v>
      </c>
      <c r="D89" s="2" t="str">
        <f>IFERROR(INDEX(Movimientos!$E$2:$E$1993,MATCH(A89&amp;"ENTRADA",Movimientos!$R$2:$R$1993,0)),"-")</f>
        <v>-</v>
      </c>
      <c r="E89" s="2" t="str">
        <f>IFERROR(INDEX(Movimientos!$F$2:$F$1993,MATCH(A89&amp;"ENTRADA",Movimientos!$R$2:$R$1993,0)),"-")</f>
        <v>-</v>
      </c>
      <c r="F89" s="2" t="str">
        <f>IFERROR(INDEX(Movimientos!$G$2:$G$1993,MATCH(A89&amp;"ENTRADA",Movimientos!$R$2:$R$1993,0)),"-")</f>
        <v>-</v>
      </c>
      <c r="G89" s="2" t="str">
        <f>IFERROR(INDEX(Movimientos!$L$2:$L$1993,MATCH(A89&amp;"ENTRADA",Movimientos!$R$2:$R$1993,0)),"-")</f>
        <v>-</v>
      </c>
      <c r="H89" s="17" t="str">
        <f>IFERROR(IF(INDEX(Movimientos!$M$2:$M$1993,MATCH(A89&amp;"ENTRADA",Movimientos!$R$2:$R$1993,0))=0,"S/D",INDEX(Movimientos!$M$2:$M$1993,MATCH(A89&amp;"ENTRADA",Movimientos!$R$2:$R$1993,0))),"S/D")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2430</v>
      </c>
      <c r="B90" s="2" t="str">
        <f>IFERROR(INDEX(Movimientos!$C$2:$C$1993,MATCH(A90&amp;"ENTRADA",Movimientos!$R$2:$R$1993,0)),"-")</f>
        <v>-</v>
      </c>
      <c r="C90" s="2" t="str">
        <f>IFERROR(INDEX(Movimientos!$D$2:$D$1993,MATCH(A90&amp;"ENTRADA",Movimientos!$R$2:$R$1993,0)),"-")</f>
        <v>-</v>
      </c>
      <c r="D90" s="2" t="str">
        <f>IFERROR(INDEX(Movimientos!$E$2:$E$1993,MATCH(A90&amp;"ENTRADA",Movimientos!$R$2:$R$1993,0)),"-")</f>
        <v>-</v>
      </c>
      <c r="E90" s="2" t="str">
        <f>IFERROR(INDEX(Movimientos!$F$2:$F$1993,MATCH(A90&amp;"ENTRADA",Movimientos!$R$2:$R$1993,0)),"-")</f>
        <v>-</v>
      </c>
      <c r="F90" s="2" t="str">
        <f>IFERROR(INDEX(Movimientos!$G$2:$G$1993,MATCH(A90&amp;"ENTRADA",Movimientos!$R$2:$R$1993,0)),"-")</f>
        <v>-</v>
      </c>
      <c r="G90" s="2" t="str">
        <f>IFERROR(INDEX(Movimientos!$L$2:$L$1993,MATCH(A90&amp;"ENTRADA",Movimientos!$R$2:$R$1993,0)),"-")</f>
        <v>-</v>
      </c>
      <c r="H90" s="17" t="str">
        <f>IFERROR(IF(INDEX(Movimientos!$M$2:$M$1993,MATCH(A90&amp;"ENTRADA",Movimientos!$R$2:$R$1993,0))=0,"S/D",INDEX(Movimientos!$M$2:$M$1993,MATCH(A90&amp;"ENTRADA",Movimientos!$R$2:$R$1993,0))),"S/D")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2431</v>
      </c>
      <c r="B91" s="2" t="str">
        <f>IFERROR(INDEX(Movimientos!$C$2:$C$1993,MATCH(A91&amp;"ENTRADA",Movimientos!$R$2:$R$1993,0)),"-")</f>
        <v>-</v>
      </c>
      <c r="C91" s="2" t="str">
        <f>IFERROR(INDEX(Movimientos!$D$2:$D$1993,MATCH(A91&amp;"ENTRADA",Movimientos!$R$2:$R$1993,0)),"-")</f>
        <v>-</v>
      </c>
      <c r="D91" s="2" t="str">
        <f>IFERROR(INDEX(Movimientos!$E$2:$E$1993,MATCH(A91&amp;"ENTRADA",Movimientos!$R$2:$R$1993,0)),"-")</f>
        <v>-</v>
      </c>
      <c r="E91" s="2" t="str">
        <f>IFERROR(INDEX(Movimientos!$F$2:$F$1993,MATCH(A91&amp;"ENTRADA",Movimientos!$R$2:$R$1993,0)),"-")</f>
        <v>-</v>
      </c>
      <c r="F91" s="2" t="str">
        <f>IFERROR(INDEX(Movimientos!$G$2:$G$1993,MATCH(A91&amp;"ENTRADA",Movimientos!$R$2:$R$1993,0)),"-")</f>
        <v>-</v>
      </c>
      <c r="G91" s="2" t="str">
        <f>IFERROR(INDEX(Movimientos!$L$2:$L$1993,MATCH(A91&amp;"ENTRADA",Movimientos!$R$2:$R$1993,0)),"-")</f>
        <v>-</v>
      </c>
      <c r="H91" s="17" t="str">
        <f>IFERROR(IF(INDEX(Movimientos!$M$2:$M$1993,MATCH(A91&amp;"ENTRADA",Movimientos!$R$2:$R$1993,0))=0,"S/D",INDEX(Movimientos!$M$2:$M$1993,MATCH(A91&amp;"ENTRADA",Movimientos!$R$2:$R$1993,0))),"S/D")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2432</v>
      </c>
      <c r="B92" s="2" t="str">
        <f>IFERROR(INDEX(Movimientos!$C$2:$C$1993,MATCH(A92&amp;"ENTRADA",Movimientos!$R$2:$R$1993,0)),"-")</f>
        <v>-</v>
      </c>
      <c r="C92" s="2" t="str">
        <f>IFERROR(INDEX(Movimientos!$D$2:$D$1993,MATCH(A92&amp;"ENTRADA",Movimientos!$R$2:$R$1993,0)),"-")</f>
        <v>-</v>
      </c>
      <c r="D92" s="2" t="str">
        <f>IFERROR(INDEX(Movimientos!$E$2:$E$1993,MATCH(A92&amp;"ENTRADA",Movimientos!$R$2:$R$1993,0)),"-")</f>
        <v>-</v>
      </c>
      <c r="E92" s="2" t="str">
        <f>IFERROR(INDEX(Movimientos!$F$2:$F$1993,MATCH(A92&amp;"ENTRADA",Movimientos!$R$2:$R$1993,0)),"-")</f>
        <v>-</v>
      </c>
      <c r="F92" s="2" t="str">
        <f>IFERROR(INDEX(Movimientos!$G$2:$G$1993,MATCH(A92&amp;"ENTRADA",Movimientos!$R$2:$R$1993,0)),"-")</f>
        <v>-</v>
      </c>
      <c r="G92" s="2" t="str">
        <f>IFERROR(INDEX(Movimientos!$L$2:$L$1993,MATCH(A92&amp;"ENTRADA",Movimientos!$R$2:$R$1993,0)),"-")</f>
        <v>-</v>
      </c>
      <c r="H92" s="17" t="str">
        <f>IFERROR(IF(INDEX(Movimientos!$M$2:$M$1993,MATCH(A92&amp;"ENTRADA",Movimientos!$R$2:$R$1993,0))=0,"S/D",INDEX(Movimientos!$M$2:$M$1993,MATCH(A92&amp;"ENTRADA",Movimientos!$R$2:$R$1993,0))),"S/D")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2433</v>
      </c>
      <c r="B93" s="2" t="str">
        <f>IFERROR(INDEX(Movimientos!$C$2:$C$1993,MATCH(A93&amp;"ENTRADA",Movimientos!$R$2:$R$1993,0)),"-")</f>
        <v>-</v>
      </c>
      <c r="C93" s="2" t="str">
        <f>IFERROR(INDEX(Movimientos!$D$2:$D$1993,MATCH(A93&amp;"ENTRADA",Movimientos!$R$2:$R$1993,0)),"-")</f>
        <v>-</v>
      </c>
      <c r="D93" s="2" t="str">
        <f>IFERROR(INDEX(Movimientos!$E$2:$E$1993,MATCH(A93&amp;"ENTRADA",Movimientos!$R$2:$R$1993,0)),"-")</f>
        <v>-</v>
      </c>
      <c r="E93" s="2" t="str">
        <f>IFERROR(INDEX(Movimientos!$F$2:$F$1993,MATCH(A93&amp;"ENTRADA",Movimientos!$R$2:$R$1993,0)),"-")</f>
        <v>-</v>
      </c>
      <c r="F93" s="2" t="str">
        <f>IFERROR(INDEX(Movimientos!$G$2:$G$1993,MATCH(A93&amp;"ENTRADA",Movimientos!$R$2:$R$1993,0)),"-")</f>
        <v>-</v>
      </c>
      <c r="G93" s="2" t="str">
        <f>IFERROR(INDEX(Movimientos!$L$2:$L$1993,MATCH(A93&amp;"ENTRADA",Movimientos!$R$2:$R$1993,0)),"-")</f>
        <v>-</v>
      </c>
      <c r="H93" s="17" t="str">
        <f>IFERROR(IF(INDEX(Movimientos!$M$2:$M$1993,MATCH(A93&amp;"ENTRADA",Movimientos!$R$2:$R$1993,0))=0,"S/D",INDEX(Movimientos!$M$2:$M$1993,MATCH(A93&amp;"ENTRADA",Movimientos!$R$2:$R$1993,0))),"S/D")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2434</v>
      </c>
      <c r="B94" s="2" t="str">
        <f>IFERROR(INDEX(Movimientos!$C$2:$C$1993,MATCH(A94&amp;"ENTRADA",Movimientos!$R$2:$R$1993,0)),"-")</f>
        <v>-</v>
      </c>
      <c r="C94" s="2" t="str">
        <f>IFERROR(INDEX(Movimientos!$D$2:$D$1993,MATCH(A94&amp;"ENTRADA",Movimientos!$R$2:$R$1993,0)),"-")</f>
        <v>-</v>
      </c>
      <c r="D94" s="2" t="str">
        <f>IFERROR(INDEX(Movimientos!$E$2:$E$1993,MATCH(A94&amp;"ENTRADA",Movimientos!$R$2:$R$1993,0)),"-")</f>
        <v>-</v>
      </c>
      <c r="E94" s="2" t="str">
        <f>IFERROR(INDEX(Movimientos!$F$2:$F$1993,MATCH(A94&amp;"ENTRADA",Movimientos!$R$2:$R$1993,0)),"-")</f>
        <v>-</v>
      </c>
      <c r="F94" s="2" t="str">
        <f>IFERROR(INDEX(Movimientos!$G$2:$G$1993,MATCH(A94&amp;"ENTRADA",Movimientos!$R$2:$R$1993,0)),"-")</f>
        <v>-</v>
      </c>
      <c r="G94" s="2" t="str">
        <f>IFERROR(INDEX(Movimientos!$L$2:$L$1993,MATCH(A94&amp;"ENTRADA",Movimientos!$R$2:$R$1993,0)),"-")</f>
        <v>-</v>
      </c>
      <c r="H94" s="17" t="str">
        <f>IFERROR(IF(INDEX(Movimientos!$M$2:$M$1993,MATCH(A94&amp;"ENTRADA",Movimientos!$R$2:$R$1993,0))=0,"S/D",INDEX(Movimientos!$M$2:$M$1993,MATCH(A94&amp;"ENTRADA",Movimientos!$R$2:$R$1993,0))),"S/D")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2435</v>
      </c>
      <c r="B95" s="2" t="str">
        <f>IFERROR(INDEX(Movimientos!$C$2:$C$1993,MATCH(A95&amp;"ENTRADA",Movimientos!$R$2:$R$1993,0)),"-")</f>
        <v>-</v>
      </c>
      <c r="C95" s="2" t="str">
        <f>IFERROR(INDEX(Movimientos!$D$2:$D$1993,MATCH(A95&amp;"ENTRADA",Movimientos!$R$2:$R$1993,0)),"-")</f>
        <v>-</v>
      </c>
      <c r="D95" s="2" t="str">
        <f>IFERROR(INDEX(Movimientos!$E$2:$E$1993,MATCH(A95&amp;"ENTRADA",Movimientos!$R$2:$R$1993,0)),"-")</f>
        <v>-</v>
      </c>
      <c r="E95" s="2" t="str">
        <f>IFERROR(INDEX(Movimientos!$F$2:$F$1993,MATCH(A95&amp;"ENTRADA",Movimientos!$R$2:$R$1993,0)),"-")</f>
        <v>-</v>
      </c>
      <c r="F95" s="2" t="str">
        <f>IFERROR(INDEX(Movimientos!$G$2:$G$1993,MATCH(A95&amp;"ENTRADA",Movimientos!$R$2:$R$1993,0)),"-")</f>
        <v>-</v>
      </c>
      <c r="G95" s="2" t="str">
        <f>IFERROR(INDEX(Movimientos!$L$2:$L$1993,MATCH(A95&amp;"ENTRADA",Movimientos!$R$2:$R$1993,0)),"-")</f>
        <v>-</v>
      </c>
      <c r="H95" s="17" t="str">
        <f>IFERROR(IF(INDEX(Movimientos!$M$2:$M$1993,MATCH(A95&amp;"ENTRADA",Movimientos!$R$2:$R$1993,0))=0,"S/D",INDEX(Movimientos!$M$2:$M$1993,MATCH(A95&amp;"ENTRADA",Movimientos!$R$2:$R$1993,0))),"S/D")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2436</v>
      </c>
      <c r="B96" s="2" t="str">
        <f>IFERROR(INDEX(Movimientos!$C$2:$C$1993,MATCH(A96&amp;"ENTRADA",Movimientos!$R$2:$R$1993,0)),"-")</f>
        <v>-</v>
      </c>
      <c r="C96" s="2" t="str">
        <f>IFERROR(INDEX(Movimientos!$D$2:$D$1993,MATCH(A96&amp;"ENTRADA",Movimientos!$R$2:$R$1993,0)),"-")</f>
        <v>-</v>
      </c>
      <c r="D96" s="2" t="str">
        <f>IFERROR(INDEX(Movimientos!$E$2:$E$1993,MATCH(A96&amp;"ENTRADA",Movimientos!$R$2:$R$1993,0)),"-")</f>
        <v>-</v>
      </c>
      <c r="E96" s="2" t="str">
        <f>IFERROR(INDEX(Movimientos!$F$2:$F$1993,MATCH(A96&amp;"ENTRADA",Movimientos!$R$2:$R$1993,0)),"-")</f>
        <v>-</v>
      </c>
      <c r="F96" s="2" t="str">
        <f>IFERROR(INDEX(Movimientos!$G$2:$G$1993,MATCH(A96&amp;"ENTRADA",Movimientos!$R$2:$R$1993,0)),"-")</f>
        <v>-</v>
      </c>
      <c r="G96" s="2" t="str">
        <f>IFERROR(INDEX(Movimientos!$L$2:$L$1993,MATCH(A96&amp;"ENTRADA",Movimientos!$R$2:$R$1993,0)),"-")</f>
        <v>-</v>
      </c>
      <c r="H96" s="17" t="str">
        <f>IFERROR(IF(INDEX(Movimientos!$M$2:$M$1993,MATCH(A96&amp;"ENTRADA",Movimientos!$R$2:$R$1993,0))=0,"S/D",INDEX(Movimientos!$M$2:$M$1993,MATCH(A96&amp;"ENTRADA",Movimientos!$R$2:$R$1993,0))),"S/D")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2437</v>
      </c>
      <c r="B97" s="2" t="str">
        <f>IFERROR(INDEX(Movimientos!$C$2:$C$1993,MATCH(A97&amp;"ENTRADA",Movimientos!$R$2:$R$1993,0)),"-")</f>
        <v>-</v>
      </c>
      <c r="C97" s="2" t="str">
        <f>IFERROR(INDEX(Movimientos!$D$2:$D$1993,MATCH(A97&amp;"ENTRADA",Movimientos!$R$2:$R$1993,0)),"-")</f>
        <v>-</v>
      </c>
      <c r="D97" s="2" t="str">
        <f>IFERROR(INDEX(Movimientos!$E$2:$E$1993,MATCH(A97&amp;"ENTRADA",Movimientos!$R$2:$R$1993,0)),"-")</f>
        <v>-</v>
      </c>
      <c r="E97" s="2" t="str">
        <f>IFERROR(INDEX(Movimientos!$F$2:$F$1993,MATCH(A97&amp;"ENTRADA",Movimientos!$R$2:$R$1993,0)),"-")</f>
        <v>-</v>
      </c>
      <c r="F97" s="2" t="str">
        <f>IFERROR(INDEX(Movimientos!$G$2:$G$1993,MATCH(A97&amp;"ENTRADA",Movimientos!$R$2:$R$1993,0)),"-")</f>
        <v>-</v>
      </c>
      <c r="G97" s="2" t="str">
        <f>IFERROR(INDEX(Movimientos!$L$2:$L$1993,MATCH(A97&amp;"ENTRADA",Movimientos!$R$2:$R$1993,0)),"-")</f>
        <v>-</v>
      </c>
      <c r="H97" s="17" t="str">
        <f>IFERROR(IF(INDEX(Movimientos!$M$2:$M$1993,MATCH(A97&amp;"ENTRADA",Movimientos!$R$2:$R$1993,0))=0,"S/D",INDEX(Movimientos!$M$2:$M$1993,MATCH(A97&amp;"ENTRADA",Movimientos!$R$2:$R$1993,0))),"S/D")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2438</v>
      </c>
      <c r="B98" s="2" t="str">
        <f>IFERROR(INDEX(Movimientos!$C$2:$C$1993,MATCH(A98&amp;"ENTRADA",Movimientos!$R$2:$R$1993,0)),"-")</f>
        <v>-</v>
      </c>
      <c r="C98" s="2" t="str">
        <f>IFERROR(INDEX(Movimientos!$D$2:$D$1993,MATCH(A98&amp;"ENTRADA",Movimientos!$R$2:$R$1993,0)),"-")</f>
        <v>-</v>
      </c>
      <c r="D98" s="2" t="str">
        <f>IFERROR(INDEX(Movimientos!$E$2:$E$1993,MATCH(A98&amp;"ENTRADA",Movimientos!$R$2:$R$1993,0)),"-")</f>
        <v>-</v>
      </c>
      <c r="E98" s="2" t="str">
        <f>IFERROR(INDEX(Movimientos!$F$2:$F$1993,MATCH(A98&amp;"ENTRADA",Movimientos!$R$2:$R$1993,0)),"-")</f>
        <v>-</v>
      </c>
      <c r="F98" s="2" t="str">
        <f>IFERROR(INDEX(Movimientos!$G$2:$G$1993,MATCH(A98&amp;"ENTRADA",Movimientos!$R$2:$R$1993,0)),"-")</f>
        <v>-</v>
      </c>
      <c r="G98" s="2" t="str">
        <f>IFERROR(INDEX(Movimientos!$L$2:$L$1993,MATCH(A98&amp;"ENTRADA",Movimientos!$R$2:$R$1993,0)),"-")</f>
        <v>-</v>
      </c>
      <c r="H98" s="17" t="str">
        <f>IFERROR(IF(INDEX(Movimientos!$M$2:$M$1993,MATCH(A98&amp;"ENTRADA",Movimientos!$R$2:$R$1993,0))=0,"S/D",INDEX(Movimientos!$M$2:$M$1993,MATCH(A98&amp;"ENTRADA",Movimientos!$R$2:$R$1993,0))),"S/D")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2439</v>
      </c>
      <c r="B99" s="2" t="str">
        <f>IFERROR(INDEX(Movimientos!$C$2:$C$1993,MATCH(A99&amp;"ENTRADA",Movimientos!$R$2:$R$1993,0)),"-")</f>
        <v>-</v>
      </c>
      <c r="C99" s="2" t="str">
        <f>IFERROR(INDEX(Movimientos!$D$2:$D$1993,MATCH(A99&amp;"ENTRADA",Movimientos!$R$2:$R$1993,0)),"-")</f>
        <v>-</v>
      </c>
      <c r="D99" s="2" t="str">
        <f>IFERROR(INDEX(Movimientos!$E$2:$E$1993,MATCH(A99&amp;"ENTRADA",Movimientos!$R$2:$R$1993,0)),"-")</f>
        <v>-</v>
      </c>
      <c r="E99" s="2" t="str">
        <f>IFERROR(INDEX(Movimientos!$F$2:$F$1993,MATCH(A99&amp;"ENTRADA",Movimientos!$R$2:$R$1993,0)),"-")</f>
        <v>-</v>
      </c>
      <c r="F99" s="2" t="str">
        <f>IFERROR(INDEX(Movimientos!$G$2:$G$1993,MATCH(A99&amp;"ENTRADA",Movimientos!$R$2:$R$1993,0)),"-")</f>
        <v>-</v>
      </c>
      <c r="G99" s="2" t="str">
        <f>IFERROR(INDEX(Movimientos!$L$2:$L$1993,MATCH(A99&amp;"ENTRADA",Movimientos!$R$2:$R$1993,0)),"-")</f>
        <v>-</v>
      </c>
      <c r="H99" s="17" t="str">
        <f>IFERROR(IF(INDEX(Movimientos!$M$2:$M$1993,MATCH(A99&amp;"ENTRADA",Movimientos!$R$2:$R$1993,0))=0,"S/D",INDEX(Movimientos!$M$2:$M$1993,MATCH(A99&amp;"ENTRADA",Movimientos!$R$2:$R$1993,0))),"S/D")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2440</v>
      </c>
      <c r="B100" s="2" t="str">
        <f>IFERROR(INDEX(Movimientos!$C$2:$C$1993,MATCH(A100&amp;"ENTRADA",Movimientos!$R$2:$R$1993,0)),"-")</f>
        <v>-</v>
      </c>
      <c r="C100" s="2" t="str">
        <f>IFERROR(INDEX(Movimientos!$D$2:$D$1993,MATCH(A100&amp;"ENTRADA",Movimientos!$R$2:$R$1993,0)),"-")</f>
        <v>-</v>
      </c>
      <c r="D100" s="2" t="str">
        <f>IFERROR(INDEX(Movimientos!$E$2:$E$1993,MATCH(A100&amp;"ENTRADA",Movimientos!$R$2:$R$1993,0)),"-")</f>
        <v>-</v>
      </c>
      <c r="E100" s="2" t="str">
        <f>IFERROR(INDEX(Movimientos!$F$2:$F$1993,MATCH(A100&amp;"ENTRADA",Movimientos!$R$2:$R$1993,0)),"-")</f>
        <v>-</v>
      </c>
      <c r="F100" s="2" t="str">
        <f>IFERROR(INDEX(Movimientos!$G$2:$G$1993,MATCH(A100&amp;"ENTRADA",Movimientos!$R$2:$R$1993,0)),"-")</f>
        <v>-</v>
      </c>
      <c r="G100" s="2" t="str">
        <f>IFERROR(INDEX(Movimientos!$L$2:$L$1993,MATCH(A100&amp;"ENTRADA",Movimientos!$R$2:$R$1993,0)),"-")</f>
        <v>-</v>
      </c>
      <c r="H100" s="17" t="str">
        <f>IFERROR(IF(INDEX(Movimientos!$M$2:$M$1993,MATCH(A100&amp;"ENTRADA",Movimientos!$R$2:$R$1993,0))=0,"S/D",INDEX(Movimientos!$M$2:$M$1993,MATCH(A100&amp;"ENTRADA",Movimientos!$R$2:$R$1993,0))),"S/D")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2441</v>
      </c>
      <c r="B101" s="2" t="str">
        <f>IFERROR(INDEX(Movimientos!$C$2:$C$1993,MATCH(A101&amp;"ENTRADA",Movimientos!$R$2:$R$1993,0)),"-")</f>
        <v>-</v>
      </c>
      <c r="C101" s="2" t="str">
        <f>IFERROR(INDEX(Movimientos!$D$2:$D$1993,MATCH(A101&amp;"ENTRADA",Movimientos!$R$2:$R$1993,0)),"-")</f>
        <v>-</v>
      </c>
      <c r="D101" s="2" t="str">
        <f>IFERROR(INDEX(Movimientos!$E$2:$E$1993,MATCH(A101&amp;"ENTRADA",Movimientos!$R$2:$R$1993,0)),"-")</f>
        <v>-</v>
      </c>
      <c r="E101" s="2" t="str">
        <f>IFERROR(INDEX(Movimientos!$F$2:$F$1993,MATCH(A101&amp;"ENTRADA",Movimientos!$R$2:$R$1993,0)),"-")</f>
        <v>-</v>
      </c>
      <c r="F101" s="2" t="str">
        <f>IFERROR(INDEX(Movimientos!$G$2:$G$1993,MATCH(A101&amp;"ENTRADA",Movimientos!$R$2:$R$1993,0)),"-")</f>
        <v>-</v>
      </c>
      <c r="G101" s="2" t="str">
        <f>IFERROR(INDEX(Movimientos!$L$2:$L$1993,MATCH(A101&amp;"ENTRADA",Movimientos!$R$2:$R$1993,0)),"-")</f>
        <v>-</v>
      </c>
      <c r="H101" s="17" t="str">
        <f>IFERROR(IF(INDEX(Movimientos!$M$2:$M$1993,MATCH(A101&amp;"ENTRADA",Movimientos!$R$2:$R$1993,0))=0,"S/D",INDEX(Movimientos!$M$2:$M$1993,MATCH(A101&amp;"ENTRADA",Movimientos!$R$2:$R$1993,0))),"S/D")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2442</v>
      </c>
      <c r="B102" s="2" t="str">
        <f>IFERROR(INDEX(Movimientos!$C$2:$C$1993,MATCH(A102&amp;"ENTRADA",Movimientos!$R$2:$R$1993,0)),"-")</f>
        <v>-</v>
      </c>
      <c r="C102" s="2" t="str">
        <f>IFERROR(INDEX(Movimientos!$D$2:$D$1993,MATCH(A102&amp;"ENTRADA",Movimientos!$R$2:$R$1993,0)),"-")</f>
        <v>-</v>
      </c>
      <c r="D102" s="2" t="str">
        <f>IFERROR(INDEX(Movimientos!$E$2:$E$1993,MATCH(A102&amp;"ENTRADA",Movimientos!$R$2:$R$1993,0)),"-")</f>
        <v>-</v>
      </c>
      <c r="E102" s="2" t="str">
        <f>IFERROR(INDEX(Movimientos!$F$2:$F$1993,MATCH(A102&amp;"ENTRADA",Movimientos!$R$2:$R$1993,0)),"-")</f>
        <v>-</v>
      </c>
      <c r="F102" s="2" t="str">
        <f>IFERROR(INDEX(Movimientos!$G$2:$G$1993,MATCH(A102&amp;"ENTRADA",Movimientos!$R$2:$R$1993,0)),"-")</f>
        <v>-</v>
      </c>
      <c r="G102" s="2" t="str">
        <f>IFERROR(INDEX(Movimientos!$L$2:$L$1993,MATCH(A102&amp;"ENTRADA",Movimientos!$R$2:$R$1993,0)),"-")</f>
        <v>-</v>
      </c>
      <c r="H102" s="17" t="str">
        <f>IFERROR(IF(INDEX(Movimientos!$M$2:$M$1993,MATCH(A102&amp;"ENTRADA",Movimientos!$R$2:$R$1993,0))=0,"S/D",INDEX(Movimientos!$M$2:$M$1993,MATCH(A102&amp;"ENTRADA",Movimientos!$R$2:$R$1993,0))),"S/D")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2443</v>
      </c>
      <c r="B103" s="2" t="str">
        <f>IFERROR(INDEX(Movimientos!$C$2:$C$1993,MATCH(A103&amp;"ENTRADA",Movimientos!$R$2:$R$1993,0)),"-")</f>
        <v>-</v>
      </c>
      <c r="C103" s="2" t="str">
        <f>IFERROR(INDEX(Movimientos!$D$2:$D$1993,MATCH(A103&amp;"ENTRADA",Movimientos!$R$2:$R$1993,0)),"-")</f>
        <v>-</v>
      </c>
      <c r="D103" s="2" t="str">
        <f>IFERROR(INDEX(Movimientos!$E$2:$E$1993,MATCH(A103&amp;"ENTRADA",Movimientos!$R$2:$R$1993,0)),"-")</f>
        <v>-</v>
      </c>
      <c r="E103" s="2" t="str">
        <f>IFERROR(INDEX(Movimientos!$F$2:$F$1993,MATCH(A103&amp;"ENTRADA",Movimientos!$R$2:$R$1993,0)),"-")</f>
        <v>-</v>
      </c>
      <c r="F103" s="2" t="str">
        <f>IFERROR(INDEX(Movimientos!$G$2:$G$1993,MATCH(A103&amp;"ENTRADA",Movimientos!$R$2:$R$1993,0)),"-")</f>
        <v>-</v>
      </c>
      <c r="G103" s="2" t="str">
        <f>IFERROR(INDEX(Movimientos!$L$2:$L$1993,MATCH(A103&amp;"ENTRADA",Movimientos!$R$2:$R$1993,0)),"-")</f>
        <v>-</v>
      </c>
      <c r="H103" s="17" t="str">
        <f>IFERROR(IF(INDEX(Movimientos!$M$2:$M$1993,MATCH(A103&amp;"ENTRADA",Movimientos!$R$2:$R$1993,0))=0,"S/D",INDEX(Movimientos!$M$2:$M$1993,MATCH(A103&amp;"ENTRADA",Movimientos!$R$2:$R$1993,0))),"S/D")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2444</v>
      </c>
      <c r="B104" s="2" t="str">
        <f>IFERROR(INDEX(Movimientos!$C$2:$C$1993,MATCH(A104&amp;"ENTRADA",Movimientos!$R$2:$R$1993,0)),"-")</f>
        <v>-</v>
      </c>
      <c r="C104" s="2" t="str">
        <f>IFERROR(INDEX(Movimientos!$D$2:$D$1993,MATCH(A104&amp;"ENTRADA",Movimientos!$R$2:$R$1993,0)),"-")</f>
        <v>-</v>
      </c>
      <c r="D104" s="2" t="str">
        <f>IFERROR(INDEX(Movimientos!$E$2:$E$1993,MATCH(A104&amp;"ENTRADA",Movimientos!$R$2:$R$1993,0)),"-")</f>
        <v>-</v>
      </c>
      <c r="E104" s="2" t="str">
        <f>IFERROR(INDEX(Movimientos!$F$2:$F$1993,MATCH(A104&amp;"ENTRADA",Movimientos!$R$2:$R$1993,0)),"-")</f>
        <v>-</v>
      </c>
      <c r="F104" s="2" t="str">
        <f>IFERROR(INDEX(Movimientos!$G$2:$G$1993,MATCH(A104&amp;"ENTRADA",Movimientos!$R$2:$R$1993,0)),"-")</f>
        <v>-</v>
      </c>
      <c r="G104" s="2" t="str">
        <f>IFERROR(INDEX(Movimientos!$L$2:$L$1993,MATCH(A104&amp;"ENTRADA",Movimientos!$R$2:$R$1993,0)),"-")</f>
        <v>-</v>
      </c>
      <c r="H104" s="17" t="str">
        <f>IFERROR(IF(INDEX(Movimientos!$M$2:$M$1993,MATCH(A104&amp;"ENTRADA",Movimientos!$R$2:$R$1993,0))=0,"S/D",INDEX(Movimientos!$M$2:$M$1993,MATCH(A104&amp;"ENTRADA",Movimientos!$R$2:$R$1993,0))),"S/D")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2445</v>
      </c>
      <c r="B105" s="2" t="str">
        <f>IFERROR(INDEX(Movimientos!$C$2:$C$1993,MATCH(A105&amp;"ENTRADA",Movimientos!$R$2:$R$1993,0)),"-")</f>
        <v>-</v>
      </c>
      <c r="C105" s="2" t="str">
        <f>IFERROR(INDEX(Movimientos!$D$2:$D$1993,MATCH(A105&amp;"ENTRADA",Movimientos!$R$2:$R$1993,0)),"-")</f>
        <v>-</v>
      </c>
      <c r="D105" s="2" t="str">
        <f>IFERROR(INDEX(Movimientos!$E$2:$E$1993,MATCH(A105&amp;"ENTRADA",Movimientos!$R$2:$R$1993,0)),"-")</f>
        <v>-</v>
      </c>
      <c r="E105" s="2" t="str">
        <f>IFERROR(INDEX(Movimientos!$F$2:$F$1993,MATCH(A105&amp;"ENTRADA",Movimientos!$R$2:$R$1993,0)),"-")</f>
        <v>-</v>
      </c>
      <c r="F105" s="2" t="str">
        <f>IFERROR(INDEX(Movimientos!$G$2:$G$1993,MATCH(A105&amp;"ENTRADA",Movimientos!$R$2:$R$1993,0)),"-")</f>
        <v>-</v>
      </c>
      <c r="G105" s="2" t="str">
        <f>IFERROR(INDEX(Movimientos!$L$2:$L$1993,MATCH(A105&amp;"ENTRADA",Movimientos!$R$2:$R$1993,0)),"-")</f>
        <v>-</v>
      </c>
      <c r="H105" s="17" t="str">
        <f>IFERROR(IF(INDEX(Movimientos!$M$2:$M$1993,MATCH(A105&amp;"ENTRADA",Movimientos!$R$2:$R$1993,0))=0,"S/D",INDEX(Movimientos!$M$2:$M$1993,MATCH(A105&amp;"ENTRADA",Movimientos!$R$2:$R$1993,0))),"S/D")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2446</v>
      </c>
      <c r="B106" s="2" t="str">
        <f>IFERROR(INDEX(Movimientos!$C$2:$C$1993,MATCH(A106&amp;"ENTRADA",Movimientos!$R$2:$R$1993,0)),"-")</f>
        <v>-</v>
      </c>
      <c r="C106" s="2" t="str">
        <f>IFERROR(INDEX(Movimientos!$D$2:$D$1993,MATCH(A106&amp;"ENTRADA",Movimientos!$R$2:$R$1993,0)),"-")</f>
        <v>-</v>
      </c>
      <c r="D106" s="2" t="str">
        <f>IFERROR(INDEX(Movimientos!$E$2:$E$1993,MATCH(A106&amp;"ENTRADA",Movimientos!$R$2:$R$1993,0)),"-")</f>
        <v>-</v>
      </c>
      <c r="E106" s="2" t="str">
        <f>IFERROR(INDEX(Movimientos!$F$2:$F$1993,MATCH(A106&amp;"ENTRADA",Movimientos!$R$2:$R$1993,0)),"-")</f>
        <v>-</v>
      </c>
      <c r="F106" s="2" t="str">
        <f>IFERROR(INDEX(Movimientos!$G$2:$G$1993,MATCH(A106&amp;"ENTRADA",Movimientos!$R$2:$R$1993,0)),"-")</f>
        <v>-</v>
      </c>
      <c r="G106" s="2" t="str">
        <f>IFERROR(INDEX(Movimientos!$L$2:$L$1993,MATCH(A106&amp;"ENTRADA",Movimientos!$R$2:$R$1993,0)),"-")</f>
        <v>-</v>
      </c>
      <c r="H106" s="17" t="str">
        <f>IFERROR(IF(INDEX(Movimientos!$M$2:$M$1993,MATCH(A106&amp;"ENTRADA",Movimientos!$R$2:$R$1993,0))=0,"S/D",INDEX(Movimientos!$M$2:$M$1993,MATCH(A106&amp;"ENTRADA",Movimientos!$R$2:$R$1993,0))),"S/D")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2447</v>
      </c>
      <c r="B107" s="2" t="str">
        <f>IFERROR(INDEX(Movimientos!$C$2:$C$1993,MATCH(A107&amp;"ENTRADA",Movimientos!$R$2:$R$1993,0)),"-")</f>
        <v>-</v>
      </c>
      <c r="C107" s="2" t="str">
        <f>IFERROR(INDEX(Movimientos!$D$2:$D$1993,MATCH(A107&amp;"ENTRADA",Movimientos!$R$2:$R$1993,0)),"-")</f>
        <v>-</v>
      </c>
      <c r="D107" s="2" t="str">
        <f>IFERROR(INDEX(Movimientos!$E$2:$E$1993,MATCH(A107&amp;"ENTRADA",Movimientos!$R$2:$R$1993,0)),"-")</f>
        <v>-</v>
      </c>
      <c r="E107" s="2" t="str">
        <f>IFERROR(INDEX(Movimientos!$F$2:$F$1993,MATCH(A107&amp;"ENTRADA",Movimientos!$R$2:$R$1993,0)),"-")</f>
        <v>-</v>
      </c>
      <c r="F107" s="2" t="str">
        <f>IFERROR(INDEX(Movimientos!$G$2:$G$1993,MATCH(A107&amp;"ENTRADA",Movimientos!$R$2:$R$1993,0)),"-")</f>
        <v>-</v>
      </c>
      <c r="G107" s="2" t="str">
        <f>IFERROR(INDEX(Movimientos!$L$2:$L$1993,MATCH(A107&amp;"ENTRADA",Movimientos!$R$2:$R$1993,0)),"-")</f>
        <v>-</v>
      </c>
      <c r="H107" s="17" t="str">
        <f>IFERROR(IF(INDEX(Movimientos!$M$2:$M$1993,MATCH(A107&amp;"ENTRADA",Movimientos!$R$2:$R$1993,0))=0,"S/D",INDEX(Movimientos!$M$2:$M$1993,MATCH(A107&amp;"ENTRADA",Movimientos!$R$2:$R$1993,0))),"S/D")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2448</v>
      </c>
      <c r="B108" s="2" t="str">
        <f>IFERROR(INDEX(Movimientos!$C$2:$C$1993,MATCH(A108&amp;"ENTRADA",Movimientos!$R$2:$R$1993,0)),"-")</f>
        <v>-</v>
      </c>
      <c r="C108" s="2" t="str">
        <f>IFERROR(INDEX(Movimientos!$D$2:$D$1993,MATCH(A108&amp;"ENTRADA",Movimientos!$R$2:$R$1993,0)),"-")</f>
        <v>-</v>
      </c>
      <c r="D108" s="2" t="str">
        <f>IFERROR(INDEX(Movimientos!$E$2:$E$1993,MATCH(A108&amp;"ENTRADA",Movimientos!$R$2:$R$1993,0)),"-")</f>
        <v>-</v>
      </c>
      <c r="E108" s="2" t="str">
        <f>IFERROR(INDEX(Movimientos!$F$2:$F$1993,MATCH(A108&amp;"ENTRADA",Movimientos!$R$2:$R$1993,0)),"-")</f>
        <v>-</v>
      </c>
      <c r="F108" s="2" t="str">
        <f>IFERROR(INDEX(Movimientos!$G$2:$G$1993,MATCH(A108&amp;"ENTRADA",Movimientos!$R$2:$R$1993,0)),"-")</f>
        <v>-</v>
      </c>
      <c r="G108" s="2" t="str">
        <f>IFERROR(INDEX(Movimientos!$L$2:$L$1993,MATCH(A108&amp;"ENTRADA",Movimientos!$R$2:$R$1993,0)),"-")</f>
        <v>-</v>
      </c>
      <c r="H108" s="17" t="str">
        <f>IFERROR(IF(INDEX(Movimientos!$M$2:$M$1993,MATCH(A108&amp;"ENTRADA",Movimientos!$R$2:$R$1993,0))=0,"S/D",INDEX(Movimientos!$M$2:$M$1993,MATCH(A108&amp;"ENTRADA",Movimientos!$R$2:$R$1993,0))),"S/D")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2449</v>
      </c>
      <c r="B109" s="2" t="str">
        <f>IFERROR(INDEX(Movimientos!$C$2:$C$1993,MATCH(A109&amp;"ENTRADA",Movimientos!$R$2:$R$1993,0)),"-")</f>
        <v>-</v>
      </c>
      <c r="C109" s="2" t="str">
        <f>IFERROR(INDEX(Movimientos!$D$2:$D$1993,MATCH(A109&amp;"ENTRADA",Movimientos!$R$2:$R$1993,0)),"-")</f>
        <v>-</v>
      </c>
      <c r="D109" s="2" t="str">
        <f>IFERROR(INDEX(Movimientos!$E$2:$E$1993,MATCH(A109&amp;"ENTRADA",Movimientos!$R$2:$R$1993,0)),"-")</f>
        <v>-</v>
      </c>
      <c r="E109" s="2" t="str">
        <f>IFERROR(INDEX(Movimientos!$F$2:$F$1993,MATCH(A109&amp;"ENTRADA",Movimientos!$R$2:$R$1993,0)),"-")</f>
        <v>-</v>
      </c>
      <c r="F109" s="2" t="str">
        <f>IFERROR(INDEX(Movimientos!$G$2:$G$1993,MATCH(A109&amp;"ENTRADA",Movimientos!$R$2:$R$1993,0)),"-")</f>
        <v>-</v>
      </c>
      <c r="G109" s="2" t="str">
        <f>IFERROR(INDEX(Movimientos!$L$2:$L$1993,MATCH(A109&amp;"ENTRADA",Movimientos!$R$2:$R$1993,0)),"-")</f>
        <v>-</v>
      </c>
      <c r="H109" s="17" t="str">
        <f>IFERROR(IF(INDEX(Movimientos!$M$2:$M$1993,MATCH(A109&amp;"ENTRADA",Movimientos!$R$2:$R$1993,0))=0,"S/D",INDEX(Movimientos!$M$2:$M$1993,MATCH(A109&amp;"ENTRADA",Movimientos!$R$2:$R$1993,0))),"S/D")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2450</v>
      </c>
      <c r="B110" s="2" t="str">
        <f>IFERROR(INDEX(Movimientos!$C$2:$C$1993,MATCH(A110&amp;"ENTRADA",Movimientos!$R$2:$R$1993,0)),"-")</f>
        <v>-</v>
      </c>
      <c r="C110" s="2" t="str">
        <f>IFERROR(INDEX(Movimientos!$D$2:$D$1993,MATCH(A110&amp;"ENTRADA",Movimientos!$R$2:$R$1993,0)),"-")</f>
        <v>-</v>
      </c>
      <c r="D110" s="2" t="str">
        <f>IFERROR(INDEX(Movimientos!$E$2:$E$1993,MATCH(A110&amp;"ENTRADA",Movimientos!$R$2:$R$1993,0)),"-")</f>
        <v>-</v>
      </c>
      <c r="E110" s="2" t="str">
        <f>IFERROR(INDEX(Movimientos!$F$2:$F$1993,MATCH(A110&amp;"ENTRADA",Movimientos!$R$2:$R$1993,0)),"-")</f>
        <v>-</v>
      </c>
      <c r="F110" s="2" t="str">
        <f>IFERROR(INDEX(Movimientos!$G$2:$G$1993,MATCH(A110&amp;"ENTRADA",Movimientos!$R$2:$R$1993,0)),"-")</f>
        <v>-</v>
      </c>
      <c r="G110" s="2" t="str">
        <f>IFERROR(INDEX(Movimientos!$L$2:$L$1993,MATCH(A110&amp;"ENTRADA",Movimientos!$R$2:$R$1993,0)),"-")</f>
        <v>-</v>
      </c>
      <c r="H110" s="17" t="str">
        <f>IFERROR(IF(INDEX(Movimientos!$M$2:$M$1993,MATCH(A110&amp;"ENTRADA",Movimientos!$R$2:$R$1993,0))=0,"S/D",INDEX(Movimientos!$M$2:$M$1993,MATCH(A110&amp;"ENTRADA",Movimientos!$R$2:$R$1993,0))),"S/D")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2451</v>
      </c>
      <c r="B111" s="2" t="str">
        <f>IFERROR(INDEX(Movimientos!$C$2:$C$1993,MATCH(A111&amp;"ENTRADA",Movimientos!$R$2:$R$1993,0)),"-")</f>
        <v>-</v>
      </c>
      <c r="C111" s="2" t="str">
        <f>IFERROR(INDEX(Movimientos!$D$2:$D$1993,MATCH(A111&amp;"ENTRADA",Movimientos!$R$2:$R$1993,0)),"-")</f>
        <v>-</v>
      </c>
      <c r="D111" s="2" t="str">
        <f>IFERROR(INDEX(Movimientos!$E$2:$E$1993,MATCH(A111&amp;"ENTRADA",Movimientos!$R$2:$R$1993,0)),"-")</f>
        <v>-</v>
      </c>
      <c r="E111" s="2" t="str">
        <f>IFERROR(INDEX(Movimientos!$F$2:$F$1993,MATCH(A111&amp;"ENTRADA",Movimientos!$R$2:$R$1993,0)),"-")</f>
        <v>-</v>
      </c>
      <c r="F111" s="2" t="str">
        <f>IFERROR(INDEX(Movimientos!$G$2:$G$1993,MATCH(A111&amp;"ENTRADA",Movimientos!$R$2:$R$1993,0)),"-")</f>
        <v>-</v>
      </c>
      <c r="G111" s="2" t="str">
        <f>IFERROR(INDEX(Movimientos!$L$2:$L$1993,MATCH(A111&amp;"ENTRADA",Movimientos!$R$2:$R$1993,0)),"-")</f>
        <v>-</v>
      </c>
      <c r="H111" s="17" t="str">
        <f>IFERROR(IF(INDEX(Movimientos!$M$2:$M$1993,MATCH(A111&amp;"ENTRADA",Movimientos!$R$2:$R$1993,0))=0,"S/D",INDEX(Movimientos!$M$2:$M$1993,MATCH(A111&amp;"ENTRADA",Movimientos!$R$2:$R$1993,0))),"S/D")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2452</v>
      </c>
      <c r="B112" s="2" t="str">
        <f>IFERROR(INDEX(Movimientos!$C$2:$C$1993,MATCH(A112&amp;"ENTRADA",Movimientos!$R$2:$R$1993,0)),"-")</f>
        <v>-</v>
      </c>
      <c r="C112" s="2" t="str">
        <f>IFERROR(INDEX(Movimientos!$D$2:$D$1993,MATCH(A112&amp;"ENTRADA",Movimientos!$R$2:$R$1993,0)),"-")</f>
        <v>-</v>
      </c>
      <c r="D112" s="2" t="str">
        <f>IFERROR(INDEX(Movimientos!$E$2:$E$1993,MATCH(A112&amp;"ENTRADA",Movimientos!$R$2:$R$1993,0)),"-")</f>
        <v>-</v>
      </c>
      <c r="E112" s="2" t="str">
        <f>IFERROR(INDEX(Movimientos!$F$2:$F$1993,MATCH(A112&amp;"ENTRADA",Movimientos!$R$2:$R$1993,0)),"-")</f>
        <v>-</v>
      </c>
      <c r="F112" s="2" t="str">
        <f>IFERROR(INDEX(Movimientos!$G$2:$G$1993,MATCH(A112&amp;"ENTRADA",Movimientos!$R$2:$R$1993,0)),"-")</f>
        <v>-</v>
      </c>
      <c r="G112" s="2" t="str">
        <f>IFERROR(INDEX(Movimientos!$L$2:$L$1993,MATCH(A112&amp;"ENTRADA",Movimientos!$R$2:$R$1993,0)),"-")</f>
        <v>-</v>
      </c>
      <c r="H112" s="17" t="str">
        <f>IFERROR(IF(INDEX(Movimientos!$M$2:$M$1993,MATCH(A112&amp;"ENTRADA",Movimientos!$R$2:$R$1993,0))=0,"S/D",INDEX(Movimientos!$M$2:$M$1993,MATCH(A112&amp;"ENTRADA",Movimientos!$R$2:$R$1993,0))),"S/D")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2453</v>
      </c>
      <c r="B113" s="2" t="str">
        <f>IFERROR(INDEX(Movimientos!$C$2:$C$1993,MATCH(A113&amp;"ENTRADA",Movimientos!$R$2:$R$1993,0)),"-")</f>
        <v>-</v>
      </c>
      <c r="C113" s="2" t="str">
        <f>IFERROR(INDEX(Movimientos!$D$2:$D$1993,MATCH(A113&amp;"ENTRADA",Movimientos!$R$2:$R$1993,0)),"-")</f>
        <v>-</v>
      </c>
      <c r="D113" s="2" t="str">
        <f>IFERROR(INDEX(Movimientos!$E$2:$E$1993,MATCH(A113&amp;"ENTRADA",Movimientos!$R$2:$R$1993,0)),"-")</f>
        <v>-</v>
      </c>
      <c r="E113" s="2" t="str">
        <f>IFERROR(INDEX(Movimientos!$F$2:$F$1993,MATCH(A113&amp;"ENTRADA",Movimientos!$R$2:$R$1993,0)),"-")</f>
        <v>-</v>
      </c>
      <c r="F113" s="2" t="str">
        <f>IFERROR(INDEX(Movimientos!$G$2:$G$1993,MATCH(A113&amp;"ENTRADA",Movimientos!$R$2:$R$1993,0)),"-")</f>
        <v>-</v>
      </c>
      <c r="G113" s="2" t="str">
        <f>IFERROR(INDEX(Movimientos!$L$2:$L$1993,MATCH(A113&amp;"ENTRADA",Movimientos!$R$2:$R$1993,0)),"-")</f>
        <v>-</v>
      </c>
      <c r="H113" s="17" t="str">
        <f>IFERROR(IF(INDEX(Movimientos!$M$2:$M$1993,MATCH(A113&amp;"ENTRADA",Movimientos!$R$2:$R$1993,0))=0,"S/D",INDEX(Movimientos!$M$2:$M$1993,MATCH(A113&amp;"ENTRADA",Movimientos!$R$2:$R$1993,0))),"S/D")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2454</v>
      </c>
      <c r="B114" s="2" t="str">
        <f>IFERROR(INDEX(Movimientos!$C$2:$C$1993,MATCH(A114&amp;"ENTRADA",Movimientos!$R$2:$R$1993,0)),"-")</f>
        <v>-</v>
      </c>
      <c r="C114" s="2" t="str">
        <f>IFERROR(INDEX(Movimientos!$D$2:$D$1993,MATCH(A114&amp;"ENTRADA",Movimientos!$R$2:$R$1993,0)),"-")</f>
        <v>-</v>
      </c>
      <c r="D114" s="2" t="str">
        <f>IFERROR(INDEX(Movimientos!$E$2:$E$1993,MATCH(A114&amp;"ENTRADA",Movimientos!$R$2:$R$1993,0)),"-")</f>
        <v>-</v>
      </c>
      <c r="E114" s="2" t="str">
        <f>IFERROR(INDEX(Movimientos!$F$2:$F$1993,MATCH(A114&amp;"ENTRADA",Movimientos!$R$2:$R$1993,0)),"-")</f>
        <v>-</v>
      </c>
      <c r="F114" s="2" t="str">
        <f>IFERROR(INDEX(Movimientos!$G$2:$G$1993,MATCH(A114&amp;"ENTRADA",Movimientos!$R$2:$R$1993,0)),"-")</f>
        <v>-</v>
      </c>
      <c r="G114" s="2" t="str">
        <f>IFERROR(INDEX(Movimientos!$L$2:$L$1993,MATCH(A114&amp;"ENTRADA",Movimientos!$R$2:$R$1993,0)),"-")</f>
        <v>-</v>
      </c>
      <c r="H114" s="17" t="str">
        <f>IFERROR(IF(INDEX(Movimientos!$M$2:$M$1993,MATCH(A114&amp;"ENTRADA",Movimientos!$R$2:$R$1993,0))=0,"S/D",INDEX(Movimientos!$M$2:$M$1993,MATCH(A114&amp;"ENTRADA",Movimientos!$R$2:$R$1993,0))),"S/D")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2455</v>
      </c>
      <c r="B115" s="2" t="str">
        <f>IFERROR(INDEX(Movimientos!$C$2:$C$1993,MATCH(A115&amp;"ENTRADA",Movimientos!$R$2:$R$1993,0)),"-")</f>
        <v>-</v>
      </c>
      <c r="C115" s="2" t="str">
        <f>IFERROR(INDEX(Movimientos!$D$2:$D$1993,MATCH(A115&amp;"ENTRADA",Movimientos!$R$2:$R$1993,0)),"-")</f>
        <v>-</v>
      </c>
      <c r="D115" s="2" t="str">
        <f>IFERROR(INDEX(Movimientos!$E$2:$E$1993,MATCH(A115&amp;"ENTRADA",Movimientos!$R$2:$R$1993,0)),"-")</f>
        <v>-</v>
      </c>
      <c r="E115" s="2" t="str">
        <f>IFERROR(INDEX(Movimientos!$F$2:$F$1993,MATCH(A115&amp;"ENTRADA",Movimientos!$R$2:$R$1993,0)),"-")</f>
        <v>-</v>
      </c>
      <c r="F115" s="2" t="str">
        <f>IFERROR(INDEX(Movimientos!$G$2:$G$1993,MATCH(A115&amp;"ENTRADA",Movimientos!$R$2:$R$1993,0)),"-")</f>
        <v>-</v>
      </c>
      <c r="G115" s="2" t="str">
        <f>IFERROR(INDEX(Movimientos!$L$2:$L$1993,MATCH(A115&amp;"ENTRADA",Movimientos!$R$2:$R$1993,0)),"-")</f>
        <v>-</v>
      </c>
      <c r="H115" s="17" t="str">
        <f>IFERROR(IF(INDEX(Movimientos!$M$2:$M$1993,MATCH(A115&amp;"ENTRADA",Movimientos!$R$2:$R$1993,0))=0,"S/D",INDEX(Movimientos!$M$2:$M$1993,MATCH(A115&amp;"ENTRADA",Movimientos!$R$2:$R$1993,0))),"S/D")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2456</v>
      </c>
      <c r="B116" s="2" t="str">
        <f>IFERROR(INDEX(Movimientos!$C$2:$C$1993,MATCH(A116&amp;"ENTRADA",Movimientos!$R$2:$R$1993,0)),"-")</f>
        <v>-</v>
      </c>
      <c r="C116" s="2" t="str">
        <f>IFERROR(INDEX(Movimientos!$D$2:$D$1993,MATCH(A116&amp;"ENTRADA",Movimientos!$R$2:$R$1993,0)),"-")</f>
        <v>-</v>
      </c>
      <c r="D116" s="2" t="str">
        <f>IFERROR(INDEX(Movimientos!$E$2:$E$1993,MATCH(A116&amp;"ENTRADA",Movimientos!$R$2:$R$1993,0)),"-")</f>
        <v>-</v>
      </c>
      <c r="E116" s="2" t="str">
        <f>IFERROR(INDEX(Movimientos!$F$2:$F$1993,MATCH(A116&amp;"ENTRADA",Movimientos!$R$2:$R$1993,0)),"-")</f>
        <v>-</v>
      </c>
      <c r="F116" s="2" t="str">
        <f>IFERROR(INDEX(Movimientos!$G$2:$G$1993,MATCH(A116&amp;"ENTRADA",Movimientos!$R$2:$R$1993,0)),"-")</f>
        <v>-</v>
      </c>
      <c r="G116" s="2" t="str">
        <f>IFERROR(INDEX(Movimientos!$L$2:$L$1993,MATCH(A116&amp;"ENTRADA",Movimientos!$R$2:$R$1993,0)),"-")</f>
        <v>-</v>
      </c>
      <c r="H116" s="17" t="str">
        <f>IFERROR(IF(INDEX(Movimientos!$M$2:$M$1993,MATCH(A116&amp;"ENTRADA",Movimientos!$R$2:$R$1993,0))=0,"S/D",INDEX(Movimientos!$M$2:$M$1993,MATCH(A116&amp;"ENTRADA",Movimientos!$R$2:$R$1993,0))),"S/D")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2457</v>
      </c>
      <c r="B117" s="2" t="str">
        <f>IFERROR(INDEX(Movimientos!$C$2:$C$1993,MATCH(A117&amp;"ENTRADA",Movimientos!$R$2:$R$1993,0)),"-")</f>
        <v>-</v>
      </c>
      <c r="C117" s="2" t="str">
        <f>IFERROR(INDEX(Movimientos!$D$2:$D$1993,MATCH(A117&amp;"ENTRADA",Movimientos!$R$2:$R$1993,0)),"-")</f>
        <v>-</v>
      </c>
      <c r="D117" s="2" t="str">
        <f>IFERROR(INDEX(Movimientos!$E$2:$E$1993,MATCH(A117&amp;"ENTRADA",Movimientos!$R$2:$R$1993,0)),"-")</f>
        <v>-</v>
      </c>
      <c r="E117" s="2" t="str">
        <f>IFERROR(INDEX(Movimientos!$F$2:$F$1993,MATCH(A117&amp;"ENTRADA",Movimientos!$R$2:$R$1993,0)),"-")</f>
        <v>-</v>
      </c>
      <c r="F117" s="2" t="str">
        <f>IFERROR(INDEX(Movimientos!$G$2:$G$1993,MATCH(A117&amp;"ENTRADA",Movimientos!$R$2:$R$1993,0)),"-")</f>
        <v>-</v>
      </c>
      <c r="G117" s="2" t="str">
        <f>IFERROR(INDEX(Movimientos!$L$2:$L$1993,MATCH(A117&amp;"ENTRADA",Movimientos!$R$2:$R$1993,0)),"-")</f>
        <v>-</v>
      </c>
      <c r="H117" s="17" t="str">
        <f>IFERROR(IF(INDEX(Movimientos!$M$2:$M$1993,MATCH(A117&amp;"ENTRADA",Movimientos!$R$2:$R$1993,0))=0,"S/D",INDEX(Movimientos!$M$2:$M$1993,MATCH(A117&amp;"ENTRADA",Movimientos!$R$2:$R$1993,0))),"S/D")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2458</v>
      </c>
      <c r="B118" s="2" t="str">
        <f>IFERROR(INDEX(Movimientos!$C$2:$C$1993,MATCH(A118&amp;"ENTRADA",Movimientos!$R$2:$R$1993,0)),"-")</f>
        <v>-</v>
      </c>
      <c r="C118" s="2" t="str">
        <f>IFERROR(INDEX(Movimientos!$D$2:$D$1993,MATCH(A118&amp;"ENTRADA",Movimientos!$R$2:$R$1993,0)),"-")</f>
        <v>-</v>
      </c>
      <c r="D118" s="2" t="str">
        <f>IFERROR(INDEX(Movimientos!$E$2:$E$1993,MATCH(A118&amp;"ENTRADA",Movimientos!$R$2:$R$1993,0)),"-")</f>
        <v>-</v>
      </c>
      <c r="E118" s="2" t="str">
        <f>IFERROR(INDEX(Movimientos!$F$2:$F$1993,MATCH(A118&amp;"ENTRADA",Movimientos!$R$2:$R$1993,0)),"-")</f>
        <v>-</v>
      </c>
      <c r="F118" s="2" t="str">
        <f>IFERROR(INDEX(Movimientos!$G$2:$G$1993,MATCH(A118&amp;"ENTRADA",Movimientos!$R$2:$R$1993,0)),"-")</f>
        <v>-</v>
      </c>
      <c r="G118" s="2" t="str">
        <f>IFERROR(INDEX(Movimientos!$L$2:$L$1993,MATCH(A118&amp;"ENTRADA",Movimientos!$R$2:$R$1993,0)),"-")</f>
        <v>-</v>
      </c>
      <c r="H118" s="17" t="str">
        <f>IFERROR(IF(INDEX(Movimientos!$M$2:$M$1993,MATCH(A118&amp;"ENTRADA",Movimientos!$R$2:$R$1993,0))=0,"S/D",INDEX(Movimientos!$M$2:$M$1993,MATCH(A118&amp;"ENTRADA",Movimientos!$R$2:$R$1993,0))),"S/D")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2459</v>
      </c>
      <c r="B119" s="2" t="str">
        <f>IFERROR(INDEX(Movimientos!$C$2:$C$1993,MATCH(A119&amp;"ENTRADA",Movimientos!$R$2:$R$1993,0)),"-")</f>
        <v>-</v>
      </c>
      <c r="C119" s="2" t="str">
        <f>IFERROR(INDEX(Movimientos!$D$2:$D$1993,MATCH(A119&amp;"ENTRADA",Movimientos!$R$2:$R$1993,0)),"-")</f>
        <v>-</v>
      </c>
      <c r="D119" s="2" t="str">
        <f>IFERROR(INDEX(Movimientos!$E$2:$E$1993,MATCH(A119&amp;"ENTRADA",Movimientos!$R$2:$R$1993,0)),"-")</f>
        <v>-</v>
      </c>
      <c r="E119" s="2" t="str">
        <f>IFERROR(INDEX(Movimientos!$F$2:$F$1993,MATCH(A119&amp;"ENTRADA",Movimientos!$R$2:$R$1993,0)),"-")</f>
        <v>-</v>
      </c>
      <c r="F119" s="2" t="str">
        <f>IFERROR(INDEX(Movimientos!$G$2:$G$1993,MATCH(A119&amp;"ENTRADA",Movimientos!$R$2:$R$1993,0)),"-")</f>
        <v>-</v>
      </c>
      <c r="G119" s="2" t="str">
        <f>IFERROR(INDEX(Movimientos!$L$2:$L$1993,MATCH(A119&amp;"ENTRADA",Movimientos!$R$2:$R$1993,0)),"-")</f>
        <v>-</v>
      </c>
      <c r="H119" s="17" t="str">
        <f>IFERROR(IF(INDEX(Movimientos!$M$2:$M$1993,MATCH(A119&amp;"ENTRADA",Movimientos!$R$2:$R$1993,0))=0,"S/D",INDEX(Movimientos!$M$2:$M$1993,MATCH(A119&amp;"ENTRADA",Movimientos!$R$2:$R$1993,0))),"S/D")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2460</v>
      </c>
      <c r="B120" s="2" t="str">
        <f>IFERROR(INDEX(Movimientos!$C$2:$C$1993,MATCH(A120&amp;"ENTRADA",Movimientos!$R$2:$R$1993,0)),"-")</f>
        <v>-</v>
      </c>
      <c r="C120" s="2" t="str">
        <f>IFERROR(INDEX(Movimientos!$D$2:$D$1993,MATCH(A120&amp;"ENTRADA",Movimientos!$R$2:$R$1993,0)),"-")</f>
        <v>-</v>
      </c>
      <c r="D120" s="2" t="str">
        <f>IFERROR(INDEX(Movimientos!$E$2:$E$1993,MATCH(A120&amp;"ENTRADA",Movimientos!$R$2:$R$1993,0)),"-")</f>
        <v>-</v>
      </c>
      <c r="E120" s="2" t="str">
        <f>IFERROR(INDEX(Movimientos!$F$2:$F$1993,MATCH(A120&amp;"ENTRADA",Movimientos!$R$2:$R$1993,0)),"-")</f>
        <v>-</v>
      </c>
      <c r="F120" s="2" t="str">
        <f>IFERROR(INDEX(Movimientos!$G$2:$G$1993,MATCH(A120&amp;"ENTRADA",Movimientos!$R$2:$R$1993,0)),"-")</f>
        <v>-</v>
      </c>
      <c r="G120" s="2" t="str">
        <f>IFERROR(INDEX(Movimientos!$L$2:$L$1993,MATCH(A120&amp;"ENTRADA",Movimientos!$R$2:$R$1993,0)),"-")</f>
        <v>-</v>
      </c>
      <c r="H120" s="17" t="str">
        <f>IFERROR(IF(INDEX(Movimientos!$M$2:$M$1993,MATCH(A120&amp;"ENTRADA",Movimientos!$R$2:$R$1993,0))=0,"S/D",INDEX(Movimientos!$M$2:$M$1993,MATCH(A120&amp;"ENTRADA",Movimientos!$R$2:$R$1993,0))),"S/D")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2461</v>
      </c>
      <c r="B121" s="2" t="str">
        <f>IFERROR(INDEX(Movimientos!$C$2:$C$1993,MATCH(A121&amp;"ENTRADA",Movimientos!$R$2:$R$1993,0)),"-")</f>
        <v>-</v>
      </c>
      <c r="C121" s="2" t="str">
        <f>IFERROR(INDEX(Movimientos!$D$2:$D$1993,MATCH(A121&amp;"ENTRADA",Movimientos!$R$2:$R$1993,0)),"-")</f>
        <v>-</v>
      </c>
      <c r="D121" s="2" t="str">
        <f>IFERROR(INDEX(Movimientos!$E$2:$E$1993,MATCH(A121&amp;"ENTRADA",Movimientos!$R$2:$R$1993,0)),"-")</f>
        <v>-</v>
      </c>
      <c r="E121" s="2" t="str">
        <f>IFERROR(INDEX(Movimientos!$F$2:$F$1993,MATCH(A121&amp;"ENTRADA",Movimientos!$R$2:$R$1993,0)),"-")</f>
        <v>-</v>
      </c>
      <c r="F121" s="2" t="str">
        <f>IFERROR(INDEX(Movimientos!$G$2:$G$1993,MATCH(A121&amp;"ENTRADA",Movimientos!$R$2:$R$1993,0)),"-")</f>
        <v>-</v>
      </c>
      <c r="G121" s="2" t="str">
        <f>IFERROR(INDEX(Movimientos!$L$2:$L$1993,MATCH(A121&amp;"ENTRADA",Movimientos!$R$2:$R$1993,0)),"-")</f>
        <v>-</v>
      </c>
      <c r="H121" s="17" t="str">
        <f>IFERROR(IF(INDEX(Movimientos!$M$2:$M$1993,MATCH(A121&amp;"ENTRADA",Movimientos!$R$2:$R$1993,0))=0,"S/D",INDEX(Movimientos!$M$2:$M$1993,MATCH(A121&amp;"ENTRADA",Movimientos!$R$2:$R$1993,0))),"S/D")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2462</v>
      </c>
      <c r="B122" s="2" t="str">
        <f>IFERROR(INDEX(Movimientos!$C$2:$C$1993,MATCH(A122&amp;"ENTRADA",Movimientos!$R$2:$R$1993,0)),"-")</f>
        <v>-</v>
      </c>
      <c r="C122" s="2" t="str">
        <f>IFERROR(INDEX(Movimientos!$D$2:$D$1993,MATCH(A122&amp;"ENTRADA",Movimientos!$R$2:$R$1993,0)),"-")</f>
        <v>-</v>
      </c>
      <c r="D122" s="2" t="str">
        <f>IFERROR(INDEX(Movimientos!$E$2:$E$1993,MATCH(A122&amp;"ENTRADA",Movimientos!$R$2:$R$1993,0)),"-")</f>
        <v>-</v>
      </c>
      <c r="E122" s="2" t="str">
        <f>IFERROR(INDEX(Movimientos!$F$2:$F$1993,MATCH(A122&amp;"ENTRADA",Movimientos!$R$2:$R$1993,0)),"-")</f>
        <v>-</v>
      </c>
      <c r="F122" s="2" t="str">
        <f>IFERROR(INDEX(Movimientos!$G$2:$G$1993,MATCH(A122&amp;"ENTRADA",Movimientos!$R$2:$R$1993,0)),"-")</f>
        <v>-</v>
      </c>
      <c r="G122" s="2" t="str">
        <f>IFERROR(INDEX(Movimientos!$L$2:$L$1993,MATCH(A122&amp;"ENTRADA",Movimientos!$R$2:$R$1993,0)),"-")</f>
        <v>-</v>
      </c>
      <c r="H122" s="17" t="str">
        <f>IFERROR(IF(INDEX(Movimientos!$M$2:$M$1993,MATCH(A122&amp;"ENTRADA",Movimientos!$R$2:$R$1993,0))=0,"S/D",INDEX(Movimientos!$M$2:$M$1993,MATCH(A122&amp;"ENTRADA",Movimientos!$R$2:$R$1993,0))),"S/D")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2463</v>
      </c>
      <c r="B123" s="2" t="str">
        <f>IFERROR(INDEX(Movimientos!$C$2:$C$1993,MATCH(A123&amp;"ENTRADA",Movimientos!$R$2:$R$1993,0)),"-")</f>
        <v>-</v>
      </c>
      <c r="C123" s="2" t="str">
        <f>IFERROR(INDEX(Movimientos!$D$2:$D$1993,MATCH(A123&amp;"ENTRADA",Movimientos!$R$2:$R$1993,0)),"-")</f>
        <v>-</v>
      </c>
      <c r="D123" s="2" t="str">
        <f>IFERROR(INDEX(Movimientos!$E$2:$E$1993,MATCH(A123&amp;"ENTRADA",Movimientos!$R$2:$R$1993,0)),"-")</f>
        <v>-</v>
      </c>
      <c r="E123" s="2" t="str">
        <f>IFERROR(INDEX(Movimientos!$F$2:$F$1993,MATCH(A123&amp;"ENTRADA",Movimientos!$R$2:$R$1993,0)),"-")</f>
        <v>-</v>
      </c>
      <c r="F123" s="2" t="str">
        <f>IFERROR(INDEX(Movimientos!$G$2:$G$1993,MATCH(A123&amp;"ENTRADA",Movimientos!$R$2:$R$1993,0)),"-")</f>
        <v>-</v>
      </c>
      <c r="G123" s="2" t="str">
        <f>IFERROR(INDEX(Movimientos!$L$2:$L$1993,MATCH(A123&amp;"ENTRADA",Movimientos!$R$2:$R$1993,0)),"-")</f>
        <v>-</v>
      </c>
      <c r="H123" s="17" t="str">
        <f>IFERROR(IF(INDEX(Movimientos!$M$2:$M$1993,MATCH(A123&amp;"ENTRADA",Movimientos!$R$2:$R$1993,0))=0,"S/D",INDEX(Movimientos!$M$2:$M$1993,MATCH(A123&amp;"ENTRADA",Movimientos!$R$2:$R$1993,0))),"S/D")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2464</v>
      </c>
      <c r="B124" s="2" t="str">
        <f>IFERROR(INDEX(Movimientos!$C$2:$C$1993,MATCH(A124&amp;"ENTRADA",Movimientos!$R$2:$R$1993,0)),"-")</f>
        <v>-</v>
      </c>
      <c r="C124" s="2" t="str">
        <f>IFERROR(INDEX(Movimientos!$D$2:$D$1993,MATCH(A124&amp;"ENTRADA",Movimientos!$R$2:$R$1993,0)),"-")</f>
        <v>-</v>
      </c>
      <c r="D124" s="2" t="str">
        <f>IFERROR(INDEX(Movimientos!$E$2:$E$1993,MATCH(A124&amp;"ENTRADA",Movimientos!$R$2:$R$1993,0)),"-")</f>
        <v>-</v>
      </c>
      <c r="E124" s="2" t="str">
        <f>IFERROR(INDEX(Movimientos!$F$2:$F$1993,MATCH(A124&amp;"ENTRADA",Movimientos!$R$2:$R$1993,0)),"-")</f>
        <v>-</v>
      </c>
      <c r="F124" s="2" t="str">
        <f>IFERROR(INDEX(Movimientos!$G$2:$G$1993,MATCH(A124&amp;"ENTRADA",Movimientos!$R$2:$R$1993,0)),"-")</f>
        <v>-</v>
      </c>
      <c r="G124" s="2" t="str">
        <f>IFERROR(INDEX(Movimientos!$L$2:$L$1993,MATCH(A124&amp;"ENTRADA",Movimientos!$R$2:$R$1993,0)),"-")</f>
        <v>-</v>
      </c>
      <c r="H124" s="17" t="str">
        <f>IFERROR(IF(INDEX(Movimientos!$M$2:$M$1993,MATCH(A124&amp;"ENTRADA",Movimientos!$R$2:$R$1993,0))=0,"S/D",INDEX(Movimientos!$M$2:$M$1993,MATCH(A124&amp;"ENTRADA",Movimientos!$R$2:$R$1993,0))),"S/D")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2465</v>
      </c>
      <c r="B125" s="2" t="str">
        <f>IFERROR(INDEX(Movimientos!$C$2:$C$1993,MATCH(A125&amp;"ENTRADA",Movimientos!$R$2:$R$1993,0)),"-")</f>
        <v>-</v>
      </c>
      <c r="C125" s="2" t="str">
        <f>IFERROR(INDEX(Movimientos!$D$2:$D$1993,MATCH(A125&amp;"ENTRADA",Movimientos!$R$2:$R$1993,0)),"-")</f>
        <v>-</v>
      </c>
      <c r="D125" s="2" t="str">
        <f>IFERROR(INDEX(Movimientos!$E$2:$E$1993,MATCH(A125&amp;"ENTRADA",Movimientos!$R$2:$R$1993,0)),"-")</f>
        <v>-</v>
      </c>
      <c r="E125" s="2" t="str">
        <f>IFERROR(INDEX(Movimientos!$F$2:$F$1993,MATCH(A125&amp;"ENTRADA",Movimientos!$R$2:$R$1993,0)),"-")</f>
        <v>-</v>
      </c>
      <c r="F125" s="2" t="str">
        <f>IFERROR(INDEX(Movimientos!$G$2:$G$1993,MATCH(A125&amp;"ENTRADA",Movimientos!$R$2:$R$1993,0)),"-")</f>
        <v>-</v>
      </c>
      <c r="G125" s="2" t="str">
        <f>IFERROR(INDEX(Movimientos!$L$2:$L$1993,MATCH(A125&amp;"ENTRADA",Movimientos!$R$2:$R$1993,0)),"-")</f>
        <v>-</v>
      </c>
      <c r="H125" s="17" t="str">
        <f>IFERROR(IF(INDEX(Movimientos!$M$2:$M$1993,MATCH(A125&amp;"ENTRADA",Movimientos!$R$2:$R$1993,0))=0,"S/D",INDEX(Movimientos!$M$2:$M$1993,MATCH(A125&amp;"ENTRADA",Movimientos!$R$2:$R$1993,0))),"S/D")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2466</v>
      </c>
      <c r="B126" s="2" t="str">
        <f>IFERROR(INDEX(Movimientos!$C$2:$C$1993,MATCH(A126&amp;"ENTRADA",Movimientos!$R$2:$R$1993,0)),"-")</f>
        <v>-</v>
      </c>
      <c r="C126" s="2" t="str">
        <f>IFERROR(INDEX(Movimientos!$D$2:$D$1993,MATCH(A126&amp;"ENTRADA",Movimientos!$R$2:$R$1993,0)),"-")</f>
        <v>-</v>
      </c>
      <c r="D126" s="2" t="str">
        <f>IFERROR(INDEX(Movimientos!$E$2:$E$1993,MATCH(A126&amp;"ENTRADA",Movimientos!$R$2:$R$1993,0)),"-")</f>
        <v>-</v>
      </c>
      <c r="E126" s="2" t="str">
        <f>IFERROR(INDEX(Movimientos!$F$2:$F$1993,MATCH(A126&amp;"ENTRADA",Movimientos!$R$2:$R$1993,0)),"-")</f>
        <v>-</v>
      </c>
      <c r="F126" s="2" t="str">
        <f>IFERROR(INDEX(Movimientos!$G$2:$G$1993,MATCH(A126&amp;"ENTRADA",Movimientos!$R$2:$R$1993,0)),"-")</f>
        <v>-</v>
      </c>
      <c r="G126" s="2" t="str">
        <f>IFERROR(INDEX(Movimientos!$L$2:$L$1993,MATCH(A126&amp;"ENTRADA",Movimientos!$R$2:$R$1993,0)),"-")</f>
        <v>-</v>
      </c>
      <c r="H126" s="17" t="str">
        <f>IFERROR(IF(INDEX(Movimientos!$M$2:$M$1993,MATCH(A126&amp;"ENTRADA",Movimientos!$R$2:$R$1993,0))=0,"S/D",INDEX(Movimientos!$M$2:$M$1993,MATCH(A126&amp;"ENTRADA",Movimientos!$R$2:$R$1993,0))),"S/D")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2467</v>
      </c>
      <c r="B127" s="2" t="str">
        <f>IFERROR(INDEX(Movimientos!$C$2:$C$1993,MATCH(A127&amp;"ENTRADA",Movimientos!$R$2:$R$1993,0)),"-")</f>
        <v>-</v>
      </c>
      <c r="C127" s="2" t="str">
        <f>IFERROR(INDEX(Movimientos!$D$2:$D$1993,MATCH(A127&amp;"ENTRADA",Movimientos!$R$2:$R$1993,0)),"-")</f>
        <v>-</v>
      </c>
      <c r="D127" s="2" t="str">
        <f>IFERROR(INDEX(Movimientos!$E$2:$E$1993,MATCH(A127&amp;"ENTRADA",Movimientos!$R$2:$R$1993,0)),"-")</f>
        <v>-</v>
      </c>
      <c r="E127" s="2" t="str">
        <f>IFERROR(INDEX(Movimientos!$F$2:$F$1993,MATCH(A127&amp;"ENTRADA",Movimientos!$R$2:$R$1993,0)),"-")</f>
        <v>-</v>
      </c>
      <c r="F127" s="2" t="str">
        <f>IFERROR(INDEX(Movimientos!$G$2:$G$1993,MATCH(A127&amp;"ENTRADA",Movimientos!$R$2:$R$1993,0)),"-")</f>
        <v>-</v>
      </c>
      <c r="G127" s="2" t="str">
        <f>IFERROR(INDEX(Movimientos!$L$2:$L$1993,MATCH(A127&amp;"ENTRADA",Movimientos!$R$2:$R$1993,0)),"-")</f>
        <v>-</v>
      </c>
      <c r="H127" s="17" t="str">
        <f>IFERROR(IF(INDEX(Movimientos!$M$2:$M$1993,MATCH(A127&amp;"ENTRADA",Movimientos!$R$2:$R$1993,0))=0,"S/D",INDEX(Movimientos!$M$2:$M$1993,MATCH(A127&amp;"ENTRADA",Movimientos!$R$2:$R$1993,0))),"S/D")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2468</v>
      </c>
      <c r="B128" s="2" t="str">
        <f>IFERROR(INDEX(Movimientos!$C$2:$C$1993,MATCH(A128&amp;"ENTRADA",Movimientos!$R$2:$R$1993,0)),"-")</f>
        <v>-</v>
      </c>
      <c r="C128" s="2" t="str">
        <f>IFERROR(INDEX(Movimientos!$D$2:$D$1993,MATCH(A128&amp;"ENTRADA",Movimientos!$R$2:$R$1993,0)),"-")</f>
        <v>-</v>
      </c>
      <c r="D128" s="2" t="str">
        <f>IFERROR(INDEX(Movimientos!$E$2:$E$1993,MATCH(A128&amp;"ENTRADA",Movimientos!$R$2:$R$1993,0)),"-")</f>
        <v>-</v>
      </c>
      <c r="E128" s="2" t="str">
        <f>IFERROR(INDEX(Movimientos!$F$2:$F$1993,MATCH(A128&amp;"ENTRADA",Movimientos!$R$2:$R$1993,0)),"-")</f>
        <v>-</v>
      </c>
      <c r="F128" s="2" t="str">
        <f>IFERROR(INDEX(Movimientos!$G$2:$G$1993,MATCH(A128&amp;"ENTRADA",Movimientos!$R$2:$R$1993,0)),"-")</f>
        <v>-</v>
      </c>
      <c r="G128" s="2" t="str">
        <f>IFERROR(INDEX(Movimientos!$L$2:$L$1993,MATCH(A128&amp;"ENTRADA",Movimientos!$R$2:$R$1993,0)),"-")</f>
        <v>-</v>
      </c>
      <c r="H128" s="17" t="str">
        <f>IFERROR(IF(INDEX(Movimientos!$M$2:$M$1993,MATCH(A128&amp;"ENTRADA",Movimientos!$R$2:$R$1993,0))=0,"S/D",INDEX(Movimientos!$M$2:$M$1993,MATCH(A128&amp;"ENTRADA",Movimientos!$R$2:$R$1993,0))),"S/D")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2469</v>
      </c>
      <c r="B129" s="2" t="str">
        <f>IFERROR(INDEX(Movimientos!$C$2:$C$1993,MATCH(A129&amp;"ENTRADA",Movimientos!$R$2:$R$1993,0)),"-")</f>
        <v>-</v>
      </c>
      <c r="C129" s="2" t="str">
        <f>IFERROR(INDEX(Movimientos!$D$2:$D$1993,MATCH(A129&amp;"ENTRADA",Movimientos!$R$2:$R$1993,0)),"-")</f>
        <v>-</v>
      </c>
      <c r="D129" s="2" t="str">
        <f>IFERROR(INDEX(Movimientos!$E$2:$E$1993,MATCH(A129&amp;"ENTRADA",Movimientos!$R$2:$R$1993,0)),"-")</f>
        <v>-</v>
      </c>
      <c r="E129" s="2" t="str">
        <f>IFERROR(INDEX(Movimientos!$F$2:$F$1993,MATCH(A129&amp;"ENTRADA",Movimientos!$R$2:$R$1993,0)),"-")</f>
        <v>-</v>
      </c>
      <c r="F129" s="2" t="str">
        <f>IFERROR(INDEX(Movimientos!$G$2:$G$1993,MATCH(A129&amp;"ENTRADA",Movimientos!$R$2:$R$1993,0)),"-")</f>
        <v>-</v>
      </c>
      <c r="G129" s="2" t="str">
        <f>IFERROR(INDEX(Movimientos!$L$2:$L$1993,MATCH(A129&amp;"ENTRADA",Movimientos!$R$2:$R$1993,0)),"-")</f>
        <v>-</v>
      </c>
      <c r="H129" s="17" t="str">
        <f>IFERROR(IF(INDEX(Movimientos!$M$2:$M$1993,MATCH(A129&amp;"ENTRADA",Movimientos!$R$2:$R$1993,0))=0,"S/D",INDEX(Movimientos!$M$2:$M$1993,MATCH(A129&amp;"ENTRADA",Movimientos!$R$2:$R$1993,0))),"S/D")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2470</v>
      </c>
      <c r="B130" s="2" t="str">
        <f>IFERROR(INDEX(Movimientos!$C$2:$C$1993,MATCH(A130&amp;"ENTRADA",Movimientos!$R$2:$R$1993,0)),"-")</f>
        <v>-</v>
      </c>
      <c r="C130" s="2" t="str">
        <f>IFERROR(INDEX(Movimientos!$D$2:$D$1993,MATCH(A130&amp;"ENTRADA",Movimientos!$R$2:$R$1993,0)),"-")</f>
        <v>-</v>
      </c>
      <c r="D130" s="2" t="str">
        <f>IFERROR(INDEX(Movimientos!$E$2:$E$1993,MATCH(A130&amp;"ENTRADA",Movimientos!$R$2:$R$1993,0)),"-")</f>
        <v>-</v>
      </c>
      <c r="E130" s="2" t="str">
        <f>IFERROR(INDEX(Movimientos!$F$2:$F$1993,MATCH(A130&amp;"ENTRADA",Movimientos!$R$2:$R$1993,0)),"-")</f>
        <v>-</v>
      </c>
      <c r="F130" s="2" t="str">
        <f>IFERROR(INDEX(Movimientos!$G$2:$G$1993,MATCH(A130&amp;"ENTRADA",Movimientos!$R$2:$R$1993,0)),"-")</f>
        <v>-</v>
      </c>
      <c r="G130" s="2" t="str">
        <f>IFERROR(INDEX(Movimientos!$L$2:$L$1993,MATCH(A130&amp;"ENTRADA",Movimientos!$R$2:$R$1993,0)),"-")</f>
        <v>-</v>
      </c>
      <c r="H130" s="17" t="str">
        <f>IFERROR(IF(INDEX(Movimientos!$M$2:$M$1993,MATCH(A130&amp;"ENTRADA",Movimientos!$R$2:$R$1993,0))=0,"S/D",INDEX(Movimientos!$M$2:$M$1993,MATCH(A130&amp;"ENTRADA",Movimientos!$R$2:$R$1993,0))),"S/D")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2471</v>
      </c>
      <c r="B131" s="2" t="str">
        <f>IFERROR(INDEX(Movimientos!$C$2:$C$1993,MATCH(A131&amp;"ENTRADA",Movimientos!$R$2:$R$1993,0)),"-")</f>
        <v>-</v>
      </c>
      <c r="C131" s="2" t="str">
        <f>IFERROR(INDEX(Movimientos!$D$2:$D$1993,MATCH(A131&amp;"ENTRADA",Movimientos!$R$2:$R$1993,0)),"-")</f>
        <v>-</v>
      </c>
      <c r="D131" s="2" t="str">
        <f>IFERROR(INDEX(Movimientos!$E$2:$E$1993,MATCH(A131&amp;"ENTRADA",Movimientos!$R$2:$R$1993,0)),"-")</f>
        <v>-</v>
      </c>
      <c r="E131" s="2" t="str">
        <f>IFERROR(INDEX(Movimientos!$F$2:$F$1993,MATCH(A131&amp;"ENTRADA",Movimientos!$R$2:$R$1993,0)),"-")</f>
        <v>-</v>
      </c>
      <c r="F131" s="2" t="str">
        <f>IFERROR(INDEX(Movimientos!$G$2:$G$1993,MATCH(A131&amp;"ENTRADA",Movimientos!$R$2:$R$1993,0)),"-")</f>
        <v>-</v>
      </c>
      <c r="G131" s="2" t="str">
        <f>IFERROR(INDEX(Movimientos!$L$2:$L$1993,MATCH(A131&amp;"ENTRADA",Movimientos!$R$2:$R$1993,0)),"-")</f>
        <v>-</v>
      </c>
      <c r="H131" s="17" t="str">
        <f>IFERROR(IF(INDEX(Movimientos!$M$2:$M$1993,MATCH(A131&amp;"ENTRADA",Movimientos!$R$2:$R$1993,0))=0,"S/D",INDEX(Movimientos!$M$2:$M$1993,MATCH(A131&amp;"ENTRADA",Movimientos!$R$2:$R$1993,0))),"S/D")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2472</v>
      </c>
      <c r="B132" s="2" t="str">
        <f>IFERROR(INDEX(Movimientos!$C$2:$C$1993,MATCH(A132&amp;"ENTRADA",Movimientos!$R$2:$R$1993,0)),"-")</f>
        <v>-</v>
      </c>
      <c r="C132" s="2" t="str">
        <f>IFERROR(INDEX(Movimientos!$D$2:$D$1993,MATCH(A132&amp;"ENTRADA",Movimientos!$R$2:$R$1993,0)),"-")</f>
        <v>-</v>
      </c>
      <c r="D132" s="2" t="str">
        <f>IFERROR(INDEX(Movimientos!$E$2:$E$1993,MATCH(A132&amp;"ENTRADA",Movimientos!$R$2:$R$1993,0)),"-")</f>
        <v>-</v>
      </c>
      <c r="E132" s="2" t="str">
        <f>IFERROR(INDEX(Movimientos!$F$2:$F$1993,MATCH(A132&amp;"ENTRADA",Movimientos!$R$2:$R$1993,0)),"-")</f>
        <v>-</v>
      </c>
      <c r="F132" s="2" t="str">
        <f>IFERROR(INDEX(Movimientos!$G$2:$G$1993,MATCH(A132&amp;"ENTRADA",Movimientos!$R$2:$R$1993,0)),"-")</f>
        <v>-</v>
      </c>
      <c r="G132" s="2" t="str">
        <f>IFERROR(INDEX(Movimientos!$L$2:$L$1993,MATCH(A132&amp;"ENTRADA",Movimientos!$R$2:$R$1993,0)),"-")</f>
        <v>-</v>
      </c>
      <c r="H132" s="17" t="str">
        <f>IFERROR(IF(INDEX(Movimientos!$M$2:$M$1993,MATCH(A132&amp;"ENTRADA",Movimientos!$R$2:$R$1993,0))=0,"S/D",INDEX(Movimientos!$M$2:$M$1993,MATCH(A132&amp;"ENTRADA",Movimientos!$R$2:$R$1993,0))),"S/D")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2473</v>
      </c>
      <c r="B133" s="2" t="str">
        <f>IFERROR(INDEX(Movimientos!$C$2:$C$1993,MATCH(A133&amp;"ENTRADA",Movimientos!$R$2:$R$1993,0)),"-")</f>
        <v>-</v>
      </c>
      <c r="C133" s="2" t="str">
        <f>IFERROR(INDEX(Movimientos!$D$2:$D$1993,MATCH(A133&amp;"ENTRADA",Movimientos!$R$2:$R$1993,0)),"-")</f>
        <v>-</v>
      </c>
      <c r="D133" s="2" t="str">
        <f>IFERROR(INDEX(Movimientos!$E$2:$E$1993,MATCH(A133&amp;"ENTRADA",Movimientos!$R$2:$R$1993,0)),"-")</f>
        <v>-</v>
      </c>
      <c r="E133" s="2" t="str">
        <f>IFERROR(INDEX(Movimientos!$F$2:$F$1993,MATCH(A133&amp;"ENTRADA",Movimientos!$R$2:$R$1993,0)),"-")</f>
        <v>-</v>
      </c>
      <c r="F133" s="2" t="str">
        <f>IFERROR(INDEX(Movimientos!$G$2:$G$1993,MATCH(A133&amp;"ENTRADA",Movimientos!$R$2:$R$1993,0)),"-")</f>
        <v>-</v>
      </c>
      <c r="G133" s="2" t="str">
        <f>IFERROR(INDEX(Movimientos!$L$2:$L$1993,MATCH(A133&amp;"ENTRADA",Movimientos!$R$2:$R$1993,0)),"-")</f>
        <v>-</v>
      </c>
      <c r="H133" s="17" t="str">
        <f>IFERROR(IF(INDEX(Movimientos!$M$2:$M$1993,MATCH(A133&amp;"ENTRADA",Movimientos!$R$2:$R$1993,0))=0,"S/D",INDEX(Movimientos!$M$2:$M$1993,MATCH(A133&amp;"ENTRADA",Movimientos!$R$2:$R$1993,0))),"S/D")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2474</v>
      </c>
      <c r="B134" s="2" t="str">
        <f>IFERROR(INDEX(Movimientos!$C$2:$C$1993,MATCH(A134&amp;"ENTRADA",Movimientos!$R$2:$R$1993,0)),"-")</f>
        <v>-</v>
      </c>
      <c r="C134" s="2" t="str">
        <f>IFERROR(INDEX(Movimientos!$D$2:$D$1993,MATCH(A134&amp;"ENTRADA",Movimientos!$R$2:$R$1993,0)),"-")</f>
        <v>-</v>
      </c>
      <c r="D134" s="2" t="str">
        <f>IFERROR(INDEX(Movimientos!$E$2:$E$1993,MATCH(A134&amp;"ENTRADA",Movimientos!$R$2:$R$1993,0)),"-")</f>
        <v>-</v>
      </c>
      <c r="E134" s="2" t="str">
        <f>IFERROR(INDEX(Movimientos!$F$2:$F$1993,MATCH(A134&amp;"ENTRADA",Movimientos!$R$2:$R$1993,0)),"-")</f>
        <v>-</v>
      </c>
      <c r="F134" s="2" t="str">
        <f>IFERROR(INDEX(Movimientos!$G$2:$G$1993,MATCH(A134&amp;"ENTRADA",Movimientos!$R$2:$R$1993,0)),"-")</f>
        <v>-</v>
      </c>
      <c r="G134" s="2" t="str">
        <f>IFERROR(INDEX(Movimientos!$L$2:$L$1993,MATCH(A134&amp;"ENTRADA",Movimientos!$R$2:$R$1993,0)),"-")</f>
        <v>-</v>
      </c>
      <c r="H134" s="17" t="str">
        <f>IFERROR(IF(INDEX(Movimientos!$M$2:$M$1993,MATCH(A134&amp;"ENTRADA",Movimientos!$R$2:$R$1993,0))=0,"S/D",INDEX(Movimientos!$M$2:$M$1993,MATCH(A134&amp;"ENTRADA",Movimientos!$R$2:$R$1993,0))),"S/D")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2475</v>
      </c>
      <c r="B135" s="2" t="str">
        <f>IFERROR(INDEX(Movimientos!$C$2:$C$1993,MATCH(A135&amp;"ENTRADA",Movimientos!$R$2:$R$1993,0)),"-")</f>
        <v>-</v>
      </c>
      <c r="C135" s="2" t="str">
        <f>IFERROR(INDEX(Movimientos!$D$2:$D$1993,MATCH(A135&amp;"ENTRADA",Movimientos!$R$2:$R$1993,0)),"-")</f>
        <v>-</v>
      </c>
      <c r="D135" s="2" t="str">
        <f>IFERROR(INDEX(Movimientos!$E$2:$E$1993,MATCH(A135&amp;"ENTRADA",Movimientos!$R$2:$R$1993,0)),"-")</f>
        <v>-</v>
      </c>
      <c r="E135" s="2" t="str">
        <f>IFERROR(INDEX(Movimientos!$F$2:$F$1993,MATCH(A135&amp;"ENTRADA",Movimientos!$R$2:$R$1993,0)),"-")</f>
        <v>-</v>
      </c>
      <c r="F135" s="2" t="str">
        <f>IFERROR(INDEX(Movimientos!$G$2:$G$1993,MATCH(A135&amp;"ENTRADA",Movimientos!$R$2:$R$1993,0)),"-")</f>
        <v>-</v>
      </c>
      <c r="G135" s="2" t="str">
        <f>IFERROR(INDEX(Movimientos!$L$2:$L$1993,MATCH(A135&amp;"ENTRADA",Movimientos!$R$2:$R$1993,0)),"-")</f>
        <v>-</v>
      </c>
      <c r="H135" s="17" t="str">
        <f>IFERROR(IF(INDEX(Movimientos!$M$2:$M$1993,MATCH(A135&amp;"ENTRADA",Movimientos!$R$2:$R$1993,0))=0,"S/D",INDEX(Movimientos!$M$2:$M$1993,MATCH(A135&amp;"ENTRADA",Movimientos!$R$2:$R$1993,0))),"S/D")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2476</v>
      </c>
      <c r="B136" s="2" t="str">
        <f>IFERROR(INDEX(Movimientos!$C$2:$C$1993,MATCH(A136&amp;"ENTRADA",Movimientos!$R$2:$R$1993,0)),"-")</f>
        <v>-</v>
      </c>
      <c r="C136" s="2" t="str">
        <f>IFERROR(INDEX(Movimientos!$D$2:$D$1993,MATCH(A136&amp;"ENTRADA",Movimientos!$R$2:$R$1993,0)),"-")</f>
        <v>-</v>
      </c>
      <c r="D136" s="2" t="str">
        <f>IFERROR(INDEX(Movimientos!$E$2:$E$1993,MATCH(A136&amp;"ENTRADA",Movimientos!$R$2:$R$1993,0)),"-")</f>
        <v>-</v>
      </c>
      <c r="E136" s="2" t="str">
        <f>IFERROR(INDEX(Movimientos!$F$2:$F$1993,MATCH(A136&amp;"ENTRADA",Movimientos!$R$2:$R$1993,0)),"-")</f>
        <v>-</v>
      </c>
      <c r="F136" s="2" t="str">
        <f>IFERROR(INDEX(Movimientos!$G$2:$G$1993,MATCH(A136&amp;"ENTRADA",Movimientos!$R$2:$R$1993,0)),"-")</f>
        <v>-</v>
      </c>
      <c r="G136" s="2" t="str">
        <f>IFERROR(INDEX(Movimientos!$L$2:$L$1993,MATCH(A136&amp;"ENTRADA",Movimientos!$R$2:$R$1993,0)),"-")</f>
        <v>-</v>
      </c>
      <c r="H136" s="17" t="str">
        <f>IFERROR(IF(INDEX(Movimientos!$M$2:$M$1993,MATCH(A136&amp;"ENTRADA",Movimientos!$R$2:$R$1993,0))=0,"S/D",INDEX(Movimientos!$M$2:$M$1993,MATCH(A136&amp;"ENTRADA",Movimientos!$R$2:$R$1993,0))),"S/D")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2477</v>
      </c>
      <c r="B137" s="2" t="str">
        <f>IFERROR(INDEX(Movimientos!$C$2:$C$1993,MATCH(A137&amp;"ENTRADA",Movimientos!$R$2:$R$1993,0)),"-")</f>
        <v>-</v>
      </c>
      <c r="C137" s="2" t="str">
        <f>IFERROR(INDEX(Movimientos!$D$2:$D$1993,MATCH(A137&amp;"ENTRADA",Movimientos!$R$2:$R$1993,0)),"-")</f>
        <v>-</v>
      </c>
      <c r="D137" s="2" t="str">
        <f>IFERROR(INDEX(Movimientos!$E$2:$E$1993,MATCH(A137&amp;"ENTRADA",Movimientos!$R$2:$R$1993,0)),"-")</f>
        <v>-</v>
      </c>
      <c r="E137" s="2" t="str">
        <f>IFERROR(INDEX(Movimientos!$F$2:$F$1993,MATCH(A137&amp;"ENTRADA",Movimientos!$R$2:$R$1993,0)),"-")</f>
        <v>-</v>
      </c>
      <c r="F137" s="2" t="str">
        <f>IFERROR(INDEX(Movimientos!$G$2:$G$1993,MATCH(A137&amp;"ENTRADA",Movimientos!$R$2:$R$1993,0)),"-")</f>
        <v>-</v>
      </c>
      <c r="G137" s="2" t="str">
        <f>IFERROR(INDEX(Movimientos!$L$2:$L$1993,MATCH(A137&amp;"ENTRADA",Movimientos!$R$2:$R$1993,0)),"-")</f>
        <v>-</v>
      </c>
      <c r="H137" s="17" t="str">
        <f>IFERROR(IF(INDEX(Movimientos!$M$2:$M$1993,MATCH(A137&amp;"ENTRADA",Movimientos!$R$2:$R$1993,0))=0,"S/D",INDEX(Movimientos!$M$2:$M$1993,MATCH(A137&amp;"ENTRADA",Movimientos!$R$2:$R$1993,0))),"S/D")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2478</v>
      </c>
      <c r="B138" s="2" t="str">
        <f>IFERROR(INDEX(Movimientos!$C$2:$C$1993,MATCH(A138&amp;"ENTRADA",Movimientos!$R$2:$R$1993,0)),"-")</f>
        <v>-</v>
      </c>
      <c r="C138" s="2" t="str">
        <f>IFERROR(INDEX(Movimientos!$D$2:$D$1993,MATCH(A138&amp;"ENTRADA",Movimientos!$R$2:$R$1993,0)),"-")</f>
        <v>-</v>
      </c>
      <c r="D138" s="2" t="str">
        <f>IFERROR(INDEX(Movimientos!$E$2:$E$1993,MATCH(A138&amp;"ENTRADA",Movimientos!$R$2:$R$1993,0)),"-")</f>
        <v>-</v>
      </c>
      <c r="E138" s="2" t="str">
        <f>IFERROR(INDEX(Movimientos!$F$2:$F$1993,MATCH(A138&amp;"ENTRADA",Movimientos!$R$2:$R$1993,0)),"-")</f>
        <v>-</v>
      </c>
      <c r="F138" s="2" t="str">
        <f>IFERROR(INDEX(Movimientos!$G$2:$G$1993,MATCH(A138&amp;"ENTRADA",Movimientos!$R$2:$R$1993,0)),"-")</f>
        <v>-</v>
      </c>
      <c r="G138" s="2" t="str">
        <f>IFERROR(INDEX(Movimientos!$L$2:$L$1993,MATCH(A138&amp;"ENTRADA",Movimientos!$R$2:$R$1993,0)),"-")</f>
        <v>-</v>
      </c>
      <c r="H138" s="17" t="str">
        <f>IFERROR(IF(INDEX(Movimientos!$M$2:$M$1993,MATCH(A138&amp;"ENTRADA",Movimientos!$R$2:$R$1993,0))=0,"S/D",INDEX(Movimientos!$M$2:$M$1993,MATCH(A138&amp;"ENTRADA",Movimientos!$R$2:$R$1993,0))),"S/D")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2479</v>
      </c>
      <c r="B139" s="2" t="str">
        <f>IFERROR(INDEX(Movimientos!$C$2:$C$1993,MATCH(A139&amp;"ENTRADA",Movimientos!$R$2:$R$1993,0)),"-")</f>
        <v>-</v>
      </c>
      <c r="C139" s="2" t="str">
        <f>IFERROR(INDEX(Movimientos!$D$2:$D$1993,MATCH(A139&amp;"ENTRADA",Movimientos!$R$2:$R$1993,0)),"-")</f>
        <v>-</v>
      </c>
      <c r="D139" s="2" t="str">
        <f>IFERROR(INDEX(Movimientos!$E$2:$E$1993,MATCH(A139&amp;"ENTRADA",Movimientos!$R$2:$R$1993,0)),"-")</f>
        <v>-</v>
      </c>
      <c r="E139" s="2" t="str">
        <f>IFERROR(INDEX(Movimientos!$F$2:$F$1993,MATCH(A139&amp;"ENTRADA",Movimientos!$R$2:$R$1993,0)),"-")</f>
        <v>-</v>
      </c>
      <c r="F139" s="2" t="str">
        <f>IFERROR(INDEX(Movimientos!$G$2:$G$1993,MATCH(A139&amp;"ENTRADA",Movimientos!$R$2:$R$1993,0)),"-")</f>
        <v>-</v>
      </c>
      <c r="G139" s="2" t="str">
        <f>IFERROR(INDEX(Movimientos!$L$2:$L$1993,MATCH(A139&amp;"ENTRADA",Movimientos!$R$2:$R$1993,0)),"-")</f>
        <v>-</v>
      </c>
      <c r="H139" s="17" t="str">
        <f>IFERROR(IF(INDEX(Movimientos!$M$2:$M$1993,MATCH(A139&amp;"ENTRADA",Movimientos!$R$2:$R$1993,0))=0,"S/D",INDEX(Movimientos!$M$2:$M$1993,MATCH(A139&amp;"ENTRADA",Movimientos!$R$2:$R$1993,0))),"S/D")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2480</v>
      </c>
      <c r="B140" s="2" t="str">
        <f>IFERROR(INDEX(Movimientos!$C$2:$C$1993,MATCH(A140&amp;"ENTRADA",Movimientos!$R$2:$R$1993,0)),"-")</f>
        <v>-</v>
      </c>
      <c r="C140" s="2" t="str">
        <f>IFERROR(INDEX(Movimientos!$D$2:$D$1993,MATCH(A140&amp;"ENTRADA",Movimientos!$R$2:$R$1993,0)),"-")</f>
        <v>-</v>
      </c>
      <c r="D140" s="2" t="str">
        <f>IFERROR(INDEX(Movimientos!$E$2:$E$1993,MATCH(A140&amp;"ENTRADA",Movimientos!$R$2:$R$1993,0)),"-")</f>
        <v>-</v>
      </c>
      <c r="E140" s="2" t="str">
        <f>IFERROR(INDEX(Movimientos!$F$2:$F$1993,MATCH(A140&amp;"ENTRADA",Movimientos!$R$2:$R$1993,0)),"-")</f>
        <v>-</v>
      </c>
      <c r="F140" s="2" t="str">
        <f>IFERROR(INDEX(Movimientos!$G$2:$G$1993,MATCH(A140&amp;"ENTRADA",Movimientos!$R$2:$R$1993,0)),"-")</f>
        <v>-</v>
      </c>
      <c r="G140" s="2" t="str">
        <f>IFERROR(INDEX(Movimientos!$L$2:$L$1993,MATCH(A140&amp;"ENTRADA",Movimientos!$R$2:$R$1993,0)),"-")</f>
        <v>-</v>
      </c>
      <c r="H140" s="17" t="str">
        <f>IFERROR(IF(INDEX(Movimientos!$M$2:$M$1993,MATCH(A140&amp;"ENTRADA",Movimientos!$R$2:$R$1993,0))=0,"S/D",INDEX(Movimientos!$M$2:$M$1993,MATCH(A140&amp;"ENTRADA",Movimientos!$R$2:$R$1993,0))),"S/D")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2481</v>
      </c>
      <c r="B141" s="2" t="str">
        <f>IFERROR(INDEX(Movimientos!$C$2:$C$1993,MATCH(A141&amp;"ENTRADA",Movimientos!$R$2:$R$1993,0)),"-")</f>
        <v>-</v>
      </c>
      <c r="C141" s="2" t="str">
        <f>IFERROR(INDEX(Movimientos!$D$2:$D$1993,MATCH(A141&amp;"ENTRADA",Movimientos!$R$2:$R$1993,0)),"-")</f>
        <v>-</v>
      </c>
      <c r="D141" s="2" t="str">
        <f>IFERROR(INDEX(Movimientos!$E$2:$E$1993,MATCH(A141&amp;"ENTRADA",Movimientos!$R$2:$R$1993,0)),"-")</f>
        <v>-</v>
      </c>
      <c r="E141" s="2" t="str">
        <f>IFERROR(INDEX(Movimientos!$F$2:$F$1993,MATCH(A141&amp;"ENTRADA",Movimientos!$R$2:$R$1993,0)),"-")</f>
        <v>-</v>
      </c>
      <c r="F141" s="2" t="str">
        <f>IFERROR(INDEX(Movimientos!$G$2:$G$1993,MATCH(A141&amp;"ENTRADA",Movimientos!$R$2:$R$1993,0)),"-")</f>
        <v>-</v>
      </c>
      <c r="G141" s="2" t="str">
        <f>IFERROR(INDEX(Movimientos!$L$2:$L$1993,MATCH(A141&amp;"ENTRADA",Movimientos!$R$2:$R$1993,0)),"-")</f>
        <v>-</v>
      </c>
      <c r="H141" s="17" t="str">
        <f>IFERROR(IF(INDEX(Movimientos!$M$2:$M$1993,MATCH(A141&amp;"ENTRADA",Movimientos!$R$2:$R$1993,0))=0,"S/D",INDEX(Movimientos!$M$2:$M$1993,MATCH(A141&amp;"ENTRADA",Movimientos!$R$2:$R$1993,0))),"S/D")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2482</v>
      </c>
      <c r="B142" s="2" t="str">
        <f>IFERROR(INDEX(Movimientos!$C$2:$C$1993,MATCH(A142&amp;"ENTRADA",Movimientos!$R$2:$R$1993,0)),"-")</f>
        <v>-</v>
      </c>
      <c r="C142" s="2" t="str">
        <f>IFERROR(INDEX(Movimientos!$D$2:$D$1993,MATCH(A142&amp;"ENTRADA",Movimientos!$R$2:$R$1993,0)),"-")</f>
        <v>-</v>
      </c>
      <c r="D142" s="2" t="str">
        <f>IFERROR(INDEX(Movimientos!$E$2:$E$1993,MATCH(A142&amp;"ENTRADA",Movimientos!$R$2:$R$1993,0)),"-")</f>
        <v>-</v>
      </c>
      <c r="E142" s="2" t="str">
        <f>IFERROR(INDEX(Movimientos!$F$2:$F$1993,MATCH(A142&amp;"ENTRADA",Movimientos!$R$2:$R$1993,0)),"-")</f>
        <v>-</v>
      </c>
      <c r="F142" s="2" t="str">
        <f>IFERROR(INDEX(Movimientos!$G$2:$G$1993,MATCH(A142&amp;"ENTRADA",Movimientos!$R$2:$R$1993,0)),"-")</f>
        <v>-</v>
      </c>
      <c r="G142" s="2" t="str">
        <f>IFERROR(INDEX(Movimientos!$L$2:$L$1993,MATCH(A142&amp;"ENTRADA",Movimientos!$R$2:$R$1993,0)),"-")</f>
        <v>-</v>
      </c>
      <c r="H142" s="17" t="str">
        <f>IFERROR(IF(INDEX(Movimientos!$M$2:$M$1993,MATCH(A142&amp;"ENTRADA",Movimientos!$R$2:$R$1993,0))=0,"S/D",INDEX(Movimientos!$M$2:$M$1993,MATCH(A142&amp;"ENTRADA",Movimientos!$R$2:$R$1993,0))),"S/D")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2483</v>
      </c>
      <c r="B143" s="2" t="str">
        <f>IFERROR(INDEX(Movimientos!$C$2:$C$1993,MATCH(A143&amp;"ENTRADA",Movimientos!$R$2:$R$1993,0)),"-")</f>
        <v>-</v>
      </c>
      <c r="C143" s="2" t="str">
        <f>IFERROR(INDEX(Movimientos!$D$2:$D$1993,MATCH(A143&amp;"ENTRADA",Movimientos!$R$2:$R$1993,0)),"-")</f>
        <v>-</v>
      </c>
      <c r="D143" s="2" t="str">
        <f>IFERROR(INDEX(Movimientos!$E$2:$E$1993,MATCH(A143&amp;"ENTRADA",Movimientos!$R$2:$R$1993,0)),"-")</f>
        <v>-</v>
      </c>
      <c r="E143" s="2" t="str">
        <f>IFERROR(INDEX(Movimientos!$F$2:$F$1993,MATCH(A143&amp;"ENTRADA",Movimientos!$R$2:$R$1993,0)),"-")</f>
        <v>-</v>
      </c>
      <c r="F143" s="2" t="str">
        <f>IFERROR(INDEX(Movimientos!$G$2:$G$1993,MATCH(A143&amp;"ENTRADA",Movimientos!$R$2:$R$1993,0)),"-")</f>
        <v>-</v>
      </c>
      <c r="G143" s="2" t="str">
        <f>IFERROR(INDEX(Movimientos!$L$2:$L$1993,MATCH(A143&amp;"ENTRADA",Movimientos!$R$2:$R$1993,0)),"-")</f>
        <v>-</v>
      </c>
      <c r="H143" s="17" t="str">
        <f>IFERROR(IF(INDEX(Movimientos!$M$2:$M$1993,MATCH(A143&amp;"ENTRADA",Movimientos!$R$2:$R$1993,0))=0,"S/D",INDEX(Movimientos!$M$2:$M$1993,MATCH(A143&amp;"ENTRADA",Movimientos!$R$2:$R$1993,0))),"S/D")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2484</v>
      </c>
      <c r="B144" s="2" t="str">
        <f>IFERROR(INDEX(Movimientos!$C$2:$C$1993,MATCH(A144&amp;"ENTRADA",Movimientos!$R$2:$R$1993,0)),"-")</f>
        <v>-</v>
      </c>
      <c r="C144" s="2" t="str">
        <f>IFERROR(INDEX(Movimientos!$D$2:$D$1993,MATCH(A144&amp;"ENTRADA",Movimientos!$R$2:$R$1993,0)),"-")</f>
        <v>-</v>
      </c>
      <c r="D144" s="2" t="str">
        <f>IFERROR(INDEX(Movimientos!$E$2:$E$1993,MATCH(A144&amp;"ENTRADA",Movimientos!$R$2:$R$1993,0)),"-")</f>
        <v>-</v>
      </c>
      <c r="E144" s="2" t="str">
        <f>IFERROR(INDEX(Movimientos!$F$2:$F$1993,MATCH(A144&amp;"ENTRADA",Movimientos!$R$2:$R$1993,0)),"-")</f>
        <v>-</v>
      </c>
      <c r="F144" s="2" t="str">
        <f>IFERROR(INDEX(Movimientos!$G$2:$G$1993,MATCH(A144&amp;"ENTRADA",Movimientos!$R$2:$R$1993,0)),"-")</f>
        <v>-</v>
      </c>
      <c r="G144" s="2" t="str">
        <f>IFERROR(INDEX(Movimientos!$L$2:$L$1993,MATCH(A144&amp;"ENTRADA",Movimientos!$R$2:$R$1993,0)),"-")</f>
        <v>-</v>
      </c>
      <c r="H144" s="17" t="str">
        <f>IFERROR(IF(INDEX(Movimientos!$M$2:$M$1993,MATCH(A144&amp;"ENTRADA",Movimientos!$R$2:$R$1993,0))=0,"S/D",INDEX(Movimientos!$M$2:$M$1993,MATCH(A144&amp;"ENTRADA",Movimientos!$R$2:$R$1993,0))),"S/D")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2485</v>
      </c>
      <c r="B145" s="2" t="str">
        <f>IFERROR(INDEX(Movimientos!$C$2:$C$1993,MATCH(A145&amp;"ENTRADA",Movimientos!$R$2:$R$1993,0)),"-")</f>
        <v>-</v>
      </c>
      <c r="C145" s="2" t="str">
        <f>IFERROR(INDEX(Movimientos!$D$2:$D$1993,MATCH(A145&amp;"ENTRADA",Movimientos!$R$2:$R$1993,0)),"-")</f>
        <v>-</v>
      </c>
      <c r="D145" s="2" t="str">
        <f>IFERROR(INDEX(Movimientos!$E$2:$E$1993,MATCH(A145&amp;"ENTRADA",Movimientos!$R$2:$R$1993,0)),"-")</f>
        <v>-</v>
      </c>
      <c r="E145" s="2" t="str">
        <f>IFERROR(INDEX(Movimientos!$F$2:$F$1993,MATCH(A145&amp;"ENTRADA",Movimientos!$R$2:$R$1993,0)),"-")</f>
        <v>-</v>
      </c>
      <c r="F145" s="2" t="str">
        <f>IFERROR(INDEX(Movimientos!$G$2:$G$1993,MATCH(A145&amp;"ENTRADA",Movimientos!$R$2:$R$1993,0)),"-")</f>
        <v>-</v>
      </c>
      <c r="G145" s="2" t="str">
        <f>IFERROR(INDEX(Movimientos!$L$2:$L$1993,MATCH(A145&amp;"ENTRADA",Movimientos!$R$2:$R$1993,0)),"-")</f>
        <v>-</v>
      </c>
      <c r="H145" s="17" t="str">
        <f>IFERROR(IF(INDEX(Movimientos!$M$2:$M$1993,MATCH(A145&amp;"ENTRADA",Movimientos!$R$2:$R$1993,0))=0,"S/D",INDEX(Movimientos!$M$2:$M$1993,MATCH(A145&amp;"ENTRADA",Movimientos!$R$2:$R$1993,0))),"S/D")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2486</v>
      </c>
      <c r="B146" s="2" t="str">
        <f>IFERROR(INDEX(Movimientos!$C$2:$C$1993,MATCH(A146&amp;"ENTRADA",Movimientos!$R$2:$R$1993,0)),"-")</f>
        <v>-</v>
      </c>
      <c r="C146" s="2" t="str">
        <f>IFERROR(INDEX(Movimientos!$D$2:$D$1993,MATCH(A146&amp;"ENTRADA",Movimientos!$R$2:$R$1993,0)),"-")</f>
        <v>-</v>
      </c>
      <c r="D146" s="2" t="str">
        <f>IFERROR(INDEX(Movimientos!$E$2:$E$1993,MATCH(A146&amp;"ENTRADA",Movimientos!$R$2:$R$1993,0)),"-")</f>
        <v>-</v>
      </c>
      <c r="E146" s="2" t="str">
        <f>IFERROR(INDEX(Movimientos!$F$2:$F$1993,MATCH(A146&amp;"ENTRADA",Movimientos!$R$2:$R$1993,0)),"-")</f>
        <v>-</v>
      </c>
      <c r="F146" s="2" t="str">
        <f>IFERROR(INDEX(Movimientos!$G$2:$G$1993,MATCH(A146&amp;"ENTRADA",Movimientos!$R$2:$R$1993,0)),"-")</f>
        <v>-</v>
      </c>
      <c r="G146" s="2" t="str">
        <f>IFERROR(INDEX(Movimientos!$L$2:$L$1993,MATCH(A146&amp;"ENTRADA",Movimientos!$R$2:$R$1993,0)),"-")</f>
        <v>-</v>
      </c>
      <c r="H146" s="17" t="str">
        <f>IFERROR(IF(INDEX(Movimientos!$M$2:$M$1993,MATCH(A146&amp;"ENTRADA",Movimientos!$R$2:$R$1993,0))=0,"S/D",INDEX(Movimientos!$M$2:$M$1993,MATCH(A146&amp;"ENTRADA",Movimientos!$R$2:$R$1993,0))),"S/D")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2487</v>
      </c>
      <c r="B147" s="2" t="str">
        <f>IFERROR(INDEX(Movimientos!$C$2:$C$1993,MATCH(A147&amp;"ENTRADA",Movimientos!$R$2:$R$1993,0)),"-")</f>
        <v>-</v>
      </c>
      <c r="C147" s="2" t="str">
        <f>IFERROR(INDEX(Movimientos!$D$2:$D$1993,MATCH(A147&amp;"ENTRADA",Movimientos!$R$2:$R$1993,0)),"-")</f>
        <v>-</v>
      </c>
      <c r="D147" s="2" t="str">
        <f>IFERROR(INDEX(Movimientos!$E$2:$E$1993,MATCH(A147&amp;"ENTRADA",Movimientos!$R$2:$R$1993,0)),"-")</f>
        <v>-</v>
      </c>
      <c r="E147" s="2" t="str">
        <f>IFERROR(INDEX(Movimientos!$F$2:$F$1993,MATCH(A147&amp;"ENTRADA",Movimientos!$R$2:$R$1993,0)),"-")</f>
        <v>-</v>
      </c>
      <c r="F147" s="2" t="str">
        <f>IFERROR(INDEX(Movimientos!$G$2:$G$1993,MATCH(A147&amp;"ENTRADA",Movimientos!$R$2:$R$1993,0)),"-")</f>
        <v>-</v>
      </c>
      <c r="G147" s="2" t="str">
        <f>IFERROR(INDEX(Movimientos!$L$2:$L$1993,MATCH(A147&amp;"ENTRADA",Movimientos!$R$2:$R$1993,0)),"-")</f>
        <v>-</v>
      </c>
      <c r="H147" s="17" t="str">
        <f>IFERROR(IF(INDEX(Movimientos!$M$2:$M$1993,MATCH(A147&amp;"ENTRADA",Movimientos!$R$2:$R$1993,0))=0,"S/D",INDEX(Movimientos!$M$2:$M$1993,MATCH(A147&amp;"ENTRADA",Movimientos!$R$2:$R$1993,0))),"S/D")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2488</v>
      </c>
      <c r="B148" s="2" t="str">
        <f>IFERROR(INDEX(Movimientos!$C$2:$C$1993,MATCH(A148&amp;"ENTRADA",Movimientos!$R$2:$R$1993,0)),"-")</f>
        <v>-</v>
      </c>
      <c r="C148" s="2" t="str">
        <f>IFERROR(INDEX(Movimientos!$D$2:$D$1993,MATCH(A148&amp;"ENTRADA",Movimientos!$R$2:$R$1993,0)),"-")</f>
        <v>-</v>
      </c>
      <c r="D148" s="2" t="str">
        <f>IFERROR(INDEX(Movimientos!$E$2:$E$1993,MATCH(A148&amp;"ENTRADA",Movimientos!$R$2:$R$1993,0)),"-")</f>
        <v>-</v>
      </c>
      <c r="E148" s="2" t="str">
        <f>IFERROR(INDEX(Movimientos!$F$2:$F$1993,MATCH(A148&amp;"ENTRADA",Movimientos!$R$2:$R$1993,0)),"-")</f>
        <v>-</v>
      </c>
      <c r="F148" s="2" t="str">
        <f>IFERROR(INDEX(Movimientos!$G$2:$G$1993,MATCH(A148&amp;"ENTRADA",Movimientos!$R$2:$R$1993,0)),"-")</f>
        <v>-</v>
      </c>
      <c r="G148" s="2" t="str">
        <f>IFERROR(INDEX(Movimientos!$L$2:$L$1993,MATCH(A148&amp;"ENTRADA",Movimientos!$R$2:$R$1993,0)),"-")</f>
        <v>-</v>
      </c>
      <c r="H148" s="17" t="str">
        <f>IFERROR(IF(INDEX(Movimientos!$M$2:$M$1993,MATCH(A148&amp;"ENTRADA",Movimientos!$R$2:$R$1993,0))=0,"S/D",INDEX(Movimientos!$M$2:$M$1993,MATCH(A148&amp;"ENTRADA",Movimientos!$R$2:$R$1993,0))),"S/D")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2489</v>
      </c>
      <c r="B149" s="2" t="str">
        <f>IFERROR(INDEX(Movimientos!$C$2:$C$1993,MATCH(A149&amp;"ENTRADA",Movimientos!$R$2:$R$1993,0)),"-")</f>
        <v>-</v>
      </c>
      <c r="C149" s="2" t="str">
        <f>IFERROR(INDEX(Movimientos!$D$2:$D$1993,MATCH(A149&amp;"ENTRADA",Movimientos!$R$2:$R$1993,0)),"-")</f>
        <v>-</v>
      </c>
      <c r="D149" s="2" t="str">
        <f>IFERROR(INDEX(Movimientos!$E$2:$E$1993,MATCH(A149&amp;"ENTRADA",Movimientos!$R$2:$R$1993,0)),"-")</f>
        <v>-</v>
      </c>
      <c r="E149" s="2" t="str">
        <f>IFERROR(INDEX(Movimientos!$F$2:$F$1993,MATCH(A149&amp;"ENTRADA",Movimientos!$R$2:$R$1993,0)),"-")</f>
        <v>-</v>
      </c>
      <c r="F149" s="2" t="str">
        <f>IFERROR(INDEX(Movimientos!$G$2:$G$1993,MATCH(A149&amp;"ENTRADA",Movimientos!$R$2:$R$1993,0)),"-")</f>
        <v>-</v>
      </c>
      <c r="G149" s="2" t="str">
        <f>IFERROR(INDEX(Movimientos!$L$2:$L$1993,MATCH(A149&amp;"ENTRADA",Movimientos!$R$2:$R$1993,0)),"-")</f>
        <v>-</v>
      </c>
      <c r="H149" s="17" t="str">
        <f>IFERROR(IF(INDEX(Movimientos!$M$2:$M$1993,MATCH(A149&amp;"ENTRADA",Movimientos!$R$2:$R$1993,0))=0,"S/D",INDEX(Movimientos!$M$2:$M$1993,MATCH(A149&amp;"ENTRADA",Movimientos!$R$2:$R$1993,0))),"S/D")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2490</v>
      </c>
      <c r="B150" s="2" t="str">
        <f>IFERROR(INDEX(Movimientos!$C$2:$C$1993,MATCH(A150&amp;"ENTRADA",Movimientos!$R$2:$R$1993,0)),"-")</f>
        <v>-</v>
      </c>
      <c r="C150" s="2" t="str">
        <f>IFERROR(INDEX(Movimientos!$D$2:$D$1993,MATCH(A150&amp;"ENTRADA",Movimientos!$R$2:$R$1993,0)),"-")</f>
        <v>-</v>
      </c>
      <c r="D150" s="2" t="str">
        <f>IFERROR(INDEX(Movimientos!$E$2:$E$1993,MATCH(A150&amp;"ENTRADA",Movimientos!$R$2:$R$1993,0)),"-")</f>
        <v>-</v>
      </c>
      <c r="E150" s="2" t="str">
        <f>IFERROR(INDEX(Movimientos!$F$2:$F$1993,MATCH(A150&amp;"ENTRADA",Movimientos!$R$2:$R$1993,0)),"-")</f>
        <v>-</v>
      </c>
      <c r="F150" s="2" t="str">
        <f>IFERROR(INDEX(Movimientos!$G$2:$G$1993,MATCH(A150&amp;"ENTRADA",Movimientos!$R$2:$R$1993,0)),"-")</f>
        <v>-</v>
      </c>
      <c r="G150" s="2" t="str">
        <f>IFERROR(INDEX(Movimientos!$L$2:$L$1993,MATCH(A150&amp;"ENTRADA",Movimientos!$R$2:$R$1993,0)),"-")</f>
        <v>-</v>
      </c>
      <c r="H150" s="17" t="str">
        <f>IFERROR(IF(INDEX(Movimientos!$M$2:$M$1993,MATCH(A150&amp;"ENTRADA",Movimientos!$R$2:$R$1993,0))=0,"S/D",INDEX(Movimientos!$M$2:$M$1993,MATCH(A150&amp;"ENTRADA",Movimientos!$R$2:$R$1993,0))),"S/D")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2491</v>
      </c>
      <c r="B151" s="2" t="str">
        <f>IFERROR(INDEX(Movimientos!$C$2:$C$1993,MATCH(A151&amp;"ENTRADA",Movimientos!$R$2:$R$1993,0)),"-")</f>
        <v>-</v>
      </c>
      <c r="C151" s="2" t="str">
        <f>IFERROR(INDEX(Movimientos!$D$2:$D$1993,MATCH(A151&amp;"ENTRADA",Movimientos!$R$2:$R$1993,0)),"-")</f>
        <v>-</v>
      </c>
      <c r="D151" s="2" t="str">
        <f>IFERROR(INDEX(Movimientos!$E$2:$E$1993,MATCH(A151&amp;"ENTRADA",Movimientos!$R$2:$R$1993,0)),"-")</f>
        <v>-</v>
      </c>
      <c r="E151" s="2" t="str">
        <f>IFERROR(INDEX(Movimientos!$F$2:$F$1993,MATCH(A151&amp;"ENTRADA",Movimientos!$R$2:$R$1993,0)),"-")</f>
        <v>-</v>
      </c>
      <c r="F151" s="2" t="str">
        <f>IFERROR(INDEX(Movimientos!$G$2:$G$1993,MATCH(A151&amp;"ENTRADA",Movimientos!$R$2:$R$1993,0)),"-")</f>
        <v>-</v>
      </c>
      <c r="G151" s="2" t="str">
        <f>IFERROR(INDEX(Movimientos!$L$2:$L$1993,MATCH(A151&amp;"ENTRADA",Movimientos!$R$2:$R$1993,0)),"-")</f>
        <v>-</v>
      </c>
      <c r="H151" s="17" t="str">
        <f>IFERROR(IF(INDEX(Movimientos!$M$2:$M$1993,MATCH(A151&amp;"ENTRADA",Movimientos!$R$2:$R$1993,0))=0,"S/D",INDEX(Movimientos!$M$2:$M$1993,MATCH(A151&amp;"ENTRADA",Movimientos!$R$2:$R$1993,0))),"S/D")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2492</v>
      </c>
      <c r="B152" s="2" t="str">
        <f>IFERROR(INDEX(Movimientos!$C$2:$C$1993,MATCH(A152&amp;"ENTRADA",Movimientos!$R$2:$R$1993,0)),"-")</f>
        <v>-</v>
      </c>
      <c r="C152" s="2" t="str">
        <f>IFERROR(INDEX(Movimientos!$D$2:$D$1993,MATCH(A152&amp;"ENTRADA",Movimientos!$R$2:$R$1993,0)),"-")</f>
        <v>-</v>
      </c>
      <c r="D152" s="2" t="str">
        <f>IFERROR(INDEX(Movimientos!$E$2:$E$1993,MATCH(A152&amp;"ENTRADA",Movimientos!$R$2:$R$1993,0)),"-")</f>
        <v>-</v>
      </c>
      <c r="E152" s="2" t="str">
        <f>IFERROR(INDEX(Movimientos!$F$2:$F$1993,MATCH(A152&amp;"ENTRADA",Movimientos!$R$2:$R$1993,0)),"-")</f>
        <v>-</v>
      </c>
      <c r="F152" s="2" t="str">
        <f>IFERROR(INDEX(Movimientos!$G$2:$G$1993,MATCH(A152&amp;"ENTRADA",Movimientos!$R$2:$R$1993,0)),"-")</f>
        <v>-</v>
      </c>
      <c r="G152" s="2" t="str">
        <f>IFERROR(INDEX(Movimientos!$L$2:$L$1993,MATCH(A152&amp;"ENTRADA",Movimientos!$R$2:$R$1993,0)),"-")</f>
        <v>-</v>
      </c>
      <c r="H152" s="17" t="str">
        <f>IFERROR(IF(INDEX(Movimientos!$M$2:$M$1993,MATCH(A152&amp;"ENTRADA",Movimientos!$R$2:$R$1993,0))=0,"S/D",INDEX(Movimientos!$M$2:$M$1993,MATCH(A152&amp;"ENTRADA",Movimientos!$R$2:$R$1993,0))),"S/D")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2493</v>
      </c>
      <c r="B153" s="2" t="str">
        <f>IFERROR(INDEX(Movimientos!$C$2:$C$1993,MATCH(A153&amp;"ENTRADA",Movimientos!$R$2:$R$1993,0)),"-")</f>
        <v>-</v>
      </c>
      <c r="C153" s="2" t="str">
        <f>IFERROR(INDEX(Movimientos!$D$2:$D$1993,MATCH(A153&amp;"ENTRADA",Movimientos!$R$2:$R$1993,0)),"-")</f>
        <v>-</v>
      </c>
      <c r="D153" s="2" t="str">
        <f>IFERROR(INDEX(Movimientos!$E$2:$E$1993,MATCH(A153&amp;"ENTRADA",Movimientos!$R$2:$R$1993,0)),"-")</f>
        <v>-</v>
      </c>
      <c r="E153" s="2" t="str">
        <f>IFERROR(INDEX(Movimientos!$F$2:$F$1993,MATCH(A153&amp;"ENTRADA",Movimientos!$R$2:$R$1993,0)),"-")</f>
        <v>-</v>
      </c>
      <c r="F153" s="2" t="str">
        <f>IFERROR(INDEX(Movimientos!$G$2:$G$1993,MATCH(A153&amp;"ENTRADA",Movimientos!$R$2:$R$1993,0)),"-")</f>
        <v>-</v>
      </c>
      <c r="G153" s="2" t="str">
        <f>IFERROR(INDEX(Movimientos!$L$2:$L$1993,MATCH(A153&amp;"ENTRADA",Movimientos!$R$2:$R$1993,0)),"-")</f>
        <v>-</v>
      </c>
      <c r="H153" s="17" t="str">
        <f>IFERROR(IF(INDEX(Movimientos!$M$2:$M$1993,MATCH(A153&amp;"ENTRADA",Movimientos!$R$2:$R$1993,0))=0,"S/D",INDEX(Movimientos!$M$2:$M$1993,MATCH(A153&amp;"ENTRADA",Movimientos!$R$2:$R$1993,0))),"S/D")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2494</v>
      </c>
      <c r="B154" s="2" t="str">
        <f>IFERROR(INDEX(Movimientos!$C$2:$C$1993,MATCH(A154&amp;"ENTRADA",Movimientos!$R$2:$R$1993,0)),"-")</f>
        <v>-</v>
      </c>
      <c r="C154" s="2" t="str">
        <f>IFERROR(INDEX(Movimientos!$D$2:$D$1993,MATCH(A154&amp;"ENTRADA",Movimientos!$R$2:$R$1993,0)),"-")</f>
        <v>-</v>
      </c>
      <c r="D154" s="2" t="str">
        <f>IFERROR(INDEX(Movimientos!$E$2:$E$1993,MATCH(A154&amp;"ENTRADA",Movimientos!$R$2:$R$1993,0)),"-")</f>
        <v>-</v>
      </c>
      <c r="E154" s="2" t="str">
        <f>IFERROR(INDEX(Movimientos!$F$2:$F$1993,MATCH(A154&amp;"ENTRADA",Movimientos!$R$2:$R$1993,0)),"-")</f>
        <v>-</v>
      </c>
      <c r="F154" s="2" t="str">
        <f>IFERROR(INDEX(Movimientos!$G$2:$G$1993,MATCH(A154&amp;"ENTRADA",Movimientos!$R$2:$R$1993,0)),"-")</f>
        <v>-</v>
      </c>
      <c r="G154" s="2" t="str">
        <f>IFERROR(INDEX(Movimientos!$L$2:$L$1993,MATCH(A154&amp;"ENTRADA",Movimientos!$R$2:$R$1993,0)),"-")</f>
        <v>-</v>
      </c>
      <c r="H154" s="17" t="str">
        <f>IFERROR(IF(INDEX(Movimientos!$M$2:$M$1993,MATCH(A154&amp;"ENTRADA",Movimientos!$R$2:$R$1993,0))=0,"S/D",INDEX(Movimientos!$M$2:$M$1993,MATCH(A154&amp;"ENTRADA",Movimientos!$R$2:$R$1993,0))),"S/D")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2495</v>
      </c>
      <c r="B155" s="2" t="str">
        <f>IFERROR(INDEX(Movimientos!$C$2:$C$1993,MATCH(A155&amp;"ENTRADA",Movimientos!$R$2:$R$1993,0)),"-")</f>
        <v>-</v>
      </c>
      <c r="C155" s="2" t="str">
        <f>IFERROR(INDEX(Movimientos!$D$2:$D$1993,MATCH(A155&amp;"ENTRADA",Movimientos!$R$2:$R$1993,0)),"-")</f>
        <v>-</v>
      </c>
      <c r="D155" s="2" t="str">
        <f>IFERROR(INDEX(Movimientos!$E$2:$E$1993,MATCH(A155&amp;"ENTRADA",Movimientos!$R$2:$R$1993,0)),"-")</f>
        <v>-</v>
      </c>
      <c r="E155" s="2" t="str">
        <f>IFERROR(INDEX(Movimientos!$F$2:$F$1993,MATCH(A155&amp;"ENTRADA",Movimientos!$R$2:$R$1993,0)),"-")</f>
        <v>-</v>
      </c>
      <c r="F155" s="2" t="str">
        <f>IFERROR(INDEX(Movimientos!$G$2:$G$1993,MATCH(A155&amp;"ENTRADA",Movimientos!$R$2:$R$1993,0)),"-")</f>
        <v>-</v>
      </c>
      <c r="G155" s="2" t="str">
        <f>IFERROR(INDEX(Movimientos!$L$2:$L$1993,MATCH(A155&amp;"ENTRADA",Movimientos!$R$2:$R$1993,0)),"-")</f>
        <v>-</v>
      </c>
      <c r="H155" s="17" t="str">
        <f>IFERROR(IF(INDEX(Movimientos!$M$2:$M$1993,MATCH(A155&amp;"ENTRADA",Movimientos!$R$2:$R$1993,0))=0,"S/D",INDEX(Movimientos!$M$2:$M$1993,MATCH(A155&amp;"ENTRADA",Movimientos!$R$2:$R$1993,0))),"S/D")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2496</v>
      </c>
      <c r="B156" s="2" t="str">
        <f>IFERROR(INDEX(Movimientos!$C$2:$C$1993,MATCH(A156&amp;"ENTRADA",Movimientos!$R$2:$R$1993,0)),"-")</f>
        <v>-</v>
      </c>
      <c r="C156" s="2" t="str">
        <f>IFERROR(INDEX(Movimientos!$D$2:$D$1993,MATCH(A156&amp;"ENTRADA",Movimientos!$R$2:$R$1993,0)),"-")</f>
        <v>-</v>
      </c>
      <c r="D156" s="2" t="str">
        <f>IFERROR(INDEX(Movimientos!$E$2:$E$1993,MATCH(A156&amp;"ENTRADA",Movimientos!$R$2:$R$1993,0)),"-")</f>
        <v>-</v>
      </c>
      <c r="E156" s="2" t="str">
        <f>IFERROR(INDEX(Movimientos!$F$2:$F$1993,MATCH(A156&amp;"ENTRADA",Movimientos!$R$2:$R$1993,0)),"-")</f>
        <v>-</v>
      </c>
      <c r="F156" s="2" t="str">
        <f>IFERROR(INDEX(Movimientos!$G$2:$G$1993,MATCH(A156&amp;"ENTRADA",Movimientos!$R$2:$R$1993,0)),"-")</f>
        <v>-</v>
      </c>
      <c r="G156" s="2" t="str">
        <f>IFERROR(INDEX(Movimientos!$L$2:$L$1993,MATCH(A156&amp;"ENTRADA",Movimientos!$R$2:$R$1993,0)),"-")</f>
        <v>-</v>
      </c>
      <c r="H156" s="17" t="str">
        <f>IFERROR(IF(INDEX(Movimientos!$M$2:$M$1993,MATCH(A156&amp;"ENTRADA",Movimientos!$R$2:$R$1993,0))=0,"S/D",INDEX(Movimientos!$M$2:$M$1993,MATCH(A156&amp;"ENTRADA",Movimientos!$R$2:$R$1993,0))),"S/D")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2497</v>
      </c>
      <c r="B157" s="2" t="str">
        <f>IFERROR(INDEX(Movimientos!$C$2:$C$1993,MATCH(A157&amp;"ENTRADA",Movimientos!$R$2:$R$1993,0)),"-")</f>
        <v>-</v>
      </c>
      <c r="C157" s="2" t="str">
        <f>IFERROR(INDEX(Movimientos!$D$2:$D$1993,MATCH(A157&amp;"ENTRADA",Movimientos!$R$2:$R$1993,0)),"-")</f>
        <v>-</v>
      </c>
      <c r="D157" s="2" t="str">
        <f>IFERROR(INDEX(Movimientos!$E$2:$E$1993,MATCH(A157&amp;"ENTRADA",Movimientos!$R$2:$R$1993,0)),"-")</f>
        <v>-</v>
      </c>
      <c r="E157" s="2" t="str">
        <f>IFERROR(INDEX(Movimientos!$F$2:$F$1993,MATCH(A157&amp;"ENTRADA",Movimientos!$R$2:$R$1993,0)),"-")</f>
        <v>-</v>
      </c>
      <c r="F157" s="2" t="str">
        <f>IFERROR(INDEX(Movimientos!$G$2:$G$1993,MATCH(A157&amp;"ENTRADA",Movimientos!$R$2:$R$1993,0)),"-")</f>
        <v>-</v>
      </c>
      <c r="G157" s="2" t="str">
        <f>IFERROR(INDEX(Movimientos!$L$2:$L$1993,MATCH(A157&amp;"ENTRADA",Movimientos!$R$2:$R$1993,0)),"-")</f>
        <v>-</v>
      </c>
      <c r="H157" s="17" t="str">
        <f>IFERROR(IF(INDEX(Movimientos!$M$2:$M$1993,MATCH(A157&amp;"ENTRADA",Movimientos!$R$2:$R$1993,0))=0,"S/D",INDEX(Movimientos!$M$2:$M$1993,MATCH(A157&amp;"ENTRADA",Movimientos!$R$2:$R$1993,0))),"S/D")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2498</v>
      </c>
      <c r="B158" s="2" t="str">
        <f>IFERROR(INDEX(Movimientos!$C$2:$C$1993,MATCH(A158&amp;"ENTRADA",Movimientos!$R$2:$R$1993,0)),"-")</f>
        <v>-</v>
      </c>
      <c r="C158" s="2" t="str">
        <f>IFERROR(INDEX(Movimientos!$D$2:$D$1993,MATCH(A158&amp;"ENTRADA",Movimientos!$R$2:$R$1993,0)),"-")</f>
        <v>-</v>
      </c>
      <c r="D158" s="2" t="str">
        <f>IFERROR(INDEX(Movimientos!$E$2:$E$1993,MATCH(A158&amp;"ENTRADA",Movimientos!$R$2:$R$1993,0)),"-")</f>
        <v>-</v>
      </c>
      <c r="E158" s="2" t="str">
        <f>IFERROR(INDEX(Movimientos!$F$2:$F$1993,MATCH(A158&amp;"ENTRADA",Movimientos!$R$2:$R$1993,0)),"-")</f>
        <v>-</v>
      </c>
      <c r="F158" s="2" t="str">
        <f>IFERROR(INDEX(Movimientos!$G$2:$G$1993,MATCH(A158&amp;"ENTRADA",Movimientos!$R$2:$R$1993,0)),"-")</f>
        <v>-</v>
      </c>
      <c r="G158" s="2" t="str">
        <f>IFERROR(INDEX(Movimientos!$L$2:$L$1993,MATCH(A158&amp;"ENTRADA",Movimientos!$R$2:$R$1993,0)),"-")</f>
        <v>-</v>
      </c>
      <c r="H158" s="17" t="str">
        <f>IFERROR(IF(INDEX(Movimientos!$M$2:$M$1993,MATCH(A158&amp;"ENTRADA",Movimientos!$R$2:$R$1993,0))=0,"S/D",INDEX(Movimientos!$M$2:$M$1993,MATCH(A158&amp;"ENTRADA",Movimientos!$R$2:$R$1993,0))),"S/D")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2499</v>
      </c>
      <c r="B159" s="2" t="str">
        <f>IFERROR(INDEX(Movimientos!$C$2:$C$1993,MATCH(A159&amp;"ENTRADA",Movimientos!$R$2:$R$1993,0)),"-")</f>
        <v>-</v>
      </c>
      <c r="C159" s="2" t="str">
        <f>IFERROR(INDEX(Movimientos!$D$2:$D$1993,MATCH(A159&amp;"ENTRADA",Movimientos!$R$2:$R$1993,0)),"-")</f>
        <v>-</v>
      </c>
      <c r="D159" s="2" t="str">
        <f>IFERROR(INDEX(Movimientos!$E$2:$E$1993,MATCH(A159&amp;"ENTRADA",Movimientos!$R$2:$R$1993,0)),"-")</f>
        <v>-</v>
      </c>
      <c r="E159" s="2" t="str">
        <f>IFERROR(INDEX(Movimientos!$F$2:$F$1993,MATCH(A159&amp;"ENTRADA",Movimientos!$R$2:$R$1993,0)),"-")</f>
        <v>-</v>
      </c>
      <c r="F159" s="2" t="str">
        <f>IFERROR(INDEX(Movimientos!$G$2:$G$1993,MATCH(A159&amp;"ENTRADA",Movimientos!$R$2:$R$1993,0)),"-")</f>
        <v>-</v>
      </c>
      <c r="G159" s="2" t="str">
        <f>IFERROR(INDEX(Movimientos!$L$2:$L$1993,MATCH(A159&amp;"ENTRADA",Movimientos!$R$2:$R$1993,0)),"-")</f>
        <v>-</v>
      </c>
      <c r="H159" s="17" t="str">
        <f>IFERROR(IF(INDEX(Movimientos!$M$2:$M$1993,MATCH(A159&amp;"ENTRADA",Movimientos!$R$2:$R$1993,0))=0,"S/D",INDEX(Movimientos!$M$2:$M$1993,MATCH(A159&amp;"ENTRADA",Movimientos!$R$2:$R$1993,0))),"S/D")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2500</v>
      </c>
      <c r="B160" s="2" t="str">
        <f>IFERROR(INDEX(Movimientos!$C$2:$C$1993,MATCH(A160&amp;"ENTRADA",Movimientos!$R$2:$R$1993,0)),"-")</f>
        <v>-</v>
      </c>
      <c r="C160" s="2" t="str">
        <f>IFERROR(INDEX(Movimientos!$D$2:$D$1993,MATCH(A160&amp;"ENTRADA",Movimientos!$R$2:$R$1993,0)),"-")</f>
        <v>-</v>
      </c>
      <c r="D160" s="2" t="str">
        <f>IFERROR(INDEX(Movimientos!$E$2:$E$1993,MATCH(A160&amp;"ENTRADA",Movimientos!$R$2:$R$1993,0)),"-")</f>
        <v>-</v>
      </c>
      <c r="E160" s="2" t="str">
        <f>IFERROR(INDEX(Movimientos!$F$2:$F$1993,MATCH(A160&amp;"ENTRADA",Movimientos!$R$2:$R$1993,0)),"-")</f>
        <v>-</v>
      </c>
      <c r="F160" s="2" t="str">
        <f>IFERROR(INDEX(Movimientos!$G$2:$G$1993,MATCH(A160&amp;"ENTRADA",Movimientos!$R$2:$R$1993,0)),"-")</f>
        <v>-</v>
      </c>
      <c r="G160" s="2" t="str">
        <f>IFERROR(INDEX(Movimientos!$L$2:$L$1993,MATCH(A160&amp;"ENTRADA",Movimientos!$R$2:$R$1993,0)),"-")</f>
        <v>-</v>
      </c>
      <c r="H160" s="17" t="str">
        <f>IFERROR(IF(INDEX(Movimientos!$M$2:$M$1993,MATCH(A160&amp;"ENTRADA",Movimientos!$R$2:$R$1993,0))=0,"S/D",INDEX(Movimientos!$M$2:$M$1993,MATCH(A160&amp;"ENTRADA",Movimientos!$R$2:$R$1993,0))),"S/D")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2501</v>
      </c>
      <c r="B161" s="2" t="str">
        <f>IFERROR(INDEX(Movimientos!$C$2:$C$1993,MATCH(A161&amp;"ENTRADA",Movimientos!$R$2:$R$1993,0)),"-")</f>
        <v>-</v>
      </c>
      <c r="C161" s="2" t="str">
        <f>IFERROR(INDEX(Movimientos!$D$2:$D$1993,MATCH(A161&amp;"ENTRADA",Movimientos!$R$2:$R$1993,0)),"-")</f>
        <v>-</v>
      </c>
      <c r="D161" s="2" t="str">
        <f>IFERROR(INDEX(Movimientos!$E$2:$E$1993,MATCH(A161&amp;"ENTRADA",Movimientos!$R$2:$R$1993,0)),"-")</f>
        <v>-</v>
      </c>
      <c r="E161" s="2" t="str">
        <f>IFERROR(INDEX(Movimientos!$F$2:$F$1993,MATCH(A161&amp;"ENTRADA",Movimientos!$R$2:$R$1993,0)),"-")</f>
        <v>-</v>
      </c>
      <c r="F161" s="2" t="str">
        <f>IFERROR(INDEX(Movimientos!$G$2:$G$1993,MATCH(A161&amp;"ENTRADA",Movimientos!$R$2:$R$1993,0)),"-")</f>
        <v>-</v>
      </c>
      <c r="G161" s="2" t="str">
        <f>IFERROR(INDEX(Movimientos!$L$2:$L$1993,MATCH(A161&amp;"ENTRADA",Movimientos!$R$2:$R$1993,0)),"-")</f>
        <v>-</v>
      </c>
      <c r="H161" s="17" t="str">
        <f>IFERROR(IF(INDEX(Movimientos!$M$2:$M$1993,MATCH(A161&amp;"ENTRADA",Movimientos!$R$2:$R$1993,0))=0,"S/D",INDEX(Movimientos!$M$2:$M$1993,MATCH(A161&amp;"ENTRADA",Movimientos!$R$2:$R$1993,0))),"S/D")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2502</v>
      </c>
      <c r="B162" s="2" t="str">
        <f>IFERROR(INDEX(Movimientos!$C$2:$C$1993,MATCH(A162&amp;"ENTRADA",Movimientos!$R$2:$R$1993,0)),"-")</f>
        <v>-</v>
      </c>
      <c r="C162" s="2" t="str">
        <f>IFERROR(INDEX(Movimientos!$D$2:$D$1993,MATCH(A162&amp;"ENTRADA",Movimientos!$R$2:$R$1993,0)),"-")</f>
        <v>-</v>
      </c>
      <c r="D162" s="2" t="str">
        <f>IFERROR(INDEX(Movimientos!$E$2:$E$1993,MATCH(A162&amp;"ENTRADA",Movimientos!$R$2:$R$1993,0)),"-")</f>
        <v>-</v>
      </c>
      <c r="E162" s="2" t="str">
        <f>IFERROR(INDEX(Movimientos!$F$2:$F$1993,MATCH(A162&amp;"ENTRADA",Movimientos!$R$2:$R$1993,0)),"-")</f>
        <v>-</v>
      </c>
      <c r="F162" s="2" t="str">
        <f>IFERROR(INDEX(Movimientos!$G$2:$G$1993,MATCH(A162&amp;"ENTRADA",Movimientos!$R$2:$R$1993,0)),"-")</f>
        <v>-</v>
      </c>
      <c r="G162" s="2" t="str">
        <f>IFERROR(INDEX(Movimientos!$L$2:$L$1993,MATCH(A162&amp;"ENTRADA",Movimientos!$R$2:$R$1993,0)),"-")</f>
        <v>-</v>
      </c>
      <c r="H162" s="17" t="str">
        <f>IFERROR(IF(INDEX(Movimientos!$M$2:$M$1993,MATCH(A162&amp;"ENTRADA",Movimientos!$R$2:$R$1993,0))=0,"S/D",INDEX(Movimientos!$M$2:$M$1993,MATCH(A162&amp;"ENTRADA",Movimientos!$R$2:$R$1993,0))),"S/D")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2503</v>
      </c>
      <c r="B163" s="2" t="str">
        <f>IFERROR(INDEX(Movimientos!$C$2:$C$1993,MATCH(A163&amp;"ENTRADA",Movimientos!$R$2:$R$1993,0)),"-")</f>
        <v>-</v>
      </c>
      <c r="C163" s="2" t="str">
        <f>IFERROR(INDEX(Movimientos!$D$2:$D$1993,MATCH(A163&amp;"ENTRADA",Movimientos!$R$2:$R$1993,0)),"-")</f>
        <v>-</v>
      </c>
      <c r="D163" s="2" t="str">
        <f>IFERROR(INDEX(Movimientos!$E$2:$E$1993,MATCH(A163&amp;"ENTRADA",Movimientos!$R$2:$R$1993,0)),"-")</f>
        <v>-</v>
      </c>
      <c r="E163" s="2" t="str">
        <f>IFERROR(INDEX(Movimientos!$F$2:$F$1993,MATCH(A163&amp;"ENTRADA",Movimientos!$R$2:$R$1993,0)),"-")</f>
        <v>-</v>
      </c>
      <c r="F163" s="2" t="str">
        <f>IFERROR(INDEX(Movimientos!$G$2:$G$1993,MATCH(A163&amp;"ENTRADA",Movimientos!$R$2:$R$1993,0)),"-")</f>
        <v>-</v>
      </c>
      <c r="G163" s="2" t="str">
        <f>IFERROR(INDEX(Movimientos!$L$2:$L$1993,MATCH(A163&amp;"ENTRADA",Movimientos!$R$2:$R$1993,0)),"-")</f>
        <v>-</v>
      </c>
      <c r="H163" s="17" t="str">
        <f>IFERROR(IF(INDEX(Movimientos!$M$2:$M$1993,MATCH(A163&amp;"ENTRADA",Movimientos!$R$2:$R$1993,0))=0,"S/D",INDEX(Movimientos!$M$2:$M$1993,MATCH(A163&amp;"ENTRADA",Movimientos!$R$2:$R$1993,0))),"S/D")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2504</v>
      </c>
      <c r="B164" s="2" t="str">
        <f>IFERROR(INDEX(Movimientos!$C$2:$C$1993,MATCH(A164&amp;"ENTRADA",Movimientos!$R$2:$R$1993,0)),"-")</f>
        <v>-</v>
      </c>
      <c r="C164" s="2" t="str">
        <f>IFERROR(INDEX(Movimientos!$D$2:$D$1993,MATCH(A164&amp;"ENTRADA",Movimientos!$R$2:$R$1993,0)),"-")</f>
        <v>-</v>
      </c>
      <c r="D164" s="2" t="str">
        <f>IFERROR(INDEX(Movimientos!$E$2:$E$1993,MATCH(A164&amp;"ENTRADA",Movimientos!$R$2:$R$1993,0)),"-")</f>
        <v>-</v>
      </c>
      <c r="E164" s="2" t="str">
        <f>IFERROR(INDEX(Movimientos!$F$2:$F$1993,MATCH(A164&amp;"ENTRADA",Movimientos!$R$2:$R$1993,0)),"-")</f>
        <v>-</v>
      </c>
      <c r="F164" s="2" t="str">
        <f>IFERROR(INDEX(Movimientos!$G$2:$G$1993,MATCH(A164&amp;"ENTRADA",Movimientos!$R$2:$R$1993,0)),"-")</f>
        <v>-</v>
      </c>
      <c r="G164" s="2" t="str">
        <f>IFERROR(INDEX(Movimientos!$L$2:$L$1993,MATCH(A164&amp;"ENTRADA",Movimientos!$R$2:$R$1993,0)),"-")</f>
        <v>-</v>
      </c>
      <c r="H164" s="17" t="str">
        <f>IFERROR(IF(INDEX(Movimientos!$M$2:$M$1993,MATCH(A164&amp;"ENTRADA",Movimientos!$R$2:$R$1993,0))=0,"S/D",INDEX(Movimientos!$M$2:$M$1993,MATCH(A164&amp;"ENTRADA",Movimientos!$R$2:$R$1993,0))),"S/D")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2505</v>
      </c>
      <c r="B165" s="2" t="str">
        <f>IFERROR(INDEX(Movimientos!$C$2:$C$1993,MATCH(A165&amp;"ENTRADA",Movimientos!$R$2:$R$1993,0)),"-")</f>
        <v>-</v>
      </c>
      <c r="C165" s="2" t="str">
        <f>IFERROR(INDEX(Movimientos!$D$2:$D$1993,MATCH(A165&amp;"ENTRADA",Movimientos!$R$2:$R$1993,0)),"-")</f>
        <v>-</v>
      </c>
      <c r="D165" s="2" t="str">
        <f>IFERROR(INDEX(Movimientos!$E$2:$E$1993,MATCH(A165&amp;"ENTRADA",Movimientos!$R$2:$R$1993,0)),"-")</f>
        <v>-</v>
      </c>
      <c r="E165" s="2" t="str">
        <f>IFERROR(INDEX(Movimientos!$F$2:$F$1993,MATCH(A165&amp;"ENTRADA",Movimientos!$R$2:$R$1993,0)),"-")</f>
        <v>-</v>
      </c>
      <c r="F165" s="2" t="str">
        <f>IFERROR(INDEX(Movimientos!$G$2:$G$1993,MATCH(A165&amp;"ENTRADA",Movimientos!$R$2:$R$1993,0)),"-")</f>
        <v>-</v>
      </c>
      <c r="G165" s="2" t="str">
        <f>IFERROR(INDEX(Movimientos!$L$2:$L$1993,MATCH(A165&amp;"ENTRADA",Movimientos!$R$2:$R$1993,0)),"-")</f>
        <v>-</v>
      </c>
      <c r="H165" s="17" t="str">
        <f>IFERROR(IF(INDEX(Movimientos!$M$2:$M$1993,MATCH(A165&amp;"ENTRADA",Movimientos!$R$2:$R$1993,0))=0,"S/D",INDEX(Movimientos!$M$2:$M$1993,MATCH(A165&amp;"ENTRADA",Movimientos!$R$2:$R$1993,0))),"S/D")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2506</v>
      </c>
      <c r="B166" s="2" t="str">
        <f>IFERROR(INDEX(Movimientos!$C$2:$C$1993,MATCH(A166&amp;"ENTRADA",Movimientos!$R$2:$R$1993,0)),"-")</f>
        <v>-</v>
      </c>
      <c r="C166" s="2" t="str">
        <f>IFERROR(INDEX(Movimientos!$D$2:$D$1993,MATCH(A166&amp;"ENTRADA",Movimientos!$R$2:$R$1993,0)),"-")</f>
        <v>-</v>
      </c>
      <c r="D166" s="2" t="str">
        <f>IFERROR(INDEX(Movimientos!$E$2:$E$1993,MATCH(A166&amp;"ENTRADA",Movimientos!$R$2:$R$1993,0)),"-")</f>
        <v>-</v>
      </c>
      <c r="E166" s="2" t="str">
        <f>IFERROR(INDEX(Movimientos!$F$2:$F$1993,MATCH(A166&amp;"ENTRADA",Movimientos!$R$2:$R$1993,0)),"-")</f>
        <v>-</v>
      </c>
      <c r="F166" s="2" t="str">
        <f>IFERROR(INDEX(Movimientos!$G$2:$G$1993,MATCH(A166&amp;"ENTRADA",Movimientos!$R$2:$R$1993,0)),"-")</f>
        <v>-</v>
      </c>
      <c r="G166" s="2" t="str">
        <f>IFERROR(INDEX(Movimientos!$L$2:$L$1993,MATCH(A166&amp;"ENTRADA",Movimientos!$R$2:$R$1993,0)),"-")</f>
        <v>-</v>
      </c>
      <c r="H166" s="17" t="str">
        <f>IFERROR(IF(INDEX(Movimientos!$M$2:$M$1993,MATCH(A166&amp;"ENTRADA",Movimientos!$R$2:$R$1993,0))=0,"S/D",INDEX(Movimientos!$M$2:$M$1993,MATCH(A166&amp;"ENTRADA",Movimientos!$R$2:$R$1993,0))),"S/D")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2507</v>
      </c>
      <c r="B167" s="2" t="str">
        <f>IFERROR(INDEX(Movimientos!$C$2:$C$1993,MATCH(A167&amp;"ENTRADA",Movimientos!$R$2:$R$1993,0)),"-")</f>
        <v>-</v>
      </c>
      <c r="C167" s="2" t="str">
        <f>IFERROR(INDEX(Movimientos!$D$2:$D$1993,MATCH(A167&amp;"ENTRADA",Movimientos!$R$2:$R$1993,0)),"-")</f>
        <v>-</v>
      </c>
      <c r="D167" s="2" t="str">
        <f>IFERROR(INDEX(Movimientos!$E$2:$E$1993,MATCH(A167&amp;"ENTRADA",Movimientos!$R$2:$R$1993,0)),"-")</f>
        <v>-</v>
      </c>
      <c r="E167" s="2" t="str">
        <f>IFERROR(INDEX(Movimientos!$F$2:$F$1993,MATCH(A167&amp;"ENTRADA",Movimientos!$R$2:$R$1993,0)),"-")</f>
        <v>-</v>
      </c>
      <c r="F167" s="2" t="str">
        <f>IFERROR(INDEX(Movimientos!$G$2:$G$1993,MATCH(A167&amp;"ENTRADA",Movimientos!$R$2:$R$1993,0)),"-")</f>
        <v>-</v>
      </c>
      <c r="G167" s="2" t="str">
        <f>IFERROR(INDEX(Movimientos!$L$2:$L$1993,MATCH(A167&amp;"ENTRADA",Movimientos!$R$2:$R$1993,0)),"-")</f>
        <v>-</v>
      </c>
      <c r="H167" s="17" t="str">
        <f>IFERROR(IF(INDEX(Movimientos!$M$2:$M$1993,MATCH(A167&amp;"ENTRADA",Movimientos!$R$2:$R$1993,0))=0,"S/D",INDEX(Movimientos!$M$2:$M$1993,MATCH(A167&amp;"ENTRADA",Movimientos!$R$2:$R$1993,0))),"S/D")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2508</v>
      </c>
      <c r="B168" s="2" t="str">
        <f>IFERROR(INDEX(Movimientos!$C$2:$C$1993,MATCH(A168&amp;"ENTRADA",Movimientos!$R$2:$R$1993,0)),"-")</f>
        <v>-</v>
      </c>
      <c r="C168" s="2" t="str">
        <f>IFERROR(INDEX(Movimientos!$D$2:$D$1993,MATCH(A168&amp;"ENTRADA",Movimientos!$R$2:$R$1993,0)),"-")</f>
        <v>-</v>
      </c>
      <c r="D168" s="2" t="str">
        <f>IFERROR(INDEX(Movimientos!$E$2:$E$1993,MATCH(A168&amp;"ENTRADA",Movimientos!$R$2:$R$1993,0)),"-")</f>
        <v>-</v>
      </c>
      <c r="E168" s="2" t="str">
        <f>IFERROR(INDEX(Movimientos!$F$2:$F$1993,MATCH(A168&amp;"ENTRADA",Movimientos!$R$2:$R$1993,0)),"-")</f>
        <v>-</v>
      </c>
      <c r="F168" s="2" t="str">
        <f>IFERROR(INDEX(Movimientos!$G$2:$G$1993,MATCH(A168&amp;"ENTRADA",Movimientos!$R$2:$R$1993,0)),"-")</f>
        <v>-</v>
      </c>
      <c r="G168" s="2" t="str">
        <f>IFERROR(INDEX(Movimientos!$L$2:$L$1993,MATCH(A168&amp;"ENTRADA",Movimientos!$R$2:$R$1993,0)),"-")</f>
        <v>-</v>
      </c>
      <c r="H168" s="17" t="str">
        <f>IFERROR(IF(INDEX(Movimientos!$M$2:$M$1993,MATCH(A168&amp;"ENTRADA",Movimientos!$R$2:$R$1993,0))=0,"S/D",INDEX(Movimientos!$M$2:$M$1993,MATCH(A168&amp;"ENTRADA",Movimientos!$R$2:$R$1993,0))),"S/D")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2509</v>
      </c>
      <c r="B169" s="2" t="str">
        <f>IFERROR(INDEX(Movimientos!$C$2:$C$1993,MATCH(A169&amp;"ENTRADA",Movimientos!$R$2:$R$1993,0)),"-")</f>
        <v>-</v>
      </c>
      <c r="C169" s="2" t="str">
        <f>IFERROR(INDEX(Movimientos!$D$2:$D$1993,MATCH(A169&amp;"ENTRADA",Movimientos!$R$2:$R$1993,0)),"-")</f>
        <v>-</v>
      </c>
      <c r="D169" s="2" t="str">
        <f>IFERROR(INDEX(Movimientos!$E$2:$E$1993,MATCH(A169&amp;"ENTRADA",Movimientos!$R$2:$R$1993,0)),"-")</f>
        <v>-</v>
      </c>
      <c r="E169" s="2" t="str">
        <f>IFERROR(INDEX(Movimientos!$F$2:$F$1993,MATCH(A169&amp;"ENTRADA",Movimientos!$R$2:$R$1993,0)),"-")</f>
        <v>-</v>
      </c>
      <c r="F169" s="2" t="str">
        <f>IFERROR(INDEX(Movimientos!$G$2:$G$1993,MATCH(A169&amp;"ENTRADA",Movimientos!$R$2:$R$1993,0)),"-")</f>
        <v>-</v>
      </c>
      <c r="G169" s="2" t="str">
        <f>IFERROR(INDEX(Movimientos!$L$2:$L$1993,MATCH(A169&amp;"ENTRADA",Movimientos!$R$2:$R$1993,0)),"-")</f>
        <v>-</v>
      </c>
      <c r="H169" s="17" t="str">
        <f>IFERROR(IF(INDEX(Movimientos!$M$2:$M$1993,MATCH(A169&amp;"ENTRADA",Movimientos!$R$2:$R$1993,0))=0,"S/D",INDEX(Movimientos!$M$2:$M$1993,MATCH(A169&amp;"ENTRADA",Movimientos!$R$2:$R$1993,0))),"S/D")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2510</v>
      </c>
      <c r="B170" s="2" t="str">
        <f>IFERROR(INDEX(Movimientos!$C$2:$C$1993,MATCH(A170&amp;"ENTRADA",Movimientos!$R$2:$R$1993,0)),"-")</f>
        <v>-</v>
      </c>
      <c r="C170" s="2" t="str">
        <f>IFERROR(INDEX(Movimientos!$D$2:$D$1993,MATCH(A170&amp;"ENTRADA",Movimientos!$R$2:$R$1993,0)),"-")</f>
        <v>-</v>
      </c>
      <c r="D170" s="2" t="str">
        <f>IFERROR(INDEX(Movimientos!$E$2:$E$1993,MATCH(A170&amp;"ENTRADA",Movimientos!$R$2:$R$1993,0)),"-")</f>
        <v>-</v>
      </c>
      <c r="E170" s="2" t="str">
        <f>IFERROR(INDEX(Movimientos!$F$2:$F$1993,MATCH(A170&amp;"ENTRADA",Movimientos!$R$2:$R$1993,0)),"-")</f>
        <v>-</v>
      </c>
      <c r="F170" s="2" t="str">
        <f>IFERROR(INDEX(Movimientos!$G$2:$G$1993,MATCH(A170&amp;"ENTRADA",Movimientos!$R$2:$R$1993,0)),"-")</f>
        <v>-</v>
      </c>
      <c r="G170" s="2" t="str">
        <f>IFERROR(INDEX(Movimientos!$L$2:$L$1993,MATCH(A170&amp;"ENTRADA",Movimientos!$R$2:$R$1993,0)),"-")</f>
        <v>-</v>
      </c>
      <c r="H170" s="17" t="str">
        <f>IFERROR(IF(INDEX(Movimientos!$M$2:$M$1993,MATCH(A170&amp;"ENTRADA",Movimientos!$R$2:$R$1993,0))=0,"S/D",INDEX(Movimientos!$M$2:$M$1993,MATCH(A170&amp;"ENTRADA",Movimientos!$R$2:$R$1993,0))),"S/D")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2511</v>
      </c>
      <c r="B171" s="2" t="str">
        <f>IFERROR(INDEX(Movimientos!$C$2:$C$1993,MATCH(A171&amp;"ENTRADA",Movimientos!$R$2:$R$1993,0)),"-")</f>
        <v>-</v>
      </c>
      <c r="C171" s="2" t="str">
        <f>IFERROR(INDEX(Movimientos!$D$2:$D$1993,MATCH(A171&amp;"ENTRADA",Movimientos!$R$2:$R$1993,0)),"-")</f>
        <v>-</v>
      </c>
      <c r="D171" s="2" t="str">
        <f>IFERROR(INDEX(Movimientos!$E$2:$E$1993,MATCH(A171&amp;"ENTRADA",Movimientos!$R$2:$R$1993,0)),"-")</f>
        <v>-</v>
      </c>
      <c r="E171" s="2" t="str">
        <f>IFERROR(INDEX(Movimientos!$F$2:$F$1993,MATCH(A171&amp;"ENTRADA",Movimientos!$R$2:$R$1993,0)),"-")</f>
        <v>-</v>
      </c>
      <c r="F171" s="2" t="str">
        <f>IFERROR(INDEX(Movimientos!$G$2:$G$1993,MATCH(A171&amp;"ENTRADA",Movimientos!$R$2:$R$1993,0)),"-")</f>
        <v>-</v>
      </c>
      <c r="G171" s="2" t="str">
        <f>IFERROR(INDEX(Movimientos!$L$2:$L$1993,MATCH(A171&amp;"ENTRADA",Movimientos!$R$2:$R$1993,0)),"-")</f>
        <v>-</v>
      </c>
      <c r="H171" s="17" t="str">
        <f>IFERROR(IF(INDEX(Movimientos!$M$2:$M$1993,MATCH(A171&amp;"ENTRADA",Movimientos!$R$2:$R$1993,0))=0,"S/D",INDEX(Movimientos!$M$2:$M$1993,MATCH(A171&amp;"ENTRADA",Movimientos!$R$2:$R$1993,0))),"S/D")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2512</v>
      </c>
      <c r="B172" s="2" t="str">
        <f>IFERROR(INDEX(Movimientos!$C$2:$C$1993,MATCH(A172&amp;"ENTRADA",Movimientos!$R$2:$R$1993,0)),"-")</f>
        <v>-</v>
      </c>
      <c r="C172" s="2" t="str">
        <f>IFERROR(INDEX(Movimientos!$D$2:$D$1993,MATCH(A172&amp;"ENTRADA",Movimientos!$R$2:$R$1993,0)),"-")</f>
        <v>-</v>
      </c>
      <c r="D172" s="2" t="str">
        <f>IFERROR(INDEX(Movimientos!$E$2:$E$1993,MATCH(A172&amp;"ENTRADA",Movimientos!$R$2:$R$1993,0)),"-")</f>
        <v>-</v>
      </c>
      <c r="E172" s="2" t="str">
        <f>IFERROR(INDEX(Movimientos!$F$2:$F$1993,MATCH(A172&amp;"ENTRADA",Movimientos!$R$2:$R$1993,0)),"-")</f>
        <v>-</v>
      </c>
      <c r="F172" s="2" t="str">
        <f>IFERROR(INDEX(Movimientos!$G$2:$G$1993,MATCH(A172&amp;"ENTRADA",Movimientos!$R$2:$R$1993,0)),"-")</f>
        <v>-</v>
      </c>
      <c r="G172" s="2" t="str">
        <f>IFERROR(INDEX(Movimientos!$L$2:$L$1993,MATCH(A172&amp;"ENTRADA",Movimientos!$R$2:$R$1993,0)),"-")</f>
        <v>-</v>
      </c>
      <c r="H172" s="17" t="str">
        <f>IFERROR(IF(INDEX(Movimientos!$M$2:$M$1993,MATCH(A172&amp;"ENTRADA",Movimientos!$R$2:$R$1993,0))=0,"S/D",INDEX(Movimientos!$M$2:$M$1993,MATCH(A172&amp;"ENTRADA",Movimientos!$R$2:$R$1993,0))),"S/D")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2513</v>
      </c>
      <c r="B173" s="2" t="str">
        <f>IFERROR(INDEX(Movimientos!$C$2:$C$1993,MATCH(A173&amp;"ENTRADA",Movimientos!$R$2:$R$1993,0)),"-")</f>
        <v>-</v>
      </c>
      <c r="C173" s="2" t="str">
        <f>IFERROR(INDEX(Movimientos!$D$2:$D$1993,MATCH(A173&amp;"ENTRADA",Movimientos!$R$2:$R$1993,0)),"-")</f>
        <v>-</v>
      </c>
      <c r="D173" s="2" t="str">
        <f>IFERROR(INDEX(Movimientos!$E$2:$E$1993,MATCH(A173&amp;"ENTRADA",Movimientos!$R$2:$R$1993,0)),"-")</f>
        <v>-</v>
      </c>
      <c r="E173" s="2" t="str">
        <f>IFERROR(INDEX(Movimientos!$F$2:$F$1993,MATCH(A173&amp;"ENTRADA",Movimientos!$R$2:$R$1993,0)),"-")</f>
        <v>-</v>
      </c>
      <c r="F173" s="2" t="str">
        <f>IFERROR(INDEX(Movimientos!$G$2:$G$1993,MATCH(A173&amp;"ENTRADA",Movimientos!$R$2:$R$1993,0)),"-")</f>
        <v>-</v>
      </c>
      <c r="G173" s="2" t="str">
        <f>IFERROR(INDEX(Movimientos!$L$2:$L$1993,MATCH(A173&amp;"ENTRADA",Movimientos!$R$2:$R$1993,0)),"-")</f>
        <v>-</v>
      </c>
      <c r="H173" s="17" t="str">
        <f>IFERROR(IF(INDEX(Movimientos!$M$2:$M$1993,MATCH(A173&amp;"ENTRADA",Movimientos!$R$2:$R$1993,0))=0,"S/D",INDEX(Movimientos!$M$2:$M$1993,MATCH(A173&amp;"ENTRADA",Movimientos!$R$2:$R$1993,0))),"S/D")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2514</v>
      </c>
      <c r="B174" s="2" t="str">
        <f>IFERROR(INDEX(Movimientos!$C$2:$C$1993,MATCH(A174&amp;"ENTRADA",Movimientos!$R$2:$R$1993,0)),"-")</f>
        <v>-</v>
      </c>
      <c r="C174" s="2" t="str">
        <f>IFERROR(INDEX(Movimientos!$D$2:$D$1993,MATCH(A174&amp;"ENTRADA",Movimientos!$R$2:$R$1993,0)),"-")</f>
        <v>-</v>
      </c>
      <c r="D174" s="2" t="str">
        <f>IFERROR(INDEX(Movimientos!$E$2:$E$1993,MATCH(A174&amp;"ENTRADA",Movimientos!$R$2:$R$1993,0)),"-")</f>
        <v>-</v>
      </c>
      <c r="E174" s="2" t="str">
        <f>IFERROR(INDEX(Movimientos!$F$2:$F$1993,MATCH(A174&amp;"ENTRADA",Movimientos!$R$2:$R$1993,0)),"-")</f>
        <v>-</v>
      </c>
      <c r="F174" s="2" t="str">
        <f>IFERROR(INDEX(Movimientos!$G$2:$G$1993,MATCH(A174&amp;"ENTRADA",Movimientos!$R$2:$R$1993,0)),"-")</f>
        <v>-</v>
      </c>
      <c r="G174" s="2" t="str">
        <f>IFERROR(INDEX(Movimientos!$L$2:$L$1993,MATCH(A174&amp;"ENTRADA",Movimientos!$R$2:$R$1993,0)),"-")</f>
        <v>-</v>
      </c>
      <c r="H174" s="17" t="str">
        <f>IFERROR(IF(INDEX(Movimientos!$M$2:$M$1993,MATCH(A174&amp;"ENTRADA",Movimientos!$R$2:$R$1993,0))=0,"S/D",INDEX(Movimientos!$M$2:$M$1993,MATCH(A174&amp;"ENTRADA",Movimientos!$R$2:$R$1993,0))),"S/D")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2515</v>
      </c>
      <c r="B175" s="2" t="str">
        <f>IFERROR(INDEX(Movimientos!$C$2:$C$1993,MATCH(A175&amp;"ENTRADA",Movimientos!$R$2:$R$1993,0)),"-")</f>
        <v>-</v>
      </c>
      <c r="C175" s="2" t="str">
        <f>IFERROR(INDEX(Movimientos!$D$2:$D$1993,MATCH(A175&amp;"ENTRADA",Movimientos!$R$2:$R$1993,0)),"-")</f>
        <v>-</v>
      </c>
      <c r="D175" s="2" t="str">
        <f>IFERROR(INDEX(Movimientos!$E$2:$E$1993,MATCH(A175&amp;"ENTRADA",Movimientos!$R$2:$R$1993,0)),"-")</f>
        <v>-</v>
      </c>
      <c r="E175" s="2" t="str">
        <f>IFERROR(INDEX(Movimientos!$F$2:$F$1993,MATCH(A175&amp;"ENTRADA",Movimientos!$R$2:$R$1993,0)),"-")</f>
        <v>-</v>
      </c>
      <c r="F175" s="2" t="str">
        <f>IFERROR(INDEX(Movimientos!$G$2:$G$1993,MATCH(A175&amp;"ENTRADA",Movimientos!$R$2:$R$1993,0)),"-")</f>
        <v>-</v>
      </c>
      <c r="G175" s="2" t="str">
        <f>IFERROR(INDEX(Movimientos!$L$2:$L$1993,MATCH(A175&amp;"ENTRADA",Movimientos!$R$2:$R$1993,0)),"-")</f>
        <v>-</v>
      </c>
      <c r="H175" s="17" t="str">
        <f>IFERROR(IF(INDEX(Movimientos!$M$2:$M$1993,MATCH(A175&amp;"ENTRADA",Movimientos!$R$2:$R$1993,0))=0,"S/D",INDEX(Movimientos!$M$2:$M$1993,MATCH(A175&amp;"ENTRADA",Movimientos!$R$2:$R$1993,0))),"S/D")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2516</v>
      </c>
      <c r="B176" s="2" t="str">
        <f>IFERROR(INDEX(Movimientos!$C$2:$C$1993,MATCH(A176&amp;"ENTRADA",Movimientos!$R$2:$R$1993,0)),"-")</f>
        <v>-</v>
      </c>
      <c r="C176" s="2" t="str">
        <f>IFERROR(INDEX(Movimientos!$D$2:$D$1993,MATCH(A176&amp;"ENTRADA",Movimientos!$R$2:$R$1993,0)),"-")</f>
        <v>-</v>
      </c>
      <c r="D176" s="2" t="str">
        <f>IFERROR(INDEX(Movimientos!$E$2:$E$1993,MATCH(A176&amp;"ENTRADA",Movimientos!$R$2:$R$1993,0)),"-")</f>
        <v>-</v>
      </c>
      <c r="E176" s="2" t="str">
        <f>IFERROR(INDEX(Movimientos!$F$2:$F$1993,MATCH(A176&amp;"ENTRADA",Movimientos!$R$2:$R$1993,0)),"-")</f>
        <v>-</v>
      </c>
      <c r="F176" s="2" t="str">
        <f>IFERROR(INDEX(Movimientos!$G$2:$G$1993,MATCH(A176&amp;"ENTRADA",Movimientos!$R$2:$R$1993,0)),"-")</f>
        <v>-</v>
      </c>
      <c r="G176" s="2" t="str">
        <f>IFERROR(INDEX(Movimientos!$L$2:$L$1993,MATCH(A176&amp;"ENTRADA",Movimientos!$R$2:$R$1993,0)),"-")</f>
        <v>-</v>
      </c>
      <c r="H176" s="17" t="str">
        <f>IFERROR(IF(INDEX(Movimientos!$M$2:$M$1993,MATCH(A176&amp;"ENTRADA",Movimientos!$R$2:$R$1993,0))=0,"S/D",INDEX(Movimientos!$M$2:$M$1993,MATCH(A176&amp;"ENTRADA",Movimientos!$R$2:$R$1993,0))),"S/D")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2517</v>
      </c>
      <c r="B177" s="2" t="str">
        <f>IFERROR(INDEX(Movimientos!$C$2:$C$1993,MATCH(A177&amp;"ENTRADA",Movimientos!$R$2:$R$1993,0)),"-")</f>
        <v>-</v>
      </c>
      <c r="C177" s="2" t="str">
        <f>IFERROR(INDEX(Movimientos!$D$2:$D$1993,MATCH(A177&amp;"ENTRADA",Movimientos!$R$2:$R$1993,0)),"-")</f>
        <v>-</v>
      </c>
      <c r="D177" s="2" t="str">
        <f>IFERROR(INDEX(Movimientos!$E$2:$E$1993,MATCH(A177&amp;"ENTRADA",Movimientos!$R$2:$R$1993,0)),"-")</f>
        <v>-</v>
      </c>
      <c r="E177" s="2" t="str">
        <f>IFERROR(INDEX(Movimientos!$F$2:$F$1993,MATCH(A177&amp;"ENTRADA",Movimientos!$R$2:$R$1993,0)),"-")</f>
        <v>-</v>
      </c>
      <c r="F177" s="2" t="str">
        <f>IFERROR(INDEX(Movimientos!$G$2:$G$1993,MATCH(A177&amp;"ENTRADA",Movimientos!$R$2:$R$1993,0)),"-")</f>
        <v>-</v>
      </c>
      <c r="G177" s="2" t="str">
        <f>IFERROR(INDEX(Movimientos!$L$2:$L$1993,MATCH(A177&amp;"ENTRADA",Movimientos!$R$2:$R$1993,0)),"-")</f>
        <v>-</v>
      </c>
      <c r="H177" s="17" t="str">
        <f>IFERROR(IF(INDEX(Movimientos!$M$2:$M$1993,MATCH(A177&amp;"ENTRADA",Movimientos!$R$2:$R$1993,0))=0,"S/D",INDEX(Movimientos!$M$2:$M$1993,MATCH(A177&amp;"ENTRADA",Movimientos!$R$2:$R$1993,0))),"S/D")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2518</v>
      </c>
      <c r="B178" s="2" t="str">
        <f>IFERROR(INDEX(Movimientos!$C$2:$C$1993,MATCH(A178&amp;"ENTRADA",Movimientos!$R$2:$R$1993,0)),"-")</f>
        <v>-</v>
      </c>
      <c r="C178" s="2" t="str">
        <f>IFERROR(INDEX(Movimientos!$D$2:$D$1993,MATCH(A178&amp;"ENTRADA",Movimientos!$R$2:$R$1993,0)),"-")</f>
        <v>-</v>
      </c>
      <c r="D178" s="2" t="str">
        <f>IFERROR(INDEX(Movimientos!$E$2:$E$1993,MATCH(A178&amp;"ENTRADA",Movimientos!$R$2:$R$1993,0)),"-")</f>
        <v>-</v>
      </c>
      <c r="E178" s="2" t="str">
        <f>IFERROR(INDEX(Movimientos!$F$2:$F$1993,MATCH(A178&amp;"ENTRADA",Movimientos!$R$2:$R$1993,0)),"-")</f>
        <v>-</v>
      </c>
      <c r="F178" s="2" t="str">
        <f>IFERROR(INDEX(Movimientos!$G$2:$G$1993,MATCH(A178&amp;"ENTRADA",Movimientos!$R$2:$R$1993,0)),"-")</f>
        <v>-</v>
      </c>
      <c r="G178" s="2" t="str">
        <f>IFERROR(INDEX(Movimientos!$L$2:$L$1993,MATCH(A178&amp;"ENTRADA",Movimientos!$R$2:$R$1993,0)),"-")</f>
        <v>-</v>
      </c>
      <c r="H178" s="17" t="str">
        <f>IFERROR(IF(INDEX(Movimientos!$M$2:$M$1993,MATCH(A178&amp;"ENTRADA",Movimientos!$R$2:$R$1993,0))=0,"S/D",INDEX(Movimientos!$M$2:$M$1993,MATCH(A178&amp;"ENTRADA",Movimientos!$R$2:$R$1993,0))),"S/D")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2519</v>
      </c>
      <c r="B179" s="2" t="str">
        <f>IFERROR(INDEX(Movimientos!$C$2:$C$1993,MATCH(A179&amp;"ENTRADA",Movimientos!$R$2:$R$1993,0)),"-")</f>
        <v>-</v>
      </c>
      <c r="C179" s="2" t="str">
        <f>IFERROR(INDEX(Movimientos!$D$2:$D$1993,MATCH(A179&amp;"ENTRADA",Movimientos!$R$2:$R$1993,0)),"-")</f>
        <v>-</v>
      </c>
      <c r="D179" s="2" t="str">
        <f>IFERROR(INDEX(Movimientos!$E$2:$E$1993,MATCH(A179&amp;"ENTRADA",Movimientos!$R$2:$R$1993,0)),"-")</f>
        <v>-</v>
      </c>
      <c r="E179" s="2" t="str">
        <f>IFERROR(INDEX(Movimientos!$F$2:$F$1993,MATCH(A179&amp;"ENTRADA",Movimientos!$R$2:$R$1993,0)),"-")</f>
        <v>-</v>
      </c>
      <c r="F179" s="2" t="str">
        <f>IFERROR(INDEX(Movimientos!$G$2:$G$1993,MATCH(A179&amp;"ENTRADA",Movimientos!$R$2:$R$1993,0)),"-")</f>
        <v>-</v>
      </c>
      <c r="G179" s="2" t="str">
        <f>IFERROR(INDEX(Movimientos!$L$2:$L$1993,MATCH(A179&amp;"ENTRADA",Movimientos!$R$2:$R$1993,0)),"-")</f>
        <v>-</v>
      </c>
      <c r="H179" s="17" t="str">
        <f>IFERROR(IF(INDEX(Movimientos!$M$2:$M$1993,MATCH(A179&amp;"ENTRADA",Movimientos!$R$2:$R$1993,0))=0,"S/D",INDEX(Movimientos!$M$2:$M$1993,MATCH(A179&amp;"ENTRADA",Movimientos!$R$2:$R$1993,0))),"S/D")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2520</v>
      </c>
      <c r="B180" s="2" t="str">
        <f>IFERROR(INDEX(Movimientos!$C$2:$C$1993,MATCH(A180&amp;"ENTRADA",Movimientos!$R$2:$R$1993,0)),"-")</f>
        <v>-</v>
      </c>
      <c r="C180" s="2" t="str">
        <f>IFERROR(INDEX(Movimientos!$D$2:$D$1993,MATCH(A180&amp;"ENTRADA",Movimientos!$R$2:$R$1993,0)),"-")</f>
        <v>-</v>
      </c>
      <c r="D180" s="2" t="str">
        <f>IFERROR(INDEX(Movimientos!$E$2:$E$1993,MATCH(A180&amp;"ENTRADA",Movimientos!$R$2:$R$1993,0)),"-")</f>
        <v>-</v>
      </c>
      <c r="E180" s="2" t="str">
        <f>IFERROR(INDEX(Movimientos!$F$2:$F$1993,MATCH(A180&amp;"ENTRADA",Movimientos!$R$2:$R$1993,0)),"-")</f>
        <v>-</v>
      </c>
      <c r="F180" s="2" t="str">
        <f>IFERROR(INDEX(Movimientos!$G$2:$G$1993,MATCH(A180&amp;"ENTRADA",Movimientos!$R$2:$R$1993,0)),"-")</f>
        <v>-</v>
      </c>
      <c r="G180" s="2" t="str">
        <f>IFERROR(INDEX(Movimientos!$L$2:$L$1993,MATCH(A180&amp;"ENTRADA",Movimientos!$R$2:$R$1993,0)),"-")</f>
        <v>-</v>
      </c>
      <c r="H180" s="17" t="str">
        <f>IFERROR(IF(INDEX(Movimientos!$M$2:$M$1993,MATCH(A180&amp;"ENTRADA",Movimientos!$R$2:$R$1993,0))=0,"S/D",INDEX(Movimientos!$M$2:$M$1993,MATCH(A180&amp;"ENTRADA",Movimientos!$R$2:$R$1993,0))),"S/D")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2521</v>
      </c>
      <c r="B181" s="2" t="str">
        <f>IFERROR(INDEX(Movimientos!$C$2:$C$1993,MATCH(A181&amp;"ENTRADA",Movimientos!$R$2:$R$1993,0)),"-")</f>
        <v>-</v>
      </c>
      <c r="C181" s="2" t="str">
        <f>IFERROR(INDEX(Movimientos!$D$2:$D$1993,MATCH(A181&amp;"ENTRADA",Movimientos!$R$2:$R$1993,0)),"-")</f>
        <v>-</v>
      </c>
      <c r="D181" s="2" t="str">
        <f>IFERROR(INDEX(Movimientos!$E$2:$E$1993,MATCH(A181&amp;"ENTRADA",Movimientos!$R$2:$R$1993,0)),"-")</f>
        <v>-</v>
      </c>
      <c r="E181" s="2" t="str">
        <f>IFERROR(INDEX(Movimientos!$F$2:$F$1993,MATCH(A181&amp;"ENTRADA",Movimientos!$R$2:$R$1993,0)),"-")</f>
        <v>-</v>
      </c>
      <c r="F181" s="2" t="str">
        <f>IFERROR(INDEX(Movimientos!$G$2:$G$1993,MATCH(A181&amp;"ENTRADA",Movimientos!$R$2:$R$1993,0)),"-")</f>
        <v>-</v>
      </c>
      <c r="G181" s="2" t="str">
        <f>IFERROR(INDEX(Movimientos!$L$2:$L$1993,MATCH(A181&amp;"ENTRADA",Movimientos!$R$2:$R$1993,0)),"-")</f>
        <v>-</v>
      </c>
      <c r="H181" s="17" t="str">
        <f>IFERROR(IF(INDEX(Movimientos!$M$2:$M$1993,MATCH(A181&amp;"ENTRADA",Movimientos!$R$2:$R$1993,0))=0,"S/D",INDEX(Movimientos!$M$2:$M$1993,MATCH(A181&amp;"ENTRADA",Movimientos!$R$2:$R$1993,0))),"S/D")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2522</v>
      </c>
      <c r="B182" s="2" t="str">
        <f>IFERROR(INDEX(Movimientos!$C$2:$C$1993,MATCH(A182&amp;"ENTRADA",Movimientos!$R$2:$R$1993,0)),"-")</f>
        <v>-</v>
      </c>
      <c r="C182" s="2" t="str">
        <f>IFERROR(INDEX(Movimientos!$D$2:$D$1993,MATCH(A182&amp;"ENTRADA",Movimientos!$R$2:$R$1993,0)),"-")</f>
        <v>-</v>
      </c>
      <c r="D182" s="2" t="str">
        <f>IFERROR(INDEX(Movimientos!$E$2:$E$1993,MATCH(A182&amp;"ENTRADA",Movimientos!$R$2:$R$1993,0)),"-")</f>
        <v>-</v>
      </c>
      <c r="E182" s="2" t="str">
        <f>IFERROR(INDEX(Movimientos!$F$2:$F$1993,MATCH(A182&amp;"ENTRADA",Movimientos!$R$2:$R$1993,0)),"-")</f>
        <v>-</v>
      </c>
      <c r="F182" s="2" t="str">
        <f>IFERROR(INDEX(Movimientos!$G$2:$G$1993,MATCH(A182&amp;"ENTRADA",Movimientos!$R$2:$R$1993,0)),"-")</f>
        <v>-</v>
      </c>
      <c r="G182" s="2" t="str">
        <f>IFERROR(INDEX(Movimientos!$L$2:$L$1993,MATCH(A182&amp;"ENTRADA",Movimientos!$R$2:$R$1993,0)),"-")</f>
        <v>-</v>
      </c>
      <c r="H182" s="17" t="str">
        <f>IFERROR(IF(INDEX(Movimientos!$M$2:$M$1993,MATCH(A182&amp;"ENTRADA",Movimientos!$R$2:$R$1993,0))=0,"S/D",INDEX(Movimientos!$M$2:$M$1993,MATCH(A182&amp;"ENTRADA",Movimientos!$R$2:$R$1993,0))),"S/D")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2523</v>
      </c>
      <c r="B183" s="2" t="str">
        <f>IFERROR(INDEX(Movimientos!$C$2:$C$1993,MATCH(A183&amp;"ENTRADA",Movimientos!$R$2:$R$1993,0)),"-")</f>
        <v>-</v>
      </c>
      <c r="C183" s="2" t="str">
        <f>IFERROR(INDEX(Movimientos!$D$2:$D$1993,MATCH(A183&amp;"ENTRADA",Movimientos!$R$2:$R$1993,0)),"-")</f>
        <v>-</v>
      </c>
      <c r="D183" s="2" t="str">
        <f>IFERROR(INDEX(Movimientos!$E$2:$E$1993,MATCH(A183&amp;"ENTRADA",Movimientos!$R$2:$R$1993,0)),"-")</f>
        <v>-</v>
      </c>
      <c r="E183" s="2" t="str">
        <f>IFERROR(INDEX(Movimientos!$F$2:$F$1993,MATCH(A183&amp;"ENTRADA",Movimientos!$R$2:$R$1993,0)),"-")</f>
        <v>-</v>
      </c>
      <c r="F183" s="2" t="str">
        <f>IFERROR(INDEX(Movimientos!$G$2:$G$1993,MATCH(A183&amp;"ENTRADA",Movimientos!$R$2:$R$1993,0)),"-")</f>
        <v>-</v>
      </c>
      <c r="G183" s="2" t="str">
        <f>IFERROR(INDEX(Movimientos!$L$2:$L$1993,MATCH(A183&amp;"ENTRADA",Movimientos!$R$2:$R$1993,0)),"-")</f>
        <v>-</v>
      </c>
      <c r="H183" s="17" t="str">
        <f>IFERROR(IF(INDEX(Movimientos!$M$2:$M$1993,MATCH(A183&amp;"ENTRADA",Movimientos!$R$2:$R$1993,0))=0,"S/D",INDEX(Movimientos!$M$2:$M$1993,MATCH(A183&amp;"ENTRADA",Movimientos!$R$2:$R$1993,0))),"S/D")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2524</v>
      </c>
      <c r="B184" s="2" t="str">
        <f>IFERROR(INDEX(Movimientos!$C$2:$C$1993,MATCH(A184&amp;"ENTRADA",Movimientos!$R$2:$R$1993,0)),"-")</f>
        <v>-</v>
      </c>
      <c r="C184" s="2" t="str">
        <f>IFERROR(INDEX(Movimientos!$D$2:$D$1993,MATCH(A184&amp;"ENTRADA",Movimientos!$R$2:$R$1993,0)),"-")</f>
        <v>-</v>
      </c>
      <c r="D184" s="2" t="str">
        <f>IFERROR(INDEX(Movimientos!$E$2:$E$1993,MATCH(A184&amp;"ENTRADA",Movimientos!$R$2:$R$1993,0)),"-")</f>
        <v>-</v>
      </c>
      <c r="E184" s="2" t="str">
        <f>IFERROR(INDEX(Movimientos!$F$2:$F$1993,MATCH(A184&amp;"ENTRADA",Movimientos!$R$2:$R$1993,0)),"-")</f>
        <v>-</v>
      </c>
      <c r="F184" s="2" t="str">
        <f>IFERROR(INDEX(Movimientos!$G$2:$G$1993,MATCH(A184&amp;"ENTRADA",Movimientos!$R$2:$R$1993,0)),"-")</f>
        <v>-</v>
      </c>
      <c r="G184" s="2" t="str">
        <f>IFERROR(INDEX(Movimientos!$L$2:$L$1993,MATCH(A184&amp;"ENTRADA",Movimientos!$R$2:$R$1993,0)),"-")</f>
        <v>-</v>
      </c>
      <c r="H184" s="17" t="str">
        <f>IFERROR(IF(INDEX(Movimientos!$M$2:$M$1993,MATCH(A184&amp;"ENTRADA",Movimientos!$R$2:$R$1993,0))=0,"S/D",INDEX(Movimientos!$M$2:$M$1993,MATCH(A184&amp;"ENTRADA",Movimientos!$R$2:$R$1993,0))),"S/D")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2525</v>
      </c>
      <c r="B185" s="2" t="str">
        <f>IFERROR(INDEX(Movimientos!$C$2:$C$1993,MATCH(A185&amp;"ENTRADA",Movimientos!$R$2:$R$1993,0)),"-")</f>
        <v>-</v>
      </c>
      <c r="C185" s="2" t="str">
        <f>IFERROR(INDEX(Movimientos!$D$2:$D$1993,MATCH(A185&amp;"ENTRADA",Movimientos!$R$2:$R$1993,0)),"-")</f>
        <v>-</v>
      </c>
      <c r="D185" s="2" t="str">
        <f>IFERROR(INDEX(Movimientos!$E$2:$E$1993,MATCH(A185&amp;"ENTRADA",Movimientos!$R$2:$R$1993,0)),"-")</f>
        <v>-</v>
      </c>
      <c r="E185" s="2" t="str">
        <f>IFERROR(INDEX(Movimientos!$F$2:$F$1993,MATCH(A185&amp;"ENTRADA",Movimientos!$R$2:$R$1993,0)),"-")</f>
        <v>-</v>
      </c>
      <c r="F185" s="2" t="str">
        <f>IFERROR(INDEX(Movimientos!$G$2:$G$1993,MATCH(A185&amp;"ENTRADA",Movimientos!$R$2:$R$1993,0)),"-")</f>
        <v>-</v>
      </c>
      <c r="G185" s="2" t="str">
        <f>IFERROR(INDEX(Movimientos!$L$2:$L$1993,MATCH(A185&amp;"ENTRADA",Movimientos!$R$2:$R$1993,0)),"-")</f>
        <v>-</v>
      </c>
      <c r="H185" s="17" t="str">
        <f>IFERROR(IF(INDEX(Movimientos!$M$2:$M$1993,MATCH(A185&amp;"ENTRADA",Movimientos!$R$2:$R$1993,0))=0,"S/D",INDEX(Movimientos!$M$2:$M$1993,MATCH(A185&amp;"ENTRADA",Movimientos!$R$2:$R$1993,0))),"S/D")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2526</v>
      </c>
      <c r="B186" s="2" t="str">
        <f>IFERROR(INDEX(Movimientos!$C$2:$C$1993,MATCH(A186&amp;"ENTRADA",Movimientos!$R$2:$R$1993,0)),"-")</f>
        <v>-</v>
      </c>
      <c r="C186" s="2" t="str">
        <f>IFERROR(INDEX(Movimientos!$D$2:$D$1993,MATCH(A186&amp;"ENTRADA",Movimientos!$R$2:$R$1993,0)),"-")</f>
        <v>-</v>
      </c>
      <c r="D186" s="2" t="str">
        <f>IFERROR(INDEX(Movimientos!$E$2:$E$1993,MATCH(A186&amp;"ENTRADA",Movimientos!$R$2:$R$1993,0)),"-")</f>
        <v>-</v>
      </c>
      <c r="E186" s="2" t="str">
        <f>IFERROR(INDEX(Movimientos!$F$2:$F$1993,MATCH(A186&amp;"ENTRADA",Movimientos!$R$2:$R$1993,0)),"-")</f>
        <v>-</v>
      </c>
      <c r="F186" s="2" t="str">
        <f>IFERROR(INDEX(Movimientos!$G$2:$G$1993,MATCH(A186&amp;"ENTRADA",Movimientos!$R$2:$R$1993,0)),"-")</f>
        <v>-</v>
      </c>
      <c r="G186" s="2" t="str">
        <f>IFERROR(INDEX(Movimientos!$L$2:$L$1993,MATCH(A186&amp;"ENTRADA",Movimientos!$R$2:$R$1993,0)),"-")</f>
        <v>-</v>
      </c>
      <c r="H186" s="17" t="str">
        <f>IFERROR(IF(INDEX(Movimientos!$M$2:$M$1993,MATCH(A186&amp;"ENTRADA",Movimientos!$R$2:$R$1993,0))=0,"S/D",INDEX(Movimientos!$M$2:$M$1993,MATCH(A186&amp;"ENTRADA",Movimientos!$R$2:$R$1993,0))),"S/D")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2527</v>
      </c>
      <c r="B187" s="2" t="str">
        <f>IFERROR(INDEX(Movimientos!$C$2:$C$1993,MATCH(A187&amp;"ENTRADA",Movimientos!$R$2:$R$1993,0)),"-")</f>
        <v>-</v>
      </c>
      <c r="C187" s="2" t="str">
        <f>IFERROR(INDEX(Movimientos!$D$2:$D$1993,MATCH(A187&amp;"ENTRADA",Movimientos!$R$2:$R$1993,0)),"-")</f>
        <v>-</v>
      </c>
      <c r="D187" s="2" t="str">
        <f>IFERROR(INDEX(Movimientos!$E$2:$E$1993,MATCH(A187&amp;"ENTRADA",Movimientos!$R$2:$R$1993,0)),"-")</f>
        <v>-</v>
      </c>
      <c r="E187" s="2" t="str">
        <f>IFERROR(INDEX(Movimientos!$F$2:$F$1993,MATCH(A187&amp;"ENTRADA",Movimientos!$R$2:$R$1993,0)),"-")</f>
        <v>-</v>
      </c>
      <c r="F187" s="2" t="str">
        <f>IFERROR(INDEX(Movimientos!$G$2:$G$1993,MATCH(A187&amp;"ENTRADA",Movimientos!$R$2:$R$1993,0)),"-")</f>
        <v>-</v>
      </c>
      <c r="G187" s="2" t="str">
        <f>IFERROR(INDEX(Movimientos!$L$2:$L$1993,MATCH(A187&amp;"ENTRADA",Movimientos!$R$2:$R$1993,0)),"-")</f>
        <v>-</v>
      </c>
      <c r="H187" s="17" t="str">
        <f>IFERROR(IF(INDEX(Movimientos!$M$2:$M$1993,MATCH(A187&amp;"ENTRADA",Movimientos!$R$2:$R$1993,0))=0,"S/D",INDEX(Movimientos!$M$2:$M$1993,MATCH(A187&amp;"ENTRADA",Movimientos!$R$2:$R$1993,0))),"S/D")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2528</v>
      </c>
      <c r="B188" s="2" t="str">
        <f>IFERROR(INDEX(Movimientos!$C$2:$C$1993,MATCH(A188&amp;"ENTRADA",Movimientos!$R$2:$R$1993,0)),"-")</f>
        <v>-</v>
      </c>
      <c r="C188" s="2" t="str">
        <f>IFERROR(INDEX(Movimientos!$D$2:$D$1993,MATCH(A188&amp;"ENTRADA",Movimientos!$R$2:$R$1993,0)),"-")</f>
        <v>-</v>
      </c>
      <c r="D188" s="2" t="str">
        <f>IFERROR(INDEX(Movimientos!$E$2:$E$1993,MATCH(A188&amp;"ENTRADA",Movimientos!$R$2:$R$1993,0)),"-")</f>
        <v>-</v>
      </c>
      <c r="E188" s="2" t="str">
        <f>IFERROR(INDEX(Movimientos!$F$2:$F$1993,MATCH(A188&amp;"ENTRADA",Movimientos!$R$2:$R$1993,0)),"-")</f>
        <v>-</v>
      </c>
      <c r="F188" s="2" t="str">
        <f>IFERROR(INDEX(Movimientos!$G$2:$G$1993,MATCH(A188&amp;"ENTRADA",Movimientos!$R$2:$R$1993,0)),"-")</f>
        <v>-</v>
      </c>
      <c r="G188" s="2" t="str">
        <f>IFERROR(INDEX(Movimientos!$L$2:$L$1993,MATCH(A188&amp;"ENTRADA",Movimientos!$R$2:$R$1993,0)),"-")</f>
        <v>-</v>
      </c>
      <c r="H188" s="17" t="str">
        <f>IFERROR(IF(INDEX(Movimientos!$M$2:$M$1993,MATCH(A188&amp;"ENTRADA",Movimientos!$R$2:$R$1993,0))=0,"S/D",INDEX(Movimientos!$M$2:$M$1993,MATCH(A188&amp;"ENTRADA",Movimientos!$R$2:$R$1993,0))),"S/D")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2529</v>
      </c>
      <c r="B189" s="2" t="str">
        <f>IFERROR(INDEX(Movimientos!$C$2:$C$1993,MATCH(A189&amp;"ENTRADA",Movimientos!$R$2:$R$1993,0)),"-")</f>
        <v>-</v>
      </c>
      <c r="C189" s="2" t="str">
        <f>IFERROR(INDEX(Movimientos!$D$2:$D$1993,MATCH(A189&amp;"ENTRADA",Movimientos!$R$2:$R$1993,0)),"-")</f>
        <v>-</v>
      </c>
      <c r="D189" s="2" t="str">
        <f>IFERROR(INDEX(Movimientos!$E$2:$E$1993,MATCH(A189&amp;"ENTRADA",Movimientos!$R$2:$R$1993,0)),"-")</f>
        <v>-</v>
      </c>
      <c r="E189" s="2" t="str">
        <f>IFERROR(INDEX(Movimientos!$F$2:$F$1993,MATCH(A189&amp;"ENTRADA",Movimientos!$R$2:$R$1993,0)),"-")</f>
        <v>-</v>
      </c>
      <c r="F189" s="2" t="str">
        <f>IFERROR(INDEX(Movimientos!$G$2:$G$1993,MATCH(A189&amp;"ENTRADA",Movimientos!$R$2:$R$1993,0)),"-")</f>
        <v>-</v>
      </c>
      <c r="G189" s="2" t="str">
        <f>IFERROR(INDEX(Movimientos!$L$2:$L$1993,MATCH(A189&amp;"ENTRADA",Movimientos!$R$2:$R$1993,0)),"-")</f>
        <v>-</v>
      </c>
      <c r="H189" s="17" t="str">
        <f>IFERROR(IF(INDEX(Movimientos!$M$2:$M$1993,MATCH(A189&amp;"ENTRADA",Movimientos!$R$2:$R$1993,0))=0,"S/D",INDEX(Movimientos!$M$2:$M$1993,MATCH(A189&amp;"ENTRADA",Movimientos!$R$2:$R$1993,0))),"S/D")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2530</v>
      </c>
      <c r="B190" s="2" t="str">
        <f>IFERROR(INDEX(Movimientos!$C$2:$C$1993,MATCH(A190&amp;"ENTRADA",Movimientos!$R$2:$R$1993,0)),"-")</f>
        <v>-</v>
      </c>
      <c r="C190" s="2" t="str">
        <f>IFERROR(INDEX(Movimientos!$D$2:$D$1993,MATCH(A190&amp;"ENTRADA",Movimientos!$R$2:$R$1993,0)),"-")</f>
        <v>-</v>
      </c>
      <c r="D190" s="2" t="str">
        <f>IFERROR(INDEX(Movimientos!$E$2:$E$1993,MATCH(A190&amp;"ENTRADA",Movimientos!$R$2:$R$1993,0)),"-")</f>
        <v>-</v>
      </c>
      <c r="E190" s="2" t="str">
        <f>IFERROR(INDEX(Movimientos!$F$2:$F$1993,MATCH(A190&amp;"ENTRADA",Movimientos!$R$2:$R$1993,0)),"-")</f>
        <v>-</v>
      </c>
      <c r="F190" s="2" t="str">
        <f>IFERROR(INDEX(Movimientos!$G$2:$G$1993,MATCH(A190&amp;"ENTRADA",Movimientos!$R$2:$R$1993,0)),"-")</f>
        <v>-</v>
      </c>
      <c r="G190" s="2" t="str">
        <f>IFERROR(INDEX(Movimientos!$L$2:$L$1993,MATCH(A190&amp;"ENTRADA",Movimientos!$R$2:$R$1993,0)),"-")</f>
        <v>-</v>
      </c>
      <c r="H190" s="17" t="str">
        <f>IFERROR(IF(INDEX(Movimientos!$M$2:$M$1993,MATCH(A190&amp;"ENTRADA",Movimientos!$R$2:$R$1993,0))=0,"S/D",INDEX(Movimientos!$M$2:$M$1993,MATCH(A190&amp;"ENTRADA",Movimientos!$R$2:$R$1993,0))),"S/D")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2531</v>
      </c>
      <c r="B191" s="2" t="str">
        <f>IFERROR(INDEX(Movimientos!$C$2:$C$1993,MATCH(A191&amp;"ENTRADA",Movimientos!$R$2:$R$1993,0)),"-")</f>
        <v>-</v>
      </c>
      <c r="C191" s="2" t="str">
        <f>IFERROR(INDEX(Movimientos!$D$2:$D$1993,MATCH(A191&amp;"ENTRADA",Movimientos!$R$2:$R$1993,0)),"-")</f>
        <v>-</v>
      </c>
      <c r="D191" s="2" t="str">
        <f>IFERROR(INDEX(Movimientos!$E$2:$E$1993,MATCH(A191&amp;"ENTRADA",Movimientos!$R$2:$R$1993,0)),"-")</f>
        <v>-</v>
      </c>
      <c r="E191" s="2" t="str">
        <f>IFERROR(INDEX(Movimientos!$F$2:$F$1993,MATCH(A191&amp;"ENTRADA",Movimientos!$R$2:$R$1993,0)),"-")</f>
        <v>-</v>
      </c>
      <c r="F191" s="2" t="str">
        <f>IFERROR(INDEX(Movimientos!$G$2:$G$1993,MATCH(A191&amp;"ENTRADA",Movimientos!$R$2:$R$1993,0)),"-")</f>
        <v>-</v>
      </c>
      <c r="G191" s="2" t="str">
        <f>IFERROR(INDEX(Movimientos!$L$2:$L$1993,MATCH(A191&amp;"ENTRADA",Movimientos!$R$2:$R$1993,0)),"-")</f>
        <v>-</v>
      </c>
      <c r="H191" s="17" t="str">
        <f>IFERROR(IF(INDEX(Movimientos!$M$2:$M$1993,MATCH(A191&amp;"ENTRADA",Movimientos!$R$2:$R$1993,0))=0,"S/D",INDEX(Movimientos!$M$2:$M$1993,MATCH(A191&amp;"ENTRADA",Movimientos!$R$2:$R$1993,0))),"S/D")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2532</v>
      </c>
      <c r="B192" s="2" t="str">
        <f>IFERROR(INDEX(Movimientos!$C$2:$C$1993,MATCH(A192&amp;"ENTRADA",Movimientos!$R$2:$R$1993,0)),"-")</f>
        <v>-</v>
      </c>
      <c r="C192" s="2" t="str">
        <f>IFERROR(INDEX(Movimientos!$D$2:$D$1993,MATCH(A192&amp;"ENTRADA",Movimientos!$R$2:$R$1993,0)),"-")</f>
        <v>-</v>
      </c>
      <c r="D192" s="2" t="str">
        <f>IFERROR(INDEX(Movimientos!$E$2:$E$1993,MATCH(A192&amp;"ENTRADA",Movimientos!$R$2:$R$1993,0)),"-")</f>
        <v>-</v>
      </c>
      <c r="E192" s="2" t="str">
        <f>IFERROR(INDEX(Movimientos!$F$2:$F$1993,MATCH(A192&amp;"ENTRADA",Movimientos!$R$2:$R$1993,0)),"-")</f>
        <v>-</v>
      </c>
      <c r="F192" s="2" t="str">
        <f>IFERROR(INDEX(Movimientos!$G$2:$G$1993,MATCH(A192&amp;"ENTRADA",Movimientos!$R$2:$R$1993,0)),"-")</f>
        <v>-</v>
      </c>
      <c r="G192" s="2" t="str">
        <f>IFERROR(INDEX(Movimientos!$L$2:$L$1993,MATCH(A192&amp;"ENTRADA",Movimientos!$R$2:$R$1993,0)),"-")</f>
        <v>-</v>
      </c>
      <c r="H192" s="17" t="str">
        <f>IFERROR(IF(INDEX(Movimientos!$M$2:$M$1993,MATCH(A192&amp;"ENTRADA",Movimientos!$R$2:$R$1993,0))=0,"S/D",INDEX(Movimientos!$M$2:$M$1993,MATCH(A192&amp;"ENTRADA",Movimientos!$R$2:$R$1993,0))),"S/D")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2533</v>
      </c>
      <c r="B193" s="2" t="str">
        <f>IFERROR(INDEX(Movimientos!$C$2:$C$1993,MATCH(A193&amp;"ENTRADA",Movimientos!$R$2:$R$1993,0)),"-")</f>
        <v>-</v>
      </c>
      <c r="C193" s="2" t="str">
        <f>IFERROR(INDEX(Movimientos!$D$2:$D$1993,MATCH(A193&amp;"ENTRADA",Movimientos!$R$2:$R$1993,0)),"-")</f>
        <v>-</v>
      </c>
      <c r="D193" s="2" t="str">
        <f>IFERROR(INDEX(Movimientos!$E$2:$E$1993,MATCH(A193&amp;"ENTRADA",Movimientos!$R$2:$R$1993,0)),"-")</f>
        <v>-</v>
      </c>
      <c r="E193" s="2" t="str">
        <f>IFERROR(INDEX(Movimientos!$F$2:$F$1993,MATCH(A193&amp;"ENTRADA",Movimientos!$R$2:$R$1993,0)),"-")</f>
        <v>-</v>
      </c>
      <c r="F193" s="2" t="str">
        <f>IFERROR(INDEX(Movimientos!$G$2:$G$1993,MATCH(A193&amp;"ENTRADA",Movimientos!$R$2:$R$1993,0)),"-")</f>
        <v>-</v>
      </c>
      <c r="G193" s="2" t="str">
        <f>IFERROR(INDEX(Movimientos!$L$2:$L$1993,MATCH(A193&amp;"ENTRADA",Movimientos!$R$2:$R$1993,0)),"-")</f>
        <v>-</v>
      </c>
      <c r="H193" s="17" t="str">
        <f>IFERROR(IF(INDEX(Movimientos!$M$2:$M$1993,MATCH(A193&amp;"ENTRADA",Movimientos!$R$2:$R$1993,0))=0,"S/D",INDEX(Movimientos!$M$2:$M$1993,MATCH(A193&amp;"ENTRADA",Movimientos!$R$2:$R$1993,0))),"S/D")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2534</v>
      </c>
      <c r="B194" s="2" t="str">
        <f>IFERROR(INDEX(Movimientos!$C$2:$C$1993,MATCH(A194&amp;"ENTRADA",Movimientos!$R$2:$R$1993,0)),"-")</f>
        <v>-</v>
      </c>
      <c r="C194" s="2" t="str">
        <f>IFERROR(INDEX(Movimientos!$D$2:$D$1993,MATCH(A194&amp;"ENTRADA",Movimientos!$R$2:$R$1993,0)),"-")</f>
        <v>-</v>
      </c>
      <c r="D194" s="2" t="str">
        <f>IFERROR(INDEX(Movimientos!$E$2:$E$1993,MATCH(A194&amp;"ENTRADA",Movimientos!$R$2:$R$1993,0)),"-")</f>
        <v>-</v>
      </c>
      <c r="E194" s="2" t="str">
        <f>IFERROR(INDEX(Movimientos!$F$2:$F$1993,MATCH(A194&amp;"ENTRADA",Movimientos!$R$2:$R$1993,0)),"-")</f>
        <v>-</v>
      </c>
      <c r="F194" s="2" t="str">
        <f>IFERROR(INDEX(Movimientos!$G$2:$G$1993,MATCH(A194&amp;"ENTRADA",Movimientos!$R$2:$R$1993,0)),"-")</f>
        <v>-</v>
      </c>
      <c r="G194" s="2" t="str">
        <f>IFERROR(INDEX(Movimientos!$L$2:$L$1993,MATCH(A194&amp;"ENTRADA",Movimientos!$R$2:$R$1993,0)),"-")</f>
        <v>-</v>
      </c>
      <c r="H194" s="17" t="str">
        <f>IFERROR(IF(INDEX(Movimientos!$M$2:$M$1993,MATCH(A194&amp;"ENTRADA",Movimientos!$R$2:$R$1993,0))=0,"S/D",INDEX(Movimientos!$M$2:$M$1993,MATCH(A194&amp;"ENTRADA",Movimientos!$R$2:$R$1993,0))),"S/D")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2535</v>
      </c>
      <c r="B195" s="2" t="str">
        <f>IFERROR(INDEX(Movimientos!$C$2:$C$1993,MATCH(A195&amp;"ENTRADA",Movimientos!$R$2:$R$1993,0)),"-")</f>
        <v>-</v>
      </c>
      <c r="C195" s="2" t="str">
        <f>IFERROR(INDEX(Movimientos!$D$2:$D$1993,MATCH(A195&amp;"ENTRADA",Movimientos!$R$2:$R$1993,0)),"-")</f>
        <v>-</v>
      </c>
      <c r="D195" s="2" t="str">
        <f>IFERROR(INDEX(Movimientos!$E$2:$E$1993,MATCH(A195&amp;"ENTRADA",Movimientos!$R$2:$R$1993,0)),"-")</f>
        <v>-</v>
      </c>
      <c r="E195" s="2" t="str">
        <f>IFERROR(INDEX(Movimientos!$F$2:$F$1993,MATCH(A195&amp;"ENTRADA",Movimientos!$R$2:$R$1993,0)),"-")</f>
        <v>-</v>
      </c>
      <c r="F195" s="2" t="str">
        <f>IFERROR(INDEX(Movimientos!$G$2:$G$1993,MATCH(A195&amp;"ENTRADA",Movimientos!$R$2:$R$1993,0)),"-")</f>
        <v>-</v>
      </c>
      <c r="G195" s="2" t="str">
        <f>IFERROR(INDEX(Movimientos!$L$2:$L$1993,MATCH(A195&amp;"ENTRADA",Movimientos!$R$2:$R$1993,0)),"-")</f>
        <v>-</v>
      </c>
      <c r="H195" s="17" t="str">
        <f>IFERROR(IF(INDEX(Movimientos!$M$2:$M$1993,MATCH(A195&amp;"ENTRADA",Movimientos!$R$2:$R$1993,0))=0,"S/D",INDEX(Movimientos!$M$2:$M$1993,MATCH(A195&amp;"ENTRADA",Movimientos!$R$2:$R$1993,0))),"S/D")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2536</v>
      </c>
      <c r="B196" s="2" t="str">
        <f>IFERROR(INDEX(Movimientos!$C$2:$C$1993,MATCH(A196&amp;"ENTRADA",Movimientos!$R$2:$R$1993,0)),"-")</f>
        <v>-</v>
      </c>
      <c r="C196" s="2" t="str">
        <f>IFERROR(INDEX(Movimientos!$D$2:$D$1993,MATCH(A196&amp;"ENTRADA",Movimientos!$R$2:$R$1993,0)),"-")</f>
        <v>-</v>
      </c>
      <c r="D196" s="2" t="str">
        <f>IFERROR(INDEX(Movimientos!$E$2:$E$1993,MATCH(A196&amp;"ENTRADA",Movimientos!$R$2:$R$1993,0)),"-")</f>
        <v>-</v>
      </c>
      <c r="E196" s="2" t="str">
        <f>IFERROR(INDEX(Movimientos!$F$2:$F$1993,MATCH(A196&amp;"ENTRADA",Movimientos!$R$2:$R$1993,0)),"-")</f>
        <v>-</v>
      </c>
      <c r="F196" s="2" t="str">
        <f>IFERROR(INDEX(Movimientos!$G$2:$G$1993,MATCH(A196&amp;"ENTRADA",Movimientos!$R$2:$R$1993,0)),"-")</f>
        <v>-</v>
      </c>
      <c r="G196" s="2" t="str">
        <f>IFERROR(INDEX(Movimientos!$L$2:$L$1993,MATCH(A196&amp;"ENTRADA",Movimientos!$R$2:$R$1993,0)),"-")</f>
        <v>-</v>
      </c>
      <c r="H196" s="17" t="str">
        <f>IFERROR(IF(INDEX(Movimientos!$M$2:$M$1993,MATCH(A196&amp;"ENTRADA",Movimientos!$R$2:$R$1993,0))=0,"S/D",INDEX(Movimientos!$M$2:$M$1993,MATCH(A196&amp;"ENTRADA",Movimientos!$R$2:$R$1993,0))),"S/D")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2537</v>
      </c>
      <c r="B197" s="2" t="str">
        <f>IFERROR(INDEX(Movimientos!$C$2:$C$1993,MATCH(A197&amp;"ENTRADA",Movimientos!$R$2:$R$1993,0)),"-")</f>
        <v>-</v>
      </c>
      <c r="C197" s="2" t="str">
        <f>IFERROR(INDEX(Movimientos!$D$2:$D$1993,MATCH(A197&amp;"ENTRADA",Movimientos!$R$2:$R$1993,0)),"-")</f>
        <v>-</v>
      </c>
      <c r="D197" s="2" t="str">
        <f>IFERROR(INDEX(Movimientos!$E$2:$E$1993,MATCH(A197&amp;"ENTRADA",Movimientos!$R$2:$R$1993,0)),"-")</f>
        <v>-</v>
      </c>
      <c r="E197" s="2" t="str">
        <f>IFERROR(INDEX(Movimientos!$F$2:$F$1993,MATCH(A197&amp;"ENTRADA",Movimientos!$R$2:$R$1993,0)),"-")</f>
        <v>-</v>
      </c>
      <c r="F197" s="2" t="str">
        <f>IFERROR(INDEX(Movimientos!$G$2:$G$1993,MATCH(A197&amp;"ENTRADA",Movimientos!$R$2:$R$1993,0)),"-")</f>
        <v>-</v>
      </c>
      <c r="G197" s="2" t="str">
        <f>IFERROR(INDEX(Movimientos!$L$2:$L$1993,MATCH(A197&amp;"ENTRADA",Movimientos!$R$2:$R$1993,0)),"-")</f>
        <v>-</v>
      </c>
      <c r="H197" s="17" t="str">
        <f>IFERROR(IF(INDEX(Movimientos!$M$2:$M$1993,MATCH(A197&amp;"ENTRADA",Movimientos!$R$2:$R$1993,0))=0,"S/D",INDEX(Movimientos!$M$2:$M$1993,MATCH(A197&amp;"ENTRADA",Movimientos!$R$2:$R$1993,0))),"S/D")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2538</v>
      </c>
      <c r="B198" s="2" t="str">
        <f>IFERROR(INDEX(Movimientos!$C$2:$C$1993,MATCH(A198&amp;"ENTRADA",Movimientos!$R$2:$R$1993,0)),"-")</f>
        <v>-</v>
      </c>
      <c r="C198" s="2" t="str">
        <f>IFERROR(INDEX(Movimientos!$D$2:$D$1993,MATCH(A198&amp;"ENTRADA",Movimientos!$R$2:$R$1993,0)),"-")</f>
        <v>-</v>
      </c>
      <c r="D198" s="2" t="str">
        <f>IFERROR(INDEX(Movimientos!$E$2:$E$1993,MATCH(A198&amp;"ENTRADA",Movimientos!$R$2:$R$1993,0)),"-")</f>
        <v>-</v>
      </c>
      <c r="E198" s="2" t="str">
        <f>IFERROR(INDEX(Movimientos!$F$2:$F$1993,MATCH(A198&amp;"ENTRADA",Movimientos!$R$2:$R$1993,0)),"-")</f>
        <v>-</v>
      </c>
      <c r="F198" s="2" t="str">
        <f>IFERROR(INDEX(Movimientos!$G$2:$G$1993,MATCH(A198&amp;"ENTRADA",Movimientos!$R$2:$R$1993,0)),"-")</f>
        <v>-</v>
      </c>
      <c r="G198" s="2" t="str">
        <f>IFERROR(INDEX(Movimientos!$L$2:$L$1993,MATCH(A198&amp;"ENTRADA",Movimientos!$R$2:$R$1993,0)),"-")</f>
        <v>-</v>
      </c>
      <c r="H198" s="17" t="str">
        <f>IFERROR(IF(INDEX(Movimientos!$M$2:$M$1993,MATCH(A198&amp;"ENTRADA",Movimientos!$R$2:$R$1993,0))=0,"S/D",INDEX(Movimientos!$M$2:$M$1993,MATCH(A198&amp;"ENTRADA",Movimientos!$R$2:$R$1993,0))),"S/D")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2539</v>
      </c>
      <c r="B199" s="2" t="str">
        <f>IFERROR(INDEX(Movimientos!$C$2:$C$1993,MATCH(A199&amp;"ENTRADA",Movimientos!$R$2:$R$1993,0)),"-")</f>
        <v>-</v>
      </c>
      <c r="C199" s="2" t="str">
        <f>IFERROR(INDEX(Movimientos!$D$2:$D$1993,MATCH(A199&amp;"ENTRADA",Movimientos!$R$2:$R$1993,0)),"-")</f>
        <v>-</v>
      </c>
      <c r="D199" s="2" t="str">
        <f>IFERROR(INDEX(Movimientos!$E$2:$E$1993,MATCH(A199&amp;"ENTRADA",Movimientos!$R$2:$R$1993,0)),"-")</f>
        <v>-</v>
      </c>
      <c r="E199" s="2" t="str">
        <f>IFERROR(INDEX(Movimientos!$F$2:$F$1993,MATCH(A199&amp;"ENTRADA",Movimientos!$R$2:$R$1993,0)),"-")</f>
        <v>-</v>
      </c>
      <c r="F199" s="2" t="str">
        <f>IFERROR(INDEX(Movimientos!$G$2:$G$1993,MATCH(A199&amp;"ENTRADA",Movimientos!$R$2:$R$1993,0)),"-")</f>
        <v>-</v>
      </c>
      <c r="G199" s="2" t="str">
        <f>IFERROR(INDEX(Movimientos!$L$2:$L$1993,MATCH(A199&amp;"ENTRADA",Movimientos!$R$2:$R$1993,0)),"-")</f>
        <v>-</v>
      </c>
      <c r="H199" s="17" t="str">
        <f>IFERROR(IF(INDEX(Movimientos!$M$2:$M$1993,MATCH(A199&amp;"ENTRADA",Movimientos!$R$2:$R$1993,0))=0,"S/D",INDEX(Movimientos!$M$2:$M$1993,MATCH(A199&amp;"ENTRADA",Movimientos!$R$2:$R$1993,0))),"S/D")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2540</v>
      </c>
      <c r="B200" s="2" t="str">
        <f>IFERROR(INDEX(Movimientos!$C$2:$C$1993,MATCH(A200&amp;"ENTRADA",Movimientos!$R$2:$R$1993,0)),"-")</f>
        <v>-</v>
      </c>
      <c r="C200" s="2" t="str">
        <f>IFERROR(INDEX(Movimientos!$D$2:$D$1993,MATCH(A200&amp;"ENTRADA",Movimientos!$R$2:$R$1993,0)),"-")</f>
        <v>-</v>
      </c>
      <c r="D200" s="2" t="str">
        <f>IFERROR(INDEX(Movimientos!$E$2:$E$1993,MATCH(A200&amp;"ENTRADA",Movimientos!$R$2:$R$1993,0)),"-")</f>
        <v>-</v>
      </c>
      <c r="E200" s="2" t="str">
        <f>IFERROR(INDEX(Movimientos!$F$2:$F$1993,MATCH(A200&amp;"ENTRADA",Movimientos!$R$2:$R$1993,0)),"-")</f>
        <v>-</v>
      </c>
      <c r="F200" s="2" t="str">
        <f>IFERROR(INDEX(Movimientos!$G$2:$G$1993,MATCH(A200&amp;"ENTRADA",Movimientos!$R$2:$R$1993,0)),"-")</f>
        <v>-</v>
      </c>
      <c r="G200" s="2" t="str">
        <f>IFERROR(INDEX(Movimientos!$L$2:$L$1993,MATCH(A200&amp;"ENTRADA",Movimientos!$R$2:$R$1993,0)),"-")</f>
        <v>-</v>
      </c>
      <c r="H200" s="17" t="str">
        <f>IFERROR(IF(INDEX(Movimientos!$M$2:$M$1993,MATCH(A200&amp;"ENTRADA",Movimientos!$R$2:$R$1993,0))=0,"S/D",INDEX(Movimientos!$M$2:$M$1993,MATCH(A200&amp;"ENTRADA",Movimientos!$R$2:$R$1993,0))),"S/D")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2541</v>
      </c>
      <c r="B201" s="2" t="str">
        <f>IFERROR(INDEX(Movimientos!$C$2:$C$1993,MATCH(A201&amp;"ENTRADA",Movimientos!$R$2:$R$1993,0)),"-")</f>
        <v>-</v>
      </c>
      <c r="C201" s="2" t="str">
        <f>IFERROR(INDEX(Movimientos!$D$2:$D$1993,MATCH(A201&amp;"ENTRADA",Movimientos!$R$2:$R$1993,0)),"-")</f>
        <v>-</v>
      </c>
      <c r="D201" s="2" t="str">
        <f>IFERROR(INDEX(Movimientos!$E$2:$E$1993,MATCH(A201&amp;"ENTRADA",Movimientos!$R$2:$R$1993,0)),"-")</f>
        <v>-</v>
      </c>
      <c r="E201" s="2" t="str">
        <f>IFERROR(INDEX(Movimientos!$F$2:$F$1993,MATCH(A201&amp;"ENTRADA",Movimientos!$R$2:$R$1993,0)),"-")</f>
        <v>-</v>
      </c>
      <c r="F201" s="2" t="str">
        <f>IFERROR(INDEX(Movimientos!$G$2:$G$1993,MATCH(A201&amp;"ENTRADA",Movimientos!$R$2:$R$1993,0)),"-")</f>
        <v>-</v>
      </c>
      <c r="G201" s="2" t="str">
        <f>IFERROR(INDEX(Movimientos!$L$2:$L$1993,MATCH(A201&amp;"ENTRADA",Movimientos!$R$2:$R$1993,0)),"-")</f>
        <v>-</v>
      </c>
      <c r="H201" s="17" t="str">
        <f>IFERROR(IF(INDEX(Movimientos!$M$2:$M$1993,MATCH(A201&amp;"ENTRADA",Movimientos!$R$2:$R$1993,0))=0,"S/D",INDEX(Movimientos!$M$2:$M$1993,MATCH(A201&amp;"ENTRADA",Movimientos!$R$2:$R$1993,0))),"S/D")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2542</v>
      </c>
      <c r="B202" s="2" t="str">
        <f>IFERROR(INDEX(Movimientos!$C$2:$C$1993,MATCH(A202&amp;"ENTRADA",Movimientos!$R$2:$R$1993,0)),"-")</f>
        <v>-</v>
      </c>
      <c r="C202" s="2" t="str">
        <f>IFERROR(INDEX(Movimientos!$D$2:$D$1993,MATCH(A202&amp;"ENTRADA",Movimientos!$R$2:$R$1993,0)),"-")</f>
        <v>-</v>
      </c>
      <c r="D202" s="2" t="str">
        <f>IFERROR(INDEX(Movimientos!$E$2:$E$1993,MATCH(A202&amp;"ENTRADA",Movimientos!$R$2:$R$1993,0)),"-")</f>
        <v>-</v>
      </c>
      <c r="E202" s="2" t="str">
        <f>IFERROR(INDEX(Movimientos!$F$2:$F$1993,MATCH(A202&amp;"ENTRADA",Movimientos!$R$2:$R$1993,0)),"-")</f>
        <v>-</v>
      </c>
      <c r="F202" s="2" t="str">
        <f>IFERROR(INDEX(Movimientos!$G$2:$G$1993,MATCH(A202&amp;"ENTRADA",Movimientos!$R$2:$R$1993,0)),"-")</f>
        <v>-</v>
      </c>
      <c r="G202" s="2" t="str">
        <f>IFERROR(INDEX(Movimientos!$L$2:$L$1993,MATCH(A202&amp;"ENTRADA",Movimientos!$R$2:$R$1993,0)),"-")</f>
        <v>-</v>
      </c>
      <c r="H202" s="17" t="str">
        <f>IFERROR(IF(INDEX(Movimientos!$M$2:$M$1993,MATCH(A202&amp;"ENTRADA",Movimientos!$R$2:$R$1993,0))=0,"S/D",INDEX(Movimientos!$M$2:$M$1993,MATCH(A202&amp;"ENTRADA",Movimientos!$R$2:$R$1993,0))),"S/D")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2543</v>
      </c>
      <c r="B203" s="2" t="str">
        <f>IFERROR(INDEX(Movimientos!$C$2:$C$1993,MATCH(A203&amp;"ENTRADA",Movimientos!$R$2:$R$1993,0)),"-")</f>
        <v>-</v>
      </c>
      <c r="C203" s="2" t="str">
        <f>IFERROR(INDEX(Movimientos!$D$2:$D$1993,MATCH(A203&amp;"ENTRADA",Movimientos!$R$2:$R$1993,0)),"-")</f>
        <v>-</v>
      </c>
      <c r="D203" s="2" t="str">
        <f>IFERROR(INDEX(Movimientos!$E$2:$E$1993,MATCH(A203&amp;"ENTRADA",Movimientos!$R$2:$R$1993,0)),"-")</f>
        <v>-</v>
      </c>
      <c r="E203" s="2" t="str">
        <f>IFERROR(INDEX(Movimientos!$F$2:$F$1993,MATCH(A203&amp;"ENTRADA",Movimientos!$R$2:$R$1993,0)),"-")</f>
        <v>-</v>
      </c>
      <c r="F203" s="2" t="str">
        <f>IFERROR(INDEX(Movimientos!$G$2:$G$1993,MATCH(A203&amp;"ENTRADA",Movimientos!$R$2:$R$1993,0)),"-")</f>
        <v>-</v>
      </c>
      <c r="G203" s="2" t="str">
        <f>IFERROR(INDEX(Movimientos!$L$2:$L$1993,MATCH(A203&amp;"ENTRADA",Movimientos!$R$2:$R$1993,0)),"-")</f>
        <v>-</v>
      </c>
      <c r="H203" s="17" t="str">
        <f>IFERROR(IF(INDEX(Movimientos!$M$2:$M$1993,MATCH(A203&amp;"ENTRADA",Movimientos!$R$2:$R$1993,0))=0,"S/D",INDEX(Movimientos!$M$2:$M$1993,MATCH(A203&amp;"ENTRADA",Movimientos!$R$2:$R$1993,0))),"S/D")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2544</v>
      </c>
      <c r="B204" s="2" t="str">
        <f>IFERROR(INDEX(Movimientos!$C$2:$C$1993,MATCH(A204&amp;"ENTRADA",Movimientos!$R$2:$R$1993,0)),"-")</f>
        <v>-</v>
      </c>
      <c r="C204" s="2" t="str">
        <f>IFERROR(INDEX(Movimientos!$D$2:$D$1993,MATCH(A204&amp;"ENTRADA",Movimientos!$R$2:$R$1993,0)),"-")</f>
        <v>-</v>
      </c>
      <c r="D204" s="2" t="str">
        <f>IFERROR(INDEX(Movimientos!$E$2:$E$1993,MATCH(A204&amp;"ENTRADA",Movimientos!$R$2:$R$1993,0)),"-")</f>
        <v>-</v>
      </c>
      <c r="E204" s="2" t="str">
        <f>IFERROR(INDEX(Movimientos!$F$2:$F$1993,MATCH(A204&amp;"ENTRADA",Movimientos!$R$2:$R$1993,0)),"-")</f>
        <v>-</v>
      </c>
      <c r="F204" s="2" t="str">
        <f>IFERROR(INDEX(Movimientos!$G$2:$G$1993,MATCH(A204&amp;"ENTRADA",Movimientos!$R$2:$R$1993,0)),"-")</f>
        <v>-</v>
      </c>
      <c r="G204" s="2" t="str">
        <f>IFERROR(INDEX(Movimientos!$L$2:$L$1993,MATCH(A204&amp;"ENTRADA",Movimientos!$R$2:$R$1993,0)),"-")</f>
        <v>-</v>
      </c>
      <c r="H204" s="17" t="str">
        <f>IFERROR(IF(INDEX(Movimientos!$M$2:$M$1993,MATCH(A204&amp;"ENTRADA",Movimientos!$R$2:$R$1993,0))=0,"S/D",INDEX(Movimientos!$M$2:$M$1993,MATCH(A204&amp;"ENTRADA",Movimientos!$R$2:$R$1993,0))),"S/D")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2545</v>
      </c>
      <c r="B205" s="2" t="str">
        <f>IFERROR(INDEX(Movimientos!$C$2:$C$1993,MATCH(A205&amp;"ENTRADA",Movimientos!$R$2:$R$1993,0)),"-")</f>
        <v>-</v>
      </c>
      <c r="C205" s="2" t="str">
        <f>IFERROR(INDEX(Movimientos!$D$2:$D$1993,MATCH(A205&amp;"ENTRADA",Movimientos!$R$2:$R$1993,0)),"-")</f>
        <v>-</v>
      </c>
      <c r="D205" s="2" t="str">
        <f>IFERROR(INDEX(Movimientos!$E$2:$E$1993,MATCH(A205&amp;"ENTRADA",Movimientos!$R$2:$R$1993,0)),"-")</f>
        <v>-</v>
      </c>
      <c r="E205" s="2" t="str">
        <f>IFERROR(INDEX(Movimientos!$F$2:$F$1993,MATCH(A205&amp;"ENTRADA",Movimientos!$R$2:$R$1993,0)),"-")</f>
        <v>-</v>
      </c>
      <c r="F205" s="2" t="str">
        <f>IFERROR(INDEX(Movimientos!$G$2:$G$1993,MATCH(A205&amp;"ENTRADA",Movimientos!$R$2:$R$1993,0)),"-")</f>
        <v>-</v>
      </c>
      <c r="G205" s="2" t="str">
        <f>IFERROR(INDEX(Movimientos!$L$2:$L$1993,MATCH(A205&amp;"ENTRADA",Movimientos!$R$2:$R$1993,0)),"-")</f>
        <v>-</v>
      </c>
      <c r="H205" s="17" t="str">
        <f>IFERROR(IF(INDEX(Movimientos!$M$2:$M$1993,MATCH(A205&amp;"ENTRADA",Movimientos!$R$2:$R$1993,0))=0,"S/D",INDEX(Movimientos!$M$2:$M$1993,MATCH(A205&amp;"ENTRADA",Movimientos!$R$2:$R$1993,0))),"S/D")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2546</v>
      </c>
      <c r="B206" s="2" t="str">
        <f>IFERROR(INDEX(Movimientos!$C$2:$C$1993,MATCH(A206&amp;"ENTRADA",Movimientos!$R$2:$R$1993,0)),"-")</f>
        <v>-</v>
      </c>
      <c r="C206" s="2" t="str">
        <f>IFERROR(INDEX(Movimientos!$D$2:$D$1993,MATCH(A206&amp;"ENTRADA",Movimientos!$R$2:$R$1993,0)),"-")</f>
        <v>-</v>
      </c>
      <c r="D206" s="2" t="str">
        <f>IFERROR(INDEX(Movimientos!$E$2:$E$1993,MATCH(A206&amp;"ENTRADA",Movimientos!$R$2:$R$1993,0)),"-")</f>
        <v>-</v>
      </c>
      <c r="E206" s="2" t="str">
        <f>IFERROR(INDEX(Movimientos!$F$2:$F$1993,MATCH(A206&amp;"ENTRADA",Movimientos!$R$2:$R$1993,0)),"-")</f>
        <v>-</v>
      </c>
      <c r="F206" s="2" t="str">
        <f>IFERROR(INDEX(Movimientos!$G$2:$G$1993,MATCH(A206&amp;"ENTRADA",Movimientos!$R$2:$R$1993,0)),"-")</f>
        <v>-</v>
      </c>
      <c r="G206" s="2" t="str">
        <f>IFERROR(INDEX(Movimientos!$L$2:$L$1993,MATCH(A206&amp;"ENTRADA",Movimientos!$R$2:$R$1993,0)),"-")</f>
        <v>-</v>
      </c>
      <c r="H206" s="17" t="str">
        <f>IFERROR(IF(INDEX(Movimientos!$M$2:$M$1993,MATCH(A206&amp;"ENTRADA",Movimientos!$R$2:$R$1993,0))=0,"S/D",INDEX(Movimientos!$M$2:$M$1993,MATCH(A206&amp;"ENTRADA",Movimientos!$R$2:$R$1993,0))),"S/D")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2547</v>
      </c>
      <c r="B207" s="2" t="str">
        <f>IFERROR(INDEX(Movimientos!$C$2:$C$1993,MATCH(A207&amp;"ENTRADA",Movimientos!$R$2:$R$1993,0)),"-")</f>
        <v>-</v>
      </c>
      <c r="C207" s="2" t="str">
        <f>IFERROR(INDEX(Movimientos!$D$2:$D$1993,MATCH(A207&amp;"ENTRADA",Movimientos!$R$2:$R$1993,0)),"-")</f>
        <v>-</v>
      </c>
      <c r="D207" s="2" t="str">
        <f>IFERROR(INDEX(Movimientos!$E$2:$E$1993,MATCH(A207&amp;"ENTRADA",Movimientos!$R$2:$R$1993,0)),"-")</f>
        <v>-</v>
      </c>
      <c r="E207" s="2" t="str">
        <f>IFERROR(INDEX(Movimientos!$F$2:$F$1993,MATCH(A207&amp;"ENTRADA",Movimientos!$R$2:$R$1993,0)),"-")</f>
        <v>-</v>
      </c>
      <c r="F207" s="2" t="str">
        <f>IFERROR(INDEX(Movimientos!$G$2:$G$1993,MATCH(A207&amp;"ENTRADA",Movimientos!$R$2:$R$1993,0)),"-")</f>
        <v>-</v>
      </c>
      <c r="G207" s="2" t="str">
        <f>IFERROR(INDEX(Movimientos!$L$2:$L$1993,MATCH(A207&amp;"ENTRADA",Movimientos!$R$2:$R$1993,0)),"-")</f>
        <v>-</v>
      </c>
      <c r="H207" s="17" t="str">
        <f>IFERROR(IF(INDEX(Movimientos!$M$2:$M$1993,MATCH(A207&amp;"ENTRADA",Movimientos!$R$2:$R$1993,0))=0,"S/D",INDEX(Movimientos!$M$2:$M$1993,MATCH(A207&amp;"ENTRADA",Movimientos!$R$2:$R$1993,0))),"S/D")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2548</v>
      </c>
      <c r="B208" s="2" t="str">
        <f>IFERROR(INDEX(Movimientos!$C$2:$C$1993,MATCH(A208&amp;"ENTRADA",Movimientos!$R$2:$R$1993,0)),"-")</f>
        <v>-</v>
      </c>
      <c r="C208" s="2" t="str">
        <f>IFERROR(INDEX(Movimientos!$D$2:$D$1993,MATCH(A208&amp;"ENTRADA",Movimientos!$R$2:$R$1993,0)),"-")</f>
        <v>-</v>
      </c>
      <c r="D208" s="2" t="str">
        <f>IFERROR(INDEX(Movimientos!$E$2:$E$1993,MATCH(A208&amp;"ENTRADA",Movimientos!$R$2:$R$1993,0)),"-")</f>
        <v>-</v>
      </c>
      <c r="E208" s="2" t="str">
        <f>IFERROR(INDEX(Movimientos!$F$2:$F$1993,MATCH(A208&amp;"ENTRADA",Movimientos!$R$2:$R$1993,0)),"-")</f>
        <v>-</v>
      </c>
      <c r="F208" s="2" t="str">
        <f>IFERROR(INDEX(Movimientos!$G$2:$G$1993,MATCH(A208&amp;"ENTRADA",Movimientos!$R$2:$R$1993,0)),"-")</f>
        <v>-</v>
      </c>
      <c r="G208" s="2" t="str">
        <f>IFERROR(INDEX(Movimientos!$L$2:$L$1993,MATCH(A208&amp;"ENTRADA",Movimientos!$R$2:$R$1993,0)),"-")</f>
        <v>-</v>
      </c>
      <c r="H208" s="17" t="str">
        <f>IFERROR(IF(INDEX(Movimientos!$M$2:$M$1993,MATCH(A208&amp;"ENTRADA",Movimientos!$R$2:$R$1993,0))=0,"S/D",INDEX(Movimientos!$M$2:$M$1993,MATCH(A208&amp;"ENTRADA",Movimientos!$R$2:$R$1993,0))),"S/D")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2549</v>
      </c>
      <c r="B209" s="2" t="str">
        <f>IFERROR(INDEX(Movimientos!$C$2:$C$1993,MATCH(A209&amp;"ENTRADA",Movimientos!$R$2:$R$1993,0)),"-")</f>
        <v>-</v>
      </c>
      <c r="C209" s="2" t="str">
        <f>IFERROR(INDEX(Movimientos!$D$2:$D$1993,MATCH(A209&amp;"ENTRADA",Movimientos!$R$2:$R$1993,0)),"-")</f>
        <v>-</v>
      </c>
      <c r="D209" s="2" t="str">
        <f>IFERROR(INDEX(Movimientos!$E$2:$E$1993,MATCH(A209&amp;"ENTRADA",Movimientos!$R$2:$R$1993,0)),"-")</f>
        <v>-</v>
      </c>
      <c r="E209" s="2" t="str">
        <f>IFERROR(INDEX(Movimientos!$F$2:$F$1993,MATCH(A209&amp;"ENTRADA",Movimientos!$R$2:$R$1993,0)),"-")</f>
        <v>-</v>
      </c>
      <c r="F209" s="2" t="str">
        <f>IFERROR(INDEX(Movimientos!$G$2:$G$1993,MATCH(A209&amp;"ENTRADA",Movimientos!$R$2:$R$1993,0)),"-")</f>
        <v>-</v>
      </c>
      <c r="G209" s="2" t="str">
        <f>IFERROR(INDEX(Movimientos!$L$2:$L$1993,MATCH(A209&amp;"ENTRADA",Movimientos!$R$2:$R$1993,0)),"-")</f>
        <v>-</v>
      </c>
      <c r="H209" s="17" t="str">
        <f>IFERROR(IF(INDEX(Movimientos!$M$2:$M$1993,MATCH(A209&amp;"ENTRADA",Movimientos!$R$2:$R$1993,0))=0,"S/D",INDEX(Movimientos!$M$2:$M$1993,MATCH(A209&amp;"ENTRADA",Movimientos!$R$2:$R$1993,0))),"S/D")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2550</v>
      </c>
      <c r="B210" s="2" t="str">
        <f>IFERROR(INDEX(Movimientos!$C$2:$C$1993,MATCH(A210&amp;"ENTRADA",Movimientos!$R$2:$R$1993,0)),"-")</f>
        <v>-</v>
      </c>
      <c r="C210" s="2" t="str">
        <f>IFERROR(INDEX(Movimientos!$D$2:$D$1993,MATCH(A210&amp;"ENTRADA",Movimientos!$R$2:$R$1993,0)),"-")</f>
        <v>-</v>
      </c>
      <c r="D210" s="2" t="str">
        <f>IFERROR(INDEX(Movimientos!$E$2:$E$1993,MATCH(A210&amp;"ENTRADA",Movimientos!$R$2:$R$1993,0)),"-")</f>
        <v>-</v>
      </c>
      <c r="E210" s="2" t="str">
        <f>IFERROR(INDEX(Movimientos!$F$2:$F$1993,MATCH(A210&amp;"ENTRADA",Movimientos!$R$2:$R$1993,0)),"-")</f>
        <v>-</v>
      </c>
      <c r="F210" s="2" t="str">
        <f>IFERROR(INDEX(Movimientos!$G$2:$G$1993,MATCH(A210&amp;"ENTRADA",Movimientos!$R$2:$R$1993,0)),"-")</f>
        <v>-</v>
      </c>
      <c r="G210" s="2" t="str">
        <f>IFERROR(INDEX(Movimientos!$L$2:$L$1993,MATCH(A210&amp;"ENTRADA",Movimientos!$R$2:$R$1993,0)),"-")</f>
        <v>-</v>
      </c>
      <c r="H210" s="17" t="str">
        <f>IFERROR(IF(INDEX(Movimientos!$M$2:$M$1993,MATCH(A210&amp;"ENTRADA",Movimientos!$R$2:$R$1993,0))=0,"S/D",INDEX(Movimientos!$M$2:$M$1993,MATCH(A210&amp;"ENTRADA",Movimientos!$R$2:$R$1993,0))),"S/D")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2551</v>
      </c>
      <c r="B211" s="2" t="str">
        <f>IFERROR(INDEX(Movimientos!$C$2:$C$1993,MATCH(A211&amp;"ENTRADA",Movimientos!$R$2:$R$1993,0)),"-")</f>
        <v>-</v>
      </c>
      <c r="C211" s="2" t="str">
        <f>IFERROR(INDEX(Movimientos!$D$2:$D$1993,MATCH(A211&amp;"ENTRADA",Movimientos!$R$2:$R$1993,0)),"-")</f>
        <v>-</v>
      </c>
      <c r="D211" s="2" t="str">
        <f>IFERROR(INDEX(Movimientos!$E$2:$E$1993,MATCH(A211&amp;"ENTRADA",Movimientos!$R$2:$R$1993,0)),"-")</f>
        <v>-</v>
      </c>
      <c r="E211" s="2" t="str">
        <f>IFERROR(INDEX(Movimientos!$F$2:$F$1993,MATCH(A211&amp;"ENTRADA",Movimientos!$R$2:$R$1993,0)),"-")</f>
        <v>-</v>
      </c>
      <c r="F211" s="2" t="str">
        <f>IFERROR(INDEX(Movimientos!$G$2:$G$1993,MATCH(A211&amp;"ENTRADA",Movimientos!$R$2:$R$1993,0)),"-")</f>
        <v>-</v>
      </c>
      <c r="G211" s="2" t="str">
        <f>IFERROR(INDEX(Movimientos!$L$2:$L$1993,MATCH(A211&amp;"ENTRADA",Movimientos!$R$2:$R$1993,0)),"-")</f>
        <v>-</v>
      </c>
      <c r="H211" s="17" t="str">
        <f>IFERROR(IF(INDEX(Movimientos!$M$2:$M$1993,MATCH(A211&amp;"ENTRADA",Movimientos!$R$2:$R$1993,0))=0,"S/D",INDEX(Movimientos!$M$2:$M$1993,MATCH(A211&amp;"ENTRADA",Movimientos!$R$2:$R$1993,0))),"S/D")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2552</v>
      </c>
      <c r="B212" s="2" t="str">
        <f>IFERROR(INDEX(Movimientos!$C$2:$C$1993,MATCH(A212&amp;"ENTRADA",Movimientos!$R$2:$R$1993,0)),"-")</f>
        <v>-</v>
      </c>
      <c r="C212" s="2" t="str">
        <f>IFERROR(INDEX(Movimientos!$D$2:$D$1993,MATCH(A212&amp;"ENTRADA",Movimientos!$R$2:$R$1993,0)),"-")</f>
        <v>-</v>
      </c>
      <c r="D212" s="2" t="str">
        <f>IFERROR(INDEX(Movimientos!$E$2:$E$1993,MATCH(A212&amp;"ENTRADA",Movimientos!$R$2:$R$1993,0)),"-")</f>
        <v>-</v>
      </c>
      <c r="E212" s="2" t="str">
        <f>IFERROR(INDEX(Movimientos!$F$2:$F$1993,MATCH(A212&amp;"ENTRADA",Movimientos!$R$2:$R$1993,0)),"-")</f>
        <v>-</v>
      </c>
      <c r="F212" s="2" t="str">
        <f>IFERROR(INDEX(Movimientos!$G$2:$G$1993,MATCH(A212&amp;"ENTRADA",Movimientos!$R$2:$R$1993,0)),"-")</f>
        <v>-</v>
      </c>
      <c r="G212" s="2" t="str">
        <f>IFERROR(INDEX(Movimientos!$L$2:$L$1993,MATCH(A212&amp;"ENTRADA",Movimientos!$R$2:$R$1993,0)),"-")</f>
        <v>-</v>
      </c>
      <c r="H212" s="17" t="str">
        <f>IFERROR(IF(INDEX(Movimientos!$M$2:$M$1993,MATCH(A212&amp;"ENTRADA",Movimientos!$R$2:$R$1993,0))=0,"S/D",INDEX(Movimientos!$M$2:$M$1993,MATCH(A212&amp;"ENTRADA",Movimientos!$R$2:$R$1993,0))),"S/D")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2553</v>
      </c>
      <c r="B213" s="2" t="str">
        <f>IFERROR(INDEX(Movimientos!$C$2:$C$1993,MATCH(A213&amp;"ENTRADA",Movimientos!$R$2:$R$1993,0)),"-")</f>
        <v>-</v>
      </c>
      <c r="C213" s="2" t="str">
        <f>IFERROR(INDEX(Movimientos!$D$2:$D$1993,MATCH(A213&amp;"ENTRADA",Movimientos!$R$2:$R$1993,0)),"-")</f>
        <v>-</v>
      </c>
      <c r="D213" s="2" t="str">
        <f>IFERROR(INDEX(Movimientos!$E$2:$E$1993,MATCH(A213&amp;"ENTRADA",Movimientos!$R$2:$R$1993,0)),"-")</f>
        <v>-</v>
      </c>
      <c r="E213" s="2" t="str">
        <f>IFERROR(INDEX(Movimientos!$F$2:$F$1993,MATCH(A213&amp;"ENTRADA",Movimientos!$R$2:$R$1993,0)),"-")</f>
        <v>-</v>
      </c>
      <c r="F213" s="2" t="str">
        <f>IFERROR(INDEX(Movimientos!$G$2:$G$1993,MATCH(A213&amp;"ENTRADA",Movimientos!$R$2:$R$1993,0)),"-")</f>
        <v>-</v>
      </c>
      <c r="G213" s="2" t="str">
        <f>IFERROR(INDEX(Movimientos!$L$2:$L$1993,MATCH(A213&amp;"ENTRADA",Movimientos!$R$2:$R$1993,0)),"-")</f>
        <v>-</v>
      </c>
      <c r="H213" s="17" t="str">
        <f>IFERROR(IF(INDEX(Movimientos!$M$2:$M$1993,MATCH(A213&amp;"ENTRADA",Movimientos!$R$2:$R$1993,0))=0,"S/D",INDEX(Movimientos!$M$2:$M$1993,MATCH(A213&amp;"ENTRADA",Movimientos!$R$2:$R$1993,0))),"S/D")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2554</v>
      </c>
      <c r="B214" s="2" t="str">
        <f>IFERROR(INDEX(Movimientos!$C$2:$C$1993,MATCH(A214&amp;"ENTRADA",Movimientos!$R$2:$R$1993,0)),"-")</f>
        <v>-</v>
      </c>
      <c r="C214" s="2" t="str">
        <f>IFERROR(INDEX(Movimientos!$D$2:$D$1993,MATCH(A214&amp;"ENTRADA",Movimientos!$R$2:$R$1993,0)),"-")</f>
        <v>-</v>
      </c>
      <c r="D214" s="2" t="str">
        <f>IFERROR(INDEX(Movimientos!$E$2:$E$1993,MATCH(A214&amp;"ENTRADA",Movimientos!$R$2:$R$1993,0)),"-")</f>
        <v>-</v>
      </c>
      <c r="E214" s="2" t="str">
        <f>IFERROR(INDEX(Movimientos!$F$2:$F$1993,MATCH(A214&amp;"ENTRADA",Movimientos!$R$2:$R$1993,0)),"-")</f>
        <v>-</v>
      </c>
      <c r="F214" s="2" t="str">
        <f>IFERROR(INDEX(Movimientos!$G$2:$G$1993,MATCH(A214&amp;"ENTRADA",Movimientos!$R$2:$R$1993,0)),"-")</f>
        <v>-</v>
      </c>
      <c r="G214" s="2" t="str">
        <f>IFERROR(INDEX(Movimientos!$L$2:$L$1993,MATCH(A214&amp;"ENTRADA",Movimientos!$R$2:$R$1993,0)),"-")</f>
        <v>-</v>
      </c>
      <c r="H214" s="17" t="str">
        <f>IFERROR(IF(INDEX(Movimientos!$M$2:$M$1993,MATCH(A214&amp;"ENTRADA",Movimientos!$R$2:$R$1993,0))=0,"S/D",INDEX(Movimientos!$M$2:$M$1993,MATCH(A214&amp;"ENTRADA",Movimientos!$R$2:$R$1993,0))),"S/D")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2555</v>
      </c>
      <c r="B215" s="2" t="str">
        <f>IFERROR(INDEX(Movimientos!$C$2:$C$1993,MATCH(A215&amp;"ENTRADA",Movimientos!$R$2:$R$1993,0)),"-")</f>
        <v>-</v>
      </c>
      <c r="C215" s="2" t="str">
        <f>IFERROR(INDEX(Movimientos!$D$2:$D$1993,MATCH(A215&amp;"ENTRADA",Movimientos!$R$2:$R$1993,0)),"-")</f>
        <v>-</v>
      </c>
      <c r="D215" s="2" t="str">
        <f>IFERROR(INDEX(Movimientos!$E$2:$E$1993,MATCH(A215&amp;"ENTRADA",Movimientos!$R$2:$R$1993,0)),"-")</f>
        <v>-</v>
      </c>
      <c r="E215" s="2" t="str">
        <f>IFERROR(INDEX(Movimientos!$F$2:$F$1993,MATCH(A215&amp;"ENTRADA",Movimientos!$R$2:$R$1993,0)),"-")</f>
        <v>-</v>
      </c>
      <c r="F215" s="2" t="str">
        <f>IFERROR(INDEX(Movimientos!$G$2:$G$1993,MATCH(A215&amp;"ENTRADA",Movimientos!$R$2:$R$1993,0)),"-")</f>
        <v>-</v>
      </c>
      <c r="G215" s="2" t="str">
        <f>IFERROR(INDEX(Movimientos!$L$2:$L$1993,MATCH(A215&amp;"ENTRADA",Movimientos!$R$2:$R$1993,0)),"-")</f>
        <v>-</v>
      </c>
      <c r="H215" s="17" t="str">
        <f>IFERROR(IF(INDEX(Movimientos!$M$2:$M$1993,MATCH(A215&amp;"ENTRADA",Movimientos!$R$2:$R$1993,0))=0,"S/D",INDEX(Movimientos!$M$2:$M$1993,MATCH(A215&amp;"ENTRADA",Movimientos!$R$2:$R$1993,0))),"S/D")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2556</v>
      </c>
      <c r="B216" s="2" t="str">
        <f>IFERROR(INDEX(Movimientos!$C$2:$C$1993,MATCH(A216&amp;"ENTRADA",Movimientos!$R$2:$R$1993,0)),"-")</f>
        <v>-</v>
      </c>
      <c r="C216" s="2" t="str">
        <f>IFERROR(INDEX(Movimientos!$D$2:$D$1993,MATCH(A216&amp;"ENTRADA",Movimientos!$R$2:$R$1993,0)),"-")</f>
        <v>-</v>
      </c>
      <c r="D216" s="2" t="str">
        <f>IFERROR(INDEX(Movimientos!$E$2:$E$1993,MATCH(A216&amp;"ENTRADA",Movimientos!$R$2:$R$1993,0)),"-")</f>
        <v>-</v>
      </c>
      <c r="E216" s="2" t="str">
        <f>IFERROR(INDEX(Movimientos!$F$2:$F$1993,MATCH(A216&amp;"ENTRADA",Movimientos!$R$2:$R$1993,0)),"-")</f>
        <v>-</v>
      </c>
      <c r="F216" s="2" t="str">
        <f>IFERROR(INDEX(Movimientos!$G$2:$G$1993,MATCH(A216&amp;"ENTRADA",Movimientos!$R$2:$R$1993,0)),"-")</f>
        <v>-</v>
      </c>
      <c r="G216" s="2" t="str">
        <f>IFERROR(INDEX(Movimientos!$L$2:$L$1993,MATCH(A216&amp;"ENTRADA",Movimientos!$R$2:$R$1993,0)),"-")</f>
        <v>-</v>
      </c>
      <c r="H216" s="17" t="str">
        <f>IFERROR(IF(INDEX(Movimientos!$M$2:$M$1993,MATCH(A216&amp;"ENTRADA",Movimientos!$R$2:$R$1993,0))=0,"S/D",INDEX(Movimientos!$M$2:$M$1993,MATCH(A216&amp;"ENTRADA",Movimientos!$R$2:$R$1993,0))),"S/D")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2557</v>
      </c>
      <c r="B217" s="2" t="str">
        <f>IFERROR(INDEX(Movimientos!$C$2:$C$1993,MATCH(A217&amp;"ENTRADA",Movimientos!$R$2:$R$1993,0)),"-")</f>
        <v>-</v>
      </c>
      <c r="C217" s="2" t="str">
        <f>IFERROR(INDEX(Movimientos!$D$2:$D$1993,MATCH(A217&amp;"ENTRADA",Movimientos!$R$2:$R$1993,0)),"-")</f>
        <v>-</v>
      </c>
      <c r="D217" s="2" t="str">
        <f>IFERROR(INDEX(Movimientos!$E$2:$E$1993,MATCH(A217&amp;"ENTRADA",Movimientos!$R$2:$R$1993,0)),"-")</f>
        <v>-</v>
      </c>
      <c r="E217" s="2" t="str">
        <f>IFERROR(INDEX(Movimientos!$F$2:$F$1993,MATCH(A217&amp;"ENTRADA",Movimientos!$R$2:$R$1993,0)),"-")</f>
        <v>-</v>
      </c>
      <c r="F217" s="2" t="str">
        <f>IFERROR(INDEX(Movimientos!$G$2:$G$1993,MATCH(A217&amp;"ENTRADA",Movimientos!$R$2:$R$1993,0)),"-")</f>
        <v>-</v>
      </c>
      <c r="G217" s="2" t="str">
        <f>IFERROR(INDEX(Movimientos!$L$2:$L$1993,MATCH(A217&amp;"ENTRADA",Movimientos!$R$2:$R$1993,0)),"-")</f>
        <v>-</v>
      </c>
      <c r="H217" s="17" t="str">
        <f>IFERROR(IF(INDEX(Movimientos!$M$2:$M$1993,MATCH(A217&amp;"ENTRADA",Movimientos!$R$2:$R$1993,0))=0,"S/D",INDEX(Movimientos!$M$2:$M$1993,MATCH(A217&amp;"ENTRADA",Movimientos!$R$2:$R$1993,0))),"S/D")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2558</v>
      </c>
      <c r="B218" s="2" t="str">
        <f>IFERROR(INDEX(Movimientos!$C$2:$C$1993,MATCH(A218&amp;"ENTRADA",Movimientos!$R$2:$R$1993,0)),"-")</f>
        <v>-</v>
      </c>
      <c r="C218" s="2" t="str">
        <f>IFERROR(INDEX(Movimientos!$D$2:$D$1993,MATCH(A218&amp;"ENTRADA",Movimientos!$R$2:$R$1993,0)),"-")</f>
        <v>-</v>
      </c>
      <c r="D218" s="2" t="str">
        <f>IFERROR(INDEX(Movimientos!$E$2:$E$1993,MATCH(A218&amp;"ENTRADA",Movimientos!$R$2:$R$1993,0)),"-")</f>
        <v>-</v>
      </c>
      <c r="E218" s="2" t="str">
        <f>IFERROR(INDEX(Movimientos!$F$2:$F$1993,MATCH(A218&amp;"ENTRADA",Movimientos!$R$2:$R$1993,0)),"-")</f>
        <v>-</v>
      </c>
      <c r="F218" s="2" t="str">
        <f>IFERROR(INDEX(Movimientos!$G$2:$G$1993,MATCH(A218&amp;"ENTRADA",Movimientos!$R$2:$R$1993,0)),"-")</f>
        <v>-</v>
      </c>
      <c r="G218" s="2" t="str">
        <f>IFERROR(INDEX(Movimientos!$L$2:$L$1993,MATCH(A218&amp;"ENTRADA",Movimientos!$R$2:$R$1993,0)),"-")</f>
        <v>-</v>
      </c>
      <c r="H218" s="17" t="str">
        <f>IFERROR(IF(INDEX(Movimientos!$M$2:$M$1993,MATCH(A218&amp;"ENTRADA",Movimientos!$R$2:$R$1993,0))=0,"S/D",INDEX(Movimientos!$M$2:$M$1993,MATCH(A218&amp;"ENTRADA",Movimientos!$R$2:$R$1993,0))),"S/D")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2559</v>
      </c>
      <c r="B219" s="2" t="str">
        <f>IFERROR(INDEX(Movimientos!$C$2:$C$1993,MATCH(A219&amp;"ENTRADA",Movimientos!$R$2:$R$1993,0)),"-")</f>
        <v>-</v>
      </c>
      <c r="C219" s="2" t="str">
        <f>IFERROR(INDEX(Movimientos!$D$2:$D$1993,MATCH(A219&amp;"ENTRADA",Movimientos!$R$2:$R$1993,0)),"-")</f>
        <v>-</v>
      </c>
      <c r="D219" s="2" t="str">
        <f>IFERROR(INDEX(Movimientos!$E$2:$E$1993,MATCH(A219&amp;"ENTRADA",Movimientos!$R$2:$R$1993,0)),"-")</f>
        <v>-</v>
      </c>
      <c r="E219" s="2" t="str">
        <f>IFERROR(INDEX(Movimientos!$F$2:$F$1993,MATCH(A219&amp;"ENTRADA",Movimientos!$R$2:$R$1993,0)),"-")</f>
        <v>-</v>
      </c>
      <c r="F219" s="2" t="str">
        <f>IFERROR(INDEX(Movimientos!$G$2:$G$1993,MATCH(A219&amp;"ENTRADA",Movimientos!$R$2:$R$1993,0)),"-")</f>
        <v>-</v>
      </c>
      <c r="G219" s="2" t="str">
        <f>IFERROR(INDEX(Movimientos!$L$2:$L$1993,MATCH(A219&amp;"ENTRADA",Movimientos!$R$2:$R$1993,0)),"-")</f>
        <v>-</v>
      </c>
      <c r="H219" s="17" t="str">
        <f>IFERROR(IF(INDEX(Movimientos!$M$2:$M$1993,MATCH(A219&amp;"ENTRADA",Movimientos!$R$2:$R$1993,0))=0,"S/D",INDEX(Movimientos!$M$2:$M$1993,MATCH(A219&amp;"ENTRADA",Movimientos!$R$2:$R$1993,0))),"S/D")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2560</v>
      </c>
      <c r="B220" s="2" t="str">
        <f>IFERROR(INDEX(Movimientos!$C$2:$C$1993,MATCH(A220&amp;"ENTRADA",Movimientos!$R$2:$R$1993,0)),"-")</f>
        <v>-</v>
      </c>
      <c r="C220" s="2" t="str">
        <f>IFERROR(INDEX(Movimientos!$D$2:$D$1993,MATCH(A220&amp;"ENTRADA",Movimientos!$R$2:$R$1993,0)),"-")</f>
        <v>-</v>
      </c>
      <c r="D220" s="2" t="str">
        <f>IFERROR(INDEX(Movimientos!$E$2:$E$1993,MATCH(A220&amp;"ENTRADA",Movimientos!$R$2:$R$1993,0)),"-")</f>
        <v>-</v>
      </c>
      <c r="E220" s="2" t="str">
        <f>IFERROR(INDEX(Movimientos!$F$2:$F$1993,MATCH(A220&amp;"ENTRADA",Movimientos!$R$2:$R$1993,0)),"-")</f>
        <v>-</v>
      </c>
      <c r="F220" s="2" t="str">
        <f>IFERROR(INDEX(Movimientos!$G$2:$G$1993,MATCH(A220&amp;"ENTRADA",Movimientos!$R$2:$R$1993,0)),"-")</f>
        <v>-</v>
      </c>
      <c r="G220" s="2" t="str">
        <f>IFERROR(INDEX(Movimientos!$L$2:$L$1993,MATCH(A220&amp;"ENTRADA",Movimientos!$R$2:$R$1993,0)),"-")</f>
        <v>-</v>
      </c>
      <c r="H220" s="17" t="str">
        <f>IFERROR(IF(INDEX(Movimientos!$M$2:$M$1993,MATCH(A220&amp;"ENTRADA",Movimientos!$R$2:$R$1993,0))=0,"S/D",INDEX(Movimientos!$M$2:$M$1993,MATCH(A220&amp;"ENTRADA",Movimientos!$R$2:$R$1993,0))),"S/D")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2561</v>
      </c>
      <c r="B221" s="2" t="str">
        <f>IFERROR(INDEX(Movimientos!$C$2:$C$1993,MATCH(A221&amp;"ENTRADA",Movimientos!$R$2:$R$1993,0)),"-")</f>
        <v>-</v>
      </c>
      <c r="C221" s="2" t="str">
        <f>IFERROR(INDEX(Movimientos!$D$2:$D$1993,MATCH(A221&amp;"ENTRADA",Movimientos!$R$2:$R$1993,0)),"-")</f>
        <v>-</v>
      </c>
      <c r="D221" s="2" t="str">
        <f>IFERROR(INDEX(Movimientos!$E$2:$E$1993,MATCH(A221&amp;"ENTRADA",Movimientos!$R$2:$R$1993,0)),"-")</f>
        <v>-</v>
      </c>
      <c r="E221" s="2" t="str">
        <f>IFERROR(INDEX(Movimientos!$F$2:$F$1993,MATCH(A221&amp;"ENTRADA",Movimientos!$R$2:$R$1993,0)),"-")</f>
        <v>-</v>
      </c>
      <c r="F221" s="2" t="str">
        <f>IFERROR(INDEX(Movimientos!$G$2:$G$1993,MATCH(A221&amp;"ENTRADA",Movimientos!$R$2:$R$1993,0)),"-")</f>
        <v>-</v>
      </c>
      <c r="G221" s="2" t="str">
        <f>IFERROR(INDEX(Movimientos!$L$2:$L$1993,MATCH(A221&amp;"ENTRADA",Movimientos!$R$2:$R$1993,0)),"-")</f>
        <v>-</v>
      </c>
      <c r="H221" s="17" t="str">
        <f>IFERROR(IF(INDEX(Movimientos!$M$2:$M$1993,MATCH(A221&amp;"ENTRADA",Movimientos!$R$2:$R$1993,0))=0,"S/D",INDEX(Movimientos!$M$2:$M$1993,MATCH(A221&amp;"ENTRADA",Movimientos!$R$2:$R$1993,0))),"S/D")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2562</v>
      </c>
      <c r="B222" s="2" t="str">
        <f>IFERROR(INDEX(Movimientos!$C$2:$C$1993,MATCH(A222&amp;"ENTRADA",Movimientos!$R$2:$R$1993,0)),"-")</f>
        <v>-</v>
      </c>
      <c r="C222" s="2" t="str">
        <f>IFERROR(INDEX(Movimientos!$D$2:$D$1993,MATCH(A222&amp;"ENTRADA",Movimientos!$R$2:$R$1993,0)),"-")</f>
        <v>-</v>
      </c>
      <c r="D222" s="2" t="str">
        <f>IFERROR(INDEX(Movimientos!$E$2:$E$1993,MATCH(A222&amp;"ENTRADA",Movimientos!$R$2:$R$1993,0)),"-")</f>
        <v>-</v>
      </c>
      <c r="E222" s="2" t="str">
        <f>IFERROR(INDEX(Movimientos!$F$2:$F$1993,MATCH(A222&amp;"ENTRADA",Movimientos!$R$2:$R$1993,0)),"-")</f>
        <v>-</v>
      </c>
      <c r="F222" s="2" t="str">
        <f>IFERROR(INDEX(Movimientos!$G$2:$G$1993,MATCH(A222&amp;"ENTRADA",Movimientos!$R$2:$R$1993,0)),"-")</f>
        <v>-</v>
      </c>
      <c r="G222" s="2" t="str">
        <f>IFERROR(INDEX(Movimientos!$L$2:$L$1993,MATCH(A222&amp;"ENTRADA",Movimientos!$R$2:$R$1993,0)),"-")</f>
        <v>-</v>
      </c>
      <c r="H222" s="17" t="str">
        <f>IFERROR(IF(INDEX(Movimientos!$M$2:$M$1993,MATCH(A222&amp;"ENTRADA",Movimientos!$R$2:$R$1993,0))=0,"S/D",INDEX(Movimientos!$M$2:$M$1993,MATCH(A222&amp;"ENTRADA",Movimientos!$R$2:$R$1993,0))),"S/D")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2563</v>
      </c>
      <c r="B223" s="2" t="str">
        <f>IFERROR(INDEX(Movimientos!$C$2:$C$1993,MATCH(A223&amp;"ENTRADA",Movimientos!$R$2:$R$1993,0)),"-")</f>
        <v>-</v>
      </c>
      <c r="C223" s="2" t="str">
        <f>IFERROR(INDEX(Movimientos!$D$2:$D$1993,MATCH(A223&amp;"ENTRADA",Movimientos!$R$2:$R$1993,0)),"-")</f>
        <v>-</v>
      </c>
      <c r="D223" s="2" t="str">
        <f>IFERROR(INDEX(Movimientos!$E$2:$E$1993,MATCH(A223&amp;"ENTRADA",Movimientos!$R$2:$R$1993,0)),"-")</f>
        <v>-</v>
      </c>
      <c r="E223" s="2" t="str">
        <f>IFERROR(INDEX(Movimientos!$F$2:$F$1993,MATCH(A223&amp;"ENTRADA",Movimientos!$R$2:$R$1993,0)),"-")</f>
        <v>-</v>
      </c>
      <c r="F223" s="2" t="str">
        <f>IFERROR(INDEX(Movimientos!$G$2:$G$1993,MATCH(A223&amp;"ENTRADA",Movimientos!$R$2:$R$1993,0)),"-")</f>
        <v>-</v>
      </c>
      <c r="G223" s="2" t="str">
        <f>IFERROR(INDEX(Movimientos!$L$2:$L$1993,MATCH(A223&amp;"ENTRADA",Movimientos!$R$2:$R$1993,0)),"-")</f>
        <v>-</v>
      </c>
      <c r="H223" s="17" t="str">
        <f>IFERROR(IF(INDEX(Movimientos!$M$2:$M$1993,MATCH(A223&amp;"ENTRADA",Movimientos!$R$2:$R$1993,0))=0,"S/D",INDEX(Movimientos!$M$2:$M$1993,MATCH(A223&amp;"ENTRADA",Movimientos!$R$2:$R$1993,0))),"S/D")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2564</v>
      </c>
      <c r="B224" s="2" t="str">
        <f>IFERROR(INDEX(Movimientos!$C$2:$C$1993,MATCH(A224&amp;"ENTRADA",Movimientos!$R$2:$R$1993,0)),"-")</f>
        <v>-</v>
      </c>
      <c r="C224" s="2" t="str">
        <f>IFERROR(INDEX(Movimientos!$D$2:$D$1993,MATCH(A224&amp;"ENTRADA",Movimientos!$R$2:$R$1993,0)),"-")</f>
        <v>-</v>
      </c>
      <c r="D224" s="2" t="str">
        <f>IFERROR(INDEX(Movimientos!$E$2:$E$1993,MATCH(A224&amp;"ENTRADA",Movimientos!$R$2:$R$1993,0)),"-")</f>
        <v>-</v>
      </c>
      <c r="E224" s="2" t="str">
        <f>IFERROR(INDEX(Movimientos!$F$2:$F$1993,MATCH(A224&amp;"ENTRADA",Movimientos!$R$2:$R$1993,0)),"-")</f>
        <v>-</v>
      </c>
      <c r="F224" s="2" t="str">
        <f>IFERROR(INDEX(Movimientos!$G$2:$G$1993,MATCH(A224&amp;"ENTRADA",Movimientos!$R$2:$R$1993,0)),"-")</f>
        <v>-</v>
      </c>
      <c r="G224" s="2" t="str">
        <f>IFERROR(INDEX(Movimientos!$L$2:$L$1993,MATCH(A224&amp;"ENTRADA",Movimientos!$R$2:$R$1993,0)),"-")</f>
        <v>-</v>
      </c>
      <c r="H224" s="17" t="str">
        <f>IFERROR(IF(INDEX(Movimientos!$M$2:$M$1993,MATCH(A224&amp;"ENTRADA",Movimientos!$R$2:$R$1993,0))=0,"S/D",INDEX(Movimientos!$M$2:$M$1993,MATCH(A224&amp;"ENTRADA",Movimientos!$R$2:$R$1993,0))),"S/D")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2565</v>
      </c>
      <c r="B225" s="2" t="str">
        <f>IFERROR(INDEX(Movimientos!$C$2:$C$1993,MATCH(A225&amp;"ENTRADA",Movimientos!$R$2:$R$1993,0)),"-")</f>
        <v>-</v>
      </c>
      <c r="C225" s="2" t="str">
        <f>IFERROR(INDEX(Movimientos!$D$2:$D$1993,MATCH(A225&amp;"ENTRADA",Movimientos!$R$2:$R$1993,0)),"-")</f>
        <v>-</v>
      </c>
      <c r="D225" s="2" t="str">
        <f>IFERROR(INDEX(Movimientos!$E$2:$E$1993,MATCH(A225&amp;"ENTRADA",Movimientos!$R$2:$R$1993,0)),"-")</f>
        <v>-</v>
      </c>
      <c r="E225" s="2" t="str">
        <f>IFERROR(INDEX(Movimientos!$F$2:$F$1993,MATCH(A225&amp;"ENTRADA",Movimientos!$R$2:$R$1993,0)),"-")</f>
        <v>-</v>
      </c>
      <c r="F225" s="2" t="str">
        <f>IFERROR(INDEX(Movimientos!$G$2:$G$1993,MATCH(A225&amp;"ENTRADA",Movimientos!$R$2:$R$1993,0)),"-")</f>
        <v>-</v>
      </c>
      <c r="G225" s="2" t="str">
        <f>IFERROR(INDEX(Movimientos!$L$2:$L$1993,MATCH(A225&amp;"ENTRADA",Movimientos!$R$2:$R$1993,0)),"-")</f>
        <v>-</v>
      </c>
      <c r="H225" s="17" t="str">
        <f>IFERROR(IF(INDEX(Movimientos!$M$2:$M$1993,MATCH(A225&amp;"ENTRADA",Movimientos!$R$2:$R$1993,0))=0,"S/D",INDEX(Movimientos!$M$2:$M$1993,MATCH(A225&amp;"ENTRADA",Movimientos!$R$2:$R$1993,0))),"S/D")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2566</v>
      </c>
      <c r="B226" s="2" t="str">
        <f>IFERROR(INDEX(Movimientos!$C$2:$C$1993,MATCH(A226&amp;"ENTRADA",Movimientos!$R$2:$R$1993,0)),"-")</f>
        <v>-</v>
      </c>
      <c r="C226" s="2" t="str">
        <f>IFERROR(INDEX(Movimientos!$D$2:$D$1993,MATCH(A226&amp;"ENTRADA",Movimientos!$R$2:$R$1993,0)),"-")</f>
        <v>-</v>
      </c>
      <c r="D226" s="2" t="str">
        <f>IFERROR(INDEX(Movimientos!$E$2:$E$1993,MATCH(A226&amp;"ENTRADA",Movimientos!$R$2:$R$1993,0)),"-")</f>
        <v>-</v>
      </c>
      <c r="E226" s="2" t="str">
        <f>IFERROR(INDEX(Movimientos!$F$2:$F$1993,MATCH(A226&amp;"ENTRADA",Movimientos!$R$2:$R$1993,0)),"-")</f>
        <v>-</v>
      </c>
      <c r="F226" s="2" t="str">
        <f>IFERROR(INDEX(Movimientos!$G$2:$G$1993,MATCH(A226&amp;"ENTRADA",Movimientos!$R$2:$R$1993,0)),"-")</f>
        <v>-</v>
      </c>
      <c r="G226" s="2" t="str">
        <f>IFERROR(INDEX(Movimientos!$L$2:$L$1993,MATCH(A226&amp;"ENTRADA",Movimientos!$R$2:$R$1993,0)),"-")</f>
        <v>-</v>
      </c>
      <c r="H226" s="17" t="str">
        <f>IFERROR(IF(INDEX(Movimientos!$M$2:$M$1993,MATCH(A226&amp;"ENTRADA",Movimientos!$R$2:$R$1993,0))=0,"S/D",INDEX(Movimientos!$M$2:$M$1993,MATCH(A226&amp;"ENTRADA",Movimientos!$R$2:$R$1993,0))),"S/D")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2567</v>
      </c>
      <c r="B227" s="2" t="str">
        <f>IFERROR(INDEX(Movimientos!$C$2:$C$1993,MATCH(A227&amp;"ENTRADA",Movimientos!$R$2:$R$1993,0)),"-")</f>
        <v>-</v>
      </c>
      <c r="C227" s="2" t="str">
        <f>IFERROR(INDEX(Movimientos!$D$2:$D$1993,MATCH(A227&amp;"ENTRADA",Movimientos!$R$2:$R$1993,0)),"-")</f>
        <v>-</v>
      </c>
      <c r="D227" s="2" t="str">
        <f>IFERROR(INDEX(Movimientos!$E$2:$E$1993,MATCH(A227&amp;"ENTRADA",Movimientos!$R$2:$R$1993,0)),"-")</f>
        <v>-</v>
      </c>
      <c r="E227" s="2" t="str">
        <f>IFERROR(INDEX(Movimientos!$F$2:$F$1993,MATCH(A227&amp;"ENTRADA",Movimientos!$R$2:$R$1993,0)),"-")</f>
        <v>-</v>
      </c>
      <c r="F227" s="2" t="str">
        <f>IFERROR(INDEX(Movimientos!$G$2:$G$1993,MATCH(A227&amp;"ENTRADA",Movimientos!$R$2:$R$1993,0)),"-")</f>
        <v>-</v>
      </c>
      <c r="G227" s="2" t="str">
        <f>IFERROR(INDEX(Movimientos!$L$2:$L$1993,MATCH(A227&amp;"ENTRADA",Movimientos!$R$2:$R$1993,0)),"-")</f>
        <v>-</v>
      </c>
      <c r="H227" s="17" t="str">
        <f>IFERROR(IF(INDEX(Movimientos!$M$2:$M$1993,MATCH(A227&amp;"ENTRADA",Movimientos!$R$2:$R$1993,0))=0,"S/D",INDEX(Movimientos!$M$2:$M$1993,MATCH(A227&amp;"ENTRADA",Movimientos!$R$2:$R$1993,0))),"S/D")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2568</v>
      </c>
      <c r="B228" s="2" t="str">
        <f>IFERROR(INDEX(Movimientos!$C$2:$C$1993,MATCH(A228&amp;"ENTRADA",Movimientos!$R$2:$R$1993,0)),"-")</f>
        <v>-</v>
      </c>
      <c r="C228" s="2" t="str">
        <f>IFERROR(INDEX(Movimientos!$D$2:$D$1993,MATCH(A228&amp;"ENTRADA",Movimientos!$R$2:$R$1993,0)),"-")</f>
        <v>-</v>
      </c>
      <c r="D228" s="2" t="str">
        <f>IFERROR(INDEX(Movimientos!$E$2:$E$1993,MATCH(A228&amp;"ENTRADA",Movimientos!$R$2:$R$1993,0)),"-")</f>
        <v>-</v>
      </c>
      <c r="E228" s="2" t="str">
        <f>IFERROR(INDEX(Movimientos!$F$2:$F$1993,MATCH(A228&amp;"ENTRADA",Movimientos!$R$2:$R$1993,0)),"-")</f>
        <v>-</v>
      </c>
      <c r="F228" s="2" t="str">
        <f>IFERROR(INDEX(Movimientos!$G$2:$G$1993,MATCH(A228&amp;"ENTRADA",Movimientos!$R$2:$R$1993,0)),"-")</f>
        <v>-</v>
      </c>
      <c r="G228" s="2" t="str">
        <f>IFERROR(INDEX(Movimientos!$L$2:$L$1993,MATCH(A228&amp;"ENTRADA",Movimientos!$R$2:$R$1993,0)),"-")</f>
        <v>-</v>
      </c>
      <c r="H228" s="17" t="str">
        <f>IFERROR(IF(INDEX(Movimientos!$M$2:$M$1993,MATCH(A228&amp;"ENTRADA",Movimientos!$R$2:$R$1993,0))=0,"S/D",INDEX(Movimientos!$M$2:$M$1993,MATCH(A228&amp;"ENTRADA",Movimientos!$R$2:$R$1993,0))),"S/D")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2569</v>
      </c>
      <c r="B229" s="2" t="str">
        <f>IFERROR(INDEX(Movimientos!$C$2:$C$1993,MATCH(A229&amp;"ENTRADA",Movimientos!$R$2:$R$1993,0)),"-")</f>
        <v>-</v>
      </c>
      <c r="C229" s="2" t="str">
        <f>IFERROR(INDEX(Movimientos!$D$2:$D$1993,MATCH(A229&amp;"ENTRADA",Movimientos!$R$2:$R$1993,0)),"-")</f>
        <v>-</v>
      </c>
      <c r="D229" s="2" t="str">
        <f>IFERROR(INDEX(Movimientos!$E$2:$E$1993,MATCH(A229&amp;"ENTRADA",Movimientos!$R$2:$R$1993,0)),"-")</f>
        <v>-</v>
      </c>
      <c r="E229" s="2" t="str">
        <f>IFERROR(INDEX(Movimientos!$F$2:$F$1993,MATCH(A229&amp;"ENTRADA",Movimientos!$R$2:$R$1993,0)),"-")</f>
        <v>-</v>
      </c>
      <c r="F229" s="2" t="str">
        <f>IFERROR(INDEX(Movimientos!$G$2:$G$1993,MATCH(A229&amp;"ENTRADA",Movimientos!$R$2:$R$1993,0)),"-")</f>
        <v>-</v>
      </c>
      <c r="G229" s="2" t="str">
        <f>IFERROR(INDEX(Movimientos!$L$2:$L$1993,MATCH(A229&amp;"ENTRADA",Movimientos!$R$2:$R$1993,0)),"-")</f>
        <v>-</v>
      </c>
      <c r="H229" s="17" t="str">
        <f>IFERROR(IF(INDEX(Movimientos!$M$2:$M$1993,MATCH(A229&amp;"ENTRADA",Movimientos!$R$2:$R$1993,0))=0,"S/D",INDEX(Movimientos!$M$2:$M$1993,MATCH(A229&amp;"ENTRADA",Movimientos!$R$2:$R$1993,0))),"S/D")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2570</v>
      </c>
      <c r="B230" s="2" t="str">
        <f>IFERROR(INDEX(Movimientos!$C$2:$C$1993,MATCH(A230&amp;"ENTRADA",Movimientos!$R$2:$R$1993,0)),"-")</f>
        <v>-</v>
      </c>
      <c r="C230" s="2" t="str">
        <f>IFERROR(INDEX(Movimientos!$D$2:$D$1993,MATCH(A230&amp;"ENTRADA",Movimientos!$R$2:$R$1993,0)),"-")</f>
        <v>-</v>
      </c>
      <c r="D230" s="2" t="str">
        <f>IFERROR(INDEX(Movimientos!$E$2:$E$1993,MATCH(A230&amp;"ENTRADA",Movimientos!$R$2:$R$1993,0)),"-")</f>
        <v>-</v>
      </c>
      <c r="E230" s="2" t="str">
        <f>IFERROR(INDEX(Movimientos!$F$2:$F$1993,MATCH(A230&amp;"ENTRADA",Movimientos!$R$2:$R$1993,0)),"-")</f>
        <v>-</v>
      </c>
      <c r="F230" s="2" t="str">
        <f>IFERROR(INDEX(Movimientos!$G$2:$G$1993,MATCH(A230&amp;"ENTRADA",Movimientos!$R$2:$R$1993,0)),"-")</f>
        <v>-</v>
      </c>
      <c r="G230" s="2" t="str">
        <f>IFERROR(INDEX(Movimientos!$L$2:$L$1993,MATCH(A230&amp;"ENTRADA",Movimientos!$R$2:$R$1993,0)),"-")</f>
        <v>-</v>
      </c>
      <c r="H230" s="17" t="str">
        <f>IFERROR(IF(INDEX(Movimientos!$M$2:$M$1993,MATCH(A230&amp;"ENTRADA",Movimientos!$R$2:$R$1993,0))=0,"S/D",INDEX(Movimientos!$M$2:$M$1993,MATCH(A230&amp;"ENTRADA",Movimientos!$R$2:$R$1993,0))),"S/D")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2571</v>
      </c>
      <c r="B231" s="2" t="str">
        <f>IFERROR(INDEX(Movimientos!$C$2:$C$1993,MATCH(A231&amp;"ENTRADA",Movimientos!$R$2:$R$1993,0)),"-")</f>
        <v>-</v>
      </c>
      <c r="C231" s="2" t="str">
        <f>IFERROR(INDEX(Movimientos!$D$2:$D$1993,MATCH(A231&amp;"ENTRADA",Movimientos!$R$2:$R$1993,0)),"-")</f>
        <v>-</v>
      </c>
      <c r="D231" s="2" t="str">
        <f>IFERROR(INDEX(Movimientos!$E$2:$E$1993,MATCH(A231&amp;"ENTRADA",Movimientos!$R$2:$R$1993,0)),"-")</f>
        <v>-</v>
      </c>
      <c r="E231" s="2" t="str">
        <f>IFERROR(INDEX(Movimientos!$F$2:$F$1993,MATCH(A231&amp;"ENTRADA",Movimientos!$R$2:$R$1993,0)),"-")</f>
        <v>-</v>
      </c>
      <c r="F231" s="2" t="str">
        <f>IFERROR(INDEX(Movimientos!$G$2:$G$1993,MATCH(A231&amp;"ENTRADA",Movimientos!$R$2:$R$1993,0)),"-")</f>
        <v>-</v>
      </c>
      <c r="G231" s="2" t="str">
        <f>IFERROR(INDEX(Movimientos!$L$2:$L$1993,MATCH(A231&amp;"ENTRADA",Movimientos!$R$2:$R$1993,0)),"-")</f>
        <v>-</v>
      </c>
      <c r="H231" s="17" t="str">
        <f>IFERROR(IF(INDEX(Movimientos!$M$2:$M$1993,MATCH(A231&amp;"ENTRADA",Movimientos!$R$2:$R$1993,0))=0,"S/D",INDEX(Movimientos!$M$2:$M$1993,MATCH(A231&amp;"ENTRADA",Movimientos!$R$2:$R$1993,0))),"S/D")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2572</v>
      </c>
      <c r="B232" s="2" t="str">
        <f>IFERROR(INDEX(Movimientos!$C$2:$C$1993,MATCH(A232&amp;"ENTRADA",Movimientos!$R$2:$R$1993,0)),"-")</f>
        <v>-</v>
      </c>
      <c r="C232" s="2" t="str">
        <f>IFERROR(INDEX(Movimientos!$D$2:$D$1993,MATCH(A232&amp;"ENTRADA",Movimientos!$R$2:$R$1993,0)),"-")</f>
        <v>-</v>
      </c>
      <c r="D232" s="2" t="str">
        <f>IFERROR(INDEX(Movimientos!$E$2:$E$1993,MATCH(A232&amp;"ENTRADA",Movimientos!$R$2:$R$1993,0)),"-")</f>
        <v>-</v>
      </c>
      <c r="E232" s="2" t="str">
        <f>IFERROR(INDEX(Movimientos!$F$2:$F$1993,MATCH(A232&amp;"ENTRADA",Movimientos!$R$2:$R$1993,0)),"-")</f>
        <v>-</v>
      </c>
      <c r="F232" s="2" t="str">
        <f>IFERROR(INDEX(Movimientos!$G$2:$G$1993,MATCH(A232&amp;"ENTRADA",Movimientos!$R$2:$R$1993,0)),"-")</f>
        <v>-</v>
      </c>
      <c r="G232" s="2" t="str">
        <f>IFERROR(INDEX(Movimientos!$L$2:$L$1993,MATCH(A232&amp;"ENTRADA",Movimientos!$R$2:$R$1993,0)),"-")</f>
        <v>-</v>
      </c>
      <c r="H232" s="17" t="str">
        <f>IFERROR(IF(INDEX(Movimientos!$M$2:$M$1993,MATCH(A232&amp;"ENTRADA",Movimientos!$R$2:$R$1993,0))=0,"S/D",INDEX(Movimientos!$M$2:$M$1993,MATCH(A232&amp;"ENTRADA",Movimientos!$R$2:$R$1993,0))),"S/D")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2573</v>
      </c>
      <c r="B233" s="2" t="str">
        <f>IFERROR(INDEX(Movimientos!$C$2:$C$1993,MATCH(A233&amp;"ENTRADA",Movimientos!$R$2:$R$1993,0)),"-")</f>
        <v>-</v>
      </c>
      <c r="C233" s="2" t="str">
        <f>IFERROR(INDEX(Movimientos!$D$2:$D$1993,MATCH(A233&amp;"ENTRADA",Movimientos!$R$2:$R$1993,0)),"-")</f>
        <v>-</v>
      </c>
      <c r="D233" s="2" t="str">
        <f>IFERROR(INDEX(Movimientos!$E$2:$E$1993,MATCH(A233&amp;"ENTRADA",Movimientos!$R$2:$R$1993,0)),"-")</f>
        <v>-</v>
      </c>
      <c r="E233" s="2" t="str">
        <f>IFERROR(INDEX(Movimientos!$F$2:$F$1993,MATCH(A233&amp;"ENTRADA",Movimientos!$R$2:$R$1993,0)),"-")</f>
        <v>-</v>
      </c>
      <c r="F233" s="2" t="str">
        <f>IFERROR(INDEX(Movimientos!$G$2:$G$1993,MATCH(A233&amp;"ENTRADA",Movimientos!$R$2:$R$1993,0)),"-")</f>
        <v>-</v>
      </c>
      <c r="G233" s="2" t="str">
        <f>IFERROR(INDEX(Movimientos!$L$2:$L$1993,MATCH(A233&amp;"ENTRADA",Movimientos!$R$2:$R$1993,0)),"-")</f>
        <v>-</v>
      </c>
      <c r="H233" s="17" t="str">
        <f>IFERROR(IF(INDEX(Movimientos!$M$2:$M$1993,MATCH(A233&amp;"ENTRADA",Movimientos!$R$2:$R$1993,0))=0,"S/D",INDEX(Movimientos!$M$2:$M$1993,MATCH(A233&amp;"ENTRADA",Movimientos!$R$2:$R$1993,0))),"S/D")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2574</v>
      </c>
      <c r="B234" s="2" t="str">
        <f>IFERROR(INDEX(Movimientos!$C$2:$C$1993,MATCH(A234&amp;"ENTRADA",Movimientos!$R$2:$R$1993,0)),"-")</f>
        <v>-</v>
      </c>
      <c r="C234" s="2" t="str">
        <f>IFERROR(INDEX(Movimientos!$D$2:$D$1993,MATCH(A234&amp;"ENTRADA",Movimientos!$R$2:$R$1993,0)),"-")</f>
        <v>-</v>
      </c>
      <c r="D234" s="2" t="str">
        <f>IFERROR(INDEX(Movimientos!$E$2:$E$1993,MATCH(A234&amp;"ENTRADA",Movimientos!$R$2:$R$1993,0)),"-")</f>
        <v>-</v>
      </c>
      <c r="E234" s="2" t="str">
        <f>IFERROR(INDEX(Movimientos!$F$2:$F$1993,MATCH(A234&amp;"ENTRADA",Movimientos!$R$2:$R$1993,0)),"-")</f>
        <v>-</v>
      </c>
      <c r="F234" s="2" t="str">
        <f>IFERROR(INDEX(Movimientos!$G$2:$G$1993,MATCH(A234&amp;"ENTRADA",Movimientos!$R$2:$R$1993,0)),"-")</f>
        <v>-</v>
      </c>
      <c r="G234" s="2" t="str">
        <f>IFERROR(INDEX(Movimientos!$L$2:$L$1993,MATCH(A234&amp;"ENTRADA",Movimientos!$R$2:$R$1993,0)),"-")</f>
        <v>-</v>
      </c>
      <c r="H234" s="17" t="str">
        <f>IFERROR(IF(INDEX(Movimientos!$M$2:$M$1993,MATCH(A234&amp;"ENTRADA",Movimientos!$R$2:$R$1993,0))=0,"S/D",INDEX(Movimientos!$M$2:$M$1993,MATCH(A234&amp;"ENTRADA",Movimientos!$R$2:$R$1993,0))),"S/D")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2575</v>
      </c>
      <c r="B235" s="2" t="str">
        <f>IFERROR(INDEX(Movimientos!$C$2:$C$1993,MATCH(A235&amp;"ENTRADA",Movimientos!$R$2:$R$1993,0)),"-")</f>
        <v>-</v>
      </c>
      <c r="C235" s="2" t="str">
        <f>IFERROR(INDEX(Movimientos!$D$2:$D$1993,MATCH(A235&amp;"ENTRADA",Movimientos!$R$2:$R$1993,0)),"-")</f>
        <v>-</v>
      </c>
      <c r="D235" s="2" t="str">
        <f>IFERROR(INDEX(Movimientos!$E$2:$E$1993,MATCH(A235&amp;"ENTRADA",Movimientos!$R$2:$R$1993,0)),"-")</f>
        <v>-</v>
      </c>
      <c r="E235" s="2" t="str">
        <f>IFERROR(INDEX(Movimientos!$F$2:$F$1993,MATCH(A235&amp;"ENTRADA",Movimientos!$R$2:$R$1993,0)),"-")</f>
        <v>-</v>
      </c>
      <c r="F235" s="2" t="str">
        <f>IFERROR(INDEX(Movimientos!$G$2:$G$1993,MATCH(A235&amp;"ENTRADA",Movimientos!$R$2:$R$1993,0)),"-")</f>
        <v>-</v>
      </c>
      <c r="G235" s="2" t="str">
        <f>IFERROR(INDEX(Movimientos!$L$2:$L$1993,MATCH(A235&amp;"ENTRADA",Movimientos!$R$2:$R$1993,0)),"-")</f>
        <v>-</v>
      </c>
      <c r="H235" s="17" t="str">
        <f>IFERROR(IF(INDEX(Movimientos!$M$2:$M$1993,MATCH(A235&amp;"ENTRADA",Movimientos!$R$2:$R$1993,0))=0,"S/D",INDEX(Movimientos!$M$2:$M$1993,MATCH(A235&amp;"ENTRADA",Movimientos!$R$2:$R$1993,0))),"S/D")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2576</v>
      </c>
      <c r="B236" s="2" t="str">
        <f>IFERROR(INDEX(Movimientos!$C$2:$C$1993,MATCH(A236&amp;"ENTRADA",Movimientos!$R$2:$R$1993,0)),"-")</f>
        <v>-</v>
      </c>
      <c r="C236" s="2" t="str">
        <f>IFERROR(INDEX(Movimientos!$D$2:$D$1993,MATCH(A236&amp;"ENTRADA",Movimientos!$R$2:$R$1993,0)),"-")</f>
        <v>-</v>
      </c>
      <c r="D236" s="2" t="str">
        <f>IFERROR(INDEX(Movimientos!$E$2:$E$1993,MATCH(A236&amp;"ENTRADA",Movimientos!$R$2:$R$1993,0)),"-")</f>
        <v>-</v>
      </c>
      <c r="E236" s="2" t="str">
        <f>IFERROR(INDEX(Movimientos!$F$2:$F$1993,MATCH(A236&amp;"ENTRADA",Movimientos!$R$2:$R$1993,0)),"-")</f>
        <v>-</v>
      </c>
      <c r="F236" s="2" t="str">
        <f>IFERROR(INDEX(Movimientos!$G$2:$G$1993,MATCH(A236&amp;"ENTRADA",Movimientos!$R$2:$R$1993,0)),"-")</f>
        <v>-</v>
      </c>
      <c r="G236" s="2" t="str">
        <f>IFERROR(INDEX(Movimientos!$L$2:$L$1993,MATCH(A236&amp;"ENTRADA",Movimientos!$R$2:$R$1993,0)),"-")</f>
        <v>-</v>
      </c>
      <c r="H236" s="17" t="str">
        <f>IFERROR(IF(INDEX(Movimientos!$M$2:$M$1993,MATCH(A236&amp;"ENTRADA",Movimientos!$R$2:$R$1993,0))=0,"S/D",INDEX(Movimientos!$M$2:$M$1993,MATCH(A236&amp;"ENTRADA",Movimientos!$R$2:$R$1993,0))),"S/D")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2577</v>
      </c>
      <c r="B237" s="2" t="str">
        <f>IFERROR(INDEX(Movimientos!$C$2:$C$1993,MATCH(A237&amp;"ENTRADA",Movimientos!$R$2:$R$1993,0)),"-")</f>
        <v>-</v>
      </c>
      <c r="C237" s="2" t="str">
        <f>IFERROR(INDEX(Movimientos!$D$2:$D$1993,MATCH(A237&amp;"ENTRADA",Movimientos!$R$2:$R$1993,0)),"-")</f>
        <v>-</v>
      </c>
      <c r="D237" s="2" t="str">
        <f>IFERROR(INDEX(Movimientos!$E$2:$E$1993,MATCH(A237&amp;"ENTRADA",Movimientos!$R$2:$R$1993,0)),"-")</f>
        <v>-</v>
      </c>
      <c r="E237" s="2" t="str">
        <f>IFERROR(INDEX(Movimientos!$F$2:$F$1993,MATCH(A237&amp;"ENTRADA",Movimientos!$R$2:$R$1993,0)),"-")</f>
        <v>-</v>
      </c>
      <c r="F237" s="2" t="str">
        <f>IFERROR(INDEX(Movimientos!$G$2:$G$1993,MATCH(A237&amp;"ENTRADA",Movimientos!$R$2:$R$1993,0)),"-")</f>
        <v>-</v>
      </c>
      <c r="G237" s="2" t="str">
        <f>IFERROR(INDEX(Movimientos!$L$2:$L$1993,MATCH(A237&amp;"ENTRADA",Movimientos!$R$2:$R$1993,0)),"-")</f>
        <v>-</v>
      </c>
      <c r="H237" s="17" t="str">
        <f>IFERROR(IF(INDEX(Movimientos!$M$2:$M$1993,MATCH(A237&amp;"ENTRADA",Movimientos!$R$2:$R$1993,0))=0,"S/D",INDEX(Movimientos!$M$2:$M$1993,MATCH(A237&amp;"ENTRADA",Movimientos!$R$2:$R$1993,0))),"S/D")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2578</v>
      </c>
      <c r="B238" s="2" t="str">
        <f>IFERROR(INDEX(Movimientos!$C$2:$C$1993,MATCH(A238&amp;"ENTRADA",Movimientos!$R$2:$R$1993,0)),"-")</f>
        <v>-</v>
      </c>
      <c r="C238" s="2" t="str">
        <f>IFERROR(INDEX(Movimientos!$D$2:$D$1993,MATCH(A238&amp;"ENTRADA",Movimientos!$R$2:$R$1993,0)),"-")</f>
        <v>-</v>
      </c>
      <c r="D238" s="2" t="str">
        <f>IFERROR(INDEX(Movimientos!$E$2:$E$1993,MATCH(A238&amp;"ENTRADA",Movimientos!$R$2:$R$1993,0)),"-")</f>
        <v>-</v>
      </c>
      <c r="E238" s="2" t="str">
        <f>IFERROR(INDEX(Movimientos!$F$2:$F$1993,MATCH(A238&amp;"ENTRADA",Movimientos!$R$2:$R$1993,0)),"-")</f>
        <v>-</v>
      </c>
      <c r="F238" s="2" t="str">
        <f>IFERROR(INDEX(Movimientos!$G$2:$G$1993,MATCH(A238&amp;"ENTRADA",Movimientos!$R$2:$R$1993,0)),"-")</f>
        <v>-</v>
      </c>
      <c r="G238" s="2" t="str">
        <f>IFERROR(INDEX(Movimientos!$L$2:$L$1993,MATCH(A238&amp;"ENTRADA",Movimientos!$R$2:$R$1993,0)),"-")</f>
        <v>-</v>
      </c>
      <c r="H238" s="17" t="str">
        <f>IFERROR(IF(INDEX(Movimientos!$M$2:$M$1993,MATCH(A238&amp;"ENTRADA",Movimientos!$R$2:$R$1993,0))=0,"S/D",INDEX(Movimientos!$M$2:$M$1993,MATCH(A238&amp;"ENTRADA",Movimientos!$R$2:$R$1993,0))),"S/D")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2579</v>
      </c>
      <c r="B239" s="2" t="str">
        <f>IFERROR(INDEX(Movimientos!$C$2:$C$1993,MATCH(A239&amp;"ENTRADA",Movimientos!$R$2:$R$1993,0)),"-")</f>
        <v>-</v>
      </c>
      <c r="C239" s="2" t="str">
        <f>IFERROR(INDEX(Movimientos!$D$2:$D$1993,MATCH(A239&amp;"ENTRADA",Movimientos!$R$2:$R$1993,0)),"-")</f>
        <v>-</v>
      </c>
      <c r="D239" s="2" t="str">
        <f>IFERROR(INDEX(Movimientos!$E$2:$E$1993,MATCH(A239&amp;"ENTRADA",Movimientos!$R$2:$R$1993,0)),"-")</f>
        <v>-</v>
      </c>
      <c r="E239" s="2" t="str">
        <f>IFERROR(INDEX(Movimientos!$F$2:$F$1993,MATCH(A239&amp;"ENTRADA",Movimientos!$R$2:$R$1993,0)),"-")</f>
        <v>-</v>
      </c>
      <c r="F239" s="2" t="str">
        <f>IFERROR(INDEX(Movimientos!$G$2:$G$1993,MATCH(A239&amp;"ENTRADA",Movimientos!$R$2:$R$1993,0)),"-")</f>
        <v>-</v>
      </c>
      <c r="G239" s="2" t="str">
        <f>IFERROR(INDEX(Movimientos!$L$2:$L$1993,MATCH(A239&amp;"ENTRADA",Movimientos!$R$2:$R$1993,0)),"-")</f>
        <v>-</v>
      </c>
      <c r="H239" s="17" t="str">
        <f>IFERROR(IF(INDEX(Movimientos!$M$2:$M$1993,MATCH(A239&amp;"ENTRADA",Movimientos!$R$2:$R$1993,0))=0,"S/D",INDEX(Movimientos!$M$2:$M$1993,MATCH(A239&amp;"ENTRADA",Movimientos!$R$2:$R$1993,0))),"S/D")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2580</v>
      </c>
      <c r="B240" s="2" t="str">
        <f>IFERROR(INDEX(Movimientos!$C$2:$C$1993,MATCH(A240&amp;"ENTRADA",Movimientos!$R$2:$R$1993,0)),"-")</f>
        <v>-</v>
      </c>
      <c r="C240" s="2" t="str">
        <f>IFERROR(INDEX(Movimientos!$D$2:$D$1993,MATCH(A240&amp;"ENTRADA",Movimientos!$R$2:$R$1993,0)),"-")</f>
        <v>-</v>
      </c>
      <c r="D240" s="2" t="str">
        <f>IFERROR(INDEX(Movimientos!$E$2:$E$1993,MATCH(A240&amp;"ENTRADA",Movimientos!$R$2:$R$1993,0)),"-")</f>
        <v>-</v>
      </c>
      <c r="E240" s="2" t="str">
        <f>IFERROR(INDEX(Movimientos!$F$2:$F$1993,MATCH(A240&amp;"ENTRADA",Movimientos!$R$2:$R$1993,0)),"-")</f>
        <v>-</v>
      </c>
      <c r="F240" s="2" t="str">
        <f>IFERROR(INDEX(Movimientos!$G$2:$G$1993,MATCH(A240&amp;"ENTRADA",Movimientos!$R$2:$R$1993,0)),"-")</f>
        <v>-</v>
      </c>
      <c r="G240" s="2" t="str">
        <f>IFERROR(INDEX(Movimientos!$L$2:$L$1993,MATCH(A240&amp;"ENTRADA",Movimientos!$R$2:$R$1993,0)),"-")</f>
        <v>-</v>
      </c>
      <c r="H240" s="17" t="str">
        <f>IFERROR(IF(INDEX(Movimientos!$M$2:$M$1993,MATCH(A240&amp;"ENTRADA",Movimientos!$R$2:$R$1993,0))=0,"S/D",INDEX(Movimientos!$M$2:$M$1993,MATCH(A240&amp;"ENTRADA",Movimientos!$R$2:$R$1993,0))),"S/D")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2581</v>
      </c>
      <c r="B241" s="2" t="str">
        <f>IFERROR(INDEX(Movimientos!$C$2:$C$1993,MATCH(A241&amp;"ENTRADA",Movimientos!$R$2:$R$1993,0)),"-")</f>
        <v>-</v>
      </c>
      <c r="C241" s="2" t="str">
        <f>IFERROR(INDEX(Movimientos!$D$2:$D$1993,MATCH(A241&amp;"ENTRADA",Movimientos!$R$2:$R$1993,0)),"-")</f>
        <v>-</v>
      </c>
      <c r="D241" s="2" t="str">
        <f>IFERROR(INDEX(Movimientos!$E$2:$E$1993,MATCH(A241&amp;"ENTRADA",Movimientos!$R$2:$R$1993,0)),"-")</f>
        <v>-</v>
      </c>
      <c r="E241" s="2" t="str">
        <f>IFERROR(INDEX(Movimientos!$F$2:$F$1993,MATCH(A241&amp;"ENTRADA",Movimientos!$R$2:$R$1993,0)),"-")</f>
        <v>-</v>
      </c>
      <c r="F241" s="2" t="str">
        <f>IFERROR(INDEX(Movimientos!$G$2:$G$1993,MATCH(A241&amp;"ENTRADA",Movimientos!$R$2:$R$1993,0)),"-")</f>
        <v>-</v>
      </c>
      <c r="G241" s="2" t="str">
        <f>IFERROR(INDEX(Movimientos!$L$2:$L$1993,MATCH(A241&amp;"ENTRADA",Movimientos!$R$2:$R$1993,0)),"-")</f>
        <v>-</v>
      </c>
      <c r="H241" s="17" t="str">
        <f>IFERROR(IF(INDEX(Movimientos!$M$2:$M$1993,MATCH(A241&amp;"ENTRADA",Movimientos!$R$2:$R$1993,0))=0,"S/D",INDEX(Movimientos!$M$2:$M$1993,MATCH(A241&amp;"ENTRADA",Movimientos!$R$2:$R$1993,0))),"S/D")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2582</v>
      </c>
      <c r="B242" s="2" t="str">
        <f>IFERROR(INDEX(Movimientos!$C$2:$C$1993,MATCH(A242&amp;"ENTRADA",Movimientos!$R$2:$R$1993,0)),"-")</f>
        <v>-</v>
      </c>
      <c r="C242" s="2" t="str">
        <f>IFERROR(INDEX(Movimientos!$D$2:$D$1993,MATCH(A242&amp;"ENTRADA",Movimientos!$R$2:$R$1993,0)),"-")</f>
        <v>-</v>
      </c>
      <c r="D242" s="2" t="str">
        <f>IFERROR(INDEX(Movimientos!$E$2:$E$1993,MATCH(A242&amp;"ENTRADA",Movimientos!$R$2:$R$1993,0)),"-")</f>
        <v>-</v>
      </c>
      <c r="E242" s="2" t="str">
        <f>IFERROR(INDEX(Movimientos!$F$2:$F$1993,MATCH(A242&amp;"ENTRADA",Movimientos!$R$2:$R$1993,0)),"-")</f>
        <v>-</v>
      </c>
      <c r="F242" s="2" t="str">
        <f>IFERROR(INDEX(Movimientos!$G$2:$G$1993,MATCH(A242&amp;"ENTRADA",Movimientos!$R$2:$R$1993,0)),"-")</f>
        <v>-</v>
      </c>
      <c r="G242" s="2" t="str">
        <f>IFERROR(INDEX(Movimientos!$L$2:$L$1993,MATCH(A242&amp;"ENTRADA",Movimientos!$R$2:$R$1993,0)),"-")</f>
        <v>-</v>
      </c>
      <c r="H242" s="17" t="str">
        <f>IFERROR(IF(INDEX(Movimientos!$M$2:$M$1993,MATCH(A242&amp;"ENTRADA",Movimientos!$R$2:$R$1993,0))=0,"S/D",INDEX(Movimientos!$M$2:$M$1993,MATCH(A242&amp;"ENTRADA",Movimientos!$R$2:$R$1993,0))),"S/D")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2583</v>
      </c>
      <c r="B243" s="2" t="str">
        <f>IFERROR(INDEX(Movimientos!$C$2:$C$1993,MATCH(A243&amp;"ENTRADA",Movimientos!$R$2:$R$1993,0)),"-")</f>
        <v>-</v>
      </c>
      <c r="C243" s="2" t="str">
        <f>IFERROR(INDEX(Movimientos!$D$2:$D$1993,MATCH(A243&amp;"ENTRADA",Movimientos!$R$2:$R$1993,0)),"-")</f>
        <v>-</v>
      </c>
      <c r="D243" s="2" t="str">
        <f>IFERROR(INDEX(Movimientos!$E$2:$E$1993,MATCH(A243&amp;"ENTRADA",Movimientos!$R$2:$R$1993,0)),"-")</f>
        <v>-</v>
      </c>
      <c r="E243" s="2" t="str">
        <f>IFERROR(INDEX(Movimientos!$F$2:$F$1993,MATCH(A243&amp;"ENTRADA",Movimientos!$R$2:$R$1993,0)),"-")</f>
        <v>-</v>
      </c>
      <c r="F243" s="2" t="str">
        <f>IFERROR(INDEX(Movimientos!$G$2:$G$1993,MATCH(A243&amp;"ENTRADA",Movimientos!$R$2:$R$1993,0)),"-")</f>
        <v>-</v>
      </c>
      <c r="G243" s="2" t="str">
        <f>IFERROR(INDEX(Movimientos!$L$2:$L$1993,MATCH(A243&amp;"ENTRADA",Movimientos!$R$2:$R$1993,0)),"-")</f>
        <v>-</v>
      </c>
      <c r="H243" s="17" t="str">
        <f>IFERROR(IF(INDEX(Movimientos!$M$2:$M$1993,MATCH(A243&amp;"ENTRADA",Movimientos!$R$2:$R$1993,0))=0,"S/D",INDEX(Movimientos!$M$2:$M$1993,MATCH(A243&amp;"ENTRADA",Movimientos!$R$2:$R$1993,0))),"S/D")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2584</v>
      </c>
      <c r="B244" s="2" t="str">
        <f>IFERROR(INDEX(Movimientos!$C$2:$C$1993,MATCH(A244&amp;"ENTRADA",Movimientos!$R$2:$R$1993,0)),"-")</f>
        <v>-</v>
      </c>
      <c r="C244" s="2" t="str">
        <f>IFERROR(INDEX(Movimientos!$D$2:$D$1993,MATCH(A244&amp;"ENTRADA",Movimientos!$R$2:$R$1993,0)),"-")</f>
        <v>-</v>
      </c>
      <c r="D244" s="2" t="str">
        <f>IFERROR(INDEX(Movimientos!$E$2:$E$1993,MATCH(A244&amp;"ENTRADA",Movimientos!$R$2:$R$1993,0)),"-")</f>
        <v>-</v>
      </c>
      <c r="E244" s="2" t="str">
        <f>IFERROR(INDEX(Movimientos!$F$2:$F$1993,MATCH(A244&amp;"ENTRADA",Movimientos!$R$2:$R$1993,0)),"-")</f>
        <v>-</v>
      </c>
      <c r="F244" s="2" t="str">
        <f>IFERROR(INDEX(Movimientos!$G$2:$G$1993,MATCH(A244&amp;"ENTRADA",Movimientos!$R$2:$R$1993,0)),"-")</f>
        <v>-</v>
      </c>
      <c r="G244" s="2" t="str">
        <f>IFERROR(INDEX(Movimientos!$L$2:$L$1993,MATCH(A244&amp;"ENTRADA",Movimientos!$R$2:$R$1993,0)),"-")</f>
        <v>-</v>
      </c>
      <c r="H244" s="17" t="str">
        <f>IFERROR(IF(INDEX(Movimientos!$M$2:$M$1993,MATCH(A244&amp;"ENTRADA",Movimientos!$R$2:$R$1993,0))=0,"S/D",INDEX(Movimientos!$M$2:$M$1993,MATCH(A244&amp;"ENTRADA",Movimientos!$R$2:$R$1993,0))),"S/D")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2585</v>
      </c>
      <c r="B245" s="2" t="str">
        <f>IFERROR(INDEX(Movimientos!$C$2:$C$1993,MATCH(A245&amp;"ENTRADA",Movimientos!$R$2:$R$1993,0)),"-")</f>
        <v>-</v>
      </c>
      <c r="C245" s="2" t="str">
        <f>IFERROR(INDEX(Movimientos!$D$2:$D$1993,MATCH(A245&amp;"ENTRADA",Movimientos!$R$2:$R$1993,0)),"-")</f>
        <v>-</v>
      </c>
      <c r="D245" s="2" t="str">
        <f>IFERROR(INDEX(Movimientos!$E$2:$E$1993,MATCH(A245&amp;"ENTRADA",Movimientos!$R$2:$R$1993,0)),"-")</f>
        <v>-</v>
      </c>
      <c r="E245" s="2" t="str">
        <f>IFERROR(INDEX(Movimientos!$F$2:$F$1993,MATCH(A245&amp;"ENTRADA",Movimientos!$R$2:$R$1993,0)),"-")</f>
        <v>-</v>
      </c>
      <c r="F245" s="2" t="str">
        <f>IFERROR(INDEX(Movimientos!$G$2:$G$1993,MATCH(A245&amp;"ENTRADA",Movimientos!$R$2:$R$1993,0)),"-")</f>
        <v>-</v>
      </c>
      <c r="G245" s="2" t="str">
        <f>IFERROR(INDEX(Movimientos!$L$2:$L$1993,MATCH(A245&amp;"ENTRADA",Movimientos!$R$2:$R$1993,0)),"-")</f>
        <v>-</v>
      </c>
      <c r="H245" s="17" t="str">
        <f>IFERROR(IF(INDEX(Movimientos!$M$2:$M$1993,MATCH(A245&amp;"ENTRADA",Movimientos!$R$2:$R$1993,0))=0,"S/D",INDEX(Movimientos!$M$2:$M$1993,MATCH(A245&amp;"ENTRADA",Movimientos!$R$2:$R$1993,0))),"S/D")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2586</v>
      </c>
      <c r="B246" s="2" t="str">
        <f>IFERROR(INDEX(Movimientos!$C$2:$C$1993,MATCH(A246&amp;"ENTRADA",Movimientos!$R$2:$R$1993,0)),"-")</f>
        <v>-</v>
      </c>
      <c r="C246" s="2" t="str">
        <f>IFERROR(INDEX(Movimientos!$D$2:$D$1993,MATCH(A246&amp;"ENTRADA",Movimientos!$R$2:$R$1993,0)),"-")</f>
        <v>-</v>
      </c>
      <c r="D246" s="2" t="str">
        <f>IFERROR(INDEX(Movimientos!$E$2:$E$1993,MATCH(A246&amp;"ENTRADA",Movimientos!$R$2:$R$1993,0)),"-")</f>
        <v>-</v>
      </c>
      <c r="E246" s="2" t="str">
        <f>IFERROR(INDEX(Movimientos!$F$2:$F$1993,MATCH(A246&amp;"ENTRADA",Movimientos!$R$2:$R$1993,0)),"-")</f>
        <v>-</v>
      </c>
      <c r="F246" s="2" t="str">
        <f>IFERROR(INDEX(Movimientos!$G$2:$G$1993,MATCH(A246&amp;"ENTRADA",Movimientos!$R$2:$R$1993,0)),"-")</f>
        <v>-</v>
      </c>
      <c r="G246" s="2" t="str">
        <f>IFERROR(INDEX(Movimientos!$L$2:$L$1993,MATCH(A246&amp;"ENTRADA",Movimientos!$R$2:$R$1993,0)),"-")</f>
        <v>-</v>
      </c>
      <c r="H246" s="17" t="str">
        <f>IFERROR(IF(INDEX(Movimientos!$M$2:$M$1993,MATCH(A246&amp;"ENTRADA",Movimientos!$R$2:$R$1993,0))=0,"S/D",INDEX(Movimientos!$M$2:$M$1993,MATCH(A246&amp;"ENTRADA",Movimientos!$R$2:$R$1993,0))),"S/D")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2587</v>
      </c>
      <c r="B247" s="2" t="str">
        <f>IFERROR(INDEX(Movimientos!$C$2:$C$1993,MATCH(A247&amp;"ENTRADA",Movimientos!$R$2:$R$1993,0)),"-")</f>
        <v>-</v>
      </c>
      <c r="C247" s="2" t="str">
        <f>IFERROR(INDEX(Movimientos!$D$2:$D$1993,MATCH(A247&amp;"ENTRADA",Movimientos!$R$2:$R$1993,0)),"-")</f>
        <v>-</v>
      </c>
      <c r="D247" s="2" t="str">
        <f>IFERROR(INDEX(Movimientos!$E$2:$E$1993,MATCH(A247&amp;"ENTRADA",Movimientos!$R$2:$R$1993,0)),"-")</f>
        <v>-</v>
      </c>
      <c r="E247" s="2" t="str">
        <f>IFERROR(INDEX(Movimientos!$F$2:$F$1993,MATCH(A247&amp;"ENTRADA",Movimientos!$R$2:$R$1993,0)),"-")</f>
        <v>-</v>
      </c>
      <c r="F247" s="2" t="str">
        <f>IFERROR(INDEX(Movimientos!$G$2:$G$1993,MATCH(A247&amp;"ENTRADA",Movimientos!$R$2:$R$1993,0)),"-")</f>
        <v>-</v>
      </c>
      <c r="G247" s="2" t="str">
        <f>IFERROR(INDEX(Movimientos!$L$2:$L$1993,MATCH(A247&amp;"ENTRADA",Movimientos!$R$2:$R$1993,0)),"-")</f>
        <v>-</v>
      </c>
      <c r="H247" s="17" t="str">
        <f>IFERROR(IF(INDEX(Movimientos!$M$2:$M$1993,MATCH(A247&amp;"ENTRADA",Movimientos!$R$2:$R$1993,0))=0,"S/D",INDEX(Movimientos!$M$2:$M$1993,MATCH(A247&amp;"ENTRADA",Movimientos!$R$2:$R$1993,0))),"S/D")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2588</v>
      </c>
      <c r="B248" s="2" t="str">
        <f>IFERROR(INDEX(Movimientos!$C$2:$C$1993,MATCH(A248&amp;"ENTRADA",Movimientos!$R$2:$R$1993,0)),"-")</f>
        <v>-</v>
      </c>
      <c r="C248" s="2" t="str">
        <f>IFERROR(INDEX(Movimientos!$D$2:$D$1993,MATCH(A248&amp;"ENTRADA",Movimientos!$R$2:$R$1993,0)),"-")</f>
        <v>-</v>
      </c>
      <c r="D248" s="2" t="str">
        <f>IFERROR(INDEX(Movimientos!$E$2:$E$1993,MATCH(A248&amp;"ENTRADA",Movimientos!$R$2:$R$1993,0)),"-")</f>
        <v>-</v>
      </c>
      <c r="E248" s="2" t="str">
        <f>IFERROR(INDEX(Movimientos!$F$2:$F$1993,MATCH(A248&amp;"ENTRADA",Movimientos!$R$2:$R$1993,0)),"-")</f>
        <v>-</v>
      </c>
      <c r="F248" s="2" t="str">
        <f>IFERROR(INDEX(Movimientos!$G$2:$G$1993,MATCH(A248&amp;"ENTRADA",Movimientos!$R$2:$R$1993,0)),"-")</f>
        <v>-</v>
      </c>
      <c r="G248" s="2" t="str">
        <f>IFERROR(INDEX(Movimientos!$L$2:$L$1993,MATCH(A248&amp;"ENTRADA",Movimientos!$R$2:$R$1993,0)),"-")</f>
        <v>-</v>
      </c>
      <c r="H248" s="17" t="str">
        <f>IFERROR(IF(INDEX(Movimientos!$M$2:$M$1993,MATCH(A248&amp;"ENTRADA",Movimientos!$R$2:$R$1993,0))=0,"S/D",INDEX(Movimientos!$M$2:$M$1993,MATCH(A248&amp;"ENTRADA",Movimientos!$R$2:$R$1993,0))),"S/D")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2589</v>
      </c>
      <c r="B249" s="2" t="str">
        <f>IFERROR(INDEX(Movimientos!$C$2:$C$1993,MATCH(A249&amp;"ENTRADA",Movimientos!$R$2:$R$1993,0)),"-")</f>
        <v>-</v>
      </c>
      <c r="C249" s="2" t="str">
        <f>IFERROR(INDEX(Movimientos!$D$2:$D$1993,MATCH(A249&amp;"ENTRADA",Movimientos!$R$2:$R$1993,0)),"-")</f>
        <v>-</v>
      </c>
      <c r="D249" s="2" t="str">
        <f>IFERROR(INDEX(Movimientos!$E$2:$E$1993,MATCH(A249&amp;"ENTRADA",Movimientos!$R$2:$R$1993,0)),"-")</f>
        <v>-</v>
      </c>
      <c r="E249" s="2" t="str">
        <f>IFERROR(INDEX(Movimientos!$F$2:$F$1993,MATCH(A249&amp;"ENTRADA",Movimientos!$R$2:$R$1993,0)),"-")</f>
        <v>-</v>
      </c>
      <c r="F249" s="2" t="str">
        <f>IFERROR(INDEX(Movimientos!$G$2:$G$1993,MATCH(A249&amp;"ENTRADA",Movimientos!$R$2:$R$1993,0)),"-")</f>
        <v>-</v>
      </c>
      <c r="G249" s="2" t="str">
        <f>IFERROR(INDEX(Movimientos!$L$2:$L$1993,MATCH(A249&amp;"ENTRADA",Movimientos!$R$2:$R$1993,0)),"-")</f>
        <v>-</v>
      </c>
      <c r="H249" s="17" t="str">
        <f>IFERROR(IF(INDEX(Movimientos!$M$2:$M$1993,MATCH(A249&amp;"ENTRADA",Movimientos!$R$2:$R$1993,0))=0,"S/D",INDEX(Movimientos!$M$2:$M$1993,MATCH(A249&amp;"ENTRADA",Movimientos!$R$2:$R$1993,0))),"S/D")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2590</v>
      </c>
      <c r="B250" s="2" t="str">
        <f>IFERROR(INDEX(Movimientos!$C$2:$C$1993,MATCH(A250&amp;"ENTRADA",Movimientos!$R$2:$R$1993,0)),"-")</f>
        <v>-</v>
      </c>
      <c r="C250" s="2" t="str">
        <f>IFERROR(INDEX(Movimientos!$D$2:$D$1993,MATCH(A250&amp;"ENTRADA",Movimientos!$R$2:$R$1993,0)),"-")</f>
        <v>-</v>
      </c>
      <c r="D250" s="2" t="str">
        <f>IFERROR(INDEX(Movimientos!$E$2:$E$1993,MATCH(A250&amp;"ENTRADA",Movimientos!$R$2:$R$1993,0)),"-")</f>
        <v>-</v>
      </c>
      <c r="E250" s="2" t="str">
        <f>IFERROR(INDEX(Movimientos!$F$2:$F$1993,MATCH(A250&amp;"ENTRADA",Movimientos!$R$2:$R$1993,0)),"-")</f>
        <v>-</v>
      </c>
      <c r="F250" s="2" t="str">
        <f>IFERROR(INDEX(Movimientos!$G$2:$G$1993,MATCH(A250&amp;"ENTRADA",Movimientos!$R$2:$R$1993,0)),"-")</f>
        <v>-</v>
      </c>
      <c r="G250" s="2" t="str">
        <f>IFERROR(INDEX(Movimientos!$L$2:$L$1993,MATCH(A250&amp;"ENTRADA",Movimientos!$R$2:$R$1993,0)),"-")</f>
        <v>-</v>
      </c>
      <c r="H250" s="17" t="str">
        <f>IFERROR(IF(INDEX(Movimientos!$M$2:$M$1993,MATCH(A250&amp;"ENTRADA",Movimientos!$R$2:$R$1993,0))=0,"S/D",INDEX(Movimientos!$M$2:$M$1993,MATCH(A250&amp;"ENTRADA",Movimientos!$R$2:$R$1993,0))),"S/D")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2591</v>
      </c>
      <c r="B251" s="2" t="str">
        <f>IFERROR(INDEX(Movimientos!$C$2:$C$1993,MATCH(A251&amp;"ENTRADA",Movimientos!$R$2:$R$1993,0)),"-")</f>
        <v>-</v>
      </c>
      <c r="C251" s="2" t="str">
        <f>IFERROR(INDEX(Movimientos!$D$2:$D$1993,MATCH(A251&amp;"ENTRADA",Movimientos!$R$2:$R$1993,0)),"-")</f>
        <v>-</v>
      </c>
      <c r="D251" s="2" t="str">
        <f>IFERROR(INDEX(Movimientos!$E$2:$E$1993,MATCH(A251&amp;"ENTRADA",Movimientos!$R$2:$R$1993,0)),"-")</f>
        <v>-</v>
      </c>
      <c r="E251" s="2" t="str">
        <f>IFERROR(INDEX(Movimientos!$F$2:$F$1993,MATCH(A251&amp;"ENTRADA",Movimientos!$R$2:$R$1993,0)),"-")</f>
        <v>-</v>
      </c>
      <c r="F251" s="2" t="str">
        <f>IFERROR(INDEX(Movimientos!$G$2:$G$1993,MATCH(A251&amp;"ENTRADA",Movimientos!$R$2:$R$1993,0)),"-")</f>
        <v>-</v>
      </c>
      <c r="G251" s="2" t="str">
        <f>IFERROR(INDEX(Movimientos!$L$2:$L$1993,MATCH(A251&amp;"ENTRADA",Movimientos!$R$2:$R$1993,0)),"-")</f>
        <v>-</v>
      </c>
      <c r="H251" s="17" t="str">
        <f>IFERROR(IF(INDEX(Movimientos!$M$2:$M$1993,MATCH(A251&amp;"ENTRADA",Movimientos!$R$2:$R$1993,0))=0,"S/D",INDEX(Movimientos!$M$2:$M$1993,MATCH(A251&amp;"ENTRADA",Movimientos!$R$2:$R$1993,0))),"S/D")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2592</v>
      </c>
      <c r="B252" s="2" t="str">
        <f>IFERROR(INDEX(Movimientos!$C$2:$C$1993,MATCH(A252&amp;"ENTRADA",Movimientos!$R$2:$R$1993,0)),"-")</f>
        <v>-</v>
      </c>
      <c r="C252" s="2" t="str">
        <f>IFERROR(INDEX(Movimientos!$D$2:$D$1993,MATCH(A252&amp;"ENTRADA",Movimientos!$R$2:$R$1993,0)),"-")</f>
        <v>-</v>
      </c>
      <c r="D252" s="2" t="str">
        <f>IFERROR(INDEX(Movimientos!$E$2:$E$1993,MATCH(A252&amp;"ENTRADA",Movimientos!$R$2:$R$1993,0)),"-")</f>
        <v>-</v>
      </c>
      <c r="E252" s="2" t="str">
        <f>IFERROR(INDEX(Movimientos!$F$2:$F$1993,MATCH(A252&amp;"ENTRADA",Movimientos!$R$2:$R$1993,0)),"-")</f>
        <v>-</v>
      </c>
      <c r="F252" s="2" t="str">
        <f>IFERROR(INDEX(Movimientos!$G$2:$G$1993,MATCH(A252&amp;"ENTRADA",Movimientos!$R$2:$R$1993,0)),"-")</f>
        <v>-</v>
      </c>
      <c r="G252" s="2" t="str">
        <f>IFERROR(INDEX(Movimientos!$L$2:$L$1993,MATCH(A252&amp;"ENTRADA",Movimientos!$R$2:$R$1993,0)),"-")</f>
        <v>-</v>
      </c>
      <c r="H252" s="17" t="str">
        <f>IFERROR(IF(INDEX(Movimientos!$M$2:$M$1993,MATCH(A252&amp;"ENTRADA",Movimientos!$R$2:$R$1993,0))=0,"S/D",INDEX(Movimientos!$M$2:$M$1993,MATCH(A252&amp;"ENTRADA",Movimientos!$R$2:$R$1993,0))),"S/D")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2593</v>
      </c>
      <c r="B253" s="2" t="str">
        <f>IFERROR(INDEX(Movimientos!$C$2:$C$1993,MATCH(A253&amp;"ENTRADA",Movimientos!$R$2:$R$1993,0)),"-")</f>
        <v>-</v>
      </c>
      <c r="C253" s="2" t="str">
        <f>IFERROR(INDEX(Movimientos!$D$2:$D$1993,MATCH(A253&amp;"ENTRADA",Movimientos!$R$2:$R$1993,0)),"-")</f>
        <v>-</v>
      </c>
      <c r="D253" s="2" t="str">
        <f>IFERROR(INDEX(Movimientos!$E$2:$E$1993,MATCH(A253&amp;"ENTRADA",Movimientos!$R$2:$R$1993,0)),"-")</f>
        <v>-</v>
      </c>
      <c r="E253" s="2" t="str">
        <f>IFERROR(INDEX(Movimientos!$F$2:$F$1993,MATCH(A253&amp;"ENTRADA",Movimientos!$R$2:$R$1993,0)),"-")</f>
        <v>-</v>
      </c>
      <c r="F253" s="2" t="str">
        <f>IFERROR(INDEX(Movimientos!$G$2:$G$1993,MATCH(A253&amp;"ENTRADA",Movimientos!$R$2:$R$1993,0)),"-")</f>
        <v>-</v>
      </c>
      <c r="G253" s="2" t="str">
        <f>IFERROR(INDEX(Movimientos!$L$2:$L$1993,MATCH(A253&amp;"ENTRADA",Movimientos!$R$2:$R$1993,0)),"-")</f>
        <v>-</v>
      </c>
      <c r="H253" s="17" t="str">
        <f>IFERROR(IF(INDEX(Movimientos!$M$2:$M$1993,MATCH(A253&amp;"ENTRADA",Movimientos!$R$2:$R$1993,0))=0,"S/D",INDEX(Movimientos!$M$2:$M$1993,MATCH(A253&amp;"ENTRADA",Movimientos!$R$2:$R$1993,0))),"S/D")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2594</v>
      </c>
      <c r="B254" s="2" t="str">
        <f>IFERROR(INDEX(Movimientos!$C$2:$C$1993,MATCH(A254&amp;"ENTRADA",Movimientos!$R$2:$R$1993,0)),"-")</f>
        <v>-</v>
      </c>
      <c r="C254" s="2" t="str">
        <f>IFERROR(INDEX(Movimientos!$D$2:$D$1993,MATCH(A254&amp;"ENTRADA",Movimientos!$R$2:$R$1993,0)),"-")</f>
        <v>-</v>
      </c>
      <c r="D254" s="2" t="str">
        <f>IFERROR(INDEX(Movimientos!$E$2:$E$1993,MATCH(A254&amp;"ENTRADA",Movimientos!$R$2:$R$1993,0)),"-")</f>
        <v>-</v>
      </c>
      <c r="E254" s="2" t="str">
        <f>IFERROR(INDEX(Movimientos!$F$2:$F$1993,MATCH(A254&amp;"ENTRADA",Movimientos!$R$2:$R$1993,0)),"-")</f>
        <v>-</v>
      </c>
      <c r="F254" s="2" t="str">
        <f>IFERROR(INDEX(Movimientos!$G$2:$G$1993,MATCH(A254&amp;"ENTRADA",Movimientos!$R$2:$R$1993,0)),"-")</f>
        <v>-</v>
      </c>
      <c r="G254" s="2" t="str">
        <f>IFERROR(INDEX(Movimientos!$L$2:$L$1993,MATCH(A254&amp;"ENTRADA",Movimientos!$R$2:$R$1993,0)),"-")</f>
        <v>-</v>
      </c>
      <c r="H254" s="17" t="str">
        <f>IFERROR(IF(INDEX(Movimientos!$M$2:$M$1993,MATCH(A254&amp;"ENTRADA",Movimientos!$R$2:$R$1993,0))=0,"S/D",INDEX(Movimientos!$M$2:$M$1993,MATCH(A254&amp;"ENTRADA",Movimientos!$R$2:$R$1993,0))),"S/D")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2595</v>
      </c>
      <c r="B255" s="2" t="str">
        <f>IFERROR(INDEX(Movimientos!$C$2:$C$1993,MATCH(A255&amp;"ENTRADA",Movimientos!$R$2:$R$1993,0)),"-")</f>
        <v>-</v>
      </c>
      <c r="C255" s="2" t="str">
        <f>IFERROR(INDEX(Movimientos!$D$2:$D$1993,MATCH(A255&amp;"ENTRADA",Movimientos!$R$2:$R$1993,0)),"-")</f>
        <v>-</v>
      </c>
      <c r="D255" s="2" t="str">
        <f>IFERROR(INDEX(Movimientos!$E$2:$E$1993,MATCH(A255&amp;"ENTRADA",Movimientos!$R$2:$R$1993,0)),"-")</f>
        <v>-</v>
      </c>
      <c r="E255" s="2" t="str">
        <f>IFERROR(INDEX(Movimientos!$F$2:$F$1993,MATCH(A255&amp;"ENTRADA",Movimientos!$R$2:$R$1993,0)),"-")</f>
        <v>-</v>
      </c>
      <c r="F255" s="2" t="str">
        <f>IFERROR(INDEX(Movimientos!$G$2:$G$1993,MATCH(A255&amp;"ENTRADA",Movimientos!$R$2:$R$1993,0)),"-")</f>
        <v>-</v>
      </c>
      <c r="G255" s="2" t="str">
        <f>IFERROR(INDEX(Movimientos!$L$2:$L$1993,MATCH(A255&amp;"ENTRADA",Movimientos!$R$2:$R$1993,0)),"-")</f>
        <v>-</v>
      </c>
      <c r="H255" s="17" t="str">
        <f>IFERROR(IF(INDEX(Movimientos!$M$2:$M$1993,MATCH(A255&amp;"ENTRADA",Movimientos!$R$2:$R$1993,0))=0,"S/D",INDEX(Movimientos!$M$2:$M$1993,MATCH(A255&amp;"ENTRADA",Movimientos!$R$2:$R$1993,0))),"S/D")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2596</v>
      </c>
      <c r="B256" s="2" t="str">
        <f>IFERROR(INDEX(Movimientos!$C$2:$C$1993,MATCH(A256&amp;"ENTRADA",Movimientos!$R$2:$R$1993,0)),"-")</f>
        <v>-</v>
      </c>
      <c r="C256" s="2" t="str">
        <f>IFERROR(INDEX(Movimientos!$D$2:$D$1993,MATCH(A256&amp;"ENTRADA",Movimientos!$R$2:$R$1993,0)),"-")</f>
        <v>-</v>
      </c>
      <c r="D256" s="2" t="str">
        <f>IFERROR(INDEX(Movimientos!$E$2:$E$1993,MATCH(A256&amp;"ENTRADA",Movimientos!$R$2:$R$1993,0)),"-")</f>
        <v>-</v>
      </c>
      <c r="E256" s="2" t="str">
        <f>IFERROR(INDEX(Movimientos!$F$2:$F$1993,MATCH(A256&amp;"ENTRADA",Movimientos!$R$2:$R$1993,0)),"-")</f>
        <v>-</v>
      </c>
      <c r="F256" s="2" t="str">
        <f>IFERROR(INDEX(Movimientos!$G$2:$G$1993,MATCH(A256&amp;"ENTRADA",Movimientos!$R$2:$R$1993,0)),"-")</f>
        <v>-</v>
      </c>
      <c r="G256" s="2" t="str">
        <f>IFERROR(INDEX(Movimientos!$L$2:$L$1993,MATCH(A256&amp;"ENTRADA",Movimientos!$R$2:$R$1993,0)),"-")</f>
        <v>-</v>
      </c>
      <c r="H256" s="17" t="str">
        <f>IFERROR(IF(INDEX(Movimientos!$M$2:$M$1993,MATCH(A256&amp;"ENTRADA",Movimientos!$R$2:$R$1993,0))=0,"S/D",INDEX(Movimientos!$M$2:$M$1993,MATCH(A256&amp;"ENTRADA",Movimientos!$R$2:$R$1993,0))),"S/D")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2597</v>
      </c>
      <c r="B257" s="2" t="str">
        <f>IFERROR(INDEX(Movimientos!$C$2:$C$1993,MATCH(A257&amp;"ENTRADA",Movimientos!$R$2:$R$1993,0)),"-")</f>
        <v>-</v>
      </c>
      <c r="C257" s="2" t="str">
        <f>IFERROR(INDEX(Movimientos!$D$2:$D$1993,MATCH(A257&amp;"ENTRADA",Movimientos!$R$2:$R$1993,0)),"-")</f>
        <v>-</v>
      </c>
      <c r="D257" s="2" t="str">
        <f>IFERROR(INDEX(Movimientos!$E$2:$E$1993,MATCH(A257&amp;"ENTRADA",Movimientos!$R$2:$R$1993,0)),"-")</f>
        <v>-</v>
      </c>
      <c r="E257" s="2" t="str">
        <f>IFERROR(INDEX(Movimientos!$F$2:$F$1993,MATCH(A257&amp;"ENTRADA",Movimientos!$R$2:$R$1993,0)),"-")</f>
        <v>-</v>
      </c>
      <c r="F257" s="2" t="str">
        <f>IFERROR(INDEX(Movimientos!$G$2:$G$1993,MATCH(A257&amp;"ENTRADA",Movimientos!$R$2:$R$1993,0)),"-")</f>
        <v>-</v>
      </c>
      <c r="G257" s="2" t="str">
        <f>IFERROR(INDEX(Movimientos!$L$2:$L$1993,MATCH(A257&amp;"ENTRADA",Movimientos!$R$2:$R$1993,0)),"-")</f>
        <v>-</v>
      </c>
      <c r="H257" s="17" t="str">
        <f>IFERROR(IF(INDEX(Movimientos!$M$2:$M$1993,MATCH(A257&amp;"ENTRADA",Movimientos!$R$2:$R$1993,0))=0,"S/D",INDEX(Movimientos!$M$2:$M$1993,MATCH(A257&amp;"ENTRADA",Movimientos!$R$2:$R$1993,0))),"S/D")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2598</v>
      </c>
      <c r="B258" s="2" t="str">
        <f>IFERROR(INDEX(Movimientos!$C$2:$C$1993,MATCH(A258&amp;"ENTRADA",Movimientos!$R$2:$R$1993,0)),"-")</f>
        <v>-</v>
      </c>
      <c r="C258" s="2" t="str">
        <f>IFERROR(INDEX(Movimientos!$D$2:$D$1993,MATCH(A258&amp;"ENTRADA",Movimientos!$R$2:$R$1993,0)),"-")</f>
        <v>-</v>
      </c>
      <c r="D258" s="2" t="str">
        <f>IFERROR(INDEX(Movimientos!$E$2:$E$1993,MATCH(A258&amp;"ENTRADA",Movimientos!$R$2:$R$1993,0)),"-")</f>
        <v>-</v>
      </c>
      <c r="E258" s="2" t="str">
        <f>IFERROR(INDEX(Movimientos!$F$2:$F$1993,MATCH(A258&amp;"ENTRADA",Movimientos!$R$2:$R$1993,0)),"-")</f>
        <v>-</v>
      </c>
      <c r="F258" s="2" t="str">
        <f>IFERROR(INDEX(Movimientos!$G$2:$G$1993,MATCH(A258&amp;"ENTRADA",Movimientos!$R$2:$R$1993,0)),"-")</f>
        <v>-</v>
      </c>
      <c r="G258" s="2" t="str">
        <f>IFERROR(INDEX(Movimientos!$L$2:$L$1993,MATCH(A258&amp;"ENTRADA",Movimientos!$R$2:$R$1993,0)),"-")</f>
        <v>-</v>
      </c>
      <c r="H258" s="17" t="str">
        <f>IFERROR(IF(INDEX(Movimientos!$M$2:$M$1993,MATCH(A258&amp;"ENTRADA",Movimientos!$R$2:$R$1993,0))=0,"S/D",INDEX(Movimientos!$M$2:$M$1993,MATCH(A258&amp;"ENTRADA",Movimientos!$R$2:$R$1993,0))),"S/D")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2599</v>
      </c>
      <c r="B259" s="2" t="str">
        <f>IFERROR(INDEX(Movimientos!$C$2:$C$1993,MATCH(A259&amp;"ENTRADA",Movimientos!$R$2:$R$1993,0)),"-")</f>
        <v>-</v>
      </c>
      <c r="C259" s="2" t="str">
        <f>IFERROR(INDEX(Movimientos!$D$2:$D$1993,MATCH(A259&amp;"ENTRADA",Movimientos!$R$2:$R$1993,0)),"-")</f>
        <v>-</v>
      </c>
      <c r="D259" s="2" t="str">
        <f>IFERROR(INDEX(Movimientos!$E$2:$E$1993,MATCH(A259&amp;"ENTRADA",Movimientos!$R$2:$R$1993,0)),"-")</f>
        <v>-</v>
      </c>
      <c r="E259" s="2" t="str">
        <f>IFERROR(INDEX(Movimientos!$F$2:$F$1993,MATCH(A259&amp;"ENTRADA",Movimientos!$R$2:$R$1993,0)),"-")</f>
        <v>-</v>
      </c>
      <c r="F259" s="2" t="str">
        <f>IFERROR(INDEX(Movimientos!$G$2:$G$1993,MATCH(A259&amp;"ENTRADA",Movimientos!$R$2:$R$1993,0)),"-")</f>
        <v>-</v>
      </c>
      <c r="G259" s="2" t="str">
        <f>IFERROR(INDEX(Movimientos!$L$2:$L$1993,MATCH(A259&amp;"ENTRADA",Movimientos!$R$2:$R$1993,0)),"-")</f>
        <v>-</v>
      </c>
      <c r="H259" s="17" t="str">
        <f>IFERROR(IF(INDEX(Movimientos!$M$2:$M$1993,MATCH(A259&amp;"ENTRADA",Movimientos!$R$2:$R$1993,0))=0,"S/D",INDEX(Movimientos!$M$2:$M$1993,MATCH(A259&amp;"ENTRADA",Movimientos!$R$2:$R$1993,0))),"S/D")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2600</v>
      </c>
      <c r="B260" s="2" t="str">
        <f>IFERROR(INDEX(Movimientos!$C$2:$C$1993,MATCH(A260&amp;"ENTRADA",Movimientos!$R$2:$R$1993,0)),"-")</f>
        <v>-</v>
      </c>
      <c r="C260" s="2" t="str">
        <f>IFERROR(INDEX(Movimientos!$D$2:$D$1993,MATCH(A260&amp;"ENTRADA",Movimientos!$R$2:$R$1993,0)),"-")</f>
        <v>-</v>
      </c>
      <c r="D260" s="2" t="str">
        <f>IFERROR(INDEX(Movimientos!$E$2:$E$1993,MATCH(A260&amp;"ENTRADA",Movimientos!$R$2:$R$1993,0)),"-")</f>
        <v>-</v>
      </c>
      <c r="E260" s="2" t="str">
        <f>IFERROR(INDEX(Movimientos!$F$2:$F$1993,MATCH(A260&amp;"ENTRADA",Movimientos!$R$2:$R$1993,0)),"-")</f>
        <v>-</v>
      </c>
      <c r="F260" s="2" t="str">
        <f>IFERROR(INDEX(Movimientos!$G$2:$G$1993,MATCH(A260&amp;"ENTRADA",Movimientos!$R$2:$R$1993,0)),"-")</f>
        <v>-</v>
      </c>
      <c r="G260" s="2" t="str">
        <f>IFERROR(INDEX(Movimientos!$L$2:$L$1993,MATCH(A260&amp;"ENTRADA",Movimientos!$R$2:$R$1993,0)),"-")</f>
        <v>-</v>
      </c>
      <c r="H260" s="17" t="str">
        <f>IFERROR(IF(INDEX(Movimientos!$M$2:$M$1993,MATCH(A260&amp;"ENTRADA",Movimientos!$R$2:$R$1993,0))=0,"S/D",INDEX(Movimientos!$M$2:$M$1993,MATCH(A260&amp;"ENTRADA",Movimientos!$R$2:$R$1993,0))),"S/D")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2601</v>
      </c>
      <c r="B261" s="2" t="str">
        <f>IFERROR(INDEX(Movimientos!$C$2:$C$1993,MATCH(A261&amp;"ENTRADA",Movimientos!$R$2:$R$1993,0)),"-")</f>
        <v>-</v>
      </c>
      <c r="C261" s="2" t="str">
        <f>IFERROR(INDEX(Movimientos!$D$2:$D$1993,MATCH(A261&amp;"ENTRADA",Movimientos!$R$2:$R$1993,0)),"-")</f>
        <v>-</v>
      </c>
      <c r="D261" s="2" t="str">
        <f>IFERROR(INDEX(Movimientos!$E$2:$E$1993,MATCH(A261&amp;"ENTRADA",Movimientos!$R$2:$R$1993,0)),"-")</f>
        <v>-</v>
      </c>
      <c r="E261" s="2" t="str">
        <f>IFERROR(INDEX(Movimientos!$F$2:$F$1993,MATCH(A261&amp;"ENTRADA",Movimientos!$R$2:$R$1993,0)),"-")</f>
        <v>-</v>
      </c>
      <c r="F261" s="2" t="str">
        <f>IFERROR(INDEX(Movimientos!$G$2:$G$1993,MATCH(A261&amp;"ENTRADA",Movimientos!$R$2:$R$1993,0)),"-")</f>
        <v>-</v>
      </c>
      <c r="G261" s="2" t="str">
        <f>IFERROR(INDEX(Movimientos!$L$2:$L$1993,MATCH(A261&amp;"ENTRADA",Movimientos!$R$2:$R$1993,0)),"-")</f>
        <v>-</v>
      </c>
      <c r="H261" s="17" t="str">
        <f>IFERROR(IF(INDEX(Movimientos!$M$2:$M$1993,MATCH(A261&amp;"ENTRADA",Movimientos!$R$2:$R$1993,0))=0,"S/D",INDEX(Movimientos!$M$2:$M$1993,MATCH(A261&amp;"ENTRADA",Movimientos!$R$2:$R$1993,0))),"S/D")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2602</v>
      </c>
      <c r="B262" s="2" t="str">
        <f>IFERROR(INDEX(Movimientos!$C$2:$C$1993,MATCH(A262&amp;"ENTRADA",Movimientos!$R$2:$R$1993,0)),"-")</f>
        <v>-</v>
      </c>
      <c r="C262" s="2" t="str">
        <f>IFERROR(INDEX(Movimientos!$D$2:$D$1993,MATCH(A262&amp;"ENTRADA",Movimientos!$R$2:$R$1993,0)),"-")</f>
        <v>-</v>
      </c>
      <c r="D262" s="2" t="str">
        <f>IFERROR(INDEX(Movimientos!$E$2:$E$1993,MATCH(A262&amp;"ENTRADA",Movimientos!$R$2:$R$1993,0)),"-")</f>
        <v>-</v>
      </c>
      <c r="E262" s="2" t="str">
        <f>IFERROR(INDEX(Movimientos!$F$2:$F$1993,MATCH(A262&amp;"ENTRADA",Movimientos!$R$2:$R$1993,0)),"-")</f>
        <v>-</v>
      </c>
      <c r="F262" s="2" t="str">
        <f>IFERROR(INDEX(Movimientos!$G$2:$G$1993,MATCH(A262&amp;"ENTRADA",Movimientos!$R$2:$R$1993,0)),"-")</f>
        <v>-</v>
      </c>
      <c r="G262" s="2" t="str">
        <f>IFERROR(INDEX(Movimientos!$L$2:$L$1993,MATCH(A262&amp;"ENTRADA",Movimientos!$R$2:$R$1993,0)),"-")</f>
        <v>-</v>
      </c>
      <c r="H262" s="17" t="str">
        <f>IFERROR(IF(INDEX(Movimientos!$M$2:$M$1993,MATCH(A262&amp;"ENTRADA",Movimientos!$R$2:$R$1993,0))=0,"S/D",INDEX(Movimientos!$M$2:$M$1993,MATCH(A262&amp;"ENTRADA",Movimientos!$R$2:$R$1993,0))),"S/D")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2603</v>
      </c>
      <c r="B263" s="2" t="str">
        <f>IFERROR(INDEX(Movimientos!$C$2:$C$1993,MATCH(A263&amp;"ENTRADA",Movimientos!$R$2:$R$1993,0)),"-")</f>
        <v>-</v>
      </c>
      <c r="C263" s="2" t="str">
        <f>IFERROR(INDEX(Movimientos!$D$2:$D$1993,MATCH(A263&amp;"ENTRADA",Movimientos!$R$2:$R$1993,0)),"-")</f>
        <v>-</v>
      </c>
      <c r="D263" s="2" t="str">
        <f>IFERROR(INDEX(Movimientos!$E$2:$E$1993,MATCH(A263&amp;"ENTRADA",Movimientos!$R$2:$R$1993,0)),"-")</f>
        <v>-</v>
      </c>
      <c r="E263" s="2" t="str">
        <f>IFERROR(INDEX(Movimientos!$F$2:$F$1993,MATCH(A263&amp;"ENTRADA",Movimientos!$R$2:$R$1993,0)),"-")</f>
        <v>-</v>
      </c>
      <c r="F263" s="2" t="str">
        <f>IFERROR(INDEX(Movimientos!$G$2:$G$1993,MATCH(A263&amp;"ENTRADA",Movimientos!$R$2:$R$1993,0)),"-")</f>
        <v>-</v>
      </c>
      <c r="G263" s="2" t="str">
        <f>IFERROR(INDEX(Movimientos!$L$2:$L$1993,MATCH(A263&amp;"ENTRADA",Movimientos!$R$2:$R$1993,0)),"-")</f>
        <v>-</v>
      </c>
      <c r="H263" s="17" t="str">
        <f>IFERROR(IF(INDEX(Movimientos!$M$2:$M$1993,MATCH(A263&amp;"ENTRADA",Movimientos!$R$2:$R$1993,0))=0,"S/D",INDEX(Movimientos!$M$2:$M$1993,MATCH(A263&amp;"ENTRADA",Movimientos!$R$2:$R$1993,0))),"S/D")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2604</v>
      </c>
      <c r="B264" s="2" t="str">
        <f>IFERROR(INDEX(Movimientos!$C$2:$C$1993,MATCH(A264&amp;"ENTRADA",Movimientos!$R$2:$R$1993,0)),"-")</f>
        <v>-</v>
      </c>
      <c r="C264" s="2" t="str">
        <f>IFERROR(INDEX(Movimientos!$D$2:$D$1993,MATCH(A264&amp;"ENTRADA",Movimientos!$R$2:$R$1993,0)),"-")</f>
        <v>-</v>
      </c>
      <c r="D264" s="2" t="str">
        <f>IFERROR(INDEX(Movimientos!$E$2:$E$1993,MATCH(A264&amp;"ENTRADA",Movimientos!$R$2:$R$1993,0)),"-")</f>
        <v>-</v>
      </c>
      <c r="E264" s="2" t="str">
        <f>IFERROR(INDEX(Movimientos!$F$2:$F$1993,MATCH(A264&amp;"ENTRADA",Movimientos!$R$2:$R$1993,0)),"-")</f>
        <v>-</v>
      </c>
      <c r="F264" s="2" t="str">
        <f>IFERROR(INDEX(Movimientos!$G$2:$G$1993,MATCH(A264&amp;"ENTRADA",Movimientos!$R$2:$R$1993,0)),"-")</f>
        <v>-</v>
      </c>
      <c r="G264" s="2" t="str">
        <f>IFERROR(INDEX(Movimientos!$L$2:$L$1993,MATCH(A264&amp;"ENTRADA",Movimientos!$R$2:$R$1993,0)),"-")</f>
        <v>-</v>
      </c>
      <c r="H264" s="17" t="str">
        <f>IFERROR(IF(INDEX(Movimientos!$M$2:$M$1993,MATCH(A264&amp;"ENTRADA",Movimientos!$R$2:$R$1993,0))=0,"S/D",INDEX(Movimientos!$M$2:$M$1993,MATCH(A264&amp;"ENTRADA",Movimientos!$R$2:$R$1993,0))),"S/D")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2605</v>
      </c>
      <c r="B265" s="2" t="str">
        <f>IFERROR(INDEX(Movimientos!$C$2:$C$1993,MATCH(A265&amp;"ENTRADA",Movimientos!$R$2:$R$1993,0)),"-")</f>
        <v>-</v>
      </c>
      <c r="C265" s="2" t="str">
        <f>IFERROR(INDEX(Movimientos!$D$2:$D$1993,MATCH(A265&amp;"ENTRADA",Movimientos!$R$2:$R$1993,0)),"-")</f>
        <v>-</v>
      </c>
      <c r="D265" s="2" t="str">
        <f>IFERROR(INDEX(Movimientos!$E$2:$E$1993,MATCH(A265&amp;"ENTRADA",Movimientos!$R$2:$R$1993,0)),"-")</f>
        <v>-</v>
      </c>
      <c r="E265" s="2" t="str">
        <f>IFERROR(INDEX(Movimientos!$F$2:$F$1993,MATCH(A265&amp;"ENTRADA",Movimientos!$R$2:$R$1993,0)),"-")</f>
        <v>-</v>
      </c>
      <c r="F265" s="2" t="str">
        <f>IFERROR(INDEX(Movimientos!$G$2:$G$1993,MATCH(A265&amp;"ENTRADA",Movimientos!$R$2:$R$1993,0)),"-")</f>
        <v>-</v>
      </c>
      <c r="G265" s="2" t="str">
        <f>IFERROR(INDEX(Movimientos!$L$2:$L$1993,MATCH(A265&amp;"ENTRADA",Movimientos!$R$2:$R$1993,0)),"-")</f>
        <v>-</v>
      </c>
      <c r="H265" s="17" t="str">
        <f>IFERROR(IF(INDEX(Movimientos!$M$2:$M$1993,MATCH(A265&amp;"ENTRADA",Movimientos!$R$2:$R$1993,0))=0,"S/D",INDEX(Movimientos!$M$2:$M$1993,MATCH(A265&amp;"ENTRADA",Movimientos!$R$2:$R$1993,0))),"S/D")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2606</v>
      </c>
      <c r="B266" s="2" t="str">
        <f>IFERROR(INDEX(Movimientos!$C$2:$C$1993,MATCH(A266&amp;"ENTRADA",Movimientos!$R$2:$R$1993,0)),"-")</f>
        <v>-</v>
      </c>
      <c r="C266" s="2" t="str">
        <f>IFERROR(INDEX(Movimientos!$D$2:$D$1993,MATCH(A266&amp;"ENTRADA",Movimientos!$R$2:$R$1993,0)),"-")</f>
        <v>-</v>
      </c>
      <c r="D266" s="2" t="str">
        <f>IFERROR(INDEX(Movimientos!$E$2:$E$1993,MATCH(A266&amp;"ENTRADA",Movimientos!$R$2:$R$1993,0)),"-")</f>
        <v>-</v>
      </c>
      <c r="E266" s="2" t="str">
        <f>IFERROR(INDEX(Movimientos!$F$2:$F$1993,MATCH(A266&amp;"ENTRADA",Movimientos!$R$2:$R$1993,0)),"-")</f>
        <v>-</v>
      </c>
      <c r="F266" s="2" t="str">
        <f>IFERROR(INDEX(Movimientos!$G$2:$G$1993,MATCH(A266&amp;"ENTRADA",Movimientos!$R$2:$R$1993,0)),"-")</f>
        <v>-</v>
      </c>
      <c r="G266" s="2" t="str">
        <f>IFERROR(INDEX(Movimientos!$L$2:$L$1993,MATCH(A266&amp;"ENTRADA",Movimientos!$R$2:$R$1993,0)),"-")</f>
        <v>-</v>
      </c>
      <c r="H266" s="17" t="str">
        <f>IFERROR(IF(INDEX(Movimientos!$M$2:$M$1993,MATCH(A266&amp;"ENTRADA",Movimientos!$R$2:$R$1993,0))=0,"S/D",INDEX(Movimientos!$M$2:$M$1993,MATCH(A266&amp;"ENTRADA",Movimientos!$R$2:$R$1993,0))),"S/D")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2607</v>
      </c>
      <c r="B267" s="2" t="str">
        <f>IFERROR(INDEX(Movimientos!$C$2:$C$1993,MATCH(A267&amp;"ENTRADA",Movimientos!$R$2:$R$1993,0)),"-")</f>
        <v>-</v>
      </c>
      <c r="C267" s="2" t="str">
        <f>IFERROR(INDEX(Movimientos!$D$2:$D$1993,MATCH(A267&amp;"ENTRADA",Movimientos!$R$2:$R$1993,0)),"-")</f>
        <v>-</v>
      </c>
      <c r="D267" s="2" t="str">
        <f>IFERROR(INDEX(Movimientos!$E$2:$E$1993,MATCH(A267&amp;"ENTRADA",Movimientos!$R$2:$R$1993,0)),"-")</f>
        <v>-</v>
      </c>
      <c r="E267" s="2" t="str">
        <f>IFERROR(INDEX(Movimientos!$F$2:$F$1993,MATCH(A267&amp;"ENTRADA",Movimientos!$R$2:$R$1993,0)),"-")</f>
        <v>-</v>
      </c>
      <c r="F267" s="2" t="str">
        <f>IFERROR(INDEX(Movimientos!$G$2:$G$1993,MATCH(A267&amp;"ENTRADA",Movimientos!$R$2:$R$1993,0)),"-")</f>
        <v>-</v>
      </c>
      <c r="G267" s="2" t="str">
        <f>IFERROR(INDEX(Movimientos!$L$2:$L$1993,MATCH(A267&amp;"ENTRADA",Movimientos!$R$2:$R$1993,0)),"-")</f>
        <v>-</v>
      </c>
      <c r="H267" s="17" t="str">
        <f>IFERROR(IF(INDEX(Movimientos!$M$2:$M$1993,MATCH(A267&amp;"ENTRADA",Movimientos!$R$2:$R$1993,0))=0,"S/D",INDEX(Movimientos!$M$2:$M$1993,MATCH(A267&amp;"ENTRADA",Movimientos!$R$2:$R$1993,0))),"S/D")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2608</v>
      </c>
      <c r="B268" s="2" t="str">
        <f>IFERROR(INDEX(Movimientos!$C$2:$C$1993,MATCH(A268&amp;"ENTRADA",Movimientos!$R$2:$R$1993,0)),"-")</f>
        <v>-</v>
      </c>
      <c r="C268" s="2" t="str">
        <f>IFERROR(INDEX(Movimientos!$D$2:$D$1993,MATCH(A268&amp;"ENTRADA",Movimientos!$R$2:$R$1993,0)),"-")</f>
        <v>-</v>
      </c>
      <c r="D268" s="2" t="str">
        <f>IFERROR(INDEX(Movimientos!$E$2:$E$1993,MATCH(A268&amp;"ENTRADA",Movimientos!$R$2:$R$1993,0)),"-")</f>
        <v>-</v>
      </c>
      <c r="E268" s="2" t="str">
        <f>IFERROR(INDEX(Movimientos!$F$2:$F$1993,MATCH(A268&amp;"ENTRADA",Movimientos!$R$2:$R$1993,0)),"-")</f>
        <v>-</v>
      </c>
      <c r="F268" s="2" t="str">
        <f>IFERROR(INDEX(Movimientos!$G$2:$G$1993,MATCH(A268&amp;"ENTRADA",Movimientos!$R$2:$R$1993,0)),"-")</f>
        <v>-</v>
      </c>
      <c r="G268" s="2" t="str">
        <f>IFERROR(INDEX(Movimientos!$L$2:$L$1993,MATCH(A268&amp;"ENTRADA",Movimientos!$R$2:$R$1993,0)),"-")</f>
        <v>-</v>
      </c>
      <c r="H268" s="17" t="str">
        <f>IFERROR(IF(INDEX(Movimientos!$M$2:$M$1993,MATCH(A268&amp;"ENTRADA",Movimientos!$R$2:$R$1993,0))=0,"S/D",INDEX(Movimientos!$M$2:$M$1993,MATCH(A268&amp;"ENTRADA",Movimientos!$R$2:$R$1993,0))),"S/D")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2609</v>
      </c>
      <c r="B269" s="2" t="str">
        <f>IFERROR(INDEX(Movimientos!$C$2:$C$1993,MATCH(A269&amp;"ENTRADA",Movimientos!$R$2:$R$1993,0)),"-")</f>
        <v>-</v>
      </c>
      <c r="C269" s="2" t="str">
        <f>IFERROR(INDEX(Movimientos!$D$2:$D$1993,MATCH(A269&amp;"ENTRADA",Movimientos!$R$2:$R$1993,0)),"-")</f>
        <v>-</v>
      </c>
      <c r="D269" s="2" t="str">
        <f>IFERROR(INDEX(Movimientos!$E$2:$E$1993,MATCH(A269&amp;"ENTRADA",Movimientos!$R$2:$R$1993,0)),"-")</f>
        <v>-</v>
      </c>
      <c r="E269" s="2" t="str">
        <f>IFERROR(INDEX(Movimientos!$F$2:$F$1993,MATCH(A269&amp;"ENTRADA",Movimientos!$R$2:$R$1993,0)),"-")</f>
        <v>-</v>
      </c>
      <c r="F269" s="2" t="str">
        <f>IFERROR(INDEX(Movimientos!$G$2:$G$1993,MATCH(A269&amp;"ENTRADA",Movimientos!$R$2:$R$1993,0)),"-")</f>
        <v>-</v>
      </c>
      <c r="G269" s="2" t="str">
        <f>IFERROR(INDEX(Movimientos!$L$2:$L$1993,MATCH(A269&amp;"ENTRADA",Movimientos!$R$2:$R$1993,0)),"-")</f>
        <v>-</v>
      </c>
      <c r="H269" s="17" t="str">
        <f>IFERROR(IF(INDEX(Movimientos!$M$2:$M$1993,MATCH(A269&amp;"ENTRADA",Movimientos!$R$2:$R$1993,0))=0,"S/D",INDEX(Movimientos!$M$2:$M$1993,MATCH(A269&amp;"ENTRADA",Movimientos!$R$2:$R$1993,0))),"S/D")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2610</v>
      </c>
      <c r="B270" s="2" t="str">
        <f>IFERROR(INDEX(Movimientos!$C$2:$C$1993,MATCH(A270&amp;"ENTRADA",Movimientos!$R$2:$R$1993,0)),"-")</f>
        <v>-</v>
      </c>
      <c r="C270" s="2" t="str">
        <f>IFERROR(INDEX(Movimientos!$D$2:$D$1993,MATCH(A270&amp;"ENTRADA",Movimientos!$R$2:$R$1993,0)),"-")</f>
        <v>-</v>
      </c>
      <c r="D270" s="2" t="str">
        <f>IFERROR(INDEX(Movimientos!$E$2:$E$1993,MATCH(A270&amp;"ENTRADA",Movimientos!$R$2:$R$1993,0)),"-")</f>
        <v>-</v>
      </c>
      <c r="E270" s="2" t="str">
        <f>IFERROR(INDEX(Movimientos!$F$2:$F$1993,MATCH(A270&amp;"ENTRADA",Movimientos!$R$2:$R$1993,0)),"-")</f>
        <v>-</v>
      </c>
      <c r="F270" s="2" t="str">
        <f>IFERROR(INDEX(Movimientos!$G$2:$G$1993,MATCH(A270&amp;"ENTRADA",Movimientos!$R$2:$R$1993,0)),"-")</f>
        <v>-</v>
      </c>
      <c r="G270" s="2" t="str">
        <f>IFERROR(INDEX(Movimientos!$L$2:$L$1993,MATCH(A270&amp;"ENTRADA",Movimientos!$R$2:$R$1993,0)),"-")</f>
        <v>-</v>
      </c>
      <c r="H270" s="17" t="str">
        <f>IFERROR(IF(INDEX(Movimientos!$M$2:$M$1993,MATCH(A270&amp;"ENTRADA",Movimientos!$R$2:$R$1993,0))=0,"S/D",INDEX(Movimientos!$M$2:$M$1993,MATCH(A270&amp;"ENTRADA",Movimientos!$R$2:$R$1993,0))),"S/D")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2611</v>
      </c>
      <c r="B271" s="2" t="str">
        <f>IFERROR(INDEX(Movimientos!$C$2:$C$1993,MATCH(A271&amp;"ENTRADA",Movimientos!$R$2:$R$1993,0)),"-")</f>
        <v>-</v>
      </c>
      <c r="C271" s="2" t="str">
        <f>IFERROR(INDEX(Movimientos!$D$2:$D$1993,MATCH(A271&amp;"ENTRADA",Movimientos!$R$2:$R$1993,0)),"-")</f>
        <v>-</v>
      </c>
      <c r="D271" s="2" t="str">
        <f>IFERROR(INDEX(Movimientos!$E$2:$E$1993,MATCH(A271&amp;"ENTRADA",Movimientos!$R$2:$R$1993,0)),"-")</f>
        <v>-</v>
      </c>
      <c r="E271" s="2" t="str">
        <f>IFERROR(INDEX(Movimientos!$F$2:$F$1993,MATCH(A271&amp;"ENTRADA",Movimientos!$R$2:$R$1993,0)),"-")</f>
        <v>-</v>
      </c>
      <c r="F271" s="2" t="str">
        <f>IFERROR(INDEX(Movimientos!$G$2:$G$1993,MATCH(A271&amp;"ENTRADA",Movimientos!$R$2:$R$1993,0)),"-")</f>
        <v>-</v>
      </c>
      <c r="G271" s="2" t="str">
        <f>IFERROR(INDEX(Movimientos!$L$2:$L$1993,MATCH(A271&amp;"ENTRADA",Movimientos!$R$2:$R$1993,0)),"-")</f>
        <v>-</v>
      </c>
      <c r="H271" s="17" t="str">
        <f>IFERROR(IF(INDEX(Movimientos!$M$2:$M$1993,MATCH(A271&amp;"ENTRADA",Movimientos!$R$2:$R$1993,0))=0,"S/D",INDEX(Movimientos!$M$2:$M$1993,MATCH(A271&amp;"ENTRADA",Movimientos!$R$2:$R$1993,0))),"S/D")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2612</v>
      </c>
      <c r="B272" s="2" t="str">
        <f>IFERROR(INDEX(Movimientos!$C$2:$C$1993,MATCH(A272&amp;"ENTRADA",Movimientos!$R$2:$R$1993,0)),"-")</f>
        <v>-</v>
      </c>
      <c r="C272" s="2" t="str">
        <f>IFERROR(INDEX(Movimientos!$D$2:$D$1993,MATCH(A272&amp;"ENTRADA",Movimientos!$R$2:$R$1993,0)),"-")</f>
        <v>-</v>
      </c>
      <c r="D272" s="2" t="str">
        <f>IFERROR(INDEX(Movimientos!$E$2:$E$1993,MATCH(A272&amp;"ENTRADA",Movimientos!$R$2:$R$1993,0)),"-")</f>
        <v>-</v>
      </c>
      <c r="E272" s="2" t="str">
        <f>IFERROR(INDEX(Movimientos!$F$2:$F$1993,MATCH(A272&amp;"ENTRADA",Movimientos!$R$2:$R$1993,0)),"-")</f>
        <v>-</v>
      </c>
      <c r="F272" s="2" t="str">
        <f>IFERROR(INDEX(Movimientos!$G$2:$G$1993,MATCH(A272&amp;"ENTRADA",Movimientos!$R$2:$R$1993,0)),"-")</f>
        <v>-</v>
      </c>
      <c r="G272" s="2" t="str">
        <f>IFERROR(INDEX(Movimientos!$L$2:$L$1993,MATCH(A272&amp;"ENTRADA",Movimientos!$R$2:$R$1993,0)),"-")</f>
        <v>-</v>
      </c>
      <c r="H272" s="17" t="str">
        <f>IFERROR(IF(INDEX(Movimientos!$M$2:$M$1993,MATCH(A272&amp;"ENTRADA",Movimientos!$R$2:$R$1993,0))=0,"S/D",INDEX(Movimientos!$M$2:$M$1993,MATCH(A272&amp;"ENTRADA",Movimientos!$R$2:$R$1993,0))),"S/D")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2613</v>
      </c>
      <c r="B273" s="2" t="str">
        <f>IFERROR(INDEX(Movimientos!$C$2:$C$1993,MATCH(A273&amp;"ENTRADA",Movimientos!$R$2:$R$1993,0)),"-")</f>
        <v>-</v>
      </c>
      <c r="C273" s="2" t="str">
        <f>IFERROR(INDEX(Movimientos!$D$2:$D$1993,MATCH(A273&amp;"ENTRADA",Movimientos!$R$2:$R$1993,0)),"-")</f>
        <v>-</v>
      </c>
      <c r="D273" s="2" t="str">
        <f>IFERROR(INDEX(Movimientos!$E$2:$E$1993,MATCH(A273&amp;"ENTRADA",Movimientos!$R$2:$R$1993,0)),"-")</f>
        <v>-</v>
      </c>
      <c r="E273" s="2" t="str">
        <f>IFERROR(INDEX(Movimientos!$F$2:$F$1993,MATCH(A273&amp;"ENTRADA",Movimientos!$R$2:$R$1993,0)),"-")</f>
        <v>-</v>
      </c>
      <c r="F273" s="2" t="str">
        <f>IFERROR(INDEX(Movimientos!$G$2:$G$1993,MATCH(A273&amp;"ENTRADA",Movimientos!$R$2:$R$1993,0)),"-")</f>
        <v>-</v>
      </c>
      <c r="G273" s="2" t="str">
        <f>IFERROR(INDEX(Movimientos!$L$2:$L$1993,MATCH(A273&amp;"ENTRADA",Movimientos!$R$2:$R$1993,0)),"-")</f>
        <v>-</v>
      </c>
      <c r="H273" s="17" t="str">
        <f>IFERROR(IF(INDEX(Movimientos!$M$2:$M$1993,MATCH(A273&amp;"ENTRADA",Movimientos!$R$2:$R$1993,0))=0,"S/D",INDEX(Movimientos!$M$2:$M$1993,MATCH(A273&amp;"ENTRADA",Movimientos!$R$2:$R$1993,0))),"S/D")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2614</v>
      </c>
      <c r="B274" s="2" t="str">
        <f>IFERROR(INDEX(Movimientos!$C$2:$C$1993,MATCH(A274&amp;"ENTRADA",Movimientos!$R$2:$R$1993,0)),"-")</f>
        <v>-</v>
      </c>
      <c r="C274" s="2" t="str">
        <f>IFERROR(INDEX(Movimientos!$D$2:$D$1993,MATCH(A274&amp;"ENTRADA",Movimientos!$R$2:$R$1993,0)),"-")</f>
        <v>-</v>
      </c>
      <c r="D274" s="2" t="str">
        <f>IFERROR(INDEX(Movimientos!$E$2:$E$1993,MATCH(A274&amp;"ENTRADA",Movimientos!$R$2:$R$1993,0)),"-")</f>
        <v>-</v>
      </c>
      <c r="E274" s="2" t="str">
        <f>IFERROR(INDEX(Movimientos!$F$2:$F$1993,MATCH(A274&amp;"ENTRADA",Movimientos!$R$2:$R$1993,0)),"-")</f>
        <v>-</v>
      </c>
      <c r="F274" s="2" t="str">
        <f>IFERROR(INDEX(Movimientos!$G$2:$G$1993,MATCH(A274&amp;"ENTRADA",Movimientos!$R$2:$R$1993,0)),"-")</f>
        <v>-</v>
      </c>
      <c r="G274" s="2" t="str">
        <f>IFERROR(INDEX(Movimientos!$L$2:$L$1993,MATCH(A274&amp;"ENTRADA",Movimientos!$R$2:$R$1993,0)),"-")</f>
        <v>-</v>
      </c>
      <c r="H274" s="17" t="str">
        <f>IFERROR(IF(INDEX(Movimientos!$M$2:$M$1993,MATCH(A274&amp;"ENTRADA",Movimientos!$R$2:$R$1993,0))=0,"S/D",INDEX(Movimientos!$M$2:$M$1993,MATCH(A274&amp;"ENTRADA",Movimientos!$R$2:$R$1993,0))),"S/D")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2615</v>
      </c>
      <c r="B275" s="2" t="str">
        <f>IFERROR(INDEX(Movimientos!$C$2:$C$1993,MATCH(A275&amp;"ENTRADA",Movimientos!$R$2:$R$1993,0)),"-")</f>
        <v>-</v>
      </c>
      <c r="C275" s="2" t="str">
        <f>IFERROR(INDEX(Movimientos!$D$2:$D$1993,MATCH(A275&amp;"ENTRADA",Movimientos!$R$2:$R$1993,0)),"-")</f>
        <v>-</v>
      </c>
      <c r="D275" s="2" t="str">
        <f>IFERROR(INDEX(Movimientos!$E$2:$E$1993,MATCH(A275&amp;"ENTRADA",Movimientos!$R$2:$R$1993,0)),"-")</f>
        <v>-</v>
      </c>
      <c r="E275" s="2" t="str">
        <f>IFERROR(INDEX(Movimientos!$F$2:$F$1993,MATCH(A275&amp;"ENTRADA",Movimientos!$R$2:$R$1993,0)),"-")</f>
        <v>-</v>
      </c>
      <c r="F275" s="2" t="str">
        <f>IFERROR(INDEX(Movimientos!$G$2:$G$1993,MATCH(A275&amp;"ENTRADA",Movimientos!$R$2:$R$1993,0)),"-")</f>
        <v>-</v>
      </c>
      <c r="G275" s="2" t="str">
        <f>IFERROR(INDEX(Movimientos!$L$2:$L$1993,MATCH(A275&amp;"ENTRADA",Movimientos!$R$2:$R$1993,0)),"-")</f>
        <v>-</v>
      </c>
      <c r="H275" s="17" t="str">
        <f>IFERROR(IF(INDEX(Movimientos!$M$2:$M$1993,MATCH(A275&amp;"ENTRADA",Movimientos!$R$2:$R$1993,0))=0,"S/D",INDEX(Movimientos!$M$2:$M$1993,MATCH(A275&amp;"ENTRADA",Movimientos!$R$2:$R$1993,0))),"S/D")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2616</v>
      </c>
      <c r="B276" s="2" t="str">
        <f>IFERROR(INDEX(Movimientos!$C$2:$C$1993,MATCH(A276&amp;"ENTRADA",Movimientos!$R$2:$R$1993,0)),"-")</f>
        <v>-</v>
      </c>
      <c r="C276" s="2" t="str">
        <f>IFERROR(INDEX(Movimientos!$D$2:$D$1993,MATCH(A276&amp;"ENTRADA",Movimientos!$R$2:$R$1993,0)),"-")</f>
        <v>-</v>
      </c>
      <c r="D276" s="2" t="str">
        <f>IFERROR(INDEX(Movimientos!$E$2:$E$1993,MATCH(A276&amp;"ENTRADA",Movimientos!$R$2:$R$1993,0)),"-")</f>
        <v>-</v>
      </c>
      <c r="E276" s="2" t="str">
        <f>IFERROR(INDEX(Movimientos!$F$2:$F$1993,MATCH(A276&amp;"ENTRADA",Movimientos!$R$2:$R$1993,0)),"-")</f>
        <v>-</v>
      </c>
      <c r="F276" s="2" t="str">
        <f>IFERROR(INDEX(Movimientos!$G$2:$G$1993,MATCH(A276&amp;"ENTRADA",Movimientos!$R$2:$R$1993,0)),"-")</f>
        <v>-</v>
      </c>
      <c r="G276" s="2" t="str">
        <f>IFERROR(INDEX(Movimientos!$L$2:$L$1993,MATCH(A276&amp;"ENTRADA",Movimientos!$R$2:$R$1993,0)),"-")</f>
        <v>-</v>
      </c>
      <c r="H276" s="17" t="str">
        <f>IFERROR(IF(INDEX(Movimientos!$M$2:$M$1993,MATCH(A276&amp;"ENTRADA",Movimientos!$R$2:$R$1993,0))=0,"S/D",INDEX(Movimientos!$M$2:$M$1993,MATCH(A276&amp;"ENTRADA",Movimientos!$R$2:$R$1993,0))),"S/D")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2617</v>
      </c>
      <c r="B277" s="2" t="str">
        <f>IFERROR(INDEX(Movimientos!$C$2:$C$1993,MATCH(A277&amp;"ENTRADA",Movimientos!$R$2:$R$1993,0)),"-")</f>
        <v>-</v>
      </c>
      <c r="C277" s="2" t="str">
        <f>IFERROR(INDEX(Movimientos!$D$2:$D$1993,MATCH(A277&amp;"ENTRADA",Movimientos!$R$2:$R$1993,0)),"-")</f>
        <v>-</v>
      </c>
      <c r="D277" s="2" t="str">
        <f>IFERROR(INDEX(Movimientos!$E$2:$E$1993,MATCH(A277&amp;"ENTRADA",Movimientos!$R$2:$R$1993,0)),"-")</f>
        <v>-</v>
      </c>
      <c r="E277" s="2" t="str">
        <f>IFERROR(INDEX(Movimientos!$F$2:$F$1993,MATCH(A277&amp;"ENTRADA",Movimientos!$R$2:$R$1993,0)),"-")</f>
        <v>-</v>
      </c>
      <c r="F277" s="2" t="str">
        <f>IFERROR(INDEX(Movimientos!$G$2:$G$1993,MATCH(A277&amp;"ENTRADA",Movimientos!$R$2:$R$1993,0)),"-")</f>
        <v>-</v>
      </c>
      <c r="G277" s="2" t="str">
        <f>IFERROR(INDEX(Movimientos!$L$2:$L$1993,MATCH(A277&amp;"ENTRADA",Movimientos!$R$2:$R$1993,0)),"-")</f>
        <v>-</v>
      </c>
      <c r="H277" s="17" t="str">
        <f>IFERROR(IF(INDEX(Movimientos!$M$2:$M$1993,MATCH(A277&amp;"ENTRADA",Movimientos!$R$2:$R$1993,0))=0,"S/D",INDEX(Movimientos!$M$2:$M$1993,MATCH(A277&amp;"ENTRADA",Movimientos!$R$2:$R$1993,0))),"S/D")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2618</v>
      </c>
      <c r="B278" s="2" t="str">
        <f>IFERROR(INDEX(Movimientos!$C$2:$C$1993,MATCH(A278&amp;"ENTRADA",Movimientos!$R$2:$R$1993,0)),"-")</f>
        <v>-</v>
      </c>
      <c r="C278" s="2" t="str">
        <f>IFERROR(INDEX(Movimientos!$D$2:$D$1993,MATCH(A278&amp;"ENTRADA",Movimientos!$R$2:$R$1993,0)),"-")</f>
        <v>-</v>
      </c>
      <c r="D278" s="2" t="str">
        <f>IFERROR(INDEX(Movimientos!$E$2:$E$1993,MATCH(A278&amp;"ENTRADA",Movimientos!$R$2:$R$1993,0)),"-")</f>
        <v>-</v>
      </c>
      <c r="E278" s="2" t="str">
        <f>IFERROR(INDEX(Movimientos!$F$2:$F$1993,MATCH(A278&amp;"ENTRADA",Movimientos!$R$2:$R$1993,0)),"-")</f>
        <v>-</v>
      </c>
      <c r="F278" s="2" t="str">
        <f>IFERROR(INDEX(Movimientos!$G$2:$G$1993,MATCH(A278&amp;"ENTRADA",Movimientos!$R$2:$R$1993,0)),"-")</f>
        <v>-</v>
      </c>
      <c r="G278" s="2" t="str">
        <f>IFERROR(INDEX(Movimientos!$L$2:$L$1993,MATCH(A278&amp;"ENTRADA",Movimientos!$R$2:$R$1993,0)),"-")</f>
        <v>-</v>
      </c>
      <c r="H278" s="17" t="str">
        <f>IFERROR(IF(INDEX(Movimientos!$M$2:$M$1993,MATCH(A278&amp;"ENTRADA",Movimientos!$R$2:$R$1993,0))=0,"S/D",INDEX(Movimientos!$M$2:$M$1993,MATCH(A278&amp;"ENTRADA",Movimientos!$R$2:$R$1993,0))),"S/D")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2619</v>
      </c>
      <c r="B279" s="2" t="str">
        <f>IFERROR(INDEX(Movimientos!$C$2:$C$1993,MATCH(A279&amp;"ENTRADA",Movimientos!$R$2:$R$1993,0)),"-")</f>
        <v>-</v>
      </c>
      <c r="C279" s="2" t="str">
        <f>IFERROR(INDEX(Movimientos!$D$2:$D$1993,MATCH(A279&amp;"ENTRADA",Movimientos!$R$2:$R$1993,0)),"-")</f>
        <v>-</v>
      </c>
      <c r="D279" s="2" t="str">
        <f>IFERROR(INDEX(Movimientos!$E$2:$E$1993,MATCH(A279&amp;"ENTRADA",Movimientos!$R$2:$R$1993,0)),"-")</f>
        <v>-</v>
      </c>
      <c r="E279" s="2" t="str">
        <f>IFERROR(INDEX(Movimientos!$F$2:$F$1993,MATCH(A279&amp;"ENTRADA",Movimientos!$R$2:$R$1993,0)),"-")</f>
        <v>-</v>
      </c>
      <c r="F279" s="2" t="str">
        <f>IFERROR(INDEX(Movimientos!$G$2:$G$1993,MATCH(A279&amp;"ENTRADA",Movimientos!$R$2:$R$1993,0)),"-")</f>
        <v>-</v>
      </c>
      <c r="G279" s="2" t="str">
        <f>IFERROR(INDEX(Movimientos!$L$2:$L$1993,MATCH(A279&amp;"ENTRADA",Movimientos!$R$2:$R$1993,0)),"-")</f>
        <v>-</v>
      </c>
      <c r="H279" s="17" t="str">
        <f>IFERROR(IF(INDEX(Movimientos!$M$2:$M$1993,MATCH(A279&amp;"ENTRADA",Movimientos!$R$2:$R$1993,0))=0,"S/D",INDEX(Movimientos!$M$2:$M$1993,MATCH(A279&amp;"ENTRADA",Movimientos!$R$2:$R$1993,0))),"S/D")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2620</v>
      </c>
      <c r="B280" s="2" t="str">
        <f>IFERROR(INDEX(Movimientos!$C$2:$C$1993,MATCH(A280&amp;"ENTRADA",Movimientos!$R$2:$R$1993,0)),"-")</f>
        <v>-</v>
      </c>
      <c r="C280" s="2" t="str">
        <f>IFERROR(INDEX(Movimientos!$D$2:$D$1993,MATCH(A280&amp;"ENTRADA",Movimientos!$R$2:$R$1993,0)),"-")</f>
        <v>-</v>
      </c>
      <c r="D280" s="2" t="str">
        <f>IFERROR(INDEX(Movimientos!$E$2:$E$1993,MATCH(A280&amp;"ENTRADA",Movimientos!$R$2:$R$1993,0)),"-")</f>
        <v>-</v>
      </c>
      <c r="E280" s="2" t="str">
        <f>IFERROR(INDEX(Movimientos!$F$2:$F$1993,MATCH(A280&amp;"ENTRADA",Movimientos!$R$2:$R$1993,0)),"-")</f>
        <v>-</v>
      </c>
      <c r="F280" s="2" t="str">
        <f>IFERROR(INDEX(Movimientos!$G$2:$G$1993,MATCH(A280&amp;"ENTRADA",Movimientos!$R$2:$R$1993,0)),"-")</f>
        <v>-</v>
      </c>
      <c r="G280" s="2" t="str">
        <f>IFERROR(INDEX(Movimientos!$L$2:$L$1993,MATCH(A280&amp;"ENTRADA",Movimientos!$R$2:$R$1993,0)),"-")</f>
        <v>-</v>
      </c>
      <c r="H280" s="17" t="str">
        <f>IFERROR(IF(INDEX(Movimientos!$M$2:$M$1993,MATCH(A280&amp;"ENTRADA",Movimientos!$R$2:$R$1993,0))=0,"S/D",INDEX(Movimientos!$M$2:$M$1993,MATCH(A280&amp;"ENTRADA",Movimientos!$R$2:$R$1993,0))),"S/D")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2621</v>
      </c>
      <c r="B281" s="2" t="str">
        <f>IFERROR(INDEX(Movimientos!$C$2:$C$1993,MATCH(A281&amp;"ENTRADA",Movimientos!$R$2:$R$1993,0)),"-")</f>
        <v>-</v>
      </c>
      <c r="C281" s="2" t="str">
        <f>IFERROR(INDEX(Movimientos!$D$2:$D$1993,MATCH(A281&amp;"ENTRADA",Movimientos!$R$2:$R$1993,0)),"-")</f>
        <v>-</v>
      </c>
      <c r="D281" s="2" t="str">
        <f>IFERROR(INDEX(Movimientos!$E$2:$E$1993,MATCH(A281&amp;"ENTRADA",Movimientos!$R$2:$R$1993,0)),"-")</f>
        <v>-</v>
      </c>
      <c r="E281" s="2" t="str">
        <f>IFERROR(INDEX(Movimientos!$F$2:$F$1993,MATCH(A281&amp;"ENTRADA",Movimientos!$R$2:$R$1993,0)),"-")</f>
        <v>-</v>
      </c>
      <c r="F281" s="2" t="str">
        <f>IFERROR(INDEX(Movimientos!$G$2:$G$1993,MATCH(A281&amp;"ENTRADA",Movimientos!$R$2:$R$1993,0)),"-")</f>
        <v>-</v>
      </c>
      <c r="G281" s="2" t="str">
        <f>IFERROR(INDEX(Movimientos!$L$2:$L$1993,MATCH(A281&amp;"ENTRADA",Movimientos!$R$2:$R$1993,0)),"-")</f>
        <v>-</v>
      </c>
      <c r="H281" s="17" t="str">
        <f>IFERROR(IF(INDEX(Movimientos!$M$2:$M$1993,MATCH(A281&amp;"ENTRADA",Movimientos!$R$2:$R$1993,0))=0,"S/D",INDEX(Movimientos!$M$2:$M$1993,MATCH(A281&amp;"ENTRADA",Movimientos!$R$2:$R$1993,0))),"S/D")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2622</v>
      </c>
      <c r="B282" s="2" t="str">
        <f>IFERROR(INDEX(Movimientos!$C$2:$C$1993,MATCH(A282&amp;"ENTRADA",Movimientos!$R$2:$R$1993,0)),"-")</f>
        <v>-</v>
      </c>
      <c r="C282" s="2" t="str">
        <f>IFERROR(INDEX(Movimientos!$D$2:$D$1993,MATCH(A282&amp;"ENTRADA",Movimientos!$R$2:$R$1993,0)),"-")</f>
        <v>-</v>
      </c>
      <c r="D282" s="2" t="str">
        <f>IFERROR(INDEX(Movimientos!$E$2:$E$1993,MATCH(A282&amp;"ENTRADA",Movimientos!$R$2:$R$1993,0)),"-")</f>
        <v>-</v>
      </c>
      <c r="E282" s="2" t="str">
        <f>IFERROR(INDEX(Movimientos!$F$2:$F$1993,MATCH(A282&amp;"ENTRADA",Movimientos!$R$2:$R$1993,0)),"-")</f>
        <v>-</v>
      </c>
      <c r="F282" s="2" t="str">
        <f>IFERROR(INDEX(Movimientos!$G$2:$G$1993,MATCH(A282&amp;"ENTRADA",Movimientos!$R$2:$R$1993,0)),"-")</f>
        <v>-</v>
      </c>
      <c r="G282" s="2" t="str">
        <f>IFERROR(INDEX(Movimientos!$L$2:$L$1993,MATCH(A282&amp;"ENTRADA",Movimientos!$R$2:$R$1993,0)),"-")</f>
        <v>-</v>
      </c>
      <c r="H282" s="17" t="str">
        <f>IFERROR(IF(INDEX(Movimientos!$M$2:$M$1993,MATCH(A282&amp;"ENTRADA",Movimientos!$R$2:$R$1993,0))=0,"S/D",INDEX(Movimientos!$M$2:$M$1993,MATCH(A282&amp;"ENTRADA",Movimientos!$R$2:$R$1993,0))),"S/D")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2623</v>
      </c>
      <c r="B283" s="2" t="str">
        <f>IFERROR(INDEX(Movimientos!$C$2:$C$1993,MATCH(A283&amp;"ENTRADA",Movimientos!$R$2:$R$1993,0)),"-")</f>
        <v>-</v>
      </c>
      <c r="C283" s="2" t="str">
        <f>IFERROR(INDEX(Movimientos!$D$2:$D$1993,MATCH(A283&amp;"ENTRADA",Movimientos!$R$2:$R$1993,0)),"-")</f>
        <v>-</v>
      </c>
      <c r="D283" s="2" t="str">
        <f>IFERROR(INDEX(Movimientos!$E$2:$E$1993,MATCH(A283&amp;"ENTRADA",Movimientos!$R$2:$R$1993,0)),"-")</f>
        <v>-</v>
      </c>
      <c r="E283" s="2" t="str">
        <f>IFERROR(INDEX(Movimientos!$F$2:$F$1993,MATCH(A283&amp;"ENTRADA",Movimientos!$R$2:$R$1993,0)),"-")</f>
        <v>-</v>
      </c>
      <c r="F283" s="2" t="str">
        <f>IFERROR(INDEX(Movimientos!$G$2:$G$1993,MATCH(A283&amp;"ENTRADA",Movimientos!$R$2:$R$1993,0)),"-")</f>
        <v>-</v>
      </c>
      <c r="G283" s="2" t="str">
        <f>IFERROR(INDEX(Movimientos!$L$2:$L$1993,MATCH(A283&amp;"ENTRADA",Movimientos!$R$2:$R$1993,0)),"-")</f>
        <v>-</v>
      </c>
      <c r="H283" s="17" t="str">
        <f>IFERROR(IF(INDEX(Movimientos!$M$2:$M$1993,MATCH(A283&amp;"ENTRADA",Movimientos!$R$2:$R$1993,0))=0,"S/D",INDEX(Movimientos!$M$2:$M$1993,MATCH(A283&amp;"ENTRADA",Movimientos!$R$2:$R$1993,0))),"S/D")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2624</v>
      </c>
      <c r="B284" s="2" t="str">
        <f>IFERROR(INDEX(Movimientos!$C$2:$C$1993,MATCH(A284&amp;"ENTRADA",Movimientos!$R$2:$R$1993,0)),"-")</f>
        <v>-</v>
      </c>
      <c r="C284" s="2" t="str">
        <f>IFERROR(INDEX(Movimientos!$D$2:$D$1993,MATCH(A284&amp;"ENTRADA",Movimientos!$R$2:$R$1993,0)),"-")</f>
        <v>-</v>
      </c>
      <c r="D284" s="2" t="str">
        <f>IFERROR(INDEX(Movimientos!$E$2:$E$1993,MATCH(A284&amp;"ENTRADA",Movimientos!$R$2:$R$1993,0)),"-")</f>
        <v>-</v>
      </c>
      <c r="E284" s="2" t="str">
        <f>IFERROR(INDEX(Movimientos!$F$2:$F$1993,MATCH(A284&amp;"ENTRADA",Movimientos!$R$2:$R$1993,0)),"-")</f>
        <v>-</v>
      </c>
      <c r="F284" s="2" t="str">
        <f>IFERROR(INDEX(Movimientos!$G$2:$G$1993,MATCH(A284&amp;"ENTRADA",Movimientos!$R$2:$R$1993,0)),"-")</f>
        <v>-</v>
      </c>
      <c r="G284" s="2" t="str">
        <f>IFERROR(INDEX(Movimientos!$L$2:$L$1993,MATCH(A284&amp;"ENTRADA",Movimientos!$R$2:$R$1993,0)),"-")</f>
        <v>-</v>
      </c>
      <c r="H284" s="17" t="str">
        <f>IFERROR(IF(INDEX(Movimientos!$M$2:$M$1993,MATCH(A284&amp;"ENTRADA",Movimientos!$R$2:$R$1993,0))=0,"S/D",INDEX(Movimientos!$M$2:$M$1993,MATCH(A284&amp;"ENTRADA",Movimientos!$R$2:$R$1993,0))),"S/D")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2625</v>
      </c>
      <c r="B285" s="2" t="str">
        <f>IFERROR(INDEX(Movimientos!$C$2:$C$1993,MATCH(A285&amp;"ENTRADA",Movimientos!$R$2:$R$1993,0)),"-")</f>
        <v>-</v>
      </c>
      <c r="C285" s="2" t="str">
        <f>IFERROR(INDEX(Movimientos!$D$2:$D$1993,MATCH(A285&amp;"ENTRADA",Movimientos!$R$2:$R$1993,0)),"-")</f>
        <v>-</v>
      </c>
      <c r="D285" s="2" t="str">
        <f>IFERROR(INDEX(Movimientos!$E$2:$E$1993,MATCH(A285&amp;"ENTRADA",Movimientos!$R$2:$R$1993,0)),"-")</f>
        <v>-</v>
      </c>
      <c r="E285" s="2" t="str">
        <f>IFERROR(INDEX(Movimientos!$F$2:$F$1993,MATCH(A285&amp;"ENTRADA",Movimientos!$R$2:$R$1993,0)),"-")</f>
        <v>-</v>
      </c>
      <c r="F285" s="2" t="str">
        <f>IFERROR(INDEX(Movimientos!$G$2:$G$1993,MATCH(A285&amp;"ENTRADA",Movimientos!$R$2:$R$1993,0)),"-")</f>
        <v>-</v>
      </c>
      <c r="G285" s="2" t="str">
        <f>IFERROR(INDEX(Movimientos!$L$2:$L$1993,MATCH(A285&amp;"ENTRADA",Movimientos!$R$2:$R$1993,0)),"-")</f>
        <v>-</v>
      </c>
      <c r="H285" s="17" t="str">
        <f>IFERROR(IF(INDEX(Movimientos!$M$2:$M$1993,MATCH(A285&amp;"ENTRADA",Movimientos!$R$2:$R$1993,0))=0,"S/D",INDEX(Movimientos!$M$2:$M$1993,MATCH(A285&amp;"ENTRADA",Movimientos!$R$2:$R$1993,0))),"S/D")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2626</v>
      </c>
      <c r="B286" s="2" t="str">
        <f>IFERROR(INDEX(Movimientos!$C$2:$C$1993,MATCH(A286&amp;"ENTRADA",Movimientos!$R$2:$R$1993,0)),"-")</f>
        <v>-</v>
      </c>
      <c r="C286" s="2" t="str">
        <f>IFERROR(INDEX(Movimientos!$D$2:$D$1993,MATCH(A286&amp;"ENTRADA",Movimientos!$R$2:$R$1993,0)),"-")</f>
        <v>-</v>
      </c>
      <c r="D286" s="2" t="str">
        <f>IFERROR(INDEX(Movimientos!$E$2:$E$1993,MATCH(A286&amp;"ENTRADA",Movimientos!$R$2:$R$1993,0)),"-")</f>
        <v>-</v>
      </c>
      <c r="E286" s="2" t="str">
        <f>IFERROR(INDEX(Movimientos!$F$2:$F$1993,MATCH(A286&amp;"ENTRADA",Movimientos!$R$2:$R$1993,0)),"-")</f>
        <v>-</v>
      </c>
      <c r="F286" s="2" t="str">
        <f>IFERROR(INDEX(Movimientos!$G$2:$G$1993,MATCH(A286&amp;"ENTRADA",Movimientos!$R$2:$R$1993,0)),"-")</f>
        <v>-</v>
      </c>
      <c r="G286" s="2" t="str">
        <f>IFERROR(INDEX(Movimientos!$L$2:$L$1993,MATCH(A286&amp;"ENTRADA",Movimientos!$R$2:$R$1993,0)),"-")</f>
        <v>-</v>
      </c>
      <c r="H286" s="17" t="str">
        <f>IFERROR(IF(INDEX(Movimientos!$M$2:$M$1993,MATCH(A286&amp;"ENTRADA",Movimientos!$R$2:$R$1993,0))=0,"S/D",INDEX(Movimientos!$M$2:$M$1993,MATCH(A286&amp;"ENTRADA",Movimientos!$R$2:$R$1993,0))),"S/D")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2627</v>
      </c>
      <c r="B287" s="2" t="str">
        <f>IFERROR(INDEX(Movimientos!$C$2:$C$1993,MATCH(A287&amp;"ENTRADA",Movimientos!$R$2:$R$1993,0)),"-")</f>
        <v>-</v>
      </c>
      <c r="C287" s="2" t="str">
        <f>IFERROR(INDEX(Movimientos!$D$2:$D$1993,MATCH(A287&amp;"ENTRADA",Movimientos!$R$2:$R$1993,0)),"-")</f>
        <v>-</v>
      </c>
      <c r="D287" s="2" t="str">
        <f>IFERROR(INDEX(Movimientos!$E$2:$E$1993,MATCH(A287&amp;"ENTRADA",Movimientos!$R$2:$R$1993,0)),"-")</f>
        <v>-</v>
      </c>
      <c r="E287" s="2" t="str">
        <f>IFERROR(INDEX(Movimientos!$F$2:$F$1993,MATCH(A287&amp;"ENTRADA",Movimientos!$R$2:$R$1993,0)),"-")</f>
        <v>-</v>
      </c>
      <c r="F287" s="2" t="str">
        <f>IFERROR(INDEX(Movimientos!$G$2:$G$1993,MATCH(A287&amp;"ENTRADA",Movimientos!$R$2:$R$1993,0)),"-")</f>
        <v>-</v>
      </c>
      <c r="G287" s="2" t="str">
        <f>IFERROR(INDEX(Movimientos!$L$2:$L$1993,MATCH(A287&amp;"ENTRADA",Movimientos!$R$2:$R$1993,0)),"-")</f>
        <v>-</v>
      </c>
      <c r="H287" s="17" t="str">
        <f>IFERROR(IF(INDEX(Movimientos!$M$2:$M$1993,MATCH(A287&amp;"ENTRADA",Movimientos!$R$2:$R$1993,0))=0,"S/D",INDEX(Movimientos!$M$2:$M$1993,MATCH(A287&amp;"ENTRADA",Movimientos!$R$2:$R$1993,0))),"S/D")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2628</v>
      </c>
      <c r="B288" s="2" t="str">
        <f>IFERROR(INDEX(Movimientos!$C$2:$C$1993,MATCH(A288&amp;"ENTRADA",Movimientos!$R$2:$R$1993,0)),"-")</f>
        <v>-</v>
      </c>
      <c r="C288" s="2" t="str">
        <f>IFERROR(INDEX(Movimientos!$D$2:$D$1993,MATCH(A288&amp;"ENTRADA",Movimientos!$R$2:$R$1993,0)),"-")</f>
        <v>-</v>
      </c>
      <c r="D288" s="2" t="str">
        <f>IFERROR(INDEX(Movimientos!$E$2:$E$1993,MATCH(A288&amp;"ENTRADA",Movimientos!$R$2:$R$1993,0)),"-")</f>
        <v>-</v>
      </c>
      <c r="E288" s="2" t="str">
        <f>IFERROR(INDEX(Movimientos!$F$2:$F$1993,MATCH(A288&amp;"ENTRADA",Movimientos!$R$2:$R$1993,0)),"-")</f>
        <v>-</v>
      </c>
      <c r="F288" s="2" t="str">
        <f>IFERROR(INDEX(Movimientos!$G$2:$G$1993,MATCH(A288&amp;"ENTRADA",Movimientos!$R$2:$R$1993,0)),"-")</f>
        <v>-</v>
      </c>
      <c r="G288" s="2" t="str">
        <f>IFERROR(INDEX(Movimientos!$L$2:$L$1993,MATCH(A288&amp;"ENTRADA",Movimientos!$R$2:$R$1993,0)),"-")</f>
        <v>-</v>
      </c>
      <c r="H288" s="17" t="str">
        <f>IFERROR(IF(INDEX(Movimientos!$M$2:$M$1993,MATCH(A288&amp;"ENTRADA",Movimientos!$R$2:$R$1993,0))=0,"S/D",INDEX(Movimientos!$M$2:$M$1993,MATCH(A288&amp;"ENTRADA",Movimientos!$R$2:$R$1993,0))),"S/D")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2629</v>
      </c>
      <c r="B289" s="2" t="str">
        <f>IFERROR(INDEX(Movimientos!$C$2:$C$1993,MATCH(A289&amp;"ENTRADA",Movimientos!$R$2:$R$1993,0)),"-")</f>
        <v>-</v>
      </c>
      <c r="C289" s="2" t="str">
        <f>IFERROR(INDEX(Movimientos!$D$2:$D$1993,MATCH(A289&amp;"ENTRADA",Movimientos!$R$2:$R$1993,0)),"-")</f>
        <v>-</v>
      </c>
      <c r="D289" s="2" t="str">
        <f>IFERROR(INDEX(Movimientos!$E$2:$E$1993,MATCH(A289&amp;"ENTRADA",Movimientos!$R$2:$R$1993,0)),"-")</f>
        <v>-</v>
      </c>
      <c r="E289" s="2" t="str">
        <f>IFERROR(INDEX(Movimientos!$F$2:$F$1993,MATCH(A289&amp;"ENTRADA",Movimientos!$R$2:$R$1993,0)),"-")</f>
        <v>-</v>
      </c>
      <c r="F289" s="2" t="str">
        <f>IFERROR(INDEX(Movimientos!$G$2:$G$1993,MATCH(A289&amp;"ENTRADA",Movimientos!$R$2:$R$1993,0)),"-")</f>
        <v>-</v>
      </c>
      <c r="G289" s="2" t="str">
        <f>IFERROR(INDEX(Movimientos!$L$2:$L$1993,MATCH(A289&amp;"ENTRADA",Movimientos!$R$2:$R$1993,0)),"-")</f>
        <v>-</v>
      </c>
      <c r="H289" s="17" t="str">
        <f>IFERROR(IF(INDEX(Movimientos!$M$2:$M$1993,MATCH(A289&amp;"ENTRADA",Movimientos!$R$2:$R$1993,0))=0,"S/D",INDEX(Movimientos!$M$2:$M$1993,MATCH(A289&amp;"ENTRADA",Movimientos!$R$2:$R$1993,0))),"S/D")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2630</v>
      </c>
      <c r="B290" s="2" t="str">
        <f>IFERROR(INDEX(Movimientos!$C$2:$C$1993,MATCH(A290&amp;"ENTRADA",Movimientos!$R$2:$R$1993,0)),"-")</f>
        <v>-</v>
      </c>
      <c r="C290" s="2" t="str">
        <f>IFERROR(INDEX(Movimientos!$D$2:$D$1993,MATCH(A290&amp;"ENTRADA",Movimientos!$R$2:$R$1993,0)),"-")</f>
        <v>-</v>
      </c>
      <c r="D290" s="2" t="str">
        <f>IFERROR(INDEX(Movimientos!$E$2:$E$1993,MATCH(A290&amp;"ENTRADA",Movimientos!$R$2:$R$1993,0)),"-")</f>
        <v>-</v>
      </c>
      <c r="E290" s="2" t="str">
        <f>IFERROR(INDEX(Movimientos!$F$2:$F$1993,MATCH(A290&amp;"ENTRADA",Movimientos!$R$2:$R$1993,0)),"-")</f>
        <v>-</v>
      </c>
      <c r="F290" s="2" t="str">
        <f>IFERROR(INDEX(Movimientos!$G$2:$G$1993,MATCH(A290&amp;"ENTRADA",Movimientos!$R$2:$R$1993,0)),"-")</f>
        <v>-</v>
      </c>
      <c r="G290" s="2" t="str">
        <f>IFERROR(INDEX(Movimientos!$L$2:$L$1993,MATCH(A290&amp;"ENTRADA",Movimientos!$R$2:$R$1993,0)),"-")</f>
        <v>-</v>
      </c>
      <c r="H290" s="17" t="str">
        <f>IFERROR(IF(INDEX(Movimientos!$M$2:$M$1993,MATCH(A290&amp;"ENTRADA",Movimientos!$R$2:$R$1993,0))=0,"S/D",INDEX(Movimientos!$M$2:$M$1993,MATCH(A290&amp;"ENTRADA",Movimientos!$R$2:$R$1993,0))),"S/D")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2631</v>
      </c>
      <c r="B291" s="2" t="str">
        <f>IFERROR(INDEX(Movimientos!$C$2:$C$1993,MATCH(A291&amp;"ENTRADA",Movimientos!$R$2:$R$1993,0)),"-")</f>
        <v>-</v>
      </c>
      <c r="C291" s="2" t="str">
        <f>IFERROR(INDEX(Movimientos!$D$2:$D$1993,MATCH(A291&amp;"ENTRADA",Movimientos!$R$2:$R$1993,0)),"-")</f>
        <v>-</v>
      </c>
      <c r="D291" s="2" t="str">
        <f>IFERROR(INDEX(Movimientos!$E$2:$E$1993,MATCH(A291&amp;"ENTRADA",Movimientos!$R$2:$R$1993,0)),"-")</f>
        <v>-</v>
      </c>
      <c r="E291" s="2" t="str">
        <f>IFERROR(INDEX(Movimientos!$F$2:$F$1993,MATCH(A291&amp;"ENTRADA",Movimientos!$R$2:$R$1993,0)),"-")</f>
        <v>-</v>
      </c>
      <c r="F291" s="2" t="str">
        <f>IFERROR(INDEX(Movimientos!$G$2:$G$1993,MATCH(A291&amp;"ENTRADA",Movimientos!$R$2:$R$1993,0)),"-")</f>
        <v>-</v>
      </c>
      <c r="G291" s="2" t="str">
        <f>IFERROR(INDEX(Movimientos!$L$2:$L$1993,MATCH(A291&amp;"ENTRADA",Movimientos!$R$2:$R$1993,0)),"-")</f>
        <v>-</v>
      </c>
      <c r="H291" s="17" t="str">
        <f>IFERROR(IF(INDEX(Movimientos!$M$2:$M$1993,MATCH(A291&amp;"ENTRADA",Movimientos!$R$2:$R$1993,0))=0,"S/D",INDEX(Movimientos!$M$2:$M$1993,MATCH(A291&amp;"ENTRADA",Movimientos!$R$2:$R$1993,0))),"S/D")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2632</v>
      </c>
      <c r="B292" s="2" t="str">
        <f>IFERROR(INDEX(Movimientos!$C$2:$C$1993,MATCH(A292&amp;"ENTRADA",Movimientos!$R$2:$R$1993,0)),"-")</f>
        <v>-</v>
      </c>
      <c r="C292" s="2" t="str">
        <f>IFERROR(INDEX(Movimientos!$D$2:$D$1993,MATCH(A292&amp;"ENTRADA",Movimientos!$R$2:$R$1993,0)),"-")</f>
        <v>-</v>
      </c>
      <c r="D292" s="2" t="str">
        <f>IFERROR(INDEX(Movimientos!$E$2:$E$1993,MATCH(A292&amp;"ENTRADA",Movimientos!$R$2:$R$1993,0)),"-")</f>
        <v>-</v>
      </c>
      <c r="E292" s="2" t="str">
        <f>IFERROR(INDEX(Movimientos!$F$2:$F$1993,MATCH(A292&amp;"ENTRADA",Movimientos!$R$2:$R$1993,0)),"-")</f>
        <v>-</v>
      </c>
      <c r="F292" s="2" t="str">
        <f>IFERROR(INDEX(Movimientos!$G$2:$G$1993,MATCH(A292&amp;"ENTRADA",Movimientos!$R$2:$R$1993,0)),"-")</f>
        <v>-</v>
      </c>
      <c r="G292" s="2" t="str">
        <f>IFERROR(INDEX(Movimientos!$L$2:$L$1993,MATCH(A292&amp;"ENTRADA",Movimientos!$R$2:$R$1993,0)),"-")</f>
        <v>-</v>
      </c>
      <c r="H292" s="17" t="str">
        <f>IFERROR(IF(INDEX(Movimientos!$M$2:$M$1993,MATCH(A292&amp;"ENTRADA",Movimientos!$R$2:$R$1993,0))=0,"S/D",INDEX(Movimientos!$M$2:$M$1993,MATCH(A292&amp;"ENTRADA",Movimientos!$R$2:$R$1993,0))),"S/D")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2633</v>
      </c>
      <c r="B293" s="2" t="str">
        <f>IFERROR(INDEX(Movimientos!$C$2:$C$1993,MATCH(A293&amp;"ENTRADA",Movimientos!$R$2:$R$1993,0)),"-")</f>
        <v>-</v>
      </c>
      <c r="C293" s="2" t="str">
        <f>IFERROR(INDEX(Movimientos!$D$2:$D$1993,MATCH(A293&amp;"ENTRADA",Movimientos!$R$2:$R$1993,0)),"-")</f>
        <v>-</v>
      </c>
      <c r="D293" s="2" t="str">
        <f>IFERROR(INDEX(Movimientos!$E$2:$E$1993,MATCH(A293&amp;"ENTRADA",Movimientos!$R$2:$R$1993,0)),"-")</f>
        <v>-</v>
      </c>
      <c r="E293" s="2" t="str">
        <f>IFERROR(INDEX(Movimientos!$F$2:$F$1993,MATCH(A293&amp;"ENTRADA",Movimientos!$R$2:$R$1993,0)),"-")</f>
        <v>-</v>
      </c>
      <c r="F293" s="2" t="str">
        <f>IFERROR(INDEX(Movimientos!$G$2:$G$1993,MATCH(A293&amp;"ENTRADA",Movimientos!$R$2:$R$1993,0)),"-")</f>
        <v>-</v>
      </c>
      <c r="G293" s="2" t="str">
        <f>IFERROR(INDEX(Movimientos!$L$2:$L$1993,MATCH(A293&amp;"ENTRADA",Movimientos!$R$2:$R$1993,0)),"-")</f>
        <v>-</v>
      </c>
      <c r="H293" s="17" t="str">
        <f>IFERROR(IF(INDEX(Movimientos!$M$2:$M$1993,MATCH(A293&amp;"ENTRADA",Movimientos!$R$2:$R$1993,0))=0,"S/D",INDEX(Movimientos!$M$2:$M$1993,MATCH(A293&amp;"ENTRADA",Movimientos!$R$2:$R$1993,0))),"S/D")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2634</v>
      </c>
      <c r="B294" s="2" t="str">
        <f>IFERROR(INDEX(Movimientos!$C$2:$C$1993,MATCH(A294&amp;"ENTRADA",Movimientos!$R$2:$R$1993,0)),"-")</f>
        <v>-</v>
      </c>
      <c r="C294" s="2" t="str">
        <f>IFERROR(INDEX(Movimientos!$D$2:$D$1993,MATCH(A294&amp;"ENTRADA",Movimientos!$R$2:$R$1993,0)),"-")</f>
        <v>-</v>
      </c>
      <c r="D294" s="2" t="str">
        <f>IFERROR(INDEX(Movimientos!$E$2:$E$1993,MATCH(A294&amp;"ENTRADA",Movimientos!$R$2:$R$1993,0)),"-")</f>
        <v>-</v>
      </c>
      <c r="E294" s="2" t="str">
        <f>IFERROR(INDEX(Movimientos!$F$2:$F$1993,MATCH(A294&amp;"ENTRADA",Movimientos!$R$2:$R$1993,0)),"-")</f>
        <v>-</v>
      </c>
      <c r="F294" s="2" t="str">
        <f>IFERROR(INDEX(Movimientos!$G$2:$G$1993,MATCH(A294&amp;"ENTRADA",Movimientos!$R$2:$R$1993,0)),"-")</f>
        <v>-</v>
      </c>
      <c r="G294" s="2" t="str">
        <f>IFERROR(INDEX(Movimientos!$L$2:$L$1993,MATCH(A294&amp;"ENTRADA",Movimientos!$R$2:$R$1993,0)),"-")</f>
        <v>-</v>
      </c>
      <c r="H294" s="17" t="str">
        <f>IFERROR(IF(INDEX(Movimientos!$M$2:$M$1993,MATCH(A294&amp;"ENTRADA",Movimientos!$R$2:$R$1993,0))=0,"S/D",INDEX(Movimientos!$M$2:$M$1993,MATCH(A294&amp;"ENTRADA",Movimientos!$R$2:$R$1993,0))),"S/D")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2635</v>
      </c>
      <c r="B295" s="2" t="str">
        <f>IFERROR(INDEX(Movimientos!$C$2:$C$1993,MATCH(A295&amp;"ENTRADA",Movimientos!$R$2:$R$1993,0)),"-")</f>
        <v>-</v>
      </c>
      <c r="C295" s="2" t="str">
        <f>IFERROR(INDEX(Movimientos!$D$2:$D$1993,MATCH(A295&amp;"ENTRADA",Movimientos!$R$2:$R$1993,0)),"-")</f>
        <v>-</v>
      </c>
      <c r="D295" s="2" t="str">
        <f>IFERROR(INDEX(Movimientos!$E$2:$E$1993,MATCH(A295&amp;"ENTRADA",Movimientos!$R$2:$R$1993,0)),"-")</f>
        <v>-</v>
      </c>
      <c r="E295" s="2" t="str">
        <f>IFERROR(INDEX(Movimientos!$F$2:$F$1993,MATCH(A295&amp;"ENTRADA",Movimientos!$R$2:$R$1993,0)),"-")</f>
        <v>-</v>
      </c>
      <c r="F295" s="2" t="str">
        <f>IFERROR(INDEX(Movimientos!$G$2:$G$1993,MATCH(A295&amp;"ENTRADA",Movimientos!$R$2:$R$1993,0)),"-")</f>
        <v>-</v>
      </c>
      <c r="G295" s="2" t="str">
        <f>IFERROR(INDEX(Movimientos!$L$2:$L$1993,MATCH(A295&amp;"ENTRADA",Movimientos!$R$2:$R$1993,0)),"-")</f>
        <v>-</v>
      </c>
      <c r="H295" s="17" t="str">
        <f>IFERROR(IF(INDEX(Movimientos!$M$2:$M$1993,MATCH(A295&amp;"ENTRADA",Movimientos!$R$2:$R$1993,0))=0,"S/D",INDEX(Movimientos!$M$2:$M$1993,MATCH(A295&amp;"ENTRADA",Movimientos!$R$2:$R$1993,0))),"S/D")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2636</v>
      </c>
      <c r="B296" s="2" t="str">
        <f>IFERROR(INDEX(Movimientos!$C$2:$C$1993,MATCH(A296&amp;"ENTRADA",Movimientos!$R$2:$R$1993,0)),"-")</f>
        <v>-</v>
      </c>
      <c r="C296" s="2" t="str">
        <f>IFERROR(INDEX(Movimientos!$D$2:$D$1993,MATCH(A296&amp;"ENTRADA",Movimientos!$R$2:$R$1993,0)),"-")</f>
        <v>-</v>
      </c>
      <c r="D296" s="2" t="str">
        <f>IFERROR(INDEX(Movimientos!$E$2:$E$1993,MATCH(A296&amp;"ENTRADA",Movimientos!$R$2:$R$1993,0)),"-")</f>
        <v>-</v>
      </c>
      <c r="E296" s="2" t="str">
        <f>IFERROR(INDEX(Movimientos!$F$2:$F$1993,MATCH(A296&amp;"ENTRADA",Movimientos!$R$2:$R$1993,0)),"-")</f>
        <v>-</v>
      </c>
      <c r="F296" s="2" t="str">
        <f>IFERROR(INDEX(Movimientos!$G$2:$G$1993,MATCH(A296&amp;"ENTRADA",Movimientos!$R$2:$R$1993,0)),"-")</f>
        <v>-</v>
      </c>
      <c r="G296" s="2" t="str">
        <f>IFERROR(INDEX(Movimientos!$L$2:$L$1993,MATCH(A296&amp;"ENTRADA",Movimientos!$R$2:$R$1993,0)),"-")</f>
        <v>-</v>
      </c>
      <c r="H296" s="17" t="str">
        <f>IFERROR(IF(INDEX(Movimientos!$M$2:$M$1993,MATCH(A296&amp;"ENTRADA",Movimientos!$R$2:$R$1993,0))=0,"S/D",INDEX(Movimientos!$M$2:$M$1993,MATCH(A296&amp;"ENTRADA",Movimientos!$R$2:$R$1993,0))),"S/D")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2637</v>
      </c>
      <c r="B297" s="2" t="str">
        <f>IFERROR(INDEX(Movimientos!$C$2:$C$1993,MATCH(A297&amp;"ENTRADA",Movimientos!$R$2:$R$1993,0)),"-")</f>
        <v>-</v>
      </c>
      <c r="C297" s="2" t="str">
        <f>IFERROR(INDEX(Movimientos!$D$2:$D$1993,MATCH(A297&amp;"ENTRADA",Movimientos!$R$2:$R$1993,0)),"-")</f>
        <v>-</v>
      </c>
      <c r="D297" s="2" t="str">
        <f>IFERROR(INDEX(Movimientos!$E$2:$E$1993,MATCH(A297&amp;"ENTRADA",Movimientos!$R$2:$R$1993,0)),"-")</f>
        <v>-</v>
      </c>
      <c r="E297" s="2" t="str">
        <f>IFERROR(INDEX(Movimientos!$F$2:$F$1993,MATCH(A297&amp;"ENTRADA",Movimientos!$R$2:$R$1993,0)),"-")</f>
        <v>-</v>
      </c>
      <c r="F297" s="2" t="str">
        <f>IFERROR(INDEX(Movimientos!$G$2:$G$1993,MATCH(A297&amp;"ENTRADA",Movimientos!$R$2:$R$1993,0)),"-")</f>
        <v>-</v>
      </c>
      <c r="G297" s="2" t="str">
        <f>IFERROR(INDEX(Movimientos!$L$2:$L$1993,MATCH(A297&amp;"ENTRADA",Movimientos!$R$2:$R$1993,0)),"-")</f>
        <v>-</v>
      </c>
      <c r="H297" s="17" t="str">
        <f>IFERROR(IF(INDEX(Movimientos!$M$2:$M$1993,MATCH(A297&amp;"ENTRADA",Movimientos!$R$2:$R$1993,0))=0,"S/D",INDEX(Movimientos!$M$2:$M$1993,MATCH(A297&amp;"ENTRADA",Movimientos!$R$2:$R$1993,0))),"S/D")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2638</v>
      </c>
      <c r="B298" s="2" t="str">
        <f>IFERROR(INDEX(Movimientos!$C$2:$C$1993,MATCH(A298&amp;"ENTRADA",Movimientos!$R$2:$R$1993,0)),"-")</f>
        <v>-</v>
      </c>
      <c r="C298" s="2" t="str">
        <f>IFERROR(INDEX(Movimientos!$D$2:$D$1993,MATCH(A298&amp;"ENTRADA",Movimientos!$R$2:$R$1993,0)),"-")</f>
        <v>-</v>
      </c>
      <c r="D298" s="2" t="str">
        <f>IFERROR(INDEX(Movimientos!$E$2:$E$1993,MATCH(A298&amp;"ENTRADA",Movimientos!$R$2:$R$1993,0)),"-")</f>
        <v>-</v>
      </c>
      <c r="E298" s="2" t="str">
        <f>IFERROR(INDEX(Movimientos!$F$2:$F$1993,MATCH(A298&amp;"ENTRADA",Movimientos!$R$2:$R$1993,0)),"-")</f>
        <v>-</v>
      </c>
      <c r="F298" s="2" t="str">
        <f>IFERROR(INDEX(Movimientos!$G$2:$G$1993,MATCH(A298&amp;"ENTRADA",Movimientos!$R$2:$R$1993,0)),"-")</f>
        <v>-</v>
      </c>
      <c r="G298" s="2" t="str">
        <f>IFERROR(INDEX(Movimientos!$L$2:$L$1993,MATCH(A298&amp;"ENTRADA",Movimientos!$R$2:$R$1993,0)),"-")</f>
        <v>-</v>
      </c>
      <c r="H298" s="17" t="str">
        <f>IFERROR(IF(INDEX(Movimientos!$M$2:$M$1993,MATCH(A298&amp;"ENTRADA",Movimientos!$R$2:$R$1993,0))=0,"S/D",INDEX(Movimientos!$M$2:$M$1993,MATCH(A298&amp;"ENTRADA",Movimientos!$R$2:$R$1993,0))),"S/D")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2639</v>
      </c>
      <c r="B299" s="2" t="str">
        <f>IFERROR(INDEX(Movimientos!$C$2:$C$1993,MATCH(A299&amp;"ENTRADA",Movimientos!$R$2:$R$1993,0)),"-")</f>
        <v>-</v>
      </c>
      <c r="C299" s="2" t="str">
        <f>IFERROR(INDEX(Movimientos!$D$2:$D$1993,MATCH(A299&amp;"ENTRADA",Movimientos!$R$2:$R$1993,0)),"-")</f>
        <v>-</v>
      </c>
      <c r="D299" s="2" t="str">
        <f>IFERROR(INDEX(Movimientos!$E$2:$E$1993,MATCH(A299&amp;"ENTRADA",Movimientos!$R$2:$R$1993,0)),"-")</f>
        <v>-</v>
      </c>
      <c r="E299" s="2" t="str">
        <f>IFERROR(INDEX(Movimientos!$F$2:$F$1993,MATCH(A299&amp;"ENTRADA",Movimientos!$R$2:$R$1993,0)),"-")</f>
        <v>-</v>
      </c>
      <c r="F299" s="2" t="str">
        <f>IFERROR(INDEX(Movimientos!$G$2:$G$1993,MATCH(A299&amp;"ENTRADA",Movimientos!$R$2:$R$1993,0)),"-")</f>
        <v>-</v>
      </c>
      <c r="G299" s="2" t="str">
        <f>IFERROR(INDEX(Movimientos!$L$2:$L$1993,MATCH(A299&amp;"ENTRADA",Movimientos!$R$2:$R$1993,0)),"-")</f>
        <v>-</v>
      </c>
      <c r="H299" s="17" t="str">
        <f>IFERROR(IF(INDEX(Movimientos!$M$2:$M$1993,MATCH(A299&amp;"ENTRADA",Movimientos!$R$2:$R$1993,0))=0,"S/D",INDEX(Movimientos!$M$2:$M$1993,MATCH(A299&amp;"ENTRADA",Movimientos!$R$2:$R$1993,0))),"S/D")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2640</v>
      </c>
      <c r="B300" s="2" t="str">
        <f>IFERROR(INDEX(Movimientos!$C$2:$C$1993,MATCH(A300&amp;"ENTRADA",Movimientos!$R$2:$R$1993,0)),"-")</f>
        <v>-</v>
      </c>
      <c r="C300" s="2" t="str">
        <f>IFERROR(INDEX(Movimientos!$D$2:$D$1993,MATCH(A300&amp;"ENTRADA",Movimientos!$R$2:$R$1993,0)),"-")</f>
        <v>-</v>
      </c>
      <c r="D300" s="2" t="str">
        <f>IFERROR(INDEX(Movimientos!$E$2:$E$1993,MATCH(A300&amp;"ENTRADA",Movimientos!$R$2:$R$1993,0)),"-")</f>
        <v>-</v>
      </c>
      <c r="E300" s="2" t="str">
        <f>IFERROR(INDEX(Movimientos!$F$2:$F$1993,MATCH(A300&amp;"ENTRADA",Movimientos!$R$2:$R$1993,0)),"-")</f>
        <v>-</v>
      </c>
      <c r="F300" s="2" t="str">
        <f>IFERROR(INDEX(Movimientos!$G$2:$G$1993,MATCH(A300&amp;"ENTRADA",Movimientos!$R$2:$R$1993,0)),"-")</f>
        <v>-</v>
      </c>
      <c r="G300" s="2" t="str">
        <f>IFERROR(INDEX(Movimientos!$L$2:$L$1993,MATCH(A300&amp;"ENTRADA",Movimientos!$R$2:$R$1993,0)),"-")</f>
        <v>-</v>
      </c>
      <c r="H300" s="17" t="str">
        <f>IFERROR(IF(INDEX(Movimientos!$M$2:$M$1993,MATCH(A300&amp;"ENTRADA",Movimientos!$R$2:$R$1993,0))=0,"S/D",INDEX(Movimientos!$M$2:$M$1993,MATCH(A300&amp;"ENTRADA",Movimientos!$R$2:$R$1993,0))),"S/D")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2641</v>
      </c>
      <c r="B301" s="2" t="str">
        <f>IFERROR(INDEX(Movimientos!$C$2:$C$1993,MATCH(A301&amp;"ENTRADA",Movimientos!$R$2:$R$1993,0)),"-")</f>
        <v>-</v>
      </c>
      <c r="C301" s="2" t="str">
        <f>IFERROR(INDEX(Movimientos!$D$2:$D$1993,MATCH(A301&amp;"ENTRADA",Movimientos!$R$2:$R$1993,0)),"-")</f>
        <v>-</v>
      </c>
      <c r="D301" s="2" t="str">
        <f>IFERROR(INDEX(Movimientos!$E$2:$E$1993,MATCH(A301&amp;"ENTRADA",Movimientos!$R$2:$R$1993,0)),"-")</f>
        <v>-</v>
      </c>
      <c r="E301" s="2" t="str">
        <f>IFERROR(INDEX(Movimientos!$F$2:$F$1993,MATCH(A301&amp;"ENTRADA",Movimientos!$R$2:$R$1993,0)),"-")</f>
        <v>-</v>
      </c>
      <c r="F301" s="2" t="str">
        <f>IFERROR(INDEX(Movimientos!$G$2:$G$1993,MATCH(A301&amp;"ENTRADA",Movimientos!$R$2:$R$1993,0)),"-")</f>
        <v>-</v>
      </c>
      <c r="G301" s="2" t="str">
        <f>IFERROR(INDEX(Movimientos!$L$2:$L$1993,MATCH(A301&amp;"ENTRADA",Movimientos!$R$2:$R$1993,0)),"-")</f>
        <v>-</v>
      </c>
      <c r="H301" s="17" t="str">
        <f>IFERROR(IF(INDEX(Movimientos!$M$2:$M$1993,MATCH(A301&amp;"ENTRADA",Movimientos!$R$2:$R$1993,0))=0,"S/D",INDEX(Movimientos!$M$2:$M$1993,MATCH(A301&amp;"ENTRADA",Movimientos!$R$2:$R$1993,0))),"S/D")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2642</v>
      </c>
      <c r="B302" s="2" t="str">
        <f>IFERROR(INDEX(Movimientos!$C$2:$C$1993,MATCH(A302&amp;"ENTRADA",Movimientos!$R$2:$R$1993,0)),"-")</f>
        <v>-</v>
      </c>
      <c r="C302" s="2" t="str">
        <f>IFERROR(INDEX(Movimientos!$D$2:$D$1993,MATCH(A302&amp;"ENTRADA",Movimientos!$R$2:$R$1993,0)),"-")</f>
        <v>-</v>
      </c>
      <c r="D302" s="2" t="str">
        <f>IFERROR(INDEX(Movimientos!$E$2:$E$1993,MATCH(A302&amp;"ENTRADA",Movimientos!$R$2:$R$1993,0)),"-")</f>
        <v>-</v>
      </c>
      <c r="E302" s="2" t="str">
        <f>IFERROR(INDEX(Movimientos!$F$2:$F$1993,MATCH(A302&amp;"ENTRADA",Movimientos!$R$2:$R$1993,0)),"-")</f>
        <v>-</v>
      </c>
      <c r="F302" s="2" t="str">
        <f>IFERROR(INDEX(Movimientos!$G$2:$G$1993,MATCH(A302&amp;"ENTRADA",Movimientos!$R$2:$R$1993,0)),"-")</f>
        <v>-</v>
      </c>
      <c r="G302" s="2" t="str">
        <f>IFERROR(INDEX(Movimientos!$L$2:$L$1993,MATCH(A302&amp;"ENTRADA",Movimientos!$R$2:$R$1993,0)),"-")</f>
        <v>-</v>
      </c>
      <c r="H302" s="17" t="str">
        <f>IFERROR(IF(INDEX(Movimientos!$M$2:$M$1993,MATCH(A302&amp;"ENTRADA",Movimientos!$R$2:$R$1993,0))=0,"S/D",INDEX(Movimientos!$M$2:$M$1993,MATCH(A302&amp;"ENTRADA",Movimientos!$R$2:$R$1993,0))),"S/D")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2643</v>
      </c>
      <c r="B303" s="2" t="str">
        <f>IFERROR(INDEX(Movimientos!$C$2:$C$1993,MATCH(A303&amp;"ENTRADA",Movimientos!$R$2:$R$1993,0)),"-")</f>
        <v>-</v>
      </c>
      <c r="C303" s="2" t="str">
        <f>IFERROR(INDEX(Movimientos!$D$2:$D$1993,MATCH(A303&amp;"ENTRADA",Movimientos!$R$2:$R$1993,0)),"-")</f>
        <v>-</v>
      </c>
      <c r="D303" s="2" t="str">
        <f>IFERROR(INDEX(Movimientos!$E$2:$E$1993,MATCH(A303&amp;"ENTRADA",Movimientos!$R$2:$R$1993,0)),"-")</f>
        <v>-</v>
      </c>
      <c r="E303" s="2" t="str">
        <f>IFERROR(INDEX(Movimientos!$F$2:$F$1993,MATCH(A303&amp;"ENTRADA",Movimientos!$R$2:$R$1993,0)),"-")</f>
        <v>-</v>
      </c>
      <c r="F303" s="2" t="str">
        <f>IFERROR(INDEX(Movimientos!$G$2:$G$1993,MATCH(A303&amp;"ENTRADA",Movimientos!$R$2:$R$1993,0)),"-")</f>
        <v>-</v>
      </c>
      <c r="G303" s="2" t="str">
        <f>IFERROR(INDEX(Movimientos!$L$2:$L$1993,MATCH(A303&amp;"ENTRADA",Movimientos!$R$2:$R$1993,0)),"-")</f>
        <v>-</v>
      </c>
      <c r="H303" s="17" t="str">
        <f>IFERROR(IF(INDEX(Movimientos!$M$2:$M$1993,MATCH(A303&amp;"ENTRADA",Movimientos!$R$2:$R$1993,0))=0,"S/D",INDEX(Movimientos!$M$2:$M$1993,MATCH(A303&amp;"ENTRADA",Movimientos!$R$2:$R$1993,0))),"S/D")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2644</v>
      </c>
      <c r="B304" s="2" t="str">
        <f>IFERROR(INDEX(Movimientos!$C$2:$C$1993,MATCH(A304&amp;"ENTRADA",Movimientos!$R$2:$R$1993,0)),"-")</f>
        <v>-</v>
      </c>
      <c r="C304" s="2" t="str">
        <f>IFERROR(INDEX(Movimientos!$D$2:$D$1993,MATCH(A304&amp;"ENTRADA",Movimientos!$R$2:$R$1993,0)),"-")</f>
        <v>-</v>
      </c>
      <c r="D304" s="2" t="str">
        <f>IFERROR(INDEX(Movimientos!$E$2:$E$1993,MATCH(A304&amp;"ENTRADA",Movimientos!$R$2:$R$1993,0)),"-")</f>
        <v>-</v>
      </c>
      <c r="E304" s="2" t="str">
        <f>IFERROR(INDEX(Movimientos!$F$2:$F$1993,MATCH(A304&amp;"ENTRADA",Movimientos!$R$2:$R$1993,0)),"-")</f>
        <v>-</v>
      </c>
      <c r="F304" s="2" t="str">
        <f>IFERROR(INDEX(Movimientos!$G$2:$G$1993,MATCH(A304&amp;"ENTRADA",Movimientos!$R$2:$R$1993,0)),"-")</f>
        <v>-</v>
      </c>
      <c r="G304" s="2" t="str">
        <f>IFERROR(INDEX(Movimientos!$L$2:$L$1993,MATCH(A304&amp;"ENTRADA",Movimientos!$R$2:$R$1993,0)),"-")</f>
        <v>-</v>
      </c>
      <c r="H304" s="17" t="str">
        <f>IFERROR(IF(INDEX(Movimientos!$M$2:$M$1993,MATCH(A304&amp;"ENTRADA",Movimientos!$R$2:$R$1993,0))=0,"S/D",INDEX(Movimientos!$M$2:$M$1993,MATCH(A304&amp;"ENTRADA",Movimientos!$R$2:$R$1993,0))),"S/D")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2645</v>
      </c>
      <c r="B305" s="2" t="str">
        <f>IFERROR(INDEX(Movimientos!$C$2:$C$1993,MATCH(A305&amp;"ENTRADA",Movimientos!$R$2:$R$1993,0)),"-")</f>
        <v>-</v>
      </c>
      <c r="C305" s="2" t="str">
        <f>IFERROR(INDEX(Movimientos!$D$2:$D$1993,MATCH(A305&amp;"ENTRADA",Movimientos!$R$2:$R$1993,0)),"-")</f>
        <v>-</v>
      </c>
      <c r="D305" s="2" t="str">
        <f>IFERROR(INDEX(Movimientos!$E$2:$E$1993,MATCH(A305&amp;"ENTRADA",Movimientos!$R$2:$R$1993,0)),"-")</f>
        <v>-</v>
      </c>
      <c r="E305" s="2" t="str">
        <f>IFERROR(INDEX(Movimientos!$F$2:$F$1993,MATCH(A305&amp;"ENTRADA",Movimientos!$R$2:$R$1993,0)),"-")</f>
        <v>-</v>
      </c>
      <c r="F305" s="2" t="str">
        <f>IFERROR(INDEX(Movimientos!$G$2:$G$1993,MATCH(A305&amp;"ENTRADA",Movimientos!$R$2:$R$1993,0)),"-")</f>
        <v>-</v>
      </c>
      <c r="G305" s="2" t="str">
        <f>IFERROR(INDEX(Movimientos!$L$2:$L$1993,MATCH(A305&amp;"ENTRADA",Movimientos!$R$2:$R$1993,0)),"-")</f>
        <v>-</v>
      </c>
      <c r="H305" s="17" t="str">
        <f>IFERROR(IF(INDEX(Movimientos!$M$2:$M$1993,MATCH(A305&amp;"ENTRADA",Movimientos!$R$2:$R$1993,0))=0,"S/D",INDEX(Movimientos!$M$2:$M$1993,MATCH(A305&amp;"ENTRADA",Movimientos!$R$2:$R$1993,0))),"S/D")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2646</v>
      </c>
      <c r="B306" s="2" t="str">
        <f>IFERROR(INDEX(Movimientos!$C$2:$C$1993,MATCH(A306&amp;"ENTRADA",Movimientos!$R$2:$R$1993,0)),"-")</f>
        <v>-</v>
      </c>
      <c r="C306" s="2" t="str">
        <f>IFERROR(INDEX(Movimientos!$D$2:$D$1993,MATCH(A306&amp;"ENTRADA",Movimientos!$R$2:$R$1993,0)),"-")</f>
        <v>-</v>
      </c>
      <c r="D306" s="2" t="str">
        <f>IFERROR(INDEX(Movimientos!$E$2:$E$1993,MATCH(A306&amp;"ENTRADA",Movimientos!$R$2:$R$1993,0)),"-")</f>
        <v>-</v>
      </c>
      <c r="E306" s="2" t="str">
        <f>IFERROR(INDEX(Movimientos!$F$2:$F$1993,MATCH(A306&amp;"ENTRADA",Movimientos!$R$2:$R$1993,0)),"-")</f>
        <v>-</v>
      </c>
      <c r="F306" s="2" t="str">
        <f>IFERROR(INDEX(Movimientos!$G$2:$G$1993,MATCH(A306&amp;"ENTRADA",Movimientos!$R$2:$R$1993,0)),"-")</f>
        <v>-</v>
      </c>
      <c r="G306" s="2" t="str">
        <f>IFERROR(INDEX(Movimientos!$L$2:$L$1993,MATCH(A306&amp;"ENTRADA",Movimientos!$R$2:$R$1993,0)),"-")</f>
        <v>-</v>
      </c>
      <c r="H306" s="17" t="str">
        <f>IFERROR(IF(INDEX(Movimientos!$M$2:$M$1993,MATCH(A306&amp;"ENTRADA",Movimientos!$R$2:$R$1993,0))=0,"S/D",INDEX(Movimientos!$M$2:$M$1993,MATCH(A306&amp;"ENTRADA",Movimientos!$R$2:$R$1993,0))),"S/D")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2647</v>
      </c>
      <c r="B307" s="2" t="str">
        <f>IFERROR(INDEX(Movimientos!$C$2:$C$1993,MATCH(A307&amp;"ENTRADA",Movimientos!$R$2:$R$1993,0)),"-")</f>
        <v>-</v>
      </c>
      <c r="C307" s="2" t="str">
        <f>IFERROR(INDEX(Movimientos!$D$2:$D$1993,MATCH(A307&amp;"ENTRADA",Movimientos!$R$2:$R$1993,0)),"-")</f>
        <v>-</v>
      </c>
      <c r="D307" s="2" t="str">
        <f>IFERROR(INDEX(Movimientos!$E$2:$E$1993,MATCH(A307&amp;"ENTRADA",Movimientos!$R$2:$R$1993,0)),"-")</f>
        <v>-</v>
      </c>
      <c r="E307" s="2" t="str">
        <f>IFERROR(INDEX(Movimientos!$F$2:$F$1993,MATCH(A307&amp;"ENTRADA",Movimientos!$R$2:$R$1993,0)),"-")</f>
        <v>-</v>
      </c>
      <c r="F307" s="2" t="str">
        <f>IFERROR(INDEX(Movimientos!$G$2:$G$1993,MATCH(A307&amp;"ENTRADA",Movimientos!$R$2:$R$1993,0)),"-")</f>
        <v>-</v>
      </c>
      <c r="G307" s="2" t="str">
        <f>IFERROR(INDEX(Movimientos!$L$2:$L$1993,MATCH(A307&amp;"ENTRADA",Movimientos!$R$2:$R$1993,0)),"-")</f>
        <v>-</v>
      </c>
      <c r="H307" s="17" t="str">
        <f>IFERROR(IF(INDEX(Movimientos!$M$2:$M$1993,MATCH(A307&amp;"ENTRADA",Movimientos!$R$2:$R$1993,0))=0,"S/D",INDEX(Movimientos!$M$2:$M$1993,MATCH(A307&amp;"ENTRADA",Movimientos!$R$2:$R$1993,0))),"S/D")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2648</v>
      </c>
      <c r="B308" s="2" t="str">
        <f>IFERROR(INDEX(Movimientos!$C$2:$C$1993,MATCH(A308&amp;"ENTRADA",Movimientos!$R$2:$R$1993,0)),"-")</f>
        <v>-</v>
      </c>
      <c r="C308" s="2" t="str">
        <f>IFERROR(INDEX(Movimientos!$D$2:$D$1993,MATCH(A308&amp;"ENTRADA",Movimientos!$R$2:$R$1993,0)),"-")</f>
        <v>-</v>
      </c>
      <c r="D308" s="2" t="str">
        <f>IFERROR(INDEX(Movimientos!$E$2:$E$1993,MATCH(A308&amp;"ENTRADA",Movimientos!$R$2:$R$1993,0)),"-")</f>
        <v>-</v>
      </c>
      <c r="E308" s="2" t="str">
        <f>IFERROR(INDEX(Movimientos!$F$2:$F$1993,MATCH(A308&amp;"ENTRADA",Movimientos!$R$2:$R$1993,0)),"-")</f>
        <v>-</v>
      </c>
      <c r="F308" s="2" t="str">
        <f>IFERROR(INDEX(Movimientos!$G$2:$G$1993,MATCH(A308&amp;"ENTRADA",Movimientos!$R$2:$R$1993,0)),"-")</f>
        <v>-</v>
      </c>
      <c r="G308" s="2" t="str">
        <f>IFERROR(INDEX(Movimientos!$L$2:$L$1993,MATCH(A308&amp;"ENTRADA",Movimientos!$R$2:$R$1993,0)),"-")</f>
        <v>-</v>
      </c>
      <c r="H308" s="17" t="str">
        <f>IFERROR(IF(INDEX(Movimientos!$M$2:$M$1993,MATCH(A308&amp;"ENTRADA",Movimientos!$R$2:$R$1993,0))=0,"S/D",INDEX(Movimientos!$M$2:$M$1993,MATCH(A308&amp;"ENTRADA",Movimientos!$R$2:$R$1993,0))),"S/D")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2649</v>
      </c>
      <c r="B309" s="2" t="str">
        <f>IFERROR(INDEX(Movimientos!$C$2:$C$1993,MATCH(A309&amp;"ENTRADA",Movimientos!$R$2:$R$1993,0)),"-")</f>
        <v>-</v>
      </c>
      <c r="C309" s="2" t="str">
        <f>IFERROR(INDEX(Movimientos!$D$2:$D$1993,MATCH(A309&amp;"ENTRADA",Movimientos!$R$2:$R$1993,0)),"-")</f>
        <v>-</v>
      </c>
      <c r="D309" s="2" t="str">
        <f>IFERROR(INDEX(Movimientos!$E$2:$E$1993,MATCH(A309&amp;"ENTRADA",Movimientos!$R$2:$R$1993,0)),"-")</f>
        <v>-</v>
      </c>
      <c r="E309" s="2" t="str">
        <f>IFERROR(INDEX(Movimientos!$F$2:$F$1993,MATCH(A309&amp;"ENTRADA",Movimientos!$R$2:$R$1993,0)),"-")</f>
        <v>-</v>
      </c>
      <c r="F309" s="2" t="str">
        <f>IFERROR(INDEX(Movimientos!$G$2:$G$1993,MATCH(A309&amp;"ENTRADA",Movimientos!$R$2:$R$1993,0)),"-")</f>
        <v>-</v>
      </c>
      <c r="G309" s="2" t="str">
        <f>IFERROR(INDEX(Movimientos!$L$2:$L$1993,MATCH(A309&amp;"ENTRADA",Movimientos!$R$2:$R$1993,0)),"-")</f>
        <v>-</v>
      </c>
      <c r="H309" s="17" t="str">
        <f>IFERROR(IF(INDEX(Movimientos!$M$2:$M$1993,MATCH(A309&amp;"ENTRADA",Movimientos!$R$2:$R$1993,0))=0,"S/D",INDEX(Movimientos!$M$2:$M$1993,MATCH(A309&amp;"ENTRADA",Movimientos!$R$2:$R$1993,0))),"S/D")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2650</v>
      </c>
      <c r="B310" s="2" t="str">
        <f>IFERROR(INDEX(Movimientos!$C$2:$C$1993,MATCH(A310&amp;"ENTRADA",Movimientos!$R$2:$R$1993,0)),"-")</f>
        <v>-</v>
      </c>
      <c r="C310" s="2" t="str">
        <f>IFERROR(INDEX(Movimientos!$D$2:$D$1993,MATCH(A310&amp;"ENTRADA",Movimientos!$R$2:$R$1993,0)),"-")</f>
        <v>-</v>
      </c>
      <c r="D310" s="2" t="str">
        <f>IFERROR(INDEX(Movimientos!$E$2:$E$1993,MATCH(A310&amp;"ENTRADA",Movimientos!$R$2:$R$1993,0)),"-")</f>
        <v>-</v>
      </c>
      <c r="E310" s="2" t="str">
        <f>IFERROR(INDEX(Movimientos!$F$2:$F$1993,MATCH(A310&amp;"ENTRADA",Movimientos!$R$2:$R$1993,0)),"-")</f>
        <v>-</v>
      </c>
      <c r="F310" s="2" t="str">
        <f>IFERROR(INDEX(Movimientos!$G$2:$G$1993,MATCH(A310&amp;"ENTRADA",Movimientos!$R$2:$R$1993,0)),"-")</f>
        <v>-</v>
      </c>
      <c r="G310" s="2" t="str">
        <f>IFERROR(INDEX(Movimientos!$L$2:$L$1993,MATCH(A310&amp;"ENTRADA",Movimientos!$R$2:$R$1993,0)),"-")</f>
        <v>-</v>
      </c>
      <c r="H310" s="17" t="str">
        <f>IFERROR(IF(INDEX(Movimientos!$M$2:$M$1993,MATCH(A310&amp;"ENTRADA",Movimientos!$R$2:$R$1993,0))=0,"S/D",INDEX(Movimientos!$M$2:$M$1993,MATCH(A310&amp;"ENTRADA",Movimientos!$R$2:$R$1993,0))),"S/D")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2651</v>
      </c>
      <c r="B311" s="2" t="str">
        <f>IFERROR(INDEX(Movimientos!$C$2:$C$1993,MATCH(A311&amp;"ENTRADA",Movimientos!$R$2:$R$1993,0)),"-")</f>
        <v>-</v>
      </c>
      <c r="C311" s="2" t="str">
        <f>IFERROR(INDEX(Movimientos!$D$2:$D$1993,MATCH(A311&amp;"ENTRADA",Movimientos!$R$2:$R$1993,0)),"-")</f>
        <v>-</v>
      </c>
      <c r="D311" s="2" t="str">
        <f>IFERROR(INDEX(Movimientos!$E$2:$E$1993,MATCH(A311&amp;"ENTRADA",Movimientos!$R$2:$R$1993,0)),"-")</f>
        <v>-</v>
      </c>
      <c r="E311" s="2" t="str">
        <f>IFERROR(INDEX(Movimientos!$F$2:$F$1993,MATCH(A311&amp;"ENTRADA",Movimientos!$R$2:$R$1993,0)),"-")</f>
        <v>-</v>
      </c>
      <c r="F311" s="2" t="str">
        <f>IFERROR(INDEX(Movimientos!$G$2:$G$1993,MATCH(A311&amp;"ENTRADA",Movimientos!$R$2:$R$1993,0)),"-")</f>
        <v>-</v>
      </c>
      <c r="G311" s="2" t="str">
        <f>IFERROR(INDEX(Movimientos!$L$2:$L$1993,MATCH(A311&amp;"ENTRADA",Movimientos!$R$2:$R$1993,0)),"-")</f>
        <v>-</v>
      </c>
      <c r="H311" s="17" t="str">
        <f>IFERROR(IF(INDEX(Movimientos!$M$2:$M$1993,MATCH(A311&amp;"ENTRADA",Movimientos!$R$2:$R$1993,0))=0,"S/D",INDEX(Movimientos!$M$2:$M$1993,MATCH(A311&amp;"ENTRADA",Movimientos!$R$2:$R$1993,0))),"S/D")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2652</v>
      </c>
      <c r="B312" s="2" t="str">
        <f>IFERROR(INDEX(Movimientos!$C$2:$C$1993,MATCH(A312&amp;"ENTRADA",Movimientos!$R$2:$R$1993,0)),"-")</f>
        <v>-</v>
      </c>
      <c r="C312" s="2" t="str">
        <f>IFERROR(INDEX(Movimientos!$D$2:$D$1993,MATCH(A312&amp;"ENTRADA",Movimientos!$R$2:$R$1993,0)),"-")</f>
        <v>-</v>
      </c>
      <c r="D312" s="2" t="str">
        <f>IFERROR(INDEX(Movimientos!$E$2:$E$1993,MATCH(A312&amp;"ENTRADA",Movimientos!$R$2:$R$1993,0)),"-")</f>
        <v>-</v>
      </c>
      <c r="E312" s="2" t="str">
        <f>IFERROR(INDEX(Movimientos!$F$2:$F$1993,MATCH(A312&amp;"ENTRADA",Movimientos!$R$2:$R$1993,0)),"-")</f>
        <v>-</v>
      </c>
      <c r="F312" s="2" t="str">
        <f>IFERROR(INDEX(Movimientos!$G$2:$G$1993,MATCH(A312&amp;"ENTRADA",Movimientos!$R$2:$R$1993,0)),"-")</f>
        <v>-</v>
      </c>
      <c r="G312" s="2" t="str">
        <f>IFERROR(INDEX(Movimientos!$L$2:$L$1993,MATCH(A312&amp;"ENTRADA",Movimientos!$R$2:$R$1993,0)),"-")</f>
        <v>-</v>
      </c>
      <c r="H312" s="17" t="str">
        <f>IFERROR(IF(INDEX(Movimientos!$M$2:$M$1993,MATCH(A312&amp;"ENTRADA",Movimientos!$R$2:$R$1993,0))=0,"S/D",INDEX(Movimientos!$M$2:$M$1993,MATCH(A312&amp;"ENTRADA",Movimientos!$R$2:$R$1993,0))),"S/D")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2653</v>
      </c>
      <c r="B313" s="2" t="str">
        <f>IFERROR(INDEX(Movimientos!$C$2:$C$1993,MATCH(A313&amp;"ENTRADA",Movimientos!$R$2:$R$1993,0)),"-")</f>
        <v>-</v>
      </c>
      <c r="C313" s="2" t="str">
        <f>IFERROR(INDEX(Movimientos!$D$2:$D$1993,MATCH(A313&amp;"ENTRADA",Movimientos!$R$2:$R$1993,0)),"-")</f>
        <v>-</v>
      </c>
      <c r="D313" s="2" t="str">
        <f>IFERROR(INDEX(Movimientos!$E$2:$E$1993,MATCH(A313&amp;"ENTRADA",Movimientos!$R$2:$R$1993,0)),"-")</f>
        <v>-</v>
      </c>
      <c r="E313" s="2" t="str">
        <f>IFERROR(INDEX(Movimientos!$F$2:$F$1993,MATCH(A313&amp;"ENTRADA",Movimientos!$R$2:$R$1993,0)),"-")</f>
        <v>-</v>
      </c>
      <c r="F313" s="2" t="str">
        <f>IFERROR(INDEX(Movimientos!$G$2:$G$1993,MATCH(A313&amp;"ENTRADA",Movimientos!$R$2:$R$1993,0)),"-")</f>
        <v>-</v>
      </c>
      <c r="G313" s="2" t="str">
        <f>IFERROR(INDEX(Movimientos!$L$2:$L$1993,MATCH(A313&amp;"ENTRADA",Movimientos!$R$2:$R$1993,0)),"-")</f>
        <v>-</v>
      </c>
      <c r="H313" s="17" t="str">
        <f>IFERROR(IF(INDEX(Movimientos!$M$2:$M$1993,MATCH(A313&amp;"ENTRADA",Movimientos!$R$2:$R$1993,0))=0,"S/D",INDEX(Movimientos!$M$2:$M$1993,MATCH(A313&amp;"ENTRADA",Movimientos!$R$2:$R$1993,0))),"S/D")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2654</v>
      </c>
      <c r="B314" s="2" t="str">
        <f>IFERROR(INDEX(Movimientos!$C$2:$C$1993,MATCH(A314&amp;"ENTRADA",Movimientos!$R$2:$R$1993,0)),"-")</f>
        <v>-</v>
      </c>
      <c r="C314" s="2" t="str">
        <f>IFERROR(INDEX(Movimientos!$D$2:$D$1993,MATCH(A314&amp;"ENTRADA",Movimientos!$R$2:$R$1993,0)),"-")</f>
        <v>-</v>
      </c>
      <c r="D314" s="2" t="str">
        <f>IFERROR(INDEX(Movimientos!$E$2:$E$1993,MATCH(A314&amp;"ENTRADA",Movimientos!$R$2:$R$1993,0)),"-")</f>
        <v>-</v>
      </c>
      <c r="E314" s="2" t="str">
        <f>IFERROR(INDEX(Movimientos!$F$2:$F$1993,MATCH(A314&amp;"ENTRADA",Movimientos!$R$2:$R$1993,0)),"-")</f>
        <v>-</v>
      </c>
      <c r="F314" s="2" t="str">
        <f>IFERROR(INDEX(Movimientos!$G$2:$G$1993,MATCH(A314&amp;"ENTRADA",Movimientos!$R$2:$R$1993,0)),"-")</f>
        <v>-</v>
      </c>
      <c r="G314" s="2" t="str">
        <f>IFERROR(INDEX(Movimientos!$L$2:$L$1993,MATCH(A314&amp;"ENTRADA",Movimientos!$R$2:$R$1993,0)),"-")</f>
        <v>-</v>
      </c>
      <c r="H314" s="17" t="str">
        <f>IFERROR(IF(INDEX(Movimientos!$M$2:$M$1993,MATCH(A314&amp;"ENTRADA",Movimientos!$R$2:$R$1993,0))=0,"S/D",INDEX(Movimientos!$M$2:$M$1993,MATCH(A314&amp;"ENTRADA",Movimientos!$R$2:$R$1993,0))),"S/D")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2655</v>
      </c>
      <c r="B315" s="2" t="str">
        <f>IFERROR(INDEX(Movimientos!$C$2:$C$1993,MATCH(A315&amp;"ENTRADA",Movimientos!$R$2:$R$1993,0)),"-")</f>
        <v>-</v>
      </c>
      <c r="C315" s="2" t="str">
        <f>IFERROR(INDEX(Movimientos!$D$2:$D$1993,MATCH(A315&amp;"ENTRADA",Movimientos!$R$2:$R$1993,0)),"-")</f>
        <v>-</v>
      </c>
      <c r="D315" s="2" t="str">
        <f>IFERROR(INDEX(Movimientos!$E$2:$E$1993,MATCH(A315&amp;"ENTRADA",Movimientos!$R$2:$R$1993,0)),"-")</f>
        <v>-</v>
      </c>
      <c r="E315" s="2" t="str">
        <f>IFERROR(INDEX(Movimientos!$F$2:$F$1993,MATCH(A315&amp;"ENTRADA",Movimientos!$R$2:$R$1993,0)),"-")</f>
        <v>-</v>
      </c>
      <c r="F315" s="2" t="str">
        <f>IFERROR(INDEX(Movimientos!$G$2:$G$1993,MATCH(A315&amp;"ENTRADA",Movimientos!$R$2:$R$1993,0)),"-")</f>
        <v>-</v>
      </c>
      <c r="G315" s="2" t="str">
        <f>IFERROR(INDEX(Movimientos!$L$2:$L$1993,MATCH(A315&amp;"ENTRADA",Movimientos!$R$2:$R$1993,0)),"-")</f>
        <v>-</v>
      </c>
      <c r="H315" s="17" t="str">
        <f>IFERROR(IF(INDEX(Movimientos!$M$2:$M$1993,MATCH(A315&amp;"ENTRADA",Movimientos!$R$2:$R$1993,0))=0,"S/D",INDEX(Movimientos!$M$2:$M$1993,MATCH(A315&amp;"ENTRADA",Movimientos!$R$2:$R$1993,0))),"S/D")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2656</v>
      </c>
      <c r="B316" s="2" t="str">
        <f>IFERROR(INDEX(Movimientos!$C$2:$C$1993,MATCH(A316&amp;"ENTRADA",Movimientos!$R$2:$R$1993,0)),"-")</f>
        <v>-</v>
      </c>
      <c r="C316" s="2" t="str">
        <f>IFERROR(INDEX(Movimientos!$D$2:$D$1993,MATCH(A316&amp;"ENTRADA",Movimientos!$R$2:$R$1993,0)),"-")</f>
        <v>-</v>
      </c>
      <c r="D316" s="2" t="str">
        <f>IFERROR(INDEX(Movimientos!$E$2:$E$1993,MATCH(A316&amp;"ENTRADA",Movimientos!$R$2:$R$1993,0)),"-")</f>
        <v>-</v>
      </c>
      <c r="E316" s="2" t="str">
        <f>IFERROR(INDEX(Movimientos!$F$2:$F$1993,MATCH(A316&amp;"ENTRADA",Movimientos!$R$2:$R$1993,0)),"-")</f>
        <v>-</v>
      </c>
      <c r="F316" s="2" t="str">
        <f>IFERROR(INDEX(Movimientos!$G$2:$G$1993,MATCH(A316&amp;"ENTRADA",Movimientos!$R$2:$R$1993,0)),"-")</f>
        <v>-</v>
      </c>
      <c r="G316" s="2" t="str">
        <f>IFERROR(INDEX(Movimientos!$L$2:$L$1993,MATCH(A316&amp;"ENTRADA",Movimientos!$R$2:$R$1993,0)),"-")</f>
        <v>-</v>
      </c>
      <c r="H316" s="17" t="str">
        <f>IFERROR(IF(INDEX(Movimientos!$M$2:$M$1993,MATCH(A316&amp;"ENTRADA",Movimientos!$R$2:$R$1993,0))=0,"S/D",INDEX(Movimientos!$M$2:$M$1993,MATCH(A316&amp;"ENTRADA",Movimientos!$R$2:$R$1993,0))),"S/D")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2657</v>
      </c>
      <c r="B317" s="2" t="str">
        <f>IFERROR(INDEX(Movimientos!$C$2:$C$1993,MATCH(A317&amp;"ENTRADA",Movimientos!$R$2:$R$1993,0)),"-")</f>
        <v>-</v>
      </c>
      <c r="C317" s="2" t="str">
        <f>IFERROR(INDEX(Movimientos!$D$2:$D$1993,MATCH(A317&amp;"ENTRADA",Movimientos!$R$2:$R$1993,0)),"-")</f>
        <v>-</v>
      </c>
      <c r="D317" s="2" t="str">
        <f>IFERROR(INDEX(Movimientos!$E$2:$E$1993,MATCH(A317&amp;"ENTRADA",Movimientos!$R$2:$R$1993,0)),"-")</f>
        <v>-</v>
      </c>
      <c r="E317" s="2" t="str">
        <f>IFERROR(INDEX(Movimientos!$F$2:$F$1993,MATCH(A317&amp;"ENTRADA",Movimientos!$R$2:$R$1993,0)),"-")</f>
        <v>-</v>
      </c>
      <c r="F317" s="2" t="str">
        <f>IFERROR(INDEX(Movimientos!$G$2:$G$1993,MATCH(A317&amp;"ENTRADA",Movimientos!$R$2:$R$1993,0)),"-")</f>
        <v>-</v>
      </c>
      <c r="G317" s="2" t="str">
        <f>IFERROR(INDEX(Movimientos!$L$2:$L$1993,MATCH(A317&amp;"ENTRADA",Movimientos!$R$2:$R$1993,0)),"-")</f>
        <v>-</v>
      </c>
      <c r="H317" s="17" t="str">
        <f>IFERROR(IF(INDEX(Movimientos!$M$2:$M$1993,MATCH(A317&amp;"ENTRADA",Movimientos!$R$2:$R$1993,0))=0,"S/D",INDEX(Movimientos!$M$2:$M$1993,MATCH(A317&amp;"ENTRADA",Movimientos!$R$2:$R$1993,0))),"S/D")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2658</v>
      </c>
      <c r="B318" s="2" t="str">
        <f>IFERROR(INDEX(Movimientos!$C$2:$C$1993,MATCH(A318&amp;"ENTRADA",Movimientos!$R$2:$R$1993,0)),"-")</f>
        <v>-</v>
      </c>
      <c r="C318" s="2" t="str">
        <f>IFERROR(INDEX(Movimientos!$D$2:$D$1993,MATCH(A318&amp;"ENTRADA",Movimientos!$R$2:$R$1993,0)),"-")</f>
        <v>-</v>
      </c>
      <c r="D318" s="2" t="str">
        <f>IFERROR(INDEX(Movimientos!$E$2:$E$1993,MATCH(A318&amp;"ENTRADA",Movimientos!$R$2:$R$1993,0)),"-")</f>
        <v>-</v>
      </c>
      <c r="E318" s="2" t="str">
        <f>IFERROR(INDEX(Movimientos!$F$2:$F$1993,MATCH(A318&amp;"ENTRADA",Movimientos!$R$2:$R$1993,0)),"-")</f>
        <v>-</v>
      </c>
      <c r="F318" s="2" t="str">
        <f>IFERROR(INDEX(Movimientos!$G$2:$G$1993,MATCH(A318&amp;"ENTRADA",Movimientos!$R$2:$R$1993,0)),"-")</f>
        <v>-</v>
      </c>
      <c r="G318" s="2" t="str">
        <f>IFERROR(INDEX(Movimientos!$L$2:$L$1993,MATCH(A318&amp;"ENTRADA",Movimientos!$R$2:$R$1993,0)),"-")</f>
        <v>-</v>
      </c>
      <c r="H318" s="17" t="str">
        <f>IFERROR(IF(INDEX(Movimientos!$M$2:$M$1993,MATCH(A318&amp;"ENTRADA",Movimientos!$R$2:$R$1993,0))=0,"S/D",INDEX(Movimientos!$M$2:$M$1993,MATCH(A318&amp;"ENTRADA",Movimientos!$R$2:$R$1993,0))),"S/D")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2659</v>
      </c>
      <c r="B319" s="2" t="str">
        <f>IFERROR(INDEX(Movimientos!$C$2:$C$1993,MATCH(A319&amp;"ENTRADA",Movimientos!$R$2:$R$1993,0)),"-")</f>
        <v>-</v>
      </c>
      <c r="C319" s="2" t="str">
        <f>IFERROR(INDEX(Movimientos!$D$2:$D$1993,MATCH(A319&amp;"ENTRADA",Movimientos!$R$2:$R$1993,0)),"-")</f>
        <v>-</v>
      </c>
      <c r="D319" s="2" t="str">
        <f>IFERROR(INDEX(Movimientos!$E$2:$E$1993,MATCH(A319&amp;"ENTRADA",Movimientos!$R$2:$R$1993,0)),"-")</f>
        <v>-</v>
      </c>
      <c r="E319" s="2" t="str">
        <f>IFERROR(INDEX(Movimientos!$F$2:$F$1993,MATCH(A319&amp;"ENTRADA",Movimientos!$R$2:$R$1993,0)),"-")</f>
        <v>-</v>
      </c>
      <c r="F319" s="2" t="str">
        <f>IFERROR(INDEX(Movimientos!$G$2:$G$1993,MATCH(A319&amp;"ENTRADA",Movimientos!$R$2:$R$1993,0)),"-")</f>
        <v>-</v>
      </c>
      <c r="G319" s="2" t="str">
        <f>IFERROR(INDEX(Movimientos!$L$2:$L$1993,MATCH(A319&amp;"ENTRADA",Movimientos!$R$2:$R$1993,0)),"-")</f>
        <v>-</v>
      </c>
      <c r="H319" s="17" t="str">
        <f>IFERROR(IF(INDEX(Movimientos!$M$2:$M$1993,MATCH(A319&amp;"ENTRADA",Movimientos!$R$2:$R$1993,0))=0,"S/D",INDEX(Movimientos!$M$2:$M$1993,MATCH(A319&amp;"ENTRADA",Movimientos!$R$2:$R$1993,0))),"S/D")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2660</v>
      </c>
      <c r="B320" s="2" t="str">
        <f>IFERROR(INDEX(Movimientos!$C$2:$C$1993,MATCH(A320&amp;"ENTRADA",Movimientos!$R$2:$R$1993,0)),"-")</f>
        <v>-</v>
      </c>
      <c r="C320" s="2" t="str">
        <f>IFERROR(INDEX(Movimientos!$D$2:$D$1993,MATCH(A320&amp;"ENTRADA",Movimientos!$R$2:$R$1993,0)),"-")</f>
        <v>-</v>
      </c>
      <c r="D320" s="2" t="str">
        <f>IFERROR(INDEX(Movimientos!$E$2:$E$1993,MATCH(A320&amp;"ENTRADA",Movimientos!$R$2:$R$1993,0)),"-")</f>
        <v>-</v>
      </c>
      <c r="E320" s="2" t="str">
        <f>IFERROR(INDEX(Movimientos!$F$2:$F$1993,MATCH(A320&amp;"ENTRADA",Movimientos!$R$2:$R$1993,0)),"-")</f>
        <v>-</v>
      </c>
      <c r="F320" s="2" t="str">
        <f>IFERROR(INDEX(Movimientos!$G$2:$G$1993,MATCH(A320&amp;"ENTRADA",Movimientos!$R$2:$R$1993,0)),"-")</f>
        <v>-</v>
      </c>
      <c r="G320" s="2" t="str">
        <f>IFERROR(INDEX(Movimientos!$L$2:$L$1993,MATCH(A320&amp;"ENTRADA",Movimientos!$R$2:$R$1993,0)),"-")</f>
        <v>-</v>
      </c>
      <c r="H320" s="17" t="str">
        <f>IFERROR(IF(INDEX(Movimientos!$M$2:$M$1993,MATCH(A320&amp;"ENTRADA",Movimientos!$R$2:$R$1993,0))=0,"S/D",INDEX(Movimientos!$M$2:$M$1993,MATCH(A320&amp;"ENTRADA",Movimientos!$R$2:$R$1993,0))),"S/D")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2661</v>
      </c>
      <c r="B321" s="2" t="str">
        <f>IFERROR(INDEX(Movimientos!$C$2:$C$1993,MATCH(A321&amp;"ENTRADA",Movimientos!$R$2:$R$1993,0)),"-")</f>
        <v>-</v>
      </c>
      <c r="C321" s="2" t="str">
        <f>IFERROR(INDEX(Movimientos!$D$2:$D$1993,MATCH(A321&amp;"ENTRADA",Movimientos!$R$2:$R$1993,0)),"-")</f>
        <v>-</v>
      </c>
      <c r="D321" s="2" t="str">
        <f>IFERROR(INDEX(Movimientos!$E$2:$E$1993,MATCH(A321&amp;"ENTRADA",Movimientos!$R$2:$R$1993,0)),"-")</f>
        <v>-</v>
      </c>
      <c r="E321" s="2" t="str">
        <f>IFERROR(INDEX(Movimientos!$F$2:$F$1993,MATCH(A321&amp;"ENTRADA",Movimientos!$R$2:$R$1993,0)),"-")</f>
        <v>-</v>
      </c>
      <c r="F321" s="2" t="str">
        <f>IFERROR(INDEX(Movimientos!$G$2:$G$1993,MATCH(A321&amp;"ENTRADA",Movimientos!$R$2:$R$1993,0)),"-")</f>
        <v>-</v>
      </c>
      <c r="G321" s="2" t="str">
        <f>IFERROR(INDEX(Movimientos!$L$2:$L$1993,MATCH(A321&amp;"ENTRADA",Movimientos!$R$2:$R$1993,0)),"-")</f>
        <v>-</v>
      </c>
      <c r="H321" s="17" t="str">
        <f>IFERROR(IF(INDEX(Movimientos!$M$2:$M$1993,MATCH(A321&amp;"ENTRADA",Movimientos!$R$2:$R$1993,0))=0,"S/D",INDEX(Movimientos!$M$2:$M$1993,MATCH(A321&amp;"ENTRADA",Movimientos!$R$2:$R$1993,0))),"S/D")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2662</v>
      </c>
      <c r="B322" s="2" t="str">
        <f>IFERROR(INDEX(Movimientos!$C$2:$C$1993,MATCH(A322&amp;"ENTRADA",Movimientos!$R$2:$R$1993,0)),"-")</f>
        <v>-</v>
      </c>
      <c r="C322" s="2" t="str">
        <f>IFERROR(INDEX(Movimientos!$D$2:$D$1993,MATCH(A322&amp;"ENTRADA",Movimientos!$R$2:$R$1993,0)),"-")</f>
        <v>-</v>
      </c>
      <c r="D322" s="2" t="str">
        <f>IFERROR(INDEX(Movimientos!$E$2:$E$1993,MATCH(A322&amp;"ENTRADA",Movimientos!$R$2:$R$1993,0)),"-")</f>
        <v>-</v>
      </c>
      <c r="E322" s="2" t="str">
        <f>IFERROR(INDEX(Movimientos!$F$2:$F$1993,MATCH(A322&amp;"ENTRADA",Movimientos!$R$2:$R$1993,0)),"-")</f>
        <v>-</v>
      </c>
      <c r="F322" s="2" t="str">
        <f>IFERROR(INDEX(Movimientos!$G$2:$G$1993,MATCH(A322&amp;"ENTRADA",Movimientos!$R$2:$R$1993,0)),"-")</f>
        <v>-</v>
      </c>
      <c r="G322" s="2" t="str">
        <f>IFERROR(INDEX(Movimientos!$L$2:$L$1993,MATCH(A322&amp;"ENTRADA",Movimientos!$R$2:$R$1993,0)),"-")</f>
        <v>-</v>
      </c>
      <c r="H322" s="17" t="str">
        <f>IFERROR(IF(INDEX(Movimientos!$M$2:$M$1993,MATCH(A322&amp;"ENTRADA",Movimientos!$R$2:$R$1993,0))=0,"S/D",INDEX(Movimientos!$M$2:$M$1993,MATCH(A322&amp;"ENTRADA",Movimientos!$R$2:$R$1993,0))),"S/D")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2663</v>
      </c>
      <c r="B323" s="2" t="str">
        <f>IFERROR(INDEX(Movimientos!$C$2:$C$1993,MATCH(A323&amp;"ENTRADA",Movimientos!$R$2:$R$1993,0)),"-")</f>
        <v>-</v>
      </c>
      <c r="C323" s="2" t="str">
        <f>IFERROR(INDEX(Movimientos!$D$2:$D$1993,MATCH(A323&amp;"ENTRADA",Movimientos!$R$2:$R$1993,0)),"-")</f>
        <v>-</v>
      </c>
      <c r="D323" s="2" t="str">
        <f>IFERROR(INDEX(Movimientos!$E$2:$E$1993,MATCH(A323&amp;"ENTRADA",Movimientos!$R$2:$R$1993,0)),"-")</f>
        <v>-</v>
      </c>
      <c r="E323" s="2" t="str">
        <f>IFERROR(INDEX(Movimientos!$F$2:$F$1993,MATCH(A323&amp;"ENTRADA",Movimientos!$R$2:$R$1993,0)),"-")</f>
        <v>-</v>
      </c>
      <c r="F323" s="2" t="str">
        <f>IFERROR(INDEX(Movimientos!$G$2:$G$1993,MATCH(A323&amp;"ENTRADA",Movimientos!$R$2:$R$1993,0)),"-")</f>
        <v>-</v>
      </c>
      <c r="G323" s="2" t="str">
        <f>IFERROR(INDEX(Movimientos!$L$2:$L$1993,MATCH(A323&amp;"ENTRADA",Movimientos!$R$2:$R$1993,0)),"-")</f>
        <v>-</v>
      </c>
      <c r="H323" s="17" t="str">
        <f>IFERROR(IF(INDEX(Movimientos!$M$2:$M$1993,MATCH(A323&amp;"ENTRADA",Movimientos!$R$2:$R$1993,0))=0,"S/D",INDEX(Movimientos!$M$2:$M$1993,MATCH(A323&amp;"ENTRADA",Movimientos!$R$2:$R$1993,0))),"S/D")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2664</v>
      </c>
      <c r="B324" s="2" t="str">
        <f>IFERROR(INDEX(Movimientos!$C$2:$C$1993,MATCH(A324&amp;"ENTRADA",Movimientos!$R$2:$R$1993,0)),"-")</f>
        <v>-</v>
      </c>
      <c r="C324" s="2" t="str">
        <f>IFERROR(INDEX(Movimientos!$D$2:$D$1993,MATCH(A324&amp;"ENTRADA",Movimientos!$R$2:$R$1993,0)),"-")</f>
        <v>-</v>
      </c>
      <c r="D324" s="2" t="str">
        <f>IFERROR(INDEX(Movimientos!$E$2:$E$1993,MATCH(A324&amp;"ENTRADA",Movimientos!$R$2:$R$1993,0)),"-")</f>
        <v>-</v>
      </c>
      <c r="E324" s="2" t="str">
        <f>IFERROR(INDEX(Movimientos!$F$2:$F$1993,MATCH(A324&amp;"ENTRADA",Movimientos!$R$2:$R$1993,0)),"-")</f>
        <v>-</v>
      </c>
      <c r="F324" s="2" t="str">
        <f>IFERROR(INDEX(Movimientos!$G$2:$G$1993,MATCH(A324&amp;"ENTRADA",Movimientos!$R$2:$R$1993,0)),"-")</f>
        <v>-</v>
      </c>
      <c r="G324" s="2" t="str">
        <f>IFERROR(INDEX(Movimientos!$L$2:$L$1993,MATCH(A324&amp;"ENTRADA",Movimientos!$R$2:$R$1993,0)),"-")</f>
        <v>-</v>
      </c>
      <c r="H324" s="17" t="str">
        <f>IFERROR(IF(INDEX(Movimientos!$M$2:$M$1993,MATCH(A324&amp;"ENTRADA",Movimientos!$R$2:$R$1993,0))=0,"S/D",INDEX(Movimientos!$M$2:$M$1993,MATCH(A324&amp;"ENTRADA",Movimientos!$R$2:$R$1993,0))),"S/D")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2665</v>
      </c>
      <c r="B325" s="2" t="str">
        <f>IFERROR(INDEX(Movimientos!$C$2:$C$1993,MATCH(A325&amp;"ENTRADA",Movimientos!$R$2:$R$1993,0)),"-")</f>
        <v>-</v>
      </c>
      <c r="C325" s="2" t="str">
        <f>IFERROR(INDEX(Movimientos!$D$2:$D$1993,MATCH(A325&amp;"ENTRADA",Movimientos!$R$2:$R$1993,0)),"-")</f>
        <v>-</v>
      </c>
      <c r="D325" s="2" t="str">
        <f>IFERROR(INDEX(Movimientos!$E$2:$E$1993,MATCH(A325&amp;"ENTRADA",Movimientos!$R$2:$R$1993,0)),"-")</f>
        <v>-</v>
      </c>
      <c r="E325" s="2" t="str">
        <f>IFERROR(INDEX(Movimientos!$F$2:$F$1993,MATCH(A325&amp;"ENTRADA",Movimientos!$R$2:$R$1993,0)),"-")</f>
        <v>-</v>
      </c>
      <c r="F325" s="2" t="str">
        <f>IFERROR(INDEX(Movimientos!$G$2:$G$1993,MATCH(A325&amp;"ENTRADA",Movimientos!$R$2:$R$1993,0)),"-")</f>
        <v>-</v>
      </c>
      <c r="G325" s="2" t="str">
        <f>IFERROR(INDEX(Movimientos!$L$2:$L$1993,MATCH(A325&amp;"ENTRADA",Movimientos!$R$2:$R$1993,0)),"-")</f>
        <v>-</v>
      </c>
      <c r="H325" s="17" t="str">
        <f>IFERROR(IF(INDEX(Movimientos!$M$2:$M$1993,MATCH(A325&amp;"ENTRADA",Movimientos!$R$2:$R$1993,0))=0,"S/D",INDEX(Movimientos!$M$2:$M$1993,MATCH(A325&amp;"ENTRADA",Movimientos!$R$2:$R$1993,0))),"S/D")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2666</v>
      </c>
      <c r="B326" s="2" t="str">
        <f>IFERROR(INDEX(Movimientos!$C$2:$C$1993,MATCH(A326&amp;"ENTRADA",Movimientos!$R$2:$R$1993,0)),"-")</f>
        <v>-</v>
      </c>
      <c r="C326" s="2" t="str">
        <f>IFERROR(INDEX(Movimientos!$D$2:$D$1993,MATCH(A326&amp;"ENTRADA",Movimientos!$R$2:$R$1993,0)),"-")</f>
        <v>-</v>
      </c>
      <c r="D326" s="2" t="str">
        <f>IFERROR(INDEX(Movimientos!$E$2:$E$1993,MATCH(A326&amp;"ENTRADA",Movimientos!$R$2:$R$1993,0)),"-")</f>
        <v>-</v>
      </c>
      <c r="E326" s="2" t="str">
        <f>IFERROR(INDEX(Movimientos!$F$2:$F$1993,MATCH(A326&amp;"ENTRADA",Movimientos!$R$2:$R$1993,0)),"-")</f>
        <v>-</v>
      </c>
      <c r="F326" s="2" t="str">
        <f>IFERROR(INDEX(Movimientos!$G$2:$G$1993,MATCH(A326&amp;"ENTRADA",Movimientos!$R$2:$R$1993,0)),"-")</f>
        <v>-</v>
      </c>
      <c r="G326" s="2" t="str">
        <f>IFERROR(INDEX(Movimientos!$L$2:$L$1993,MATCH(A326&amp;"ENTRADA",Movimientos!$R$2:$R$1993,0)),"-")</f>
        <v>-</v>
      </c>
      <c r="H326" s="17" t="str">
        <f>IFERROR(IF(INDEX(Movimientos!$M$2:$M$1993,MATCH(A326&amp;"ENTRADA",Movimientos!$R$2:$R$1993,0))=0,"S/D",INDEX(Movimientos!$M$2:$M$1993,MATCH(A326&amp;"ENTRADA",Movimientos!$R$2:$R$1993,0))),"S/D")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2667</v>
      </c>
      <c r="B327" s="2" t="str">
        <f>IFERROR(INDEX(Movimientos!$C$2:$C$1993,MATCH(A327&amp;"ENTRADA",Movimientos!$R$2:$R$1993,0)),"-")</f>
        <v>-</v>
      </c>
      <c r="C327" s="2" t="str">
        <f>IFERROR(INDEX(Movimientos!$D$2:$D$1993,MATCH(A327&amp;"ENTRADA",Movimientos!$R$2:$R$1993,0)),"-")</f>
        <v>-</v>
      </c>
      <c r="D327" s="2" t="str">
        <f>IFERROR(INDEX(Movimientos!$E$2:$E$1993,MATCH(A327&amp;"ENTRADA",Movimientos!$R$2:$R$1993,0)),"-")</f>
        <v>-</v>
      </c>
      <c r="E327" s="2" t="str">
        <f>IFERROR(INDEX(Movimientos!$F$2:$F$1993,MATCH(A327&amp;"ENTRADA",Movimientos!$R$2:$R$1993,0)),"-")</f>
        <v>-</v>
      </c>
      <c r="F327" s="2" t="str">
        <f>IFERROR(INDEX(Movimientos!$G$2:$G$1993,MATCH(A327&amp;"ENTRADA",Movimientos!$R$2:$R$1993,0)),"-")</f>
        <v>-</v>
      </c>
      <c r="G327" s="2" t="str">
        <f>IFERROR(INDEX(Movimientos!$L$2:$L$1993,MATCH(A327&amp;"ENTRADA",Movimientos!$R$2:$R$1993,0)),"-")</f>
        <v>-</v>
      </c>
      <c r="H327" s="17" t="str">
        <f>IFERROR(IF(INDEX(Movimientos!$M$2:$M$1993,MATCH(A327&amp;"ENTRADA",Movimientos!$R$2:$R$1993,0))=0,"S/D",INDEX(Movimientos!$M$2:$M$1993,MATCH(A327&amp;"ENTRADA",Movimientos!$R$2:$R$1993,0))),"S/D")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2668</v>
      </c>
      <c r="B328" s="2" t="str">
        <f>IFERROR(INDEX(Movimientos!$C$2:$C$1993,MATCH(A328&amp;"ENTRADA",Movimientos!$R$2:$R$1993,0)),"-")</f>
        <v>-</v>
      </c>
      <c r="C328" s="2" t="str">
        <f>IFERROR(INDEX(Movimientos!$D$2:$D$1993,MATCH(A328&amp;"ENTRADA",Movimientos!$R$2:$R$1993,0)),"-")</f>
        <v>-</v>
      </c>
      <c r="D328" s="2" t="str">
        <f>IFERROR(INDEX(Movimientos!$E$2:$E$1993,MATCH(A328&amp;"ENTRADA",Movimientos!$R$2:$R$1993,0)),"-")</f>
        <v>-</v>
      </c>
      <c r="E328" s="2" t="str">
        <f>IFERROR(INDEX(Movimientos!$F$2:$F$1993,MATCH(A328&amp;"ENTRADA",Movimientos!$R$2:$R$1993,0)),"-")</f>
        <v>-</v>
      </c>
      <c r="F328" s="2" t="str">
        <f>IFERROR(INDEX(Movimientos!$G$2:$G$1993,MATCH(A328&amp;"ENTRADA",Movimientos!$R$2:$R$1993,0)),"-")</f>
        <v>-</v>
      </c>
      <c r="G328" s="2" t="str">
        <f>IFERROR(INDEX(Movimientos!$L$2:$L$1993,MATCH(A328&amp;"ENTRADA",Movimientos!$R$2:$R$1993,0)),"-")</f>
        <v>-</v>
      </c>
      <c r="H328" s="17" t="str">
        <f>IFERROR(IF(INDEX(Movimientos!$M$2:$M$1993,MATCH(A328&amp;"ENTRADA",Movimientos!$R$2:$R$1993,0))=0,"S/D",INDEX(Movimientos!$M$2:$M$1993,MATCH(A328&amp;"ENTRADA",Movimientos!$R$2:$R$1993,0))),"S/D")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2669</v>
      </c>
      <c r="B329" s="2" t="str">
        <f>IFERROR(INDEX(Movimientos!$C$2:$C$1993,MATCH(A329&amp;"ENTRADA",Movimientos!$R$2:$R$1993,0)),"-")</f>
        <v>-</v>
      </c>
      <c r="C329" s="2" t="str">
        <f>IFERROR(INDEX(Movimientos!$D$2:$D$1993,MATCH(A329&amp;"ENTRADA",Movimientos!$R$2:$R$1993,0)),"-")</f>
        <v>-</v>
      </c>
      <c r="D329" s="2" t="str">
        <f>IFERROR(INDEX(Movimientos!$E$2:$E$1993,MATCH(A329&amp;"ENTRADA",Movimientos!$R$2:$R$1993,0)),"-")</f>
        <v>-</v>
      </c>
      <c r="E329" s="2" t="str">
        <f>IFERROR(INDEX(Movimientos!$F$2:$F$1993,MATCH(A329&amp;"ENTRADA",Movimientos!$R$2:$R$1993,0)),"-")</f>
        <v>-</v>
      </c>
      <c r="F329" s="2" t="str">
        <f>IFERROR(INDEX(Movimientos!$G$2:$G$1993,MATCH(A329&amp;"ENTRADA",Movimientos!$R$2:$R$1993,0)),"-")</f>
        <v>-</v>
      </c>
      <c r="G329" s="2" t="str">
        <f>IFERROR(INDEX(Movimientos!$L$2:$L$1993,MATCH(A329&amp;"ENTRADA",Movimientos!$R$2:$R$1993,0)),"-")</f>
        <v>-</v>
      </c>
      <c r="H329" s="17" t="str">
        <f>IFERROR(IF(INDEX(Movimientos!$M$2:$M$1993,MATCH(A329&amp;"ENTRADA",Movimientos!$R$2:$R$1993,0))=0,"S/D",INDEX(Movimientos!$M$2:$M$1993,MATCH(A329&amp;"ENTRADA",Movimientos!$R$2:$R$1993,0))),"S/D")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2670</v>
      </c>
      <c r="B330" s="2" t="str">
        <f>IFERROR(INDEX(Movimientos!$C$2:$C$1993,MATCH(A330&amp;"ENTRADA",Movimientos!$R$2:$R$1993,0)),"-")</f>
        <v>-</v>
      </c>
      <c r="C330" s="2" t="str">
        <f>IFERROR(INDEX(Movimientos!$D$2:$D$1993,MATCH(A330&amp;"ENTRADA",Movimientos!$R$2:$R$1993,0)),"-")</f>
        <v>-</v>
      </c>
      <c r="D330" s="2" t="str">
        <f>IFERROR(INDEX(Movimientos!$E$2:$E$1993,MATCH(A330&amp;"ENTRADA",Movimientos!$R$2:$R$1993,0)),"-")</f>
        <v>-</v>
      </c>
      <c r="E330" s="2" t="str">
        <f>IFERROR(INDEX(Movimientos!$F$2:$F$1993,MATCH(A330&amp;"ENTRADA",Movimientos!$R$2:$R$1993,0)),"-")</f>
        <v>-</v>
      </c>
      <c r="F330" s="2" t="str">
        <f>IFERROR(INDEX(Movimientos!$G$2:$G$1993,MATCH(A330&amp;"ENTRADA",Movimientos!$R$2:$R$1993,0)),"-")</f>
        <v>-</v>
      </c>
      <c r="G330" s="2" t="str">
        <f>IFERROR(INDEX(Movimientos!$L$2:$L$1993,MATCH(A330&amp;"ENTRADA",Movimientos!$R$2:$R$1993,0)),"-")</f>
        <v>-</v>
      </c>
      <c r="H330" s="17" t="str">
        <f>IFERROR(IF(INDEX(Movimientos!$M$2:$M$1993,MATCH(A330&amp;"ENTRADA",Movimientos!$R$2:$R$1993,0))=0,"S/D",INDEX(Movimientos!$M$2:$M$1993,MATCH(A330&amp;"ENTRADA",Movimientos!$R$2:$R$1993,0))),"S/D")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2671</v>
      </c>
      <c r="B331" s="2" t="str">
        <f>IFERROR(INDEX(Movimientos!$C$2:$C$1993,MATCH(A331&amp;"ENTRADA",Movimientos!$R$2:$R$1993,0)),"-")</f>
        <v>-</v>
      </c>
      <c r="C331" s="2" t="str">
        <f>IFERROR(INDEX(Movimientos!$D$2:$D$1993,MATCH(A331&amp;"ENTRADA",Movimientos!$R$2:$R$1993,0)),"-")</f>
        <v>-</v>
      </c>
      <c r="D331" s="2" t="str">
        <f>IFERROR(INDEX(Movimientos!$E$2:$E$1993,MATCH(A331&amp;"ENTRADA",Movimientos!$R$2:$R$1993,0)),"-")</f>
        <v>-</v>
      </c>
      <c r="E331" s="2" t="str">
        <f>IFERROR(INDEX(Movimientos!$F$2:$F$1993,MATCH(A331&amp;"ENTRADA",Movimientos!$R$2:$R$1993,0)),"-")</f>
        <v>-</v>
      </c>
      <c r="F331" s="2" t="str">
        <f>IFERROR(INDEX(Movimientos!$G$2:$G$1993,MATCH(A331&amp;"ENTRADA",Movimientos!$R$2:$R$1993,0)),"-")</f>
        <v>-</v>
      </c>
      <c r="G331" s="2" t="str">
        <f>IFERROR(INDEX(Movimientos!$L$2:$L$1993,MATCH(A331&amp;"ENTRADA",Movimientos!$R$2:$R$1993,0)),"-")</f>
        <v>-</v>
      </c>
      <c r="H331" s="17" t="str">
        <f>IFERROR(IF(INDEX(Movimientos!$M$2:$M$1993,MATCH(A331&amp;"ENTRADA",Movimientos!$R$2:$R$1993,0))=0,"S/D",INDEX(Movimientos!$M$2:$M$1993,MATCH(A331&amp;"ENTRADA",Movimientos!$R$2:$R$1993,0))),"S/D")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2672</v>
      </c>
      <c r="B332" s="2" t="str">
        <f>IFERROR(INDEX(Movimientos!$C$2:$C$1993,MATCH(A332&amp;"ENTRADA",Movimientos!$R$2:$R$1993,0)),"-")</f>
        <v>-</v>
      </c>
      <c r="C332" s="2" t="str">
        <f>IFERROR(INDEX(Movimientos!$D$2:$D$1993,MATCH(A332&amp;"ENTRADA",Movimientos!$R$2:$R$1993,0)),"-")</f>
        <v>-</v>
      </c>
      <c r="D332" s="2" t="str">
        <f>IFERROR(INDEX(Movimientos!$E$2:$E$1993,MATCH(A332&amp;"ENTRADA",Movimientos!$R$2:$R$1993,0)),"-")</f>
        <v>-</v>
      </c>
      <c r="E332" s="2" t="str">
        <f>IFERROR(INDEX(Movimientos!$F$2:$F$1993,MATCH(A332&amp;"ENTRADA",Movimientos!$R$2:$R$1993,0)),"-")</f>
        <v>-</v>
      </c>
      <c r="F332" s="2" t="str">
        <f>IFERROR(INDEX(Movimientos!$G$2:$G$1993,MATCH(A332&amp;"ENTRADA",Movimientos!$R$2:$R$1993,0)),"-")</f>
        <v>-</v>
      </c>
      <c r="G332" s="2" t="str">
        <f>IFERROR(INDEX(Movimientos!$L$2:$L$1993,MATCH(A332&amp;"ENTRADA",Movimientos!$R$2:$R$1993,0)),"-")</f>
        <v>-</v>
      </c>
      <c r="H332" s="17" t="str">
        <f>IFERROR(IF(INDEX(Movimientos!$M$2:$M$1993,MATCH(A332&amp;"ENTRADA",Movimientos!$R$2:$R$1993,0))=0,"S/D",INDEX(Movimientos!$M$2:$M$1993,MATCH(A332&amp;"ENTRADA",Movimientos!$R$2:$R$1993,0))),"S/D")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2673</v>
      </c>
      <c r="B333" s="2" t="str">
        <f>IFERROR(INDEX(Movimientos!$C$2:$C$1993,MATCH(A333&amp;"ENTRADA",Movimientos!$R$2:$R$1993,0)),"-")</f>
        <v>-</v>
      </c>
      <c r="C333" s="2" t="str">
        <f>IFERROR(INDEX(Movimientos!$D$2:$D$1993,MATCH(A333&amp;"ENTRADA",Movimientos!$R$2:$R$1993,0)),"-")</f>
        <v>-</v>
      </c>
      <c r="D333" s="2" t="str">
        <f>IFERROR(INDEX(Movimientos!$E$2:$E$1993,MATCH(A333&amp;"ENTRADA",Movimientos!$R$2:$R$1993,0)),"-")</f>
        <v>-</v>
      </c>
      <c r="E333" s="2" t="str">
        <f>IFERROR(INDEX(Movimientos!$F$2:$F$1993,MATCH(A333&amp;"ENTRADA",Movimientos!$R$2:$R$1993,0)),"-")</f>
        <v>-</v>
      </c>
      <c r="F333" s="2" t="str">
        <f>IFERROR(INDEX(Movimientos!$G$2:$G$1993,MATCH(A333&amp;"ENTRADA",Movimientos!$R$2:$R$1993,0)),"-")</f>
        <v>-</v>
      </c>
      <c r="G333" s="2" t="str">
        <f>IFERROR(INDEX(Movimientos!$L$2:$L$1993,MATCH(A333&amp;"ENTRADA",Movimientos!$R$2:$R$1993,0)),"-")</f>
        <v>-</v>
      </c>
      <c r="H333" s="17" t="str">
        <f>IFERROR(IF(INDEX(Movimientos!$M$2:$M$1993,MATCH(A333&amp;"ENTRADA",Movimientos!$R$2:$R$1993,0))=0,"S/D",INDEX(Movimientos!$M$2:$M$1993,MATCH(A333&amp;"ENTRADA",Movimientos!$R$2:$R$1993,0))),"S/D")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2674</v>
      </c>
      <c r="B334" s="2" t="str">
        <f>IFERROR(INDEX(Movimientos!$C$2:$C$1993,MATCH(A334&amp;"ENTRADA",Movimientos!$R$2:$R$1993,0)),"-")</f>
        <v>-</v>
      </c>
      <c r="C334" s="2" t="str">
        <f>IFERROR(INDEX(Movimientos!$D$2:$D$1993,MATCH(A334&amp;"ENTRADA",Movimientos!$R$2:$R$1993,0)),"-")</f>
        <v>-</v>
      </c>
      <c r="D334" s="2" t="str">
        <f>IFERROR(INDEX(Movimientos!$E$2:$E$1993,MATCH(A334&amp;"ENTRADA",Movimientos!$R$2:$R$1993,0)),"-")</f>
        <v>-</v>
      </c>
      <c r="E334" s="2" t="str">
        <f>IFERROR(INDEX(Movimientos!$F$2:$F$1993,MATCH(A334&amp;"ENTRADA",Movimientos!$R$2:$R$1993,0)),"-")</f>
        <v>-</v>
      </c>
      <c r="F334" s="2" t="str">
        <f>IFERROR(INDEX(Movimientos!$G$2:$G$1993,MATCH(A334&amp;"ENTRADA",Movimientos!$R$2:$R$1993,0)),"-")</f>
        <v>-</v>
      </c>
      <c r="G334" s="2" t="str">
        <f>IFERROR(INDEX(Movimientos!$L$2:$L$1993,MATCH(A334&amp;"ENTRADA",Movimientos!$R$2:$R$1993,0)),"-")</f>
        <v>-</v>
      </c>
      <c r="H334" s="17" t="str">
        <f>IFERROR(IF(INDEX(Movimientos!$M$2:$M$1993,MATCH(A334&amp;"ENTRADA",Movimientos!$R$2:$R$1993,0))=0,"S/D",INDEX(Movimientos!$M$2:$M$1993,MATCH(A334&amp;"ENTRADA",Movimientos!$R$2:$R$1993,0))),"S/D")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2675</v>
      </c>
      <c r="B335" s="2" t="str">
        <f>IFERROR(INDEX(Movimientos!$C$2:$C$1993,MATCH(A335&amp;"ENTRADA",Movimientos!$R$2:$R$1993,0)),"-")</f>
        <v>-</v>
      </c>
      <c r="C335" s="2" t="str">
        <f>IFERROR(INDEX(Movimientos!$D$2:$D$1993,MATCH(A335&amp;"ENTRADA",Movimientos!$R$2:$R$1993,0)),"-")</f>
        <v>-</v>
      </c>
      <c r="D335" s="2" t="str">
        <f>IFERROR(INDEX(Movimientos!$E$2:$E$1993,MATCH(A335&amp;"ENTRADA",Movimientos!$R$2:$R$1993,0)),"-")</f>
        <v>-</v>
      </c>
      <c r="E335" s="2" t="str">
        <f>IFERROR(INDEX(Movimientos!$F$2:$F$1993,MATCH(A335&amp;"ENTRADA",Movimientos!$R$2:$R$1993,0)),"-")</f>
        <v>-</v>
      </c>
      <c r="F335" s="2" t="str">
        <f>IFERROR(INDEX(Movimientos!$G$2:$G$1993,MATCH(A335&amp;"ENTRADA",Movimientos!$R$2:$R$1993,0)),"-")</f>
        <v>-</v>
      </c>
      <c r="G335" s="2" t="str">
        <f>IFERROR(INDEX(Movimientos!$L$2:$L$1993,MATCH(A335&amp;"ENTRADA",Movimientos!$R$2:$R$1993,0)),"-")</f>
        <v>-</v>
      </c>
      <c r="H335" s="17" t="str">
        <f>IFERROR(IF(INDEX(Movimientos!$M$2:$M$1993,MATCH(A335&amp;"ENTRADA",Movimientos!$R$2:$R$1993,0))=0,"S/D",INDEX(Movimientos!$M$2:$M$1993,MATCH(A335&amp;"ENTRADA",Movimientos!$R$2:$R$1993,0))),"S/D")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2676</v>
      </c>
      <c r="B336" s="2" t="str">
        <f>IFERROR(INDEX(Movimientos!$C$2:$C$1993,MATCH(A336&amp;"ENTRADA",Movimientos!$R$2:$R$1993,0)),"-")</f>
        <v>-</v>
      </c>
      <c r="C336" s="2" t="str">
        <f>IFERROR(INDEX(Movimientos!$D$2:$D$1993,MATCH(A336&amp;"ENTRADA",Movimientos!$R$2:$R$1993,0)),"-")</f>
        <v>-</v>
      </c>
      <c r="D336" s="2" t="str">
        <f>IFERROR(INDEX(Movimientos!$E$2:$E$1993,MATCH(A336&amp;"ENTRADA",Movimientos!$R$2:$R$1993,0)),"-")</f>
        <v>-</v>
      </c>
      <c r="E336" s="2" t="str">
        <f>IFERROR(INDEX(Movimientos!$F$2:$F$1993,MATCH(A336&amp;"ENTRADA",Movimientos!$R$2:$R$1993,0)),"-")</f>
        <v>-</v>
      </c>
      <c r="F336" s="2" t="str">
        <f>IFERROR(INDEX(Movimientos!$G$2:$G$1993,MATCH(A336&amp;"ENTRADA",Movimientos!$R$2:$R$1993,0)),"-")</f>
        <v>-</v>
      </c>
      <c r="G336" s="2" t="str">
        <f>IFERROR(INDEX(Movimientos!$L$2:$L$1993,MATCH(A336&amp;"ENTRADA",Movimientos!$R$2:$R$1993,0)),"-")</f>
        <v>-</v>
      </c>
      <c r="H336" s="17" t="str">
        <f>IFERROR(IF(INDEX(Movimientos!$M$2:$M$1993,MATCH(A336&amp;"ENTRADA",Movimientos!$R$2:$R$1993,0))=0,"S/D",INDEX(Movimientos!$M$2:$M$1993,MATCH(A336&amp;"ENTRADA",Movimientos!$R$2:$R$1993,0))),"S/D")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2677</v>
      </c>
      <c r="B337" s="2" t="str">
        <f>IFERROR(INDEX(Movimientos!$C$2:$C$1993,MATCH(A337&amp;"ENTRADA",Movimientos!$R$2:$R$1993,0)),"-")</f>
        <v>-</v>
      </c>
      <c r="C337" s="2" t="str">
        <f>IFERROR(INDEX(Movimientos!$D$2:$D$1993,MATCH(A337&amp;"ENTRADA",Movimientos!$R$2:$R$1993,0)),"-")</f>
        <v>-</v>
      </c>
      <c r="D337" s="2" t="str">
        <f>IFERROR(INDEX(Movimientos!$E$2:$E$1993,MATCH(A337&amp;"ENTRADA",Movimientos!$R$2:$R$1993,0)),"-")</f>
        <v>-</v>
      </c>
      <c r="E337" s="2" t="str">
        <f>IFERROR(INDEX(Movimientos!$F$2:$F$1993,MATCH(A337&amp;"ENTRADA",Movimientos!$R$2:$R$1993,0)),"-")</f>
        <v>-</v>
      </c>
      <c r="F337" s="2" t="str">
        <f>IFERROR(INDEX(Movimientos!$G$2:$G$1993,MATCH(A337&amp;"ENTRADA",Movimientos!$R$2:$R$1993,0)),"-")</f>
        <v>-</v>
      </c>
      <c r="G337" s="2" t="str">
        <f>IFERROR(INDEX(Movimientos!$L$2:$L$1993,MATCH(A337&amp;"ENTRADA",Movimientos!$R$2:$R$1993,0)),"-")</f>
        <v>-</v>
      </c>
      <c r="H337" s="17" t="str">
        <f>IFERROR(IF(INDEX(Movimientos!$M$2:$M$1993,MATCH(A337&amp;"ENTRADA",Movimientos!$R$2:$R$1993,0))=0,"S/D",INDEX(Movimientos!$M$2:$M$1993,MATCH(A337&amp;"ENTRADA",Movimientos!$R$2:$R$1993,0))),"S/D")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2678</v>
      </c>
      <c r="B338" s="2" t="str">
        <f>IFERROR(INDEX(Movimientos!$C$2:$C$1993,MATCH(A338&amp;"ENTRADA",Movimientos!$R$2:$R$1993,0)),"-")</f>
        <v>-</v>
      </c>
      <c r="C338" s="2" t="str">
        <f>IFERROR(INDEX(Movimientos!$D$2:$D$1993,MATCH(A338&amp;"ENTRADA",Movimientos!$R$2:$R$1993,0)),"-")</f>
        <v>-</v>
      </c>
      <c r="D338" s="2" t="str">
        <f>IFERROR(INDEX(Movimientos!$E$2:$E$1993,MATCH(A338&amp;"ENTRADA",Movimientos!$R$2:$R$1993,0)),"-")</f>
        <v>-</v>
      </c>
      <c r="E338" s="2" t="str">
        <f>IFERROR(INDEX(Movimientos!$F$2:$F$1993,MATCH(A338&amp;"ENTRADA",Movimientos!$R$2:$R$1993,0)),"-")</f>
        <v>-</v>
      </c>
      <c r="F338" s="2" t="str">
        <f>IFERROR(INDEX(Movimientos!$G$2:$G$1993,MATCH(A338&amp;"ENTRADA",Movimientos!$R$2:$R$1993,0)),"-")</f>
        <v>-</v>
      </c>
      <c r="G338" s="2" t="str">
        <f>IFERROR(INDEX(Movimientos!$L$2:$L$1993,MATCH(A338&amp;"ENTRADA",Movimientos!$R$2:$R$1993,0)),"-")</f>
        <v>-</v>
      </c>
      <c r="H338" s="17" t="str">
        <f>IFERROR(IF(INDEX(Movimientos!$M$2:$M$1993,MATCH(A338&amp;"ENTRADA",Movimientos!$R$2:$R$1993,0))=0,"S/D",INDEX(Movimientos!$M$2:$M$1993,MATCH(A338&amp;"ENTRADA",Movimientos!$R$2:$R$1993,0))),"S/D")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2679</v>
      </c>
      <c r="B339" s="2" t="str">
        <f>IFERROR(INDEX(Movimientos!$C$2:$C$1993,MATCH(A339&amp;"ENTRADA",Movimientos!$R$2:$R$1993,0)),"-")</f>
        <v>-</v>
      </c>
      <c r="C339" s="2" t="str">
        <f>IFERROR(INDEX(Movimientos!$D$2:$D$1993,MATCH(A339&amp;"ENTRADA",Movimientos!$R$2:$R$1993,0)),"-")</f>
        <v>-</v>
      </c>
      <c r="D339" s="2" t="str">
        <f>IFERROR(INDEX(Movimientos!$E$2:$E$1993,MATCH(A339&amp;"ENTRADA",Movimientos!$R$2:$R$1993,0)),"-")</f>
        <v>-</v>
      </c>
      <c r="E339" s="2" t="str">
        <f>IFERROR(INDEX(Movimientos!$F$2:$F$1993,MATCH(A339&amp;"ENTRADA",Movimientos!$R$2:$R$1993,0)),"-")</f>
        <v>-</v>
      </c>
      <c r="F339" s="2" t="str">
        <f>IFERROR(INDEX(Movimientos!$G$2:$G$1993,MATCH(A339&amp;"ENTRADA",Movimientos!$R$2:$R$1993,0)),"-")</f>
        <v>-</v>
      </c>
      <c r="G339" s="2" t="str">
        <f>IFERROR(INDEX(Movimientos!$L$2:$L$1993,MATCH(A339&amp;"ENTRADA",Movimientos!$R$2:$R$1993,0)),"-")</f>
        <v>-</v>
      </c>
      <c r="H339" s="17" t="str">
        <f>IFERROR(IF(INDEX(Movimientos!$M$2:$M$1993,MATCH(A339&amp;"ENTRADA",Movimientos!$R$2:$R$1993,0))=0,"S/D",INDEX(Movimientos!$M$2:$M$1993,MATCH(A339&amp;"ENTRADA",Movimientos!$R$2:$R$1993,0))),"S/D")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2680</v>
      </c>
      <c r="B340" s="2" t="str">
        <f>IFERROR(INDEX(Movimientos!$C$2:$C$1993,MATCH(A340&amp;"ENTRADA",Movimientos!$R$2:$R$1993,0)),"-")</f>
        <v>-</v>
      </c>
      <c r="C340" s="2" t="str">
        <f>IFERROR(INDEX(Movimientos!$D$2:$D$1993,MATCH(A340&amp;"ENTRADA",Movimientos!$R$2:$R$1993,0)),"-")</f>
        <v>-</v>
      </c>
      <c r="D340" s="2" t="str">
        <f>IFERROR(INDEX(Movimientos!$E$2:$E$1993,MATCH(A340&amp;"ENTRADA",Movimientos!$R$2:$R$1993,0)),"-")</f>
        <v>-</v>
      </c>
      <c r="E340" s="2" t="str">
        <f>IFERROR(INDEX(Movimientos!$F$2:$F$1993,MATCH(A340&amp;"ENTRADA",Movimientos!$R$2:$R$1993,0)),"-")</f>
        <v>-</v>
      </c>
      <c r="F340" s="2" t="str">
        <f>IFERROR(INDEX(Movimientos!$G$2:$G$1993,MATCH(A340&amp;"ENTRADA",Movimientos!$R$2:$R$1993,0)),"-")</f>
        <v>-</v>
      </c>
      <c r="G340" s="2" t="str">
        <f>IFERROR(INDEX(Movimientos!$L$2:$L$1993,MATCH(A340&amp;"ENTRADA",Movimientos!$R$2:$R$1993,0)),"-")</f>
        <v>-</v>
      </c>
      <c r="H340" s="17" t="str">
        <f>IFERROR(IF(INDEX(Movimientos!$M$2:$M$1993,MATCH(A340&amp;"ENTRADA",Movimientos!$R$2:$R$1993,0))=0,"S/D",INDEX(Movimientos!$M$2:$M$1993,MATCH(A340&amp;"ENTRADA",Movimientos!$R$2:$R$1993,0))),"S/D")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2681</v>
      </c>
      <c r="B341" s="2" t="str">
        <f>IFERROR(INDEX(Movimientos!$C$2:$C$1993,MATCH(A341&amp;"ENTRADA",Movimientos!$R$2:$R$1993,0)),"-")</f>
        <v>-</v>
      </c>
      <c r="C341" s="2" t="str">
        <f>IFERROR(INDEX(Movimientos!$D$2:$D$1993,MATCH(A341&amp;"ENTRADA",Movimientos!$R$2:$R$1993,0)),"-")</f>
        <v>-</v>
      </c>
      <c r="D341" s="2" t="str">
        <f>IFERROR(INDEX(Movimientos!$E$2:$E$1993,MATCH(A341&amp;"ENTRADA",Movimientos!$R$2:$R$1993,0)),"-")</f>
        <v>-</v>
      </c>
      <c r="E341" s="2" t="str">
        <f>IFERROR(INDEX(Movimientos!$F$2:$F$1993,MATCH(A341&amp;"ENTRADA",Movimientos!$R$2:$R$1993,0)),"-")</f>
        <v>-</v>
      </c>
      <c r="F341" s="2" t="str">
        <f>IFERROR(INDEX(Movimientos!$G$2:$G$1993,MATCH(A341&amp;"ENTRADA",Movimientos!$R$2:$R$1993,0)),"-")</f>
        <v>-</v>
      </c>
      <c r="G341" s="2" t="str">
        <f>IFERROR(INDEX(Movimientos!$L$2:$L$1993,MATCH(A341&amp;"ENTRADA",Movimientos!$R$2:$R$1993,0)),"-")</f>
        <v>-</v>
      </c>
      <c r="H341" s="17" t="str">
        <f>IFERROR(IF(INDEX(Movimientos!$M$2:$M$1993,MATCH(A341&amp;"ENTRADA",Movimientos!$R$2:$R$1993,0))=0,"S/D",INDEX(Movimientos!$M$2:$M$1993,MATCH(A341&amp;"ENTRADA",Movimientos!$R$2:$R$1993,0))),"S/D")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2682</v>
      </c>
      <c r="B342" s="2" t="str">
        <f>IFERROR(INDEX(Movimientos!$C$2:$C$1993,MATCH(A342&amp;"ENTRADA",Movimientos!$R$2:$R$1993,0)),"-")</f>
        <v>-</v>
      </c>
      <c r="C342" s="2" t="str">
        <f>IFERROR(INDEX(Movimientos!$D$2:$D$1993,MATCH(A342&amp;"ENTRADA",Movimientos!$R$2:$R$1993,0)),"-")</f>
        <v>-</v>
      </c>
      <c r="D342" s="2" t="str">
        <f>IFERROR(INDEX(Movimientos!$E$2:$E$1993,MATCH(A342&amp;"ENTRADA",Movimientos!$R$2:$R$1993,0)),"-")</f>
        <v>-</v>
      </c>
      <c r="E342" s="2" t="str">
        <f>IFERROR(INDEX(Movimientos!$F$2:$F$1993,MATCH(A342&amp;"ENTRADA",Movimientos!$R$2:$R$1993,0)),"-")</f>
        <v>-</v>
      </c>
      <c r="F342" s="2" t="str">
        <f>IFERROR(INDEX(Movimientos!$G$2:$G$1993,MATCH(A342&amp;"ENTRADA",Movimientos!$R$2:$R$1993,0)),"-")</f>
        <v>-</v>
      </c>
      <c r="G342" s="2" t="str">
        <f>IFERROR(INDEX(Movimientos!$L$2:$L$1993,MATCH(A342&amp;"ENTRADA",Movimientos!$R$2:$R$1993,0)),"-")</f>
        <v>-</v>
      </c>
      <c r="H342" s="17" t="str">
        <f>IFERROR(IF(INDEX(Movimientos!$M$2:$M$1993,MATCH(A342&amp;"ENTRADA",Movimientos!$R$2:$R$1993,0))=0,"S/D",INDEX(Movimientos!$M$2:$M$1993,MATCH(A342&amp;"ENTRADA",Movimientos!$R$2:$R$1993,0))),"S/D")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2683</v>
      </c>
      <c r="B343" s="2" t="str">
        <f>IFERROR(INDEX(Movimientos!$C$2:$C$1993,MATCH(A343&amp;"ENTRADA",Movimientos!$R$2:$R$1993,0)),"-")</f>
        <v>-</v>
      </c>
      <c r="C343" s="2" t="str">
        <f>IFERROR(INDEX(Movimientos!$D$2:$D$1993,MATCH(A343&amp;"ENTRADA",Movimientos!$R$2:$R$1993,0)),"-")</f>
        <v>-</v>
      </c>
      <c r="D343" s="2" t="str">
        <f>IFERROR(INDEX(Movimientos!$E$2:$E$1993,MATCH(A343&amp;"ENTRADA",Movimientos!$R$2:$R$1993,0)),"-")</f>
        <v>-</v>
      </c>
      <c r="E343" s="2" t="str">
        <f>IFERROR(INDEX(Movimientos!$F$2:$F$1993,MATCH(A343&amp;"ENTRADA",Movimientos!$R$2:$R$1993,0)),"-")</f>
        <v>-</v>
      </c>
      <c r="F343" s="2" t="str">
        <f>IFERROR(INDEX(Movimientos!$G$2:$G$1993,MATCH(A343&amp;"ENTRADA",Movimientos!$R$2:$R$1993,0)),"-")</f>
        <v>-</v>
      </c>
      <c r="G343" s="2" t="str">
        <f>IFERROR(INDEX(Movimientos!$L$2:$L$1993,MATCH(A343&amp;"ENTRADA",Movimientos!$R$2:$R$1993,0)),"-")</f>
        <v>-</v>
      </c>
      <c r="H343" s="17" t="str">
        <f>IFERROR(IF(INDEX(Movimientos!$M$2:$M$1993,MATCH(A343&amp;"ENTRADA",Movimientos!$R$2:$R$1993,0))=0,"S/D",INDEX(Movimientos!$M$2:$M$1993,MATCH(A343&amp;"ENTRADA",Movimientos!$R$2:$R$1993,0))),"S/D")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2684</v>
      </c>
      <c r="B344" s="2" t="str">
        <f>IFERROR(INDEX(Movimientos!$C$2:$C$1993,MATCH(A344&amp;"ENTRADA",Movimientos!$R$2:$R$1993,0)),"-")</f>
        <v>-</v>
      </c>
      <c r="C344" s="2" t="str">
        <f>IFERROR(INDEX(Movimientos!$D$2:$D$1993,MATCH(A344&amp;"ENTRADA",Movimientos!$R$2:$R$1993,0)),"-")</f>
        <v>-</v>
      </c>
      <c r="D344" s="2" t="str">
        <f>IFERROR(INDEX(Movimientos!$E$2:$E$1993,MATCH(A344&amp;"ENTRADA",Movimientos!$R$2:$R$1993,0)),"-")</f>
        <v>-</v>
      </c>
      <c r="E344" s="2" t="str">
        <f>IFERROR(INDEX(Movimientos!$F$2:$F$1993,MATCH(A344&amp;"ENTRADA",Movimientos!$R$2:$R$1993,0)),"-")</f>
        <v>-</v>
      </c>
      <c r="F344" s="2" t="str">
        <f>IFERROR(INDEX(Movimientos!$G$2:$G$1993,MATCH(A344&amp;"ENTRADA",Movimientos!$R$2:$R$1993,0)),"-")</f>
        <v>-</v>
      </c>
      <c r="G344" s="2" t="str">
        <f>IFERROR(INDEX(Movimientos!$L$2:$L$1993,MATCH(A344&amp;"ENTRADA",Movimientos!$R$2:$R$1993,0)),"-")</f>
        <v>-</v>
      </c>
      <c r="H344" s="17" t="str">
        <f>IFERROR(IF(INDEX(Movimientos!$M$2:$M$1993,MATCH(A344&amp;"ENTRADA",Movimientos!$R$2:$R$1993,0))=0,"S/D",INDEX(Movimientos!$M$2:$M$1993,MATCH(A344&amp;"ENTRADA",Movimientos!$R$2:$R$1993,0))),"S/D")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2685</v>
      </c>
      <c r="B345" s="2" t="str">
        <f>IFERROR(INDEX(Movimientos!$C$2:$C$1993,MATCH(A345&amp;"ENTRADA",Movimientos!$R$2:$R$1993,0)),"-")</f>
        <v>-</v>
      </c>
      <c r="C345" s="2" t="str">
        <f>IFERROR(INDEX(Movimientos!$D$2:$D$1993,MATCH(A345&amp;"ENTRADA",Movimientos!$R$2:$R$1993,0)),"-")</f>
        <v>-</v>
      </c>
      <c r="D345" s="2" t="str">
        <f>IFERROR(INDEX(Movimientos!$E$2:$E$1993,MATCH(A345&amp;"ENTRADA",Movimientos!$R$2:$R$1993,0)),"-")</f>
        <v>-</v>
      </c>
      <c r="E345" s="2" t="str">
        <f>IFERROR(INDEX(Movimientos!$F$2:$F$1993,MATCH(A345&amp;"ENTRADA",Movimientos!$R$2:$R$1993,0)),"-")</f>
        <v>-</v>
      </c>
      <c r="F345" s="2" t="str">
        <f>IFERROR(INDEX(Movimientos!$G$2:$G$1993,MATCH(A345&amp;"ENTRADA",Movimientos!$R$2:$R$1993,0)),"-")</f>
        <v>-</v>
      </c>
      <c r="G345" s="2" t="str">
        <f>IFERROR(INDEX(Movimientos!$L$2:$L$1993,MATCH(A345&amp;"ENTRADA",Movimientos!$R$2:$R$1993,0)),"-")</f>
        <v>-</v>
      </c>
      <c r="H345" s="17" t="str">
        <f>IFERROR(IF(INDEX(Movimientos!$M$2:$M$1993,MATCH(A345&amp;"ENTRADA",Movimientos!$R$2:$R$1993,0))=0,"S/D",INDEX(Movimientos!$M$2:$M$1993,MATCH(A345&amp;"ENTRADA",Movimientos!$R$2:$R$1993,0))),"S/D")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2686</v>
      </c>
      <c r="B346" s="2" t="str">
        <f>IFERROR(INDEX(Movimientos!$C$2:$C$1993,MATCH(A346&amp;"ENTRADA",Movimientos!$R$2:$R$1993,0)),"-")</f>
        <v>-</v>
      </c>
      <c r="C346" s="2" t="str">
        <f>IFERROR(INDEX(Movimientos!$D$2:$D$1993,MATCH(A346&amp;"ENTRADA",Movimientos!$R$2:$R$1993,0)),"-")</f>
        <v>-</v>
      </c>
      <c r="D346" s="2" t="str">
        <f>IFERROR(INDEX(Movimientos!$E$2:$E$1993,MATCH(A346&amp;"ENTRADA",Movimientos!$R$2:$R$1993,0)),"-")</f>
        <v>-</v>
      </c>
      <c r="E346" s="2" t="str">
        <f>IFERROR(INDEX(Movimientos!$F$2:$F$1993,MATCH(A346&amp;"ENTRADA",Movimientos!$R$2:$R$1993,0)),"-")</f>
        <v>-</v>
      </c>
      <c r="F346" s="2" t="str">
        <f>IFERROR(INDEX(Movimientos!$G$2:$G$1993,MATCH(A346&amp;"ENTRADA",Movimientos!$R$2:$R$1993,0)),"-")</f>
        <v>-</v>
      </c>
      <c r="G346" s="2" t="str">
        <f>IFERROR(INDEX(Movimientos!$L$2:$L$1993,MATCH(A346&amp;"ENTRADA",Movimientos!$R$2:$R$1993,0)),"-")</f>
        <v>-</v>
      </c>
      <c r="H346" s="17" t="str">
        <f>IFERROR(IF(INDEX(Movimientos!$M$2:$M$1993,MATCH(A346&amp;"ENTRADA",Movimientos!$R$2:$R$1993,0))=0,"S/D",INDEX(Movimientos!$M$2:$M$1993,MATCH(A346&amp;"ENTRADA",Movimientos!$R$2:$R$1993,0))),"S/D")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2687</v>
      </c>
      <c r="B347" s="2" t="str">
        <f>IFERROR(INDEX(Movimientos!$C$2:$C$1993,MATCH(A347&amp;"ENTRADA",Movimientos!$R$2:$R$1993,0)),"-")</f>
        <v>-</v>
      </c>
      <c r="C347" s="2" t="str">
        <f>IFERROR(INDEX(Movimientos!$D$2:$D$1993,MATCH(A347&amp;"ENTRADA",Movimientos!$R$2:$R$1993,0)),"-")</f>
        <v>-</v>
      </c>
      <c r="D347" s="2" t="str">
        <f>IFERROR(INDEX(Movimientos!$E$2:$E$1993,MATCH(A347&amp;"ENTRADA",Movimientos!$R$2:$R$1993,0)),"-")</f>
        <v>-</v>
      </c>
      <c r="E347" s="2" t="str">
        <f>IFERROR(INDEX(Movimientos!$F$2:$F$1993,MATCH(A347&amp;"ENTRADA",Movimientos!$R$2:$R$1993,0)),"-")</f>
        <v>-</v>
      </c>
      <c r="F347" s="2" t="str">
        <f>IFERROR(INDEX(Movimientos!$G$2:$G$1993,MATCH(A347&amp;"ENTRADA",Movimientos!$R$2:$R$1993,0)),"-")</f>
        <v>-</v>
      </c>
      <c r="G347" s="2" t="str">
        <f>IFERROR(INDEX(Movimientos!$L$2:$L$1993,MATCH(A347&amp;"ENTRADA",Movimientos!$R$2:$R$1993,0)),"-")</f>
        <v>-</v>
      </c>
      <c r="H347" s="17" t="str">
        <f>IFERROR(IF(INDEX(Movimientos!$M$2:$M$1993,MATCH(A347&amp;"ENTRADA",Movimientos!$R$2:$R$1993,0))=0,"S/D",INDEX(Movimientos!$M$2:$M$1993,MATCH(A347&amp;"ENTRADA",Movimientos!$R$2:$R$1993,0))),"S/D")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2688</v>
      </c>
      <c r="B348" s="2" t="str">
        <f>IFERROR(INDEX(Movimientos!$C$2:$C$1993,MATCH(A348&amp;"ENTRADA",Movimientos!$R$2:$R$1993,0)),"-")</f>
        <v>-</v>
      </c>
      <c r="C348" s="2" t="str">
        <f>IFERROR(INDEX(Movimientos!$D$2:$D$1993,MATCH(A348&amp;"ENTRADA",Movimientos!$R$2:$R$1993,0)),"-")</f>
        <v>-</v>
      </c>
      <c r="D348" s="2" t="str">
        <f>IFERROR(INDEX(Movimientos!$E$2:$E$1993,MATCH(A348&amp;"ENTRADA",Movimientos!$R$2:$R$1993,0)),"-")</f>
        <v>-</v>
      </c>
      <c r="E348" s="2" t="str">
        <f>IFERROR(INDEX(Movimientos!$F$2:$F$1993,MATCH(A348&amp;"ENTRADA",Movimientos!$R$2:$R$1993,0)),"-")</f>
        <v>-</v>
      </c>
      <c r="F348" s="2" t="str">
        <f>IFERROR(INDEX(Movimientos!$G$2:$G$1993,MATCH(A348&amp;"ENTRADA",Movimientos!$R$2:$R$1993,0)),"-")</f>
        <v>-</v>
      </c>
      <c r="G348" s="2" t="str">
        <f>IFERROR(INDEX(Movimientos!$L$2:$L$1993,MATCH(A348&amp;"ENTRADA",Movimientos!$R$2:$R$1993,0)),"-")</f>
        <v>-</v>
      </c>
      <c r="H348" s="17" t="str">
        <f>IFERROR(IF(INDEX(Movimientos!$M$2:$M$1993,MATCH(A348&amp;"ENTRADA",Movimientos!$R$2:$R$1993,0))=0,"S/D",INDEX(Movimientos!$M$2:$M$1993,MATCH(A348&amp;"ENTRADA",Movimientos!$R$2:$R$1993,0))),"S/D")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2689</v>
      </c>
      <c r="B349" s="2" t="str">
        <f>IFERROR(INDEX(Movimientos!$C$2:$C$1993,MATCH(A349&amp;"ENTRADA",Movimientos!$R$2:$R$1993,0)),"-")</f>
        <v>-</v>
      </c>
      <c r="C349" s="2" t="str">
        <f>IFERROR(INDEX(Movimientos!$D$2:$D$1993,MATCH(A349&amp;"ENTRADA",Movimientos!$R$2:$R$1993,0)),"-")</f>
        <v>-</v>
      </c>
      <c r="D349" s="2" t="str">
        <f>IFERROR(INDEX(Movimientos!$E$2:$E$1993,MATCH(A349&amp;"ENTRADA",Movimientos!$R$2:$R$1993,0)),"-")</f>
        <v>-</v>
      </c>
      <c r="E349" s="2" t="str">
        <f>IFERROR(INDEX(Movimientos!$F$2:$F$1993,MATCH(A349&amp;"ENTRADA",Movimientos!$R$2:$R$1993,0)),"-")</f>
        <v>-</v>
      </c>
      <c r="F349" s="2" t="str">
        <f>IFERROR(INDEX(Movimientos!$G$2:$G$1993,MATCH(A349&amp;"ENTRADA",Movimientos!$R$2:$R$1993,0)),"-")</f>
        <v>-</v>
      </c>
      <c r="G349" s="2" t="str">
        <f>IFERROR(INDEX(Movimientos!$L$2:$L$1993,MATCH(A349&amp;"ENTRADA",Movimientos!$R$2:$R$1993,0)),"-")</f>
        <v>-</v>
      </c>
      <c r="H349" s="17" t="str">
        <f>IFERROR(IF(INDEX(Movimientos!$M$2:$M$1993,MATCH(A349&amp;"ENTRADA",Movimientos!$R$2:$R$1993,0))=0,"S/D",INDEX(Movimientos!$M$2:$M$1993,MATCH(A349&amp;"ENTRADA",Movimientos!$R$2:$R$1993,0))),"S/D")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2690</v>
      </c>
      <c r="B350" s="2" t="str">
        <f>IFERROR(INDEX(Movimientos!$C$2:$C$1993,MATCH(A350&amp;"ENTRADA",Movimientos!$R$2:$R$1993,0)),"-")</f>
        <v>-</v>
      </c>
      <c r="C350" s="2" t="str">
        <f>IFERROR(INDEX(Movimientos!$D$2:$D$1993,MATCH(A350&amp;"ENTRADA",Movimientos!$R$2:$R$1993,0)),"-")</f>
        <v>-</v>
      </c>
      <c r="D350" s="2" t="str">
        <f>IFERROR(INDEX(Movimientos!$E$2:$E$1993,MATCH(A350&amp;"ENTRADA",Movimientos!$R$2:$R$1993,0)),"-")</f>
        <v>-</v>
      </c>
      <c r="E350" s="2" t="str">
        <f>IFERROR(INDEX(Movimientos!$F$2:$F$1993,MATCH(A350&amp;"ENTRADA",Movimientos!$R$2:$R$1993,0)),"-")</f>
        <v>-</v>
      </c>
      <c r="F350" s="2" t="str">
        <f>IFERROR(INDEX(Movimientos!$G$2:$G$1993,MATCH(A350&amp;"ENTRADA",Movimientos!$R$2:$R$1993,0)),"-")</f>
        <v>-</v>
      </c>
      <c r="G350" s="2" t="str">
        <f>IFERROR(INDEX(Movimientos!$L$2:$L$1993,MATCH(A350&amp;"ENTRADA",Movimientos!$R$2:$R$1993,0)),"-")</f>
        <v>-</v>
      </c>
      <c r="H350" s="17" t="str">
        <f>IFERROR(IF(INDEX(Movimientos!$M$2:$M$1993,MATCH(A350&amp;"ENTRADA",Movimientos!$R$2:$R$1993,0))=0,"S/D",INDEX(Movimientos!$M$2:$M$1993,MATCH(A350&amp;"ENTRADA",Movimientos!$R$2:$R$1993,0))),"S/D")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2691</v>
      </c>
      <c r="B351" s="2" t="str">
        <f>IFERROR(INDEX(Movimientos!$C$2:$C$1993,MATCH(A351&amp;"ENTRADA",Movimientos!$R$2:$R$1993,0)),"-")</f>
        <v>-</v>
      </c>
      <c r="C351" s="2" t="str">
        <f>IFERROR(INDEX(Movimientos!$D$2:$D$1993,MATCH(A351&amp;"ENTRADA",Movimientos!$R$2:$R$1993,0)),"-")</f>
        <v>-</v>
      </c>
      <c r="D351" s="2" t="str">
        <f>IFERROR(INDEX(Movimientos!$E$2:$E$1993,MATCH(A351&amp;"ENTRADA",Movimientos!$R$2:$R$1993,0)),"-")</f>
        <v>-</v>
      </c>
      <c r="E351" s="2" t="str">
        <f>IFERROR(INDEX(Movimientos!$F$2:$F$1993,MATCH(A351&amp;"ENTRADA",Movimientos!$R$2:$R$1993,0)),"-")</f>
        <v>-</v>
      </c>
      <c r="F351" s="2" t="str">
        <f>IFERROR(INDEX(Movimientos!$G$2:$G$1993,MATCH(A351&amp;"ENTRADA",Movimientos!$R$2:$R$1993,0)),"-")</f>
        <v>-</v>
      </c>
      <c r="G351" s="2" t="str">
        <f>IFERROR(INDEX(Movimientos!$L$2:$L$1993,MATCH(A351&amp;"ENTRADA",Movimientos!$R$2:$R$1993,0)),"-")</f>
        <v>-</v>
      </c>
      <c r="H351" s="17" t="str">
        <f>IFERROR(IF(INDEX(Movimientos!$M$2:$M$1993,MATCH(A351&amp;"ENTRADA",Movimientos!$R$2:$R$1993,0))=0,"S/D",INDEX(Movimientos!$M$2:$M$1993,MATCH(A351&amp;"ENTRADA",Movimientos!$R$2:$R$1993,0))),"S/D")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2692</v>
      </c>
      <c r="B352" s="2" t="str">
        <f>IFERROR(INDEX(Movimientos!$C$2:$C$1993,MATCH(A352&amp;"ENTRADA",Movimientos!$R$2:$R$1993,0)),"-")</f>
        <v>-</v>
      </c>
      <c r="C352" s="2" t="str">
        <f>IFERROR(INDEX(Movimientos!$D$2:$D$1993,MATCH(A352&amp;"ENTRADA",Movimientos!$R$2:$R$1993,0)),"-")</f>
        <v>-</v>
      </c>
      <c r="D352" s="2" t="str">
        <f>IFERROR(INDEX(Movimientos!$E$2:$E$1993,MATCH(A352&amp;"ENTRADA",Movimientos!$R$2:$R$1993,0)),"-")</f>
        <v>-</v>
      </c>
      <c r="E352" s="2" t="str">
        <f>IFERROR(INDEX(Movimientos!$F$2:$F$1993,MATCH(A352&amp;"ENTRADA",Movimientos!$R$2:$R$1993,0)),"-")</f>
        <v>-</v>
      </c>
      <c r="F352" s="2" t="str">
        <f>IFERROR(INDEX(Movimientos!$G$2:$G$1993,MATCH(A352&amp;"ENTRADA",Movimientos!$R$2:$R$1993,0)),"-")</f>
        <v>-</v>
      </c>
      <c r="G352" s="2" t="str">
        <f>IFERROR(INDEX(Movimientos!$L$2:$L$1993,MATCH(A352&amp;"ENTRADA",Movimientos!$R$2:$R$1993,0)),"-")</f>
        <v>-</v>
      </c>
      <c r="H352" s="17" t="str">
        <f>IFERROR(IF(INDEX(Movimientos!$M$2:$M$1993,MATCH(A352&amp;"ENTRADA",Movimientos!$R$2:$R$1993,0))=0,"S/D",INDEX(Movimientos!$M$2:$M$1993,MATCH(A352&amp;"ENTRADA",Movimientos!$R$2:$R$1993,0))),"S/D")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2693</v>
      </c>
      <c r="B353" s="2" t="str">
        <f>IFERROR(INDEX(Movimientos!$C$2:$C$1993,MATCH(A353&amp;"ENTRADA",Movimientos!$R$2:$R$1993,0)),"-")</f>
        <v>-</v>
      </c>
      <c r="C353" s="2" t="str">
        <f>IFERROR(INDEX(Movimientos!$D$2:$D$1993,MATCH(A353&amp;"ENTRADA",Movimientos!$R$2:$R$1993,0)),"-")</f>
        <v>-</v>
      </c>
      <c r="D353" s="2" t="str">
        <f>IFERROR(INDEX(Movimientos!$E$2:$E$1993,MATCH(A353&amp;"ENTRADA",Movimientos!$R$2:$R$1993,0)),"-")</f>
        <v>-</v>
      </c>
      <c r="E353" s="2" t="str">
        <f>IFERROR(INDEX(Movimientos!$F$2:$F$1993,MATCH(A353&amp;"ENTRADA",Movimientos!$R$2:$R$1993,0)),"-")</f>
        <v>-</v>
      </c>
      <c r="F353" s="2" t="str">
        <f>IFERROR(INDEX(Movimientos!$G$2:$G$1993,MATCH(A353&amp;"ENTRADA",Movimientos!$R$2:$R$1993,0)),"-")</f>
        <v>-</v>
      </c>
      <c r="G353" s="2" t="str">
        <f>IFERROR(INDEX(Movimientos!$L$2:$L$1993,MATCH(A353&amp;"ENTRADA",Movimientos!$R$2:$R$1993,0)),"-")</f>
        <v>-</v>
      </c>
      <c r="H353" s="17" t="str">
        <f>IFERROR(IF(INDEX(Movimientos!$M$2:$M$1993,MATCH(A353&amp;"ENTRADA",Movimientos!$R$2:$R$1993,0))=0,"S/D",INDEX(Movimientos!$M$2:$M$1993,MATCH(A353&amp;"ENTRADA",Movimientos!$R$2:$R$1993,0))),"S/D")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2694</v>
      </c>
      <c r="B354" s="2" t="str">
        <f>IFERROR(INDEX(Movimientos!$C$2:$C$1993,MATCH(A354&amp;"ENTRADA",Movimientos!$R$2:$R$1993,0)),"-")</f>
        <v>-</v>
      </c>
      <c r="C354" s="2" t="str">
        <f>IFERROR(INDEX(Movimientos!$D$2:$D$1993,MATCH(A354&amp;"ENTRADA",Movimientos!$R$2:$R$1993,0)),"-")</f>
        <v>-</v>
      </c>
      <c r="D354" s="2" t="str">
        <f>IFERROR(INDEX(Movimientos!$E$2:$E$1993,MATCH(A354&amp;"ENTRADA",Movimientos!$R$2:$R$1993,0)),"-")</f>
        <v>-</v>
      </c>
      <c r="E354" s="2" t="str">
        <f>IFERROR(INDEX(Movimientos!$F$2:$F$1993,MATCH(A354&amp;"ENTRADA",Movimientos!$R$2:$R$1993,0)),"-")</f>
        <v>-</v>
      </c>
      <c r="F354" s="2" t="str">
        <f>IFERROR(INDEX(Movimientos!$G$2:$G$1993,MATCH(A354&amp;"ENTRADA",Movimientos!$R$2:$R$1993,0)),"-")</f>
        <v>-</v>
      </c>
      <c r="G354" s="2" t="str">
        <f>IFERROR(INDEX(Movimientos!$L$2:$L$1993,MATCH(A354&amp;"ENTRADA",Movimientos!$R$2:$R$1993,0)),"-")</f>
        <v>-</v>
      </c>
      <c r="H354" s="17" t="str">
        <f>IFERROR(IF(INDEX(Movimientos!$M$2:$M$1993,MATCH(A354&amp;"ENTRADA",Movimientos!$R$2:$R$1993,0))=0,"S/D",INDEX(Movimientos!$M$2:$M$1993,MATCH(A354&amp;"ENTRADA",Movimientos!$R$2:$R$1993,0))),"S/D")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2695</v>
      </c>
      <c r="B355" s="2" t="str">
        <f>IFERROR(INDEX(Movimientos!$C$2:$C$1993,MATCH(A355&amp;"ENTRADA",Movimientos!$R$2:$R$1993,0)),"-")</f>
        <v>-</v>
      </c>
      <c r="C355" s="2" t="str">
        <f>IFERROR(INDEX(Movimientos!$D$2:$D$1993,MATCH(A355&amp;"ENTRADA",Movimientos!$R$2:$R$1993,0)),"-")</f>
        <v>-</v>
      </c>
      <c r="D355" s="2" t="str">
        <f>IFERROR(INDEX(Movimientos!$E$2:$E$1993,MATCH(A355&amp;"ENTRADA",Movimientos!$R$2:$R$1993,0)),"-")</f>
        <v>-</v>
      </c>
      <c r="E355" s="2" t="str">
        <f>IFERROR(INDEX(Movimientos!$F$2:$F$1993,MATCH(A355&amp;"ENTRADA",Movimientos!$R$2:$R$1993,0)),"-")</f>
        <v>-</v>
      </c>
      <c r="F355" s="2" t="str">
        <f>IFERROR(INDEX(Movimientos!$G$2:$G$1993,MATCH(A355&amp;"ENTRADA",Movimientos!$R$2:$R$1993,0)),"-")</f>
        <v>-</v>
      </c>
      <c r="G355" s="2" t="str">
        <f>IFERROR(INDEX(Movimientos!$L$2:$L$1993,MATCH(A355&amp;"ENTRADA",Movimientos!$R$2:$R$1993,0)),"-")</f>
        <v>-</v>
      </c>
      <c r="H355" s="17" t="str">
        <f>IFERROR(IF(INDEX(Movimientos!$M$2:$M$1993,MATCH(A355&amp;"ENTRADA",Movimientos!$R$2:$R$1993,0))=0,"S/D",INDEX(Movimientos!$M$2:$M$1993,MATCH(A355&amp;"ENTRADA",Movimientos!$R$2:$R$1993,0))),"S/D")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2696</v>
      </c>
      <c r="B356" s="2" t="str">
        <f>IFERROR(INDEX(Movimientos!$C$2:$C$1993,MATCH(A356&amp;"ENTRADA",Movimientos!$R$2:$R$1993,0)),"-")</f>
        <v>-</v>
      </c>
      <c r="C356" s="2" t="str">
        <f>IFERROR(INDEX(Movimientos!$D$2:$D$1993,MATCH(A356&amp;"ENTRADA",Movimientos!$R$2:$R$1993,0)),"-")</f>
        <v>-</v>
      </c>
      <c r="D356" s="2" t="str">
        <f>IFERROR(INDEX(Movimientos!$E$2:$E$1993,MATCH(A356&amp;"ENTRADA",Movimientos!$R$2:$R$1993,0)),"-")</f>
        <v>-</v>
      </c>
      <c r="E356" s="2" t="str">
        <f>IFERROR(INDEX(Movimientos!$F$2:$F$1993,MATCH(A356&amp;"ENTRADA",Movimientos!$R$2:$R$1993,0)),"-")</f>
        <v>-</v>
      </c>
      <c r="F356" s="2" t="str">
        <f>IFERROR(INDEX(Movimientos!$G$2:$G$1993,MATCH(A356&amp;"ENTRADA",Movimientos!$R$2:$R$1993,0)),"-")</f>
        <v>-</v>
      </c>
      <c r="G356" s="2" t="str">
        <f>IFERROR(INDEX(Movimientos!$L$2:$L$1993,MATCH(A356&amp;"ENTRADA",Movimientos!$R$2:$R$1993,0)),"-")</f>
        <v>-</v>
      </c>
      <c r="H356" s="17" t="str">
        <f>IFERROR(IF(INDEX(Movimientos!$M$2:$M$1993,MATCH(A356&amp;"ENTRADA",Movimientos!$R$2:$R$1993,0))=0,"S/D",INDEX(Movimientos!$M$2:$M$1993,MATCH(A356&amp;"ENTRADA",Movimientos!$R$2:$R$1993,0))),"S/D")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2697</v>
      </c>
      <c r="B357" s="2" t="str">
        <f>IFERROR(INDEX(Movimientos!$C$2:$C$1993,MATCH(A357&amp;"ENTRADA",Movimientos!$R$2:$R$1993,0)),"-")</f>
        <v>-</v>
      </c>
      <c r="C357" s="2" t="str">
        <f>IFERROR(INDEX(Movimientos!$D$2:$D$1993,MATCH(A357&amp;"ENTRADA",Movimientos!$R$2:$R$1993,0)),"-")</f>
        <v>-</v>
      </c>
      <c r="D357" s="2" t="str">
        <f>IFERROR(INDEX(Movimientos!$E$2:$E$1993,MATCH(A357&amp;"ENTRADA",Movimientos!$R$2:$R$1993,0)),"-")</f>
        <v>-</v>
      </c>
      <c r="E357" s="2" t="str">
        <f>IFERROR(INDEX(Movimientos!$F$2:$F$1993,MATCH(A357&amp;"ENTRADA",Movimientos!$R$2:$R$1993,0)),"-")</f>
        <v>-</v>
      </c>
      <c r="F357" s="2" t="str">
        <f>IFERROR(INDEX(Movimientos!$G$2:$G$1993,MATCH(A357&amp;"ENTRADA",Movimientos!$R$2:$R$1993,0)),"-")</f>
        <v>-</v>
      </c>
      <c r="G357" s="2" t="str">
        <f>IFERROR(INDEX(Movimientos!$L$2:$L$1993,MATCH(A357&amp;"ENTRADA",Movimientos!$R$2:$R$1993,0)),"-")</f>
        <v>-</v>
      </c>
      <c r="H357" s="17" t="str">
        <f>IFERROR(IF(INDEX(Movimientos!$M$2:$M$1993,MATCH(A357&amp;"ENTRADA",Movimientos!$R$2:$R$1993,0))=0,"S/D",INDEX(Movimientos!$M$2:$M$1993,MATCH(A357&amp;"ENTRADA",Movimientos!$R$2:$R$1993,0))),"S/D")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2698</v>
      </c>
      <c r="B358" s="2" t="str">
        <f>IFERROR(INDEX(Movimientos!$C$2:$C$1993,MATCH(A358&amp;"ENTRADA",Movimientos!$R$2:$R$1993,0)),"-")</f>
        <v>-</v>
      </c>
      <c r="C358" s="2" t="str">
        <f>IFERROR(INDEX(Movimientos!$D$2:$D$1993,MATCH(A358&amp;"ENTRADA",Movimientos!$R$2:$R$1993,0)),"-")</f>
        <v>-</v>
      </c>
      <c r="D358" s="2" t="str">
        <f>IFERROR(INDEX(Movimientos!$E$2:$E$1993,MATCH(A358&amp;"ENTRADA",Movimientos!$R$2:$R$1993,0)),"-")</f>
        <v>-</v>
      </c>
      <c r="E358" s="2" t="str">
        <f>IFERROR(INDEX(Movimientos!$F$2:$F$1993,MATCH(A358&amp;"ENTRADA",Movimientos!$R$2:$R$1993,0)),"-")</f>
        <v>-</v>
      </c>
      <c r="F358" s="2" t="str">
        <f>IFERROR(INDEX(Movimientos!$G$2:$G$1993,MATCH(A358&amp;"ENTRADA",Movimientos!$R$2:$R$1993,0)),"-")</f>
        <v>-</v>
      </c>
      <c r="G358" s="2" t="str">
        <f>IFERROR(INDEX(Movimientos!$L$2:$L$1993,MATCH(A358&amp;"ENTRADA",Movimientos!$R$2:$R$1993,0)),"-")</f>
        <v>-</v>
      </c>
      <c r="H358" s="17" t="str">
        <f>IFERROR(IF(INDEX(Movimientos!$M$2:$M$1993,MATCH(A358&amp;"ENTRADA",Movimientos!$R$2:$R$1993,0))=0,"S/D",INDEX(Movimientos!$M$2:$M$1993,MATCH(A358&amp;"ENTRADA",Movimientos!$R$2:$R$1993,0))),"S/D")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2699</v>
      </c>
      <c r="B359" s="2" t="str">
        <f>IFERROR(INDEX(Movimientos!$C$2:$C$1993,MATCH(A359&amp;"ENTRADA",Movimientos!$R$2:$R$1993,0)),"-")</f>
        <v>-</v>
      </c>
      <c r="C359" s="2" t="str">
        <f>IFERROR(INDEX(Movimientos!$D$2:$D$1993,MATCH(A359&amp;"ENTRADA",Movimientos!$R$2:$R$1993,0)),"-")</f>
        <v>-</v>
      </c>
      <c r="D359" s="2" t="str">
        <f>IFERROR(INDEX(Movimientos!$E$2:$E$1993,MATCH(A359&amp;"ENTRADA",Movimientos!$R$2:$R$1993,0)),"-")</f>
        <v>-</v>
      </c>
      <c r="E359" s="2" t="str">
        <f>IFERROR(INDEX(Movimientos!$F$2:$F$1993,MATCH(A359&amp;"ENTRADA",Movimientos!$R$2:$R$1993,0)),"-")</f>
        <v>-</v>
      </c>
      <c r="F359" s="2" t="str">
        <f>IFERROR(INDEX(Movimientos!$G$2:$G$1993,MATCH(A359&amp;"ENTRADA",Movimientos!$R$2:$R$1993,0)),"-")</f>
        <v>-</v>
      </c>
      <c r="G359" s="2" t="str">
        <f>IFERROR(INDEX(Movimientos!$L$2:$L$1993,MATCH(A359&amp;"ENTRADA",Movimientos!$R$2:$R$1993,0)),"-")</f>
        <v>-</v>
      </c>
      <c r="H359" s="17" t="str">
        <f>IFERROR(IF(INDEX(Movimientos!$M$2:$M$1993,MATCH(A359&amp;"ENTRADA",Movimientos!$R$2:$R$1993,0))=0,"S/D",INDEX(Movimientos!$M$2:$M$1993,MATCH(A359&amp;"ENTRADA",Movimientos!$R$2:$R$1993,0))),"S/D")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2700</v>
      </c>
      <c r="B360" s="2" t="str">
        <f>IFERROR(INDEX(Movimientos!$C$2:$C$1993,MATCH(A360&amp;"ENTRADA",Movimientos!$R$2:$R$1993,0)),"-")</f>
        <v>-</v>
      </c>
      <c r="C360" s="2" t="str">
        <f>IFERROR(INDEX(Movimientos!$D$2:$D$1993,MATCH(A360&amp;"ENTRADA",Movimientos!$R$2:$R$1993,0)),"-")</f>
        <v>-</v>
      </c>
      <c r="D360" s="2" t="str">
        <f>IFERROR(INDEX(Movimientos!$E$2:$E$1993,MATCH(A360&amp;"ENTRADA",Movimientos!$R$2:$R$1993,0)),"-")</f>
        <v>-</v>
      </c>
      <c r="E360" s="2" t="str">
        <f>IFERROR(INDEX(Movimientos!$F$2:$F$1993,MATCH(A360&amp;"ENTRADA",Movimientos!$R$2:$R$1993,0)),"-")</f>
        <v>-</v>
      </c>
      <c r="F360" s="2" t="str">
        <f>IFERROR(INDEX(Movimientos!$G$2:$G$1993,MATCH(A360&amp;"ENTRADA",Movimientos!$R$2:$R$1993,0)),"-")</f>
        <v>-</v>
      </c>
      <c r="G360" s="2" t="str">
        <f>IFERROR(INDEX(Movimientos!$L$2:$L$1993,MATCH(A360&amp;"ENTRADA",Movimientos!$R$2:$R$1993,0)),"-")</f>
        <v>-</v>
      </c>
      <c r="H360" s="17" t="str">
        <f>IFERROR(IF(INDEX(Movimientos!$M$2:$M$1993,MATCH(A360&amp;"ENTRADA",Movimientos!$R$2:$R$1993,0))=0,"S/D",INDEX(Movimientos!$M$2:$M$1993,MATCH(A360&amp;"ENTRADA",Movimientos!$R$2:$R$1993,0))),"S/D")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2701</v>
      </c>
      <c r="B361" s="2" t="str">
        <f>IFERROR(INDEX(Movimientos!$C$2:$C$1993,MATCH(A361&amp;"ENTRADA",Movimientos!$R$2:$R$1993,0)),"-")</f>
        <v>-</v>
      </c>
      <c r="C361" s="2" t="str">
        <f>IFERROR(INDEX(Movimientos!$D$2:$D$1993,MATCH(A361&amp;"ENTRADA",Movimientos!$R$2:$R$1993,0)),"-")</f>
        <v>-</v>
      </c>
      <c r="D361" s="2" t="str">
        <f>IFERROR(INDEX(Movimientos!$E$2:$E$1993,MATCH(A361&amp;"ENTRADA",Movimientos!$R$2:$R$1993,0)),"-")</f>
        <v>-</v>
      </c>
      <c r="E361" s="2" t="str">
        <f>IFERROR(INDEX(Movimientos!$F$2:$F$1993,MATCH(A361&amp;"ENTRADA",Movimientos!$R$2:$R$1993,0)),"-")</f>
        <v>-</v>
      </c>
      <c r="F361" s="2" t="str">
        <f>IFERROR(INDEX(Movimientos!$G$2:$G$1993,MATCH(A361&amp;"ENTRADA",Movimientos!$R$2:$R$1993,0)),"-")</f>
        <v>-</v>
      </c>
      <c r="G361" s="2" t="str">
        <f>IFERROR(INDEX(Movimientos!$L$2:$L$1993,MATCH(A361&amp;"ENTRADA",Movimientos!$R$2:$R$1993,0)),"-")</f>
        <v>-</v>
      </c>
      <c r="H361" s="17" t="str">
        <f>IFERROR(IF(INDEX(Movimientos!$M$2:$M$1993,MATCH(A361&amp;"ENTRADA",Movimientos!$R$2:$R$1993,0))=0,"S/D",INDEX(Movimientos!$M$2:$M$1993,MATCH(A361&amp;"ENTRADA",Movimientos!$R$2:$R$1993,0))),"S/D")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2702</v>
      </c>
      <c r="B362" s="2" t="str">
        <f>IFERROR(INDEX(Movimientos!$C$2:$C$1993,MATCH(A362&amp;"ENTRADA",Movimientos!$R$2:$R$1993,0)),"-")</f>
        <v>-</v>
      </c>
      <c r="C362" s="2" t="str">
        <f>IFERROR(INDEX(Movimientos!$D$2:$D$1993,MATCH(A362&amp;"ENTRADA",Movimientos!$R$2:$R$1993,0)),"-")</f>
        <v>-</v>
      </c>
      <c r="D362" s="2" t="str">
        <f>IFERROR(INDEX(Movimientos!$E$2:$E$1993,MATCH(A362&amp;"ENTRADA",Movimientos!$R$2:$R$1993,0)),"-")</f>
        <v>-</v>
      </c>
      <c r="E362" s="2" t="str">
        <f>IFERROR(INDEX(Movimientos!$F$2:$F$1993,MATCH(A362&amp;"ENTRADA",Movimientos!$R$2:$R$1993,0)),"-")</f>
        <v>-</v>
      </c>
      <c r="F362" s="2" t="str">
        <f>IFERROR(INDEX(Movimientos!$G$2:$G$1993,MATCH(A362&amp;"ENTRADA",Movimientos!$R$2:$R$1993,0)),"-")</f>
        <v>-</v>
      </c>
      <c r="G362" s="2" t="str">
        <f>IFERROR(INDEX(Movimientos!$L$2:$L$1993,MATCH(A362&amp;"ENTRADA",Movimientos!$R$2:$R$1993,0)),"-")</f>
        <v>-</v>
      </c>
      <c r="H362" s="17" t="str">
        <f>IFERROR(IF(INDEX(Movimientos!$M$2:$M$1993,MATCH(A362&amp;"ENTRADA",Movimientos!$R$2:$R$1993,0))=0,"S/D",INDEX(Movimientos!$M$2:$M$1993,MATCH(A362&amp;"ENTRADA",Movimientos!$R$2:$R$1993,0))),"S/D")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2703</v>
      </c>
      <c r="B363" s="2" t="str">
        <f>IFERROR(INDEX(Movimientos!$C$2:$C$1993,MATCH(A363&amp;"ENTRADA",Movimientos!$R$2:$R$1993,0)),"-")</f>
        <v>-</v>
      </c>
      <c r="C363" s="2" t="str">
        <f>IFERROR(INDEX(Movimientos!$D$2:$D$1993,MATCH(A363&amp;"ENTRADA",Movimientos!$R$2:$R$1993,0)),"-")</f>
        <v>-</v>
      </c>
      <c r="D363" s="2" t="str">
        <f>IFERROR(INDEX(Movimientos!$E$2:$E$1993,MATCH(A363&amp;"ENTRADA",Movimientos!$R$2:$R$1993,0)),"-")</f>
        <v>-</v>
      </c>
      <c r="E363" s="2" t="str">
        <f>IFERROR(INDEX(Movimientos!$F$2:$F$1993,MATCH(A363&amp;"ENTRADA",Movimientos!$R$2:$R$1993,0)),"-")</f>
        <v>-</v>
      </c>
      <c r="F363" s="2" t="str">
        <f>IFERROR(INDEX(Movimientos!$G$2:$G$1993,MATCH(A363&amp;"ENTRADA",Movimientos!$R$2:$R$1993,0)),"-")</f>
        <v>-</v>
      </c>
      <c r="G363" s="2" t="str">
        <f>IFERROR(INDEX(Movimientos!$L$2:$L$1993,MATCH(A363&amp;"ENTRADA",Movimientos!$R$2:$R$1993,0)),"-")</f>
        <v>-</v>
      </c>
      <c r="H363" s="17" t="str">
        <f>IFERROR(IF(INDEX(Movimientos!$M$2:$M$1993,MATCH(A363&amp;"ENTRADA",Movimientos!$R$2:$R$1993,0))=0,"S/D",INDEX(Movimientos!$M$2:$M$1993,MATCH(A363&amp;"ENTRADA",Movimientos!$R$2:$R$1993,0))),"S/D")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2704</v>
      </c>
      <c r="B364" s="2" t="str">
        <f>IFERROR(INDEX(Movimientos!$C$2:$C$1993,MATCH(A364&amp;"ENTRADA",Movimientos!$R$2:$R$1993,0)),"-")</f>
        <v>-</v>
      </c>
      <c r="C364" s="2" t="str">
        <f>IFERROR(INDEX(Movimientos!$D$2:$D$1993,MATCH(A364&amp;"ENTRADA",Movimientos!$R$2:$R$1993,0)),"-")</f>
        <v>-</v>
      </c>
      <c r="D364" s="2" t="str">
        <f>IFERROR(INDEX(Movimientos!$E$2:$E$1993,MATCH(A364&amp;"ENTRADA",Movimientos!$R$2:$R$1993,0)),"-")</f>
        <v>-</v>
      </c>
      <c r="E364" s="2" t="str">
        <f>IFERROR(INDEX(Movimientos!$F$2:$F$1993,MATCH(A364&amp;"ENTRADA",Movimientos!$R$2:$R$1993,0)),"-")</f>
        <v>-</v>
      </c>
      <c r="F364" s="2" t="str">
        <f>IFERROR(INDEX(Movimientos!$G$2:$G$1993,MATCH(A364&amp;"ENTRADA",Movimientos!$R$2:$R$1993,0)),"-")</f>
        <v>-</v>
      </c>
      <c r="G364" s="2" t="str">
        <f>IFERROR(INDEX(Movimientos!$L$2:$L$1993,MATCH(A364&amp;"ENTRADA",Movimientos!$R$2:$R$1993,0)),"-")</f>
        <v>-</v>
      </c>
      <c r="H364" s="17" t="str">
        <f>IFERROR(IF(INDEX(Movimientos!$M$2:$M$1993,MATCH(A364&amp;"ENTRADA",Movimientos!$R$2:$R$1993,0))=0,"S/D",INDEX(Movimientos!$M$2:$M$1993,MATCH(A364&amp;"ENTRADA",Movimientos!$R$2:$R$1993,0))),"S/D")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2705</v>
      </c>
      <c r="B365" s="2" t="str">
        <f>IFERROR(INDEX(Movimientos!$C$2:$C$1993,MATCH(A365&amp;"ENTRADA",Movimientos!$R$2:$R$1993,0)),"-")</f>
        <v>-</v>
      </c>
      <c r="C365" s="2" t="str">
        <f>IFERROR(INDEX(Movimientos!$D$2:$D$1993,MATCH(A365&amp;"ENTRADA",Movimientos!$R$2:$R$1993,0)),"-")</f>
        <v>-</v>
      </c>
      <c r="D365" s="2" t="str">
        <f>IFERROR(INDEX(Movimientos!$E$2:$E$1993,MATCH(A365&amp;"ENTRADA",Movimientos!$R$2:$R$1993,0)),"-")</f>
        <v>-</v>
      </c>
      <c r="E365" s="2" t="str">
        <f>IFERROR(INDEX(Movimientos!$F$2:$F$1993,MATCH(A365&amp;"ENTRADA",Movimientos!$R$2:$R$1993,0)),"-")</f>
        <v>-</v>
      </c>
      <c r="F365" s="2" t="str">
        <f>IFERROR(INDEX(Movimientos!$G$2:$G$1993,MATCH(A365&amp;"ENTRADA",Movimientos!$R$2:$R$1993,0)),"-")</f>
        <v>-</v>
      </c>
      <c r="G365" s="2" t="str">
        <f>IFERROR(INDEX(Movimientos!$L$2:$L$1993,MATCH(A365&amp;"ENTRADA",Movimientos!$R$2:$R$1993,0)),"-")</f>
        <v>-</v>
      </c>
      <c r="H365" s="17" t="str">
        <f>IFERROR(IF(INDEX(Movimientos!$M$2:$M$1993,MATCH(A365&amp;"ENTRADA",Movimientos!$R$2:$R$1993,0))=0,"S/D",INDEX(Movimientos!$M$2:$M$1993,MATCH(A365&amp;"ENTRADA",Movimientos!$R$2:$R$1993,0))),"S/D")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2706</v>
      </c>
      <c r="B366" s="2" t="str">
        <f>IFERROR(INDEX(Movimientos!$C$2:$C$1993,MATCH(A366&amp;"ENTRADA",Movimientos!$R$2:$R$1993,0)),"-")</f>
        <v>-</v>
      </c>
      <c r="C366" s="2" t="str">
        <f>IFERROR(INDEX(Movimientos!$D$2:$D$1993,MATCH(A366&amp;"ENTRADA",Movimientos!$R$2:$R$1993,0)),"-")</f>
        <v>-</v>
      </c>
      <c r="D366" s="2" t="str">
        <f>IFERROR(INDEX(Movimientos!$E$2:$E$1993,MATCH(A366&amp;"ENTRADA",Movimientos!$R$2:$R$1993,0)),"-")</f>
        <v>-</v>
      </c>
      <c r="E366" s="2" t="str">
        <f>IFERROR(INDEX(Movimientos!$F$2:$F$1993,MATCH(A366&amp;"ENTRADA",Movimientos!$R$2:$R$1993,0)),"-")</f>
        <v>-</v>
      </c>
      <c r="F366" s="2" t="str">
        <f>IFERROR(INDEX(Movimientos!$G$2:$G$1993,MATCH(A366&amp;"ENTRADA",Movimientos!$R$2:$R$1993,0)),"-")</f>
        <v>-</v>
      </c>
      <c r="G366" s="2" t="str">
        <f>IFERROR(INDEX(Movimientos!$L$2:$L$1993,MATCH(A366&amp;"ENTRADA",Movimientos!$R$2:$R$1993,0)),"-")</f>
        <v>-</v>
      </c>
      <c r="H366" s="17" t="str">
        <f>IFERROR(IF(INDEX(Movimientos!$M$2:$M$1993,MATCH(A366&amp;"ENTRADA",Movimientos!$R$2:$R$1993,0))=0,"S/D",INDEX(Movimientos!$M$2:$M$1993,MATCH(A366&amp;"ENTRADA",Movimientos!$R$2:$R$1993,0))),"S/D")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2707</v>
      </c>
      <c r="B367" s="2" t="str">
        <f>IFERROR(INDEX(Movimientos!$C$2:$C$1993,MATCH(A367&amp;"ENTRADA",Movimientos!$R$2:$R$1993,0)),"-")</f>
        <v>-</v>
      </c>
      <c r="C367" s="2" t="str">
        <f>IFERROR(INDEX(Movimientos!$D$2:$D$1993,MATCH(A367&amp;"ENTRADA",Movimientos!$R$2:$R$1993,0)),"-")</f>
        <v>-</v>
      </c>
      <c r="D367" s="2" t="str">
        <f>IFERROR(INDEX(Movimientos!$E$2:$E$1993,MATCH(A367&amp;"ENTRADA",Movimientos!$R$2:$R$1993,0)),"-")</f>
        <v>-</v>
      </c>
      <c r="E367" s="2" t="str">
        <f>IFERROR(INDEX(Movimientos!$F$2:$F$1993,MATCH(A367&amp;"ENTRADA",Movimientos!$R$2:$R$1993,0)),"-")</f>
        <v>-</v>
      </c>
      <c r="F367" s="2" t="str">
        <f>IFERROR(INDEX(Movimientos!$G$2:$G$1993,MATCH(A367&amp;"ENTRADA",Movimientos!$R$2:$R$1993,0)),"-")</f>
        <v>-</v>
      </c>
      <c r="G367" s="2" t="str">
        <f>IFERROR(INDEX(Movimientos!$L$2:$L$1993,MATCH(A367&amp;"ENTRADA",Movimientos!$R$2:$R$1993,0)),"-")</f>
        <v>-</v>
      </c>
      <c r="H367" s="17" t="str">
        <f>IFERROR(IF(INDEX(Movimientos!$M$2:$M$1993,MATCH(A367&amp;"ENTRADA",Movimientos!$R$2:$R$1993,0))=0,"S/D",INDEX(Movimientos!$M$2:$M$1993,MATCH(A367&amp;"ENTRADA",Movimientos!$R$2:$R$1993,0))),"S/D")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2708</v>
      </c>
      <c r="B368" s="2" t="str">
        <f>IFERROR(INDEX(Movimientos!$C$2:$C$1993,MATCH(A368&amp;"ENTRADA",Movimientos!$R$2:$R$1993,0)),"-")</f>
        <v>-</v>
      </c>
      <c r="C368" s="2" t="str">
        <f>IFERROR(INDEX(Movimientos!$D$2:$D$1993,MATCH(A368&amp;"ENTRADA",Movimientos!$R$2:$R$1993,0)),"-")</f>
        <v>-</v>
      </c>
      <c r="D368" s="2" t="str">
        <f>IFERROR(INDEX(Movimientos!$E$2:$E$1993,MATCH(A368&amp;"ENTRADA",Movimientos!$R$2:$R$1993,0)),"-")</f>
        <v>-</v>
      </c>
      <c r="E368" s="2" t="str">
        <f>IFERROR(INDEX(Movimientos!$F$2:$F$1993,MATCH(A368&amp;"ENTRADA",Movimientos!$R$2:$R$1993,0)),"-")</f>
        <v>-</v>
      </c>
      <c r="F368" s="2" t="str">
        <f>IFERROR(INDEX(Movimientos!$G$2:$G$1993,MATCH(A368&amp;"ENTRADA",Movimientos!$R$2:$R$1993,0)),"-")</f>
        <v>-</v>
      </c>
      <c r="G368" s="2" t="str">
        <f>IFERROR(INDEX(Movimientos!$L$2:$L$1993,MATCH(A368&amp;"ENTRADA",Movimientos!$R$2:$R$1993,0)),"-")</f>
        <v>-</v>
      </c>
      <c r="H368" s="17" t="str">
        <f>IFERROR(IF(INDEX(Movimientos!$M$2:$M$1993,MATCH(A368&amp;"ENTRADA",Movimientos!$R$2:$R$1993,0))=0,"S/D",INDEX(Movimientos!$M$2:$M$1993,MATCH(A368&amp;"ENTRADA",Movimientos!$R$2:$R$1993,0))),"S/D")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2709</v>
      </c>
      <c r="B369" s="2" t="str">
        <f>IFERROR(INDEX(Movimientos!$C$2:$C$1993,MATCH(A369&amp;"ENTRADA",Movimientos!$R$2:$R$1993,0)),"-")</f>
        <v>-</v>
      </c>
      <c r="C369" s="2" t="str">
        <f>IFERROR(INDEX(Movimientos!$D$2:$D$1993,MATCH(A369&amp;"ENTRADA",Movimientos!$R$2:$R$1993,0)),"-")</f>
        <v>-</v>
      </c>
      <c r="D369" s="2" t="str">
        <f>IFERROR(INDEX(Movimientos!$E$2:$E$1993,MATCH(A369&amp;"ENTRADA",Movimientos!$R$2:$R$1993,0)),"-")</f>
        <v>-</v>
      </c>
      <c r="E369" s="2" t="str">
        <f>IFERROR(INDEX(Movimientos!$F$2:$F$1993,MATCH(A369&amp;"ENTRADA",Movimientos!$R$2:$R$1993,0)),"-")</f>
        <v>-</v>
      </c>
      <c r="F369" s="2" t="str">
        <f>IFERROR(INDEX(Movimientos!$G$2:$G$1993,MATCH(A369&amp;"ENTRADA",Movimientos!$R$2:$R$1993,0)),"-")</f>
        <v>-</v>
      </c>
      <c r="G369" s="2" t="str">
        <f>IFERROR(INDEX(Movimientos!$L$2:$L$1993,MATCH(A369&amp;"ENTRADA",Movimientos!$R$2:$R$1993,0)),"-")</f>
        <v>-</v>
      </c>
      <c r="H369" s="17" t="str">
        <f>IFERROR(IF(INDEX(Movimientos!$M$2:$M$1993,MATCH(A369&amp;"ENTRADA",Movimientos!$R$2:$R$1993,0))=0,"S/D",INDEX(Movimientos!$M$2:$M$1993,MATCH(A369&amp;"ENTRADA",Movimientos!$R$2:$R$1993,0))),"S/D")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2710</v>
      </c>
      <c r="B370" s="2" t="str">
        <f>IFERROR(INDEX(Movimientos!$C$2:$C$1993,MATCH(A370&amp;"ENTRADA",Movimientos!$R$2:$R$1993,0)),"-")</f>
        <v>-</v>
      </c>
      <c r="C370" s="2" t="str">
        <f>IFERROR(INDEX(Movimientos!$D$2:$D$1993,MATCH(A370&amp;"ENTRADA",Movimientos!$R$2:$R$1993,0)),"-")</f>
        <v>-</v>
      </c>
      <c r="D370" s="2" t="str">
        <f>IFERROR(INDEX(Movimientos!$E$2:$E$1993,MATCH(A370&amp;"ENTRADA",Movimientos!$R$2:$R$1993,0)),"-")</f>
        <v>-</v>
      </c>
      <c r="E370" s="2" t="str">
        <f>IFERROR(INDEX(Movimientos!$F$2:$F$1993,MATCH(A370&amp;"ENTRADA",Movimientos!$R$2:$R$1993,0)),"-")</f>
        <v>-</v>
      </c>
      <c r="F370" s="2" t="str">
        <f>IFERROR(INDEX(Movimientos!$G$2:$G$1993,MATCH(A370&amp;"ENTRADA",Movimientos!$R$2:$R$1993,0)),"-")</f>
        <v>-</v>
      </c>
      <c r="G370" s="2" t="str">
        <f>IFERROR(INDEX(Movimientos!$L$2:$L$1993,MATCH(A370&amp;"ENTRADA",Movimientos!$R$2:$R$1993,0)),"-")</f>
        <v>-</v>
      </c>
      <c r="H370" s="17" t="str">
        <f>IFERROR(IF(INDEX(Movimientos!$M$2:$M$1993,MATCH(A370&amp;"ENTRADA",Movimientos!$R$2:$R$1993,0))=0,"S/D",INDEX(Movimientos!$M$2:$M$1993,MATCH(A370&amp;"ENTRADA",Movimientos!$R$2:$R$1993,0))),"S/D")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2711</v>
      </c>
      <c r="B371" s="2" t="str">
        <f>IFERROR(INDEX(Movimientos!$C$2:$C$1993,MATCH(A371&amp;"ENTRADA",Movimientos!$R$2:$R$1993,0)),"-")</f>
        <v>-</v>
      </c>
      <c r="C371" s="2" t="str">
        <f>IFERROR(INDEX(Movimientos!$D$2:$D$1993,MATCH(A371&amp;"ENTRADA",Movimientos!$R$2:$R$1993,0)),"-")</f>
        <v>-</v>
      </c>
      <c r="D371" s="2" t="str">
        <f>IFERROR(INDEX(Movimientos!$E$2:$E$1993,MATCH(A371&amp;"ENTRADA",Movimientos!$R$2:$R$1993,0)),"-")</f>
        <v>-</v>
      </c>
      <c r="E371" s="2" t="str">
        <f>IFERROR(INDEX(Movimientos!$F$2:$F$1993,MATCH(A371&amp;"ENTRADA",Movimientos!$R$2:$R$1993,0)),"-")</f>
        <v>-</v>
      </c>
      <c r="F371" s="2" t="str">
        <f>IFERROR(INDEX(Movimientos!$G$2:$G$1993,MATCH(A371&amp;"ENTRADA",Movimientos!$R$2:$R$1993,0)),"-")</f>
        <v>-</v>
      </c>
      <c r="G371" s="2" t="str">
        <f>IFERROR(INDEX(Movimientos!$L$2:$L$1993,MATCH(A371&amp;"ENTRADA",Movimientos!$R$2:$R$1993,0)),"-")</f>
        <v>-</v>
      </c>
      <c r="H371" s="17" t="str">
        <f>IFERROR(IF(INDEX(Movimientos!$M$2:$M$1993,MATCH(A371&amp;"ENTRADA",Movimientos!$R$2:$R$1993,0))=0,"S/D",INDEX(Movimientos!$M$2:$M$1993,MATCH(A371&amp;"ENTRADA",Movimientos!$R$2:$R$1993,0))),"S/D")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2712</v>
      </c>
      <c r="B372" s="2" t="str">
        <f>IFERROR(INDEX(Movimientos!$C$2:$C$1993,MATCH(A372&amp;"ENTRADA",Movimientos!$R$2:$R$1993,0)),"-")</f>
        <v>-</v>
      </c>
      <c r="C372" s="2" t="str">
        <f>IFERROR(INDEX(Movimientos!$D$2:$D$1993,MATCH(A372&amp;"ENTRADA",Movimientos!$R$2:$R$1993,0)),"-")</f>
        <v>-</v>
      </c>
      <c r="D372" s="2" t="str">
        <f>IFERROR(INDEX(Movimientos!$E$2:$E$1993,MATCH(A372&amp;"ENTRADA",Movimientos!$R$2:$R$1993,0)),"-")</f>
        <v>-</v>
      </c>
      <c r="E372" s="2" t="str">
        <f>IFERROR(INDEX(Movimientos!$F$2:$F$1993,MATCH(A372&amp;"ENTRADA",Movimientos!$R$2:$R$1993,0)),"-")</f>
        <v>-</v>
      </c>
      <c r="F372" s="2" t="str">
        <f>IFERROR(INDEX(Movimientos!$G$2:$G$1993,MATCH(A372&amp;"ENTRADA",Movimientos!$R$2:$R$1993,0)),"-")</f>
        <v>-</v>
      </c>
      <c r="G372" s="2" t="str">
        <f>IFERROR(INDEX(Movimientos!$L$2:$L$1993,MATCH(A372&amp;"ENTRADA",Movimientos!$R$2:$R$1993,0)),"-")</f>
        <v>-</v>
      </c>
      <c r="H372" s="17" t="str">
        <f>IFERROR(IF(INDEX(Movimientos!$M$2:$M$1993,MATCH(A372&amp;"ENTRADA",Movimientos!$R$2:$R$1993,0))=0,"S/D",INDEX(Movimientos!$M$2:$M$1993,MATCH(A372&amp;"ENTRADA",Movimientos!$R$2:$R$1993,0))),"S/D")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2713</v>
      </c>
      <c r="B373" s="2" t="str">
        <f>IFERROR(INDEX(Movimientos!$C$2:$C$1993,MATCH(A373&amp;"ENTRADA",Movimientos!$R$2:$R$1993,0)),"-")</f>
        <v>-</v>
      </c>
      <c r="C373" s="2" t="str">
        <f>IFERROR(INDEX(Movimientos!$D$2:$D$1993,MATCH(A373&amp;"ENTRADA",Movimientos!$R$2:$R$1993,0)),"-")</f>
        <v>-</v>
      </c>
      <c r="D373" s="2" t="str">
        <f>IFERROR(INDEX(Movimientos!$E$2:$E$1993,MATCH(A373&amp;"ENTRADA",Movimientos!$R$2:$R$1993,0)),"-")</f>
        <v>-</v>
      </c>
      <c r="E373" s="2" t="str">
        <f>IFERROR(INDEX(Movimientos!$F$2:$F$1993,MATCH(A373&amp;"ENTRADA",Movimientos!$R$2:$R$1993,0)),"-")</f>
        <v>-</v>
      </c>
      <c r="F373" s="2" t="str">
        <f>IFERROR(INDEX(Movimientos!$G$2:$G$1993,MATCH(A373&amp;"ENTRADA",Movimientos!$R$2:$R$1993,0)),"-")</f>
        <v>-</v>
      </c>
      <c r="G373" s="2" t="str">
        <f>IFERROR(INDEX(Movimientos!$L$2:$L$1993,MATCH(A373&amp;"ENTRADA",Movimientos!$R$2:$R$1993,0)),"-")</f>
        <v>-</v>
      </c>
      <c r="H373" s="17" t="str">
        <f>IFERROR(IF(INDEX(Movimientos!$M$2:$M$1993,MATCH(A373&amp;"ENTRADA",Movimientos!$R$2:$R$1993,0))=0,"S/D",INDEX(Movimientos!$M$2:$M$1993,MATCH(A373&amp;"ENTRADA",Movimientos!$R$2:$R$1993,0))),"S/D")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2714</v>
      </c>
      <c r="B374" s="2" t="str">
        <f>IFERROR(INDEX(Movimientos!$C$2:$C$1993,MATCH(A374&amp;"ENTRADA",Movimientos!$R$2:$R$1993,0)),"-")</f>
        <v>-</v>
      </c>
      <c r="C374" s="2" t="str">
        <f>IFERROR(INDEX(Movimientos!$D$2:$D$1993,MATCH(A374&amp;"ENTRADA",Movimientos!$R$2:$R$1993,0)),"-")</f>
        <v>-</v>
      </c>
      <c r="D374" s="2" t="str">
        <f>IFERROR(INDEX(Movimientos!$E$2:$E$1993,MATCH(A374&amp;"ENTRADA",Movimientos!$R$2:$R$1993,0)),"-")</f>
        <v>-</v>
      </c>
      <c r="E374" s="2" t="str">
        <f>IFERROR(INDEX(Movimientos!$F$2:$F$1993,MATCH(A374&amp;"ENTRADA",Movimientos!$R$2:$R$1993,0)),"-")</f>
        <v>-</v>
      </c>
      <c r="F374" s="2" t="str">
        <f>IFERROR(INDEX(Movimientos!$G$2:$G$1993,MATCH(A374&amp;"ENTRADA",Movimientos!$R$2:$R$1993,0)),"-")</f>
        <v>-</v>
      </c>
      <c r="G374" s="2" t="str">
        <f>IFERROR(INDEX(Movimientos!$L$2:$L$1993,MATCH(A374&amp;"ENTRADA",Movimientos!$R$2:$R$1993,0)),"-")</f>
        <v>-</v>
      </c>
      <c r="H374" s="17" t="str">
        <f>IFERROR(IF(INDEX(Movimientos!$M$2:$M$1993,MATCH(A374&amp;"ENTRADA",Movimientos!$R$2:$R$1993,0))=0,"S/D",INDEX(Movimientos!$M$2:$M$1993,MATCH(A374&amp;"ENTRADA",Movimientos!$R$2:$R$1993,0))),"S/D")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2715</v>
      </c>
      <c r="B375" s="2" t="str">
        <f>IFERROR(INDEX(Movimientos!$C$2:$C$1993,MATCH(A375&amp;"ENTRADA",Movimientos!$R$2:$R$1993,0)),"-")</f>
        <v>-</v>
      </c>
      <c r="C375" s="2" t="str">
        <f>IFERROR(INDEX(Movimientos!$D$2:$D$1993,MATCH(A375&amp;"ENTRADA",Movimientos!$R$2:$R$1993,0)),"-")</f>
        <v>-</v>
      </c>
      <c r="D375" s="2" t="str">
        <f>IFERROR(INDEX(Movimientos!$E$2:$E$1993,MATCH(A375&amp;"ENTRADA",Movimientos!$R$2:$R$1993,0)),"-")</f>
        <v>-</v>
      </c>
      <c r="E375" s="2" t="str">
        <f>IFERROR(INDEX(Movimientos!$F$2:$F$1993,MATCH(A375&amp;"ENTRADA",Movimientos!$R$2:$R$1993,0)),"-")</f>
        <v>-</v>
      </c>
      <c r="F375" s="2" t="str">
        <f>IFERROR(INDEX(Movimientos!$G$2:$G$1993,MATCH(A375&amp;"ENTRADA",Movimientos!$R$2:$R$1993,0)),"-")</f>
        <v>-</v>
      </c>
      <c r="G375" s="2" t="str">
        <f>IFERROR(INDEX(Movimientos!$L$2:$L$1993,MATCH(A375&amp;"ENTRADA",Movimientos!$R$2:$R$1993,0)),"-")</f>
        <v>-</v>
      </c>
      <c r="H375" s="17" t="str">
        <f>IFERROR(IF(INDEX(Movimientos!$M$2:$M$1993,MATCH(A375&amp;"ENTRADA",Movimientos!$R$2:$R$1993,0))=0,"S/D",INDEX(Movimientos!$M$2:$M$1993,MATCH(A375&amp;"ENTRADA",Movimientos!$R$2:$R$1993,0))),"S/D")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2716</v>
      </c>
      <c r="B376" s="2" t="str">
        <f>IFERROR(INDEX(Movimientos!$C$2:$C$1993,MATCH(A376&amp;"ENTRADA",Movimientos!$R$2:$R$1993,0)),"-")</f>
        <v>-</v>
      </c>
      <c r="C376" s="2" t="str">
        <f>IFERROR(INDEX(Movimientos!$D$2:$D$1993,MATCH(A376&amp;"ENTRADA",Movimientos!$R$2:$R$1993,0)),"-")</f>
        <v>-</v>
      </c>
      <c r="D376" s="2" t="str">
        <f>IFERROR(INDEX(Movimientos!$E$2:$E$1993,MATCH(A376&amp;"ENTRADA",Movimientos!$R$2:$R$1993,0)),"-")</f>
        <v>-</v>
      </c>
      <c r="E376" s="2" t="str">
        <f>IFERROR(INDEX(Movimientos!$F$2:$F$1993,MATCH(A376&amp;"ENTRADA",Movimientos!$R$2:$R$1993,0)),"-")</f>
        <v>-</v>
      </c>
      <c r="F376" s="2" t="str">
        <f>IFERROR(INDEX(Movimientos!$G$2:$G$1993,MATCH(A376&amp;"ENTRADA",Movimientos!$R$2:$R$1993,0)),"-")</f>
        <v>-</v>
      </c>
      <c r="G376" s="2" t="str">
        <f>IFERROR(INDEX(Movimientos!$L$2:$L$1993,MATCH(A376&amp;"ENTRADA",Movimientos!$R$2:$R$1993,0)),"-")</f>
        <v>-</v>
      </c>
      <c r="H376" s="17" t="str">
        <f>IFERROR(IF(INDEX(Movimientos!$M$2:$M$1993,MATCH(A376&amp;"ENTRADA",Movimientos!$R$2:$R$1993,0))=0,"S/D",INDEX(Movimientos!$M$2:$M$1993,MATCH(A376&amp;"ENTRADA",Movimientos!$R$2:$R$1993,0))),"S/D")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2717</v>
      </c>
      <c r="B377" s="2" t="str">
        <f>IFERROR(INDEX(Movimientos!$C$2:$C$1993,MATCH(A377&amp;"ENTRADA",Movimientos!$R$2:$R$1993,0)),"-")</f>
        <v>-</v>
      </c>
      <c r="C377" s="2" t="str">
        <f>IFERROR(INDEX(Movimientos!$D$2:$D$1993,MATCH(A377&amp;"ENTRADA",Movimientos!$R$2:$R$1993,0)),"-")</f>
        <v>-</v>
      </c>
      <c r="D377" s="2" t="str">
        <f>IFERROR(INDEX(Movimientos!$E$2:$E$1993,MATCH(A377&amp;"ENTRADA",Movimientos!$R$2:$R$1993,0)),"-")</f>
        <v>-</v>
      </c>
      <c r="E377" s="2" t="str">
        <f>IFERROR(INDEX(Movimientos!$F$2:$F$1993,MATCH(A377&amp;"ENTRADA",Movimientos!$R$2:$R$1993,0)),"-")</f>
        <v>-</v>
      </c>
      <c r="F377" s="2" t="str">
        <f>IFERROR(INDEX(Movimientos!$G$2:$G$1993,MATCH(A377&amp;"ENTRADA",Movimientos!$R$2:$R$1993,0)),"-")</f>
        <v>-</v>
      </c>
      <c r="G377" s="2" t="str">
        <f>IFERROR(INDEX(Movimientos!$L$2:$L$1993,MATCH(A377&amp;"ENTRADA",Movimientos!$R$2:$R$1993,0)),"-")</f>
        <v>-</v>
      </c>
      <c r="H377" s="17" t="str">
        <f>IFERROR(IF(INDEX(Movimientos!$M$2:$M$1993,MATCH(A377&amp;"ENTRADA",Movimientos!$R$2:$R$1993,0))=0,"S/D",INDEX(Movimientos!$M$2:$M$1993,MATCH(A377&amp;"ENTRADA",Movimientos!$R$2:$R$1993,0))),"S/D")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2718</v>
      </c>
      <c r="B378" s="2" t="str">
        <f>IFERROR(INDEX(Movimientos!$C$2:$C$1993,MATCH(A378&amp;"ENTRADA",Movimientos!$R$2:$R$1993,0)),"-")</f>
        <v>-</v>
      </c>
      <c r="C378" s="2" t="str">
        <f>IFERROR(INDEX(Movimientos!$D$2:$D$1993,MATCH(A378&amp;"ENTRADA",Movimientos!$R$2:$R$1993,0)),"-")</f>
        <v>-</v>
      </c>
      <c r="D378" s="2" t="str">
        <f>IFERROR(INDEX(Movimientos!$E$2:$E$1993,MATCH(A378&amp;"ENTRADA",Movimientos!$R$2:$R$1993,0)),"-")</f>
        <v>-</v>
      </c>
      <c r="E378" s="2" t="str">
        <f>IFERROR(INDEX(Movimientos!$F$2:$F$1993,MATCH(A378&amp;"ENTRADA",Movimientos!$R$2:$R$1993,0)),"-")</f>
        <v>-</v>
      </c>
      <c r="F378" s="2" t="str">
        <f>IFERROR(INDEX(Movimientos!$G$2:$G$1993,MATCH(A378&amp;"ENTRADA",Movimientos!$R$2:$R$1993,0)),"-")</f>
        <v>-</v>
      </c>
      <c r="G378" s="2" t="str">
        <f>IFERROR(INDEX(Movimientos!$L$2:$L$1993,MATCH(A378&amp;"ENTRADA",Movimientos!$R$2:$R$1993,0)),"-")</f>
        <v>-</v>
      </c>
      <c r="H378" s="17" t="str">
        <f>IFERROR(IF(INDEX(Movimientos!$M$2:$M$1993,MATCH(A378&amp;"ENTRADA",Movimientos!$R$2:$R$1993,0))=0,"S/D",INDEX(Movimientos!$M$2:$M$1993,MATCH(A378&amp;"ENTRADA",Movimientos!$R$2:$R$1993,0))),"S/D")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2719</v>
      </c>
      <c r="B379" s="2" t="str">
        <f>IFERROR(INDEX(Movimientos!$C$2:$C$1993,MATCH(A379&amp;"ENTRADA",Movimientos!$R$2:$R$1993,0)),"-")</f>
        <v>-</v>
      </c>
      <c r="C379" s="2" t="str">
        <f>IFERROR(INDEX(Movimientos!$D$2:$D$1993,MATCH(A379&amp;"ENTRADA",Movimientos!$R$2:$R$1993,0)),"-")</f>
        <v>-</v>
      </c>
      <c r="D379" s="2" t="str">
        <f>IFERROR(INDEX(Movimientos!$E$2:$E$1993,MATCH(A379&amp;"ENTRADA",Movimientos!$R$2:$R$1993,0)),"-")</f>
        <v>-</v>
      </c>
      <c r="E379" s="2" t="str">
        <f>IFERROR(INDEX(Movimientos!$F$2:$F$1993,MATCH(A379&amp;"ENTRADA",Movimientos!$R$2:$R$1993,0)),"-")</f>
        <v>-</v>
      </c>
      <c r="F379" s="2" t="str">
        <f>IFERROR(INDEX(Movimientos!$G$2:$G$1993,MATCH(A379&amp;"ENTRADA",Movimientos!$R$2:$R$1993,0)),"-")</f>
        <v>-</v>
      </c>
      <c r="G379" s="2" t="str">
        <f>IFERROR(INDEX(Movimientos!$L$2:$L$1993,MATCH(A379&amp;"ENTRADA",Movimientos!$R$2:$R$1993,0)),"-")</f>
        <v>-</v>
      </c>
      <c r="H379" s="17" t="str">
        <f>IFERROR(IF(INDEX(Movimientos!$M$2:$M$1993,MATCH(A379&amp;"ENTRADA",Movimientos!$R$2:$R$1993,0))=0,"S/D",INDEX(Movimientos!$M$2:$M$1993,MATCH(A379&amp;"ENTRADA",Movimientos!$R$2:$R$1993,0))),"S/D")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2720</v>
      </c>
      <c r="B380" s="2" t="str">
        <f>IFERROR(INDEX(Movimientos!$C$2:$C$1993,MATCH(A380&amp;"ENTRADA",Movimientos!$R$2:$R$1993,0)),"-")</f>
        <v>-</v>
      </c>
      <c r="C380" s="2" t="str">
        <f>IFERROR(INDEX(Movimientos!$D$2:$D$1993,MATCH(A380&amp;"ENTRADA",Movimientos!$R$2:$R$1993,0)),"-")</f>
        <v>-</v>
      </c>
      <c r="D380" s="2" t="str">
        <f>IFERROR(INDEX(Movimientos!$E$2:$E$1993,MATCH(A380&amp;"ENTRADA",Movimientos!$R$2:$R$1993,0)),"-")</f>
        <v>-</v>
      </c>
      <c r="E380" s="2" t="str">
        <f>IFERROR(INDEX(Movimientos!$F$2:$F$1993,MATCH(A380&amp;"ENTRADA",Movimientos!$R$2:$R$1993,0)),"-")</f>
        <v>-</v>
      </c>
      <c r="F380" s="2" t="str">
        <f>IFERROR(INDEX(Movimientos!$G$2:$G$1993,MATCH(A380&amp;"ENTRADA",Movimientos!$R$2:$R$1993,0)),"-")</f>
        <v>-</v>
      </c>
      <c r="G380" s="2" t="str">
        <f>IFERROR(INDEX(Movimientos!$L$2:$L$1993,MATCH(A380&amp;"ENTRADA",Movimientos!$R$2:$R$1993,0)),"-")</f>
        <v>-</v>
      </c>
      <c r="H380" s="17" t="str">
        <f>IFERROR(IF(INDEX(Movimientos!$M$2:$M$1993,MATCH(A380&amp;"ENTRADA",Movimientos!$R$2:$R$1993,0))=0,"S/D",INDEX(Movimientos!$M$2:$M$1993,MATCH(A380&amp;"ENTRADA",Movimientos!$R$2:$R$1993,0))),"S/D")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2721</v>
      </c>
      <c r="B381" s="2" t="str">
        <f>IFERROR(INDEX(Movimientos!$C$2:$C$1993,MATCH(A381&amp;"ENTRADA",Movimientos!$R$2:$R$1993,0)),"-")</f>
        <v>-</v>
      </c>
      <c r="C381" s="2" t="str">
        <f>IFERROR(INDEX(Movimientos!$D$2:$D$1993,MATCH(A381&amp;"ENTRADA",Movimientos!$R$2:$R$1993,0)),"-")</f>
        <v>-</v>
      </c>
      <c r="D381" s="2" t="str">
        <f>IFERROR(INDEX(Movimientos!$E$2:$E$1993,MATCH(A381&amp;"ENTRADA",Movimientos!$R$2:$R$1993,0)),"-")</f>
        <v>-</v>
      </c>
      <c r="E381" s="2" t="str">
        <f>IFERROR(INDEX(Movimientos!$F$2:$F$1993,MATCH(A381&amp;"ENTRADA",Movimientos!$R$2:$R$1993,0)),"-")</f>
        <v>-</v>
      </c>
      <c r="F381" s="2" t="str">
        <f>IFERROR(INDEX(Movimientos!$G$2:$G$1993,MATCH(A381&amp;"ENTRADA",Movimientos!$R$2:$R$1993,0)),"-")</f>
        <v>-</v>
      </c>
      <c r="G381" s="2" t="str">
        <f>IFERROR(INDEX(Movimientos!$L$2:$L$1993,MATCH(A381&amp;"ENTRADA",Movimientos!$R$2:$R$1993,0)),"-")</f>
        <v>-</v>
      </c>
      <c r="H381" s="17" t="str">
        <f>IFERROR(IF(INDEX(Movimientos!$M$2:$M$1993,MATCH(A381&amp;"ENTRADA",Movimientos!$R$2:$R$1993,0))=0,"S/D",INDEX(Movimientos!$M$2:$M$1993,MATCH(A381&amp;"ENTRADA",Movimientos!$R$2:$R$1993,0))),"S/D")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2722</v>
      </c>
      <c r="B382" s="2" t="str">
        <f>IFERROR(INDEX(Movimientos!$C$2:$C$1993,MATCH(A382&amp;"ENTRADA",Movimientos!$R$2:$R$1993,0)),"-")</f>
        <v>-</v>
      </c>
      <c r="C382" s="2" t="str">
        <f>IFERROR(INDEX(Movimientos!$D$2:$D$1993,MATCH(A382&amp;"ENTRADA",Movimientos!$R$2:$R$1993,0)),"-")</f>
        <v>-</v>
      </c>
      <c r="D382" s="2" t="str">
        <f>IFERROR(INDEX(Movimientos!$E$2:$E$1993,MATCH(A382&amp;"ENTRADA",Movimientos!$R$2:$R$1993,0)),"-")</f>
        <v>-</v>
      </c>
      <c r="E382" s="2" t="str">
        <f>IFERROR(INDEX(Movimientos!$F$2:$F$1993,MATCH(A382&amp;"ENTRADA",Movimientos!$R$2:$R$1993,0)),"-")</f>
        <v>-</v>
      </c>
      <c r="F382" s="2" t="str">
        <f>IFERROR(INDEX(Movimientos!$G$2:$G$1993,MATCH(A382&amp;"ENTRADA",Movimientos!$R$2:$R$1993,0)),"-")</f>
        <v>-</v>
      </c>
      <c r="G382" s="2" t="str">
        <f>IFERROR(INDEX(Movimientos!$L$2:$L$1993,MATCH(A382&amp;"ENTRADA",Movimientos!$R$2:$R$1993,0)),"-")</f>
        <v>-</v>
      </c>
      <c r="H382" s="17" t="str">
        <f>IFERROR(IF(INDEX(Movimientos!$M$2:$M$1993,MATCH(A382&amp;"ENTRADA",Movimientos!$R$2:$R$1993,0))=0,"S/D",INDEX(Movimientos!$M$2:$M$1993,MATCH(A382&amp;"ENTRADA",Movimientos!$R$2:$R$1993,0))),"S/D")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2723</v>
      </c>
      <c r="B383" s="2" t="str">
        <f>IFERROR(INDEX(Movimientos!$C$2:$C$1993,MATCH(A383&amp;"ENTRADA",Movimientos!$R$2:$R$1993,0)),"-")</f>
        <v>-</v>
      </c>
      <c r="C383" s="2" t="str">
        <f>IFERROR(INDEX(Movimientos!$D$2:$D$1993,MATCH(A383&amp;"ENTRADA",Movimientos!$R$2:$R$1993,0)),"-")</f>
        <v>-</v>
      </c>
      <c r="D383" s="2" t="str">
        <f>IFERROR(INDEX(Movimientos!$E$2:$E$1993,MATCH(A383&amp;"ENTRADA",Movimientos!$R$2:$R$1993,0)),"-")</f>
        <v>-</v>
      </c>
      <c r="E383" s="2" t="str">
        <f>IFERROR(INDEX(Movimientos!$F$2:$F$1993,MATCH(A383&amp;"ENTRADA",Movimientos!$R$2:$R$1993,0)),"-")</f>
        <v>-</v>
      </c>
      <c r="F383" s="2" t="str">
        <f>IFERROR(INDEX(Movimientos!$G$2:$G$1993,MATCH(A383&amp;"ENTRADA",Movimientos!$R$2:$R$1993,0)),"-")</f>
        <v>-</v>
      </c>
      <c r="G383" s="2" t="str">
        <f>IFERROR(INDEX(Movimientos!$L$2:$L$1993,MATCH(A383&amp;"ENTRADA",Movimientos!$R$2:$R$1993,0)),"-")</f>
        <v>-</v>
      </c>
      <c r="H383" s="17" t="str">
        <f>IFERROR(IF(INDEX(Movimientos!$M$2:$M$1993,MATCH(A383&amp;"ENTRADA",Movimientos!$R$2:$R$1993,0))=0,"S/D",INDEX(Movimientos!$M$2:$M$1993,MATCH(A383&amp;"ENTRADA",Movimientos!$R$2:$R$1993,0))),"S/D")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2724</v>
      </c>
      <c r="B384" s="2" t="str">
        <f>IFERROR(INDEX(Movimientos!$C$2:$C$1993,MATCH(A384&amp;"ENTRADA",Movimientos!$R$2:$R$1993,0)),"-")</f>
        <v>-</v>
      </c>
      <c r="C384" s="2" t="str">
        <f>IFERROR(INDEX(Movimientos!$D$2:$D$1993,MATCH(A384&amp;"ENTRADA",Movimientos!$R$2:$R$1993,0)),"-")</f>
        <v>-</v>
      </c>
      <c r="D384" s="2" t="str">
        <f>IFERROR(INDEX(Movimientos!$E$2:$E$1993,MATCH(A384&amp;"ENTRADA",Movimientos!$R$2:$R$1993,0)),"-")</f>
        <v>-</v>
      </c>
      <c r="E384" s="2" t="str">
        <f>IFERROR(INDEX(Movimientos!$F$2:$F$1993,MATCH(A384&amp;"ENTRADA",Movimientos!$R$2:$R$1993,0)),"-")</f>
        <v>-</v>
      </c>
      <c r="F384" s="2" t="str">
        <f>IFERROR(INDEX(Movimientos!$G$2:$G$1993,MATCH(A384&amp;"ENTRADA",Movimientos!$R$2:$R$1993,0)),"-")</f>
        <v>-</v>
      </c>
      <c r="G384" s="2" t="str">
        <f>IFERROR(INDEX(Movimientos!$L$2:$L$1993,MATCH(A384&amp;"ENTRADA",Movimientos!$R$2:$R$1993,0)),"-")</f>
        <v>-</v>
      </c>
      <c r="H384" s="17" t="str">
        <f>IFERROR(IF(INDEX(Movimientos!$M$2:$M$1993,MATCH(A384&amp;"ENTRADA",Movimientos!$R$2:$R$1993,0))=0,"S/D",INDEX(Movimientos!$M$2:$M$1993,MATCH(A384&amp;"ENTRADA",Movimientos!$R$2:$R$1993,0))),"S/D")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2725</v>
      </c>
      <c r="B385" s="2" t="str">
        <f>IFERROR(INDEX(Movimientos!$C$2:$C$1993,MATCH(A385&amp;"ENTRADA",Movimientos!$R$2:$R$1993,0)),"-")</f>
        <v>-</v>
      </c>
      <c r="C385" s="2" t="str">
        <f>IFERROR(INDEX(Movimientos!$D$2:$D$1993,MATCH(A385&amp;"ENTRADA",Movimientos!$R$2:$R$1993,0)),"-")</f>
        <v>-</v>
      </c>
      <c r="D385" s="2" t="str">
        <f>IFERROR(INDEX(Movimientos!$E$2:$E$1993,MATCH(A385&amp;"ENTRADA",Movimientos!$R$2:$R$1993,0)),"-")</f>
        <v>-</v>
      </c>
      <c r="E385" s="2" t="str">
        <f>IFERROR(INDEX(Movimientos!$F$2:$F$1993,MATCH(A385&amp;"ENTRADA",Movimientos!$R$2:$R$1993,0)),"-")</f>
        <v>-</v>
      </c>
      <c r="F385" s="2" t="str">
        <f>IFERROR(INDEX(Movimientos!$G$2:$G$1993,MATCH(A385&amp;"ENTRADA",Movimientos!$R$2:$R$1993,0)),"-")</f>
        <v>-</v>
      </c>
      <c r="G385" s="2" t="str">
        <f>IFERROR(INDEX(Movimientos!$L$2:$L$1993,MATCH(A385&amp;"ENTRADA",Movimientos!$R$2:$R$1993,0)),"-")</f>
        <v>-</v>
      </c>
      <c r="H385" s="17" t="str">
        <f>IFERROR(IF(INDEX(Movimientos!$M$2:$M$1993,MATCH(A385&amp;"ENTRADA",Movimientos!$R$2:$R$1993,0))=0,"S/D",INDEX(Movimientos!$M$2:$M$1993,MATCH(A385&amp;"ENTRADA",Movimientos!$R$2:$R$1993,0))),"S/D")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2726</v>
      </c>
      <c r="B386" s="2" t="str">
        <f>IFERROR(INDEX(Movimientos!$C$2:$C$1993,MATCH(A386&amp;"ENTRADA",Movimientos!$R$2:$R$1993,0)),"-")</f>
        <v>-</v>
      </c>
      <c r="C386" s="2" t="str">
        <f>IFERROR(INDEX(Movimientos!$D$2:$D$1993,MATCH(A386&amp;"ENTRADA",Movimientos!$R$2:$R$1993,0)),"-")</f>
        <v>-</v>
      </c>
      <c r="D386" s="2" t="str">
        <f>IFERROR(INDEX(Movimientos!$E$2:$E$1993,MATCH(A386&amp;"ENTRADA",Movimientos!$R$2:$R$1993,0)),"-")</f>
        <v>-</v>
      </c>
      <c r="E386" s="2" t="str">
        <f>IFERROR(INDEX(Movimientos!$F$2:$F$1993,MATCH(A386&amp;"ENTRADA",Movimientos!$R$2:$R$1993,0)),"-")</f>
        <v>-</v>
      </c>
      <c r="F386" s="2" t="str">
        <f>IFERROR(INDEX(Movimientos!$G$2:$G$1993,MATCH(A386&amp;"ENTRADA",Movimientos!$R$2:$R$1993,0)),"-")</f>
        <v>-</v>
      </c>
      <c r="G386" s="2" t="str">
        <f>IFERROR(INDEX(Movimientos!$L$2:$L$1993,MATCH(A386&amp;"ENTRADA",Movimientos!$R$2:$R$1993,0)),"-")</f>
        <v>-</v>
      </c>
      <c r="H386" s="17" t="str">
        <f>IFERROR(IF(INDEX(Movimientos!$M$2:$M$1993,MATCH(A386&amp;"ENTRADA",Movimientos!$R$2:$R$1993,0))=0,"S/D",INDEX(Movimientos!$M$2:$M$1993,MATCH(A386&amp;"ENTRADA",Movimientos!$R$2:$R$1993,0))),"S/D")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2727</v>
      </c>
      <c r="B387" s="2" t="str">
        <f>IFERROR(INDEX(Movimientos!$C$2:$C$1993,MATCH(A387&amp;"ENTRADA",Movimientos!$R$2:$R$1993,0)),"-")</f>
        <v>-</v>
      </c>
      <c r="C387" s="2" t="str">
        <f>IFERROR(INDEX(Movimientos!$D$2:$D$1993,MATCH(A387&amp;"ENTRADA",Movimientos!$R$2:$R$1993,0)),"-")</f>
        <v>-</v>
      </c>
      <c r="D387" s="2" t="str">
        <f>IFERROR(INDEX(Movimientos!$E$2:$E$1993,MATCH(A387&amp;"ENTRADA",Movimientos!$R$2:$R$1993,0)),"-")</f>
        <v>-</v>
      </c>
      <c r="E387" s="2" t="str">
        <f>IFERROR(INDEX(Movimientos!$F$2:$F$1993,MATCH(A387&amp;"ENTRADA",Movimientos!$R$2:$R$1993,0)),"-")</f>
        <v>-</v>
      </c>
      <c r="F387" s="2" t="str">
        <f>IFERROR(INDEX(Movimientos!$G$2:$G$1993,MATCH(A387&amp;"ENTRADA",Movimientos!$R$2:$R$1993,0)),"-")</f>
        <v>-</v>
      </c>
      <c r="G387" s="2" t="str">
        <f>IFERROR(INDEX(Movimientos!$L$2:$L$1993,MATCH(A387&amp;"ENTRADA",Movimientos!$R$2:$R$1993,0)),"-")</f>
        <v>-</v>
      </c>
      <c r="H387" s="17" t="str">
        <f>IFERROR(IF(INDEX(Movimientos!$M$2:$M$1993,MATCH(A387&amp;"ENTRADA",Movimientos!$R$2:$R$1993,0))=0,"S/D",INDEX(Movimientos!$M$2:$M$1993,MATCH(A387&amp;"ENTRADA",Movimientos!$R$2:$R$1993,0))),"S/D")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2728</v>
      </c>
      <c r="B388" s="2" t="str">
        <f>IFERROR(INDEX(Movimientos!$C$2:$C$1993,MATCH(A388&amp;"ENTRADA",Movimientos!$R$2:$R$1993,0)),"-")</f>
        <v>-</v>
      </c>
      <c r="C388" s="2" t="str">
        <f>IFERROR(INDEX(Movimientos!$D$2:$D$1993,MATCH(A388&amp;"ENTRADA",Movimientos!$R$2:$R$1993,0)),"-")</f>
        <v>-</v>
      </c>
      <c r="D388" s="2" t="str">
        <f>IFERROR(INDEX(Movimientos!$E$2:$E$1993,MATCH(A388&amp;"ENTRADA",Movimientos!$R$2:$R$1993,0)),"-")</f>
        <v>-</v>
      </c>
      <c r="E388" s="2" t="str">
        <f>IFERROR(INDEX(Movimientos!$F$2:$F$1993,MATCH(A388&amp;"ENTRADA",Movimientos!$R$2:$R$1993,0)),"-")</f>
        <v>-</v>
      </c>
      <c r="F388" s="2" t="str">
        <f>IFERROR(INDEX(Movimientos!$G$2:$G$1993,MATCH(A388&amp;"ENTRADA",Movimientos!$R$2:$R$1993,0)),"-")</f>
        <v>-</v>
      </c>
      <c r="G388" s="2" t="str">
        <f>IFERROR(INDEX(Movimientos!$L$2:$L$1993,MATCH(A388&amp;"ENTRADA",Movimientos!$R$2:$R$1993,0)),"-")</f>
        <v>-</v>
      </c>
      <c r="H388" s="17" t="str">
        <f>IFERROR(IF(INDEX(Movimientos!$M$2:$M$1993,MATCH(A388&amp;"ENTRADA",Movimientos!$R$2:$R$1993,0))=0,"S/D",INDEX(Movimientos!$M$2:$M$1993,MATCH(A388&amp;"ENTRADA",Movimientos!$R$2:$R$1993,0))),"S/D")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2729</v>
      </c>
      <c r="B389" s="2" t="str">
        <f>IFERROR(INDEX(Movimientos!$C$2:$C$1993,MATCH(A389&amp;"ENTRADA",Movimientos!$R$2:$R$1993,0)),"-")</f>
        <v>-</v>
      </c>
      <c r="C389" s="2" t="str">
        <f>IFERROR(INDEX(Movimientos!$D$2:$D$1993,MATCH(A389&amp;"ENTRADA",Movimientos!$R$2:$R$1993,0)),"-")</f>
        <v>-</v>
      </c>
      <c r="D389" s="2" t="str">
        <f>IFERROR(INDEX(Movimientos!$E$2:$E$1993,MATCH(A389&amp;"ENTRADA",Movimientos!$R$2:$R$1993,0)),"-")</f>
        <v>-</v>
      </c>
      <c r="E389" s="2" t="str">
        <f>IFERROR(INDEX(Movimientos!$F$2:$F$1993,MATCH(A389&amp;"ENTRADA",Movimientos!$R$2:$R$1993,0)),"-")</f>
        <v>-</v>
      </c>
      <c r="F389" s="2" t="str">
        <f>IFERROR(INDEX(Movimientos!$G$2:$G$1993,MATCH(A389&amp;"ENTRADA",Movimientos!$R$2:$R$1993,0)),"-")</f>
        <v>-</v>
      </c>
      <c r="G389" s="2" t="str">
        <f>IFERROR(INDEX(Movimientos!$L$2:$L$1993,MATCH(A389&amp;"ENTRADA",Movimientos!$R$2:$R$1993,0)),"-")</f>
        <v>-</v>
      </c>
      <c r="H389" s="17" t="str">
        <f>IFERROR(IF(INDEX(Movimientos!$M$2:$M$1993,MATCH(A389&amp;"ENTRADA",Movimientos!$R$2:$R$1993,0))=0,"S/D",INDEX(Movimientos!$M$2:$M$1993,MATCH(A389&amp;"ENTRADA",Movimientos!$R$2:$R$1993,0))),"S/D")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2730</v>
      </c>
      <c r="B390" s="2" t="str">
        <f>IFERROR(INDEX(Movimientos!$C$2:$C$1993,MATCH(A390&amp;"ENTRADA",Movimientos!$R$2:$R$1993,0)),"-")</f>
        <v>-</v>
      </c>
      <c r="C390" s="2" t="str">
        <f>IFERROR(INDEX(Movimientos!$D$2:$D$1993,MATCH(A390&amp;"ENTRADA",Movimientos!$R$2:$R$1993,0)),"-")</f>
        <v>-</v>
      </c>
      <c r="D390" s="2" t="str">
        <f>IFERROR(INDEX(Movimientos!$E$2:$E$1993,MATCH(A390&amp;"ENTRADA",Movimientos!$R$2:$R$1993,0)),"-")</f>
        <v>-</v>
      </c>
      <c r="E390" s="2" t="str">
        <f>IFERROR(INDEX(Movimientos!$F$2:$F$1993,MATCH(A390&amp;"ENTRADA",Movimientos!$R$2:$R$1993,0)),"-")</f>
        <v>-</v>
      </c>
      <c r="F390" s="2" t="str">
        <f>IFERROR(INDEX(Movimientos!$G$2:$G$1993,MATCH(A390&amp;"ENTRADA",Movimientos!$R$2:$R$1993,0)),"-")</f>
        <v>-</v>
      </c>
      <c r="G390" s="2" t="str">
        <f>IFERROR(INDEX(Movimientos!$L$2:$L$1993,MATCH(A390&amp;"ENTRADA",Movimientos!$R$2:$R$1993,0)),"-")</f>
        <v>-</v>
      </c>
      <c r="H390" s="17" t="str">
        <f>IFERROR(IF(INDEX(Movimientos!$M$2:$M$1993,MATCH(A390&amp;"ENTRADA",Movimientos!$R$2:$R$1993,0))=0,"S/D",INDEX(Movimientos!$M$2:$M$1993,MATCH(A390&amp;"ENTRADA",Movimientos!$R$2:$R$1993,0))),"S/D")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2731</v>
      </c>
      <c r="B391" s="2" t="str">
        <f>IFERROR(INDEX(Movimientos!$C$2:$C$1993,MATCH(A391&amp;"ENTRADA",Movimientos!$R$2:$R$1993,0)),"-")</f>
        <v>-</v>
      </c>
      <c r="C391" s="2" t="str">
        <f>IFERROR(INDEX(Movimientos!$D$2:$D$1993,MATCH(A391&amp;"ENTRADA",Movimientos!$R$2:$R$1993,0)),"-")</f>
        <v>-</v>
      </c>
      <c r="D391" s="2" t="str">
        <f>IFERROR(INDEX(Movimientos!$E$2:$E$1993,MATCH(A391&amp;"ENTRADA",Movimientos!$R$2:$R$1993,0)),"-")</f>
        <v>-</v>
      </c>
      <c r="E391" s="2" t="str">
        <f>IFERROR(INDEX(Movimientos!$F$2:$F$1993,MATCH(A391&amp;"ENTRADA",Movimientos!$R$2:$R$1993,0)),"-")</f>
        <v>-</v>
      </c>
      <c r="F391" s="2" t="str">
        <f>IFERROR(INDEX(Movimientos!$G$2:$G$1993,MATCH(A391&amp;"ENTRADA",Movimientos!$R$2:$R$1993,0)),"-")</f>
        <v>-</v>
      </c>
      <c r="G391" s="2" t="str">
        <f>IFERROR(INDEX(Movimientos!$L$2:$L$1993,MATCH(A391&amp;"ENTRADA",Movimientos!$R$2:$R$1993,0)),"-")</f>
        <v>-</v>
      </c>
      <c r="H391" s="17" t="str">
        <f>IFERROR(IF(INDEX(Movimientos!$M$2:$M$1993,MATCH(A391&amp;"ENTRADA",Movimientos!$R$2:$R$1993,0))=0,"S/D",INDEX(Movimientos!$M$2:$M$1993,MATCH(A391&amp;"ENTRADA",Movimientos!$R$2:$R$1993,0))),"S/D")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2732</v>
      </c>
      <c r="B392" s="2" t="str">
        <f>IFERROR(INDEX(Movimientos!$C$2:$C$1993,MATCH(A392&amp;"ENTRADA",Movimientos!$R$2:$R$1993,0)),"-")</f>
        <v>-</v>
      </c>
      <c r="C392" s="2" t="str">
        <f>IFERROR(INDEX(Movimientos!$D$2:$D$1993,MATCH(A392&amp;"ENTRADA",Movimientos!$R$2:$R$1993,0)),"-")</f>
        <v>-</v>
      </c>
      <c r="D392" s="2" t="str">
        <f>IFERROR(INDEX(Movimientos!$E$2:$E$1993,MATCH(A392&amp;"ENTRADA",Movimientos!$R$2:$R$1993,0)),"-")</f>
        <v>-</v>
      </c>
      <c r="E392" s="2" t="str">
        <f>IFERROR(INDEX(Movimientos!$F$2:$F$1993,MATCH(A392&amp;"ENTRADA",Movimientos!$R$2:$R$1993,0)),"-")</f>
        <v>-</v>
      </c>
      <c r="F392" s="2" t="str">
        <f>IFERROR(INDEX(Movimientos!$G$2:$G$1993,MATCH(A392&amp;"ENTRADA",Movimientos!$R$2:$R$1993,0)),"-")</f>
        <v>-</v>
      </c>
      <c r="G392" s="2" t="str">
        <f>IFERROR(INDEX(Movimientos!$L$2:$L$1993,MATCH(A392&amp;"ENTRADA",Movimientos!$R$2:$R$1993,0)),"-")</f>
        <v>-</v>
      </c>
      <c r="H392" s="17" t="str">
        <f>IFERROR(IF(INDEX(Movimientos!$M$2:$M$1993,MATCH(A392&amp;"ENTRADA",Movimientos!$R$2:$R$1993,0))=0,"S/D",INDEX(Movimientos!$M$2:$M$1993,MATCH(A392&amp;"ENTRADA",Movimientos!$R$2:$R$1993,0))),"S/D")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2733</v>
      </c>
      <c r="B393" s="2" t="str">
        <f>IFERROR(INDEX(Movimientos!$C$2:$C$1993,MATCH(A393&amp;"ENTRADA",Movimientos!$R$2:$R$1993,0)),"-")</f>
        <v>-</v>
      </c>
      <c r="C393" s="2" t="str">
        <f>IFERROR(INDEX(Movimientos!$D$2:$D$1993,MATCH(A393&amp;"ENTRADA",Movimientos!$R$2:$R$1993,0)),"-")</f>
        <v>-</v>
      </c>
      <c r="D393" s="2" t="str">
        <f>IFERROR(INDEX(Movimientos!$E$2:$E$1993,MATCH(A393&amp;"ENTRADA",Movimientos!$R$2:$R$1993,0)),"-")</f>
        <v>-</v>
      </c>
      <c r="E393" s="2" t="str">
        <f>IFERROR(INDEX(Movimientos!$F$2:$F$1993,MATCH(A393&amp;"ENTRADA",Movimientos!$R$2:$R$1993,0)),"-")</f>
        <v>-</v>
      </c>
      <c r="F393" s="2" t="str">
        <f>IFERROR(INDEX(Movimientos!$G$2:$G$1993,MATCH(A393&amp;"ENTRADA",Movimientos!$R$2:$R$1993,0)),"-")</f>
        <v>-</v>
      </c>
      <c r="G393" s="2" t="str">
        <f>IFERROR(INDEX(Movimientos!$L$2:$L$1993,MATCH(A393&amp;"ENTRADA",Movimientos!$R$2:$R$1993,0)),"-")</f>
        <v>-</v>
      </c>
      <c r="H393" s="17" t="str">
        <f>IFERROR(IF(INDEX(Movimientos!$M$2:$M$1993,MATCH(A393&amp;"ENTRADA",Movimientos!$R$2:$R$1993,0))=0,"S/D",INDEX(Movimientos!$M$2:$M$1993,MATCH(A393&amp;"ENTRADA",Movimientos!$R$2:$R$1993,0))),"S/D")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2734</v>
      </c>
      <c r="B394" s="2" t="str">
        <f>IFERROR(INDEX(Movimientos!$C$2:$C$1993,MATCH(A394&amp;"ENTRADA",Movimientos!$R$2:$R$1993,0)),"-")</f>
        <v>-</v>
      </c>
      <c r="C394" s="2" t="str">
        <f>IFERROR(INDEX(Movimientos!$D$2:$D$1993,MATCH(A394&amp;"ENTRADA",Movimientos!$R$2:$R$1993,0)),"-")</f>
        <v>-</v>
      </c>
      <c r="D394" s="2" t="str">
        <f>IFERROR(INDEX(Movimientos!$E$2:$E$1993,MATCH(A394&amp;"ENTRADA",Movimientos!$R$2:$R$1993,0)),"-")</f>
        <v>-</v>
      </c>
      <c r="E394" s="2" t="str">
        <f>IFERROR(INDEX(Movimientos!$F$2:$F$1993,MATCH(A394&amp;"ENTRADA",Movimientos!$R$2:$R$1993,0)),"-")</f>
        <v>-</v>
      </c>
      <c r="F394" s="2" t="str">
        <f>IFERROR(INDEX(Movimientos!$G$2:$G$1993,MATCH(A394&amp;"ENTRADA",Movimientos!$R$2:$R$1993,0)),"-")</f>
        <v>-</v>
      </c>
      <c r="G394" s="2" t="str">
        <f>IFERROR(INDEX(Movimientos!$L$2:$L$1993,MATCH(A394&amp;"ENTRADA",Movimientos!$R$2:$R$1993,0)),"-")</f>
        <v>-</v>
      </c>
      <c r="H394" s="17" t="str">
        <f>IFERROR(IF(INDEX(Movimientos!$M$2:$M$1993,MATCH(A394&amp;"ENTRADA",Movimientos!$R$2:$R$1993,0))=0,"S/D",INDEX(Movimientos!$M$2:$M$1993,MATCH(A394&amp;"ENTRADA",Movimientos!$R$2:$R$1993,0))),"S/D")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2735</v>
      </c>
      <c r="B395" s="2" t="str">
        <f>IFERROR(INDEX(Movimientos!$C$2:$C$1993,MATCH(A395&amp;"ENTRADA",Movimientos!$R$2:$R$1993,0)),"-")</f>
        <v>-</v>
      </c>
      <c r="C395" s="2" t="str">
        <f>IFERROR(INDEX(Movimientos!$D$2:$D$1993,MATCH(A395&amp;"ENTRADA",Movimientos!$R$2:$R$1993,0)),"-")</f>
        <v>-</v>
      </c>
      <c r="D395" s="2" t="str">
        <f>IFERROR(INDEX(Movimientos!$E$2:$E$1993,MATCH(A395&amp;"ENTRADA",Movimientos!$R$2:$R$1993,0)),"-")</f>
        <v>-</v>
      </c>
      <c r="E395" s="2" t="str">
        <f>IFERROR(INDEX(Movimientos!$F$2:$F$1993,MATCH(A395&amp;"ENTRADA",Movimientos!$R$2:$R$1993,0)),"-")</f>
        <v>-</v>
      </c>
      <c r="F395" s="2" t="str">
        <f>IFERROR(INDEX(Movimientos!$G$2:$G$1993,MATCH(A395&amp;"ENTRADA",Movimientos!$R$2:$R$1993,0)),"-")</f>
        <v>-</v>
      </c>
      <c r="G395" s="2" t="str">
        <f>IFERROR(INDEX(Movimientos!$L$2:$L$1993,MATCH(A395&amp;"ENTRADA",Movimientos!$R$2:$R$1993,0)),"-")</f>
        <v>-</v>
      </c>
      <c r="H395" s="17" t="str">
        <f>IFERROR(IF(INDEX(Movimientos!$M$2:$M$1993,MATCH(A395&amp;"ENTRADA",Movimientos!$R$2:$R$1993,0))=0,"S/D",INDEX(Movimientos!$M$2:$M$1993,MATCH(A395&amp;"ENTRADA",Movimientos!$R$2:$R$1993,0))),"S/D")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2736</v>
      </c>
      <c r="B396" s="2" t="str">
        <f>IFERROR(INDEX(Movimientos!$C$2:$C$1993,MATCH(A396&amp;"ENTRADA",Movimientos!$R$2:$R$1993,0)),"-")</f>
        <v>-</v>
      </c>
      <c r="C396" s="2" t="str">
        <f>IFERROR(INDEX(Movimientos!$D$2:$D$1993,MATCH(A396&amp;"ENTRADA",Movimientos!$R$2:$R$1993,0)),"-")</f>
        <v>-</v>
      </c>
      <c r="D396" s="2" t="str">
        <f>IFERROR(INDEX(Movimientos!$E$2:$E$1993,MATCH(A396&amp;"ENTRADA",Movimientos!$R$2:$R$1993,0)),"-")</f>
        <v>-</v>
      </c>
      <c r="E396" s="2" t="str">
        <f>IFERROR(INDEX(Movimientos!$F$2:$F$1993,MATCH(A396&amp;"ENTRADA",Movimientos!$R$2:$R$1993,0)),"-")</f>
        <v>-</v>
      </c>
      <c r="F396" s="2" t="str">
        <f>IFERROR(INDEX(Movimientos!$G$2:$G$1993,MATCH(A396&amp;"ENTRADA",Movimientos!$R$2:$R$1993,0)),"-")</f>
        <v>-</v>
      </c>
      <c r="G396" s="2" t="str">
        <f>IFERROR(INDEX(Movimientos!$L$2:$L$1993,MATCH(A396&amp;"ENTRADA",Movimientos!$R$2:$R$1993,0)),"-")</f>
        <v>-</v>
      </c>
      <c r="H396" s="17" t="str">
        <f>IFERROR(IF(INDEX(Movimientos!$M$2:$M$1993,MATCH(A396&amp;"ENTRADA",Movimientos!$R$2:$R$1993,0))=0,"S/D",INDEX(Movimientos!$M$2:$M$1993,MATCH(A396&amp;"ENTRADA",Movimientos!$R$2:$R$1993,0))),"S/D")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2737</v>
      </c>
      <c r="B397" s="2" t="str">
        <f>IFERROR(INDEX(Movimientos!$C$2:$C$1993,MATCH(A397&amp;"ENTRADA",Movimientos!$R$2:$R$1993,0)),"-")</f>
        <v>-</v>
      </c>
      <c r="C397" s="2" t="str">
        <f>IFERROR(INDEX(Movimientos!$D$2:$D$1993,MATCH(A397&amp;"ENTRADA",Movimientos!$R$2:$R$1993,0)),"-")</f>
        <v>-</v>
      </c>
      <c r="D397" s="2" t="str">
        <f>IFERROR(INDEX(Movimientos!$E$2:$E$1993,MATCH(A397&amp;"ENTRADA",Movimientos!$R$2:$R$1993,0)),"-")</f>
        <v>-</v>
      </c>
      <c r="E397" s="2" t="str">
        <f>IFERROR(INDEX(Movimientos!$F$2:$F$1993,MATCH(A397&amp;"ENTRADA",Movimientos!$R$2:$R$1993,0)),"-")</f>
        <v>-</v>
      </c>
      <c r="F397" s="2" t="str">
        <f>IFERROR(INDEX(Movimientos!$G$2:$G$1993,MATCH(A397&amp;"ENTRADA",Movimientos!$R$2:$R$1993,0)),"-")</f>
        <v>-</v>
      </c>
      <c r="G397" s="2" t="str">
        <f>IFERROR(INDEX(Movimientos!$L$2:$L$1993,MATCH(A397&amp;"ENTRADA",Movimientos!$R$2:$R$1993,0)),"-")</f>
        <v>-</v>
      </c>
      <c r="H397" s="17" t="str">
        <f>IFERROR(IF(INDEX(Movimientos!$M$2:$M$1993,MATCH(A397&amp;"ENTRADA",Movimientos!$R$2:$R$1993,0))=0,"S/D",INDEX(Movimientos!$M$2:$M$1993,MATCH(A397&amp;"ENTRADA",Movimientos!$R$2:$R$1993,0))),"S/D")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2738</v>
      </c>
      <c r="B398" s="2" t="str">
        <f>IFERROR(INDEX(Movimientos!$C$2:$C$1993,MATCH(A398&amp;"ENTRADA",Movimientos!$R$2:$R$1993,0)),"-")</f>
        <v>-</v>
      </c>
      <c r="C398" s="2" t="str">
        <f>IFERROR(INDEX(Movimientos!$D$2:$D$1993,MATCH(A398&amp;"ENTRADA",Movimientos!$R$2:$R$1993,0)),"-")</f>
        <v>-</v>
      </c>
      <c r="D398" s="2" t="str">
        <f>IFERROR(INDEX(Movimientos!$E$2:$E$1993,MATCH(A398&amp;"ENTRADA",Movimientos!$R$2:$R$1993,0)),"-")</f>
        <v>-</v>
      </c>
      <c r="E398" s="2" t="str">
        <f>IFERROR(INDEX(Movimientos!$F$2:$F$1993,MATCH(A398&amp;"ENTRADA",Movimientos!$R$2:$R$1993,0)),"-")</f>
        <v>-</v>
      </c>
      <c r="F398" s="2" t="str">
        <f>IFERROR(INDEX(Movimientos!$G$2:$G$1993,MATCH(A398&amp;"ENTRADA",Movimientos!$R$2:$R$1993,0)),"-")</f>
        <v>-</v>
      </c>
      <c r="G398" s="2" t="str">
        <f>IFERROR(INDEX(Movimientos!$L$2:$L$1993,MATCH(A398&amp;"ENTRADA",Movimientos!$R$2:$R$1993,0)),"-")</f>
        <v>-</v>
      </c>
      <c r="H398" s="17" t="str">
        <f>IFERROR(IF(INDEX(Movimientos!$M$2:$M$1993,MATCH(A398&amp;"ENTRADA",Movimientos!$R$2:$R$1993,0))=0,"S/D",INDEX(Movimientos!$M$2:$M$1993,MATCH(A398&amp;"ENTRADA",Movimientos!$R$2:$R$1993,0))),"S/D")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2739</v>
      </c>
      <c r="B399" s="2" t="str">
        <f>IFERROR(INDEX(Movimientos!$C$2:$C$1993,MATCH(A399&amp;"ENTRADA",Movimientos!$R$2:$R$1993,0)),"-")</f>
        <v>-</v>
      </c>
      <c r="C399" s="2" t="str">
        <f>IFERROR(INDEX(Movimientos!$D$2:$D$1993,MATCH(A399&amp;"ENTRADA",Movimientos!$R$2:$R$1993,0)),"-")</f>
        <v>-</v>
      </c>
      <c r="D399" s="2" t="str">
        <f>IFERROR(INDEX(Movimientos!$E$2:$E$1993,MATCH(A399&amp;"ENTRADA",Movimientos!$R$2:$R$1993,0)),"-")</f>
        <v>-</v>
      </c>
      <c r="E399" s="2" t="str">
        <f>IFERROR(INDEX(Movimientos!$F$2:$F$1993,MATCH(A399&amp;"ENTRADA",Movimientos!$R$2:$R$1993,0)),"-")</f>
        <v>-</v>
      </c>
      <c r="F399" s="2" t="str">
        <f>IFERROR(INDEX(Movimientos!$G$2:$G$1993,MATCH(A399&amp;"ENTRADA",Movimientos!$R$2:$R$1993,0)),"-")</f>
        <v>-</v>
      </c>
      <c r="G399" s="2" t="str">
        <f>IFERROR(INDEX(Movimientos!$L$2:$L$1993,MATCH(A399&amp;"ENTRADA",Movimientos!$R$2:$R$1993,0)),"-")</f>
        <v>-</v>
      </c>
      <c r="H399" s="17" t="str">
        <f>IFERROR(IF(INDEX(Movimientos!$M$2:$M$1993,MATCH(A399&amp;"ENTRADA",Movimientos!$R$2:$R$1993,0))=0,"S/D",INDEX(Movimientos!$M$2:$M$1993,MATCH(A399&amp;"ENTRADA",Movimientos!$R$2:$R$1993,0))),"S/D")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2740</v>
      </c>
      <c r="B400" s="2" t="str">
        <f>IFERROR(INDEX(Movimientos!$C$2:$C$1993,MATCH(A400&amp;"ENTRADA",Movimientos!$R$2:$R$1993,0)),"-")</f>
        <v>-</v>
      </c>
      <c r="C400" s="2" t="str">
        <f>IFERROR(INDEX(Movimientos!$D$2:$D$1993,MATCH(A400&amp;"ENTRADA",Movimientos!$R$2:$R$1993,0)),"-")</f>
        <v>-</v>
      </c>
      <c r="D400" s="2" t="str">
        <f>IFERROR(INDEX(Movimientos!$E$2:$E$1993,MATCH(A400&amp;"ENTRADA",Movimientos!$R$2:$R$1993,0)),"-")</f>
        <v>-</v>
      </c>
      <c r="E400" s="2" t="str">
        <f>IFERROR(INDEX(Movimientos!$F$2:$F$1993,MATCH(A400&amp;"ENTRADA",Movimientos!$R$2:$R$1993,0)),"-")</f>
        <v>-</v>
      </c>
      <c r="F400" s="2" t="str">
        <f>IFERROR(INDEX(Movimientos!$G$2:$G$1993,MATCH(A400&amp;"ENTRADA",Movimientos!$R$2:$R$1993,0)),"-")</f>
        <v>-</v>
      </c>
      <c r="G400" s="2" t="str">
        <f>IFERROR(INDEX(Movimientos!$L$2:$L$1993,MATCH(A400&amp;"ENTRADA",Movimientos!$R$2:$R$1993,0)),"-")</f>
        <v>-</v>
      </c>
      <c r="H400" s="17" t="str">
        <f>IFERROR(IF(INDEX(Movimientos!$M$2:$M$1993,MATCH(A400&amp;"ENTRADA",Movimientos!$R$2:$R$1993,0))=0,"S/D",INDEX(Movimientos!$M$2:$M$1993,MATCH(A400&amp;"ENTRADA",Movimientos!$R$2:$R$1993,0))),"S/D")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2741</v>
      </c>
      <c r="B401" s="2" t="str">
        <f>IFERROR(INDEX(Movimientos!$C$2:$C$1993,MATCH(A401&amp;"ENTRADA",Movimientos!$R$2:$R$1993,0)),"-")</f>
        <v>-</v>
      </c>
      <c r="C401" s="2" t="str">
        <f>IFERROR(INDEX(Movimientos!$D$2:$D$1993,MATCH(A401&amp;"ENTRADA",Movimientos!$R$2:$R$1993,0)),"-")</f>
        <v>-</v>
      </c>
      <c r="D401" s="2" t="str">
        <f>IFERROR(INDEX(Movimientos!$E$2:$E$1993,MATCH(A401&amp;"ENTRADA",Movimientos!$R$2:$R$1993,0)),"-")</f>
        <v>-</v>
      </c>
      <c r="E401" s="2" t="str">
        <f>IFERROR(INDEX(Movimientos!$F$2:$F$1993,MATCH(A401&amp;"ENTRADA",Movimientos!$R$2:$R$1993,0)),"-")</f>
        <v>-</v>
      </c>
      <c r="F401" s="2" t="str">
        <f>IFERROR(INDEX(Movimientos!$G$2:$G$1993,MATCH(A401&amp;"ENTRADA",Movimientos!$R$2:$R$1993,0)),"-")</f>
        <v>-</v>
      </c>
      <c r="G401" s="2" t="str">
        <f>IFERROR(INDEX(Movimientos!$L$2:$L$1993,MATCH(A401&amp;"ENTRADA",Movimientos!$R$2:$R$1993,0)),"-")</f>
        <v>-</v>
      </c>
      <c r="H401" s="17" t="str">
        <f>IFERROR(IF(INDEX(Movimientos!$M$2:$M$1993,MATCH(A401&amp;"ENTRADA",Movimientos!$R$2:$R$1993,0))=0,"S/D",INDEX(Movimientos!$M$2:$M$1993,MATCH(A401&amp;"ENTRADA",Movimientos!$R$2:$R$1993,0))),"S/D")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2742</v>
      </c>
      <c r="B402" s="2" t="str">
        <f>IFERROR(INDEX(Movimientos!$C$2:$C$1993,MATCH(A402&amp;"ENTRADA",Movimientos!$R$2:$R$1993,0)),"-")</f>
        <v>-</v>
      </c>
      <c r="C402" s="2" t="str">
        <f>IFERROR(INDEX(Movimientos!$D$2:$D$1993,MATCH(A402&amp;"ENTRADA",Movimientos!$R$2:$R$1993,0)),"-")</f>
        <v>-</v>
      </c>
      <c r="D402" s="2" t="str">
        <f>IFERROR(INDEX(Movimientos!$E$2:$E$1993,MATCH(A402&amp;"ENTRADA",Movimientos!$R$2:$R$1993,0)),"-")</f>
        <v>-</v>
      </c>
      <c r="E402" s="2" t="str">
        <f>IFERROR(INDEX(Movimientos!$F$2:$F$1993,MATCH(A402&amp;"ENTRADA",Movimientos!$R$2:$R$1993,0)),"-")</f>
        <v>-</v>
      </c>
      <c r="F402" s="2" t="str">
        <f>IFERROR(INDEX(Movimientos!$G$2:$G$1993,MATCH(A402&amp;"ENTRADA",Movimientos!$R$2:$R$1993,0)),"-")</f>
        <v>-</v>
      </c>
      <c r="G402" s="2" t="str">
        <f>IFERROR(INDEX(Movimientos!$L$2:$L$1993,MATCH(A402&amp;"ENTRADA",Movimientos!$R$2:$R$1993,0)),"-")</f>
        <v>-</v>
      </c>
      <c r="H402" s="17" t="str">
        <f>IFERROR(IF(INDEX(Movimientos!$M$2:$M$1993,MATCH(A402&amp;"ENTRADA",Movimientos!$R$2:$R$1993,0))=0,"S/D",INDEX(Movimientos!$M$2:$M$1993,MATCH(A402&amp;"ENTRADA",Movimientos!$R$2:$R$1993,0))),"S/D")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2743</v>
      </c>
      <c r="B403" s="2" t="str">
        <f>IFERROR(INDEX(Movimientos!$C$2:$C$1993,MATCH(A403&amp;"ENTRADA",Movimientos!$R$2:$R$1993,0)),"-")</f>
        <v>-</v>
      </c>
      <c r="C403" s="2" t="str">
        <f>IFERROR(INDEX(Movimientos!$D$2:$D$1993,MATCH(A403&amp;"ENTRADA",Movimientos!$R$2:$R$1993,0)),"-")</f>
        <v>-</v>
      </c>
      <c r="D403" s="2" t="str">
        <f>IFERROR(INDEX(Movimientos!$E$2:$E$1993,MATCH(A403&amp;"ENTRADA",Movimientos!$R$2:$R$1993,0)),"-")</f>
        <v>-</v>
      </c>
      <c r="E403" s="2" t="str">
        <f>IFERROR(INDEX(Movimientos!$F$2:$F$1993,MATCH(A403&amp;"ENTRADA",Movimientos!$R$2:$R$1993,0)),"-")</f>
        <v>-</v>
      </c>
      <c r="F403" s="2" t="str">
        <f>IFERROR(INDEX(Movimientos!$G$2:$G$1993,MATCH(A403&amp;"ENTRADA",Movimientos!$R$2:$R$1993,0)),"-")</f>
        <v>-</v>
      </c>
      <c r="G403" s="2" t="str">
        <f>IFERROR(INDEX(Movimientos!$L$2:$L$1993,MATCH(A403&amp;"ENTRADA",Movimientos!$R$2:$R$1993,0)),"-")</f>
        <v>-</v>
      </c>
      <c r="H403" s="17" t="str">
        <f>IFERROR(IF(INDEX(Movimientos!$M$2:$M$1993,MATCH(A403&amp;"ENTRADA",Movimientos!$R$2:$R$1993,0))=0,"S/D",INDEX(Movimientos!$M$2:$M$1993,MATCH(A403&amp;"ENTRADA",Movimientos!$R$2:$R$1993,0))),"S/D")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2744</v>
      </c>
      <c r="B404" s="2" t="str">
        <f>IFERROR(INDEX(Movimientos!$C$2:$C$1993,MATCH(A404&amp;"ENTRADA",Movimientos!$R$2:$R$1993,0)),"-")</f>
        <v>-</v>
      </c>
      <c r="C404" s="2" t="str">
        <f>IFERROR(INDEX(Movimientos!$D$2:$D$1993,MATCH(A404&amp;"ENTRADA",Movimientos!$R$2:$R$1993,0)),"-")</f>
        <v>-</v>
      </c>
      <c r="D404" s="2" t="str">
        <f>IFERROR(INDEX(Movimientos!$E$2:$E$1993,MATCH(A404&amp;"ENTRADA",Movimientos!$R$2:$R$1993,0)),"-")</f>
        <v>-</v>
      </c>
      <c r="E404" s="2" t="str">
        <f>IFERROR(INDEX(Movimientos!$F$2:$F$1993,MATCH(A404&amp;"ENTRADA",Movimientos!$R$2:$R$1993,0)),"-")</f>
        <v>-</v>
      </c>
      <c r="F404" s="2" t="str">
        <f>IFERROR(INDEX(Movimientos!$G$2:$G$1993,MATCH(A404&amp;"ENTRADA",Movimientos!$R$2:$R$1993,0)),"-")</f>
        <v>-</v>
      </c>
      <c r="G404" s="2" t="str">
        <f>IFERROR(INDEX(Movimientos!$L$2:$L$1993,MATCH(A404&amp;"ENTRADA",Movimientos!$R$2:$R$1993,0)),"-")</f>
        <v>-</v>
      </c>
      <c r="H404" s="17" t="str">
        <f>IFERROR(IF(INDEX(Movimientos!$M$2:$M$1993,MATCH(A404&amp;"ENTRADA",Movimientos!$R$2:$R$1993,0))=0,"S/D",INDEX(Movimientos!$M$2:$M$1993,MATCH(A404&amp;"ENTRADA",Movimientos!$R$2:$R$1993,0))),"S/D")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2745</v>
      </c>
      <c r="B405" s="2" t="str">
        <f>IFERROR(INDEX(Movimientos!$C$2:$C$1993,MATCH(A405&amp;"ENTRADA",Movimientos!$R$2:$R$1993,0)),"-")</f>
        <v>-</v>
      </c>
      <c r="C405" s="2" t="str">
        <f>IFERROR(INDEX(Movimientos!$D$2:$D$1993,MATCH(A405&amp;"ENTRADA",Movimientos!$R$2:$R$1993,0)),"-")</f>
        <v>-</v>
      </c>
      <c r="D405" s="2" t="str">
        <f>IFERROR(INDEX(Movimientos!$E$2:$E$1993,MATCH(A405&amp;"ENTRADA",Movimientos!$R$2:$R$1993,0)),"-")</f>
        <v>-</v>
      </c>
      <c r="E405" s="2" t="str">
        <f>IFERROR(INDEX(Movimientos!$F$2:$F$1993,MATCH(A405&amp;"ENTRADA",Movimientos!$R$2:$R$1993,0)),"-")</f>
        <v>-</v>
      </c>
      <c r="F405" s="2" t="str">
        <f>IFERROR(INDEX(Movimientos!$G$2:$G$1993,MATCH(A405&amp;"ENTRADA",Movimientos!$R$2:$R$1993,0)),"-")</f>
        <v>-</v>
      </c>
      <c r="G405" s="2" t="str">
        <f>IFERROR(INDEX(Movimientos!$L$2:$L$1993,MATCH(A405&amp;"ENTRADA",Movimientos!$R$2:$R$1993,0)),"-")</f>
        <v>-</v>
      </c>
      <c r="H405" s="17" t="str">
        <f>IFERROR(IF(INDEX(Movimientos!$M$2:$M$1993,MATCH(A405&amp;"ENTRADA",Movimientos!$R$2:$R$1993,0))=0,"S/D",INDEX(Movimientos!$M$2:$M$1993,MATCH(A405&amp;"ENTRADA",Movimientos!$R$2:$R$1993,0))),"S/D")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2746</v>
      </c>
      <c r="B406" s="2" t="str">
        <f>IFERROR(INDEX(Movimientos!$C$2:$C$1993,MATCH(A406&amp;"ENTRADA",Movimientos!$R$2:$R$1993,0)),"-")</f>
        <v>-</v>
      </c>
      <c r="C406" s="2" t="str">
        <f>IFERROR(INDEX(Movimientos!$D$2:$D$1993,MATCH(A406&amp;"ENTRADA",Movimientos!$R$2:$R$1993,0)),"-")</f>
        <v>-</v>
      </c>
      <c r="D406" s="2" t="str">
        <f>IFERROR(INDEX(Movimientos!$E$2:$E$1993,MATCH(A406&amp;"ENTRADA",Movimientos!$R$2:$R$1993,0)),"-")</f>
        <v>-</v>
      </c>
      <c r="E406" s="2" t="str">
        <f>IFERROR(INDEX(Movimientos!$F$2:$F$1993,MATCH(A406&amp;"ENTRADA",Movimientos!$R$2:$R$1993,0)),"-")</f>
        <v>-</v>
      </c>
      <c r="F406" s="2" t="str">
        <f>IFERROR(INDEX(Movimientos!$G$2:$G$1993,MATCH(A406&amp;"ENTRADA",Movimientos!$R$2:$R$1993,0)),"-")</f>
        <v>-</v>
      </c>
      <c r="G406" s="2" t="str">
        <f>IFERROR(INDEX(Movimientos!$L$2:$L$1993,MATCH(A406&amp;"ENTRADA",Movimientos!$R$2:$R$1993,0)),"-")</f>
        <v>-</v>
      </c>
      <c r="H406" s="17" t="str">
        <f>IFERROR(IF(INDEX(Movimientos!$M$2:$M$1993,MATCH(A406&amp;"ENTRADA",Movimientos!$R$2:$R$1993,0))=0,"S/D",INDEX(Movimientos!$M$2:$M$1993,MATCH(A406&amp;"ENTRADA",Movimientos!$R$2:$R$1993,0))),"S/D")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2747</v>
      </c>
      <c r="B407" s="2" t="str">
        <f>IFERROR(INDEX(Movimientos!$C$2:$C$1993,MATCH(A407&amp;"ENTRADA",Movimientos!$R$2:$R$1993,0)),"-")</f>
        <v>-</v>
      </c>
      <c r="C407" s="2" t="str">
        <f>IFERROR(INDEX(Movimientos!$D$2:$D$1993,MATCH(A407&amp;"ENTRADA",Movimientos!$R$2:$R$1993,0)),"-")</f>
        <v>-</v>
      </c>
      <c r="D407" s="2" t="str">
        <f>IFERROR(INDEX(Movimientos!$E$2:$E$1993,MATCH(A407&amp;"ENTRADA",Movimientos!$R$2:$R$1993,0)),"-")</f>
        <v>-</v>
      </c>
      <c r="E407" s="2" t="str">
        <f>IFERROR(INDEX(Movimientos!$F$2:$F$1993,MATCH(A407&amp;"ENTRADA",Movimientos!$R$2:$R$1993,0)),"-")</f>
        <v>-</v>
      </c>
      <c r="F407" s="2" t="str">
        <f>IFERROR(INDEX(Movimientos!$G$2:$G$1993,MATCH(A407&amp;"ENTRADA",Movimientos!$R$2:$R$1993,0)),"-")</f>
        <v>-</v>
      </c>
      <c r="G407" s="2" t="str">
        <f>IFERROR(INDEX(Movimientos!$L$2:$L$1993,MATCH(A407&amp;"ENTRADA",Movimientos!$R$2:$R$1993,0)),"-")</f>
        <v>-</v>
      </c>
      <c r="H407" s="17" t="str">
        <f>IFERROR(IF(INDEX(Movimientos!$M$2:$M$1993,MATCH(A407&amp;"ENTRADA",Movimientos!$R$2:$R$1993,0))=0,"S/D",INDEX(Movimientos!$M$2:$M$1993,MATCH(A407&amp;"ENTRADA",Movimientos!$R$2:$R$1993,0))),"S/D")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2748</v>
      </c>
      <c r="B408" s="2" t="str">
        <f>IFERROR(INDEX(Movimientos!$C$2:$C$1993,MATCH(A408&amp;"ENTRADA",Movimientos!$R$2:$R$1993,0)),"-")</f>
        <v>-</v>
      </c>
      <c r="C408" s="2" t="str">
        <f>IFERROR(INDEX(Movimientos!$D$2:$D$1993,MATCH(A408&amp;"ENTRADA",Movimientos!$R$2:$R$1993,0)),"-")</f>
        <v>-</v>
      </c>
      <c r="D408" s="2" t="str">
        <f>IFERROR(INDEX(Movimientos!$E$2:$E$1993,MATCH(A408&amp;"ENTRADA",Movimientos!$R$2:$R$1993,0)),"-")</f>
        <v>-</v>
      </c>
      <c r="E408" s="2" t="str">
        <f>IFERROR(INDEX(Movimientos!$F$2:$F$1993,MATCH(A408&amp;"ENTRADA",Movimientos!$R$2:$R$1993,0)),"-")</f>
        <v>-</v>
      </c>
      <c r="F408" s="2" t="str">
        <f>IFERROR(INDEX(Movimientos!$G$2:$G$1993,MATCH(A408&amp;"ENTRADA",Movimientos!$R$2:$R$1993,0)),"-")</f>
        <v>-</v>
      </c>
      <c r="G408" s="2" t="str">
        <f>IFERROR(INDEX(Movimientos!$L$2:$L$1993,MATCH(A408&amp;"ENTRADA",Movimientos!$R$2:$R$1993,0)),"-")</f>
        <v>-</v>
      </c>
      <c r="H408" s="17" t="str">
        <f>IFERROR(IF(INDEX(Movimientos!$M$2:$M$1993,MATCH(A408&amp;"ENTRADA",Movimientos!$R$2:$R$1993,0))=0,"S/D",INDEX(Movimientos!$M$2:$M$1993,MATCH(A408&amp;"ENTRADA",Movimientos!$R$2:$R$1993,0))),"S/D")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2749</v>
      </c>
      <c r="B409" s="2" t="str">
        <f>IFERROR(INDEX(Movimientos!$C$2:$C$1993,MATCH(A409&amp;"ENTRADA",Movimientos!$R$2:$R$1993,0)),"-")</f>
        <v>-</v>
      </c>
      <c r="C409" s="2" t="str">
        <f>IFERROR(INDEX(Movimientos!$D$2:$D$1993,MATCH(A409&amp;"ENTRADA",Movimientos!$R$2:$R$1993,0)),"-")</f>
        <v>-</v>
      </c>
      <c r="D409" s="2" t="str">
        <f>IFERROR(INDEX(Movimientos!$E$2:$E$1993,MATCH(A409&amp;"ENTRADA",Movimientos!$R$2:$R$1993,0)),"-")</f>
        <v>-</v>
      </c>
      <c r="E409" s="2" t="str">
        <f>IFERROR(INDEX(Movimientos!$F$2:$F$1993,MATCH(A409&amp;"ENTRADA",Movimientos!$R$2:$R$1993,0)),"-")</f>
        <v>-</v>
      </c>
      <c r="F409" s="2" t="str">
        <f>IFERROR(INDEX(Movimientos!$G$2:$G$1993,MATCH(A409&amp;"ENTRADA",Movimientos!$R$2:$R$1993,0)),"-")</f>
        <v>-</v>
      </c>
      <c r="G409" s="2" t="str">
        <f>IFERROR(INDEX(Movimientos!$L$2:$L$1993,MATCH(A409&amp;"ENTRADA",Movimientos!$R$2:$R$1993,0)),"-")</f>
        <v>-</v>
      </c>
      <c r="H409" s="17" t="str">
        <f>IFERROR(IF(INDEX(Movimientos!$M$2:$M$1993,MATCH(A409&amp;"ENTRADA",Movimientos!$R$2:$R$1993,0))=0,"S/D",INDEX(Movimientos!$M$2:$M$1993,MATCH(A409&amp;"ENTRADA",Movimientos!$R$2:$R$1993,0))),"S/D")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2750</v>
      </c>
      <c r="B410" s="2" t="str">
        <f>IFERROR(INDEX(Movimientos!$C$2:$C$1993,MATCH(A410&amp;"ENTRADA",Movimientos!$R$2:$R$1993,0)),"-")</f>
        <v>-</v>
      </c>
      <c r="C410" s="2" t="str">
        <f>IFERROR(INDEX(Movimientos!$D$2:$D$1993,MATCH(A410&amp;"ENTRADA",Movimientos!$R$2:$R$1993,0)),"-")</f>
        <v>-</v>
      </c>
      <c r="D410" s="2" t="str">
        <f>IFERROR(INDEX(Movimientos!$E$2:$E$1993,MATCH(A410&amp;"ENTRADA",Movimientos!$R$2:$R$1993,0)),"-")</f>
        <v>-</v>
      </c>
      <c r="E410" s="2" t="str">
        <f>IFERROR(INDEX(Movimientos!$F$2:$F$1993,MATCH(A410&amp;"ENTRADA",Movimientos!$R$2:$R$1993,0)),"-")</f>
        <v>-</v>
      </c>
      <c r="F410" s="2" t="str">
        <f>IFERROR(INDEX(Movimientos!$G$2:$G$1993,MATCH(A410&amp;"ENTRADA",Movimientos!$R$2:$R$1993,0)),"-")</f>
        <v>-</v>
      </c>
      <c r="G410" s="2" t="str">
        <f>IFERROR(INDEX(Movimientos!$L$2:$L$1993,MATCH(A410&amp;"ENTRADA",Movimientos!$R$2:$R$1993,0)),"-")</f>
        <v>-</v>
      </c>
      <c r="H410" s="17" t="str">
        <f>IFERROR(IF(INDEX(Movimientos!$M$2:$M$1993,MATCH(A410&amp;"ENTRADA",Movimientos!$R$2:$R$1993,0))=0,"S/D",INDEX(Movimientos!$M$2:$M$1993,MATCH(A410&amp;"ENTRADA",Movimientos!$R$2:$R$1993,0))),"S/D")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2751</v>
      </c>
      <c r="B411" s="2" t="str">
        <f>IFERROR(INDEX(Movimientos!$C$2:$C$1993,MATCH(A411&amp;"ENTRADA",Movimientos!$R$2:$R$1993,0)),"-")</f>
        <v>-</v>
      </c>
      <c r="C411" s="2" t="str">
        <f>IFERROR(INDEX(Movimientos!$D$2:$D$1993,MATCH(A411&amp;"ENTRADA",Movimientos!$R$2:$R$1993,0)),"-")</f>
        <v>-</v>
      </c>
      <c r="D411" s="2" t="str">
        <f>IFERROR(INDEX(Movimientos!$E$2:$E$1993,MATCH(A411&amp;"ENTRADA",Movimientos!$R$2:$R$1993,0)),"-")</f>
        <v>-</v>
      </c>
      <c r="E411" s="2" t="str">
        <f>IFERROR(INDEX(Movimientos!$F$2:$F$1993,MATCH(A411&amp;"ENTRADA",Movimientos!$R$2:$R$1993,0)),"-")</f>
        <v>-</v>
      </c>
      <c r="F411" s="2" t="str">
        <f>IFERROR(INDEX(Movimientos!$G$2:$G$1993,MATCH(A411&amp;"ENTRADA",Movimientos!$R$2:$R$1993,0)),"-")</f>
        <v>-</v>
      </c>
      <c r="G411" s="2" t="str">
        <f>IFERROR(INDEX(Movimientos!$L$2:$L$1993,MATCH(A411&amp;"ENTRADA",Movimientos!$R$2:$R$1993,0)),"-")</f>
        <v>-</v>
      </c>
      <c r="H411" s="17" t="str">
        <f>IFERROR(IF(INDEX(Movimientos!$M$2:$M$1993,MATCH(A411&amp;"ENTRADA",Movimientos!$R$2:$R$1993,0))=0,"S/D",INDEX(Movimientos!$M$2:$M$1993,MATCH(A411&amp;"ENTRADA",Movimientos!$R$2:$R$1993,0))),"S/D")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2752</v>
      </c>
      <c r="B412" s="2" t="str">
        <f>IFERROR(INDEX(Movimientos!$C$2:$C$1993,MATCH(A412&amp;"ENTRADA",Movimientos!$R$2:$R$1993,0)),"-")</f>
        <v>-</v>
      </c>
      <c r="C412" s="2" t="str">
        <f>IFERROR(INDEX(Movimientos!$D$2:$D$1993,MATCH(A412&amp;"ENTRADA",Movimientos!$R$2:$R$1993,0)),"-")</f>
        <v>-</v>
      </c>
      <c r="D412" s="2" t="str">
        <f>IFERROR(INDEX(Movimientos!$E$2:$E$1993,MATCH(A412&amp;"ENTRADA",Movimientos!$R$2:$R$1993,0)),"-")</f>
        <v>-</v>
      </c>
      <c r="E412" s="2" t="str">
        <f>IFERROR(INDEX(Movimientos!$F$2:$F$1993,MATCH(A412&amp;"ENTRADA",Movimientos!$R$2:$R$1993,0)),"-")</f>
        <v>-</v>
      </c>
      <c r="F412" s="2" t="str">
        <f>IFERROR(INDEX(Movimientos!$G$2:$G$1993,MATCH(A412&amp;"ENTRADA",Movimientos!$R$2:$R$1993,0)),"-")</f>
        <v>-</v>
      </c>
      <c r="G412" s="2" t="str">
        <f>IFERROR(INDEX(Movimientos!$L$2:$L$1993,MATCH(A412&amp;"ENTRADA",Movimientos!$R$2:$R$1993,0)),"-")</f>
        <v>-</v>
      </c>
      <c r="H412" s="17" t="str">
        <f>IFERROR(IF(INDEX(Movimientos!$M$2:$M$1993,MATCH(A412&amp;"ENTRADA",Movimientos!$R$2:$R$1993,0))=0,"S/D",INDEX(Movimientos!$M$2:$M$1993,MATCH(A412&amp;"ENTRADA",Movimientos!$R$2:$R$1993,0))),"S/D")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2753</v>
      </c>
      <c r="B413" s="2" t="str">
        <f>IFERROR(INDEX(Movimientos!$C$2:$C$1993,MATCH(A413&amp;"ENTRADA",Movimientos!$R$2:$R$1993,0)),"-")</f>
        <v>-</v>
      </c>
      <c r="C413" s="2" t="str">
        <f>IFERROR(INDEX(Movimientos!$D$2:$D$1993,MATCH(A413&amp;"ENTRADA",Movimientos!$R$2:$R$1993,0)),"-")</f>
        <v>-</v>
      </c>
      <c r="D413" s="2" t="str">
        <f>IFERROR(INDEX(Movimientos!$E$2:$E$1993,MATCH(A413&amp;"ENTRADA",Movimientos!$R$2:$R$1993,0)),"-")</f>
        <v>-</v>
      </c>
      <c r="E413" s="2" t="str">
        <f>IFERROR(INDEX(Movimientos!$F$2:$F$1993,MATCH(A413&amp;"ENTRADA",Movimientos!$R$2:$R$1993,0)),"-")</f>
        <v>-</v>
      </c>
      <c r="F413" s="2" t="str">
        <f>IFERROR(INDEX(Movimientos!$G$2:$G$1993,MATCH(A413&amp;"ENTRADA",Movimientos!$R$2:$R$1993,0)),"-")</f>
        <v>-</v>
      </c>
      <c r="G413" s="2" t="str">
        <f>IFERROR(INDEX(Movimientos!$L$2:$L$1993,MATCH(A413&amp;"ENTRADA",Movimientos!$R$2:$R$1993,0)),"-")</f>
        <v>-</v>
      </c>
      <c r="H413" s="17" t="str">
        <f>IFERROR(IF(INDEX(Movimientos!$M$2:$M$1993,MATCH(A413&amp;"ENTRADA",Movimientos!$R$2:$R$1993,0))=0,"S/D",INDEX(Movimientos!$M$2:$M$1993,MATCH(A413&amp;"ENTRADA",Movimientos!$R$2:$R$1993,0))),"S/D")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2754</v>
      </c>
      <c r="B414" s="2" t="str">
        <f>IFERROR(INDEX(Movimientos!$C$2:$C$1993,MATCH(A414&amp;"ENTRADA",Movimientos!$R$2:$R$1993,0)),"-")</f>
        <v>-</v>
      </c>
      <c r="C414" s="2" t="str">
        <f>IFERROR(INDEX(Movimientos!$D$2:$D$1993,MATCH(A414&amp;"ENTRADA",Movimientos!$R$2:$R$1993,0)),"-")</f>
        <v>-</v>
      </c>
      <c r="D414" s="2" t="str">
        <f>IFERROR(INDEX(Movimientos!$E$2:$E$1993,MATCH(A414&amp;"ENTRADA",Movimientos!$R$2:$R$1993,0)),"-")</f>
        <v>-</v>
      </c>
      <c r="E414" s="2" t="str">
        <f>IFERROR(INDEX(Movimientos!$F$2:$F$1993,MATCH(A414&amp;"ENTRADA",Movimientos!$R$2:$R$1993,0)),"-")</f>
        <v>-</v>
      </c>
      <c r="F414" s="2" t="str">
        <f>IFERROR(INDEX(Movimientos!$G$2:$G$1993,MATCH(A414&amp;"ENTRADA",Movimientos!$R$2:$R$1993,0)),"-")</f>
        <v>-</v>
      </c>
      <c r="G414" s="2" t="str">
        <f>IFERROR(INDEX(Movimientos!$L$2:$L$1993,MATCH(A414&amp;"ENTRADA",Movimientos!$R$2:$R$1993,0)),"-")</f>
        <v>-</v>
      </c>
      <c r="H414" s="17" t="str">
        <f>IFERROR(IF(INDEX(Movimientos!$M$2:$M$1993,MATCH(A414&amp;"ENTRADA",Movimientos!$R$2:$R$1993,0))=0,"S/D",INDEX(Movimientos!$M$2:$M$1993,MATCH(A414&amp;"ENTRADA",Movimientos!$R$2:$R$1993,0))),"S/D")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2755</v>
      </c>
      <c r="B415" s="2" t="str">
        <f>IFERROR(INDEX(Movimientos!$C$2:$C$1993,MATCH(A415&amp;"ENTRADA",Movimientos!$R$2:$R$1993,0)),"-")</f>
        <v>-</v>
      </c>
      <c r="C415" s="2" t="str">
        <f>IFERROR(INDEX(Movimientos!$D$2:$D$1993,MATCH(A415&amp;"ENTRADA",Movimientos!$R$2:$R$1993,0)),"-")</f>
        <v>-</v>
      </c>
      <c r="D415" s="2" t="str">
        <f>IFERROR(INDEX(Movimientos!$E$2:$E$1993,MATCH(A415&amp;"ENTRADA",Movimientos!$R$2:$R$1993,0)),"-")</f>
        <v>-</v>
      </c>
      <c r="E415" s="2" t="str">
        <f>IFERROR(INDEX(Movimientos!$F$2:$F$1993,MATCH(A415&amp;"ENTRADA",Movimientos!$R$2:$R$1993,0)),"-")</f>
        <v>-</v>
      </c>
      <c r="F415" s="2" t="str">
        <f>IFERROR(INDEX(Movimientos!$G$2:$G$1993,MATCH(A415&amp;"ENTRADA",Movimientos!$R$2:$R$1993,0)),"-")</f>
        <v>-</v>
      </c>
      <c r="G415" s="2" t="str">
        <f>IFERROR(INDEX(Movimientos!$L$2:$L$1993,MATCH(A415&amp;"ENTRADA",Movimientos!$R$2:$R$1993,0)),"-")</f>
        <v>-</v>
      </c>
      <c r="H415" s="17" t="str">
        <f>IFERROR(IF(INDEX(Movimientos!$M$2:$M$1993,MATCH(A415&amp;"ENTRADA",Movimientos!$R$2:$R$1993,0))=0,"S/D",INDEX(Movimientos!$M$2:$M$1993,MATCH(A415&amp;"ENTRADA",Movimientos!$R$2:$R$1993,0))),"S/D")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2756</v>
      </c>
      <c r="B416" s="2" t="str">
        <f>IFERROR(INDEX(Movimientos!$C$2:$C$1993,MATCH(A416&amp;"ENTRADA",Movimientos!$R$2:$R$1993,0)),"-")</f>
        <v>-</v>
      </c>
      <c r="C416" s="2" t="str">
        <f>IFERROR(INDEX(Movimientos!$D$2:$D$1993,MATCH(A416&amp;"ENTRADA",Movimientos!$R$2:$R$1993,0)),"-")</f>
        <v>-</v>
      </c>
      <c r="D416" s="2" t="str">
        <f>IFERROR(INDEX(Movimientos!$E$2:$E$1993,MATCH(A416&amp;"ENTRADA",Movimientos!$R$2:$R$1993,0)),"-")</f>
        <v>-</v>
      </c>
      <c r="E416" s="2" t="str">
        <f>IFERROR(INDEX(Movimientos!$F$2:$F$1993,MATCH(A416&amp;"ENTRADA",Movimientos!$R$2:$R$1993,0)),"-")</f>
        <v>-</v>
      </c>
      <c r="F416" s="2" t="str">
        <f>IFERROR(INDEX(Movimientos!$G$2:$G$1993,MATCH(A416&amp;"ENTRADA",Movimientos!$R$2:$R$1993,0)),"-")</f>
        <v>-</v>
      </c>
      <c r="G416" s="2" t="str">
        <f>IFERROR(INDEX(Movimientos!$L$2:$L$1993,MATCH(A416&amp;"ENTRADA",Movimientos!$R$2:$R$1993,0)),"-")</f>
        <v>-</v>
      </c>
      <c r="H416" s="17" t="str">
        <f>IFERROR(IF(INDEX(Movimientos!$M$2:$M$1993,MATCH(A416&amp;"ENTRADA",Movimientos!$R$2:$R$1993,0))=0,"S/D",INDEX(Movimientos!$M$2:$M$1993,MATCH(A416&amp;"ENTRADA",Movimientos!$R$2:$R$1993,0))),"S/D")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2757</v>
      </c>
      <c r="B417" s="2" t="str">
        <f>IFERROR(INDEX(Movimientos!$C$2:$C$1993,MATCH(A417&amp;"ENTRADA",Movimientos!$R$2:$R$1993,0)),"-")</f>
        <v>-</v>
      </c>
      <c r="C417" s="2" t="str">
        <f>IFERROR(INDEX(Movimientos!$D$2:$D$1993,MATCH(A417&amp;"ENTRADA",Movimientos!$R$2:$R$1993,0)),"-")</f>
        <v>-</v>
      </c>
      <c r="D417" s="2" t="str">
        <f>IFERROR(INDEX(Movimientos!$E$2:$E$1993,MATCH(A417&amp;"ENTRADA",Movimientos!$R$2:$R$1993,0)),"-")</f>
        <v>-</v>
      </c>
      <c r="E417" s="2" t="str">
        <f>IFERROR(INDEX(Movimientos!$F$2:$F$1993,MATCH(A417&amp;"ENTRADA",Movimientos!$R$2:$R$1993,0)),"-")</f>
        <v>-</v>
      </c>
      <c r="F417" s="2" t="str">
        <f>IFERROR(INDEX(Movimientos!$G$2:$G$1993,MATCH(A417&amp;"ENTRADA",Movimientos!$R$2:$R$1993,0)),"-")</f>
        <v>-</v>
      </c>
      <c r="G417" s="2" t="str">
        <f>IFERROR(INDEX(Movimientos!$L$2:$L$1993,MATCH(A417&amp;"ENTRADA",Movimientos!$R$2:$R$1993,0)),"-")</f>
        <v>-</v>
      </c>
      <c r="H417" s="17" t="str">
        <f>IFERROR(IF(INDEX(Movimientos!$M$2:$M$1993,MATCH(A417&amp;"ENTRADA",Movimientos!$R$2:$R$1993,0))=0,"S/D",INDEX(Movimientos!$M$2:$M$1993,MATCH(A417&amp;"ENTRADA",Movimientos!$R$2:$R$1993,0))),"S/D")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2758</v>
      </c>
      <c r="B418" s="2" t="str">
        <f>IFERROR(INDEX(Movimientos!$C$2:$C$1993,MATCH(A418&amp;"ENTRADA",Movimientos!$R$2:$R$1993,0)),"-")</f>
        <v>-</v>
      </c>
      <c r="C418" s="2" t="str">
        <f>IFERROR(INDEX(Movimientos!$D$2:$D$1993,MATCH(A418&amp;"ENTRADA",Movimientos!$R$2:$R$1993,0)),"-")</f>
        <v>-</v>
      </c>
      <c r="D418" s="2" t="str">
        <f>IFERROR(INDEX(Movimientos!$E$2:$E$1993,MATCH(A418&amp;"ENTRADA",Movimientos!$R$2:$R$1993,0)),"-")</f>
        <v>-</v>
      </c>
      <c r="E418" s="2" t="str">
        <f>IFERROR(INDEX(Movimientos!$F$2:$F$1993,MATCH(A418&amp;"ENTRADA",Movimientos!$R$2:$R$1993,0)),"-")</f>
        <v>-</v>
      </c>
      <c r="F418" s="2" t="str">
        <f>IFERROR(INDEX(Movimientos!$G$2:$G$1993,MATCH(A418&amp;"ENTRADA",Movimientos!$R$2:$R$1993,0)),"-")</f>
        <v>-</v>
      </c>
      <c r="G418" s="2" t="str">
        <f>IFERROR(INDEX(Movimientos!$L$2:$L$1993,MATCH(A418&amp;"ENTRADA",Movimientos!$R$2:$R$1993,0)),"-")</f>
        <v>-</v>
      </c>
      <c r="H418" s="17" t="str">
        <f>IFERROR(IF(INDEX(Movimientos!$M$2:$M$1993,MATCH(A418&amp;"ENTRADA",Movimientos!$R$2:$R$1993,0))=0,"S/D",INDEX(Movimientos!$M$2:$M$1993,MATCH(A418&amp;"ENTRADA",Movimientos!$R$2:$R$1993,0))),"S/D")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2759</v>
      </c>
      <c r="B419" s="2" t="str">
        <f>IFERROR(INDEX(Movimientos!$C$2:$C$1993,MATCH(A419&amp;"ENTRADA",Movimientos!$R$2:$R$1993,0)),"-")</f>
        <v>-</v>
      </c>
      <c r="C419" s="2" t="str">
        <f>IFERROR(INDEX(Movimientos!$D$2:$D$1993,MATCH(A419&amp;"ENTRADA",Movimientos!$R$2:$R$1993,0)),"-")</f>
        <v>-</v>
      </c>
      <c r="D419" s="2" t="str">
        <f>IFERROR(INDEX(Movimientos!$E$2:$E$1993,MATCH(A419&amp;"ENTRADA",Movimientos!$R$2:$R$1993,0)),"-")</f>
        <v>-</v>
      </c>
      <c r="E419" s="2" t="str">
        <f>IFERROR(INDEX(Movimientos!$F$2:$F$1993,MATCH(A419&amp;"ENTRADA",Movimientos!$R$2:$R$1993,0)),"-")</f>
        <v>-</v>
      </c>
      <c r="F419" s="2" t="str">
        <f>IFERROR(INDEX(Movimientos!$G$2:$G$1993,MATCH(A419&amp;"ENTRADA",Movimientos!$R$2:$R$1993,0)),"-")</f>
        <v>-</v>
      </c>
      <c r="G419" s="2" t="str">
        <f>IFERROR(INDEX(Movimientos!$L$2:$L$1993,MATCH(A419&amp;"ENTRADA",Movimientos!$R$2:$R$1993,0)),"-")</f>
        <v>-</v>
      </c>
      <c r="H419" s="17" t="str">
        <f>IFERROR(IF(INDEX(Movimientos!$M$2:$M$1993,MATCH(A419&amp;"ENTRADA",Movimientos!$R$2:$R$1993,0))=0,"S/D",INDEX(Movimientos!$M$2:$M$1993,MATCH(A419&amp;"ENTRADA",Movimientos!$R$2:$R$1993,0))),"S/D")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2760</v>
      </c>
      <c r="B420" s="2" t="str">
        <f>IFERROR(INDEX(Movimientos!$C$2:$C$1993,MATCH(A420&amp;"ENTRADA",Movimientos!$R$2:$R$1993,0)),"-")</f>
        <v>-</v>
      </c>
      <c r="C420" s="2" t="str">
        <f>IFERROR(INDEX(Movimientos!$D$2:$D$1993,MATCH(A420&amp;"ENTRADA",Movimientos!$R$2:$R$1993,0)),"-")</f>
        <v>-</v>
      </c>
      <c r="D420" s="2" t="str">
        <f>IFERROR(INDEX(Movimientos!$E$2:$E$1993,MATCH(A420&amp;"ENTRADA",Movimientos!$R$2:$R$1993,0)),"-")</f>
        <v>-</v>
      </c>
      <c r="E420" s="2" t="str">
        <f>IFERROR(INDEX(Movimientos!$F$2:$F$1993,MATCH(A420&amp;"ENTRADA",Movimientos!$R$2:$R$1993,0)),"-")</f>
        <v>-</v>
      </c>
      <c r="F420" s="2" t="str">
        <f>IFERROR(INDEX(Movimientos!$G$2:$G$1993,MATCH(A420&amp;"ENTRADA",Movimientos!$R$2:$R$1993,0)),"-")</f>
        <v>-</v>
      </c>
      <c r="G420" s="2" t="str">
        <f>IFERROR(INDEX(Movimientos!$L$2:$L$1993,MATCH(A420&amp;"ENTRADA",Movimientos!$R$2:$R$1993,0)),"-")</f>
        <v>-</v>
      </c>
      <c r="H420" s="17" t="str">
        <f>IFERROR(IF(INDEX(Movimientos!$M$2:$M$1993,MATCH(A420&amp;"ENTRADA",Movimientos!$R$2:$R$1993,0))=0,"S/D",INDEX(Movimientos!$M$2:$M$1993,MATCH(A420&amp;"ENTRADA",Movimientos!$R$2:$R$1993,0))),"S/D")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2761</v>
      </c>
      <c r="B421" s="2" t="str">
        <f>IFERROR(INDEX(Movimientos!$C$2:$C$1993,MATCH(A421&amp;"ENTRADA",Movimientos!$R$2:$R$1993,0)),"-")</f>
        <v>-</v>
      </c>
      <c r="C421" s="2" t="str">
        <f>IFERROR(INDEX(Movimientos!$D$2:$D$1993,MATCH(A421&amp;"ENTRADA",Movimientos!$R$2:$R$1993,0)),"-")</f>
        <v>-</v>
      </c>
      <c r="D421" s="2" t="str">
        <f>IFERROR(INDEX(Movimientos!$E$2:$E$1993,MATCH(A421&amp;"ENTRADA",Movimientos!$R$2:$R$1993,0)),"-")</f>
        <v>-</v>
      </c>
      <c r="E421" s="2" t="str">
        <f>IFERROR(INDEX(Movimientos!$F$2:$F$1993,MATCH(A421&amp;"ENTRADA",Movimientos!$R$2:$R$1993,0)),"-")</f>
        <v>-</v>
      </c>
      <c r="F421" s="2" t="str">
        <f>IFERROR(INDEX(Movimientos!$G$2:$G$1993,MATCH(A421&amp;"ENTRADA",Movimientos!$R$2:$R$1993,0)),"-")</f>
        <v>-</v>
      </c>
      <c r="G421" s="2" t="str">
        <f>IFERROR(INDEX(Movimientos!$L$2:$L$1993,MATCH(A421&amp;"ENTRADA",Movimientos!$R$2:$R$1993,0)),"-")</f>
        <v>-</v>
      </c>
      <c r="H421" s="17" t="str">
        <f>IFERROR(IF(INDEX(Movimientos!$M$2:$M$1993,MATCH(A421&amp;"ENTRADA",Movimientos!$R$2:$R$1993,0))=0,"S/D",INDEX(Movimientos!$M$2:$M$1993,MATCH(A421&amp;"ENTRADA",Movimientos!$R$2:$R$1993,0))),"S/D")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2762</v>
      </c>
      <c r="B422" s="2" t="str">
        <f>IFERROR(INDEX(Movimientos!$C$2:$C$1993,MATCH(A422&amp;"ENTRADA",Movimientos!$R$2:$R$1993,0)),"-")</f>
        <v>-</v>
      </c>
      <c r="C422" s="2" t="str">
        <f>IFERROR(INDEX(Movimientos!$D$2:$D$1993,MATCH(A422&amp;"ENTRADA",Movimientos!$R$2:$R$1993,0)),"-")</f>
        <v>-</v>
      </c>
      <c r="D422" s="2" t="str">
        <f>IFERROR(INDEX(Movimientos!$E$2:$E$1993,MATCH(A422&amp;"ENTRADA",Movimientos!$R$2:$R$1993,0)),"-")</f>
        <v>-</v>
      </c>
      <c r="E422" s="2" t="str">
        <f>IFERROR(INDEX(Movimientos!$F$2:$F$1993,MATCH(A422&amp;"ENTRADA",Movimientos!$R$2:$R$1993,0)),"-")</f>
        <v>-</v>
      </c>
      <c r="F422" s="2" t="str">
        <f>IFERROR(INDEX(Movimientos!$G$2:$G$1993,MATCH(A422&amp;"ENTRADA",Movimientos!$R$2:$R$1993,0)),"-")</f>
        <v>-</v>
      </c>
      <c r="G422" s="2" t="str">
        <f>IFERROR(INDEX(Movimientos!$L$2:$L$1993,MATCH(A422&amp;"ENTRADA",Movimientos!$R$2:$R$1993,0)),"-")</f>
        <v>-</v>
      </c>
      <c r="H422" s="17" t="str">
        <f>IFERROR(IF(INDEX(Movimientos!$M$2:$M$1993,MATCH(A422&amp;"ENTRADA",Movimientos!$R$2:$R$1993,0))=0,"S/D",INDEX(Movimientos!$M$2:$M$1993,MATCH(A422&amp;"ENTRADA",Movimientos!$R$2:$R$1993,0))),"S/D")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2763</v>
      </c>
      <c r="B423" s="2" t="str">
        <f>IFERROR(INDEX(Movimientos!$C$2:$C$1993,MATCH(A423&amp;"ENTRADA",Movimientos!$R$2:$R$1993,0)),"-")</f>
        <v>-</v>
      </c>
      <c r="C423" s="2" t="str">
        <f>IFERROR(INDEX(Movimientos!$D$2:$D$1993,MATCH(A423&amp;"ENTRADA",Movimientos!$R$2:$R$1993,0)),"-")</f>
        <v>-</v>
      </c>
      <c r="D423" s="2" t="str">
        <f>IFERROR(INDEX(Movimientos!$E$2:$E$1993,MATCH(A423&amp;"ENTRADA",Movimientos!$R$2:$R$1993,0)),"-")</f>
        <v>-</v>
      </c>
      <c r="E423" s="2" t="str">
        <f>IFERROR(INDEX(Movimientos!$F$2:$F$1993,MATCH(A423&amp;"ENTRADA",Movimientos!$R$2:$R$1993,0)),"-")</f>
        <v>-</v>
      </c>
      <c r="F423" s="2" t="str">
        <f>IFERROR(INDEX(Movimientos!$G$2:$G$1993,MATCH(A423&amp;"ENTRADA",Movimientos!$R$2:$R$1993,0)),"-")</f>
        <v>-</v>
      </c>
      <c r="G423" s="2" t="str">
        <f>IFERROR(INDEX(Movimientos!$L$2:$L$1993,MATCH(A423&amp;"ENTRADA",Movimientos!$R$2:$R$1993,0)),"-")</f>
        <v>-</v>
      </c>
      <c r="H423" s="17" t="str">
        <f>IFERROR(IF(INDEX(Movimientos!$M$2:$M$1993,MATCH(A423&amp;"ENTRADA",Movimientos!$R$2:$R$1993,0))=0,"S/D",INDEX(Movimientos!$M$2:$M$1993,MATCH(A423&amp;"ENTRADA",Movimientos!$R$2:$R$1993,0))),"S/D")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2764</v>
      </c>
      <c r="B424" s="2" t="str">
        <f>IFERROR(INDEX(Movimientos!$C$2:$C$1993,MATCH(A424&amp;"ENTRADA",Movimientos!$R$2:$R$1993,0)),"-")</f>
        <v>-</v>
      </c>
      <c r="C424" s="2" t="str">
        <f>IFERROR(INDEX(Movimientos!$D$2:$D$1993,MATCH(A424&amp;"ENTRADA",Movimientos!$R$2:$R$1993,0)),"-")</f>
        <v>-</v>
      </c>
      <c r="D424" s="2" t="str">
        <f>IFERROR(INDEX(Movimientos!$E$2:$E$1993,MATCH(A424&amp;"ENTRADA",Movimientos!$R$2:$R$1993,0)),"-")</f>
        <v>-</v>
      </c>
      <c r="E424" s="2" t="str">
        <f>IFERROR(INDEX(Movimientos!$F$2:$F$1993,MATCH(A424&amp;"ENTRADA",Movimientos!$R$2:$R$1993,0)),"-")</f>
        <v>-</v>
      </c>
      <c r="F424" s="2" t="str">
        <f>IFERROR(INDEX(Movimientos!$G$2:$G$1993,MATCH(A424&amp;"ENTRADA",Movimientos!$R$2:$R$1993,0)),"-")</f>
        <v>-</v>
      </c>
      <c r="G424" s="2" t="str">
        <f>IFERROR(INDEX(Movimientos!$L$2:$L$1993,MATCH(A424&amp;"ENTRADA",Movimientos!$R$2:$R$1993,0)),"-")</f>
        <v>-</v>
      </c>
      <c r="H424" s="17" t="str">
        <f>IFERROR(IF(INDEX(Movimientos!$M$2:$M$1993,MATCH(A424&amp;"ENTRADA",Movimientos!$R$2:$R$1993,0))=0,"S/D",INDEX(Movimientos!$M$2:$M$1993,MATCH(A424&amp;"ENTRADA",Movimientos!$R$2:$R$1993,0))),"S/D")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2765</v>
      </c>
      <c r="B425" s="2" t="str">
        <f>IFERROR(INDEX(Movimientos!$C$2:$C$1993,MATCH(A425&amp;"ENTRADA",Movimientos!$R$2:$R$1993,0)),"-")</f>
        <v>-</v>
      </c>
      <c r="C425" s="2" t="str">
        <f>IFERROR(INDEX(Movimientos!$D$2:$D$1993,MATCH(A425&amp;"ENTRADA",Movimientos!$R$2:$R$1993,0)),"-")</f>
        <v>-</v>
      </c>
      <c r="D425" s="2" t="str">
        <f>IFERROR(INDEX(Movimientos!$E$2:$E$1993,MATCH(A425&amp;"ENTRADA",Movimientos!$R$2:$R$1993,0)),"-")</f>
        <v>-</v>
      </c>
      <c r="E425" s="2" t="str">
        <f>IFERROR(INDEX(Movimientos!$F$2:$F$1993,MATCH(A425&amp;"ENTRADA",Movimientos!$R$2:$R$1993,0)),"-")</f>
        <v>-</v>
      </c>
      <c r="F425" s="2" t="str">
        <f>IFERROR(INDEX(Movimientos!$G$2:$G$1993,MATCH(A425&amp;"ENTRADA",Movimientos!$R$2:$R$1993,0)),"-")</f>
        <v>-</v>
      </c>
      <c r="G425" s="2" t="str">
        <f>IFERROR(INDEX(Movimientos!$L$2:$L$1993,MATCH(A425&amp;"ENTRADA",Movimientos!$R$2:$R$1993,0)),"-")</f>
        <v>-</v>
      </c>
      <c r="H425" s="17" t="str">
        <f>IFERROR(IF(INDEX(Movimientos!$M$2:$M$1993,MATCH(A425&amp;"ENTRADA",Movimientos!$R$2:$R$1993,0))=0,"S/D",INDEX(Movimientos!$M$2:$M$1993,MATCH(A425&amp;"ENTRADA",Movimientos!$R$2:$R$1993,0))),"S/D")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2766</v>
      </c>
      <c r="B426" s="2" t="str">
        <f>IFERROR(INDEX(Movimientos!$C$2:$C$1993,MATCH(A426&amp;"ENTRADA",Movimientos!$R$2:$R$1993,0)),"-")</f>
        <v>-</v>
      </c>
      <c r="C426" s="2" t="str">
        <f>IFERROR(INDEX(Movimientos!$D$2:$D$1993,MATCH(A426&amp;"ENTRADA",Movimientos!$R$2:$R$1993,0)),"-")</f>
        <v>-</v>
      </c>
      <c r="D426" s="2" t="str">
        <f>IFERROR(INDEX(Movimientos!$E$2:$E$1993,MATCH(A426&amp;"ENTRADA",Movimientos!$R$2:$R$1993,0)),"-")</f>
        <v>-</v>
      </c>
      <c r="E426" s="2" t="str">
        <f>IFERROR(INDEX(Movimientos!$F$2:$F$1993,MATCH(A426&amp;"ENTRADA",Movimientos!$R$2:$R$1993,0)),"-")</f>
        <v>-</v>
      </c>
      <c r="F426" s="2" t="str">
        <f>IFERROR(INDEX(Movimientos!$G$2:$G$1993,MATCH(A426&amp;"ENTRADA",Movimientos!$R$2:$R$1993,0)),"-")</f>
        <v>-</v>
      </c>
      <c r="G426" s="2" t="str">
        <f>IFERROR(INDEX(Movimientos!$L$2:$L$1993,MATCH(A426&amp;"ENTRADA",Movimientos!$R$2:$R$1993,0)),"-")</f>
        <v>-</v>
      </c>
      <c r="H426" s="17" t="str">
        <f>IFERROR(IF(INDEX(Movimientos!$M$2:$M$1993,MATCH(A426&amp;"ENTRADA",Movimientos!$R$2:$R$1993,0))=0,"S/D",INDEX(Movimientos!$M$2:$M$1993,MATCH(A426&amp;"ENTRADA",Movimientos!$R$2:$R$1993,0))),"S/D")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2767</v>
      </c>
      <c r="B427" s="2" t="str">
        <f>IFERROR(INDEX(Movimientos!$C$2:$C$1993,MATCH(A427&amp;"ENTRADA",Movimientos!$R$2:$R$1993,0)),"-")</f>
        <v>-</v>
      </c>
      <c r="C427" s="2" t="str">
        <f>IFERROR(INDEX(Movimientos!$D$2:$D$1993,MATCH(A427&amp;"ENTRADA",Movimientos!$R$2:$R$1993,0)),"-")</f>
        <v>-</v>
      </c>
      <c r="D427" s="2" t="str">
        <f>IFERROR(INDEX(Movimientos!$E$2:$E$1993,MATCH(A427&amp;"ENTRADA",Movimientos!$R$2:$R$1993,0)),"-")</f>
        <v>-</v>
      </c>
      <c r="E427" s="2" t="str">
        <f>IFERROR(INDEX(Movimientos!$F$2:$F$1993,MATCH(A427&amp;"ENTRADA",Movimientos!$R$2:$R$1993,0)),"-")</f>
        <v>-</v>
      </c>
      <c r="F427" s="2" t="str">
        <f>IFERROR(INDEX(Movimientos!$G$2:$G$1993,MATCH(A427&amp;"ENTRADA",Movimientos!$R$2:$R$1993,0)),"-")</f>
        <v>-</v>
      </c>
      <c r="G427" s="2" t="str">
        <f>IFERROR(INDEX(Movimientos!$L$2:$L$1993,MATCH(A427&amp;"ENTRADA",Movimientos!$R$2:$R$1993,0)),"-")</f>
        <v>-</v>
      </c>
      <c r="H427" s="17" t="str">
        <f>IFERROR(IF(INDEX(Movimientos!$M$2:$M$1993,MATCH(A427&amp;"ENTRADA",Movimientos!$R$2:$R$1993,0))=0,"S/D",INDEX(Movimientos!$M$2:$M$1993,MATCH(A427&amp;"ENTRADA",Movimientos!$R$2:$R$1993,0))),"S/D")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2768</v>
      </c>
      <c r="B428" s="2" t="str">
        <f>IFERROR(INDEX(Movimientos!$C$2:$C$1993,MATCH(A428&amp;"ENTRADA",Movimientos!$R$2:$R$1993,0)),"-")</f>
        <v>-</v>
      </c>
      <c r="C428" s="2" t="str">
        <f>IFERROR(INDEX(Movimientos!$D$2:$D$1993,MATCH(A428&amp;"ENTRADA",Movimientos!$R$2:$R$1993,0)),"-")</f>
        <v>-</v>
      </c>
      <c r="D428" s="2" t="str">
        <f>IFERROR(INDEX(Movimientos!$E$2:$E$1993,MATCH(A428&amp;"ENTRADA",Movimientos!$R$2:$R$1993,0)),"-")</f>
        <v>-</v>
      </c>
      <c r="E428" s="2" t="str">
        <f>IFERROR(INDEX(Movimientos!$F$2:$F$1993,MATCH(A428&amp;"ENTRADA",Movimientos!$R$2:$R$1993,0)),"-")</f>
        <v>-</v>
      </c>
      <c r="F428" s="2" t="str">
        <f>IFERROR(INDEX(Movimientos!$G$2:$G$1993,MATCH(A428&amp;"ENTRADA",Movimientos!$R$2:$R$1993,0)),"-")</f>
        <v>-</v>
      </c>
      <c r="G428" s="2" t="str">
        <f>IFERROR(INDEX(Movimientos!$L$2:$L$1993,MATCH(A428&amp;"ENTRADA",Movimientos!$R$2:$R$1993,0)),"-")</f>
        <v>-</v>
      </c>
      <c r="H428" s="17" t="str">
        <f>IFERROR(IF(INDEX(Movimientos!$M$2:$M$1993,MATCH(A428&amp;"ENTRADA",Movimientos!$R$2:$R$1993,0))=0,"S/D",INDEX(Movimientos!$M$2:$M$1993,MATCH(A428&amp;"ENTRADA",Movimientos!$R$2:$R$1993,0))),"S/D")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2769</v>
      </c>
      <c r="B429" s="2" t="str">
        <f>IFERROR(INDEX(Movimientos!$C$2:$C$1993,MATCH(A429&amp;"ENTRADA",Movimientos!$R$2:$R$1993,0)),"-")</f>
        <v>-</v>
      </c>
      <c r="C429" s="2" t="str">
        <f>IFERROR(INDEX(Movimientos!$D$2:$D$1993,MATCH(A429&amp;"ENTRADA",Movimientos!$R$2:$R$1993,0)),"-")</f>
        <v>-</v>
      </c>
      <c r="D429" s="2" t="str">
        <f>IFERROR(INDEX(Movimientos!$E$2:$E$1993,MATCH(A429&amp;"ENTRADA",Movimientos!$R$2:$R$1993,0)),"-")</f>
        <v>-</v>
      </c>
      <c r="E429" s="2" t="str">
        <f>IFERROR(INDEX(Movimientos!$F$2:$F$1993,MATCH(A429&amp;"ENTRADA",Movimientos!$R$2:$R$1993,0)),"-")</f>
        <v>-</v>
      </c>
      <c r="F429" s="2" t="str">
        <f>IFERROR(INDEX(Movimientos!$G$2:$G$1993,MATCH(A429&amp;"ENTRADA",Movimientos!$R$2:$R$1993,0)),"-")</f>
        <v>-</v>
      </c>
      <c r="G429" s="2" t="str">
        <f>IFERROR(INDEX(Movimientos!$L$2:$L$1993,MATCH(A429&amp;"ENTRADA",Movimientos!$R$2:$R$1993,0)),"-")</f>
        <v>-</v>
      </c>
      <c r="H429" s="17" t="str">
        <f>IFERROR(IF(INDEX(Movimientos!$M$2:$M$1993,MATCH(A429&amp;"ENTRADA",Movimientos!$R$2:$R$1993,0))=0,"S/D",INDEX(Movimientos!$M$2:$M$1993,MATCH(A429&amp;"ENTRADA",Movimientos!$R$2:$R$1993,0))),"S/D")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2770</v>
      </c>
      <c r="B430" s="2" t="str">
        <f>IFERROR(INDEX(Movimientos!$C$2:$C$1993,MATCH(A430&amp;"ENTRADA",Movimientos!$R$2:$R$1993,0)),"-")</f>
        <v>-</v>
      </c>
      <c r="C430" s="2" t="str">
        <f>IFERROR(INDEX(Movimientos!$D$2:$D$1993,MATCH(A430&amp;"ENTRADA",Movimientos!$R$2:$R$1993,0)),"-")</f>
        <v>-</v>
      </c>
      <c r="D430" s="2" t="str">
        <f>IFERROR(INDEX(Movimientos!$E$2:$E$1993,MATCH(A430&amp;"ENTRADA",Movimientos!$R$2:$R$1993,0)),"-")</f>
        <v>-</v>
      </c>
      <c r="E430" s="2" t="str">
        <f>IFERROR(INDEX(Movimientos!$F$2:$F$1993,MATCH(A430&amp;"ENTRADA",Movimientos!$R$2:$R$1993,0)),"-")</f>
        <v>-</v>
      </c>
      <c r="F430" s="2" t="str">
        <f>IFERROR(INDEX(Movimientos!$G$2:$G$1993,MATCH(A430&amp;"ENTRADA",Movimientos!$R$2:$R$1993,0)),"-")</f>
        <v>-</v>
      </c>
      <c r="G430" s="2" t="str">
        <f>IFERROR(INDEX(Movimientos!$L$2:$L$1993,MATCH(A430&amp;"ENTRADA",Movimientos!$R$2:$R$1993,0)),"-")</f>
        <v>-</v>
      </c>
      <c r="H430" s="17" t="str">
        <f>IFERROR(IF(INDEX(Movimientos!$M$2:$M$1993,MATCH(A430&amp;"ENTRADA",Movimientos!$R$2:$R$1993,0))=0,"S/D",INDEX(Movimientos!$M$2:$M$1993,MATCH(A430&amp;"ENTRADA",Movimientos!$R$2:$R$1993,0))),"S/D")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2771</v>
      </c>
      <c r="B431" s="2" t="str">
        <f>IFERROR(INDEX(Movimientos!$C$2:$C$1993,MATCH(A431&amp;"ENTRADA",Movimientos!$R$2:$R$1993,0)),"-")</f>
        <v>-</v>
      </c>
      <c r="C431" s="2" t="str">
        <f>IFERROR(INDEX(Movimientos!$D$2:$D$1993,MATCH(A431&amp;"ENTRADA",Movimientos!$R$2:$R$1993,0)),"-")</f>
        <v>-</v>
      </c>
      <c r="D431" s="2" t="str">
        <f>IFERROR(INDEX(Movimientos!$E$2:$E$1993,MATCH(A431&amp;"ENTRADA",Movimientos!$R$2:$R$1993,0)),"-")</f>
        <v>-</v>
      </c>
      <c r="E431" s="2" t="str">
        <f>IFERROR(INDEX(Movimientos!$F$2:$F$1993,MATCH(A431&amp;"ENTRADA",Movimientos!$R$2:$R$1993,0)),"-")</f>
        <v>-</v>
      </c>
      <c r="F431" s="2" t="str">
        <f>IFERROR(INDEX(Movimientos!$G$2:$G$1993,MATCH(A431&amp;"ENTRADA",Movimientos!$R$2:$R$1993,0)),"-")</f>
        <v>-</v>
      </c>
      <c r="G431" s="2" t="str">
        <f>IFERROR(INDEX(Movimientos!$L$2:$L$1993,MATCH(A431&amp;"ENTRADA",Movimientos!$R$2:$R$1993,0)),"-")</f>
        <v>-</v>
      </c>
      <c r="H431" s="17" t="str">
        <f>IFERROR(IF(INDEX(Movimientos!$M$2:$M$1993,MATCH(A431&amp;"ENTRADA",Movimientos!$R$2:$R$1993,0))=0,"S/D",INDEX(Movimientos!$M$2:$M$1993,MATCH(A431&amp;"ENTRADA",Movimientos!$R$2:$R$1993,0))),"S/D")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2772</v>
      </c>
      <c r="B432" s="2" t="str">
        <f>IFERROR(INDEX(Movimientos!$C$2:$C$1993,MATCH(A432&amp;"ENTRADA",Movimientos!$R$2:$R$1993,0)),"-")</f>
        <v>-</v>
      </c>
      <c r="C432" s="2" t="str">
        <f>IFERROR(INDEX(Movimientos!$D$2:$D$1993,MATCH(A432&amp;"ENTRADA",Movimientos!$R$2:$R$1993,0)),"-")</f>
        <v>-</v>
      </c>
      <c r="D432" s="2" t="str">
        <f>IFERROR(INDEX(Movimientos!$E$2:$E$1993,MATCH(A432&amp;"ENTRADA",Movimientos!$R$2:$R$1993,0)),"-")</f>
        <v>-</v>
      </c>
      <c r="E432" s="2" t="str">
        <f>IFERROR(INDEX(Movimientos!$F$2:$F$1993,MATCH(A432&amp;"ENTRADA",Movimientos!$R$2:$R$1993,0)),"-")</f>
        <v>-</v>
      </c>
      <c r="F432" s="2" t="str">
        <f>IFERROR(INDEX(Movimientos!$G$2:$G$1993,MATCH(A432&amp;"ENTRADA",Movimientos!$R$2:$R$1993,0)),"-")</f>
        <v>-</v>
      </c>
      <c r="G432" s="2" t="str">
        <f>IFERROR(INDEX(Movimientos!$L$2:$L$1993,MATCH(A432&amp;"ENTRADA",Movimientos!$R$2:$R$1993,0)),"-")</f>
        <v>-</v>
      </c>
      <c r="H432" s="17" t="str">
        <f>IFERROR(IF(INDEX(Movimientos!$M$2:$M$1993,MATCH(A432&amp;"ENTRADA",Movimientos!$R$2:$R$1993,0))=0,"S/D",INDEX(Movimientos!$M$2:$M$1993,MATCH(A432&amp;"ENTRADA",Movimientos!$R$2:$R$1993,0))),"S/D")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2773</v>
      </c>
      <c r="B433" s="2" t="str">
        <f>IFERROR(INDEX(Movimientos!$C$2:$C$1993,MATCH(A433&amp;"ENTRADA",Movimientos!$R$2:$R$1993,0)),"-")</f>
        <v>-</v>
      </c>
      <c r="C433" s="2" t="str">
        <f>IFERROR(INDEX(Movimientos!$D$2:$D$1993,MATCH(A433&amp;"ENTRADA",Movimientos!$R$2:$R$1993,0)),"-")</f>
        <v>-</v>
      </c>
      <c r="D433" s="2" t="str">
        <f>IFERROR(INDEX(Movimientos!$E$2:$E$1993,MATCH(A433&amp;"ENTRADA",Movimientos!$R$2:$R$1993,0)),"-")</f>
        <v>-</v>
      </c>
      <c r="E433" s="2" t="str">
        <f>IFERROR(INDEX(Movimientos!$F$2:$F$1993,MATCH(A433&amp;"ENTRADA",Movimientos!$R$2:$R$1993,0)),"-")</f>
        <v>-</v>
      </c>
      <c r="F433" s="2" t="str">
        <f>IFERROR(INDEX(Movimientos!$G$2:$G$1993,MATCH(A433&amp;"ENTRADA",Movimientos!$R$2:$R$1993,0)),"-")</f>
        <v>-</v>
      </c>
      <c r="G433" s="2" t="str">
        <f>IFERROR(INDEX(Movimientos!$L$2:$L$1993,MATCH(A433&amp;"ENTRADA",Movimientos!$R$2:$R$1993,0)),"-")</f>
        <v>-</v>
      </c>
      <c r="H433" s="17" t="str">
        <f>IFERROR(IF(INDEX(Movimientos!$M$2:$M$1993,MATCH(A433&amp;"ENTRADA",Movimientos!$R$2:$R$1993,0))=0,"S/D",INDEX(Movimientos!$M$2:$M$1993,MATCH(A433&amp;"ENTRADA",Movimientos!$R$2:$R$1993,0))),"S/D")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2774</v>
      </c>
      <c r="B434" s="2" t="str">
        <f>IFERROR(INDEX(Movimientos!$C$2:$C$1993,MATCH(A434&amp;"ENTRADA",Movimientos!$R$2:$R$1993,0)),"-")</f>
        <v>-</v>
      </c>
      <c r="C434" s="2" t="str">
        <f>IFERROR(INDEX(Movimientos!$D$2:$D$1993,MATCH(A434&amp;"ENTRADA",Movimientos!$R$2:$R$1993,0)),"-")</f>
        <v>-</v>
      </c>
      <c r="D434" s="2" t="str">
        <f>IFERROR(INDEX(Movimientos!$E$2:$E$1993,MATCH(A434&amp;"ENTRADA",Movimientos!$R$2:$R$1993,0)),"-")</f>
        <v>-</v>
      </c>
      <c r="E434" s="2" t="str">
        <f>IFERROR(INDEX(Movimientos!$F$2:$F$1993,MATCH(A434&amp;"ENTRADA",Movimientos!$R$2:$R$1993,0)),"-")</f>
        <v>-</v>
      </c>
      <c r="F434" s="2" t="str">
        <f>IFERROR(INDEX(Movimientos!$G$2:$G$1993,MATCH(A434&amp;"ENTRADA",Movimientos!$R$2:$R$1993,0)),"-")</f>
        <v>-</v>
      </c>
      <c r="G434" s="2" t="str">
        <f>IFERROR(INDEX(Movimientos!$L$2:$L$1993,MATCH(A434&amp;"ENTRADA",Movimientos!$R$2:$R$1993,0)),"-")</f>
        <v>-</v>
      </c>
      <c r="H434" s="17" t="str">
        <f>IFERROR(IF(INDEX(Movimientos!$M$2:$M$1993,MATCH(A434&amp;"ENTRADA",Movimientos!$R$2:$R$1993,0))=0,"S/D",INDEX(Movimientos!$M$2:$M$1993,MATCH(A434&amp;"ENTRADA",Movimientos!$R$2:$R$1993,0))),"S/D")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2775</v>
      </c>
      <c r="B435" s="2" t="str">
        <f>IFERROR(INDEX(Movimientos!$C$2:$C$1993,MATCH(A435&amp;"ENTRADA",Movimientos!$R$2:$R$1993,0)),"-")</f>
        <v>-</v>
      </c>
      <c r="C435" s="2" t="str">
        <f>IFERROR(INDEX(Movimientos!$D$2:$D$1993,MATCH(A435&amp;"ENTRADA",Movimientos!$R$2:$R$1993,0)),"-")</f>
        <v>-</v>
      </c>
      <c r="D435" s="2" t="str">
        <f>IFERROR(INDEX(Movimientos!$E$2:$E$1993,MATCH(A435&amp;"ENTRADA",Movimientos!$R$2:$R$1993,0)),"-")</f>
        <v>-</v>
      </c>
      <c r="E435" s="2" t="str">
        <f>IFERROR(INDEX(Movimientos!$F$2:$F$1993,MATCH(A435&amp;"ENTRADA",Movimientos!$R$2:$R$1993,0)),"-")</f>
        <v>-</v>
      </c>
      <c r="F435" s="2" t="str">
        <f>IFERROR(INDEX(Movimientos!$G$2:$G$1993,MATCH(A435&amp;"ENTRADA",Movimientos!$R$2:$R$1993,0)),"-")</f>
        <v>-</v>
      </c>
      <c r="G435" s="2" t="str">
        <f>IFERROR(INDEX(Movimientos!$L$2:$L$1993,MATCH(A435&amp;"ENTRADA",Movimientos!$R$2:$R$1993,0)),"-")</f>
        <v>-</v>
      </c>
      <c r="H435" s="17" t="str">
        <f>IFERROR(IF(INDEX(Movimientos!$M$2:$M$1993,MATCH(A435&amp;"ENTRADA",Movimientos!$R$2:$R$1993,0))=0,"S/D",INDEX(Movimientos!$M$2:$M$1993,MATCH(A435&amp;"ENTRADA",Movimientos!$R$2:$R$1993,0))),"S/D")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2776</v>
      </c>
      <c r="B436" s="2" t="str">
        <f>IFERROR(INDEX(Movimientos!$C$2:$C$1993,MATCH(A436&amp;"ENTRADA",Movimientos!$R$2:$R$1993,0)),"-")</f>
        <v>-</v>
      </c>
      <c r="C436" s="2" t="str">
        <f>IFERROR(INDEX(Movimientos!$D$2:$D$1993,MATCH(A436&amp;"ENTRADA",Movimientos!$R$2:$R$1993,0)),"-")</f>
        <v>-</v>
      </c>
      <c r="D436" s="2" t="str">
        <f>IFERROR(INDEX(Movimientos!$E$2:$E$1993,MATCH(A436&amp;"ENTRADA",Movimientos!$R$2:$R$1993,0)),"-")</f>
        <v>-</v>
      </c>
      <c r="E436" s="2" t="str">
        <f>IFERROR(INDEX(Movimientos!$F$2:$F$1993,MATCH(A436&amp;"ENTRADA",Movimientos!$R$2:$R$1993,0)),"-")</f>
        <v>-</v>
      </c>
      <c r="F436" s="2" t="str">
        <f>IFERROR(INDEX(Movimientos!$G$2:$G$1993,MATCH(A436&amp;"ENTRADA",Movimientos!$R$2:$R$1993,0)),"-")</f>
        <v>-</v>
      </c>
      <c r="G436" s="2" t="str">
        <f>IFERROR(INDEX(Movimientos!$L$2:$L$1993,MATCH(A436&amp;"ENTRADA",Movimientos!$R$2:$R$1993,0)),"-")</f>
        <v>-</v>
      </c>
      <c r="H436" s="17" t="str">
        <f>IFERROR(IF(INDEX(Movimientos!$M$2:$M$1993,MATCH(A436&amp;"ENTRADA",Movimientos!$R$2:$R$1993,0))=0,"S/D",INDEX(Movimientos!$M$2:$M$1993,MATCH(A436&amp;"ENTRADA",Movimientos!$R$2:$R$1993,0))),"S/D")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2777</v>
      </c>
      <c r="B437" s="2" t="str">
        <f>IFERROR(INDEX(Movimientos!$C$2:$C$1993,MATCH(A437&amp;"ENTRADA",Movimientos!$R$2:$R$1993,0)),"-")</f>
        <v>-</v>
      </c>
      <c r="C437" s="2" t="str">
        <f>IFERROR(INDEX(Movimientos!$D$2:$D$1993,MATCH(A437&amp;"ENTRADA",Movimientos!$R$2:$R$1993,0)),"-")</f>
        <v>-</v>
      </c>
      <c r="D437" s="2" t="str">
        <f>IFERROR(INDEX(Movimientos!$E$2:$E$1993,MATCH(A437&amp;"ENTRADA",Movimientos!$R$2:$R$1993,0)),"-")</f>
        <v>-</v>
      </c>
      <c r="E437" s="2" t="str">
        <f>IFERROR(INDEX(Movimientos!$F$2:$F$1993,MATCH(A437&amp;"ENTRADA",Movimientos!$R$2:$R$1993,0)),"-")</f>
        <v>-</v>
      </c>
      <c r="F437" s="2" t="str">
        <f>IFERROR(INDEX(Movimientos!$G$2:$G$1993,MATCH(A437&amp;"ENTRADA",Movimientos!$R$2:$R$1993,0)),"-")</f>
        <v>-</v>
      </c>
      <c r="G437" s="2" t="str">
        <f>IFERROR(INDEX(Movimientos!$L$2:$L$1993,MATCH(A437&amp;"ENTRADA",Movimientos!$R$2:$R$1993,0)),"-")</f>
        <v>-</v>
      </c>
      <c r="H437" s="17" t="str">
        <f>IFERROR(IF(INDEX(Movimientos!$M$2:$M$1993,MATCH(A437&amp;"ENTRADA",Movimientos!$R$2:$R$1993,0))=0,"S/D",INDEX(Movimientos!$M$2:$M$1993,MATCH(A437&amp;"ENTRADA",Movimientos!$R$2:$R$1993,0))),"S/D")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2778</v>
      </c>
      <c r="B438" s="2" t="str">
        <f>IFERROR(INDEX(Movimientos!$C$2:$C$1993,MATCH(A438&amp;"ENTRADA",Movimientos!$R$2:$R$1993,0)),"-")</f>
        <v>-</v>
      </c>
      <c r="C438" s="2" t="str">
        <f>IFERROR(INDEX(Movimientos!$D$2:$D$1993,MATCH(A438&amp;"ENTRADA",Movimientos!$R$2:$R$1993,0)),"-")</f>
        <v>-</v>
      </c>
      <c r="D438" s="2" t="str">
        <f>IFERROR(INDEX(Movimientos!$E$2:$E$1993,MATCH(A438&amp;"ENTRADA",Movimientos!$R$2:$R$1993,0)),"-")</f>
        <v>-</v>
      </c>
      <c r="E438" s="2" t="str">
        <f>IFERROR(INDEX(Movimientos!$F$2:$F$1993,MATCH(A438&amp;"ENTRADA",Movimientos!$R$2:$R$1993,0)),"-")</f>
        <v>-</v>
      </c>
      <c r="F438" s="2" t="str">
        <f>IFERROR(INDEX(Movimientos!$G$2:$G$1993,MATCH(A438&amp;"ENTRADA",Movimientos!$R$2:$R$1993,0)),"-")</f>
        <v>-</v>
      </c>
      <c r="G438" s="2" t="str">
        <f>IFERROR(INDEX(Movimientos!$L$2:$L$1993,MATCH(A438&amp;"ENTRADA",Movimientos!$R$2:$R$1993,0)),"-")</f>
        <v>-</v>
      </c>
      <c r="H438" s="17" t="str">
        <f>IFERROR(IF(INDEX(Movimientos!$M$2:$M$1993,MATCH(A438&amp;"ENTRADA",Movimientos!$R$2:$R$1993,0))=0,"S/D",INDEX(Movimientos!$M$2:$M$1993,MATCH(A438&amp;"ENTRADA",Movimientos!$R$2:$R$1993,0))),"S/D")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2779</v>
      </c>
      <c r="B439" s="2" t="str">
        <f>IFERROR(INDEX(Movimientos!$C$2:$C$1993,MATCH(A439&amp;"ENTRADA",Movimientos!$R$2:$R$1993,0)),"-")</f>
        <v>-</v>
      </c>
      <c r="C439" s="2" t="str">
        <f>IFERROR(INDEX(Movimientos!$D$2:$D$1993,MATCH(A439&amp;"ENTRADA",Movimientos!$R$2:$R$1993,0)),"-")</f>
        <v>-</v>
      </c>
      <c r="D439" s="2" t="str">
        <f>IFERROR(INDEX(Movimientos!$E$2:$E$1993,MATCH(A439&amp;"ENTRADA",Movimientos!$R$2:$R$1993,0)),"-")</f>
        <v>-</v>
      </c>
      <c r="E439" s="2" t="str">
        <f>IFERROR(INDEX(Movimientos!$F$2:$F$1993,MATCH(A439&amp;"ENTRADA",Movimientos!$R$2:$R$1993,0)),"-")</f>
        <v>-</v>
      </c>
      <c r="F439" s="2" t="str">
        <f>IFERROR(INDEX(Movimientos!$G$2:$G$1993,MATCH(A439&amp;"ENTRADA",Movimientos!$R$2:$R$1993,0)),"-")</f>
        <v>-</v>
      </c>
      <c r="G439" s="2" t="str">
        <f>IFERROR(INDEX(Movimientos!$L$2:$L$1993,MATCH(A439&amp;"ENTRADA",Movimientos!$R$2:$R$1993,0)),"-")</f>
        <v>-</v>
      </c>
      <c r="H439" s="17" t="str">
        <f>IFERROR(IF(INDEX(Movimientos!$M$2:$M$1993,MATCH(A439&amp;"ENTRADA",Movimientos!$R$2:$R$1993,0))=0,"S/D",INDEX(Movimientos!$M$2:$M$1993,MATCH(A439&amp;"ENTRADA",Movimientos!$R$2:$R$1993,0))),"S/D")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2780</v>
      </c>
      <c r="B440" s="2" t="str">
        <f>IFERROR(INDEX(Movimientos!$C$2:$C$1993,MATCH(A440&amp;"ENTRADA",Movimientos!$R$2:$R$1993,0)),"-")</f>
        <v>-</v>
      </c>
      <c r="C440" s="2" t="str">
        <f>IFERROR(INDEX(Movimientos!$D$2:$D$1993,MATCH(A440&amp;"ENTRADA",Movimientos!$R$2:$R$1993,0)),"-")</f>
        <v>-</v>
      </c>
      <c r="D440" s="2" t="str">
        <f>IFERROR(INDEX(Movimientos!$E$2:$E$1993,MATCH(A440&amp;"ENTRADA",Movimientos!$R$2:$R$1993,0)),"-")</f>
        <v>-</v>
      </c>
      <c r="E440" s="2" t="str">
        <f>IFERROR(INDEX(Movimientos!$F$2:$F$1993,MATCH(A440&amp;"ENTRADA",Movimientos!$R$2:$R$1993,0)),"-")</f>
        <v>-</v>
      </c>
      <c r="F440" s="2" t="str">
        <f>IFERROR(INDEX(Movimientos!$G$2:$G$1993,MATCH(A440&amp;"ENTRADA",Movimientos!$R$2:$R$1993,0)),"-")</f>
        <v>-</v>
      </c>
      <c r="G440" s="2" t="str">
        <f>IFERROR(INDEX(Movimientos!$L$2:$L$1993,MATCH(A440&amp;"ENTRADA",Movimientos!$R$2:$R$1993,0)),"-")</f>
        <v>-</v>
      </c>
      <c r="H440" s="17" t="str">
        <f>IFERROR(IF(INDEX(Movimientos!$M$2:$M$1993,MATCH(A440&amp;"ENTRADA",Movimientos!$R$2:$R$1993,0))=0,"S/D",INDEX(Movimientos!$M$2:$M$1993,MATCH(A440&amp;"ENTRADA",Movimientos!$R$2:$R$1993,0))),"S/D")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2781</v>
      </c>
      <c r="B441" s="2" t="str">
        <f>IFERROR(INDEX(Movimientos!$C$2:$C$1993,MATCH(A441&amp;"ENTRADA",Movimientos!$R$2:$R$1993,0)),"-")</f>
        <v>-</v>
      </c>
      <c r="C441" s="2" t="str">
        <f>IFERROR(INDEX(Movimientos!$D$2:$D$1993,MATCH(A441&amp;"ENTRADA",Movimientos!$R$2:$R$1993,0)),"-")</f>
        <v>-</v>
      </c>
      <c r="D441" s="2" t="str">
        <f>IFERROR(INDEX(Movimientos!$E$2:$E$1993,MATCH(A441&amp;"ENTRADA",Movimientos!$R$2:$R$1993,0)),"-")</f>
        <v>-</v>
      </c>
      <c r="E441" s="2" t="str">
        <f>IFERROR(INDEX(Movimientos!$F$2:$F$1993,MATCH(A441&amp;"ENTRADA",Movimientos!$R$2:$R$1993,0)),"-")</f>
        <v>-</v>
      </c>
      <c r="F441" s="2" t="str">
        <f>IFERROR(INDEX(Movimientos!$G$2:$G$1993,MATCH(A441&amp;"ENTRADA",Movimientos!$R$2:$R$1993,0)),"-")</f>
        <v>-</v>
      </c>
      <c r="G441" s="2" t="str">
        <f>IFERROR(INDEX(Movimientos!$L$2:$L$1993,MATCH(A441&amp;"ENTRADA",Movimientos!$R$2:$R$1993,0)),"-")</f>
        <v>-</v>
      </c>
      <c r="H441" s="17" t="str">
        <f>IFERROR(IF(INDEX(Movimientos!$M$2:$M$1993,MATCH(A441&amp;"ENTRADA",Movimientos!$R$2:$R$1993,0))=0,"S/D",INDEX(Movimientos!$M$2:$M$1993,MATCH(A441&amp;"ENTRADA",Movimientos!$R$2:$R$1993,0))),"S/D")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2782</v>
      </c>
      <c r="B442" s="2" t="str">
        <f>IFERROR(INDEX(Movimientos!$C$2:$C$1993,MATCH(A442&amp;"ENTRADA",Movimientos!$R$2:$R$1993,0)),"-")</f>
        <v>-</v>
      </c>
      <c r="C442" s="2" t="str">
        <f>IFERROR(INDEX(Movimientos!$D$2:$D$1993,MATCH(A442&amp;"ENTRADA",Movimientos!$R$2:$R$1993,0)),"-")</f>
        <v>-</v>
      </c>
      <c r="D442" s="2" t="str">
        <f>IFERROR(INDEX(Movimientos!$E$2:$E$1993,MATCH(A442&amp;"ENTRADA",Movimientos!$R$2:$R$1993,0)),"-")</f>
        <v>-</v>
      </c>
      <c r="E442" s="2" t="str">
        <f>IFERROR(INDEX(Movimientos!$F$2:$F$1993,MATCH(A442&amp;"ENTRADA",Movimientos!$R$2:$R$1993,0)),"-")</f>
        <v>-</v>
      </c>
      <c r="F442" s="2" t="str">
        <f>IFERROR(INDEX(Movimientos!$G$2:$G$1993,MATCH(A442&amp;"ENTRADA",Movimientos!$R$2:$R$1993,0)),"-")</f>
        <v>-</v>
      </c>
      <c r="G442" s="2" t="str">
        <f>IFERROR(INDEX(Movimientos!$L$2:$L$1993,MATCH(A442&amp;"ENTRADA",Movimientos!$R$2:$R$1993,0)),"-")</f>
        <v>-</v>
      </c>
      <c r="H442" s="17" t="str">
        <f>IFERROR(IF(INDEX(Movimientos!$M$2:$M$1993,MATCH(A442&amp;"ENTRADA",Movimientos!$R$2:$R$1993,0))=0,"S/D",INDEX(Movimientos!$M$2:$M$1993,MATCH(A442&amp;"ENTRADA",Movimientos!$R$2:$R$1993,0))),"S/D")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2783</v>
      </c>
      <c r="B443" s="2" t="str">
        <f>IFERROR(INDEX(Movimientos!$C$2:$C$1993,MATCH(A443&amp;"ENTRADA",Movimientos!$R$2:$R$1993,0)),"-")</f>
        <v>-</v>
      </c>
      <c r="C443" s="2" t="str">
        <f>IFERROR(INDEX(Movimientos!$D$2:$D$1993,MATCH(A443&amp;"ENTRADA",Movimientos!$R$2:$R$1993,0)),"-")</f>
        <v>-</v>
      </c>
      <c r="D443" s="2" t="str">
        <f>IFERROR(INDEX(Movimientos!$E$2:$E$1993,MATCH(A443&amp;"ENTRADA",Movimientos!$R$2:$R$1993,0)),"-")</f>
        <v>-</v>
      </c>
      <c r="E443" s="2" t="str">
        <f>IFERROR(INDEX(Movimientos!$F$2:$F$1993,MATCH(A443&amp;"ENTRADA",Movimientos!$R$2:$R$1993,0)),"-")</f>
        <v>-</v>
      </c>
      <c r="F443" s="2" t="str">
        <f>IFERROR(INDEX(Movimientos!$G$2:$G$1993,MATCH(A443&amp;"ENTRADA",Movimientos!$R$2:$R$1993,0)),"-")</f>
        <v>-</v>
      </c>
      <c r="G443" s="2" t="str">
        <f>IFERROR(INDEX(Movimientos!$L$2:$L$1993,MATCH(A443&amp;"ENTRADA",Movimientos!$R$2:$R$1993,0)),"-")</f>
        <v>-</v>
      </c>
      <c r="H443" s="17" t="str">
        <f>IFERROR(IF(INDEX(Movimientos!$M$2:$M$1993,MATCH(A443&amp;"ENTRADA",Movimientos!$R$2:$R$1993,0))=0,"S/D",INDEX(Movimientos!$M$2:$M$1993,MATCH(A443&amp;"ENTRADA",Movimientos!$R$2:$R$1993,0))),"S/D")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2784</v>
      </c>
      <c r="B444" s="2" t="str">
        <f>IFERROR(INDEX(Movimientos!$C$2:$C$1993,MATCH(A444&amp;"ENTRADA",Movimientos!$R$2:$R$1993,0)),"-")</f>
        <v>-</v>
      </c>
      <c r="C444" s="2" t="str">
        <f>IFERROR(INDEX(Movimientos!$D$2:$D$1993,MATCH(A444&amp;"ENTRADA",Movimientos!$R$2:$R$1993,0)),"-")</f>
        <v>-</v>
      </c>
      <c r="D444" s="2" t="str">
        <f>IFERROR(INDEX(Movimientos!$E$2:$E$1993,MATCH(A444&amp;"ENTRADA",Movimientos!$R$2:$R$1993,0)),"-")</f>
        <v>-</v>
      </c>
      <c r="E444" s="2" t="str">
        <f>IFERROR(INDEX(Movimientos!$F$2:$F$1993,MATCH(A444&amp;"ENTRADA",Movimientos!$R$2:$R$1993,0)),"-")</f>
        <v>-</v>
      </c>
      <c r="F444" s="2" t="str">
        <f>IFERROR(INDEX(Movimientos!$G$2:$G$1993,MATCH(A444&amp;"ENTRADA",Movimientos!$R$2:$R$1993,0)),"-")</f>
        <v>-</v>
      </c>
      <c r="G444" s="2" t="str">
        <f>IFERROR(INDEX(Movimientos!$L$2:$L$1993,MATCH(A444&amp;"ENTRADA",Movimientos!$R$2:$R$1993,0)),"-")</f>
        <v>-</v>
      </c>
      <c r="H444" s="17" t="str">
        <f>IFERROR(IF(INDEX(Movimientos!$M$2:$M$1993,MATCH(A444&amp;"ENTRADA",Movimientos!$R$2:$R$1993,0))=0,"S/D",INDEX(Movimientos!$M$2:$M$1993,MATCH(A444&amp;"ENTRADA",Movimientos!$R$2:$R$1993,0))),"S/D")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2785</v>
      </c>
      <c r="B445" s="2" t="str">
        <f>IFERROR(INDEX(Movimientos!$C$2:$C$1993,MATCH(A445&amp;"ENTRADA",Movimientos!$R$2:$R$1993,0)),"-")</f>
        <v>-</v>
      </c>
      <c r="C445" s="2" t="str">
        <f>IFERROR(INDEX(Movimientos!$D$2:$D$1993,MATCH(A445&amp;"ENTRADA",Movimientos!$R$2:$R$1993,0)),"-")</f>
        <v>-</v>
      </c>
      <c r="D445" s="2" t="str">
        <f>IFERROR(INDEX(Movimientos!$E$2:$E$1993,MATCH(A445&amp;"ENTRADA",Movimientos!$R$2:$R$1993,0)),"-")</f>
        <v>-</v>
      </c>
      <c r="E445" s="2" t="str">
        <f>IFERROR(INDEX(Movimientos!$F$2:$F$1993,MATCH(A445&amp;"ENTRADA",Movimientos!$R$2:$R$1993,0)),"-")</f>
        <v>-</v>
      </c>
      <c r="F445" s="2" t="str">
        <f>IFERROR(INDEX(Movimientos!$G$2:$G$1993,MATCH(A445&amp;"ENTRADA",Movimientos!$R$2:$R$1993,0)),"-")</f>
        <v>-</v>
      </c>
      <c r="G445" s="2" t="str">
        <f>IFERROR(INDEX(Movimientos!$L$2:$L$1993,MATCH(A445&amp;"ENTRADA",Movimientos!$R$2:$R$1993,0)),"-")</f>
        <v>-</v>
      </c>
      <c r="H445" s="17" t="str">
        <f>IFERROR(IF(INDEX(Movimientos!$M$2:$M$1993,MATCH(A445&amp;"ENTRADA",Movimientos!$R$2:$R$1993,0))=0,"S/D",INDEX(Movimientos!$M$2:$M$1993,MATCH(A445&amp;"ENTRADA",Movimientos!$R$2:$R$1993,0))),"S/D")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2786</v>
      </c>
      <c r="B446" s="2" t="str">
        <f>IFERROR(INDEX(Movimientos!$C$2:$C$1993,MATCH(A446&amp;"ENTRADA",Movimientos!$R$2:$R$1993,0)),"-")</f>
        <v>-</v>
      </c>
      <c r="C446" s="2" t="str">
        <f>IFERROR(INDEX(Movimientos!$D$2:$D$1993,MATCH(A446&amp;"ENTRADA",Movimientos!$R$2:$R$1993,0)),"-")</f>
        <v>-</v>
      </c>
      <c r="D446" s="2" t="str">
        <f>IFERROR(INDEX(Movimientos!$E$2:$E$1993,MATCH(A446&amp;"ENTRADA",Movimientos!$R$2:$R$1993,0)),"-")</f>
        <v>-</v>
      </c>
      <c r="E446" s="2" t="str">
        <f>IFERROR(INDEX(Movimientos!$F$2:$F$1993,MATCH(A446&amp;"ENTRADA",Movimientos!$R$2:$R$1993,0)),"-")</f>
        <v>-</v>
      </c>
      <c r="F446" s="2" t="str">
        <f>IFERROR(INDEX(Movimientos!$G$2:$G$1993,MATCH(A446&amp;"ENTRADA",Movimientos!$R$2:$R$1993,0)),"-")</f>
        <v>-</v>
      </c>
      <c r="G446" s="2" t="str">
        <f>IFERROR(INDEX(Movimientos!$L$2:$L$1993,MATCH(A446&amp;"ENTRADA",Movimientos!$R$2:$R$1993,0)),"-")</f>
        <v>-</v>
      </c>
      <c r="H446" s="17" t="str">
        <f>IFERROR(IF(INDEX(Movimientos!$M$2:$M$1993,MATCH(A446&amp;"ENTRADA",Movimientos!$R$2:$R$1993,0))=0,"S/D",INDEX(Movimientos!$M$2:$M$1993,MATCH(A446&amp;"ENTRADA",Movimientos!$R$2:$R$1993,0))),"S/D")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2787</v>
      </c>
      <c r="B447" s="2" t="str">
        <f>IFERROR(INDEX(Movimientos!$C$2:$C$1993,MATCH(A447&amp;"ENTRADA",Movimientos!$R$2:$R$1993,0)),"-")</f>
        <v>-</v>
      </c>
      <c r="C447" s="2" t="str">
        <f>IFERROR(INDEX(Movimientos!$D$2:$D$1993,MATCH(A447&amp;"ENTRADA",Movimientos!$R$2:$R$1993,0)),"-")</f>
        <v>-</v>
      </c>
      <c r="D447" s="2" t="str">
        <f>IFERROR(INDEX(Movimientos!$E$2:$E$1993,MATCH(A447&amp;"ENTRADA",Movimientos!$R$2:$R$1993,0)),"-")</f>
        <v>-</v>
      </c>
      <c r="E447" s="2" t="str">
        <f>IFERROR(INDEX(Movimientos!$F$2:$F$1993,MATCH(A447&amp;"ENTRADA",Movimientos!$R$2:$R$1993,0)),"-")</f>
        <v>-</v>
      </c>
      <c r="F447" s="2" t="str">
        <f>IFERROR(INDEX(Movimientos!$G$2:$G$1993,MATCH(A447&amp;"ENTRADA",Movimientos!$R$2:$R$1993,0)),"-")</f>
        <v>-</v>
      </c>
      <c r="G447" s="2" t="str">
        <f>IFERROR(INDEX(Movimientos!$L$2:$L$1993,MATCH(A447&amp;"ENTRADA",Movimientos!$R$2:$R$1993,0)),"-")</f>
        <v>-</v>
      </c>
      <c r="H447" s="17" t="str">
        <f>IFERROR(IF(INDEX(Movimientos!$M$2:$M$1993,MATCH(A447&amp;"ENTRADA",Movimientos!$R$2:$R$1993,0))=0,"S/D",INDEX(Movimientos!$M$2:$M$1993,MATCH(A447&amp;"ENTRADA",Movimientos!$R$2:$R$1993,0))),"S/D")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2788</v>
      </c>
      <c r="B448" s="2" t="str">
        <f>IFERROR(INDEX(Movimientos!$C$2:$C$1993,MATCH(A448&amp;"ENTRADA",Movimientos!$R$2:$R$1993,0)),"-")</f>
        <v>-</v>
      </c>
      <c r="C448" s="2" t="str">
        <f>IFERROR(INDEX(Movimientos!$D$2:$D$1993,MATCH(A448&amp;"ENTRADA",Movimientos!$R$2:$R$1993,0)),"-")</f>
        <v>-</v>
      </c>
      <c r="D448" s="2" t="str">
        <f>IFERROR(INDEX(Movimientos!$E$2:$E$1993,MATCH(A448&amp;"ENTRADA",Movimientos!$R$2:$R$1993,0)),"-")</f>
        <v>-</v>
      </c>
      <c r="E448" s="2" t="str">
        <f>IFERROR(INDEX(Movimientos!$F$2:$F$1993,MATCH(A448&amp;"ENTRADA",Movimientos!$R$2:$R$1993,0)),"-")</f>
        <v>-</v>
      </c>
      <c r="F448" s="2" t="str">
        <f>IFERROR(INDEX(Movimientos!$G$2:$G$1993,MATCH(A448&amp;"ENTRADA",Movimientos!$R$2:$R$1993,0)),"-")</f>
        <v>-</v>
      </c>
      <c r="G448" s="2" t="str">
        <f>IFERROR(INDEX(Movimientos!$L$2:$L$1993,MATCH(A448&amp;"ENTRADA",Movimientos!$R$2:$R$1993,0)),"-")</f>
        <v>-</v>
      </c>
      <c r="H448" s="17" t="str">
        <f>IFERROR(IF(INDEX(Movimientos!$M$2:$M$1993,MATCH(A448&amp;"ENTRADA",Movimientos!$R$2:$R$1993,0))=0,"S/D",INDEX(Movimientos!$M$2:$M$1993,MATCH(A448&amp;"ENTRADA",Movimientos!$R$2:$R$1993,0))),"S/D")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2789</v>
      </c>
      <c r="B449" s="2" t="str">
        <f>IFERROR(INDEX(Movimientos!$C$2:$C$1993,MATCH(A449&amp;"ENTRADA",Movimientos!$R$2:$R$1993,0)),"-")</f>
        <v>-</v>
      </c>
      <c r="C449" s="2" t="str">
        <f>IFERROR(INDEX(Movimientos!$D$2:$D$1993,MATCH(A449&amp;"ENTRADA",Movimientos!$R$2:$R$1993,0)),"-")</f>
        <v>-</v>
      </c>
      <c r="D449" s="2" t="str">
        <f>IFERROR(INDEX(Movimientos!$E$2:$E$1993,MATCH(A449&amp;"ENTRADA",Movimientos!$R$2:$R$1993,0)),"-")</f>
        <v>-</v>
      </c>
      <c r="E449" s="2" t="str">
        <f>IFERROR(INDEX(Movimientos!$F$2:$F$1993,MATCH(A449&amp;"ENTRADA",Movimientos!$R$2:$R$1993,0)),"-")</f>
        <v>-</v>
      </c>
      <c r="F449" s="2" t="str">
        <f>IFERROR(INDEX(Movimientos!$G$2:$G$1993,MATCH(A449&amp;"ENTRADA",Movimientos!$R$2:$R$1993,0)),"-")</f>
        <v>-</v>
      </c>
      <c r="G449" s="2" t="str">
        <f>IFERROR(INDEX(Movimientos!$L$2:$L$1993,MATCH(A449&amp;"ENTRADA",Movimientos!$R$2:$R$1993,0)),"-")</f>
        <v>-</v>
      </c>
      <c r="H449" s="17" t="str">
        <f>IFERROR(IF(INDEX(Movimientos!$M$2:$M$1993,MATCH(A449&amp;"ENTRADA",Movimientos!$R$2:$R$1993,0))=0,"S/D",INDEX(Movimientos!$M$2:$M$1993,MATCH(A449&amp;"ENTRADA",Movimientos!$R$2:$R$1993,0))),"S/D")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2790</v>
      </c>
      <c r="B450" s="2" t="str">
        <f>IFERROR(INDEX(Movimientos!$C$2:$C$1993,MATCH(A450&amp;"ENTRADA",Movimientos!$R$2:$R$1993,0)),"-")</f>
        <v>-</v>
      </c>
      <c r="C450" s="2" t="str">
        <f>IFERROR(INDEX(Movimientos!$D$2:$D$1993,MATCH(A450&amp;"ENTRADA",Movimientos!$R$2:$R$1993,0)),"-")</f>
        <v>-</v>
      </c>
      <c r="D450" s="2" t="str">
        <f>IFERROR(INDEX(Movimientos!$E$2:$E$1993,MATCH(A450&amp;"ENTRADA",Movimientos!$R$2:$R$1993,0)),"-")</f>
        <v>-</v>
      </c>
      <c r="E450" s="2" t="str">
        <f>IFERROR(INDEX(Movimientos!$F$2:$F$1993,MATCH(A450&amp;"ENTRADA",Movimientos!$R$2:$R$1993,0)),"-")</f>
        <v>-</v>
      </c>
      <c r="F450" s="2" t="str">
        <f>IFERROR(INDEX(Movimientos!$G$2:$G$1993,MATCH(A450&amp;"ENTRADA",Movimientos!$R$2:$R$1993,0)),"-")</f>
        <v>-</v>
      </c>
      <c r="G450" s="2" t="str">
        <f>IFERROR(INDEX(Movimientos!$L$2:$L$1993,MATCH(A450&amp;"ENTRADA",Movimientos!$R$2:$R$1993,0)),"-")</f>
        <v>-</v>
      </c>
      <c r="H450" s="17" t="str">
        <f>IFERROR(IF(INDEX(Movimientos!$M$2:$M$1993,MATCH(A450&amp;"ENTRADA",Movimientos!$R$2:$R$1993,0))=0,"S/D",INDEX(Movimientos!$M$2:$M$1993,MATCH(A450&amp;"ENTRADA",Movimientos!$R$2:$R$1993,0))),"S/D")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2791</v>
      </c>
      <c r="B451" s="2" t="str">
        <f>IFERROR(INDEX(Movimientos!$C$2:$C$1993,MATCH(A451&amp;"ENTRADA",Movimientos!$R$2:$R$1993,0)),"-")</f>
        <v>-</v>
      </c>
      <c r="C451" s="2" t="str">
        <f>IFERROR(INDEX(Movimientos!$D$2:$D$1993,MATCH(A451&amp;"ENTRADA",Movimientos!$R$2:$R$1993,0)),"-")</f>
        <v>-</v>
      </c>
      <c r="D451" s="2" t="str">
        <f>IFERROR(INDEX(Movimientos!$E$2:$E$1993,MATCH(A451&amp;"ENTRADA",Movimientos!$R$2:$R$1993,0)),"-")</f>
        <v>-</v>
      </c>
      <c r="E451" s="2" t="str">
        <f>IFERROR(INDEX(Movimientos!$F$2:$F$1993,MATCH(A451&amp;"ENTRADA",Movimientos!$R$2:$R$1993,0)),"-")</f>
        <v>-</v>
      </c>
      <c r="F451" s="2" t="str">
        <f>IFERROR(INDEX(Movimientos!$G$2:$G$1993,MATCH(A451&amp;"ENTRADA",Movimientos!$R$2:$R$1993,0)),"-")</f>
        <v>-</v>
      </c>
      <c r="G451" s="2" t="str">
        <f>IFERROR(INDEX(Movimientos!$L$2:$L$1993,MATCH(A451&amp;"ENTRADA",Movimientos!$R$2:$R$1993,0)),"-")</f>
        <v>-</v>
      </c>
      <c r="H451" s="17" t="str">
        <f>IFERROR(IF(INDEX(Movimientos!$M$2:$M$1993,MATCH(A451&amp;"ENTRADA",Movimientos!$R$2:$R$1993,0))=0,"S/D",INDEX(Movimientos!$M$2:$M$1993,MATCH(A451&amp;"ENTRADA",Movimientos!$R$2:$R$1993,0))),"S/D")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2792</v>
      </c>
      <c r="B452" s="2" t="str">
        <f>IFERROR(INDEX(Movimientos!$C$2:$C$1993,MATCH(A452&amp;"ENTRADA",Movimientos!$R$2:$R$1993,0)),"-")</f>
        <v>-</v>
      </c>
      <c r="C452" s="2" t="str">
        <f>IFERROR(INDEX(Movimientos!$D$2:$D$1993,MATCH(A452&amp;"ENTRADA",Movimientos!$R$2:$R$1993,0)),"-")</f>
        <v>-</v>
      </c>
      <c r="D452" s="2" t="str">
        <f>IFERROR(INDEX(Movimientos!$E$2:$E$1993,MATCH(A452&amp;"ENTRADA",Movimientos!$R$2:$R$1993,0)),"-")</f>
        <v>-</v>
      </c>
      <c r="E452" s="2" t="str">
        <f>IFERROR(INDEX(Movimientos!$F$2:$F$1993,MATCH(A452&amp;"ENTRADA",Movimientos!$R$2:$R$1993,0)),"-")</f>
        <v>-</v>
      </c>
      <c r="F452" s="2" t="str">
        <f>IFERROR(INDEX(Movimientos!$G$2:$G$1993,MATCH(A452&amp;"ENTRADA",Movimientos!$R$2:$R$1993,0)),"-")</f>
        <v>-</v>
      </c>
      <c r="G452" s="2" t="str">
        <f>IFERROR(INDEX(Movimientos!$L$2:$L$1993,MATCH(A452&amp;"ENTRADA",Movimientos!$R$2:$R$1993,0)),"-")</f>
        <v>-</v>
      </c>
      <c r="H452" s="17" t="str">
        <f>IFERROR(IF(INDEX(Movimientos!$M$2:$M$1993,MATCH(A452&amp;"ENTRADA",Movimientos!$R$2:$R$1993,0))=0,"S/D",INDEX(Movimientos!$M$2:$M$1993,MATCH(A452&amp;"ENTRADA",Movimientos!$R$2:$R$1993,0))),"S/D")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2793</v>
      </c>
      <c r="B453" s="2" t="str">
        <f>IFERROR(INDEX(Movimientos!$C$2:$C$1993,MATCH(A453&amp;"ENTRADA",Movimientos!$R$2:$R$1993,0)),"-")</f>
        <v>-</v>
      </c>
      <c r="C453" s="2" t="str">
        <f>IFERROR(INDEX(Movimientos!$D$2:$D$1993,MATCH(A453&amp;"ENTRADA",Movimientos!$R$2:$R$1993,0)),"-")</f>
        <v>-</v>
      </c>
      <c r="D453" s="2" t="str">
        <f>IFERROR(INDEX(Movimientos!$E$2:$E$1993,MATCH(A453&amp;"ENTRADA",Movimientos!$R$2:$R$1993,0)),"-")</f>
        <v>-</v>
      </c>
      <c r="E453" s="2" t="str">
        <f>IFERROR(INDEX(Movimientos!$F$2:$F$1993,MATCH(A453&amp;"ENTRADA",Movimientos!$R$2:$R$1993,0)),"-")</f>
        <v>-</v>
      </c>
      <c r="F453" s="2" t="str">
        <f>IFERROR(INDEX(Movimientos!$G$2:$G$1993,MATCH(A453&amp;"ENTRADA",Movimientos!$R$2:$R$1993,0)),"-")</f>
        <v>-</v>
      </c>
      <c r="G453" s="2" t="str">
        <f>IFERROR(INDEX(Movimientos!$L$2:$L$1993,MATCH(A453&amp;"ENTRADA",Movimientos!$R$2:$R$1993,0)),"-")</f>
        <v>-</v>
      </c>
      <c r="H453" s="17" t="str">
        <f>IFERROR(IF(INDEX(Movimientos!$M$2:$M$1993,MATCH(A453&amp;"ENTRADA",Movimientos!$R$2:$R$1993,0))=0,"S/D",INDEX(Movimientos!$M$2:$M$1993,MATCH(A453&amp;"ENTRADA",Movimientos!$R$2:$R$1993,0))),"S/D")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2794</v>
      </c>
      <c r="B454" s="2" t="str">
        <f>IFERROR(INDEX(Movimientos!$C$2:$C$1993,MATCH(A454&amp;"ENTRADA",Movimientos!$R$2:$R$1993,0)),"-")</f>
        <v>-</v>
      </c>
      <c r="C454" s="2" t="str">
        <f>IFERROR(INDEX(Movimientos!$D$2:$D$1993,MATCH(A454&amp;"ENTRADA",Movimientos!$R$2:$R$1993,0)),"-")</f>
        <v>-</v>
      </c>
      <c r="D454" s="2" t="str">
        <f>IFERROR(INDEX(Movimientos!$E$2:$E$1993,MATCH(A454&amp;"ENTRADA",Movimientos!$R$2:$R$1993,0)),"-")</f>
        <v>-</v>
      </c>
      <c r="E454" s="2" t="str">
        <f>IFERROR(INDEX(Movimientos!$F$2:$F$1993,MATCH(A454&amp;"ENTRADA",Movimientos!$R$2:$R$1993,0)),"-")</f>
        <v>-</v>
      </c>
      <c r="F454" s="2" t="str">
        <f>IFERROR(INDEX(Movimientos!$G$2:$G$1993,MATCH(A454&amp;"ENTRADA",Movimientos!$R$2:$R$1993,0)),"-")</f>
        <v>-</v>
      </c>
      <c r="G454" s="2" t="str">
        <f>IFERROR(INDEX(Movimientos!$L$2:$L$1993,MATCH(A454&amp;"ENTRADA",Movimientos!$R$2:$R$1993,0)),"-")</f>
        <v>-</v>
      </c>
      <c r="H454" s="17" t="str">
        <f>IFERROR(IF(INDEX(Movimientos!$M$2:$M$1993,MATCH(A454&amp;"ENTRADA",Movimientos!$R$2:$R$1993,0))=0,"S/D",INDEX(Movimientos!$M$2:$M$1993,MATCH(A454&amp;"ENTRADA",Movimientos!$R$2:$R$1993,0))),"S/D")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2795</v>
      </c>
      <c r="B455" s="2" t="str">
        <f>IFERROR(INDEX(Movimientos!$C$2:$C$1993,MATCH(A455&amp;"ENTRADA",Movimientos!$R$2:$R$1993,0)),"-")</f>
        <v>-</v>
      </c>
      <c r="C455" s="2" t="str">
        <f>IFERROR(INDEX(Movimientos!$D$2:$D$1993,MATCH(A455&amp;"ENTRADA",Movimientos!$R$2:$R$1993,0)),"-")</f>
        <v>-</v>
      </c>
      <c r="D455" s="2" t="str">
        <f>IFERROR(INDEX(Movimientos!$E$2:$E$1993,MATCH(A455&amp;"ENTRADA",Movimientos!$R$2:$R$1993,0)),"-")</f>
        <v>-</v>
      </c>
      <c r="E455" s="2" t="str">
        <f>IFERROR(INDEX(Movimientos!$F$2:$F$1993,MATCH(A455&amp;"ENTRADA",Movimientos!$R$2:$R$1993,0)),"-")</f>
        <v>-</v>
      </c>
      <c r="F455" s="2" t="str">
        <f>IFERROR(INDEX(Movimientos!$G$2:$G$1993,MATCH(A455&amp;"ENTRADA",Movimientos!$R$2:$R$1993,0)),"-")</f>
        <v>-</v>
      </c>
      <c r="G455" s="2" t="str">
        <f>IFERROR(INDEX(Movimientos!$L$2:$L$1993,MATCH(A455&amp;"ENTRADA",Movimientos!$R$2:$R$1993,0)),"-")</f>
        <v>-</v>
      </c>
      <c r="H455" s="17" t="str">
        <f>IFERROR(IF(INDEX(Movimientos!$M$2:$M$1993,MATCH(A455&amp;"ENTRADA",Movimientos!$R$2:$R$1993,0))=0,"S/D",INDEX(Movimientos!$M$2:$M$1993,MATCH(A455&amp;"ENTRADA",Movimientos!$R$2:$R$1993,0))),"S/D")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2796</v>
      </c>
      <c r="B456" s="2" t="str">
        <f>IFERROR(INDEX(Movimientos!$C$2:$C$1993,MATCH(A456&amp;"ENTRADA",Movimientos!$R$2:$R$1993,0)),"-")</f>
        <v>-</v>
      </c>
      <c r="C456" s="2" t="str">
        <f>IFERROR(INDEX(Movimientos!$D$2:$D$1993,MATCH(A456&amp;"ENTRADA",Movimientos!$R$2:$R$1993,0)),"-")</f>
        <v>-</v>
      </c>
      <c r="D456" s="2" t="str">
        <f>IFERROR(INDEX(Movimientos!$E$2:$E$1993,MATCH(A456&amp;"ENTRADA",Movimientos!$R$2:$R$1993,0)),"-")</f>
        <v>-</v>
      </c>
      <c r="E456" s="2" t="str">
        <f>IFERROR(INDEX(Movimientos!$F$2:$F$1993,MATCH(A456&amp;"ENTRADA",Movimientos!$R$2:$R$1993,0)),"-")</f>
        <v>-</v>
      </c>
      <c r="F456" s="2" t="str">
        <f>IFERROR(INDEX(Movimientos!$G$2:$G$1993,MATCH(A456&amp;"ENTRADA",Movimientos!$R$2:$R$1993,0)),"-")</f>
        <v>-</v>
      </c>
      <c r="G456" s="2" t="str">
        <f>IFERROR(INDEX(Movimientos!$L$2:$L$1993,MATCH(A456&amp;"ENTRADA",Movimientos!$R$2:$R$1993,0)),"-")</f>
        <v>-</v>
      </c>
      <c r="H456" s="17" t="str">
        <f>IFERROR(IF(INDEX(Movimientos!$M$2:$M$1993,MATCH(A456&amp;"ENTRADA",Movimientos!$R$2:$R$1993,0))=0,"S/D",INDEX(Movimientos!$M$2:$M$1993,MATCH(A456&amp;"ENTRADA",Movimientos!$R$2:$R$1993,0))),"S/D")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2797</v>
      </c>
      <c r="B457" s="2" t="str">
        <f>IFERROR(INDEX(Movimientos!$C$2:$C$1993,MATCH(A457&amp;"ENTRADA",Movimientos!$R$2:$R$1993,0)),"-")</f>
        <v>-</v>
      </c>
      <c r="C457" s="2" t="str">
        <f>IFERROR(INDEX(Movimientos!$D$2:$D$1993,MATCH(A457&amp;"ENTRADA",Movimientos!$R$2:$R$1993,0)),"-")</f>
        <v>-</v>
      </c>
      <c r="D457" s="2" t="str">
        <f>IFERROR(INDEX(Movimientos!$E$2:$E$1993,MATCH(A457&amp;"ENTRADA",Movimientos!$R$2:$R$1993,0)),"-")</f>
        <v>-</v>
      </c>
      <c r="E457" s="2" t="str">
        <f>IFERROR(INDEX(Movimientos!$F$2:$F$1993,MATCH(A457&amp;"ENTRADA",Movimientos!$R$2:$R$1993,0)),"-")</f>
        <v>-</v>
      </c>
      <c r="F457" s="2" t="str">
        <f>IFERROR(INDEX(Movimientos!$G$2:$G$1993,MATCH(A457&amp;"ENTRADA",Movimientos!$R$2:$R$1993,0)),"-")</f>
        <v>-</v>
      </c>
      <c r="G457" s="2" t="str">
        <f>IFERROR(INDEX(Movimientos!$L$2:$L$1993,MATCH(A457&amp;"ENTRADA",Movimientos!$R$2:$R$1993,0)),"-")</f>
        <v>-</v>
      </c>
      <c r="H457" s="17" t="str">
        <f>IFERROR(IF(INDEX(Movimientos!$M$2:$M$1993,MATCH(A457&amp;"ENTRADA",Movimientos!$R$2:$R$1993,0))=0,"S/D",INDEX(Movimientos!$M$2:$M$1993,MATCH(A457&amp;"ENTRADA",Movimientos!$R$2:$R$1993,0))),"S/D")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2798</v>
      </c>
      <c r="B458" s="2" t="str">
        <f>IFERROR(INDEX(Movimientos!$C$2:$C$1993,MATCH(A458&amp;"ENTRADA",Movimientos!$R$2:$R$1993,0)),"-")</f>
        <v>-</v>
      </c>
      <c r="C458" s="2" t="str">
        <f>IFERROR(INDEX(Movimientos!$D$2:$D$1993,MATCH(A458&amp;"ENTRADA",Movimientos!$R$2:$R$1993,0)),"-")</f>
        <v>-</v>
      </c>
      <c r="D458" s="2" t="str">
        <f>IFERROR(INDEX(Movimientos!$E$2:$E$1993,MATCH(A458&amp;"ENTRADA",Movimientos!$R$2:$R$1993,0)),"-")</f>
        <v>-</v>
      </c>
      <c r="E458" s="2" t="str">
        <f>IFERROR(INDEX(Movimientos!$F$2:$F$1993,MATCH(A458&amp;"ENTRADA",Movimientos!$R$2:$R$1993,0)),"-")</f>
        <v>-</v>
      </c>
      <c r="F458" s="2" t="str">
        <f>IFERROR(INDEX(Movimientos!$G$2:$G$1993,MATCH(A458&amp;"ENTRADA",Movimientos!$R$2:$R$1993,0)),"-")</f>
        <v>-</v>
      </c>
      <c r="G458" s="2" t="str">
        <f>IFERROR(INDEX(Movimientos!$L$2:$L$1993,MATCH(A458&amp;"ENTRADA",Movimientos!$R$2:$R$1993,0)),"-")</f>
        <v>-</v>
      </c>
      <c r="H458" s="17" t="str">
        <f>IFERROR(IF(INDEX(Movimientos!$M$2:$M$1993,MATCH(A458&amp;"ENTRADA",Movimientos!$R$2:$R$1993,0))=0,"S/D",INDEX(Movimientos!$M$2:$M$1993,MATCH(A458&amp;"ENTRADA",Movimientos!$R$2:$R$1993,0))),"S/D")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2799</v>
      </c>
      <c r="B459" s="2" t="str">
        <f>IFERROR(INDEX(Movimientos!$C$2:$C$1993,MATCH(A459&amp;"ENTRADA",Movimientos!$R$2:$R$1993,0)),"-")</f>
        <v>-</v>
      </c>
      <c r="C459" s="2" t="str">
        <f>IFERROR(INDEX(Movimientos!$D$2:$D$1993,MATCH(A459&amp;"ENTRADA",Movimientos!$R$2:$R$1993,0)),"-")</f>
        <v>-</v>
      </c>
      <c r="D459" s="2" t="str">
        <f>IFERROR(INDEX(Movimientos!$E$2:$E$1993,MATCH(A459&amp;"ENTRADA",Movimientos!$R$2:$R$1993,0)),"-")</f>
        <v>-</v>
      </c>
      <c r="E459" s="2" t="str">
        <f>IFERROR(INDEX(Movimientos!$F$2:$F$1993,MATCH(A459&amp;"ENTRADA",Movimientos!$R$2:$R$1993,0)),"-")</f>
        <v>-</v>
      </c>
      <c r="F459" s="2" t="str">
        <f>IFERROR(INDEX(Movimientos!$G$2:$G$1993,MATCH(A459&amp;"ENTRADA",Movimientos!$R$2:$R$1993,0)),"-")</f>
        <v>-</v>
      </c>
      <c r="G459" s="2" t="str">
        <f>IFERROR(INDEX(Movimientos!$L$2:$L$1993,MATCH(A459&amp;"ENTRADA",Movimientos!$R$2:$R$1993,0)),"-")</f>
        <v>-</v>
      </c>
      <c r="H459" s="17" t="str">
        <f>IFERROR(IF(INDEX(Movimientos!$M$2:$M$1993,MATCH(A459&amp;"ENTRADA",Movimientos!$R$2:$R$1993,0))=0,"S/D",INDEX(Movimientos!$M$2:$M$1993,MATCH(A459&amp;"ENTRADA",Movimientos!$R$2:$R$1993,0))),"S/D")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2800</v>
      </c>
      <c r="B460" s="2" t="str">
        <f>IFERROR(INDEX(Movimientos!$C$2:$C$1993,MATCH(A460&amp;"ENTRADA",Movimientos!$R$2:$R$1993,0)),"-")</f>
        <v>-</v>
      </c>
      <c r="C460" s="2" t="str">
        <f>IFERROR(INDEX(Movimientos!$D$2:$D$1993,MATCH(A460&amp;"ENTRADA",Movimientos!$R$2:$R$1993,0)),"-")</f>
        <v>-</v>
      </c>
      <c r="D460" s="2" t="str">
        <f>IFERROR(INDEX(Movimientos!$E$2:$E$1993,MATCH(A460&amp;"ENTRADA",Movimientos!$R$2:$R$1993,0)),"-")</f>
        <v>-</v>
      </c>
      <c r="E460" s="2" t="str">
        <f>IFERROR(INDEX(Movimientos!$F$2:$F$1993,MATCH(A460&amp;"ENTRADA",Movimientos!$R$2:$R$1993,0)),"-")</f>
        <v>-</v>
      </c>
      <c r="F460" s="2" t="str">
        <f>IFERROR(INDEX(Movimientos!$G$2:$G$1993,MATCH(A460&amp;"ENTRADA",Movimientos!$R$2:$R$1993,0)),"-")</f>
        <v>-</v>
      </c>
      <c r="G460" s="2" t="str">
        <f>IFERROR(INDEX(Movimientos!$L$2:$L$1993,MATCH(A460&amp;"ENTRADA",Movimientos!$R$2:$R$1993,0)),"-")</f>
        <v>-</v>
      </c>
      <c r="H460" s="17" t="str">
        <f>IFERROR(IF(INDEX(Movimientos!$M$2:$M$1993,MATCH(A460&amp;"ENTRADA",Movimientos!$R$2:$R$1993,0))=0,"S/D",INDEX(Movimientos!$M$2:$M$1993,MATCH(A460&amp;"ENTRADA",Movimientos!$R$2:$R$1993,0))),"S/D")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2801</v>
      </c>
      <c r="B461" s="2" t="str">
        <f>IFERROR(INDEX(Movimientos!$C$2:$C$1993,MATCH(A461&amp;"ENTRADA",Movimientos!$R$2:$R$1993,0)),"-")</f>
        <v>-</v>
      </c>
      <c r="C461" s="2" t="str">
        <f>IFERROR(INDEX(Movimientos!$D$2:$D$1993,MATCH(A461&amp;"ENTRADA",Movimientos!$R$2:$R$1993,0)),"-")</f>
        <v>-</v>
      </c>
      <c r="D461" s="2" t="str">
        <f>IFERROR(INDEX(Movimientos!$E$2:$E$1993,MATCH(A461&amp;"ENTRADA",Movimientos!$R$2:$R$1993,0)),"-")</f>
        <v>-</v>
      </c>
      <c r="E461" s="2" t="str">
        <f>IFERROR(INDEX(Movimientos!$F$2:$F$1993,MATCH(A461&amp;"ENTRADA",Movimientos!$R$2:$R$1993,0)),"-")</f>
        <v>-</v>
      </c>
      <c r="F461" s="2" t="str">
        <f>IFERROR(INDEX(Movimientos!$G$2:$G$1993,MATCH(A461&amp;"ENTRADA",Movimientos!$R$2:$R$1993,0)),"-")</f>
        <v>-</v>
      </c>
      <c r="G461" s="2" t="str">
        <f>IFERROR(INDEX(Movimientos!$L$2:$L$1993,MATCH(A461&amp;"ENTRADA",Movimientos!$R$2:$R$1993,0)),"-")</f>
        <v>-</v>
      </c>
      <c r="H461" s="17" t="str">
        <f>IFERROR(IF(INDEX(Movimientos!$M$2:$M$1993,MATCH(A461&amp;"ENTRADA",Movimientos!$R$2:$R$1993,0))=0,"S/D",INDEX(Movimientos!$M$2:$M$1993,MATCH(A461&amp;"ENTRADA",Movimientos!$R$2:$R$1993,0))),"S/D")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2802</v>
      </c>
      <c r="B462" s="2" t="str">
        <f>IFERROR(INDEX(Movimientos!$C$2:$C$1993,MATCH(A462&amp;"ENTRADA",Movimientos!$R$2:$R$1993,0)),"-")</f>
        <v>-</v>
      </c>
      <c r="C462" s="2" t="str">
        <f>IFERROR(INDEX(Movimientos!$D$2:$D$1993,MATCH(A462&amp;"ENTRADA",Movimientos!$R$2:$R$1993,0)),"-")</f>
        <v>-</v>
      </c>
      <c r="D462" s="2" t="str">
        <f>IFERROR(INDEX(Movimientos!$E$2:$E$1993,MATCH(A462&amp;"ENTRADA",Movimientos!$R$2:$R$1993,0)),"-")</f>
        <v>-</v>
      </c>
      <c r="E462" s="2" t="str">
        <f>IFERROR(INDEX(Movimientos!$F$2:$F$1993,MATCH(A462&amp;"ENTRADA",Movimientos!$R$2:$R$1993,0)),"-")</f>
        <v>-</v>
      </c>
      <c r="F462" s="2" t="str">
        <f>IFERROR(INDEX(Movimientos!$G$2:$G$1993,MATCH(A462&amp;"ENTRADA",Movimientos!$R$2:$R$1993,0)),"-")</f>
        <v>-</v>
      </c>
      <c r="G462" s="2" t="str">
        <f>IFERROR(INDEX(Movimientos!$L$2:$L$1993,MATCH(A462&amp;"ENTRADA",Movimientos!$R$2:$R$1993,0)),"-")</f>
        <v>-</v>
      </c>
      <c r="H462" s="17" t="str">
        <f>IFERROR(IF(INDEX(Movimientos!$M$2:$M$1993,MATCH(A462&amp;"ENTRADA",Movimientos!$R$2:$R$1993,0))=0,"S/D",INDEX(Movimientos!$M$2:$M$1993,MATCH(A462&amp;"ENTRADA",Movimientos!$R$2:$R$1993,0))),"S/D")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2803</v>
      </c>
      <c r="B463" s="2" t="str">
        <f>IFERROR(INDEX(Movimientos!$C$2:$C$1993,MATCH(A463&amp;"ENTRADA",Movimientos!$R$2:$R$1993,0)),"-")</f>
        <v>-</v>
      </c>
      <c r="C463" s="2" t="str">
        <f>IFERROR(INDEX(Movimientos!$D$2:$D$1993,MATCH(A463&amp;"ENTRADA",Movimientos!$R$2:$R$1993,0)),"-")</f>
        <v>-</v>
      </c>
      <c r="D463" s="2" t="str">
        <f>IFERROR(INDEX(Movimientos!$E$2:$E$1993,MATCH(A463&amp;"ENTRADA",Movimientos!$R$2:$R$1993,0)),"-")</f>
        <v>-</v>
      </c>
      <c r="E463" s="2" t="str">
        <f>IFERROR(INDEX(Movimientos!$F$2:$F$1993,MATCH(A463&amp;"ENTRADA",Movimientos!$R$2:$R$1993,0)),"-")</f>
        <v>-</v>
      </c>
      <c r="F463" s="2" t="str">
        <f>IFERROR(INDEX(Movimientos!$G$2:$G$1993,MATCH(A463&amp;"ENTRADA",Movimientos!$R$2:$R$1993,0)),"-")</f>
        <v>-</v>
      </c>
      <c r="G463" s="2" t="str">
        <f>IFERROR(INDEX(Movimientos!$L$2:$L$1993,MATCH(A463&amp;"ENTRADA",Movimientos!$R$2:$R$1993,0)),"-")</f>
        <v>-</v>
      </c>
      <c r="H463" s="17" t="str">
        <f>IFERROR(IF(INDEX(Movimientos!$M$2:$M$1993,MATCH(A463&amp;"ENTRADA",Movimientos!$R$2:$R$1993,0))=0,"S/D",INDEX(Movimientos!$M$2:$M$1993,MATCH(A463&amp;"ENTRADA",Movimientos!$R$2:$R$1993,0))),"S/D")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2804</v>
      </c>
      <c r="B464" s="2" t="str">
        <f>IFERROR(INDEX(Movimientos!$C$2:$C$1993,MATCH(A464&amp;"ENTRADA",Movimientos!$R$2:$R$1993,0)),"-")</f>
        <v>-</v>
      </c>
      <c r="C464" s="2" t="str">
        <f>IFERROR(INDEX(Movimientos!$D$2:$D$1993,MATCH(A464&amp;"ENTRADA",Movimientos!$R$2:$R$1993,0)),"-")</f>
        <v>-</v>
      </c>
      <c r="D464" s="2" t="str">
        <f>IFERROR(INDEX(Movimientos!$E$2:$E$1993,MATCH(A464&amp;"ENTRADA",Movimientos!$R$2:$R$1993,0)),"-")</f>
        <v>-</v>
      </c>
      <c r="E464" s="2" t="str">
        <f>IFERROR(INDEX(Movimientos!$F$2:$F$1993,MATCH(A464&amp;"ENTRADA",Movimientos!$R$2:$R$1993,0)),"-")</f>
        <v>-</v>
      </c>
      <c r="F464" s="2" t="str">
        <f>IFERROR(INDEX(Movimientos!$G$2:$G$1993,MATCH(A464&amp;"ENTRADA",Movimientos!$R$2:$R$1993,0)),"-")</f>
        <v>-</v>
      </c>
      <c r="G464" s="2" t="str">
        <f>IFERROR(INDEX(Movimientos!$L$2:$L$1993,MATCH(A464&amp;"ENTRADA",Movimientos!$R$2:$R$1993,0)),"-")</f>
        <v>-</v>
      </c>
      <c r="H464" s="17" t="str">
        <f>IFERROR(IF(INDEX(Movimientos!$M$2:$M$1993,MATCH(A464&amp;"ENTRADA",Movimientos!$R$2:$R$1993,0))=0,"S/D",INDEX(Movimientos!$M$2:$M$1993,MATCH(A464&amp;"ENTRADA",Movimientos!$R$2:$R$1993,0))),"S/D")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2805</v>
      </c>
      <c r="B465" s="2" t="str">
        <f>IFERROR(INDEX(Movimientos!$C$2:$C$1993,MATCH(A465&amp;"ENTRADA",Movimientos!$R$2:$R$1993,0)),"-")</f>
        <v>-</v>
      </c>
      <c r="C465" s="2" t="str">
        <f>IFERROR(INDEX(Movimientos!$D$2:$D$1993,MATCH(A465&amp;"ENTRADA",Movimientos!$R$2:$R$1993,0)),"-")</f>
        <v>-</v>
      </c>
      <c r="D465" s="2" t="str">
        <f>IFERROR(INDEX(Movimientos!$E$2:$E$1993,MATCH(A465&amp;"ENTRADA",Movimientos!$R$2:$R$1993,0)),"-")</f>
        <v>-</v>
      </c>
      <c r="E465" s="2" t="str">
        <f>IFERROR(INDEX(Movimientos!$F$2:$F$1993,MATCH(A465&amp;"ENTRADA",Movimientos!$R$2:$R$1993,0)),"-")</f>
        <v>-</v>
      </c>
      <c r="F465" s="2" t="str">
        <f>IFERROR(INDEX(Movimientos!$G$2:$G$1993,MATCH(A465&amp;"ENTRADA",Movimientos!$R$2:$R$1993,0)),"-")</f>
        <v>-</v>
      </c>
      <c r="G465" s="2" t="str">
        <f>IFERROR(INDEX(Movimientos!$L$2:$L$1993,MATCH(A465&amp;"ENTRADA",Movimientos!$R$2:$R$1993,0)),"-")</f>
        <v>-</v>
      </c>
      <c r="H465" s="17" t="str">
        <f>IFERROR(IF(INDEX(Movimientos!$M$2:$M$1993,MATCH(A465&amp;"ENTRADA",Movimientos!$R$2:$R$1993,0))=0,"S/D",INDEX(Movimientos!$M$2:$M$1993,MATCH(A465&amp;"ENTRADA",Movimientos!$R$2:$R$1993,0))),"S/D")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2806</v>
      </c>
      <c r="B466" s="2" t="str">
        <f>IFERROR(INDEX(Movimientos!$C$2:$C$1993,MATCH(A466&amp;"ENTRADA",Movimientos!$R$2:$R$1993,0)),"-")</f>
        <v>-</v>
      </c>
      <c r="C466" s="2" t="str">
        <f>IFERROR(INDEX(Movimientos!$D$2:$D$1993,MATCH(A466&amp;"ENTRADA",Movimientos!$R$2:$R$1993,0)),"-")</f>
        <v>-</v>
      </c>
      <c r="D466" s="2" t="str">
        <f>IFERROR(INDEX(Movimientos!$E$2:$E$1993,MATCH(A466&amp;"ENTRADA",Movimientos!$R$2:$R$1993,0)),"-")</f>
        <v>-</v>
      </c>
      <c r="E466" s="2" t="str">
        <f>IFERROR(INDEX(Movimientos!$F$2:$F$1993,MATCH(A466&amp;"ENTRADA",Movimientos!$R$2:$R$1993,0)),"-")</f>
        <v>-</v>
      </c>
      <c r="F466" s="2" t="str">
        <f>IFERROR(INDEX(Movimientos!$G$2:$G$1993,MATCH(A466&amp;"ENTRADA",Movimientos!$R$2:$R$1993,0)),"-")</f>
        <v>-</v>
      </c>
      <c r="G466" s="2" t="str">
        <f>IFERROR(INDEX(Movimientos!$L$2:$L$1993,MATCH(A466&amp;"ENTRADA",Movimientos!$R$2:$R$1993,0)),"-")</f>
        <v>-</v>
      </c>
      <c r="H466" s="17" t="str">
        <f>IFERROR(IF(INDEX(Movimientos!$M$2:$M$1993,MATCH(A466&amp;"ENTRADA",Movimientos!$R$2:$R$1993,0))=0,"S/D",INDEX(Movimientos!$M$2:$M$1993,MATCH(A466&amp;"ENTRADA",Movimientos!$R$2:$R$1993,0))),"S/D")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2807</v>
      </c>
      <c r="B467" s="2" t="str">
        <f>IFERROR(INDEX(Movimientos!$C$2:$C$1993,MATCH(A467&amp;"ENTRADA",Movimientos!$R$2:$R$1993,0)),"-")</f>
        <v>-</v>
      </c>
      <c r="C467" s="2" t="str">
        <f>IFERROR(INDEX(Movimientos!$D$2:$D$1993,MATCH(A467&amp;"ENTRADA",Movimientos!$R$2:$R$1993,0)),"-")</f>
        <v>-</v>
      </c>
      <c r="D467" s="2" t="str">
        <f>IFERROR(INDEX(Movimientos!$E$2:$E$1993,MATCH(A467&amp;"ENTRADA",Movimientos!$R$2:$R$1993,0)),"-")</f>
        <v>-</v>
      </c>
      <c r="E467" s="2" t="str">
        <f>IFERROR(INDEX(Movimientos!$F$2:$F$1993,MATCH(A467&amp;"ENTRADA",Movimientos!$R$2:$R$1993,0)),"-")</f>
        <v>-</v>
      </c>
      <c r="F467" s="2" t="str">
        <f>IFERROR(INDEX(Movimientos!$G$2:$G$1993,MATCH(A467&amp;"ENTRADA",Movimientos!$R$2:$R$1993,0)),"-")</f>
        <v>-</v>
      </c>
      <c r="G467" s="2" t="str">
        <f>IFERROR(INDEX(Movimientos!$L$2:$L$1993,MATCH(A467&amp;"ENTRADA",Movimientos!$R$2:$R$1993,0)),"-")</f>
        <v>-</v>
      </c>
      <c r="H467" s="17" t="str">
        <f>IFERROR(IF(INDEX(Movimientos!$M$2:$M$1993,MATCH(A467&amp;"ENTRADA",Movimientos!$R$2:$R$1993,0))=0,"S/D",INDEX(Movimientos!$M$2:$M$1993,MATCH(A467&amp;"ENTRADA",Movimientos!$R$2:$R$1993,0))),"S/D")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2808</v>
      </c>
      <c r="B468" s="2" t="str">
        <f>IFERROR(INDEX(Movimientos!$C$2:$C$1993,MATCH(A468&amp;"ENTRADA",Movimientos!$R$2:$R$1993,0)),"-")</f>
        <v>-</v>
      </c>
      <c r="C468" s="2" t="str">
        <f>IFERROR(INDEX(Movimientos!$D$2:$D$1993,MATCH(A468&amp;"ENTRADA",Movimientos!$R$2:$R$1993,0)),"-")</f>
        <v>-</v>
      </c>
      <c r="D468" s="2" t="str">
        <f>IFERROR(INDEX(Movimientos!$E$2:$E$1993,MATCH(A468&amp;"ENTRADA",Movimientos!$R$2:$R$1993,0)),"-")</f>
        <v>-</v>
      </c>
      <c r="E468" s="2" t="str">
        <f>IFERROR(INDEX(Movimientos!$F$2:$F$1993,MATCH(A468&amp;"ENTRADA",Movimientos!$R$2:$R$1993,0)),"-")</f>
        <v>-</v>
      </c>
      <c r="F468" s="2" t="str">
        <f>IFERROR(INDEX(Movimientos!$G$2:$G$1993,MATCH(A468&amp;"ENTRADA",Movimientos!$R$2:$R$1993,0)),"-")</f>
        <v>-</v>
      </c>
      <c r="G468" s="2" t="str">
        <f>IFERROR(INDEX(Movimientos!$L$2:$L$1993,MATCH(A468&amp;"ENTRADA",Movimientos!$R$2:$R$1993,0)),"-")</f>
        <v>-</v>
      </c>
      <c r="H468" s="17" t="str">
        <f>IFERROR(IF(INDEX(Movimientos!$M$2:$M$1993,MATCH(A468&amp;"ENTRADA",Movimientos!$R$2:$R$1993,0))=0,"S/D",INDEX(Movimientos!$M$2:$M$1993,MATCH(A468&amp;"ENTRADA",Movimientos!$R$2:$R$1993,0))),"S/D")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2809</v>
      </c>
      <c r="B469" s="2" t="str">
        <f>IFERROR(INDEX(Movimientos!$C$2:$C$1993,MATCH(A469&amp;"ENTRADA",Movimientos!$R$2:$R$1993,0)),"-")</f>
        <v>-</v>
      </c>
      <c r="C469" s="2" t="str">
        <f>IFERROR(INDEX(Movimientos!$D$2:$D$1993,MATCH(A469&amp;"ENTRADA",Movimientos!$R$2:$R$1993,0)),"-")</f>
        <v>-</v>
      </c>
      <c r="D469" s="2" t="str">
        <f>IFERROR(INDEX(Movimientos!$E$2:$E$1993,MATCH(A469&amp;"ENTRADA",Movimientos!$R$2:$R$1993,0)),"-")</f>
        <v>-</v>
      </c>
      <c r="E469" s="2" t="str">
        <f>IFERROR(INDEX(Movimientos!$F$2:$F$1993,MATCH(A469&amp;"ENTRADA",Movimientos!$R$2:$R$1993,0)),"-")</f>
        <v>-</v>
      </c>
      <c r="F469" s="2" t="str">
        <f>IFERROR(INDEX(Movimientos!$G$2:$G$1993,MATCH(A469&amp;"ENTRADA",Movimientos!$R$2:$R$1993,0)),"-")</f>
        <v>-</v>
      </c>
      <c r="G469" s="2" t="str">
        <f>IFERROR(INDEX(Movimientos!$L$2:$L$1993,MATCH(A469&amp;"ENTRADA",Movimientos!$R$2:$R$1993,0)),"-")</f>
        <v>-</v>
      </c>
      <c r="H469" s="17" t="str">
        <f>IFERROR(IF(INDEX(Movimientos!$M$2:$M$1993,MATCH(A469&amp;"ENTRADA",Movimientos!$R$2:$R$1993,0))=0,"S/D",INDEX(Movimientos!$M$2:$M$1993,MATCH(A469&amp;"ENTRADA",Movimientos!$R$2:$R$1993,0))),"S/D")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2810</v>
      </c>
      <c r="B470" s="2" t="str">
        <f>IFERROR(INDEX(Movimientos!$C$2:$C$1993,MATCH(A470&amp;"ENTRADA",Movimientos!$R$2:$R$1993,0)),"-")</f>
        <v>-</v>
      </c>
      <c r="C470" s="2" t="str">
        <f>IFERROR(INDEX(Movimientos!$D$2:$D$1993,MATCH(A470&amp;"ENTRADA",Movimientos!$R$2:$R$1993,0)),"-")</f>
        <v>-</v>
      </c>
      <c r="D470" s="2" t="str">
        <f>IFERROR(INDEX(Movimientos!$E$2:$E$1993,MATCH(A470&amp;"ENTRADA",Movimientos!$R$2:$R$1993,0)),"-")</f>
        <v>-</v>
      </c>
      <c r="E470" s="2" t="str">
        <f>IFERROR(INDEX(Movimientos!$F$2:$F$1993,MATCH(A470&amp;"ENTRADA",Movimientos!$R$2:$R$1993,0)),"-")</f>
        <v>-</v>
      </c>
      <c r="F470" s="2" t="str">
        <f>IFERROR(INDEX(Movimientos!$G$2:$G$1993,MATCH(A470&amp;"ENTRADA",Movimientos!$R$2:$R$1993,0)),"-")</f>
        <v>-</v>
      </c>
      <c r="G470" s="2" t="str">
        <f>IFERROR(INDEX(Movimientos!$L$2:$L$1993,MATCH(A470&amp;"ENTRADA",Movimientos!$R$2:$R$1993,0)),"-")</f>
        <v>-</v>
      </c>
      <c r="H470" s="17" t="str">
        <f>IFERROR(IF(INDEX(Movimientos!$M$2:$M$1993,MATCH(A470&amp;"ENTRADA",Movimientos!$R$2:$R$1993,0))=0,"S/D",INDEX(Movimientos!$M$2:$M$1993,MATCH(A470&amp;"ENTRADA",Movimientos!$R$2:$R$1993,0))),"S/D")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2811</v>
      </c>
      <c r="B471" s="2" t="str">
        <f>IFERROR(INDEX(Movimientos!$C$2:$C$1993,MATCH(A471&amp;"ENTRADA",Movimientos!$R$2:$R$1993,0)),"-")</f>
        <v>-</v>
      </c>
      <c r="C471" s="2" t="str">
        <f>IFERROR(INDEX(Movimientos!$D$2:$D$1993,MATCH(A471&amp;"ENTRADA",Movimientos!$R$2:$R$1993,0)),"-")</f>
        <v>-</v>
      </c>
      <c r="D471" s="2" t="str">
        <f>IFERROR(INDEX(Movimientos!$E$2:$E$1993,MATCH(A471&amp;"ENTRADA",Movimientos!$R$2:$R$1993,0)),"-")</f>
        <v>-</v>
      </c>
      <c r="E471" s="2" t="str">
        <f>IFERROR(INDEX(Movimientos!$F$2:$F$1993,MATCH(A471&amp;"ENTRADA",Movimientos!$R$2:$R$1993,0)),"-")</f>
        <v>-</v>
      </c>
      <c r="F471" s="2" t="str">
        <f>IFERROR(INDEX(Movimientos!$G$2:$G$1993,MATCH(A471&amp;"ENTRADA",Movimientos!$R$2:$R$1993,0)),"-")</f>
        <v>-</v>
      </c>
      <c r="G471" s="2" t="str">
        <f>IFERROR(INDEX(Movimientos!$L$2:$L$1993,MATCH(A471&amp;"ENTRADA",Movimientos!$R$2:$R$1993,0)),"-")</f>
        <v>-</v>
      </c>
      <c r="H471" s="17" t="str">
        <f>IFERROR(IF(INDEX(Movimientos!$M$2:$M$1993,MATCH(A471&amp;"ENTRADA",Movimientos!$R$2:$R$1993,0))=0,"S/D",INDEX(Movimientos!$M$2:$M$1993,MATCH(A471&amp;"ENTRADA",Movimientos!$R$2:$R$1993,0))),"S/D")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2812</v>
      </c>
      <c r="B472" s="2" t="str">
        <f>IFERROR(INDEX(Movimientos!$C$2:$C$1993,MATCH(A472&amp;"ENTRADA",Movimientos!$R$2:$R$1993,0)),"-")</f>
        <v>-</v>
      </c>
      <c r="C472" s="2" t="str">
        <f>IFERROR(INDEX(Movimientos!$D$2:$D$1993,MATCH(A472&amp;"ENTRADA",Movimientos!$R$2:$R$1993,0)),"-")</f>
        <v>-</v>
      </c>
      <c r="D472" s="2" t="str">
        <f>IFERROR(INDEX(Movimientos!$E$2:$E$1993,MATCH(A472&amp;"ENTRADA",Movimientos!$R$2:$R$1993,0)),"-")</f>
        <v>-</v>
      </c>
      <c r="E472" s="2" t="str">
        <f>IFERROR(INDEX(Movimientos!$F$2:$F$1993,MATCH(A472&amp;"ENTRADA",Movimientos!$R$2:$R$1993,0)),"-")</f>
        <v>-</v>
      </c>
      <c r="F472" s="2" t="str">
        <f>IFERROR(INDEX(Movimientos!$G$2:$G$1993,MATCH(A472&amp;"ENTRADA",Movimientos!$R$2:$R$1993,0)),"-")</f>
        <v>-</v>
      </c>
      <c r="G472" s="2" t="str">
        <f>IFERROR(INDEX(Movimientos!$L$2:$L$1993,MATCH(A472&amp;"ENTRADA",Movimientos!$R$2:$R$1993,0)),"-")</f>
        <v>-</v>
      </c>
      <c r="H472" s="17" t="str">
        <f>IFERROR(IF(INDEX(Movimientos!$M$2:$M$1993,MATCH(A472&amp;"ENTRADA",Movimientos!$R$2:$R$1993,0))=0,"S/D",INDEX(Movimientos!$M$2:$M$1993,MATCH(A472&amp;"ENTRADA",Movimientos!$R$2:$R$1993,0))),"S/D")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2813</v>
      </c>
      <c r="B473" s="2" t="str">
        <f>IFERROR(INDEX(Movimientos!$C$2:$C$1993,MATCH(A473&amp;"ENTRADA",Movimientos!$R$2:$R$1993,0)),"-")</f>
        <v>-</v>
      </c>
      <c r="C473" s="2" t="str">
        <f>IFERROR(INDEX(Movimientos!$D$2:$D$1993,MATCH(A473&amp;"ENTRADA",Movimientos!$R$2:$R$1993,0)),"-")</f>
        <v>-</v>
      </c>
      <c r="D473" s="2" t="str">
        <f>IFERROR(INDEX(Movimientos!$E$2:$E$1993,MATCH(A473&amp;"ENTRADA",Movimientos!$R$2:$R$1993,0)),"-")</f>
        <v>-</v>
      </c>
      <c r="E473" s="2" t="str">
        <f>IFERROR(INDEX(Movimientos!$F$2:$F$1993,MATCH(A473&amp;"ENTRADA",Movimientos!$R$2:$R$1993,0)),"-")</f>
        <v>-</v>
      </c>
      <c r="F473" s="2" t="str">
        <f>IFERROR(INDEX(Movimientos!$G$2:$G$1993,MATCH(A473&amp;"ENTRADA",Movimientos!$R$2:$R$1993,0)),"-")</f>
        <v>-</v>
      </c>
      <c r="G473" s="2" t="str">
        <f>IFERROR(INDEX(Movimientos!$L$2:$L$1993,MATCH(A473&amp;"ENTRADA",Movimientos!$R$2:$R$1993,0)),"-")</f>
        <v>-</v>
      </c>
      <c r="H473" s="17" t="str">
        <f>IFERROR(IF(INDEX(Movimientos!$M$2:$M$1993,MATCH(A473&amp;"ENTRADA",Movimientos!$R$2:$R$1993,0))=0,"S/D",INDEX(Movimientos!$M$2:$M$1993,MATCH(A473&amp;"ENTRADA",Movimientos!$R$2:$R$1993,0))),"S/D")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2814</v>
      </c>
      <c r="B474" s="2" t="str">
        <f>IFERROR(INDEX(Movimientos!$C$2:$C$1993,MATCH(A474&amp;"ENTRADA",Movimientos!$R$2:$R$1993,0)),"-")</f>
        <v>-</v>
      </c>
      <c r="C474" s="2" t="str">
        <f>IFERROR(INDEX(Movimientos!$D$2:$D$1993,MATCH(A474&amp;"ENTRADA",Movimientos!$R$2:$R$1993,0)),"-")</f>
        <v>-</v>
      </c>
      <c r="D474" s="2" t="str">
        <f>IFERROR(INDEX(Movimientos!$E$2:$E$1993,MATCH(A474&amp;"ENTRADA",Movimientos!$R$2:$R$1993,0)),"-")</f>
        <v>-</v>
      </c>
      <c r="E474" s="2" t="str">
        <f>IFERROR(INDEX(Movimientos!$F$2:$F$1993,MATCH(A474&amp;"ENTRADA",Movimientos!$R$2:$R$1993,0)),"-")</f>
        <v>-</v>
      </c>
      <c r="F474" s="2" t="str">
        <f>IFERROR(INDEX(Movimientos!$G$2:$G$1993,MATCH(A474&amp;"ENTRADA",Movimientos!$R$2:$R$1993,0)),"-")</f>
        <v>-</v>
      </c>
      <c r="G474" s="2" t="str">
        <f>IFERROR(INDEX(Movimientos!$L$2:$L$1993,MATCH(A474&amp;"ENTRADA",Movimientos!$R$2:$R$1993,0)),"-")</f>
        <v>-</v>
      </c>
      <c r="H474" s="17" t="str">
        <f>IFERROR(IF(INDEX(Movimientos!$M$2:$M$1993,MATCH(A474&amp;"ENTRADA",Movimientos!$R$2:$R$1993,0))=0,"S/D",INDEX(Movimientos!$M$2:$M$1993,MATCH(A474&amp;"ENTRADA",Movimientos!$R$2:$R$1993,0))),"S/D")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2815</v>
      </c>
      <c r="B475" s="2" t="str">
        <f>IFERROR(INDEX(Movimientos!$C$2:$C$1993,MATCH(A475&amp;"ENTRADA",Movimientos!$R$2:$R$1993,0)),"-")</f>
        <v>-</v>
      </c>
      <c r="C475" s="2" t="str">
        <f>IFERROR(INDEX(Movimientos!$D$2:$D$1993,MATCH(A475&amp;"ENTRADA",Movimientos!$R$2:$R$1993,0)),"-")</f>
        <v>-</v>
      </c>
      <c r="D475" s="2" t="str">
        <f>IFERROR(INDEX(Movimientos!$E$2:$E$1993,MATCH(A475&amp;"ENTRADA",Movimientos!$R$2:$R$1993,0)),"-")</f>
        <v>-</v>
      </c>
      <c r="E475" s="2" t="str">
        <f>IFERROR(INDEX(Movimientos!$F$2:$F$1993,MATCH(A475&amp;"ENTRADA",Movimientos!$R$2:$R$1993,0)),"-")</f>
        <v>-</v>
      </c>
      <c r="F475" s="2" t="str">
        <f>IFERROR(INDEX(Movimientos!$G$2:$G$1993,MATCH(A475&amp;"ENTRADA",Movimientos!$R$2:$R$1993,0)),"-")</f>
        <v>-</v>
      </c>
      <c r="G475" s="2" t="str">
        <f>IFERROR(INDEX(Movimientos!$L$2:$L$1993,MATCH(A475&amp;"ENTRADA",Movimientos!$R$2:$R$1993,0)),"-")</f>
        <v>-</v>
      </c>
      <c r="H475" s="17" t="str">
        <f>IFERROR(IF(INDEX(Movimientos!$M$2:$M$1993,MATCH(A475&amp;"ENTRADA",Movimientos!$R$2:$R$1993,0))=0,"S/D",INDEX(Movimientos!$M$2:$M$1993,MATCH(A475&amp;"ENTRADA",Movimientos!$R$2:$R$1993,0))),"S/D")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2816</v>
      </c>
      <c r="B476" s="2" t="str">
        <f>IFERROR(INDEX(Movimientos!$C$2:$C$1993,MATCH(A476&amp;"ENTRADA",Movimientos!$R$2:$R$1993,0)),"-")</f>
        <v>-</v>
      </c>
      <c r="C476" s="2" t="str">
        <f>IFERROR(INDEX(Movimientos!$D$2:$D$1993,MATCH(A476&amp;"ENTRADA",Movimientos!$R$2:$R$1993,0)),"-")</f>
        <v>-</v>
      </c>
      <c r="D476" s="2" t="str">
        <f>IFERROR(INDEX(Movimientos!$E$2:$E$1993,MATCH(A476&amp;"ENTRADA",Movimientos!$R$2:$R$1993,0)),"-")</f>
        <v>-</v>
      </c>
      <c r="E476" s="2" t="str">
        <f>IFERROR(INDEX(Movimientos!$F$2:$F$1993,MATCH(A476&amp;"ENTRADA",Movimientos!$R$2:$R$1993,0)),"-")</f>
        <v>-</v>
      </c>
      <c r="F476" s="2" t="str">
        <f>IFERROR(INDEX(Movimientos!$G$2:$G$1993,MATCH(A476&amp;"ENTRADA",Movimientos!$R$2:$R$1993,0)),"-")</f>
        <v>-</v>
      </c>
      <c r="G476" s="2" t="str">
        <f>IFERROR(INDEX(Movimientos!$L$2:$L$1993,MATCH(A476&amp;"ENTRADA",Movimientos!$R$2:$R$1993,0)),"-")</f>
        <v>-</v>
      </c>
      <c r="H476" s="17" t="str">
        <f>IFERROR(IF(INDEX(Movimientos!$M$2:$M$1993,MATCH(A476&amp;"ENTRADA",Movimientos!$R$2:$R$1993,0))=0,"S/D",INDEX(Movimientos!$M$2:$M$1993,MATCH(A476&amp;"ENTRADA",Movimientos!$R$2:$R$1993,0))),"S/D")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2817</v>
      </c>
      <c r="B477" s="2" t="str">
        <f>IFERROR(INDEX(Movimientos!$C$2:$C$1993,MATCH(A477&amp;"ENTRADA",Movimientos!$R$2:$R$1993,0)),"-")</f>
        <v>-</v>
      </c>
      <c r="C477" s="2" t="str">
        <f>IFERROR(INDEX(Movimientos!$D$2:$D$1993,MATCH(A477&amp;"ENTRADA",Movimientos!$R$2:$R$1993,0)),"-")</f>
        <v>-</v>
      </c>
      <c r="D477" s="2" t="str">
        <f>IFERROR(INDEX(Movimientos!$E$2:$E$1993,MATCH(A477&amp;"ENTRADA",Movimientos!$R$2:$R$1993,0)),"-")</f>
        <v>-</v>
      </c>
      <c r="E477" s="2" t="str">
        <f>IFERROR(INDEX(Movimientos!$F$2:$F$1993,MATCH(A477&amp;"ENTRADA",Movimientos!$R$2:$R$1993,0)),"-")</f>
        <v>-</v>
      </c>
      <c r="F477" s="2" t="str">
        <f>IFERROR(INDEX(Movimientos!$G$2:$G$1993,MATCH(A477&amp;"ENTRADA",Movimientos!$R$2:$R$1993,0)),"-")</f>
        <v>-</v>
      </c>
      <c r="G477" s="2" t="str">
        <f>IFERROR(INDEX(Movimientos!$L$2:$L$1993,MATCH(A477&amp;"ENTRADA",Movimientos!$R$2:$R$1993,0)),"-")</f>
        <v>-</v>
      </c>
      <c r="H477" s="17" t="str">
        <f>IFERROR(IF(INDEX(Movimientos!$M$2:$M$1993,MATCH(A477&amp;"ENTRADA",Movimientos!$R$2:$R$1993,0))=0,"S/D",INDEX(Movimientos!$M$2:$M$1993,MATCH(A477&amp;"ENTRADA",Movimientos!$R$2:$R$1993,0))),"S/D")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2818</v>
      </c>
      <c r="B478" s="2" t="str">
        <f>IFERROR(INDEX(Movimientos!$C$2:$C$1993,MATCH(A478&amp;"ENTRADA",Movimientos!$R$2:$R$1993,0)),"-")</f>
        <v>-</v>
      </c>
      <c r="C478" s="2" t="str">
        <f>IFERROR(INDEX(Movimientos!$D$2:$D$1993,MATCH(A478&amp;"ENTRADA",Movimientos!$R$2:$R$1993,0)),"-")</f>
        <v>-</v>
      </c>
      <c r="D478" s="2" t="str">
        <f>IFERROR(INDEX(Movimientos!$E$2:$E$1993,MATCH(A478&amp;"ENTRADA",Movimientos!$R$2:$R$1993,0)),"-")</f>
        <v>-</v>
      </c>
      <c r="E478" s="2" t="str">
        <f>IFERROR(INDEX(Movimientos!$F$2:$F$1993,MATCH(A478&amp;"ENTRADA",Movimientos!$R$2:$R$1993,0)),"-")</f>
        <v>-</v>
      </c>
      <c r="F478" s="2" t="str">
        <f>IFERROR(INDEX(Movimientos!$G$2:$G$1993,MATCH(A478&amp;"ENTRADA",Movimientos!$R$2:$R$1993,0)),"-")</f>
        <v>-</v>
      </c>
      <c r="G478" s="2" t="str">
        <f>IFERROR(INDEX(Movimientos!$L$2:$L$1993,MATCH(A478&amp;"ENTRADA",Movimientos!$R$2:$R$1993,0)),"-")</f>
        <v>-</v>
      </c>
      <c r="H478" s="17" t="str">
        <f>IFERROR(IF(INDEX(Movimientos!$M$2:$M$1993,MATCH(A478&amp;"ENTRADA",Movimientos!$R$2:$R$1993,0))=0,"S/D",INDEX(Movimientos!$M$2:$M$1993,MATCH(A478&amp;"ENTRADA",Movimientos!$R$2:$R$1993,0))),"S/D")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2819</v>
      </c>
      <c r="B479" s="2" t="str">
        <f>IFERROR(INDEX(Movimientos!$C$2:$C$1993,MATCH(A479&amp;"ENTRADA",Movimientos!$R$2:$R$1993,0)),"-")</f>
        <v>-</v>
      </c>
      <c r="C479" s="2" t="str">
        <f>IFERROR(INDEX(Movimientos!$D$2:$D$1993,MATCH(A479&amp;"ENTRADA",Movimientos!$R$2:$R$1993,0)),"-")</f>
        <v>-</v>
      </c>
      <c r="D479" s="2" t="str">
        <f>IFERROR(INDEX(Movimientos!$E$2:$E$1993,MATCH(A479&amp;"ENTRADA",Movimientos!$R$2:$R$1993,0)),"-")</f>
        <v>-</v>
      </c>
      <c r="E479" s="2" t="str">
        <f>IFERROR(INDEX(Movimientos!$F$2:$F$1993,MATCH(A479&amp;"ENTRADA",Movimientos!$R$2:$R$1993,0)),"-")</f>
        <v>-</v>
      </c>
      <c r="F479" s="2" t="str">
        <f>IFERROR(INDEX(Movimientos!$G$2:$G$1993,MATCH(A479&amp;"ENTRADA",Movimientos!$R$2:$R$1993,0)),"-")</f>
        <v>-</v>
      </c>
      <c r="G479" s="2" t="str">
        <f>IFERROR(INDEX(Movimientos!$L$2:$L$1993,MATCH(A479&amp;"ENTRADA",Movimientos!$R$2:$R$1993,0)),"-")</f>
        <v>-</v>
      </c>
      <c r="H479" s="17" t="str">
        <f>IFERROR(IF(INDEX(Movimientos!$M$2:$M$1993,MATCH(A479&amp;"ENTRADA",Movimientos!$R$2:$R$1993,0))=0,"S/D",INDEX(Movimientos!$M$2:$M$1993,MATCH(A479&amp;"ENTRADA",Movimientos!$R$2:$R$1993,0))),"S/D")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2820</v>
      </c>
      <c r="B480" s="2" t="str">
        <f>IFERROR(INDEX(Movimientos!$C$2:$C$1993,MATCH(A480&amp;"ENTRADA",Movimientos!$R$2:$R$1993,0)),"-")</f>
        <v>-</v>
      </c>
      <c r="C480" s="2" t="str">
        <f>IFERROR(INDEX(Movimientos!$D$2:$D$1993,MATCH(A480&amp;"ENTRADA",Movimientos!$R$2:$R$1993,0)),"-")</f>
        <v>-</v>
      </c>
      <c r="D480" s="2" t="str">
        <f>IFERROR(INDEX(Movimientos!$E$2:$E$1993,MATCH(A480&amp;"ENTRADA",Movimientos!$R$2:$R$1993,0)),"-")</f>
        <v>-</v>
      </c>
      <c r="E480" s="2" t="str">
        <f>IFERROR(INDEX(Movimientos!$F$2:$F$1993,MATCH(A480&amp;"ENTRADA",Movimientos!$R$2:$R$1993,0)),"-")</f>
        <v>-</v>
      </c>
      <c r="F480" s="2" t="str">
        <f>IFERROR(INDEX(Movimientos!$G$2:$G$1993,MATCH(A480&amp;"ENTRADA",Movimientos!$R$2:$R$1993,0)),"-")</f>
        <v>-</v>
      </c>
      <c r="G480" s="2" t="str">
        <f>IFERROR(INDEX(Movimientos!$L$2:$L$1993,MATCH(A480&amp;"ENTRADA",Movimientos!$R$2:$R$1993,0)),"-")</f>
        <v>-</v>
      </c>
      <c r="H480" s="17" t="str">
        <f>IFERROR(IF(INDEX(Movimientos!$M$2:$M$1993,MATCH(A480&amp;"ENTRADA",Movimientos!$R$2:$R$1993,0))=0,"S/D",INDEX(Movimientos!$M$2:$M$1993,MATCH(A480&amp;"ENTRADA",Movimientos!$R$2:$R$1993,0))),"S/D")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2821</v>
      </c>
      <c r="B481" s="2" t="str">
        <f>IFERROR(INDEX(Movimientos!$C$2:$C$1993,MATCH(A481&amp;"ENTRADA",Movimientos!$R$2:$R$1993,0)),"-")</f>
        <v>-</v>
      </c>
      <c r="C481" s="2" t="str">
        <f>IFERROR(INDEX(Movimientos!$D$2:$D$1993,MATCH(A481&amp;"ENTRADA",Movimientos!$R$2:$R$1993,0)),"-")</f>
        <v>-</v>
      </c>
      <c r="D481" s="2" t="str">
        <f>IFERROR(INDEX(Movimientos!$E$2:$E$1993,MATCH(A481&amp;"ENTRADA",Movimientos!$R$2:$R$1993,0)),"-")</f>
        <v>-</v>
      </c>
      <c r="E481" s="2" t="str">
        <f>IFERROR(INDEX(Movimientos!$F$2:$F$1993,MATCH(A481&amp;"ENTRADA",Movimientos!$R$2:$R$1993,0)),"-")</f>
        <v>-</v>
      </c>
      <c r="F481" s="2" t="str">
        <f>IFERROR(INDEX(Movimientos!$G$2:$G$1993,MATCH(A481&amp;"ENTRADA",Movimientos!$R$2:$R$1993,0)),"-")</f>
        <v>-</v>
      </c>
      <c r="G481" s="2" t="str">
        <f>IFERROR(INDEX(Movimientos!$L$2:$L$1993,MATCH(A481&amp;"ENTRADA",Movimientos!$R$2:$R$1993,0)),"-")</f>
        <v>-</v>
      </c>
      <c r="H481" s="17" t="str">
        <f>IFERROR(IF(INDEX(Movimientos!$M$2:$M$1993,MATCH(A481&amp;"ENTRADA",Movimientos!$R$2:$R$1993,0))=0,"S/D",INDEX(Movimientos!$M$2:$M$1993,MATCH(A481&amp;"ENTRADA",Movimientos!$R$2:$R$1993,0))),"S/D")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2822</v>
      </c>
      <c r="B482" s="2" t="str">
        <f>IFERROR(INDEX(Movimientos!$C$2:$C$1993,MATCH(A482&amp;"ENTRADA",Movimientos!$R$2:$R$1993,0)),"-")</f>
        <v>-</v>
      </c>
      <c r="C482" s="2" t="str">
        <f>IFERROR(INDEX(Movimientos!$D$2:$D$1993,MATCH(A482&amp;"ENTRADA",Movimientos!$R$2:$R$1993,0)),"-")</f>
        <v>-</v>
      </c>
      <c r="D482" s="2" t="str">
        <f>IFERROR(INDEX(Movimientos!$E$2:$E$1993,MATCH(A482&amp;"ENTRADA",Movimientos!$R$2:$R$1993,0)),"-")</f>
        <v>-</v>
      </c>
      <c r="E482" s="2" t="str">
        <f>IFERROR(INDEX(Movimientos!$F$2:$F$1993,MATCH(A482&amp;"ENTRADA",Movimientos!$R$2:$R$1993,0)),"-")</f>
        <v>-</v>
      </c>
      <c r="F482" s="2" t="str">
        <f>IFERROR(INDEX(Movimientos!$G$2:$G$1993,MATCH(A482&amp;"ENTRADA",Movimientos!$R$2:$R$1993,0)),"-")</f>
        <v>-</v>
      </c>
      <c r="G482" s="2" t="str">
        <f>IFERROR(INDEX(Movimientos!$L$2:$L$1993,MATCH(A482&amp;"ENTRADA",Movimientos!$R$2:$R$1993,0)),"-")</f>
        <v>-</v>
      </c>
      <c r="H482" s="17" t="str">
        <f>IFERROR(IF(INDEX(Movimientos!$M$2:$M$1993,MATCH(A482&amp;"ENTRADA",Movimientos!$R$2:$R$1993,0))=0,"S/D",INDEX(Movimientos!$M$2:$M$1993,MATCH(A482&amp;"ENTRADA",Movimientos!$R$2:$R$1993,0))),"S/D")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2823</v>
      </c>
      <c r="B483" s="2" t="str">
        <f>IFERROR(INDEX(Movimientos!$C$2:$C$1993,MATCH(A483&amp;"ENTRADA",Movimientos!$R$2:$R$1993,0)),"-")</f>
        <v>-</v>
      </c>
      <c r="C483" s="2" t="str">
        <f>IFERROR(INDEX(Movimientos!$D$2:$D$1993,MATCH(A483&amp;"ENTRADA",Movimientos!$R$2:$R$1993,0)),"-")</f>
        <v>-</v>
      </c>
      <c r="D483" s="2" t="str">
        <f>IFERROR(INDEX(Movimientos!$E$2:$E$1993,MATCH(A483&amp;"ENTRADA",Movimientos!$R$2:$R$1993,0)),"-")</f>
        <v>-</v>
      </c>
      <c r="E483" s="2" t="str">
        <f>IFERROR(INDEX(Movimientos!$F$2:$F$1993,MATCH(A483&amp;"ENTRADA",Movimientos!$R$2:$R$1993,0)),"-")</f>
        <v>-</v>
      </c>
      <c r="F483" s="2" t="str">
        <f>IFERROR(INDEX(Movimientos!$G$2:$G$1993,MATCH(A483&amp;"ENTRADA",Movimientos!$R$2:$R$1993,0)),"-")</f>
        <v>-</v>
      </c>
      <c r="G483" s="2" t="str">
        <f>IFERROR(INDEX(Movimientos!$L$2:$L$1993,MATCH(A483&amp;"ENTRADA",Movimientos!$R$2:$R$1993,0)),"-")</f>
        <v>-</v>
      </c>
      <c r="H483" s="17" t="str">
        <f>IFERROR(IF(INDEX(Movimientos!$M$2:$M$1993,MATCH(A483&amp;"ENTRADA",Movimientos!$R$2:$R$1993,0))=0,"S/D",INDEX(Movimientos!$M$2:$M$1993,MATCH(A483&amp;"ENTRADA",Movimientos!$R$2:$R$1993,0))),"S/D")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2824</v>
      </c>
      <c r="B484" s="2" t="str">
        <f>IFERROR(INDEX(Movimientos!$C$2:$C$1993,MATCH(A484&amp;"ENTRADA",Movimientos!$R$2:$R$1993,0)),"-")</f>
        <v>-</v>
      </c>
      <c r="C484" s="2" t="str">
        <f>IFERROR(INDEX(Movimientos!$D$2:$D$1993,MATCH(A484&amp;"ENTRADA",Movimientos!$R$2:$R$1993,0)),"-")</f>
        <v>-</v>
      </c>
      <c r="D484" s="2" t="str">
        <f>IFERROR(INDEX(Movimientos!$E$2:$E$1993,MATCH(A484&amp;"ENTRADA",Movimientos!$R$2:$R$1993,0)),"-")</f>
        <v>-</v>
      </c>
      <c r="E484" s="2" t="str">
        <f>IFERROR(INDEX(Movimientos!$F$2:$F$1993,MATCH(A484&amp;"ENTRADA",Movimientos!$R$2:$R$1993,0)),"-")</f>
        <v>-</v>
      </c>
      <c r="F484" s="2" t="str">
        <f>IFERROR(INDEX(Movimientos!$G$2:$G$1993,MATCH(A484&amp;"ENTRADA",Movimientos!$R$2:$R$1993,0)),"-")</f>
        <v>-</v>
      </c>
      <c r="G484" s="2" t="str">
        <f>IFERROR(INDEX(Movimientos!$L$2:$L$1993,MATCH(A484&amp;"ENTRADA",Movimientos!$R$2:$R$1993,0)),"-")</f>
        <v>-</v>
      </c>
      <c r="H484" s="17" t="str">
        <f>IFERROR(IF(INDEX(Movimientos!$M$2:$M$1993,MATCH(A484&amp;"ENTRADA",Movimientos!$R$2:$R$1993,0))=0,"S/D",INDEX(Movimientos!$M$2:$M$1993,MATCH(A484&amp;"ENTRADA",Movimientos!$R$2:$R$1993,0))),"S/D")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2825</v>
      </c>
      <c r="B485" s="2" t="str">
        <f>IFERROR(INDEX(Movimientos!$C$2:$C$1993,MATCH(A485&amp;"ENTRADA",Movimientos!$R$2:$R$1993,0)),"-")</f>
        <v>-</v>
      </c>
      <c r="C485" s="2" t="str">
        <f>IFERROR(INDEX(Movimientos!$D$2:$D$1993,MATCH(A485&amp;"ENTRADA",Movimientos!$R$2:$R$1993,0)),"-")</f>
        <v>-</v>
      </c>
      <c r="D485" s="2" t="str">
        <f>IFERROR(INDEX(Movimientos!$E$2:$E$1993,MATCH(A485&amp;"ENTRADA",Movimientos!$R$2:$R$1993,0)),"-")</f>
        <v>-</v>
      </c>
      <c r="E485" s="2" t="str">
        <f>IFERROR(INDEX(Movimientos!$F$2:$F$1993,MATCH(A485&amp;"ENTRADA",Movimientos!$R$2:$R$1993,0)),"-")</f>
        <v>-</v>
      </c>
      <c r="F485" s="2" t="str">
        <f>IFERROR(INDEX(Movimientos!$G$2:$G$1993,MATCH(A485&amp;"ENTRADA",Movimientos!$R$2:$R$1993,0)),"-")</f>
        <v>-</v>
      </c>
      <c r="G485" s="2" t="str">
        <f>IFERROR(INDEX(Movimientos!$L$2:$L$1993,MATCH(A485&amp;"ENTRADA",Movimientos!$R$2:$R$1993,0)),"-")</f>
        <v>-</v>
      </c>
      <c r="H485" s="17" t="str">
        <f>IFERROR(IF(INDEX(Movimientos!$M$2:$M$1993,MATCH(A485&amp;"ENTRADA",Movimientos!$R$2:$R$1993,0))=0,"S/D",INDEX(Movimientos!$M$2:$M$1993,MATCH(A485&amp;"ENTRADA",Movimientos!$R$2:$R$1993,0))),"S/D")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2826</v>
      </c>
      <c r="B486" s="2" t="str">
        <f>IFERROR(INDEX(Movimientos!$C$2:$C$1993,MATCH(A486&amp;"ENTRADA",Movimientos!$R$2:$R$1993,0)),"-")</f>
        <v>-</v>
      </c>
      <c r="C486" s="2" t="str">
        <f>IFERROR(INDEX(Movimientos!$D$2:$D$1993,MATCH(A486&amp;"ENTRADA",Movimientos!$R$2:$R$1993,0)),"-")</f>
        <v>-</v>
      </c>
      <c r="D486" s="2" t="str">
        <f>IFERROR(INDEX(Movimientos!$E$2:$E$1993,MATCH(A486&amp;"ENTRADA",Movimientos!$R$2:$R$1993,0)),"-")</f>
        <v>-</v>
      </c>
      <c r="E486" s="2" t="str">
        <f>IFERROR(INDEX(Movimientos!$F$2:$F$1993,MATCH(A486&amp;"ENTRADA",Movimientos!$R$2:$R$1993,0)),"-")</f>
        <v>-</v>
      </c>
      <c r="F486" s="2" t="str">
        <f>IFERROR(INDEX(Movimientos!$G$2:$G$1993,MATCH(A486&amp;"ENTRADA",Movimientos!$R$2:$R$1993,0)),"-")</f>
        <v>-</v>
      </c>
      <c r="G486" s="2" t="str">
        <f>IFERROR(INDEX(Movimientos!$L$2:$L$1993,MATCH(A486&amp;"ENTRADA",Movimientos!$R$2:$R$1993,0)),"-")</f>
        <v>-</v>
      </c>
      <c r="H486" s="17" t="str">
        <f>IFERROR(IF(INDEX(Movimientos!$M$2:$M$1993,MATCH(A486&amp;"ENTRADA",Movimientos!$R$2:$R$1993,0))=0,"S/D",INDEX(Movimientos!$M$2:$M$1993,MATCH(A486&amp;"ENTRADA",Movimientos!$R$2:$R$1993,0))),"S/D")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2827</v>
      </c>
      <c r="B487" s="2" t="str">
        <f>IFERROR(INDEX(Movimientos!$C$2:$C$1993,MATCH(A487&amp;"ENTRADA",Movimientos!$R$2:$R$1993,0)),"-")</f>
        <v>-</v>
      </c>
      <c r="C487" s="2" t="str">
        <f>IFERROR(INDEX(Movimientos!$D$2:$D$1993,MATCH(A487&amp;"ENTRADA",Movimientos!$R$2:$R$1993,0)),"-")</f>
        <v>-</v>
      </c>
      <c r="D487" s="2" t="str">
        <f>IFERROR(INDEX(Movimientos!$E$2:$E$1993,MATCH(A487&amp;"ENTRADA",Movimientos!$R$2:$R$1993,0)),"-")</f>
        <v>-</v>
      </c>
      <c r="E487" s="2" t="str">
        <f>IFERROR(INDEX(Movimientos!$F$2:$F$1993,MATCH(A487&amp;"ENTRADA",Movimientos!$R$2:$R$1993,0)),"-")</f>
        <v>-</v>
      </c>
      <c r="F487" s="2" t="str">
        <f>IFERROR(INDEX(Movimientos!$G$2:$G$1993,MATCH(A487&amp;"ENTRADA",Movimientos!$R$2:$R$1993,0)),"-")</f>
        <v>-</v>
      </c>
      <c r="G487" s="2" t="str">
        <f>IFERROR(INDEX(Movimientos!$L$2:$L$1993,MATCH(A487&amp;"ENTRADA",Movimientos!$R$2:$R$1993,0)),"-")</f>
        <v>-</v>
      </c>
      <c r="H487" s="17" t="str">
        <f>IFERROR(IF(INDEX(Movimientos!$M$2:$M$1993,MATCH(A487&amp;"ENTRADA",Movimientos!$R$2:$R$1993,0))=0,"S/D",INDEX(Movimientos!$M$2:$M$1993,MATCH(A487&amp;"ENTRADA",Movimientos!$R$2:$R$1993,0))),"S/D")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2828</v>
      </c>
      <c r="B488" s="2" t="str">
        <f>IFERROR(INDEX(Movimientos!$C$2:$C$1993,MATCH(A488&amp;"ENTRADA",Movimientos!$R$2:$R$1993,0)),"-")</f>
        <v>-</v>
      </c>
      <c r="C488" s="2" t="str">
        <f>IFERROR(INDEX(Movimientos!$D$2:$D$1993,MATCH(A488&amp;"ENTRADA",Movimientos!$R$2:$R$1993,0)),"-")</f>
        <v>-</v>
      </c>
      <c r="D488" s="2" t="str">
        <f>IFERROR(INDEX(Movimientos!$E$2:$E$1993,MATCH(A488&amp;"ENTRADA",Movimientos!$R$2:$R$1993,0)),"-")</f>
        <v>-</v>
      </c>
      <c r="E488" s="2" t="str">
        <f>IFERROR(INDEX(Movimientos!$F$2:$F$1993,MATCH(A488&amp;"ENTRADA",Movimientos!$R$2:$R$1993,0)),"-")</f>
        <v>-</v>
      </c>
      <c r="F488" s="2" t="str">
        <f>IFERROR(INDEX(Movimientos!$G$2:$G$1993,MATCH(A488&amp;"ENTRADA",Movimientos!$R$2:$R$1993,0)),"-")</f>
        <v>-</v>
      </c>
      <c r="G488" s="2" t="str">
        <f>IFERROR(INDEX(Movimientos!$L$2:$L$1993,MATCH(A488&amp;"ENTRADA",Movimientos!$R$2:$R$1993,0)),"-")</f>
        <v>-</v>
      </c>
      <c r="H488" s="17" t="str">
        <f>IFERROR(IF(INDEX(Movimientos!$M$2:$M$1993,MATCH(A488&amp;"ENTRADA",Movimientos!$R$2:$R$1993,0))=0,"S/D",INDEX(Movimientos!$M$2:$M$1993,MATCH(A488&amp;"ENTRADA",Movimientos!$R$2:$R$1993,0))),"S/D")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2829</v>
      </c>
      <c r="B489" s="2" t="str">
        <f>IFERROR(INDEX(Movimientos!$C$2:$C$1993,MATCH(A489&amp;"ENTRADA",Movimientos!$R$2:$R$1993,0)),"-")</f>
        <v>-</v>
      </c>
      <c r="C489" s="2" t="str">
        <f>IFERROR(INDEX(Movimientos!$D$2:$D$1993,MATCH(A489&amp;"ENTRADA",Movimientos!$R$2:$R$1993,0)),"-")</f>
        <v>-</v>
      </c>
      <c r="D489" s="2" t="str">
        <f>IFERROR(INDEX(Movimientos!$E$2:$E$1993,MATCH(A489&amp;"ENTRADA",Movimientos!$R$2:$R$1993,0)),"-")</f>
        <v>-</v>
      </c>
      <c r="E489" s="2" t="str">
        <f>IFERROR(INDEX(Movimientos!$F$2:$F$1993,MATCH(A489&amp;"ENTRADA",Movimientos!$R$2:$R$1993,0)),"-")</f>
        <v>-</v>
      </c>
      <c r="F489" s="2" t="str">
        <f>IFERROR(INDEX(Movimientos!$G$2:$G$1993,MATCH(A489&amp;"ENTRADA",Movimientos!$R$2:$R$1993,0)),"-")</f>
        <v>-</v>
      </c>
      <c r="G489" s="2" t="str">
        <f>IFERROR(INDEX(Movimientos!$L$2:$L$1993,MATCH(A489&amp;"ENTRADA",Movimientos!$R$2:$R$1993,0)),"-")</f>
        <v>-</v>
      </c>
      <c r="H489" s="17" t="str">
        <f>IFERROR(IF(INDEX(Movimientos!$M$2:$M$1993,MATCH(A489&amp;"ENTRADA",Movimientos!$R$2:$R$1993,0))=0,"S/D",INDEX(Movimientos!$M$2:$M$1993,MATCH(A489&amp;"ENTRADA",Movimientos!$R$2:$R$1993,0))),"S/D")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2830</v>
      </c>
      <c r="B490" s="2" t="str">
        <f>IFERROR(INDEX(Movimientos!$C$2:$C$1993,MATCH(A490&amp;"ENTRADA",Movimientos!$R$2:$R$1993,0)),"-")</f>
        <v>-</v>
      </c>
      <c r="C490" s="2" t="str">
        <f>IFERROR(INDEX(Movimientos!$D$2:$D$1993,MATCH(A490&amp;"ENTRADA",Movimientos!$R$2:$R$1993,0)),"-")</f>
        <v>-</v>
      </c>
      <c r="D490" s="2" t="str">
        <f>IFERROR(INDEX(Movimientos!$E$2:$E$1993,MATCH(A490&amp;"ENTRADA",Movimientos!$R$2:$R$1993,0)),"-")</f>
        <v>-</v>
      </c>
      <c r="E490" s="2" t="str">
        <f>IFERROR(INDEX(Movimientos!$F$2:$F$1993,MATCH(A490&amp;"ENTRADA",Movimientos!$R$2:$R$1993,0)),"-")</f>
        <v>-</v>
      </c>
      <c r="F490" s="2" t="str">
        <f>IFERROR(INDEX(Movimientos!$G$2:$G$1993,MATCH(A490&amp;"ENTRADA",Movimientos!$R$2:$R$1993,0)),"-")</f>
        <v>-</v>
      </c>
      <c r="G490" s="2" t="str">
        <f>IFERROR(INDEX(Movimientos!$L$2:$L$1993,MATCH(A490&amp;"ENTRADA",Movimientos!$R$2:$R$1993,0)),"-")</f>
        <v>-</v>
      </c>
      <c r="H490" s="17" t="str">
        <f>IFERROR(IF(INDEX(Movimientos!$M$2:$M$1993,MATCH(A490&amp;"ENTRADA",Movimientos!$R$2:$R$1993,0))=0,"S/D",INDEX(Movimientos!$M$2:$M$1993,MATCH(A490&amp;"ENTRADA",Movimientos!$R$2:$R$1993,0))),"S/D")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2831</v>
      </c>
      <c r="B491" s="2" t="str">
        <f>IFERROR(INDEX(Movimientos!$C$2:$C$1993,MATCH(A491&amp;"ENTRADA",Movimientos!$R$2:$R$1993,0)),"-")</f>
        <v>-</v>
      </c>
      <c r="C491" s="2" t="str">
        <f>IFERROR(INDEX(Movimientos!$D$2:$D$1993,MATCH(A491&amp;"ENTRADA",Movimientos!$R$2:$R$1993,0)),"-")</f>
        <v>-</v>
      </c>
      <c r="D491" s="2" t="str">
        <f>IFERROR(INDEX(Movimientos!$E$2:$E$1993,MATCH(A491&amp;"ENTRADA",Movimientos!$R$2:$R$1993,0)),"-")</f>
        <v>-</v>
      </c>
      <c r="E491" s="2" t="str">
        <f>IFERROR(INDEX(Movimientos!$F$2:$F$1993,MATCH(A491&amp;"ENTRADA",Movimientos!$R$2:$R$1993,0)),"-")</f>
        <v>-</v>
      </c>
      <c r="F491" s="2" t="str">
        <f>IFERROR(INDEX(Movimientos!$G$2:$G$1993,MATCH(A491&amp;"ENTRADA",Movimientos!$R$2:$R$1993,0)),"-")</f>
        <v>-</v>
      </c>
      <c r="G491" s="2" t="str">
        <f>IFERROR(INDEX(Movimientos!$L$2:$L$1993,MATCH(A491&amp;"ENTRADA",Movimientos!$R$2:$R$1993,0)),"-")</f>
        <v>-</v>
      </c>
      <c r="H491" s="17" t="str">
        <f>IFERROR(IF(INDEX(Movimientos!$M$2:$M$1993,MATCH(A491&amp;"ENTRADA",Movimientos!$R$2:$R$1993,0))=0,"S/D",INDEX(Movimientos!$M$2:$M$1993,MATCH(A491&amp;"ENTRADA",Movimientos!$R$2:$R$1993,0))),"S/D")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2832</v>
      </c>
      <c r="B492" s="2" t="str">
        <f>IFERROR(INDEX(Movimientos!$C$2:$C$1993,MATCH(A492&amp;"ENTRADA",Movimientos!$R$2:$R$1993,0)),"-")</f>
        <v>-</v>
      </c>
      <c r="C492" s="2" t="str">
        <f>IFERROR(INDEX(Movimientos!$D$2:$D$1993,MATCH(A492&amp;"ENTRADA",Movimientos!$R$2:$R$1993,0)),"-")</f>
        <v>-</v>
      </c>
      <c r="D492" s="2" t="str">
        <f>IFERROR(INDEX(Movimientos!$E$2:$E$1993,MATCH(A492&amp;"ENTRADA",Movimientos!$R$2:$R$1993,0)),"-")</f>
        <v>-</v>
      </c>
      <c r="E492" s="2" t="str">
        <f>IFERROR(INDEX(Movimientos!$F$2:$F$1993,MATCH(A492&amp;"ENTRADA",Movimientos!$R$2:$R$1993,0)),"-")</f>
        <v>-</v>
      </c>
      <c r="F492" s="2" t="str">
        <f>IFERROR(INDEX(Movimientos!$G$2:$G$1993,MATCH(A492&amp;"ENTRADA",Movimientos!$R$2:$R$1993,0)),"-")</f>
        <v>-</v>
      </c>
      <c r="G492" s="2" t="str">
        <f>IFERROR(INDEX(Movimientos!$L$2:$L$1993,MATCH(A492&amp;"ENTRADA",Movimientos!$R$2:$R$1993,0)),"-")</f>
        <v>-</v>
      </c>
      <c r="H492" s="17" t="str">
        <f>IFERROR(IF(INDEX(Movimientos!$M$2:$M$1993,MATCH(A492&amp;"ENTRADA",Movimientos!$R$2:$R$1993,0))=0,"S/D",INDEX(Movimientos!$M$2:$M$1993,MATCH(A492&amp;"ENTRADA",Movimientos!$R$2:$R$1993,0))),"S/D")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2833</v>
      </c>
      <c r="B493" s="2" t="str">
        <f>IFERROR(INDEX(Movimientos!$C$2:$C$1993,MATCH(A493&amp;"ENTRADA",Movimientos!$R$2:$R$1993,0)),"-")</f>
        <v>-</v>
      </c>
      <c r="C493" s="2" t="str">
        <f>IFERROR(INDEX(Movimientos!$D$2:$D$1993,MATCH(A493&amp;"ENTRADA",Movimientos!$R$2:$R$1993,0)),"-")</f>
        <v>-</v>
      </c>
      <c r="D493" s="2" t="str">
        <f>IFERROR(INDEX(Movimientos!$E$2:$E$1993,MATCH(A493&amp;"ENTRADA",Movimientos!$R$2:$R$1993,0)),"-")</f>
        <v>-</v>
      </c>
      <c r="E493" s="2" t="str">
        <f>IFERROR(INDEX(Movimientos!$F$2:$F$1993,MATCH(A493&amp;"ENTRADA",Movimientos!$R$2:$R$1993,0)),"-")</f>
        <v>-</v>
      </c>
      <c r="F493" s="2" t="str">
        <f>IFERROR(INDEX(Movimientos!$G$2:$G$1993,MATCH(A493&amp;"ENTRADA",Movimientos!$R$2:$R$1993,0)),"-")</f>
        <v>-</v>
      </c>
      <c r="G493" s="2" t="str">
        <f>IFERROR(INDEX(Movimientos!$L$2:$L$1993,MATCH(A493&amp;"ENTRADA",Movimientos!$R$2:$R$1993,0)),"-")</f>
        <v>-</v>
      </c>
      <c r="H493" s="17" t="str">
        <f>IFERROR(IF(INDEX(Movimientos!$M$2:$M$1993,MATCH(A493&amp;"ENTRADA",Movimientos!$R$2:$R$1993,0))=0,"S/D",INDEX(Movimientos!$M$2:$M$1993,MATCH(A493&amp;"ENTRADA",Movimientos!$R$2:$R$1993,0))),"S/D")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2834</v>
      </c>
      <c r="B494" s="2" t="str">
        <f>IFERROR(INDEX(Movimientos!$C$2:$C$1993,MATCH(A494&amp;"ENTRADA",Movimientos!$R$2:$R$1993,0)),"-")</f>
        <v>-</v>
      </c>
      <c r="C494" s="2" t="str">
        <f>IFERROR(INDEX(Movimientos!$D$2:$D$1993,MATCH(A494&amp;"ENTRADA",Movimientos!$R$2:$R$1993,0)),"-")</f>
        <v>-</v>
      </c>
      <c r="D494" s="2" t="str">
        <f>IFERROR(INDEX(Movimientos!$E$2:$E$1993,MATCH(A494&amp;"ENTRADA",Movimientos!$R$2:$R$1993,0)),"-")</f>
        <v>-</v>
      </c>
      <c r="E494" s="2" t="str">
        <f>IFERROR(INDEX(Movimientos!$F$2:$F$1993,MATCH(A494&amp;"ENTRADA",Movimientos!$R$2:$R$1993,0)),"-")</f>
        <v>-</v>
      </c>
      <c r="F494" s="2" t="str">
        <f>IFERROR(INDEX(Movimientos!$G$2:$G$1993,MATCH(A494&amp;"ENTRADA",Movimientos!$R$2:$R$1993,0)),"-")</f>
        <v>-</v>
      </c>
      <c r="G494" s="2" t="str">
        <f>IFERROR(INDEX(Movimientos!$L$2:$L$1993,MATCH(A494&amp;"ENTRADA",Movimientos!$R$2:$R$1993,0)),"-")</f>
        <v>-</v>
      </c>
      <c r="H494" s="17" t="str">
        <f>IFERROR(IF(INDEX(Movimientos!$M$2:$M$1993,MATCH(A494&amp;"ENTRADA",Movimientos!$R$2:$R$1993,0))=0,"S/D",INDEX(Movimientos!$M$2:$M$1993,MATCH(A494&amp;"ENTRADA",Movimientos!$R$2:$R$1993,0))),"S/D")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2835</v>
      </c>
      <c r="B495" s="2" t="str">
        <f>IFERROR(INDEX(Movimientos!$C$2:$C$1993,MATCH(A495&amp;"ENTRADA",Movimientos!$R$2:$R$1993,0)),"-")</f>
        <v>-</v>
      </c>
      <c r="C495" s="2" t="str">
        <f>IFERROR(INDEX(Movimientos!$D$2:$D$1993,MATCH(A495&amp;"ENTRADA",Movimientos!$R$2:$R$1993,0)),"-")</f>
        <v>-</v>
      </c>
      <c r="D495" s="2" t="str">
        <f>IFERROR(INDEX(Movimientos!$E$2:$E$1993,MATCH(A495&amp;"ENTRADA",Movimientos!$R$2:$R$1993,0)),"-")</f>
        <v>-</v>
      </c>
      <c r="E495" s="2" t="str">
        <f>IFERROR(INDEX(Movimientos!$F$2:$F$1993,MATCH(A495&amp;"ENTRADA",Movimientos!$R$2:$R$1993,0)),"-")</f>
        <v>-</v>
      </c>
      <c r="F495" s="2" t="str">
        <f>IFERROR(INDEX(Movimientos!$G$2:$G$1993,MATCH(A495&amp;"ENTRADA",Movimientos!$R$2:$R$1993,0)),"-")</f>
        <v>-</v>
      </c>
      <c r="G495" s="2" t="str">
        <f>IFERROR(INDEX(Movimientos!$L$2:$L$1993,MATCH(A495&amp;"ENTRADA",Movimientos!$R$2:$R$1993,0)),"-")</f>
        <v>-</v>
      </c>
      <c r="H495" s="17" t="str">
        <f>IFERROR(IF(INDEX(Movimientos!$M$2:$M$1993,MATCH(A495&amp;"ENTRADA",Movimientos!$R$2:$R$1993,0))=0,"S/D",INDEX(Movimientos!$M$2:$M$1993,MATCH(A495&amp;"ENTRADA",Movimientos!$R$2:$R$1993,0))),"S/D")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2836</v>
      </c>
      <c r="B496" s="2" t="str">
        <f>IFERROR(INDEX(Movimientos!$C$2:$C$1993,MATCH(A496&amp;"ENTRADA",Movimientos!$R$2:$R$1993,0)),"-")</f>
        <v>-</v>
      </c>
      <c r="C496" s="2" t="str">
        <f>IFERROR(INDEX(Movimientos!$D$2:$D$1993,MATCH(A496&amp;"ENTRADA",Movimientos!$R$2:$R$1993,0)),"-")</f>
        <v>-</v>
      </c>
      <c r="D496" s="2" t="str">
        <f>IFERROR(INDEX(Movimientos!$E$2:$E$1993,MATCH(A496&amp;"ENTRADA",Movimientos!$R$2:$R$1993,0)),"-")</f>
        <v>-</v>
      </c>
      <c r="E496" s="2" t="str">
        <f>IFERROR(INDEX(Movimientos!$F$2:$F$1993,MATCH(A496&amp;"ENTRADA",Movimientos!$R$2:$R$1993,0)),"-")</f>
        <v>-</v>
      </c>
      <c r="F496" s="2" t="str">
        <f>IFERROR(INDEX(Movimientos!$G$2:$G$1993,MATCH(A496&amp;"ENTRADA",Movimientos!$R$2:$R$1993,0)),"-")</f>
        <v>-</v>
      </c>
      <c r="G496" s="2" t="str">
        <f>IFERROR(INDEX(Movimientos!$L$2:$L$1993,MATCH(A496&amp;"ENTRADA",Movimientos!$R$2:$R$1993,0)),"-")</f>
        <v>-</v>
      </c>
      <c r="H496" s="17" t="str">
        <f>IFERROR(IF(INDEX(Movimientos!$M$2:$M$1993,MATCH(A496&amp;"ENTRADA",Movimientos!$R$2:$R$1993,0))=0,"S/D",INDEX(Movimientos!$M$2:$M$1993,MATCH(A496&amp;"ENTRADA",Movimientos!$R$2:$R$1993,0))),"S/D")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2837</v>
      </c>
      <c r="B497" s="2" t="str">
        <f>IFERROR(INDEX(Movimientos!$C$2:$C$1993,MATCH(A497&amp;"ENTRADA",Movimientos!$R$2:$R$1993,0)),"-")</f>
        <v>-</v>
      </c>
      <c r="C497" s="2" t="str">
        <f>IFERROR(INDEX(Movimientos!$D$2:$D$1993,MATCH(A497&amp;"ENTRADA",Movimientos!$R$2:$R$1993,0)),"-")</f>
        <v>-</v>
      </c>
      <c r="D497" s="2" t="str">
        <f>IFERROR(INDEX(Movimientos!$E$2:$E$1993,MATCH(A497&amp;"ENTRADA",Movimientos!$R$2:$R$1993,0)),"-")</f>
        <v>-</v>
      </c>
      <c r="E497" s="2" t="str">
        <f>IFERROR(INDEX(Movimientos!$F$2:$F$1993,MATCH(A497&amp;"ENTRADA",Movimientos!$R$2:$R$1993,0)),"-")</f>
        <v>-</v>
      </c>
      <c r="F497" s="2" t="str">
        <f>IFERROR(INDEX(Movimientos!$G$2:$G$1993,MATCH(A497&amp;"ENTRADA",Movimientos!$R$2:$R$1993,0)),"-")</f>
        <v>-</v>
      </c>
      <c r="G497" s="2" t="str">
        <f>IFERROR(INDEX(Movimientos!$L$2:$L$1993,MATCH(A497&amp;"ENTRADA",Movimientos!$R$2:$R$1993,0)),"-")</f>
        <v>-</v>
      </c>
      <c r="H497" s="17" t="str">
        <f>IFERROR(IF(INDEX(Movimientos!$M$2:$M$1993,MATCH(A497&amp;"ENTRADA",Movimientos!$R$2:$R$1993,0))=0,"S/D",INDEX(Movimientos!$M$2:$M$1993,MATCH(A497&amp;"ENTRADA",Movimientos!$R$2:$R$1993,0))),"S/D")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2838</v>
      </c>
      <c r="B498" s="2" t="str">
        <f>IFERROR(INDEX(Movimientos!$C$2:$C$1993,MATCH(A498&amp;"ENTRADA",Movimientos!$R$2:$R$1993,0)),"-")</f>
        <v>-</v>
      </c>
      <c r="C498" s="2" t="str">
        <f>IFERROR(INDEX(Movimientos!$D$2:$D$1993,MATCH(A498&amp;"ENTRADA",Movimientos!$R$2:$R$1993,0)),"-")</f>
        <v>-</v>
      </c>
      <c r="D498" s="2" t="str">
        <f>IFERROR(INDEX(Movimientos!$E$2:$E$1993,MATCH(A498&amp;"ENTRADA",Movimientos!$R$2:$R$1993,0)),"-")</f>
        <v>-</v>
      </c>
      <c r="E498" s="2" t="str">
        <f>IFERROR(INDEX(Movimientos!$F$2:$F$1993,MATCH(A498&amp;"ENTRADA",Movimientos!$R$2:$R$1993,0)),"-")</f>
        <v>-</v>
      </c>
      <c r="F498" s="2" t="str">
        <f>IFERROR(INDEX(Movimientos!$G$2:$G$1993,MATCH(A498&amp;"ENTRADA",Movimientos!$R$2:$R$1993,0)),"-")</f>
        <v>-</v>
      </c>
      <c r="G498" s="2" t="str">
        <f>IFERROR(INDEX(Movimientos!$L$2:$L$1993,MATCH(A498&amp;"ENTRADA",Movimientos!$R$2:$R$1993,0)),"-")</f>
        <v>-</v>
      </c>
      <c r="H498" s="17" t="str">
        <f>IFERROR(IF(INDEX(Movimientos!$M$2:$M$1993,MATCH(A498&amp;"ENTRADA",Movimientos!$R$2:$R$1993,0))=0,"S/D",INDEX(Movimientos!$M$2:$M$1993,MATCH(A498&amp;"ENTRADA",Movimientos!$R$2:$R$1993,0))),"S/D")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2839</v>
      </c>
      <c r="B499" s="2" t="str">
        <f>IFERROR(INDEX(Movimientos!$C$2:$C$1993,MATCH(A499&amp;"ENTRADA",Movimientos!$R$2:$R$1993,0)),"-")</f>
        <v>-</v>
      </c>
      <c r="C499" s="2" t="str">
        <f>IFERROR(INDEX(Movimientos!$D$2:$D$1993,MATCH(A499&amp;"ENTRADA",Movimientos!$R$2:$R$1993,0)),"-")</f>
        <v>-</v>
      </c>
      <c r="D499" s="2" t="str">
        <f>IFERROR(INDEX(Movimientos!$E$2:$E$1993,MATCH(A499&amp;"ENTRADA",Movimientos!$R$2:$R$1993,0)),"-")</f>
        <v>-</v>
      </c>
      <c r="E499" s="2" t="str">
        <f>IFERROR(INDEX(Movimientos!$F$2:$F$1993,MATCH(A499&amp;"ENTRADA",Movimientos!$R$2:$R$1993,0)),"-")</f>
        <v>-</v>
      </c>
      <c r="F499" s="2" t="str">
        <f>IFERROR(INDEX(Movimientos!$G$2:$G$1993,MATCH(A499&amp;"ENTRADA",Movimientos!$R$2:$R$1993,0)),"-")</f>
        <v>-</v>
      </c>
      <c r="G499" s="2" t="str">
        <f>IFERROR(INDEX(Movimientos!$L$2:$L$1993,MATCH(A499&amp;"ENTRADA",Movimientos!$R$2:$R$1993,0)),"-")</f>
        <v>-</v>
      </c>
      <c r="H499" s="17" t="str">
        <f>IFERROR(IF(INDEX(Movimientos!$M$2:$M$1993,MATCH(A499&amp;"ENTRADA",Movimientos!$R$2:$R$1993,0))=0,"S/D",INDEX(Movimientos!$M$2:$M$1993,MATCH(A499&amp;"ENTRADA",Movimientos!$R$2:$R$1993,0))),"S/D")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2840</v>
      </c>
      <c r="B500" s="2" t="str">
        <f>IFERROR(INDEX(Movimientos!$C$2:$C$1993,MATCH(A500&amp;"ENTRADA",Movimientos!$R$2:$R$1993,0)),"-")</f>
        <v>-</v>
      </c>
      <c r="C500" s="2" t="str">
        <f>IFERROR(INDEX(Movimientos!$D$2:$D$1993,MATCH(A500&amp;"ENTRADA",Movimientos!$R$2:$R$1993,0)),"-")</f>
        <v>-</v>
      </c>
      <c r="D500" s="2" t="str">
        <f>IFERROR(INDEX(Movimientos!$E$2:$E$1993,MATCH(A500&amp;"ENTRADA",Movimientos!$R$2:$R$1993,0)),"-")</f>
        <v>-</v>
      </c>
      <c r="E500" s="2" t="str">
        <f>IFERROR(INDEX(Movimientos!$F$2:$F$1993,MATCH(A500&amp;"ENTRADA",Movimientos!$R$2:$R$1993,0)),"-")</f>
        <v>-</v>
      </c>
      <c r="F500" s="2" t="str">
        <f>IFERROR(INDEX(Movimientos!$G$2:$G$1993,MATCH(A500&amp;"ENTRADA",Movimientos!$R$2:$R$1993,0)),"-")</f>
        <v>-</v>
      </c>
      <c r="G500" s="2" t="str">
        <f>IFERROR(INDEX(Movimientos!$L$2:$L$1993,MATCH(A500&amp;"ENTRADA",Movimientos!$R$2:$R$1993,0)),"-")</f>
        <v>-</v>
      </c>
      <c r="H500" s="17" t="str">
        <f>IFERROR(IF(INDEX(Movimientos!$M$2:$M$1993,MATCH(A500&amp;"ENTRADA",Movimientos!$R$2:$R$1993,0))=0,"S/D",INDEX(Movimientos!$M$2:$M$1993,MATCH(A500&amp;"ENTRADA",Movimientos!$R$2:$R$1993,0))),"S/D")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2841</v>
      </c>
      <c r="B501" s="2" t="str">
        <f>IFERROR(INDEX(Movimientos!$C$2:$C$1993,MATCH(A501&amp;"ENTRADA",Movimientos!$R$2:$R$1993,0)),"-")</f>
        <v>-</v>
      </c>
      <c r="C501" s="2" t="str">
        <f>IFERROR(INDEX(Movimientos!$D$2:$D$1993,MATCH(A501&amp;"ENTRADA",Movimientos!$R$2:$R$1993,0)),"-")</f>
        <v>-</v>
      </c>
      <c r="D501" s="2" t="str">
        <f>IFERROR(INDEX(Movimientos!$E$2:$E$1993,MATCH(A501&amp;"ENTRADA",Movimientos!$R$2:$R$1993,0)),"-")</f>
        <v>-</v>
      </c>
      <c r="E501" s="2" t="str">
        <f>IFERROR(INDEX(Movimientos!$F$2:$F$1993,MATCH(A501&amp;"ENTRADA",Movimientos!$R$2:$R$1993,0)),"-")</f>
        <v>-</v>
      </c>
      <c r="F501" s="2" t="str">
        <f>IFERROR(INDEX(Movimientos!$G$2:$G$1993,MATCH(A501&amp;"ENTRADA",Movimientos!$R$2:$R$1993,0)),"-")</f>
        <v>-</v>
      </c>
      <c r="G501" s="2" t="str">
        <f>IFERROR(INDEX(Movimientos!$L$2:$L$1993,MATCH(A501&amp;"ENTRADA",Movimientos!$R$2:$R$1993,0)),"-")</f>
        <v>-</v>
      </c>
      <c r="H501" s="17" t="str">
        <f>IFERROR(IF(INDEX(Movimientos!$M$2:$M$1993,MATCH(A501&amp;"ENTRADA",Movimientos!$R$2:$R$1993,0))=0,"S/D",INDEX(Movimientos!$M$2:$M$1993,MATCH(A501&amp;"ENTRADA",Movimientos!$R$2:$R$1993,0))),"S/D")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2842</v>
      </c>
      <c r="B502" s="2" t="str">
        <f>IFERROR(INDEX(Movimientos!$C$2:$C$1993,MATCH(A502&amp;"ENTRADA",Movimientos!$R$2:$R$1993,0)),"-")</f>
        <v>-</v>
      </c>
      <c r="C502" s="2" t="str">
        <f>IFERROR(INDEX(Movimientos!$D$2:$D$1993,MATCH(A502&amp;"ENTRADA",Movimientos!$R$2:$R$1993,0)),"-")</f>
        <v>-</v>
      </c>
      <c r="D502" s="2" t="str">
        <f>IFERROR(INDEX(Movimientos!$E$2:$E$1993,MATCH(A502&amp;"ENTRADA",Movimientos!$R$2:$R$1993,0)),"-")</f>
        <v>-</v>
      </c>
      <c r="E502" s="2" t="str">
        <f>IFERROR(INDEX(Movimientos!$F$2:$F$1993,MATCH(A502&amp;"ENTRADA",Movimientos!$R$2:$R$1993,0)),"-")</f>
        <v>-</v>
      </c>
      <c r="F502" s="2" t="str">
        <f>IFERROR(INDEX(Movimientos!$G$2:$G$1993,MATCH(A502&amp;"ENTRADA",Movimientos!$R$2:$R$1993,0)),"-")</f>
        <v>-</v>
      </c>
      <c r="G502" s="2" t="str">
        <f>IFERROR(INDEX(Movimientos!$L$2:$L$1993,MATCH(A502&amp;"ENTRADA",Movimientos!$R$2:$R$1993,0)),"-")</f>
        <v>-</v>
      </c>
      <c r="H502" s="17" t="str">
        <f>IFERROR(IF(INDEX(Movimientos!$M$2:$M$1993,MATCH(A502&amp;"ENTRADA",Movimientos!$R$2:$R$1993,0))=0,"S/D",INDEX(Movimientos!$M$2:$M$1993,MATCH(A502&amp;"ENTRADA",Movimientos!$R$2:$R$1993,0))),"S/D")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2843</v>
      </c>
      <c r="B503" s="2" t="str">
        <f>IFERROR(INDEX(Movimientos!$C$2:$C$1993,MATCH(A503&amp;"ENTRADA",Movimientos!$R$2:$R$1993,0)),"-")</f>
        <v>-</v>
      </c>
      <c r="C503" s="2" t="str">
        <f>IFERROR(INDEX(Movimientos!$D$2:$D$1993,MATCH(A503&amp;"ENTRADA",Movimientos!$R$2:$R$1993,0)),"-")</f>
        <v>-</v>
      </c>
      <c r="D503" s="2" t="str">
        <f>IFERROR(INDEX(Movimientos!$E$2:$E$1993,MATCH(A503&amp;"ENTRADA",Movimientos!$R$2:$R$1993,0)),"-")</f>
        <v>-</v>
      </c>
      <c r="E503" s="2" t="str">
        <f>IFERROR(INDEX(Movimientos!$F$2:$F$1993,MATCH(A503&amp;"ENTRADA",Movimientos!$R$2:$R$1993,0)),"-")</f>
        <v>-</v>
      </c>
      <c r="F503" s="2" t="str">
        <f>IFERROR(INDEX(Movimientos!$G$2:$G$1993,MATCH(A503&amp;"ENTRADA",Movimientos!$R$2:$R$1993,0)),"-")</f>
        <v>-</v>
      </c>
      <c r="G503" s="2" t="str">
        <f>IFERROR(INDEX(Movimientos!$L$2:$L$1993,MATCH(A503&amp;"ENTRADA",Movimientos!$R$2:$R$1993,0)),"-")</f>
        <v>-</v>
      </c>
      <c r="H503" s="17" t="str">
        <f>IFERROR(IF(INDEX(Movimientos!$M$2:$M$1993,MATCH(A503&amp;"ENTRADA",Movimientos!$R$2:$R$1993,0))=0,"S/D",INDEX(Movimientos!$M$2:$M$1993,MATCH(A503&amp;"ENTRADA",Movimientos!$R$2:$R$1993,0))),"S/D")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2844</v>
      </c>
      <c r="B504" s="2" t="str">
        <f>IFERROR(INDEX(Movimientos!$C$2:$C$1993,MATCH(A504&amp;"ENTRADA",Movimientos!$R$2:$R$1993,0)),"-")</f>
        <v>-</v>
      </c>
      <c r="C504" s="2" t="str">
        <f>IFERROR(INDEX(Movimientos!$D$2:$D$1993,MATCH(A504&amp;"ENTRADA",Movimientos!$R$2:$R$1993,0)),"-")</f>
        <v>-</v>
      </c>
      <c r="D504" s="2" t="str">
        <f>IFERROR(INDEX(Movimientos!$E$2:$E$1993,MATCH(A504&amp;"ENTRADA",Movimientos!$R$2:$R$1993,0)),"-")</f>
        <v>-</v>
      </c>
      <c r="E504" s="2" t="str">
        <f>IFERROR(INDEX(Movimientos!$F$2:$F$1993,MATCH(A504&amp;"ENTRADA",Movimientos!$R$2:$R$1993,0)),"-")</f>
        <v>-</v>
      </c>
      <c r="F504" s="2" t="str">
        <f>IFERROR(INDEX(Movimientos!$G$2:$G$1993,MATCH(A504&amp;"ENTRADA",Movimientos!$R$2:$R$1993,0)),"-")</f>
        <v>-</v>
      </c>
      <c r="G504" s="2" t="str">
        <f>IFERROR(INDEX(Movimientos!$L$2:$L$1993,MATCH(A504&amp;"ENTRADA",Movimientos!$R$2:$R$1993,0)),"-")</f>
        <v>-</v>
      </c>
      <c r="H504" s="17" t="str">
        <f>IFERROR(IF(INDEX(Movimientos!$M$2:$M$1993,MATCH(A504&amp;"ENTRADA",Movimientos!$R$2:$R$1993,0))=0,"S/D",INDEX(Movimientos!$M$2:$M$1993,MATCH(A504&amp;"ENTRADA",Movimientos!$R$2:$R$1993,0))),"S/D")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2845</v>
      </c>
      <c r="B505" s="2" t="str">
        <f>IFERROR(INDEX(Movimientos!$C$2:$C$1993,MATCH(A505&amp;"ENTRADA",Movimientos!$R$2:$R$1993,0)),"-")</f>
        <v>-</v>
      </c>
      <c r="C505" s="2" t="str">
        <f>IFERROR(INDEX(Movimientos!$D$2:$D$1993,MATCH(A505&amp;"ENTRADA",Movimientos!$R$2:$R$1993,0)),"-")</f>
        <v>-</v>
      </c>
      <c r="D505" s="2" t="str">
        <f>IFERROR(INDEX(Movimientos!$E$2:$E$1993,MATCH(A505&amp;"ENTRADA",Movimientos!$R$2:$R$1993,0)),"-")</f>
        <v>-</v>
      </c>
      <c r="E505" s="2" t="str">
        <f>IFERROR(INDEX(Movimientos!$F$2:$F$1993,MATCH(A505&amp;"ENTRADA",Movimientos!$R$2:$R$1993,0)),"-")</f>
        <v>-</v>
      </c>
      <c r="F505" s="2" t="str">
        <f>IFERROR(INDEX(Movimientos!$G$2:$G$1993,MATCH(A505&amp;"ENTRADA",Movimientos!$R$2:$R$1993,0)),"-")</f>
        <v>-</v>
      </c>
      <c r="G505" s="2" t="str">
        <f>IFERROR(INDEX(Movimientos!$L$2:$L$1993,MATCH(A505&amp;"ENTRADA",Movimientos!$R$2:$R$1993,0)),"-")</f>
        <v>-</v>
      </c>
      <c r="H505" s="17" t="str">
        <f>IFERROR(IF(INDEX(Movimientos!$M$2:$M$1993,MATCH(A505&amp;"ENTRADA",Movimientos!$R$2:$R$1993,0))=0,"S/D",INDEX(Movimientos!$M$2:$M$1993,MATCH(A505&amp;"ENTRADA",Movimientos!$R$2:$R$1993,0))),"S/D")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2846</v>
      </c>
      <c r="B506" s="2" t="str">
        <f>IFERROR(INDEX(Movimientos!$C$2:$C$1993,MATCH(A506&amp;"ENTRADA",Movimientos!$R$2:$R$1993,0)),"-")</f>
        <v>-</v>
      </c>
      <c r="C506" s="2" t="str">
        <f>IFERROR(INDEX(Movimientos!$D$2:$D$1993,MATCH(A506&amp;"ENTRADA",Movimientos!$R$2:$R$1993,0)),"-")</f>
        <v>-</v>
      </c>
      <c r="D506" s="2" t="str">
        <f>IFERROR(INDEX(Movimientos!$E$2:$E$1993,MATCH(A506&amp;"ENTRADA",Movimientos!$R$2:$R$1993,0)),"-")</f>
        <v>-</v>
      </c>
      <c r="E506" s="2" t="str">
        <f>IFERROR(INDEX(Movimientos!$F$2:$F$1993,MATCH(A506&amp;"ENTRADA",Movimientos!$R$2:$R$1993,0)),"-")</f>
        <v>-</v>
      </c>
      <c r="F506" s="2" t="str">
        <f>IFERROR(INDEX(Movimientos!$G$2:$G$1993,MATCH(A506&amp;"ENTRADA",Movimientos!$R$2:$R$1993,0)),"-")</f>
        <v>-</v>
      </c>
      <c r="G506" s="2" t="str">
        <f>IFERROR(INDEX(Movimientos!$L$2:$L$1993,MATCH(A506&amp;"ENTRADA",Movimientos!$R$2:$R$1993,0)),"-")</f>
        <v>-</v>
      </c>
      <c r="H506" s="17" t="str">
        <f>IFERROR(IF(INDEX(Movimientos!$M$2:$M$1993,MATCH(A506&amp;"ENTRADA",Movimientos!$R$2:$R$1993,0))=0,"S/D",INDEX(Movimientos!$M$2:$M$1993,MATCH(A506&amp;"ENTRADA",Movimientos!$R$2:$R$1993,0))),"S/D")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2847</v>
      </c>
      <c r="B507" s="2" t="str">
        <f>IFERROR(INDEX(Movimientos!$C$2:$C$1993,MATCH(A507&amp;"ENTRADA",Movimientos!$R$2:$R$1993,0)),"-")</f>
        <v>-</v>
      </c>
      <c r="C507" s="2" t="str">
        <f>IFERROR(INDEX(Movimientos!$D$2:$D$1993,MATCH(A507&amp;"ENTRADA",Movimientos!$R$2:$R$1993,0)),"-")</f>
        <v>-</v>
      </c>
      <c r="D507" s="2" t="str">
        <f>IFERROR(INDEX(Movimientos!$E$2:$E$1993,MATCH(A507&amp;"ENTRADA",Movimientos!$R$2:$R$1993,0)),"-")</f>
        <v>-</v>
      </c>
      <c r="E507" s="2" t="str">
        <f>IFERROR(INDEX(Movimientos!$F$2:$F$1993,MATCH(A507&amp;"ENTRADA",Movimientos!$R$2:$R$1993,0)),"-")</f>
        <v>-</v>
      </c>
      <c r="F507" s="2" t="str">
        <f>IFERROR(INDEX(Movimientos!$G$2:$G$1993,MATCH(A507&amp;"ENTRADA",Movimientos!$R$2:$R$1993,0)),"-")</f>
        <v>-</v>
      </c>
      <c r="G507" s="2" t="str">
        <f>IFERROR(INDEX(Movimientos!$L$2:$L$1993,MATCH(A507&amp;"ENTRADA",Movimientos!$R$2:$R$1993,0)),"-")</f>
        <v>-</v>
      </c>
      <c r="H507" s="17" t="str">
        <f>IFERROR(IF(INDEX(Movimientos!$M$2:$M$1993,MATCH(A507&amp;"ENTRADA",Movimientos!$R$2:$R$1993,0))=0,"S/D",INDEX(Movimientos!$M$2:$M$1993,MATCH(A507&amp;"ENTRADA",Movimientos!$R$2:$R$1993,0))),"S/D")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2848</v>
      </c>
      <c r="B508" s="2" t="str">
        <f>IFERROR(INDEX(Movimientos!$C$2:$C$1993,MATCH(A508&amp;"ENTRADA",Movimientos!$R$2:$R$1993,0)),"-")</f>
        <v>-</v>
      </c>
      <c r="C508" s="2" t="str">
        <f>IFERROR(INDEX(Movimientos!$D$2:$D$1993,MATCH(A508&amp;"ENTRADA",Movimientos!$R$2:$R$1993,0)),"-")</f>
        <v>-</v>
      </c>
      <c r="D508" s="2" t="str">
        <f>IFERROR(INDEX(Movimientos!$E$2:$E$1993,MATCH(A508&amp;"ENTRADA",Movimientos!$R$2:$R$1993,0)),"-")</f>
        <v>-</v>
      </c>
      <c r="E508" s="2" t="str">
        <f>IFERROR(INDEX(Movimientos!$F$2:$F$1993,MATCH(A508&amp;"ENTRADA",Movimientos!$R$2:$R$1993,0)),"-")</f>
        <v>-</v>
      </c>
      <c r="F508" s="2" t="str">
        <f>IFERROR(INDEX(Movimientos!$G$2:$G$1993,MATCH(A508&amp;"ENTRADA",Movimientos!$R$2:$R$1993,0)),"-")</f>
        <v>-</v>
      </c>
      <c r="G508" s="2" t="str">
        <f>IFERROR(INDEX(Movimientos!$L$2:$L$1993,MATCH(A508&amp;"ENTRADA",Movimientos!$R$2:$R$1993,0)),"-")</f>
        <v>-</v>
      </c>
      <c r="H508" s="17" t="str">
        <f>IFERROR(IF(INDEX(Movimientos!$M$2:$M$1993,MATCH(A508&amp;"ENTRADA",Movimientos!$R$2:$R$1993,0))=0,"S/D",INDEX(Movimientos!$M$2:$M$1993,MATCH(A508&amp;"ENTRADA",Movimientos!$R$2:$R$1993,0))),"S/D")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2849</v>
      </c>
      <c r="B509" s="2" t="str">
        <f>IFERROR(INDEX(Movimientos!$C$2:$C$1993,MATCH(A509&amp;"ENTRADA",Movimientos!$R$2:$R$1993,0)),"-")</f>
        <v>-</v>
      </c>
      <c r="C509" s="2" t="str">
        <f>IFERROR(INDEX(Movimientos!$D$2:$D$1993,MATCH(A509&amp;"ENTRADA",Movimientos!$R$2:$R$1993,0)),"-")</f>
        <v>-</v>
      </c>
      <c r="D509" s="2" t="str">
        <f>IFERROR(INDEX(Movimientos!$E$2:$E$1993,MATCH(A509&amp;"ENTRADA",Movimientos!$R$2:$R$1993,0)),"-")</f>
        <v>-</v>
      </c>
      <c r="E509" s="2" t="str">
        <f>IFERROR(INDEX(Movimientos!$F$2:$F$1993,MATCH(A509&amp;"ENTRADA",Movimientos!$R$2:$R$1993,0)),"-")</f>
        <v>-</v>
      </c>
      <c r="F509" s="2" t="str">
        <f>IFERROR(INDEX(Movimientos!$G$2:$G$1993,MATCH(A509&amp;"ENTRADA",Movimientos!$R$2:$R$1993,0)),"-")</f>
        <v>-</v>
      </c>
      <c r="G509" s="2" t="str">
        <f>IFERROR(INDEX(Movimientos!$L$2:$L$1993,MATCH(A509&amp;"ENTRADA",Movimientos!$R$2:$R$1993,0)),"-")</f>
        <v>-</v>
      </c>
      <c r="H509" s="17" t="str">
        <f>IFERROR(IF(INDEX(Movimientos!$M$2:$M$1993,MATCH(A509&amp;"ENTRADA",Movimientos!$R$2:$R$1993,0))=0,"S/D",INDEX(Movimientos!$M$2:$M$1993,MATCH(A509&amp;"ENTRADA",Movimientos!$R$2:$R$1993,0))),"S/D")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2850</v>
      </c>
      <c r="B510" s="2" t="str">
        <f>IFERROR(INDEX(Movimientos!$C$2:$C$1993,MATCH(A510&amp;"ENTRADA",Movimientos!$R$2:$R$1993,0)),"-")</f>
        <v>-</v>
      </c>
      <c r="C510" s="2" t="str">
        <f>IFERROR(INDEX(Movimientos!$D$2:$D$1993,MATCH(A510&amp;"ENTRADA",Movimientos!$R$2:$R$1993,0)),"-")</f>
        <v>-</v>
      </c>
      <c r="D510" s="2" t="str">
        <f>IFERROR(INDEX(Movimientos!$E$2:$E$1993,MATCH(A510&amp;"ENTRADA",Movimientos!$R$2:$R$1993,0)),"-")</f>
        <v>-</v>
      </c>
      <c r="E510" s="2" t="str">
        <f>IFERROR(INDEX(Movimientos!$F$2:$F$1993,MATCH(A510&amp;"ENTRADA",Movimientos!$R$2:$R$1993,0)),"-")</f>
        <v>-</v>
      </c>
      <c r="F510" s="2" t="str">
        <f>IFERROR(INDEX(Movimientos!$G$2:$G$1993,MATCH(A510&amp;"ENTRADA",Movimientos!$R$2:$R$1993,0)),"-")</f>
        <v>-</v>
      </c>
      <c r="G510" s="2" t="str">
        <f>IFERROR(INDEX(Movimientos!$L$2:$L$1993,MATCH(A510&amp;"ENTRADA",Movimientos!$R$2:$R$1993,0)),"-")</f>
        <v>-</v>
      </c>
      <c r="H510" s="17" t="str">
        <f>IFERROR(IF(INDEX(Movimientos!$M$2:$M$1993,MATCH(A510&amp;"ENTRADA",Movimientos!$R$2:$R$1993,0))=0,"S/D",INDEX(Movimientos!$M$2:$M$1993,MATCH(A510&amp;"ENTRADA",Movimientos!$R$2:$R$1993,0))),"S/D")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2851</v>
      </c>
      <c r="B511" s="2" t="str">
        <f>IFERROR(INDEX(Movimientos!$C$2:$C$1993,MATCH(A511&amp;"ENTRADA",Movimientos!$R$2:$R$1993,0)),"-")</f>
        <v>-</v>
      </c>
      <c r="C511" s="2" t="str">
        <f>IFERROR(INDEX(Movimientos!$D$2:$D$1993,MATCH(A511&amp;"ENTRADA",Movimientos!$R$2:$R$1993,0)),"-")</f>
        <v>-</v>
      </c>
      <c r="D511" s="2" t="str">
        <f>IFERROR(INDEX(Movimientos!$E$2:$E$1993,MATCH(A511&amp;"ENTRADA",Movimientos!$R$2:$R$1993,0)),"-")</f>
        <v>-</v>
      </c>
      <c r="E511" s="2" t="str">
        <f>IFERROR(INDEX(Movimientos!$F$2:$F$1993,MATCH(A511&amp;"ENTRADA",Movimientos!$R$2:$R$1993,0)),"-")</f>
        <v>-</v>
      </c>
      <c r="F511" s="2" t="str">
        <f>IFERROR(INDEX(Movimientos!$G$2:$G$1993,MATCH(A511&amp;"ENTRADA",Movimientos!$R$2:$R$1993,0)),"-")</f>
        <v>-</v>
      </c>
      <c r="G511" s="2" t="str">
        <f>IFERROR(INDEX(Movimientos!$L$2:$L$1993,MATCH(A511&amp;"ENTRADA",Movimientos!$R$2:$R$1993,0)),"-")</f>
        <v>-</v>
      </c>
      <c r="H511" s="17" t="str">
        <f>IFERROR(IF(INDEX(Movimientos!$M$2:$M$1993,MATCH(A511&amp;"ENTRADA",Movimientos!$R$2:$R$1993,0))=0,"S/D",INDEX(Movimientos!$M$2:$M$1993,MATCH(A511&amp;"ENTRADA",Movimientos!$R$2:$R$1993,0))),"S/D")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2852</v>
      </c>
      <c r="B512" s="2" t="str">
        <f>IFERROR(INDEX(Movimientos!$C$2:$C$1993,MATCH(A512&amp;"ENTRADA",Movimientos!$R$2:$R$1993,0)),"-")</f>
        <v>-</v>
      </c>
      <c r="C512" s="2" t="str">
        <f>IFERROR(INDEX(Movimientos!$D$2:$D$1993,MATCH(A512&amp;"ENTRADA",Movimientos!$R$2:$R$1993,0)),"-")</f>
        <v>-</v>
      </c>
      <c r="D512" s="2" t="str">
        <f>IFERROR(INDEX(Movimientos!$E$2:$E$1993,MATCH(A512&amp;"ENTRADA",Movimientos!$R$2:$R$1993,0)),"-")</f>
        <v>-</v>
      </c>
      <c r="E512" s="2" t="str">
        <f>IFERROR(INDEX(Movimientos!$F$2:$F$1993,MATCH(A512&amp;"ENTRADA",Movimientos!$R$2:$R$1993,0)),"-")</f>
        <v>-</v>
      </c>
      <c r="F512" s="2" t="str">
        <f>IFERROR(INDEX(Movimientos!$G$2:$G$1993,MATCH(A512&amp;"ENTRADA",Movimientos!$R$2:$R$1993,0)),"-")</f>
        <v>-</v>
      </c>
      <c r="G512" s="2" t="str">
        <f>IFERROR(INDEX(Movimientos!$L$2:$L$1993,MATCH(A512&amp;"ENTRADA",Movimientos!$R$2:$R$1993,0)),"-")</f>
        <v>-</v>
      </c>
      <c r="H512" s="17" t="str">
        <f>IFERROR(IF(INDEX(Movimientos!$M$2:$M$1993,MATCH(A512&amp;"ENTRADA",Movimientos!$R$2:$R$1993,0))=0,"S/D",INDEX(Movimientos!$M$2:$M$1993,MATCH(A512&amp;"ENTRADA",Movimientos!$R$2:$R$1993,0))),"S/D")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2853</v>
      </c>
      <c r="B513" s="2" t="str">
        <f>IFERROR(INDEX(Movimientos!$C$2:$C$1993,MATCH(A513&amp;"ENTRADA",Movimientos!$R$2:$R$1993,0)),"-")</f>
        <v>-</v>
      </c>
      <c r="C513" s="2" t="str">
        <f>IFERROR(INDEX(Movimientos!$D$2:$D$1993,MATCH(A513&amp;"ENTRADA",Movimientos!$R$2:$R$1993,0)),"-")</f>
        <v>-</v>
      </c>
      <c r="D513" s="2" t="str">
        <f>IFERROR(INDEX(Movimientos!$E$2:$E$1993,MATCH(A513&amp;"ENTRADA",Movimientos!$R$2:$R$1993,0)),"-")</f>
        <v>-</v>
      </c>
      <c r="E513" s="2" t="str">
        <f>IFERROR(INDEX(Movimientos!$F$2:$F$1993,MATCH(A513&amp;"ENTRADA",Movimientos!$R$2:$R$1993,0)),"-")</f>
        <v>-</v>
      </c>
      <c r="F513" s="2" t="str">
        <f>IFERROR(INDEX(Movimientos!$G$2:$G$1993,MATCH(A513&amp;"ENTRADA",Movimientos!$R$2:$R$1993,0)),"-")</f>
        <v>-</v>
      </c>
      <c r="G513" s="2" t="str">
        <f>IFERROR(INDEX(Movimientos!$L$2:$L$1993,MATCH(A513&amp;"ENTRADA",Movimientos!$R$2:$R$1993,0)),"-")</f>
        <v>-</v>
      </c>
      <c r="H513" s="17" t="str">
        <f>IFERROR(IF(INDEX(Movimientos!$M$2:$M$1993,MATCH(A513&amp;"ENTRADA",Movimientos!$R$2:$R$1993,0))=0,"S/D",INDEX(Movimientos!$M$2:$M$1993,MATCH(A513&amp;"ENTRADA",Movimientos!$R$2:$R$1993,0))),"S/D")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2854</v>
      </c>
      <c r="B514" s="2" t="str">
        <f>IFERROR(INDEX(Movimientos!$C$2:$C$1993,MATCH(A514&amp;"ENTRADA",Movimientos!$R$2:$R$1993,0)),"-")</f>
        <v>-</v>
      </c>
      <c r="C514" s="2" t="str">
        <f>IFERROR(INDEX(Movimientos!$D$2:$D$1993,MATCH(A514&amp;"ENTRADA",Movimientos!$R$2:$R$1993,0)),"-")</f>
        <v>-</v>
      </c>
      <c r="D514" s="2" t="str">
        <f>IFERROR(INDEX(Movimientos!$E$2:$E$1993,MATCH(A514&amp;"ENTRADA",Movimientos!$R$2:$R$1993,0)),"-")</f>
        <v>-</v>
      </c>
      <c r="E514" s="2" t="str">
        <f>IFERROR(INDEX(Movimientos!$F$2:$F$1993,MATCH(A514&amp;"ENTRADA",Movimientos!$R$2:$R$1993,0)),"-")</f>
        <v>-</v>
      </c>
      <c r="F514" s="2" t="str">
        <f>IFERROR(INDEX(Movimientos!$G$2:$G$1993,MATCH(A514&amp;"ENTRADA",Movimientos!$R$2:$R$1993,0)),"-")</f>
        <v>-</v>
      </c>
      <c r="G514" s="2" t="str">
        <f>IFERROR(INDEX(Movimientos!$L$2:$L$1993,MATCH(A514&amp;"ENTRADA",Movimientos!$R$2:$R$1993,0)),"-")</f>
        <v>-</v>
      </c>
      <c r="H514" s="17" t="str">
        <f>IFERROR(IF(INDEX(Movimientos!$M$2:$M$1993,MATCH(A514&amp;"ENTRADA",Movimientos!$R$2:$R$1993,0))=0,"S/D",INDEX(Movimientos!$M$2:$M$1993,MATCH(A514&amp;"ENTRADA",Movimientos!$R$2:$R$1993,0))),"S/D")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2855</v>
      </c>
      <c r="B515" s="2" t="str">
        <f>IFERROR(INDEX(Movimientos!$C$2:$C$1993,MATCH(A515&amp;"ENTRADA",Movimientos!$R$2:$R$1993,0)),"-")</f>
        <v>-</v>
      </c>
      <c r="C515" s="2" t="str">
        <f>IFERROR(INDEX(Movimientos!$D$2:$D$1993,MATCH(A515&amp;"ENTRADA",Movimientos!$R$2:$R$1993,0)),"-")</f>
        <v>-</v>
      </c>
      <c r="D515" s="2" t="str">
        <f>IFERROR(INDEX(Movimientos!$E$2:$E$1993,MATCH(A515&amp;"ENTRADA",Movimientos!$R$2:$R$1993,0)),"-")</f>
        <v>-</v>
      </c>
      <c r="E515" s="2" t="str">
        <f>IFERROR(INDEX(Movimientos!$F$2:$F$1993,MATCH(A515&amp;"ENTRADA",Movimientos!$R$2:$R$1993,0)),"-")</f>
        <v>-</v>
      </c>
      <c r="F515" s="2" t="str">
        <f>IFERROR(INDEX(Movimientos!$G$2:$G$1993,MATCH(A515&amp;"ENTRADA",Movimientos!$R$2:$R$1993,0)),"-")</f>
        <v>-</v>
      </c>
      <c r="G515" s="2" t="str">
        <f>IFERROR(INDEX(Movimientos!$L$2:$L$1993,MATCH(A515&amp;"ENTRADA",Movimientos!$R$2:$R$1993,0)),"-")</f>
        <v>-</v>
      </c>
      <c r="H515" s="17" t="str">
        <f>IFERROR(IF(INDEX(Movimientos!$M$2:$M$1993,MATCH(A515&amp;"ENTRADA",Movimientos!$R$2:$R$1993,0))=0,"S/D",INDEX(Movimientos!$M$2:$M$1993,MATCH(A515&amp;"ENTRADA",Movimientos!$R$2:$R$1993,0))),"S/D")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2856</v>
      </c>
      <c r="B516" s="2" t="str">
        <f>IFERROR(INDEX(Movimientos!$C$2:$C$1993,MATCH(A516&amp;"ENTRADA",Movimientos!$R$2:$R$1993,0)),"-")</f>
        <v>-</v>
      </c>
      <c r="C516" s="2" t="str">
        <f>IFERROR(INDEX(Movimientos!$D$2:$D$1993,MATCH(A516&amp;"ENTRADA",Movimientos!$R$2:$R$1993,0)),"-")</f>
        <v>-</v>
      </c>
      <c r="D516" s="2" t="str">
        <f>IFERROR(INDEX(Movimientos!$E$2:$E$1993,MATCH(A516&amp;"ENTRADA",Movimientos!$R$2:$R$1993,0)),"-")</f>
        <v>-</v>
      </c>
      <c r="E516" s="2" t="str">
        <f>IFERROR(INDEX(Movimientos!$F$2:$F$1993,MATCH(A516&amp;"ENTRADA",Movimientos!$R$2:$R$1993,0)),"-")</f>
        <v>-</v>
      </c>
      <c r="F516" s="2" t="str">
        <f>IFERROR(INDEX(Movimientos!$G$2:$G$1993,MATCH(A516&amp;"ENTRADA",Movimientos!$R$2:$R$1993,0)),"-")</f>
        <v>-</v>
      </c>
      <c r="G516" s="2" t="str">
        <f>IFERROR(INDEX(Movimientos!$L$2:$L$1993,MATCH(A516&amp;"ENTRADA",Movimientos!$R$2:$R$1993,0)),"-")</f>
        <v>-</v>
      </c>
      <c r="H516" s="17" t="str">
        <f>IFERROR(IF(INDEX(Movimientos!$M$2:$M$1993,MATCH(A516&amp;"ENTRADA",Movimientos!$R$2:$R$1993,0))=0,"S/D",INDEX(Movimientos!$M$2:$M$1993,MATCH(A516&amp;"ENTRADA",Movimientos!$R$2:$R$1993,0))),"S/D")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2857</v>
      </c>
      <c r="B517" s="2" t="str">
        <f>IFERROR(INDEX(Movimientos!$C$2:$C$1993,MATCH(A517&amp;"ENTRADA",Movimientos!$R$2:$R$1993,0)),"-")</f>
        <v>-</v>
      </c>
      <c r="C517" s="2" t="str">
        <f>IFERROR(INDEX(Movimientos!$D$2:$D$1993,MATCH(A517&amp;"ENTRADA",Movimientos!$R$2:$R$1993,0)),"-")</f>
        <v>-</v>
      </c>
      <c r="D517" s="2" t="str">
        <f>IFERROR(INDEX(Movimientos!$E$2:$E$1993,MATCH(A517&amp;"ENTRADA",Movimientos!$R$2:$R$1993,0)),"-")</f>
        <v>-</v>
      </c>
      <c r="E517" s="2" t="str">
        <f>IFERROR(INDEX(Movimientos!$F$2:$F$1993,MATCH(A517&amp;"ENTRADA",Movimientos!$R$2:$R$1993,0)),"-")</f>
        <v>-</v>
      </c>
      <c r="F517" s="2" t="str">
        <f>IFERROR(INDEX(Movimientos!$G$2:$G$1993,MATCH(A517&amp;"ENTRADA",Movimientos!$R$2:$R$1993,0)),"-")</f>
        <v>-</v>
      </c>
      <c r="G517" s="2" t="str">
        <f>IFERROR(INDEX(Movimientos!$L$2:$L$1993,MATCH(A517&amp;"ENTRADA",Movimientos!$R$2:$R$1993,0)),"-")</f>
        <v>-</v>
      </c>
      <c r="H517" s="17" t="str">
        <f>IFERROR(IF(INDEX(Movimientos!$M$2:$M$1993,MATCH(A517&amp;"ENTRADA",Movimientos!$R$2:$R$1993,0))=0,"S/D",INDEX(Movimientos!$M$2:$M$1993,MATCH(A517&amp;"ENTRADA",Movimientos!$R$2:$R$1993,0))),"S/D")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2858</v>
      </c>
      <c r="B518" s="2" t="str">
        <f>IFERROR(INDEX(Movimientos!$C$2:$C$1993,MATCH(A518&amp;"ENTRADA",Movimientos!$R$2:$R$1993,0)),"-")</f>
        <v>-</v>
      </c>
      <c r="C518" s="2" t="str">
        <f>IFERROR(INDEX(Movimientos!$D$2:$D$1993,MATCH(A518&amp;"ENTRADA",Movimientos!$R$2:$R$1993,0)),"-")</f>
        <v>-</v>
      </c>
      <c r="D518" s="2" t="str">
        <f>IFERROR(INDEX(Movimientos!$E$2:$E$1993,MATCH(A518&amp;"ENTRADA",Movimientos!$R$2:$R$1993,0)),"-")</f>
        <v>-</v>
      </c>
      <c r="E518" s="2" t="str">
        <f>IFERROR(INDEX(Movimientos!$F$2:$F$1993,MATCH(A518&amp;"ENTRADA",Movimientos!$R$2:$R$1993,0)),"-")</f>
        <v>-</v>
      </c>
      <c r="F518" s="2" t="str">
        <f>IFERROR(INDEX(Movimientos!$G$2:$G$1993,MATCH(A518&amp;"ENTRADA",Movimientos!$R$2:$R$1993,0)),"-")</f>
        <v>-</v>
      </c>
      <c r="G518" s="2" t="str">
        <f>IFERROR(INDEX(Movimientos!$L$2:$L$1993,MATCH(A518&amp;"ENTRADA",Movimientos!$R$2:$R$1993,0)),"-")</f>
        <v>-</v>
      </c>
      <c r="H518" s="17" t="str">
        <f>IFERROR(IF(INDEX(Movimientos!$M$2:$M$1993,MATCH(A518&amp;"ENTRADA",Movimientos!$R$2:$R$1993,0))=0,"S/D",INDEX(Movimientos!$M$2:$M$1993,MATCH(A518&amp;"ENTRADA",Movimientos!$R$2:$R$1993,0))),"S/D")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2859</v>
      </c>
      <c r="B519" s="2" t="str">
        <f>IFERROR(INDEX(Movimientos!$C$2:$C$1993,MATCH(A519&amp;"ENTRADA",Movimientos!$R$2:$R$1993,0)),"-")</f>
        <v>-</v>
      </c>
      <c r="C519" s="2" t="str">
        <f>IFERROR(INDEX(Movimientos!$D$2:$D$1993,MATCH(A519&amp;"ENTRADA",Movimientos!$R$2:$R$1993,0)),"-")</f>
        <v>-</v>
      </c>
      <c r="D519" s="2" t="str">
        <f>IFERROR(INDEX(Movimientos!$E$2:$E$1993,MATCH(A519&amp;"ENTRADA",Movimientos!$R$2:$R$1993,0)),"-")</f>
        <v>-</v>
      </c>
      <c r="E519" s="2" t="str">
        <f>IFERROR(INDEX(Movimientos!$F$2:$F$1993,MATCH(A519&amp;"ENTRADA",Movimientos!$R$2:$R$1993,0)),"-")</f>
        <v>-</v>
      </c>
      <c r="F519" s="2" t="str">
        <f>IFERROR(INDEX(Movimientos!$G$2:$G$1993,MATCH(A519&amp;"ENTRADA",Movimientos!$R$2:$R$1993,0)),"-")</f>
        <v>-</v>
      </c>
      <c r="G519" s="2" t="str">
        <f>IFERROR(INDEX(Movimientos!$L$2:$L$1993,MATCH(A519&amp;"ENTRADA",Movimientos!$R$2:$R$1993,0)),"-")</f>
        <v>-</v>
      </c>
      <c r="H519" s="17" t="str">
        <f>IFERROR(IF(INDEX(Movimientos!$M$2:$M$1993,MATCH(A519&amp;"ENTRADA",Movimientos!$R$2:$R$1993,0))=0,"S/D",INDEX(Movimientos!$M$2:$M$1993,MATCH(A519&amp;"ENTRADA",Movimientos!$R$2:$R$1993,0))),"S/D")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2860</v>
      </c>
      <c r="B520" s="2" t="str">
        <f>IFERROR(INDEX(Movimientos!$C$2:$C$1993,MATCH(A520&amp;"ENTRADA",Movimientos!$R$2:$R$1993,0)),"-")</f>
        <v>-</v>
      </c>
      <c r="C520" s="2" t="str">
        <f>IFERROR(INDEX(Movimientos!$D$2:$D$1993,MATCH(A520&amp;"ENTRADA",Movimientos!$R$2:$R$1993,0)),"-")</f>
        <v>-</v>
      </c>
      <c r="D520" s="2" t="str">
        <f>IFERROR(INDEX(Movimientos!$E$2:$E$1993,MATCH(A520&amp;"ENTRADA",Movimientos!$R$2:$R$1993,0)),"-")</f>
        <v>-</v>
      </c>
      <c r="E520" s="2" t="str">
        <f>IFERROR(INDEX(Movimientos!$F$2:$F$1993,MATCH(A520&amp;"ENTRADA",Movimientos!$R$2:$R$1993,0)),"-")</f>
        <v>-</v>
      </c>
      <c r="F520" s="2" t="str">
        <f>IFERROR(INDEX(Movimientos!$G$2:$G$1993,MATCH(A520&amp;"ENTRADA",Movimientos!$R$2:$R$1993,0)),"-")</f>
        <v>-</v>
      </c>
      <c r="G520" s="2" t="str">
        <f>IFERROR(INDEX(Movimientos!$L$2:$L$1993,MATCH(A520&amp;"ENTRADA",Movimientos!$R$2:$R$1993,0)),"-")</f>
        <v>-</v>
      </c>
      <c r="H520" s="17" t="str">
        <f>IFERROR(IF(INDEX(Movimientos!$M$2:$M$1993,MATCH(A520&amp;"ENTRADA",Movimientos!$R$2:$R$1993,0))=0,"S/D",INDEX(Movimientos!$M$2:$M$1993,MATCH(A520&amp;"ENTRADA",Movimientos!$R$2:$R$1993,0))),"S/D")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2861</v>
      </c>
      <c r="B521" s="2" t="str">
        <f>IFERROR(INDEX(Movimientos!$C$2:$C$1993,MATCH(A521&amp;"ENTRADA",Movimientos!$R$2:$R$1993,0)),"-")</f>
        <v>-</v>
      </c>
      <c r="C521" s="2" t="str">
        <f>IFERROR(INDEX(Movimientos!$D$2:$D$1993,MATCH(A521&amp;"ENTRADA",Movimientos!$R$2:$R$1993,0)),"-")</f>
        <v>-</v>
      </c>
      <c r="D521" s="2" t="str">
        <f>IFERROR(INDEX(Movimientos!$E$2:$E$1993,MATCH(A521&amp;"ENTRADA",Movimientos!$R$2:$R$1993,0)),"-")</f>
        <v>-</v>
      </c>
      <c r="E521" s="2" t="str">
        <f>IFERROR(INDEX(Movimientos!$F$2:$F$1993,MATCH(A521&amp;"ENTRADA",Movimientos!$R$2:$R$1993,0)),"-")</f>
        <v>-</v>
      </c>
      <c r="F521" s="2" t="str">
        <f>IFERROR(INDEX(Movimientos!$G$2:$G$1993,MATCH(A521&amp;"ENTRADA",Movimientos!$R$2:$R$1993,0)),"-")</f>
        <v>-</v>
      </c>
      <c r="G521" s="2" t="str">
        <f>IFERROR(INDEX(Movimientos!$L$2:$L$1993,MATCH(A521&amp;"ENTRADA",Movimientos!$R$2:$R$1993,0)),"-")</f>
        <v>-</v>
      </c>
      <c r="H521" s="17" t="str">
        <f>IFERROR(IF(INDEX(Movimientos!$M$2:$M$1993,MATCH(A521&amp;"ENTRADA",Movimientos!$R$2:$R$1993,0))=0,"S/D",INDEX(Movimientos!$M$2:$M$1993,MATCH(A521&amp;"ENTRADA",Movimientos!$R$2:$R$1993,0))),"S/D")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2862</v>
      </c>
      <c r="B522" s="2" t="str">
        <f>IFERROR(INDEX(Movimientos!$C$2:$C$1993,MATCH(A522&amp;"ENTRADA",Movimientos!$R$2:$R$1993,0)),"-")</f>
        <v>-</v>
      </c>
      <c r="C522" s="2" t="str">
        <f>IFERROR(INDEX(Movimientos!$D$2:$D$1993,MATCH(A522&amp;"ENTRADA",Movimientos!$R$2:$R$1993,0)),"-")</f>
        <v>-</v>
      </c>
      <c r="D522" s="2" t="str">
        <f>IFERROR(INDEX(Movimientos!$E$2:$E$1993,MATCH(A522&amp;"ENTRADA",Movimientos!$R$2:$R$1993,0)),"-")</f>
        <v>-</v>
      </c>
      <c r="E522" s="2" t="str">
        <f>IFERROR(INDEX(Movimientos!$F$2:$F$1993,MATCH(A522&amp;"ENTRADA",Movimientos!$R$2:$R$1993,0)),"-")</f>
        <v>-</v>
      </c>
      <c r="F522" s="2" t="str">
        <f>IFERROR(INDEX(Movimientos!$G$2:$G$1993,MATCH(A522&amp;"ENTRADA",Movimientos!$R$2:$R$1993,0)),"-")</f>
        <v>-</v>
      </c>
      <c r="G522" s="2" t="str">
        <f>IFERROR(INDEX(Movimientos!$L$2:$L$1993,MATCH(A522&amp;"ENTRADA",Movimientos!$R$2:$R$1993,0)),"-")</f>
        <v>-</v>
      </c>
      <c r="H522" s="17" t="str">
        <f>IFERROR(IF(INDEX(Movimientos!$M$2:$M$1993,MATCH(A522&amp;"ENTRADA",Movimientos!$R$2:$R$1993,0))=0,"S/D",INDEX(Movimientos!$M$2:$M$1993,MATCH(A522&amp;"ENTRADA",Movimientos!$R$2:$R$1993,0))),"S/D")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2863</v>
      </c>
      <c r="B523" s="2" t="str">
        <f>IFERROR(INDEX(Movimientos!$C$2:$C$1993,MATCH(A523&amp;"ENTRADA",Movimientos!$R$2:$R$1993,0)),"-")</f>
        <v>-</v>
      </c>
      <c r="C523" s="2" t="str">
        <f>IFERROR(INDEX(Movimientos!$D$2:$D$1993,MATCH(A523&amp;"ENTRADA",Movimientos!$R$2:$R$1993,0)),"-")</f>
        <v>-</v>
      </c>
      <c r="D523" s="2" t="str">
        <f>IFERROR(INDEX(Movimientos!$E$2:$E$1993,MATCH(A523&amp;"ENTRADA",Movimientos!$R$2:$R$1993,0)),"-")</f>
        <v>-</v>
      </c>
      <c r="E523" s="2" t="str">
        <f>IFERROR(INDEX(Movimientos!$F$2:$F$1993,MATCH(A523&amp;"ENTRADA",Movimientos!$R$2:$R$1993,0)),"-")</f>
        <v>-</v>
      </c>
      <c r="F523" s="2" t="str">
        <f>IFERROR(INDEX(Movimientos!$G$2:$G$1993,MATCH(A523&amp;"ENTRADA",Movimientos!$R$2:$R$1993,0)),"-")</f>
        <v>-</v>
      </c>
      <c r="G523" s="2" t="str">
        <f>IFERROR(INDEX(Movimientos!$L$2:$L$1993,MATCH(A523&amp;"ENTRADA",Movimientos!$R$2:$R$1993,0)),"-")</f>
        <v>-</v>
      </c>
      <c r="H523" s="17" t="str">
        <f>IFERROR(IF(INDEX(Movimientos!$M$2:$M$1993,MATCH(A523&amp;"ENTRADA",Movimientos!$R$2:$R$1993,0))=0,"S/D",INDEX(Movimientos!$M$2:$M$1993,MATCH(A523&amp;"ENTRADA",Movimientos!$R$2:$R$1993,0))),"S/D")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2864</v>
      </c>
      <c r="B524" s="2" t="str">
        <f>IFERROR(INDEX(Movimientos!$C$2:$C$1993,MATCH(A524&amp;"ENTRADA",Movimientos!$R$2:$R$1993,0)),"-")</f>
        <v>-</v>
      </c>
      <c r="C524" s="2" t="str">
        <f>IFERROR(INDEX(Movimientos!$D$2:$D$1993,MATCH(A524&amp;"ENTRADA",Movimientos!$R$2:$R$1993,0)),"-")</f>
        <v>-</v>
      </c>
      <c r="D524" s="2" t="str">
        <f>IFERROR(INDEX(Movimientos!$E$2:$E$1993,MATCH(A524&amp;"ENTRADA",Movimientos!$R$2:$R$1993,0)),"-")</f>
        <v>-</v>
      </c>
      <c r="E524" s="2" t="str">
        <f>IFERROR(INDEX(Movimientos!$F$2:$F$1993,MATCH(A524&amp;"ENTRADA",Movimientos!$R$2:$R$1993,0)),"-")</f>
        <v>-</v>
      </c>
      <c r="F524" s="2" t="str">
        <f>IFERROR(INDEX(Movimientos!$G$2:$G$1993,MATCH(A524&amp;"ENTRADA",Movimientos!$R$2:$R$1993,0)),"-")</f>
        <v>-</v>
      </c>
      <c r="G524" s="2" t="str">
        <f>IFERROR(INDEX(Movimientos!$L$2:$L$1993,MATCH(A524&amp;"ENTRADA",Movimientos!$R$2:$R$1993,0)),"-")</f>
        <v>-</v>
      </c>
      <c r="H524" s="17" t="str">
        <f>IFERROR(IF(INDEX(Movimientos!$M$2:$M$1993,MATCH(A524&amp;"ENTRADA",Movimientos!$R$2:$R$1993,0))=0,"S/D",INDEX(Movimientos!$M$2:$M$1993,MATCH(A524&amp;"ENTRADA",Movimientos!$R$2:$R$1993,0))),"S/D")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2865</v>
      </c>
      <c r="B525" s="2" t="str">
        <f>IFERROR(INDEX(Movimientos!$C$2:$C$1993,MATCH(A525&amp;"ENTRADA",Movimientos!$R$2:$R$1993,0)),"-")</f>
        <v>-</v>
      </c>
      <c r="C525" s="2" t="str">
        <f>IFERROR(INDEX(Movimientos!$D$2:$D$1993,MATCH(A525&amp;"ENTRADA",Movimientos!$R$2:$R$1993,0)),"-")</f>
        <v>-</v>
      </c>
      <c r="D525" s="2" t="str">
        <f>IFERROR(INDEX(Movimientos!$E$2:$E$1993,MATCH(A525&amp;"ENTRADA",Movimientos!$R$2:$R$1993,0)),"-")</f>
        <v>-</v>
      </c>
      <c r="E525" s="2" t="str">
        <f>IFERROR(INDEX(Movimientos!$F$2:$F$1993,MATCH(A525&amp;"ENTRADA",Movimientos!$R$2:$R$1993,0)),"-")</f>
        <v>-</v>
      </c>
      <c r="F525" s="2" t="str">
        <f>IFERROR(INDEX(Movimientos!$G$2:$G$1993,MATCH(A525&amp;"ENTRADA",Movimientos!$R$2:$R$1993,0)),"-")</f>
        <v>-</v>
      </c>
      <c r="G525" s="2" t="str">
        <f>IFERROR(INDEX(Movimientos!$L$2:$L$1993,MATCH(A525&amp;"ENTRADA",Movimientos!$R$2:$R$1993,0)),"-")</f>
        <v>-</v>
      </c>
      <c r="H525" s="17" t="str">
        <f>IFERROR(IF(INDEX(Movimientos!$M$2:$M$1993,MATCH(A525&amp;"ENTRADA",Movimientos!$R$2:$R$1993,0))=0,"S/D",INDEX(Movimientos!$M$2:$M$1993,MATCH(A525&amp;"ENTRADA",Movimientos!$R$2:$R$1993,0))),"S/D")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2866</v>
      </c>
      <c r="B526" s="2" t="str">
        <f>IFERROR(INDEX(Movimientos!$C$2:$C$1993,MATCH(A526&amp;"ENTRADA",Movimientos!$R$2:$R$1993,0)),"-")</f>
        <v>-</v>
      </c>
      <c r="C526" s="2" t="str">
        <f>IFERROR(INDEX(Movimientos!$D$2:$D$1993,MATCH(A526&amp;"ENTRADA",Movimientos!$R$2:$R$1993,0)),"-")</f>
        <v>-</v>
      </c>
      <c r="D526" s="2" t="str">
        <f>IFERROR(INDEX(Movimientos!$E$2:$E$1993,MATCH(A526&amp;"ENTRADA",Movimientos!$R$2:$R$1993,0)),"-")</f>
        <v>-</v>
      </c>
      <c r="E526" s="2" t="str">
        <f>IFERROR(INDEX(Movimientos!$F$2:$F$1993,MATCH(A526&amp;"ENTRADA",Movimientos!$R$2:$R$1993,0)),"-")</f>
        <v>-</v>
      </c>
      <c r="F526" s="2" t="str">
        <f>IFERROR(INDEX(Movimientos!$G$2:$G$1993,MATCH(A526&amp;"ENTRADA",Movimientos!$R$2:$R$1993,0)),"-")</f>
        <v>-</v>
      </c>
      <c r="G526" s="2" t="str">
        <f>IFERROR(INDEX(Movimientos!$L$2:$L$1993,MATCH(A526&amp;"ENTRADA",Movimientos!$R$2:$R$1993,0)),"-")</f>
        <v>-</v>
      </c>
      <c r="H526" s="17" t="str">
        <f>IFERROR(IF(INDEX(Movimientos!$M$2:$M$1993,MATCH(A526&amp;"ENTRADA",Movimientos!$R$2:$R$1993,0))=0,"S/D",INDEX(Movimientos!$M$2:$M$1993,MATCH(A526&amp;"ENTRADA",Movimientos!$R$2:$R$1993,0))),"S/D")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2867</v>
      </c>
      <c r="B527" s="2" t="str">
        <f>IFERROR(INDEX(Movimientos!$C$2:$C$1993,MATCH(A527&amp;"ENTRADA",Movimientos!$R$2:$R$1993,0)),"-")</f>
        <v>-</v>
      </c>
      <c r="C527" s="2" t="str">
        <f>IFERROR(INDEX(Movimientos!$D$2:$D$1993,MATCH(A527&amp;"ENTRADA",Movimientos!$R$2:$R$1993,0)),"-")</f>
        <v>-</v>
      </c>
      <c r="D527" s="2" t="str">
        <f>IFERROR(INDEX(Movimientos!$E$2:$E$1993,MATCH(A527&amp;"ENTRADA",Movimientos!$R$2:$R$1993,0)),"-")</f>
        <v>-</v>
      </c>
      <c r="E527" s="2" t="str">
        <f>IFERROR(INDEX(Movimientos!$F$2:$F$1993,MATCH(A527&amp;"ENTRADA",Movimientos!$R$2:$R$1993,0)),"-")</f>
        <v>-</v>
      </c>
      <c r="F527" s="2" t="str">
        <f>IFERROR(INDEX(Movimientos!$G$2:$G$1993,MATCH(A527&amp;"ENTRADA",Movimientos!$R$2:$R$1993,0)),"-")</f>
        <v>-</v>
      </c>
      <c r="G527" s="2" t="str">
        <f>IFERROR(INDEX(Movimientos!$L$2:$L$1993,MATCH(A527&amp;"ENTRADA",Movimientos!$R$2:$R$1993,0)),"-")</f>
        <v>-</v>
      </c>
      <c r="H527" s="17" t="str">
        <f>IFERROR(IF(INDEX(Movimientos!$M$2:$M$1993,MATCH(A527&amp;"ENTRADA",Movimientos!$R$2:$R$1993,0))=0,"S/D",INDEX(Movimientos!$M$2:$M$1993,MATCH(A527&amp;"ENTRADA",Movimientos!$R$2:$R$1993,0))),"S/D")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2868</v>
      </c>
      <c r="B528" s="2" t="str">
        <f>IFERROR(INDEX(Movimientos!$C$2:$C$1993,MATCH(A528&amp;"ENTRADA",Movimientos!$R$2:$R$1993,0)),"-")</f>
        <v>-</v>
      </c>
      <c r="C528" s="2" t="str">
        <f>IFERROR(INDEX(Movimientos!$D$2:$D$1993,MATCH(A528&amp;"ENTRADA",Movimientos!$R$2:$R$1993,0)),"-")</f>
        <v>-</v>
      </c>
      <c r="D528" s="2" t="str">
        <f>IFERROR(INDEX(Movimientos!$E$2:$E$1993,MATCH(A528&amp;"ENTRADA",Movimientos!$R$2:$R$1993,0)),"-")</f>
        <v>-</v>
      </c>
      <c r="E528" s="2" t="str">
        <f>IFERROR(INDEX(Movimientos!$F$2:$F$1993,MATCH(A528&amp;"ENTRADA",Movimientos!$R$2:$R$1993,0)),"-")</f>
        <v>-</v>
      </c>
      <c r="F528" s="2" t="str">
        <f>IFERROR(INDEX(Movimientos!$G$2:$G$1993,MATCH(A528&amp;"ENTRADA",Movimientos!$R$2:$R$1993,0)),"-")</f>
        <v>-</v>
      </c>
      <c r="G528" s="2" t="str">
        <f>IFERROR(INDEX(Movimientos!$L$2:$L$1993,MATCH(A528&amp;"ENTRADA",Movimientos!$R$2:$R$1993,0)),"-")</f>
        <v>-</v>
      </c>
      <c r="H528" s="17" t="str">
        <f>IFERROR(IF(INDEX(Movimientos!$M$2:$M$1993,MATCH(A528&amp;"ENTRADA",Movimientos!$R$2:$R$1993,0))=0,"S/D",INDEX(Movimientos!$M$2:$M$1993,MATCH(A528&amp;"ENTRADA",Movimientos!$R$2:$R$1993,0))),"S/D")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2869</v>
      </c>
      <c r="B529" s="2" t="str">
        <f>IFERROR(INDEX(Movimientos!$C$2:$C$1993,MATCH(A529&amp;"ENTRADA",Movimientos!$R$2:$R$1993,0)),"-")</f>
        <v>-</v>
      </c>
      <c r="C529" s="2" t="str">
        <f>IFERROR(INDEX(Movimientos!$D$2:$D$1993,MATCH(A529&amp;"ENTRADA",Movimientos!$R$2:$R$1993,0)),"-")</f>
        <v>-</v>
      </c>
      <c r="D529" s="2" t="str">
        <f>IFERROR(INDEX(Movimientos!$E$2:$E$1993,MATCH(A529&amp;"ENTRADA",Movimientos!$R$2:$R$1993,0)),"-")</f>
        <v>-</v>
      </c>
      <c r="E529" s="2" t="str">
        <f>IFERROR(INDEX(Movimientos!$F$2:$F$1993,MATCH(A529&amp;"ENTRADA",Movimientos!$R$2:$R$1993,0)),"-")</f>
        <v>-</v>
      </c>
      <c r="F529" s="2" t="str">
        <f>IFERROR(INDEX(Movimientos!$G$2:$G$1993,MATCH(A529&amp;"ENTRADA",Movimientos!$R$2:$R$1993,0)),"-")</f>
        <v>-</v>
      </c>
      <c r="G529" s="2" t="str">
        <f>IFERROR(INDEX(Movimientos!$L$2:$L$1993,MATCH(A529&amp;"ENTRADA",Movimientos!$R$2:$R$1993,0)),"-")</f>
        <v>-</v>
      </c>
      <c r="H529" s="17" t="str">
        <f>IFERROR(IF(INDEX(Movimientos!$M$2:$M$1993,MATCH(A529&amp;"ENTRADA",Movimientos!$R$2:$R$1993,0))=0,"S/D",INDEX(Movimientos!$M$2:$M$1993,MATCH(A529&amp;"ENTRADA",Movimientos!$R$2:$R$1993,0))),"S/D")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2870</v>
      </c>
      <c r="B530" s="2" t="str">
        <f>IFERROR(INDEX(Movimientos!$C$2:$C$1993,MATCH(A530&amp;"ENTRADA",Movimientos!$R$2:$R$1993,0)),"-")</f>
        <v>-</v>
      </c>
      <c r="C530" s="2" t="str">
        <f>IFERROR(INDEX(Movimientos!$D$2:$D$1993,MATCH(A530&amp;"ENTRADA",Movimientos!$R$2:$R$1993,0)),"-")</f>
        <v>-</v>
      </c>
      <c r="D530" s="2" t="str">
        <f>IFERROR(INDEX(Movimientos!$E$2:$E$1993,MATCH(A530&amp;"ENTRADA",Movimientos!$R$2:$R$1993,0)),"-")</f>
        <v>-</v>
      </c>
      <c r="E530" s="2" t="str">
        <f>IFERROR(INDEX(Movimientos!$F$2:$F$1993,MATCH(A530&amp;"ENTRADA",Movimientos!$R$2:$R$1993,0)),"-")</f>
        <v>-</v>
      </c>
      <c r="F530" s="2" t="str">
        <f>IFERROR(INDEX(Movimientos!$G$2:$G$1993,MATCH(A530&amp;"ENTRADA",Movimientos!$R$2:$R$1993,0)),"-")</f>
        <v>-</v>
      </c>
      <c r="G530" s="2" t="str">
        <f>IFERROR(INDEX(Movimientos!$L$2:$L$1993,MATCH(A530&amp;"ENTRADA",Movimientos!$R$2:$R$1993,0)),"-")</f>
        <v>-</v>
      </c>
      <c r="H530" s="17" t="str">
        <f>IFERROR(IF(INDEX(Movimientos!$M$2:$M$1993,MATCH(A530&amp;"ENTRADA",Movimientos!$R$2:$R$1993,0))=0,"S/D",INDEX(Movimientos!$M$2:$M$1993,MATCH(A530&amp;"ENTRADA",Movimientos!$R$2:$R$1993,0))),"S/D")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2871</v>
      </c>
      <c r="B531" s="2" t="str">
        <f>IFERROR(INDEX(Movimientos!$C$2:$C$1993,MATCH(A531&amp;"ENTRADA",Movimientos!$R$2:$R$1993,0)),"-")</f>
        <v>-</v>
      </c>
      <c r="C531" s="2" t="str">
        <f>IFERROR(INDEX(Movimientos!$D$2:$D$1993,MATCH(A531&amp;"ENTRADA",Movimientos!$R$2:$R$1993,0)),"-")</f>
        <v>-</v>
      </c>
      <c r="D531" s="2" t="str">
        <f>IFERROR(INDEX(Movimientos!$E$2:$E$1993,MATCH(A531&amp;"ENTRADA",Movimientos!$R$2:$R$1993,0)),"-")</f>
        <v>-</v>
      </c>
      <c r="E531" s="2" t="str">
        <f>IFERROR(INDEX(Movimientos!$F$2:$F$1993,MATCH(A531&amp;"ENTRADA",Movimientos!$R$2:$R$1993,0)),"-")</f>
        <v>-</v>
      </c>
      <c r="F531" s="2" t="str">
        <f>IFERROR(INDEX(Movimientos!$G$2:$G$1993,MATCH(A531&amp;"ENTRADA",Movimientos!$R$2:$R$1993,0)),"-")</f>
        <v>-</v>
      </c>
      <c r="G531" s="2" t="str">
        <f>IFERROR(INDEX(Movimientos!$L$2:$L$1993,MATCH(A531&amp;"ENTRADA",Movimientos!$R$2:$R$1993,0)),"-")</f>
        <v>-</v>
      </c>
      <c r="H531" s="17" t="str">
        <f>IFERROR(IF(INDEX(Movimientos!$M$2:$M$1993,MATCH(A531&amp;"ENTRADA",Movimientos!$R$2:$R$1993,0))=0,"S/D",INDEX(Movimientos!$M$2:$M$1993,MATCH(A531&amp;"ENTRADA",Movimientos!$R$2:$R$1993,0))),"S/D")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2872</v>
      </c>
      <c r="B532" s="2" t="str">
        <f>IFERROR(INDEX(Movimientos!$C$2:$C$1993,MATCH(A532&amp;"ENTRADA",Movimientos!$R$2:$R$1993,0)),"-")</f>
        <v>-</v>
      </c>
      <c r="C532" s="2" t="str">
        <f>IFERROR(INDEX(Movimientos!$D$2:$D$1993,MATCH(A532&amp;"ENTRADA",Movimientos!$R$2:$R$1993,0)),"-")</f>
        <v>-</v>
      </c>
      <c r="D532" s="2" t="str">
        <f>IFERROR(INDEX(Movimientos!$E$2:$E$1993,MATCH(A532&amp;"ENTRADA",Movimientos!$R$2:$R$1993,0)),"-")</f>
        <v>-</v>
      </c>
      <c r="E532" s="2" t="str">
        <f>IFERROR(INDEX(Movimientos!$F$2:$F$1993,MATCH(A532&amp;"ENTRADA",Movimientos!$R$2:$R$1993,0)),"-")</f>
        <v>-</v>
      </c>
      <c r="F532" s="2" t="str">
        <f>IFERROR(INDEX(Movimientos!$G$2:$G$1993,MATCH(A532&amp;"ENTRADA",Movimientos!$R$2:$R$1993,0)),"-")</f>
        <v>-</v>
      </c>
      <c r="G532" s="2" t="str">
        <f>IFERROR(INDEX(Movimientos!$L$2:$L$1993,MATCH(A532&amp;"ENTRADA",Movimientos!$R$2:$R$1993,0)),"-")</f>
        <v>-</v>
      </c>
      <c r="H532" s="17" t="str">
        <f>IFERROR(IF(INDEX(Movimientos!$M$2:$M$1993,MATCH(A532&amp;"ENTRADA",Movimientos!$R$2:$R$1993,0))=0,"S/D",INDEX(Movimientos!$M$2:$M$1993,MATCH(A532&amp;"ENTRADA",Movimientos!$R$2:$R$1993,0))),"S/D")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2873</v>
      </c>
      <c r="B533" s="2" t="str">
        <f>IFERROR(INDEX(Movimientos!$C$2:$C$1993,MATCH(A533&amp;"ENTRADA",Movimientos!$R$2:$R$1993,0)),"-")</f>
        <v>-</v>
      </c>
      <c r="C533" s="2" t="str">
        <f>IFERROR(INDEX(Movimientos!$D$2:$D$1993,MATCH(A533&amp;"ENTRADA",Movimientos!$R$2:$R$1993,0)),"-")</f>
        <v>-</v>
      </c>
      <c r="D533" s="2" t="str">
        <f>IFERROR(INDEX(Movimientos!$E$2:$E$1993,MATCH(A533&amp;"ENTRADA",Movimientos!$R$2:$R$1993,0)),"-")</f>
        <v>-</v>
      </c>
      <c r="E533" s="2" t="str">
        <f>IFERROR(INDEX(Movimientos!$F$2:$F$1993,MATCH(A533&amp;"ENTRADA",Movimientos!$R$2:$R$1993,0)),"-")</f>
        <v>-</v>
      </c>
      <c r="F533" s="2" t="str">
        <f>IFERROR(INDEX(Movimientos!$G$2:$G$1993,MATCH(A533&amp;"ENTRADA",Movimientos!$R$2:$R$1993,0)),"-")</f>
        <v>-</v>
      </c>
      <c r="G533" s="2" t="str">
        <f>IFERROR(INDEX(Movimientos!$L$2:$L$1993,MATCH(A533&amp;"ENTRADA",Movimientos!$R$2:$R$1993,0)),"-")</f>
        <v>-</v>
      </c>
      <c r="H533" s="17" t="str">
        <f>IFERROR(IF(INDEX(Movimientos!$M$2:$M$1993,MATCH(A533&amp;"ENTRADA",Movimientos!$R$2:$R$1993,0))=0,"S/D",INDEX(Movimientos!$M$2:$M$1993,MATCH(A533&amp;"ENTRADA",Movimientos!$R$2:$R$1993,0))),"S/D")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2874</v>
      </c>
      <c r="B534" s="2" t="str">
        <f>IFERROR(INDEX(Movimientos!$C$2:$C$1993,MATCH(A534&amp;"ENTRADA",Movimientos!$R$2:$R$1993,0)),"-")</f>
        <v>-</v>
      </c>
      <c r="C534" s="2" t="str">
        <f>IFERROR(INDEX(Movimientos!$D$2:$D$1993,MATCH(A534&amp;"ENTRADA",Movimientos!$R$2:$R$1993,0)),"-")</f>
        <v>-</v>
      </c>
      <c r="D534" s="2" t="str">
        <f>IFERROR(INDEX(Movimientos!$E$2:$E$1993,MATCH(A534&amp;"ENTRADA",Movimientos!$R$2:$R$1993,0)),"-")</f>
        <v>-</v>
      </c>
      <c r="E534" s="2" t="str">
        <f>IFERROR(INDEX(Movimientos!$F$2:$F$1993,MATCH(A534&amp;"ENTRADA",Movimientos!$R$2:$R$1993,0)),"-")</f>
        <v>-</v>
      </c>
      <c r="F534" s="2" t="str">
        <f>IFERROR(INDEX(Movimientos!$G$2:$G$1993,MATCH(A534&amp;"ENTRADA",Movimientos!$R$2:$R$1993,0)),"-")</f>
        <v>-</v>
      </c>
      <c r="G534" s="2" t="str">
        <f>IFERROR(INDEX(Movimientos!$L$2:$L$1993,MATCH(A534&amp;"ENTRADA",Movimientos!$R$2:$R$1993,0)),"-")</f>
        <v>-</v>
      </c>
      <c r="H534" s="17" t="str">
        <f>IFERROR(IF(INDEX(Movimientos!$M$2:$M$1993,MATCH(A534&amp;"ENTRADA",Movimientos!$R$2:$R$1993,0))=0,"S/D",INDEX(Movimientos!$M$2:$M$1993,MATCH(A534&amp;"ENTRADA",Movimientos!$R$2:$R$1993,0))),"S/D")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2875</v>
      </c>
      <c r="B535" s="2" t="str">
        <f>IFERROR(INDEX(Movimientos!$C$2:$C$1993,MATCH(A535&amp;"ENTRADA",Movimientos!$R$2:$R$1993,0)),"-")</f>
        <v>-</v>
      </c>
      <c r="C535" s="2" t="str">
        <f>IFERROR(INDEX(Movimientos!$D$2:$D$1993,MATCH(A535&amp;"ENTRADA",Movimientos!$R$2:$R$1993,0)),"-")</f>
        <v>-</v>
      </c>
      <c r="D535" s="2" t="str">
        <f>IFERROR(INDEX(Movimientos!$E$2:$E$1993,MATCH(A535&amp;"ENTRADA",Movimientos!$R$2:$R$1993,0)),"-")</f>
        <v>-</v>
      </c>
      <c r="E535" s="2" t="str">
        <f>IFERROR(INDEX(Movimientos!$F$2:$F$1993,MATCH(A535&amp;"ENTRADA",Movimientos!$R$2:$R$1993,0)),"-")</f>
        <v>-</v>
      </c>
      <c r="F535" s="2" t="str">
        <f>IFERROR(INDEX(Movimientos!$G$2:$G$1993,MATCH(A535&amp;"ENTRADA",Movimientos!$R$2:$R$1993,0)),"-")</f>
        <v>-</v>
      </c>
      <c r="G535" s="2" t="str">
        <f>IFERROR(INDEX(Movimientos!$L$2:$L$1993,MATCH(A535&amp;"ENTRADA",Movimientos!$R$2:$R$1993,0)),"-")</f>
        <v>-</v>
      </c>
      <c r="H535" s="17" t="str">
        <f>IFERROR(IF(INDEX(Movimientos!$M$2:$M$1993,MATCH(A535&amp;"ENTRADA",Movimientos!$R$2:$R$1993,0))=0,"S/D",INDEX(Movimientos!$M$2:$M$1993,MATCH(A535&amp;"ENTRADA",Movimientos!$R$2:$R$1993,0))),"S/D")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2876</v>
      </c>
      <c r="B536" s="2" t="str">
        <f>IFERROR(INDEX(Movimientos!$C$2:$C$1993,MATCH(A536&amp;"ENTRADA",Movimientos!$R$2:$R$1993,0)),"-")</f>
        <v>-</v>
      </c>
      <c r="C536" s="2" t="str">
        <f>IFERROR(INDEX(Movimientos!$D$2:$D$1993,MATCH(A536&amp;"ENTRADA",Movimientos!$R$2:$R$1993,0)),"-")</f>
        <v>-</v>
      </c>
      <c r="D536" s="2" t="str">
        <f>IFERROR(INDEX(Movimientos!$E$2:$E$1993,MATCH(A536&amp;"ENTRADA",Movimientos!$R$2:$R$1993,0)),"-")</f>
        <v>-</v>
      </c>
      <c r="E536" s="2" t="str">
        <f>IFERROR(INDEX(Movimientos!$F$2:$F$1993,MATCH(A536&amp;"ENTRADA",Movimientos!$R$2:$R$1993,0)),"-")</f>
        <v>-</v>
      </c>
      <c r="F536" s="2" t="str">
        <f>IFERROR(INDEX(Movimientos!$G$2:$G$1993,MATCH(A536&amp;"ENTRADA",Movimientos!$R$2:$R$1993,0)),"-")</f>
        <v>-</v>
      </c>
      <c r="G536" s="2" t="str">
        <f>IFERROR(INDEX(Movimientos!$L$2:$L$1993,MATCH(A536&amp;"ENTRADA",Movimientos!$R$2:$R$1993,0)),"-")</f>
        <v>-</v>
      </c>
      <c r="H536" s="17" t="str">
        <f>IFERROR(IF(INDEX(Movimientos!$M$2:$M$1993,MATCH(A536&amp;"ENTRADA",Movimientos!$R$2:$R$1993,0))=0,"S/D",INDEX(Movimientos!$M$2:$M$1993,MATCH(A536&amp;"ENTRADA",Movimientos!$R$2:$R$1993,0))),"S/D")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2877</v>
      </c>
      <c r="B537" s="2" t="str">
        <f>IFERROR(INDEX(Movimientos!$C$2:$C$1993,MATCH(A537&amp;"ENTRADA",Movimientos!$R$2:$R$1993,0)),"-")</f>
        <v>-</v>
      </c>
      <c r="C537" s="2" t="str">
        <f>IFERROR(INDEX(Movimientos!$D$2:$D$1993,MATCH(A537&amp;"ENTRADA",Movimientos!$R$2:$R$1993,0)),"-")</f>
        <v>-</v>
      </c>
      <c r="D537" s="2" t="str">
        <f>IFERROR(INDEX(Movimientos!$E$2:$E$1993,MATCH(A537&amp;"ENTRADA",Movimientos!$R$2:$R$1993,0)),"-")</f>
        <v>-</v>
      </c>
      <c r="E537" s="2" t="str">
        <f>IFERROR(INDEX(Movimientos!$F$2:$F$1993,MATCH(A537&amp;"ENTRADA",Movimientos!$R$2:$R$1993,0)),"-")</f>
        <v>-</v>
      </c>
      <c r="F537" s="2" t="str">
        <f>IFERROR(INDEX(Movimientos!$G$2:$G$1993,MATCH(A537&amp;"ENTRADA",Movimientos!$R$2:$R$1993,0)),"-")</f>
        <v>-</v>
      </c>
      <c r="G537" s="2" t="str">
        <f>IFERROR(INDEX(Movimientos!$L$2:$L$1993,MATCH(A537&amp;"ENTRADA",Movimientos!$R$2:$R$1993,0)),"-")</f>
        <v>-</v>
      </c>
      <c r="H537" s="17" t="str">
        <f>IFERROR(IF(INDEX(Movimientos!$M$2:$M$1993,MATCH(A537&amp;"ENTRADA",Movimientos!$R$2:$R$1993,0))=0,"S/D",INDEX(Movimientos!$M$2:$M$1993,MATCH(A537&amp;"ENTRADA",Movimientos!$R$2:$R$1993,0))),"S/D")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2878</v>
      </c>
      <c r="B538" s="2" t="str">
        <f>IFERROR(INDEX(Movimientos!$C$2:$C$1993,MATCH(A538&amp;"ENTRADA",Movimientos!$R$2:$R$1993,0)),"-")</f>
        <v>-</v>
      </c>
      <c r="C538" s="2" t="str">
        <f>IFERROR(INDEX(Movimientos!$D$2:$D$1993,MATCH(A538&amp;"ENTRADA",Movimientos!$R$2:$R$1993,0)),"-")</f>
        <v>-</v>
      </c>
      <c r="D538" s="2" t="str">
        <f>IFERROR(INDEX(Movimientos!$E$2:$E$1993,MATCH(A538&amp;"ENTRADA",Movimientos!$R$2:$R$1993,0)),"-")</f>
        <v>-</v>
      </c>
      <c r="E538" s="2" t="str">
        <f>IFERROR(INDEX(Movimientos!$F$2:$F$1993,MATCH(A538&amp;"ENTRADA",Movimientos!$R$2:$R$1993,0)),"-")</f>
        <v>-</v>
      </c>
      <c r="F538" s="2" t="str">
        <f>IFERROR(INDEX(Movimientos!$G$2:$G$1993,MATCH(A538&amp;"ENTRADA",Movimientos!$R$2:$R$1993,0)),"-")</f>
        <v>-</v>
      </c>
      <c r="G538" s="2" t="str">
        <f>IFERROR(INDEX(Movimientos!$L$2:$L$1993,MATCH(A538&amp;"ENTRADA",Movimientos!$R$2:$R$1993,0)),"-")</f>
        <v>-</v>
      </c>
      <c r="H538" s="17" t="str">
        <f>IFERROR(IF(INDEX(Movimientos!$M$2:$M$1993,MATCH(A538&amp;"ENTRADA",Movimientos!$R$2:$R$1993,0))=0,"S/D",INDEX(Movimientos!$M$2:$M$1993,MATCH(A538&amp;"ENTRADA",Movimientos!$R$2:$R$1993,0))),"S/D")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2879</v>
      </c>
      <c r="B539" s="2" t="str">
        <f>IFERROR(INDEX(Movimientos!$C$2:$C$1993,MATCH(A539&amp;"ENTRADA",Movimientos!$R$2:$R$1993,0)),"-")</f>
        <v>-</v>
      </c>
      <c r="C539" s="2" t="str">
        <f>IFERROR(INDEX(Movimientos!$D$2:$D$1993,MATCH(A539&amp;"ENTRADA",Movimientos!$R$2:$R$1993,0)),"-")</f>
        <v>-</v>
      </c>
      <c r="D539" s="2" t="str">
        <f>IFERROR(INDEX(Movimientos!$E$2:$E$1993,MATCH(A539&amp;"ENTRADA",Movimientos!$R$2:$R$1993,0)),"-")</f>
        <v>-</v>
      </c>
      <c r="E539" s="2" t="str">
        <f>IFERROR(INDEX(Movimientos!$F$2:$F$1993,MATCH(A539&amp;"ENTRADA",Movimientos!$R$2:$R$1993,0)),"-")</f>
        <v>-</v>
      </c>
      <c r="F539" s="2" t="str">
        <f>IFERROR(INDEX(Movimientos!$G$2:$G$1993,MATCH(A539&amp;"ENTRADA",Movimientos!$R$2:$R$1993,0)),"-")</f>
        <v>-</v>
      </c>
      <c r="G539" s="2" t="str">
        <f>IFERROR(INDEX(Movimientos!$L$2:$L$1993,MATCH(A539&amp;"ENTRADA",Movimientos!$R$2:$R$1993,0)),"-")</f>
        <v>-</v>
      </c>
      <c r="H539" s="17" t="str">
        <f>IFERROR(IF(INDEX(Movimientos!$M$2:$M$1993,MATCH(A539&amp;"ENTRADA",Movimientos!$R$2:$R$1993,0))=0,"S/D",INDEX(Movimientos!$M$2:$M$1993,MATCH(A539&amp;"ENTRADA",Movimientos!$R$2:$R$1993,0))),"S/D")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2880</v>
      </c>
      <c r="B540" s="2" t="str">
        <f>IFERROR(INDEX(Movimientos!$C$2:$C$1993,MATCH(A540&amp;"ENTRADA",Movimientos!$R$2:$R$1993,0)),"-")</f>
        <v>-</v>
      </c>
      <c r="C540" s="2" t="str">
        <f>IFERROR(INDEX(Movimientos!$D$2:$D$1993,MATCH(A540&amp;"ENTRADA",Movimientos!$R$2:$R$1993,0)),"-")</f>
        <v>-</v>
      </c>
      <c r="D540" s="2" t="str">
        <f>IFERROR(INDEX(Movimientos!$E$2:$E$1993,MATCH(A540&amp;"ENTRADA",Movimientos!$R$2:$R$1993,0)),"-")</f>
        <v>-</v>
      </c>
      <c r="E540" s="2" t="str">
        <f>IFERROR(INDEX(Movimientos!$F$2:$F$1993,MATCH(A540&amp;"ENTRADA",Movimientos!$R$2:$R$1993,0)),"-")</f>
        <v>-</v>
      </c>
      <c r="F540" s="2" t="str">
        <f>IFERROR(INDEX(Movimientos!$G$2:$G$1993,MATCH(A540&amp;"ENTRADA",Movimientos!$R$2:$R$1993,0)),"-")</f>
        <v>-</v>
      </c>
      <c r="G540" s="2" t="str">
        <f>IFERROR(INDEX(Movimientos!$L$2:$L$1993,MATCH(A540&amp;"ENTRADA",Movimientos!$R$2:$R$1993,0)),"-")</f>
        <v>-</v>
      </c>
      <c r="H540" s="17" t="str">
        <f>IFERROR(IF(INDEX(Movimientos!$M$2:$M$1993,MATCH(A540&amp;"ENTRADA",Movimientos!$R$2:$R$1993,0))=0,"S/D",INDEX(Movimientos!$M$2:$M$1993,MATCH(A540&amp;"ENTRADA",Movimientos!$R$2:$R$1993,0))),"S/D")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2881</v>
      </c>
      <c r="B541" s="2" t="str">
        <f>IFERROR(INDEX(Movimientos!$C$2:$C$1993,MATCH(A541&amp;"ENTRADA",Movimientos!$R$2:$R$1993,0)),"-")</f>
        <v>-</v>
      </c>
      <c r="C541" s="2" t="str">
        <f>IFERROR(INDEX(Movimientos!$D$2:$D$1993,MATCH(A541&amp;"ENTRADA",Movimientos!$R$2:$R$1993,0)),"-")</f>
        <v>-</v>
      </c>
      <c r="D541" s="2" t="str">
        <f>IFERROR(INDEX(Movimientos!$E$2:$E$1993,MATCH(A541&amp;"ENTRADA",Movimientos!$R$2:$R$1993,0)),"-")</f>
        <v>-</v>
      </c>
      <c r="E541" s="2" t="str">
        <f>IFERROR(INDEX(Movimientos!$F$2:$F$1993,MATCH(A541&amp;"ENTRADA",Movimientos!$R$2:$R$1993,0)),"-")</f>
        <v>-</v>
      </c>
      <c r="F541" s="2" t="str">
        <f>IFERROR(INDEX(Movimientos!$G$2:$G$1993,MATCH(A541&amp;"ENTRADA",Movimientos!$R$2:$R$1993,0)),"-")</f>
        <v>-</v>
      </c>
      <c r="G541" s="2" t="str">
        <f>IFERROR(INDEX(Movimientos!$L$2:$L$1993,MATCH(A541&amp;"ENTRADA",Movimientos!$R$2:$R$1993,0)),"-")</f>
        <v>-</v>
      </c>
      <c r="H541" s="17" t="str">
        <f>IFERROR(IF(INDEX(Movimientos!$M$2:$M$1993,MATCH(A541&amp;"ENTRADA",Movimientos!$R$2:$R$1993,0))=0,"S/D",INDEX(Movimientos!$M$2:$M$1993,MATCH(A541&amp;"ENTRADA",Movimientos!$R$2:$R$1993,0))),"S/D")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2882</v>
      </c>
      <c r="B542" s="2" t="str">
        <f>IFERROR(INDEX(Movimientos!$C$2:$C$1993,MATCH(A542&amp;"ENTRADA",Movimientos!$R$2:$R$1993,0)),"-")</f>
        <v>-</v>
      </c>
      <c r="C542" s="2" t="str">
        <f>IFERROR(INDEX(Movimientos!$D$2:$D$1993,MATCH(A542&amp;"ENTRADA",Movimientos!$R$2:$R$1993,0)),"-")</f>
        <v>-</v>
      </c>
      <c r="D542" s="2" t="str">
        <f>IFERROR(INDEX(Movimientos!$E$2:$E$1993,MATCH(A542&amp;"ENTRADA",Movimientos!$R$2:$R$1993,0)),"-")</f>
        <v>-</v>
      </c>
      <c r="E542" s="2" t="str">
        <f>IFERROR(INDEX(Movimientos!$F$2:$F$1993,MATCH(A542&amp;"ENTRADA",Movimientos!$R$2:$R$1993,0)),"-")</f>
        <v>-</v>
      </c>
      <c r="F542" s="2" t="str">
        <f>IFERROR(INDEX(Movimientos!$G$2:$G$1993,MATCH(A542&amp;"ENTRADA",Movimientos!$R$2:$R$1993,0)),"-")</f>
        <v>-</v>
      </c>
      <c r="G542" s="2" t="str">
        <f>IFERROR(INDEX(Movimientos!$L$2:$L$1993,MATCH(A542&amp;"ENTRADA",Movimientos!$R$2:$R$1993,0)),"-")</f>
        <v>-</v>
      </c>
      <c r="H542" s="17" t="str">
        <f>IFERROR(IF(INDEX(Movimientos!$M$2:$M$1993,MATCH(A542&amp;"ENTRADA",Movimientos!$R$2:$R$1993,0))=0,"S/D",INDEX(Movimientos!$M$2:$M$1993,MATCH(A542&amp;"ENTRADA",Movimientos!$R$2:$R$1993,0))),"S/D")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2883</v>
      </c>
      <c r="B543" s="2" t="str">
        <f>IFERROR(INDEX(Movimientos!$C$2:$C$1993,MATCH(A543&amp;"ENTRADA",Movimientos!$R$2:$R$1993,0)),"-")</f>
        <v>-</v>
      </c>
      <c r="C543" s="2" t="str">
        <f>IFERROR(INDEX(Movimientos!$D$2:$D$1993,MATCH(A543&amp;"ENTRADA",Movimientos!$R$2:$R$1993,0)),"-")</f>
        <v>-</v>
      </c>
      <c r="D543" s="2" t="str">
        <f>IFERROR(INDEX(Movimientos!$E$2:$E$1993,MATCH(A543&amp;"ENTRADA",Movimientos!$R$2:$R$1993,0)),"-")</f>
        <v>-</v>
      </c>
      <c r="E543" s="2" t="str">
        <f>IFERROR(INDEX(Movimientos!$F$2:$F$1993,MATCH(A543&amp;"ENTRADA",Movimientos!$R$2:$R$1993,0)),"-")</f>
        <v>-</v>
      </c>
      <c r="F543" s="2" t="str">
        <f>IFERROR(INDEX(Movimientos!$G$2:$G$1993,MATCH(A543&amp;"ENTRADA",Movimientos!$R$2:$R$1993,0)),"-")</f>
        <v>-</v>
      </c>
      <c r="G543" s="2" t="str">
        <f>IFERROR(INDEX(Movimientos!$L$2:$L$1993,MATCH(A543&amp;"ENTRADA",Movimientos!$R$2:$R$1993,0)),"-")</f>
        <v>-</v>
      </c>
      <c r="H543" s="17" t="str">
        <f>IFERROR(IF(INDEX(Movimientos!$M$2:$M$1993,MATCH(A543&amp;"ENTRADA",Movimientos!$R$2:$R$1993,0))=0,"S/D",INDEX(Movimientos!$M$2:$M$1993,MATCH(A543&amp;"ENTRADA",Movimientos!$R$2:$R$1993,0))),"S/D")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2884</v>
      </c>
      <c r="B544" s="2" t="str">
        <f>IFERROR(INDEX(Movimientos!$C$2:$C$1993,MATCH(A544&amp;"ENTRADA",Movimientos!$R$2:$R$1993,0)),"-")</f>
        <v>-</v>
      </c>
      <c r="C544" s="2" t="str">
        <f>IFERROR(INDEX(Movimientos!$D$2:$D$1993,MATCH(A544&amp;"ENTRADA",Movimientos!$R$2:$R$1993,0)),"-")</f>
        <v>-</v>
      </c>
      <c r="D544" s="2" t="str">
        <f>IFERROR(INDEX(Movimientos!$E$2:$E$1993,MATCH(A544&amp;"ENTRADA",Movimientos!$R$2:$R$1993,0)),"-")</f>
        <v>-</v>
      </c>
      <c r="E544" s="2" t="str">
        <f>IFERROR(INDEX(Movimientos!$F$2:$F$1993,MATCH(A544&amp;"ENTRADA",Movimientos!$R$2:$R$1993,0)),"-")</f>
        <v>-</v>
      </c>
      <c r="F544" s="2" t="str">
        <f>IFERROR(INDEX(Movimientos!$G$2:$G$1993,MATCH(A544&amp;"ENTRADA",Movimientos!$R$2:$R$1993,0)),"-")</f>
        <v>-</v>
      </c>
      <c r="G544" s="2" t="str">
        <f>IFERROR(INDEX(Movimientos!$L$2:$L$1993,MATCH(A544&amp;"ENTRADA",Movimientos!$R$2:$R$1993,0)),"-")</f>
        <v>-</v>
      </c>
      <c r="H544" s="17" t="str">
        <f>IFERROR(IF(INDEX(Movimientos!$M$2:$M$1993,MATCH(A544&amp;"ENTRADA",Movimientos!$R$2:$R$1993,0))=0,"S/D",INDEX(Movimientos!$M$2:$M$1993,MATCH(A544&amp;"ENTRADA",Movimientos!$R$2:$R$1993,0))),"S/D")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2885</v>
      </c>
      <c r="B545" s="2" t="str">
        <f>IFERROR(INDEX(Movimientos!$C$2:$C$1993,MATCH(A545&amp;"ENTRADA",Movimientos!$R$2:$R$1993,0)),"-")</f>
        <v>-</v>
      </c>
      <c r="C545" s="2" t="str">
        <f>IFERROR(INDEX(Movimientos!$D$2:$D$1993,MATCH(A545&amp;"ENTRADA",Movimientos!$R$2:$R$1993,0)),"-")</f>
        <v>-</v>
      </c>
      <c r="D545" s="2" t="str">
        <f>IFERROR(INDEX(Movimientos!$E$2:$E$1993,MATCH(A545&amp;"ENTRADA",Movimientos!$R$2:$R$1993,0)),"-")</f>
        <v>-</v>
      </c>
      <c r="E545" s="2" t="str">
        <f>IFERROR(INDEX(Movimientos!$F$2:$F$1993,MATCH(A545&amp;"ENTRADA",Movimientos!$R$2:$R$1993,0)),"-")</f>
        <v>-</v>
      </c>
      <c r="F545" s="2" t="str">
        <f>IFERROR(INDEX(Movimientos!$G$2:$G$1993,MATCH(A545&amp;"ENTRADA",Movimientos!$R$2:$R$1993,0)),"-")</f>
        <v>-</v>
      </c>
      <c r="G545" s="2" t="str">
        <f>IFERROR(INDEX(Movimientos!$L$2:$L$1993,MATCH(A545&amp;"ENTRADA",Movimientos!$R$2:$R$1993,0)),"-")</f>
        <v>-</v>
      </c>
      <c r="H545" s="17" t="str">
        <f>IFERROR(IF(INDEX(Movimientos!$M$2:$M$1993,MATCH(A545&amp;"ENTRADA",Movimientos!$R$2:$R$1993,0))=0,"S/D",INDEX(Movimientos!$M$2:$M$1993,MATCH(A545&amp;"ENTRADA",Movimientos!$R$2:$R$1993,0))),"S/D")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2886</v>
      </c>
      <c r="B546" s="2" t="str">
        <f>IFERROR(INDEX(Movimientos!$C$2:$C$1993,MATCH(A546&amp;"ENTRADA",Movimientos!$R$2:$R$1993,0)),"-")</f>
        <v>-</v>
      </c>
      <c r="C546" s="2" t="str">
        <f>IFERROR(INDEX(Movimientos!$D$2:$D$1993,MATCH(A546&amp;"ENTRADA",Movimientos!$R$2:$R$1993,0)),"-")</f>
        <v>-</v>
      </c>
      <c r="D546" s="2" t="str">
        <f>IFERROR(INDEX(Movimientos!$E$2:$E$1993,MATCH(A546&amp;"ENTRADA",Movimientos!$R$2:$R$1993,0)),"-")</f>
        <v>-</v>
      </c>
      <c r="E546" s="2" t="str">
        <f>IFERROR(INDEX(Movimientos!$F$2:$F$1993,MATCH(A546&amp;"ENTRADA",Movimientos!$R$2:$R$1993,0)),"-")</f>
        <v>-</v>
      </c>
      <c r="F546" s="2" t="str">
        <f>IFERROR(INDEX(Movimientos!$G$2:$G$1993,MATCH(A546&amp;"ENTRADA",Movimientos!$R$2:$R$1993,0)),"-")</f>
        <v>-</v>
      </c>
      <c r="G546" s="2" t="str">
        <f>IFERROR(INDEX(Movimientos!$L$2:$L$1993,MATCH(A546&amp;"ENTRADA",Movimientos!$R$2:$R$1993,0)),"-")</f>
        <v>-</v>
      </c>
      <c r="H546" s="17" t="str">
        <f>IFERROR(IF(INDEX(Movimientos!$M$2:$M$1993,MATCH(A546&amp;"ENTRADA",Movimientos!$R$2:$R$1993,0))=0,"S/D",INDEX(Movimientos!$M$2:$M$1993,MATCH(A546&amp;"ENTRADA",Movimientos!$R$2:$R$1993,0))),"S/D")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2887</v>
      </c>
      <c r="B547" s="2" t="str">
        <f>IFERROR(INDEX(Movimientos!$C$2:$C$1993,MATCH(A547&amp;"ENTRADA",Movimientos!$R$2:$R$1993,0)),"-")</f>
        <v>-</v>
      </c>
      <c r="C547" s="2" t="str">
        <f>IFERROR(INDEX(Movimientos!$D$2:$D$1993,MATCH(A547&amp;"ENTRADA",Movimientos!$R$2:$R$1993,0)),"-")</f>
        <v>-</v>
      </c>
      <c r="D547" s="2" t="str">
        <f>IFERROR(INDEX(Movimientos!$E$2:$E$1993,MATCH(A547&amp;"ENTRADA",Movimientos!$R$2:$R$1993,0)),"-")</f>
        <v>-</v>
      </c>
      <c r="E547" s="2" t="str">
        <f>IFERROR(INDEX(Movimientos!$F$2:$F$1993,MATCH(A547&amp;"ENTRADA",Movimientos!$R$2:$R$1993,0)),"-")</f>
        <v>-</v>
      </c>
      <c r="F547" s="2" t="str">
        <f>IFERROR(INDEX(Movimientos!$G$2:$G$1993,MATCH(A547&amp;"ENTRADA",Movimientos!$R$2:$R$1993,0)),"-")</f>
        <v>-</v>
      </c>
      <c r="G547" s="2" t="str">
        <f>IFERROR(INDEX(Movimientos!$L$2:$L$1993,MATCH(A547&amp;"ENTRADA",Movimientos!$R$2:$R$1993,0)),"-")</f>
        <v>-</v>
      </c>
      <c r="H547" s="17" t="str">
        <f>IFERROR(IF(INDEX(Movimientos!$M$2:$M$1993,MATCH(A547&amp;"ENTRADA",Movimientos!$R$2:$R$1993,0))=0,"S/D",INDEX(Movimientos!$M$2:$M$1993,MATCH(A547&amp;"ENTRADA",Movimientos!$R$2:$R$1993,0))),"S/D")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2888</v>
      </c>
      <c r="B548" s="2" t="str">
        <f>IFERROR(INDEX(Movimientos!$C$2:$C$1993,MATCH(A548&amp;"ENTRADA",Movimientos!$R$2:$R$1993,0)),"-")</f>
        <v>-</v>
      </c>
      <c r="C548" s="2" t="str">
        <f>IFERROR(INDEX(Movimientos!$D$2:$D$1993,MATCH(A548&amp;"ENTRADA",Movimientos!$R$2:$R$1993,0)),"-")</f>
        <v>-</v>
      </c>
      <c r="D548" s="2" t="str">
        <f>IFERROR(INDEX(Movimientos!$E$2:$E$1993,MATCH(A548&amp;"ENTRADA",Movimientos!$R$2:$R$1993,0)),"-")</f>
        <v>-</v>
      </c>
      <c r="E548" s="2" t="str">
        <f>IFERROR(INDEX(Movimientos!$F$2:$F$1993,MATCH(A548&amp;"ENTRADA",Movimientos!$R$2:$R$1993,0)),"-")</f>
        <v>-</v>
      </c>
      <c r="F548" s="2" t="str">
        <f>IFERROR(INDEX(Movimientos!$G$2:$G$1993,MATCH(A548&amp;"ENTRADA",Movimientos!$R$2:$R$1993,0)),"-")</f>
        <v>-</v>
      </c>
      <c r="G548" s="2" t="str">
        <f>IFERROR(INDEX(Movimientos!$L$2:$L$1993,MATCH(A548&amp;"ENTRADA",Movimientos!$R$2:$R$1993,0)),"-")</f>
        <v>-</v>
      </c>
      <c r="H548" s="17" t="str">
        <f>IFERROR(IF(INDEX(Movimientos!$M$2:$M$1993,MATCH(A548&amp;"ENTRADA",Movimientos!$R$2:$R$1993,0))=0,"S/D",INDEX(Movimientos!$M$2:$M$1993,MATCH(A548&amp;"ENTRADA",Movimientos!$R$2:$R$1993,0))),"S/D")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2889</v>
      </c>
      <c r="B549" s="2" t="str">
        <f>IFERROR(INDEX(Movimientos!$C$2:$C$1993,MATCH(A549&amp;"ENTRADA",Movimientos!$R$2:$R$1993,0)),"-")</f>
        <v>-</v>
      </c>
      <c r="C549" s="2" t="str">
        <f>IFERROR(INDEX(Movimientos!$D$2:$D$1993,MATCH(A549&amp;"ENTRADA",Movimientos!$R$2:$R$1993,0)),"-")</f>
        <v>-</v>
      </c>
      <c r="D549" s="2" t="str">
        <f>IFERROR(INDEX(Movimientos!$E$2:$E$1993,MATCH(A549&amp;"ENTRADA",Movimientos!$R$2:$R$1993,0)),"-")</f>
        <v>-</v>
      </c>
      <c r="E549" s="2" t="str">
        <f>IFERROR(INDEX(Movimientos!$F$2:$F$1993,MATCH(A549&amp;"ENTRADA",Movimientos!$R$2:$R$1993,0)),"-")</f>
        <v>-</v>
      </c>
      <c r="F549" s="2" t="str">
        <f>IFERROR(INDEX(Movimientos!$G$2:$G$1993,MATCH(A549&amp;"ENTRADA",Movimientos!$R$2:$R$1993,0)),"-")</f>
        <v>-</v>
      </c>
      <c r="G549" s="2" t="str">
        <f>IFERROR(INDEX(Movimientos!$L$2:$L$1993,MATCH(A549&amp;"ENTRADA",Movimientos!$R$2:$R$1993,0)),"-")</f>
        <v>-</v>
      </c>
      <c r="H549" s="17" t="str">
        <f>IFERROR(IF(INDEX(Movimientos!$M$2:$M$1993,MATCH(A549&amp;"ENTRADA",Movimientos!$R$2:$R$1993,0))=0,"S/D",INDEX(Movimientos!$M$2:$M$1993,MATCH(A549&amp;"ENTRADA",Movimientos!$R$2:$R$1993,0))),"S/D")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2890</v>
      </c>
      <c r="B550" s="2" t="str">
        <f>IFERROR(INDEX(Movimientos!$C$2:$C$1993,MATCH(A550&amp;"ENTRADA",Movimientos!$R$2:$R$1993,0)),"-")</f>
        <v>-</v>
      </c>
      <c r="C550" s="2" t="str">
        <f>IFERROR(INDEX(Movimientos!$D$2:$D$1993,MATCH(A550&amp;"ENTRADA",Movimientos!$R$2:$R$1993,0)),"-")</f>
        <v>-</v>
      </c>
      <c r="D550" s="2" t="str">
        <f>IFERROR(INDEX(Movimientos!$E$2:$E$1993,MATCH(A550&amp;"ENTRADA",Movimientos!$R$2:$R$1993,0)),"-")</f>
        <v>-</v>
      </c>
      <c r="E550" s="2" t="str">
        <f>IFERROR(INDEX(Movimientos!$F$2:$F$1993,MATCH(A550&amp;"ENTRADA",Movimientos!$R$2:$R$1993,0)),"-")</f>
        <v>-</v>
      </c>
      <c r="F550" s="2" t="str">
        <f>IFERROR(INDEX(Movimientos!$G$2:$G$1993,MATCH(A550&amp;"ENTRADA",Movimientos!$R$2:$R$1993,0)),"-")</f>
        <v>-</v>
      </c>
      <c r="G550" s="2" t="str">
        <f>IFERROR(INDEX(Movimientos!$L$2:$L$1993,MATCH(A550&amp;"ENTRADA",Movimientos!$R$2:$R$1993,0)),"-")</f>
        <v>-</v>
      </c>
      <c r="H550" s="17" t="str">
        <f>IFERROR(IF(INDEX(Movimientos!$M$2:$M$1993,MATCH(A550&amp;"ENTRADA",Movimientos!$R$2:$R$1993,0))=0,"S/D",INDEX(Movimientos!$M$2:$M$1993,MATCH(A550&amp;"ENTRADA",Movimientos!$R$2:$R$1993,0))),"S/D")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2891</v>
      </c>
      <c r="B551" s="2" t="str">
        <f>IFERROR(INDEX(Movimientos!$C$2:$C$1993,MATCH(A551&amp;"ENTRADA",Movimientos!$R$2:$R$1993,0)),"-")</f>
        <v>-</v>
      </c>
      <c r="C551" s="2" t="str">
        <f>IFERROR(INDEX(Movimientos!$D$2:$D$1993,MATCH(A551&amp;"ENTRADA",Movimientos!$R$2:$R$1993,0)),"-")</f>
        <v>-</v>
      </c>
      <c r="D551" s="2" t="str">
        <f>IFERROR(INDEX(Movimientos!$E$2:$E$1993,MATCH(A551&amp;"ENTRADA",Movimientos!$R$2:$R$1993,0)),"-")</f>
        <v>-</v>
      </c>
      <c r="E551" s="2" t="str">
        <f>IFERROR(INDEX(Movimientos!$F$2:$F$1993,MATCH(A551&amp;"ENTRADA",Movimientos!$R$2:$R$1993,0)),"-")</f>
        <v>-</v>
      </c>
      <c r="F551" s="2" t="str">
        <f>IFERROR(INDEX(Movimientos!$G$2:$G$1993,MATCH(A551&amp;"ENTRADA",Movimientos!$R$2:$R$1993,0)),"-")</f>
        <v>-</v>
      </c>
      <c r="G551" s="2" t="str">
        <f>IFERROR(INDEX(Movimientos!$L$2:$L$1993,MATCH(A551&amp;"ENTRADA",Movimientos!$R$2:$R$1993,0)),"-")</f>
        <v>-</v>
      </c>
      <c r="H551" s="17" t="str">
        <f>IFERROR(IF(INDEX(Movimientos!$M$2:$M$1993,MATCH(A551&amp;"ENTRADA",Movimientos!$R$2:$R$1993,0))=0,"S/D",INDEX(Movimientos!$M$2:$M$1993,MATCH(A551&amp;"ENTRADA",Movimientos!$R$2:$R$1993,0))),"S/D")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2892</v>
      </c>
      <c r="B552" s="2" t="str">
        <f>IFERROR(INDEX(Movimientos!$C$2:$C$1993,MATCH(A552&amp;"ENTRADA",Movimientos!$R$2:$R$1993,0)),"-")</f>
        <v>-</v>
      </c>
      <c r="C552" s="2" t="str">
        <f>IFERROR(INDEX(Movimientos!$D$2:$D$1993,MATCH(A552&amp;"ENTRADA",Movimientos!$R$2:$R$1993,0)),"-")</f>
        <v>-</v>
      </c>
      <c r="D552" s="2" t="str">
        <f>IFERROR(INDEX(Movimientos!$E$2:$E$1993,MATCH(A552&amp;"ENTRADA",Movimientos!$R$2:$R$1993,0)),"-")</f>
        <v>-</v>
      </c>
      <c r="E552" s="2" t="str">
        <f>IFERROR(INDEX(Movimientos!$F$2:$F$1993,MATCH(A552&amp;"ENTRADA",Movimientos!$R$2:$R$1993,0)),"-")</f>
        <v>-</v>
      </c>
      <c r="F552" s="2" t="str">
        <f>IFERROR(INDEX(Movimientos!$G$2:$G$1993,MATCH(A552&amp;"ENTRADA",Movimientos!$R$2:$R$1993,0)),"-")</f>
        <v>-</v>
      </c>
      <c r="G552" s="2" t="str">
        <f>IFERROR(INDEX(Movimientos!$L$2:$L$1993,MATCH(A552&amp;"ENTRADA",Movimientos!$R$2:$R$1993,0)),"-")</f>
        <v>-</v>
      </c>
      <c r="H552" s="17" t="str">
        <f>IFERROR(IF(INDEX(Movimientos!$M$2:$M$1993,MATCH(A552&amp;"ENTRADA",Movimientos!$R$2:$R$1993,0))=0,"S/D",INDEX(Movimientos!$M$2:$M$1993,MATCH(A552&amp;"ENTRADA",Movimientos!$R$2:$R$1993,0))),"S/D")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2893</v>
      </c>
      <c r="B553" s="2" t="str">
        <f>IFERROR(INDEX(Movimientos!$C$2:$C$1993,MATCH(A553&amp;"ENTRADA",Movimientos!$R$2:$R$1993,0)),"-")</f>
        <v>-</v>
      </c>
      <c r="C553" s="2" t="str">
        <f>IFERROR(INDEX(Movimientos!$D$2:$D$1993,MATCH(A553&amp;"ENTRADA",Movimientos!$R$2:$R$1993,0)),"-")</f>
        <v>-</v>
      </c>
      <c r="D553" s="2" t="str">
        <f>IFERROR(INDEX(Movimientos!$E$2:$E$1993,MATCH(A553&amp;"ENTRADA",Movimientos!$R$2:$R$1993,0)),"-")</f>
        <v>-</v>
      </c>
      <c r="E553" s="2" t="str">
        <f>IFERROR(INDEX(Movimientos!$F$2:$F$1993,MATCH(A553&amp;"ENTRADA",Movimientos!$R$2:$R$1993,0)),"-")</f>
        <v>-</v>
      </c>
      <c r="F553" s="2" t="str">
        <f>IFERROR(INDEX(Movimientos!$G$2:$G$1993,MATCH(A553&amp;"ENTRADA",Movimientos!$R$2:$R$1993,0)),"-")</f>
        <v>-</v>
      </c>
      <c r="G553" s="2" t="str">
        <f>IFERROR(INDEX(Movimientos!$L$2:$L$1993,MATCH(A553&amp;"ENTRADA",Movimientos!$R$2:$R$1993,0)),"-")</f>
        <v>-</v>
      </c>
      <c r="H553" s="17" t="str">
        <f>IFERROR(IF(INDEX(Movimientos!$M$2:$M$1993,MATCH(A553&amp;"ENTRADA",Movimientos!$R$2:$R$1993,0))=0,"S/D",INDEX(Movimientos!$M$2:$M$1993,MATCH(A553&amp;"ENTRADA",Movimientos!$R$2:$R$1993,0))),"S/D")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2894</v>
      </c>
      <c r="B554" s="2" t="str">
        <f>IFERROR(INDEX(Movimientos!$C$2:$C$1993,MATCH(A554&amp;"ENTRADA",Movimientos!$R$2:$R$1993,0)),"-")</f>
        <v>-</v>
      </c>
      <c r="C554" s="2" t="str">
        <f>IFERROR(INDEX(Movimientos!$D$2:$D$1993,MATCH(A554&amp;"ENTRADA",Movimientos!$R$2:$R$1993,0)),"-")</f>
        <v>-</v>
      </c>
      <c r="D554" s="2" t="str">
        <f>IFERROR(INDEX(Movimientos!$E$2:$E$1993,MATCH(A554&amp;"ENTRADA",Movimientos!$R$2:$R$1993,0)),"-")</f>
        <v>-</v>
      </c>
      <c r="E554" s="2" t="str">
        <f>IFERROR(INDEX(Movimientos!$F$2:$F$1993,MATCH(A554&amp;"ENTRADA",Movimientos!$R$2:$R$1993,0)),"-")</f>
        <v>-</v>
      </c>
      <c r="F554" s="2" t="str">
        <f>IFERROR(INDEX(Movimientos!$G$2:$G$1993,MATCH(A554&amp;"ENTRADA",Movimientos!$R$2:$R$1993,0)),"-")</f>
        <v>-</v>
      </c>
      <c r="G554" s="2" t="str">
        <f>IFERROR(INDEX(Movimientos!$L$2:$L$1993,MATCH(A554&amp;"ENTRADA",Movimientos!$R$2:$R$1993,0)),"-")</f>
        <v>-</v>
      </c>
      <c r="H554" s="17" t="str">
        <f>IFERROR(IF(INDEX(Movimientos!$M$2:$M$1993,MATCH(A554&amp;"ENTRADA",Movimientos!$R$2:$R$1993,0))=0,"S/D",INDEX(Movimientos!$M$2:$M$1993,MATCH(A554&amp;"ENTRADA",Movimientos!$R$2:$R$1993,0))),"S/D")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2895</v>
      </c>
      <c r="B555" s="2" t="str">
        <f>IFERROR(INDEX(Movimientos!$C$2:$C$1993,MATCH(A555&amp;"ENTRADA",Movimientos!$R$2:$R$1993,0)),"-")</f>
        <v>-</v>
      </c>
      <c r="C555" s="2" t="str">
        <f>IFERROR(INDEX(Movimientos!$D$2:$D$1993,MATCH(A555&amp;"ENTRADA",Movimientos!$R$2:$R$1993,0)),"-")</f>
        <v>-</v>
      </c>
      <c r="D555" s="2" t="str">
        <f>IFERROR(INDEX(Movimientos!$E$2:$E$1993,MATCH(A555&amp;"ENTRADA",Movimientos!$R$2:$R$1993,0)),"-")</f>
        <v>-</v>
      </c>
      <c r="E555" s="2" t="str">
        <f>IFERROR(INDEX(Movimientos!$F$2:$F$1993,MATCH(A555&amp;"ENTRADA",Movimientos!$R$2:$R$1993,0)),"-")</f>
        <v>-</v>
      </c>
      <c r="F555" s="2" t="str">
        <f>IFERROR(INDEX(Movimientos!$G$2:$G$1993,MATCH(A555&amp;"ENTRADA",Movimientos!$R$2:$R$1993,0)),"-")</f>
        <v>-</v>
      </c>
      <c r="G555" s="2" t="str">
        <f>IFERROR(INDEX(Movimientos!$L$2:$L$1993,MATCH(A555&amp;"ENTRADA",Movimientos!$R$2:$R$1993,0)),"-")</f>
        <v>-</v>
      </c>
      <c r="H555" s="17" t="str">
        <f>IFERROR(IF(INDEX(Movimientos!$M$2:$M$1993,MATCH(A555&amp;"ENTRADA",Movimientos!$R$2:$R$1993,0))=0,"S/D",INDEX(Movimientos!$M$2:$M$1993,MATCH(A555&amp;"ENTRADA",Movimientos!$R$2:$R$1993,0))),"S/D")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2896</v>
      </c>
      <c r="B556" s="2" t="str">
        <f>IFERROR(INDEX(Movimientos!$C$2:$C$1993,MATCH(A556&amp;"ENTRADA",Movimientos!$R$2:$R$1993,0)),"-")</f>
        <v>-</v>
      </c>
      <c r="C556" s="2" t="str">
        <f>IFERROR(INDEX(Movimientos!$D$2:$D$1993,MATCH(A556&amp;"ENTRADA",Movimientos!$R$2:$R$1993,0)),"-")</f>
        <v>-</v>
      </c>
      <c r="D556" s="2" t="str">
        <f>IFERROR(INDEX(Movimientos!$E$2:$E$1993,MATCH(A556&amp;"ENTRADA",Movimientos!$R$2:$R$1993,0)),"-")</f>
        <v>-</v>
      </c>
      <c r="E556" s="2" t="str">
        <f>IFERROR(INDEX(Movimientos!$F$2:$F$1993,MATCH(A556&amp;"ENTRADA",Movimientos!$R$2:$R$1993,0)),"-")</f>
        <v>-</v>
      </c>
      <c r="F556" s="2" t="str">
        <f>IFERROR(INDEX(Movimientos!$G$2:$G$1993,MATCH(A556&amp;"ENTRADA",Movimientos!$R$2:$R$1993,0)),"-")</f>
        <v>-</v>
      </c>
      <c r="G556" s="2" t="str">
        <f>IFERROR(INDEX(Movimientos!$L$2:$L$1993,MATCH(A556&amp;"ENTRADA",Movimientos!$R$2:$R$1993,0)),"-")</f>
        <v>-</v>
      </c>
      <c r="H556" s="17" t="str">
        <f>IFERROR(IF(INDEX(Movimientos!$M$2:$M$1993,MATCH(A556&amp;"ENTRADA",Movimientos!$R$2:$R$1993,0))=0,"S/D",INDEX(Movimientos!$M$2:$M$1993,MATCH(A556&amp;"ENTRADA",Movimientos!$R$2:$R$1993,0))),"S/D")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2897</v>
      </c>
      <c r="B557" s="2" t="str">
        <f>IFERROR(INDEX(Movimientos!$C$2:$C$1993,MATCH(A557&amp;"ENTRADA",Movimientos!$R$2:$R$1993,0)),"-")</f>
        <v>-</v>
      </c>
      <c r="C557" s="2" t="str">
        <f>IFERROR(INDEX(Movimientos!$D$2:$D$1993,MATCH(A557&amp;"ENTRADA",Movimientos!$R$2:$R$1993,0)),"-")</f>
        <v>-</v>
      </c>
      <c r="D557" s="2" t="str">
        <f>IFERROR(INDEX(Movimientos!$E$2:$E$1993,MATCH(A557&amp;"ENTRADA",Movimientos!$R$2:$R$1993,0)),"-")</f>
        <v>-</v>
      </c>
      <c r="E557" s="2" t="str">
        <f>IFERROR(INDEX(Movimientos!$F$2:$F$1993,MATCH(A557&amp;"ENTRADA",Movimientos!$R$2:$R$1993,0)),"-")</f>
        <v>-</v>
      </c>
      <c r="F557" s="2" t="str">
        <f>IFERROR(INDEX(Movimientos!$G$2:$G$1993,MATCH(A557&amp;"ENTRADA",Movimientos!$R$2:$R$1993,0)),"-")</f>
        <v>-</v>
      </c>
      <c r="G557" s="2" t="str">
        <f>IFERROR(INDEX(Movimientos!$L$2:$L$1993,MATCH(A557&amp;"ENTRADA",Movimientos!$R$2:$R$1993,0)),"-")</f>
        <v>-</v>
      </c>
      <c r="H557" s="17" t="str">
        <f>IFERROR(IF(INDEX(Movimientos!$M$2:$M$1993,MATCH(A557&amp;"ENTRADA",Movimientos!$R$2:$R$1993,0))=0,"S/D",INDEX(Movimientos!$M$2:$M$1993,MATCH(A557&amp;"ENTRADA",Movimientos!$R$2:$R$1993,0))),"S/D")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2898</v>
      </c>
      <c r="B558" s="2" t="str">
        <f>IFERROR(INDEX(Movimientos!$C$2:$C$1993,MATCH(A558&amp;"ENTRADA",Movimientos!$R$2:$R$1993,0)),"-")</f>
        <v>-</v>
      </c>
      <c r="C558" s="2" t="str">
        <f>IFERROR(INDEX(Movimientos!$D$2:$D$1993,MATCH(A558&amp;"ENTRADA",Movimientos!$R$2:$R$1993,0)),"-")</f>
        <v>-</v>
      </c>
      <c r="D558" s="2" t="str">
        <f>IFERROR(INDEX(Movimientos!$E$2:$E$1993,MATCH(A558&amp;"ENTRADA",Movimientos!$R$2:$R$1993,0)),"-")</f>
        <v>-</v>
      </c>
      <c r="E558" s="2" t="str">
        <f>IFERROR(INDEX(Movimientos!$F$2:$F$1993,MATCH(A558&amp;"ENTRADA",Movimientos!$R$2:$R$1993,0)),"-")</f>
        <v>-</v>
      </c>
      <c r="F558" s="2" t="str">
        <f>IFERROR(INDEX(Movimientos!$G$2:$G$1993,MATCH(A558&amp;"ENTRADA",Movimientos!$R$2:$R$1993,0)),"-")</f>
        <v>-</v>
      </c>
      <c r="G558" s="2" t="str">
        <f>IFERROR(INDEX(Movimientos!$L$2:$L$1993,MATCH(A558&amp;"ENTRADA",Movimientos!$R$2:$R$1993,0)),"-")</f>
        <v>-</v>
      </c>
      <c r="H558" s="17" t="str">
        <f>IFERROR(IF(INDEX(Movimientos!$M$2:$M$1993,MATCH(A558&amp;"ENTRADA",Movimientos!$R$2:$R$1993,0))=0,"S/D",INDEX(Movimientos!$M$2:$M$1993,MATCH(A558&amp;"ENTRADA",Movimientos!$R$2:$R$1993,0))),"S/D")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2899</v>
      </c>
      <c r="B559" s="2" t="str">
        <f>IFERROR(INDEX(Movimientos!$C$2:$C$1993,MATCH(A559&amp;"ENTRADA",Movimientos!$R$2:$R$1993,0)),"-")</f>
        <v>-</v>
      </c>
      <c r="C559" s="2" t="str">
        <f>IFERROR(INDEX(Movimientos!$D$2:$D$1993,MATCH(A559&amp;"ENTRADA",Movimientos!$R$2:$R$1993,0)),"-")</f>
        <v>-</v>
      </c>
      <c r="D559" s="2" t="str">
        <f>IFERROR(INDEX(Movimientos!$E$2:$E$1993,MATCH(A559&amp;"ENTRADA",Movimientos!$R$2:$R$1993,0)),"-")</f>
        <v>-</v>
      </c>
      <c r="E559" s="2" t="str">
        <f>IFERROR(INDEX(Movimientos!$F$2:$F$1993,MATCH(A559&amp;"ENTRADA",Movimientos!$R$2:$R$1993,0)),"-")</f>
        <v>-</v>
      </c>
      <c r="F559" s="2" t="str">
        <f>IFERROR(INDEX(Movimientos!$G$2:$G$1993,MATCH(A559&amp;"ENTRADA",Movimientos!$R$2:$R$1993,0)),"-")</f>
        <v>-</v>
      </c>
      <c r="G559" s="2" t="str">
        <f>IFERROR(INDEX(Movimientos!$L$2:$L$1993,MATCH(A559&amp;"ENTRADA",Movimientos!$R$2:$R$1993,0)),"-")</f>
        <v>-</v>
      </c>
      <c r="H559" s="17" t="str">
        <f>IFERROR(IF(INDEX(Movimientos!$M$2:$M$1993,MATCH(A559&amp;"ENTRADA",Movimientos!$R$2:$R$1993,0))=0,"S/D",INDEX(Movimientos!$M$2:$M$1993,MATCH(A559&amp;"ENTRADA",Movimientos!$R$2:$R$1993,0))),"S/D")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2900</v>
      </c>
      <c r="B560" s="2" t="str">
        <f>IFERROR(INDEX(Movimientos!$C$2:$C$1993,MATCH(A560&amp;"ENTRADA",Movimientos!$R$2:$R$1993,0)),"-")</f>
        <v>-</v>
      </c>
      <c r="C560" s="2" t="str">
        <f>IFERROR(INDEX(Movimientos!$D$2:$D$1993,MATCH(A560&amp;"ENTRADA",Movimientos!$R$2:$R$1993,0)),"-")</f>
        <v>-</v>
      </c>
      <c r="D560" s="2" t="str">
        <f>IFERROR(INDEX(Movimientos!$E$2:$E$1993,MATCH(A560&amp;"ENTRADA",Movimientos!$R$2:$R$1993,0)),"-")</f>
        <v>-</v>
      </c>
      <c r="E560" s="2" t="str">
        <f>IFERROR(INDEX(Movimientos!$F$2:$F$1993,MATCH(A560&amp;"ENTRADA",Movimientos!$R$2:$R$1993,0)),"-")</f>
        <v>-</v>
      </c>
      <c r="F560" s="2" t="str">
        <f>IFERROR(INDEX(Movimientos!$G$2:$G$1993,MATCH(A560&amp;"ENTRADA",Movimientos!$R$2:$R$1993,0)),"-")</f>
        <v>-</v>
      </c>
      <c r="G560" s="2" t="str">
        <f>IFERROR(INDEX(Movimientos!$L$2:$L$1993,MATCH(A560&amp;"ENTRADA",Movimientos!$R$2:$R$1993,0)),"-")</f>
        <v>-</v>
      </c>
      <c r="H560" s="17" t="str">
        <f>IFERROR(IF(INDEX(Movimientos!$M$2:$M$1993,MATCH(A560&amp;"ENTRADA",Movimientos!$R$2:$R$1993,0))=0,"S/D",INDEX(Movimientos!$M$2:$M$1993,MATCH(A560&amp;"ENTRADA",Movimientos!$R$2:$R$1993,0))),"S/D")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2901</v>
      </c>
      <c r="B561" s="2" t="str">
        <f>IFERROR(INDEX(Movimientos!$C$2:$C$1993,MATCH(A561&amp;"ENTRADA",Movimientos!$R$2:$R$1993,0)),"-")</f>
        <v>-</v>
      </c>
      <c r="C561" s="2" t="str">
        <f>IFERROR(INDEX(Movimientos!$D$2:$D$1993,MATCH(A561&amp;"ENTRADA",Movimientos!$R$2:$R$1993,0)),"-")</f>
        <v>-</v>
      </c>
      <c r="D561" s="2" t="str">
        <f>IFERROR(INDEX(Movimientos!$E$2:$E$1993,MATCH(A561&amp;"ENTRADA",Movimientos!$R$2:$R$1993,0)),"-")</f>
        <v>-</v>
      </c>
      <c r="E561" s="2" t="str">
        <f>IFERROR(INDEX(Movimientos!$F$2:$F$1993,MATCH(A561&amp;"ENTRADA",Movimientos!$R$2:$R$1993,0)),"-")</f>
        <v>-</v>
      </c>
      <c r="F561" s="2" t="str">
        <f>IFERROR(INDEX(Movimientos!$G$2:$G$1993,MATCH(A561&amp;"ENTRADA",Movimientos!$R$2:$R$1993,0)),"-")</f>
        <v>-</v>
      </c>
      <c r="G561" s="2" t="str">
        <f>IFERROR(INDEX(Movimientos!$L$2:$L$1993,MATCH(A561&amp;"ENTRADA",Movimientos!$R$2:$R$1993,0)),"-")</f>
        <v>-</v>
      </c>
      <c r="H561" s="17" t="str">
        <f>IFERROR(IF(INDEX(Movimientos!$M$2:$M$1993,MATCH(A561&amp;"ENTRADA",Movimientos!$R$2:$R$1993,0))=0,"S/D",INDEX(Movimientos!$M$2:$M$1993,MATCH(A561&amp;"ENTRADA",Movimientos!$R$2:$R$1993,0))),"S/D")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2902</v>
      </c>
      <c r="B562" s="2" t="str">
        <f>IFERROR(INDEX(Movimientos!$C$2:$C$1993,MATCH(A562&amp;"ENTRADA",Movimientos!$R$2:$R$1993,0)),"-")</f>
        <v>-</v>
      </c>
      <c r="C562" s="2" t="str">
        <f>IFERROR(INDEX(Movimientos!$D$2:$D$1993,MATCH(A562&amp;"ENTRADA",Movimientos!$R$2:$R$1993,0)),"-")</f>
        <v>-</v>
      </c>
      <c r="D562" s="2" t="str">
        <f>IFERROR(INDEX(Movimientos!$E$2:$E$1993,MATCH(A562&amp;"ENTRADA",Movimientos!$R$2:$R$1993,0)),"-")</f>
        <v>-</v>
      </c>
      <c r="E562" s="2" t="str">
        <f>IFERROR(INDEX(Movimientos!$F$2:$F$1993,MATCH(A562&amp;"ENTRADA",Movimientos!$R$2:$R$1993,0)),"-")</f>
        <v>-</v>
      </c>
      <c r="F562" s="2" t="str">
        <f>IFERROR(INDEX(Movimientos!$G$2:$G$1993,MATCH(A562&amp;"ENTRADA",Movimientos!$R$2:$R$1993,0)),"-")</f>
        <v>-</v>
      </c>
      <c r="G562" s="2" t="str">
        <f>IFERROR(INDEX(Movimientos!$L$2:$L$1993,MATCH(A562&amp;"ENTRADA",Movimientos!$R$2:$R$1993,0)),"-")</f>
        <v>-</v>
      </c>
      <c r="H562" s="17" t="str">
        <f>IFERROR(IF(INDEX(Movimientos!$M$2:$M$1993,MATCH(A562&amp;"ENTRADA",Movimientos!$R$2:$R$1993,0))=0,"S/D",INDEX(Movimientos!$M$2:$M$1993,MATCH(A562&amp;"ENTRADA",Movimientos!$R$2:$R$1993,0))),"S/D")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2903</v>
      </c>
      <c r="B563" s="2" t="str">
        <f>IFERROR(INDEX(Movimientos!$C$2:$C$1993,MATCH(A563&amp;"ENTRADA",Movimientos!$R$2:$R$1993,0)),"-")</f>
        <v>-</v>
      </c>
      <c r="C563" s="2" t="str">
        <f>IFERROR(INDEX(Movimientos!$D$2:$D$1993,MATCH(A563&amp;"ENTRADA",Movimientos!$R$2:$R$1993,0)),"-")</f>
        <v>-</v>
      </c>
      <c r="D563" s="2" t="str">
        <f>IFERROR(INDEX(Movimientos!$E$2:$E$1993,MATCH(A563&amp;"ENTRADA",Movimientos!$R$2:$R$1993,0)),"-")</f>
        <v>-</v>
      </c>
      <c r="E563" s="2" t="str">
        <f>IFERROR(INDEX(Movimientos!$F$2:$F$1993,MATCH(A563&amp;"ENTRADA",Movimientos!$R$2:$R$1993,0)),"-")</f>
        <v>-</v>
      </c>
      <c r="F563" s="2" t="str">
        <f>IFERROR(INDEX(Movimientos!$G$2:$G$1993,MATCH(A563&amp;"ENTRADA",Movimientos!$R$2:$R$1993,0)),"-")</f>
        <v>-</v>
      </c>
      <c r="G563" s="2" t="str">
        <f>IFERROR(INDEX(Movimientos!$L$2:$L$1993,MATCH(A563&amp;"ENTRADA",Movimientos!$R$2:$R$1993,0)),"-")</f>
        <v>-</v>
      </c>
      <c r="H563" s="17" t="str">
        <f>IFERROR(IF(INDEX(Movimientos!$M$2:$M$1993,MATCH(A563&amp;"ENTRADA",Movimientos!$R$2:$R$1993,0))=0,"S/D",INDEX(Movimientos!$M$2:$M$1993,MATCH(A563&amp;"ENTRADA",Movimientos!$R$2:$R$1993,0))),"S/D")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2904</v>
      </c>
      <c r="B564" s="2" t="str">
        <f>IFERROR(INDEX(Movimientos!$C$2:$C$1993,MATCH(A564&amp;"ENTRADA",Movimientos!$R$2:$R$1993,0)),"-")</f>
        <v>-</v>
      </c>
      <c r="C564" s="2" t="str">
        <f>IFERROR(INDEX(Movimientos!$D$2:$D$1993,MATCH(A564&amp;"ENTRADA",Movimientos!$R$2:$R$1993,0)),"-")</f>
        <v>-</v>
      </c>
      <c r="D564" s="2" t="str">
        <f>IFERROR(INDEX(Movimientos!$E$2:$E$1993,MATCH(A564&amp;"ENTRADA",Movimientos!$R$2:$R$1993,0)),"-")</f>
        <v>-</v>
      </c>
      <c r="E564" s="2" t="str">
        <f>IFERROR(INDEX(Movimientos!$F$2:$F$1993,MATCH(A564&amp;"ENTRADA",Movimientos!$R$2:$R$1993,0)),"-")</f>
        <v>-</v>
      </c>
      <c r="F564" s="2" t="str">
        <f>IFERROR(INDEX(Movimientos!$G$2:$G$1993,MATCH(A564&amp;"ENTRADA",Movimientos!$R$2:$R$1993,0)),"-")</f>
        <v>-</v>
      </c>
      <c r="G564" s="2" t="str">
        <f>IFERROR(INDEX(Movimientos!$L$2:$L$1993,MATCH(A564&amp;"ENTRADA",Movimientos!$R$2:$R$1993,0)),"-")</f>
        <v>-</v>
      </c>
      <c r="H564" s="17" t="str">
        <f>IFERROR(IF(INDEX(Movimientos!$M$2:$M$1993,MATCH(A564&amp;"ENTRADA",Movimientos!$R$2:$R$1993,0))=0,"S/D",INDEX(Movimientos!$M$2:$M$1993,MATCH(A564&amp;"ENTRADA",Movimientos!$R$2:$R$1993,0))),"S/D")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2905</v>
      </c>
      <c r="B565" s="2" t="str">
        <f>IFERROR(INDEX(Movimientos!$C$2:$C$1993,MATCH(A565&amp;"ENTRADA",Movimientos!$R$2:$R$1993,0)),"-")</f>
        <v>-</v>
      </c>
      <c r="C565" s="2" t="str">
        <f>IFERROR(INDEX(Movimientos!$D$2:$D$1993,MATCH(A565&amp;"ENTRADA",Movimientos!$R$2:$R$1993,0)),"-")</f>
        <v>-</v>
      </c>
      <c r="D565" s="2" t="str">
        <f>IFERROR(INDEX(Movimientos!$E$2:$E$1993,MATCH(A565&amp;"ENTRADA",Movimientos!$R$2:$R$1993,0)),"-")</f>
        <v>-</v>
      </c>
      <c r="E565" s="2" t="str">
        <f>IFERROR(INDEX(Movimientos!$F$2:$F$1993,MATCH(A565&amp;"ENTRADA",Movimientos!$R$2:$R$1993,0)),"-")</f>
        <v>-</v>
      </c>
      <c r="F565" s="2" t="str">
        <f>IFERROR(INDEX(Movimientos!$G$2:$G$1993,MATCH(A565&amp;"ENTRADA",Movimientos!$R$2:$R$1993,0)),"-")</f>
        <v>-</v>
      </c>
      <c r="G565" s="2" t="str">
        <f>IFERROR(INDEX(Movimientos!$L$2:$L$1993,MATCH(A565&amp;"ENTRADA",Movimientos!$R$2:$R$1993,0)),"-")</f>
        <v>-</v>
      </c>
      <c r="H565" s="17" t="str">
        <f>IFERROR(IF(INDEX(Movimientos!$M$2:$M$1993,MATCH(A565&amp;"ENTRADA",Movimientos!$R$2:$R$1993,0))=0,"S/D",INDEX(Movimientos!$M$2:$M$1993,MATCH(A565&amp;"ENTRADA",Movimientos!$R$2:$R$1993,0))),"S/D")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2906</v>
      </c>
      <c r="B566" s="2" t="str">
        <f>IFERROR(INDEX(Movimientos!$C$2:$C$1993,MATCH(A566&amp;"ENTRADA",Movimientos!$R$2:$R$1993,0)),"-")</f>
        <v>-</v>
      </c>
      <c r="C566" s="2" t="str">
        <f>IFERROR(INDEX(Movimientos!$D$2:$D$1993,MATCH(A566&amp;"ENTRADA",Movimientos!$R$2:$R$1993,0)),"-")</f>
        <v>-</v>
      </c>
      <c r="D566" s="2" t="str">
        <f>IFERROR(INDEX(Movimientos!$E$2:$E$1993,MATCH(A566&amp;"ENTRADA",Movimientos!$R$2:$R$1993,0)),"-")</f>
        <v>-</v>
      </c>
      <c r="E566" s="2" t="str">
        <f>IFERROR(INDEX(Movimientos!$F$2:$F$1993,MATCH(A566&amp;"ENTRADA",Movimientos!$R$2:$R$1993,0)),"-")</f>
        <v>-</v>
      </c>
      <c r="F566" s="2" t="str">
        <f>IFERROR(INDEX(Movimientos!$G$2:$G$1993,MATCH(A566&amp;"ENTRADA",Movimientos!$R$2:$R$1993,0)),"-")</f>
        <v>-</v>
      </c>
      <c r="G566" s="2" t="str">
        <f>IFERROR(INDEX(Movimientos!$L$2:$L$1993,MATCH(A566&amp;"ENTRADA",Movimientos!$R$2:$R$1993,0)),"-")</f>
        <v>-</v>
      </c>
      <c r="H566" s="17" t="str">
        <f>IFERROR(IF(INDEX(Movimientos!$M$2:$M$1993,MATCH(A566&amp;"ENTRADA",Movimientos!$R$2:$R$1993,0))=0,"S/D",INDEX(Movimientos!$M$2:$M$1993,MATCH(A566&amp;"ENTRADA",Movimientos!$R$2:$R$1993,0))),"S/D")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2907</v>
      </c>
      <c r="B567" s="2" t="str">
        <f>IFERROR(INDEX(Movimientos!$C$2:$C$1993,MATCH(A567&amp;"ENTRADA",Movimientos!$R$2:$R$1993,0)),"-")</f>
        <v>-</v>
      </c>
      <c r="C567" s="2" t="str">
        <f>IFERROR(INDEX(Movimientos!$D$2:$D$1993,MATCH(A567&amp;"ENTRADA",Movimientos!$R$2:$R$1993,0)),"-")</f>
        <v>-</v>
      </c>
      <c r="D567" s="2" t="str">
        <f>IFERROR(INDEX(Movimientos!$E$2:$E$1993,MATCH(A567&amp;"ENTRADA",Movimientos!$R$2:$R$1993,0)),"-")</f>
        <v>-</v>
      </c>
      <c r="E567" s="2" t="str">
        <f>IFERROR(INDEX(Movimientos!$F$2:$F$1993,MATCH(A567&amp;"ENTRADA",Movimientos!$R$2:$R$1993,0)),"-")</f>
        <v>-</v>
      </c>
      <c r="F567" s="2" t="str">
        <f>IFERROR(INDEX(Movimientos!$G$2:$G$1993,MATCH(A567&amp;"ENTRADA",Movimientos!$R$2:$R$1993,0)),"-")</f>
        <v>-</v>
      </c>
      <c r="G567" s="2" t="str">
        <f>IFERROR(INDEX(Movimientos!$L$2:$L$1993,MATCH(A567&amp;"ENTRADA",Movimientos!$R$2:$R$1993,0)),"-")</f>
        <v>-</v>
      </c>
      <c r="H567" s="17" t="str">
        <f>IFERROR(IF(INDEX(Movimientos!$M$2:$M$1993,MATCH(A567&amp;"ENTRADA",Movimientos!$R$2:$R$1993,0))=0,"S/D",INDEX(Movimientos!$M$2:$M$1993,MATCH(A567&amp;"ENTRADA",Movimientos!$R$2:$R$1993,0))),"S/D")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2908</v>
      </c>
      <c r="B568" s="2" t="str">
        <f>IFERROR(INDEX(Movimientos!$C$2:$C$1993,MATCH(A568&amp;"ENTRADA",Movimientos!$R$2:$R$1993,0)),"-")</f>
        <v>-</v>
      </c>
      <c r="C568" s="2" t="str">
        <f>IFERROR(INDEX(Movimientos!$D$2:$D$1993,MATCH(A568&amp;"ENTRADA",Movimientos!$R$2:$R$1993,0)),"-")</f>
        <v>-</v>
      </c>
      <c r="D568" s="2" t="str">
        <f>IFERROR(INDEX(Movimientos!$E$2:$E$1993,MATCH(A568&amp;"ENTRADA",Movimientos!$R$2:$R$1993,0)),"-")</f>
        <v>-</v>
      </c>
      <c r="E568" s="2" t="str">
        <f>IFERROR(INDEX(Movimientos!$F$2:$F$1993,MATCH(A568&amp;"ENTRADA",Movimientos!$R$2:$R$1993,0)),"-")</f>
        <v>-</v>
      </c>
      <c r="F568" s="2" t="str">
        <f>IFERROR(INDEX(Movimientos!$G$2:$G$1993,MATCH(A568&amp;"ENTRADA",Movimientos!$R$2:$R$1993,0)),"-")</f>
        <v>-</v>
      </c>
      <c r="G568" s="2" t="str">
        <f>IFERROR(INDEX(Movimientos!$L$2:$L$1993,MATCH(A568&amp;"ENTRADA",Movimientos!$R$2:$R$1993,0)),"-")</f>
        <v>-</v>
      </c>
      <c r="H568" s="17" t="str">
        <f>IFERROR(IF(INDEX(Movimientos!$M$2:$M$1993,MATCH(A568&amp;"ENTRADA",Movimientos!$R$2:$R$1993,0))=0,"S/D",INDEX(Movimientos!$M$2:$M$1993,MATCH(A568&amp;"ENTRADA",Movimientos!$R$2:$R$1993,0))),"S/D")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2909</v>
      </c>
      <c r="B569" s="2" t="str">
        <f>IFERROR(INDEX(Movimientos!$C$2:$C$1993,MATCH(A569&amp;"ENTRADA",Movimientos!$R$2:$R$1993,0)),"-")</f>
        <v>-</v>
      </c>
      <c r="C569" s="2" t="str">
        <f>IFERROR(INDEX(Movimientos!$D$2:$D$1993,MATCH(A569&amp;"ENTRADA",Movimientos!$R$2:$R$1993,0)),"-")</f>
        <v>-</v>
      </c>
      <c r="D569" s="2" t="str">
        <f>IFERROR(INDEX(Movimientos!$E$2:$E$1993,MATCH(A569&amp;"ENTRADA",Movimientos!$R$2:$R$1993,0)),"-")</f>
        <v>-</v>
      </c>
      <c r="E569" s="2" t="str">
        <f>IFERROR(INDEX(Movimientos!$F$2:$F$1993,MATCH(A569&amp;"ENTRADA",Movimientos!$R$2:$R$1993,0)),"-")</f>
        <v>-</v>
      </c>
      <c r="F569" s="2" t="str">
        <f>IFERROR(INDEX(Movimientos!$G$2:$G$1993,MATCH(A569&amp;"ENTRADA",Movimientos!$R$2:$R$1993,0)),"-")</f>
        <v>-</v>
      </c>
      <c r="G569" s="2" t="str">
        <f>IFERROR(INDEX(Movimientos!$L$2:$L$1993,MATCH(A569&amp;"ENTRADA",Movimientos!$R$2:$R$1993,0)),"-")</f>
        <v>-</v>
      </c>
      <c r="H569" s="17" t="str">
        <f>IFERROR(IF(INDEX(Movimientos!$M$2:$M$1993,MATCH(A569&amp;"ENTRADA",Movimientos!$R$2:$R$1993,0))=0,"S/D",INDEX(Movimientos!$M$2:$M$1993,MATCH(A569&amp;"ENTRADA",Movimientos!$R$2:$R$1993,0))),"S/D")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2910</v>
      </c>
      <c r="B570" s="2" t="str">
        <f>IFERROR(INDEX(Movimientos!$C$2:$C$1993,MATCH(A570&amp;"ENTRADA",Movimientos!$R$2:$R$1993,0)),"-")</f>
        <v>-</v>
      </c>
      <c r="C570" s="2" t="str">
        <f>IFERROR(INDEX(Movimientos!$D$2:$D$1993,MATCH(A570&amp;"ENTRADA",Movimientos!$R$2:$R$1993,0)),"-")</f>
        <v>-</v>
      </c>
      <c r="D570" s="2" t="str">
        <f>IFERROR(INDEX(Movimientos!$E$2:$E$1993,MATCH(A570&amp;"ENTRADA",Movimientos!$R$2:$R$1993,0)),"-")</f>
        <v>-</v>
      </c>
      <c r="E570" s="2" t="str">
        <f>IFERROR(INDEX(Movimientos!$F$2:$F$1993,MATCH(A570&amp;"ENTRADA",Movimientos!$R$2:$R$1993,0)),"-")</f>
        <v>-</v>
      </c>
      <c r="F570" s="2" t="str">
        <f>IFERROR(INDEX(Movimientos!$G$2:$G$1993,MATCH(A570&amp;"ENTRADA",Movimientos!$R$2:$R$1993,0)),"-")</f>
        <v>-</v>
      </c>
      <c r="G570" s="2" t="str">
        <f>IFERROR(INDEX(Movimientos!$L$2:$L$1993,MATCH(A570&amp;"ENTRADA",Movimientos!$R$2:$R$1993,0)),"-")</f>
        <v>-</v>
      </c>
      <c r="H570" s="17" t="str">
        <f>IFERROR(IF(INDEX(Movimientos!$M$2:$M$1993,MATCH(A570&amp;"ENTRADA",Movimientos!$R$2:$R$1993,0))=0,"S/D",INDEX(Movimientos!$M$2:$M$1993,MATCH(A570&amp;"ENTRADA",Movimientos!$R$2:$R$1993,0))),"S/D")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2911</v>
      </c>
      <c r="B571" s="2" t="str">
        <f>IFERROR(INDEX(Movimientos!$C$2:$C$1993,MATCH(A571&amp;"ENTRADA",Movimientos!$R$2:$R$1993,0)),"-")</f>
        <v>-</v>
      </c>
      <c r="C571" s="2" t="str">
        <f>IFERROR(INDEX(Movimientos!$D$2:$D$1993,MATCH(A571&amp;"ENTRADA",Movimientos!$R$2:$R$1993,0)),"-")</f>
        <v>-</v>
      </c>
      <c r="D571" s="2" t="str">
        <f>IFERROR(INDEX(Movimientos!$E$2:$E$1993,MATCH(A571&amp;"ENTRADA",Movimientos!$R$2:$R$1993,0)),"-")</f>
        <v>-</v>
      </c>
      <c r="E571" s="2" t="str">
        <f>IFERROR(INDEX(Movimientos!$F$2:$F$1993,MATCH(A571&amp;"ENTRADA",Movimientos!$R$2:$R$1993,0)),"-")</f>
        <v>-</v>
      </c>
      <c r="F571" s="2" t="str">
        <f>IFERROR(INDEX(Movimientos!$G$2:$G$1993,MATCH(A571&amp;"ENTRADA",Movimientos!$R$2:$R$1993,0)),"-")</f>
        <v>-</v>
      </c>
      <c r="G571" s="2" t="str">
        <f>IFERROR(INDEX(Movimientos!$L$2:$L$1993,MATCH(A571&amp;"ENTRADA",Movimientos!$R$2:$R$1993,0)),"-")</f>
        <v>-</v>
      </c>
      <c r="H571" s="17" t="str">
        <f>IFERROR(IF(INDEX(Movimientos!$M$2:$M$1993,MATCH(A571&amp;"ENTRADA",Movimientos!$R$2:$R$1993,0))=0,"S/D",INDEX(Movimientos!$M$2:$M$1993,MATCH(A571&amp;"ENTRADA",Movimientos!$R$2:$R$1993,0))),"S/D")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2912</v>
      </c>
      <c r="B572" s="2" t="str">
        <f>IFERROR(INDEX(Movimientos!$C$2:$C$1993,MATCH(A572&amp;"ENTRADA",Movimientos!$R$2:$R$1993,0)),"-")</f>
        <v>-</v>
      </c>
      <c r="C572" s="2" t="str">
        <f>IFERROR(INDEX(Movimientos!$D$2:$D$1993,MATCH(A572&amp;"ENTRADA",Movimientos!$R$2:$R$1993,0)),"-")</f>
        <v>-</v>
      </c>
      <c r="D572" s="2" t="str">
        <f>IFERROR(INDEX(Movimientos!$E$2:$E$1993,MATCH(A572&amp;"ENTRADA",Movimientos!$R$2:$R$1993,0)),"-")</f>
        <v>-</v>
      </c>
      <c r="E572" s="2" t="str">
        <f>IFERROR(INDEX(Movimientos!$F$2:$F$1993,MATCH(A572&amp;"ENTRADA",Movimientos!$R$2:$R$1993,0)),"-")</f>
        <v>-</v>
      </c>
      <c r="F572" s="2" t="str">
        <f>IFERROR(INDEX(Movimientos!$G$2:$G$1993,MATCH(A572&amp;"ENTRADA",Movimientos!$R$2:$R$1993,0)),"-")</f>
        <v>-</v>
      </c>
      <c r="G572" s="2" t="str">
        <f>IFERROR(INDEX(Movimientos!$L$2:$L$1993,MATCH(A572&amp;"ENTRADA",Movimientos!$R$2:$R$1993,0)),"-")</f>
        <v>-</v>
      </c>
      <c r="H572" s="17" t="str">
        <f>IFERROR(IF(INDEX(Movimientos!$M$2:$M$1993,MATCH(A572&amp;"ENTRADA",Movimientos!$R$2:$R$1993,0))=0,"S/D",INDEX(Movimientos!$M$2:$M$1993,MATCH(A572&amp;"ENTRADA",Movimientos!$R$2:$R$1993,0))),"S/D")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2913</v>
      </c>
      <c r="B573" s="2" t="str">
        <f>IFERROR(INDEX(Movimientos!$C$2:$C$1993,MATCH(A573&amp;"ENTRADA",Movimientos!$R$2:$R$1993,0)),"-")</f>
        <v>-</v>
      </c>
      <c r="C573" s="2" t="str">
        <f>IFERROR(INDEX(Movimientos!$D$2:$D$1993,MATCH(A573&amp;"ENTRADA",Movimientos!$R$2:$R$1993,0)),"-")</f>
        <v>-</v>
      </c>
      <c r="D573" s="2" t="str">
        <f>IFERROR(INDEX(Movimientos!$E$2:$E$1993,MATCH(A573&amp;"ENTRADA",Movimientos!$R$2:$R$1993,0)),"-")</f>
        <v>-</v>
      </c>
      <c r="E573" s="2" t="str">
        <f>IFERROR(INDEX(Movimientos!$F$2:$F$1993,MATCH(A573&amp;"ENTRADA",Movimientos!$R$2:$R$1993,0)),"-")</f>
        <v>-</v>
      </c>
      <c r="F573" s="2" t="str">
        <f>IFERROR(INDEX(Movimientos!$G$2:$G$1993,MATCH(A573&amp;"ENTRADA",Movimientos!$R$2:$R$1993,0)),"-")</f>
        <v>-</v>
      </c>
      <c r="G573" s="2" t="str">
        <f>IFERROR(INDEX(Movimientos!$L$2:$L$1993,MATCH(A573&amp;"ENTRADA",Movimientos!$R$2:$R$1993,0)),"-")</f>
        <v>-</v>
      </c>
      <c r="H573" s="17" t="str">
        <f>IFERROR(IF(INDEX(Movimientos!$M$2:$M$1993,MATCH(A573&amp;"ENTRADA",Movimientos!$R$2:$R$1993,0))=0,"S/D",INDEX(Movimientos!$M$2:$M$1993,MATCH(A573&amp;"ENTRADA",Movimientos!$R$2:$R$1993,0))),"S/D")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2914</v>
      </c>
      <c r="B574" s="2" t="str">
        <f>IFERROR(INDEX(Movimientos!$C$2:$C$1993,MATCH(A574&amp;"ENTRADA",Movimientos!$R$2:$R$1993,0)),"-")</f>
        <v>-</v>
      </c>
      <c r="C574" s="2" t="str">
        <f>IFERROR(INDEX(Movimientos!$D$2:$D$1993,MATCH(A574&amp;"ENTRADA",Movimientos!$R$2:$R$1993,0)),"-")</f>
        <v>-</v>
      </c>
      <c r="D574" s="2" t="str">
        <f>IFERROR(INDEX(Movimientos!$E$2:$E$1993,MATCH(A574&amp;"ENTRADA",Movimientos!$R$2:$R$1993,0)),"-")</f>
        <v>-</v>
      </c>
      <c r="E574" s="2" t="str">
        <f>IFERROR(INDEX(Movimientos!$F$2:$F$1993,MATCH(A574&amp;"ENTRADA",Movimientos!$R$2:$R$1993,0)),"-")</f>
        <v>-</v>
      </c>
      <c r="F574" s="2" t="str">
        <f>IFERROR(INDEX(Movimientos!$G$2:$G$1993,MATCH(A574&amp;"ENTRADA",Movimientos!$R$2:$R$1993,0)),"-")</f>
        <v>-</v>
      </c>
      <c r="G574" s="2" t="str">
        <f>IFERROR(INDEX(Movimientos!$L$2:$L$1993,MATCH(A574&amp;"ENTRADA",Movimientos!$R$2:$R$1993,0)),"-")</f>
        <v>-</v>
      </c>
      <c r="H574" s="17" t="str">
        <f>IFERROR(IF(INDEX(Movimientos!$M$2:$M$1993,MATCH(A574&amp;"ENTRADA",Movimientos!$R$2:$R$1993,0))=0,"S/D",INDEX(Movimientos!$M$2:$M$1993,MATCH(A574&amp;"ENTRADA",Movimientos!$R$2:$R$1993,0))),"S/D")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2915</v>
      </c>
      <c r="B575" s="2" t="str">
        <f>IFERROR(INDEX(Movimientos!$C$2:$C$1993,MATCH(A575&amp;"ENTRADA",Movimientos!$R$2:$R$1993,0)),"-")</f>
        <v>-</v>
      </c>
      <c r="C575" s="2" t="str">
        <f>IFERROR(INDEX(Movimientos!$D$2:$D$1993,MATCH(A575&amp;"ENTRADA",Movimientos!$R$2:$R$1993,0)),"-")</f>
        <v>-</v>
      </c>
      <c r="D575" s="2" t="str">
        <f>IFERROR(INDEX(Movimientos!$E$2:$E$1993,MATCH(A575&amp;"ENTRADA",Movimientos!$R$2:$R$1993,0)),"-")</f>
        <v>-</v>
      </c>
      <c r="E575" s="2" t="str">
        <f>IFERROR(INDEX(Movimientos!$F$2:$F$1993,MATCH(A575&amp;"ENTRADA",Movimientos!$R$2:$R$1993,0)),"-")</f>
        <v>-</v>
      </c>
      <c r="F575" s="2" t="str">
        <f>IFERROR(INDEX(Movimientos!$G$2:$G$1993,MATCH(A575&amp;"ENTRADA",Movimientos!$R$2:$R$1993,0)),"-")</f>
        <v>-</v>
      </c>
      <c r="G575" s="2" t="str">
        <f>IFERROR(INDEX(Movimientos!$L$2:$L$1993,MATCH(A575&amp;"ENTRADA",Movimientos!$R$2:$R$1993,0)),"-")</f>
        <v>-</v>
      </c>
      <c r="H575" s="17" t="str">
        <f>IFERROR(IF(INDEX(Movimientos!$M$2:$M$1993,MATCH(A575&amp;"ENTRADA",Movimientos!$R$2:$R$1993,0))=0,"S/D",INDEX(Movimientos!$M$2:$M$1993,MATCH(A575&amp;"ENTRADA",Movimientos!$R$2:$R$1993,0))),"S/D")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2916</v>
      </c>
      <c r="B576" s="2" t="str">
        <f>IFERROR(INDEX(Movimientos!$C$2:$C$1993,MATCH(A576&amp;"ENTRADA",Movimientos!$R$2:$R$1993,0)),"-")</f>
        <v>-</v>
      </c>
      <c r="C576" s="2" t="str">
        <f>IFERROR(INDEX(Movimientos!$D$2:$D$1993,MATCH(A576&amp;"ENTRADA",Movimientos!$R$2:$R$1993,0)),"-")</f>
        <v>-</v>
      </c>
      <c r="D576" s="2" t="str">
        <f>IFERROR(INDEX(Movimientos!$E$2:$E$1993,MATCH(A576&amp;"ENTRADA",Movimientos!$R$2:$R$1993,0)),"-")</f>
        <v>-</v>
      </c>
      <c r="E576" s="2" t="str">
        <f>IFERROR(INDEX(Movimientos!$F$2:$F$1993,MATCH(A576&amp;"ENTRADA",Movimientos!$R$2:$R$1993,0)),"-")</f>
        <v>-</v>
      </c>
      <c r="F576" s="2" t="str">
        <f>IFERROR(INDEX(Movimientos!$G$2:$G$1993,MATCH(A576&amp;"ENTRADA",Movimientos!$R$2:$R$1993,0)),"-")</f>
        <v>-</v>
      </c>
      <c r="G576" s="2" t="str">
        <f>IFERROR(INDEX(Movimientos!$L$2:$L$1993,MATCH(A576&amp;"ENTRADA",Movimientos!$R$2:$R$1993,0)),"-")</f>
        <v>-</v>
      </c>
      <c r="H576" s="17" t="str">
        <f>IFERROR(IF(INDEX(Movimientos!$M$2:$M$1993,MATCH(A576&amp;"ENTRADA",Movimientos!$R$2:$R$1993,0))=0,"S/D",INDEX(Movimientos!$M$2:$M$1993,MATCH(A576&amp;"ENTRADA",Movimientos!$R$2:$R$1993,0))),"S/D")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2917</v>
      </c>
      <c r="B577" s="2" t="str">
        <f>IFERROR(INDEX(Movimientos!$C$2:$C$1993,MATCH(A577&amp;"ENTRADA",Movimientos!$R$2:$R$1993,0)),"-")</f>
        <v>-</v>
      </c>
      <c r="C577" s="2" t="str">
        <f>IFERROR(INDEX(Movimientos!$D$2:$D$1993,MATCH(A577&amp;"ENTRADA",Movimientos!$R$2:$R$1993,0)),"-")</f>
        <v>-</v>
      </c>
      <c r="D577" s="2" t="str">
        <f>IFERROR(INDEX(Movimientos!$E$2:$E$1993,MATCH(A577&amp;"ENTRADA",Movimientos!$R$2:$R$1993,0)),"-")</f>
        <v>-</v>
      </c>
      <c r="E577" s="2" t="str">
        <f>IFERROR(INDEX(Movimientos!$F$2:$F$1993,MATCH(A577&amp;"ENTRADA",Movimientos!$R$2:$R$1993,0)),"-")</f>
        <v>-</v>
      </c>
      <c r="F577" s="2" t="str">
        <f>IFERROR(INDEX(Movimientos!$G$2:$G$1993,MATCH(A577&amp;"ENTRADA",Movimientos!$R$2:$R$1993,0)),"-")</f>
        <v>-</v>
      </c>
      <c r="G577" s="2" t="str">
        <f>IFERROR(INDEX(Movimientos!$L$2:$L$1993,MATCH(A577&amp;"ENTRADA",Movimientos!$R$2:$R$1993,0)),"-")</f>
        <v>-</v>
      </c>
      <c r="H577" s="17" t="str">
        <f>IFERROR(IF(INDEX(Movimientos!$M$2:$M$1993,MATCH(A577&amp;"ENTRADA",Movimientos!$R$2:$R$1993,0))=0,"S/D",INDEX(Movimientos!$M$2:$M$1993,MATCH(A577&amp;"ENTRADA",Movimientos!$R$2:$R$1993,0))),"S/D")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2918</v>
      </c>
      <c r="B578" s="2" t="str">
        <f>IFERROR(INDEX(Movimientos!$C$2:$C$1993,MATCH(A578&amp;"ENTRADA",Movimientos!$R$2:$R$1993,0)),"-")</f>
        <v>-</v>
      </c>
      <c r="C578" s="2" t="str">
        <f>IFERROR(INDEX(Movimientos!$D$2:$D$1993,MATCH(A578&amp;"ENTRADA",Movimientos!$R$2:$R$1993,0)),"-")</f>
        <v>-</v>
      </c>
      <c r="D578" s="2" t="str">
        <f>IFERROR(INDEX(Movimientos!$E$2:$E$1993,MATCH(A578&amp;"ENTRADA",Movimientos!$R$2:$R$1993,0)),"-")</f>
        <v>-</v>
      </c>
      <c r="E578" s="2" t="str">
        <f>IFERROR(INDEX(Movimientos!$F$2:$F$1993,MATCH(A578&amp;"ENTRADA",Movimientos!$R$2:$R$1993,0)),"-")</f>
        <v>-</v>
      </c>
      <c r="F578" s="2" t="str">
        <f>IFERROR(INDEX(Movimientos!$G$2:$G$1993,MATCH(A578&amp;"ENTRADA",Movimientos!$R$2:$R$1993,0)),"-")</f>
        <v>-</v>
      </c>
      <c r="G578" s="2" t="str">
        <f>IFERROR(INDEX(Movimientos!$L$2:$L$1993,MATCH(A578&amp;"ENTRADA",Movimientos!$R$2:$R$1993,0)),"-")</f>
        <v>-</v>
      </c>
      <c r="H578" s="17" t="str">
        <f>IFERROR(IF(INDEX(Movimientos!$M$2:$M$1993,MATCH(A578&amp;"ENTRADA",Movimientos!$R$2:$R$1993,0))=0,"S/D",INDEX(Movimientos!$M$2:$M$1993,MATCH(A578&amp;"ENTRADA",Movimientos!$R$2:$R$1993,0))),"S/D")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2919</v>
      </c>
      <c r="B579" s="2" t="str">
        <f>IFERROR(INDEX(Movimientos!$C$2:$C$1993,MATCH(A579&amp;"ENTRADA",Movimientos!$R$2:$R$1993,0)),"-")</f>
        <v>-</v>
      </c>
      <c r="C579" s="2" t="str">
        <f>IFERROR(INDEX(Movimientos!$D$2:$D$1993,MATCH(A579&amp;"ENTRADA",Movimientos!$R$2:$R$1993,0)),"-")</f>
        <v>-</v>
      </c>
      <c r="D579" s="2" t="str">
        <f>IFERROR(INDEX(Movimientos!$E$2:$E$1993,MATCH(A579&amp;"ENTRADA",Movimientos!$R$2:$R$1993,0)),"-")</f>
        <v>-</v>
      </c>
      <c r="E579" s="2" t="str">
        <f>IFERROR(INDEX(Movimientos!$F$2:$F$1993,MATCH(A579&amp;"ENTRADA",Movimientos!$R$2:$R$1993,0)),"-")</f>
        <v>-</v>
      </c>
      <c r="F579" s="2" t="str">
        <f>IFERROR(INDEX(Movimientos!$G$2:$G$1993,MATCH(A579&amp;"ENTRADA",Movimientos!$R$2:$R$1993,0)),"-")</f>
        <v>-</v>
      </c>
      <c r="G579" s="2" t="str">
        <f>IFERROR(INDEX(Movimientos!$L$2:$L$1993,MATCH(A579&amp;"ENTRADA",Movimientos!$R$2:$R$1993,0)),"-")</f>
        <v>-</v>
      </c>
      <c r="H579" s="17" t="str">
        <f>IFERROR(IF(INDEX(Movimientos!$M$2:$M$1993,MATCH(A579&amp;"ENTRADA",Movimientos!$R$2:$R$1993,0))=0,"S/D",INDEX(Movimientos!$M$2:$M$1993,MATCH(A579&amp;"ENTRADA",Movimientos!$R$2:$R$1993,0))),"S/D")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2920</v>
      </c>
      <c r="B580" s="2" t="str">
        <f>IFERROR(INDEX(Movimientos!$C$2:$C$1993,MATCH(A580&amp;"ENTRADA",Movimientos!$R$2:$R$1993,0)),"-")</f>
        <v>-</v>
      </c>
      <c r="C580" s="2" t="str">
        <f>IFERROR(INDEX(Movimientos!$D$2:$D$1993,MATCH(A580&amp;"ENTRADA",Movimientos!$R$2:$R$1993,0)),"-")</f>
        <v>-</v>
      </c>
      <c r="D580" s="2" t="str">
        <f>IFERROR(INDEX(Movimientos!$E$2:$E$1993,MATCH(A580&amp;"ENTRADA",Movimientos!$R$2:$R$1993,0)),"-")</f>
        <v>-</v>
      </c>
      <c r="E580" s="2" t="str">
        <f>IFERROR(INDEX(Movimientos!$F$2:$F$1993,MATCH(A580&amp;"ENTRADA",Movimientos!$R$2:$R$1993,0)),"-")</f>
        <v>-</v>
      </c>
      <c r="F580" s="2" t="str">
        <f>IFERROR(INDEX(Movimientos!$G$2:$G$1993,MATCH(A580&amp;"ENTRADA",Movimientos!$R$2:$R$1993,0)),"-")</f>
        <v>-</v>
      </c>
      <c r="G580" s="2" t="str">
        <f>IFERROR(INDEX(Movimientos!$L$2:$L$1993,MATCH(A580&amp;"ENTRADA",Movimientos!$R$2:$R$1993,0)),"-")</f>
        <v>-</v>
      </c>
      <c r="H580" s="17" t="str">
        <f>IFERROR(IF(INDEX(Movimientos!$M$2:$M$1993,MATCH(A580&amp;"ENTRADA",Movimientos!$R$2:$R$1993,0))=0,"S/D",INDEX(Movimientos!$M$2:$M$1993,MATCH(A580&amp;"ENTRADA",Movimientos!$R$2:$R$1993,0))),"S/D")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2921</v>
      </c>
      <c r="B581" s="2" t="str">
        <f>IFERROR(INDEX(Movimientos!$C$2:$C$1993,MATCH(A581&amp;"ENTRADA",Movimientos!$R$2:$R$1993,0)),"-")</f>
        <v>-</v>
      </c>
      <c r="C581" s="2" t="str">
        <f>IFERROR(INDEX(Movimientos!$D$2:$D$1993,MATCH(A581&amp;"ENTRADA",Movimientos!$R$2:$R$1993,0)),"-")</f>
        <v>-</v>
      </c>
      <c r="D581" s="2" t="str">
        <f>IFERROR(INDEX(Movimientos!$E$2:$E$1993,MATCH(A581&amp;"ENTRADA",Movimientos!$R$2:$R$1993,0)),"-")</f>
        <v>-</v>
      </c>
      <c r="E581" s="2" t="str">
        <f>IFERROR(INDEX(Movimientos!$F$2:$F$1993,MATCH(A581&amp;"ENTRADA",Movimientos!$R$2:$R$1993,0)),"-")</f>
        <v>-</v>
      </c>
      <c r="F581" s="2" t="str">
        <f>IFERROR(INDEX(Movimientos!$G$2:$G$1993,MATCH(A581&amp;"ENTRADA",Movimientos!$R$2:$R$1993,0)),"-")</f>
        <v>-</v>
      </c>
      <c r="G581" s="2" t="str">
        <f>IFERROR(INDEX(Movimientos!$L$2:$L$1993,MATCH(A581&amp;"ENTRADA",Movimientos!$R$2:$R$1993,0)),"-")</f>
        <v>-</v>
      </c>
      <c r="H581" s="17" t="str">
        <f>IFERROR(IF(INDEX(Movimientos!$M$2:$M$1993,MATCH(A581&amp;"ENTRADA",Movimientos!$R$2:$R$1993,0))=0,"S/D",INDEX(Movimientos!$M$2:$M$1993,MATCH(A581&amp;"ENTRADA",Movimientos!$R$2:$R$1993,0))),"S/D")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2922</v>
      </c>
      <c r="B582" s="2" t="str">
        <f>IFERROR(INDEX(Movimientos!$C$2:$C$1993,MATCH(A582&amp;"ENTRADA",Movimientos!$R$2:$R$1993,0)),"-")</f>
        <v>-</v>
      </c>
      <c r="C582" s="2" t="str">
        <f>IFERROR(INDEX(Movimientos!$D$2:$D$1993,MATCH(A582&amp;"ENTRADA",Movimientos!$R$2:$R$1993,0)),"-")</f>
        <v>-</v>
      </c>
      <c r="D582" s="2" t="str">
        <f>IFERROR(INDEX(Movimientos!$E$2:$E$1993,MATCH(A582&amp;"ENTRADA",Movimientos!$R$2:$R$1993,0)),"-")</f>
        <v>-</v>
      </c>
      <c r="E582" s="2" t="str">
        <f>IFERROR(INDEX(Movimientos!$F$2:$F$1993,MATCH(A582&amp;"ENTRADA",Movimientos!$R$2:$R$1993,0)),"-")</f>
        <v>-</v>
      </c>
      <c r="F582" s="2" t="str">
        <f>IFERROR(INDEX(Movimientos!$G$2:$G$1993,MATCH(A582&amp;"ENTRADA",Movimientos!$R$2:$R$1993,0)),"-")</f>
        <v>-</v>
      </c>
      <c r="G582" s="2" t="str">
        <f>IFERROR(INDEX(Movimientos!$L$2:$L$1993,MATCH(A582&amp;"ENTRADA",Movimientos!$R$2:$R$1993,0)),"-")</f>
        <v>-</v>
      </c>
      <c r="H582" s="17" t="str">
        <f>IFERROR(IF(INDEX(Movimientos!$M$2:$M$1993,MATCH(A582&amp;"ENTRADA",Movimientos!$R$2:$R$1993,0))=0,"S/D",INDEX(Movimientos!$M$2:$M$1993,MATCH(A582&amp;"ENTRADA",Movimientos!$R$2:$R$1993,0))),"S/D")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2923</v>
      </c>
      <c r="B583" s="2" t="str">
        <f>IFERROR(INDEX(Movimientos!$C$2:$C$1993,MATCH(A583&amp;"ENTRADA",Movimientos!$R$2:$R$1993,0)),"-")</f>
        <v>-</v>
      </c>
      <c r="C583" s="2" t="str">
        <f>IFERROR(INDEX(Movimientos!$D$2:$D$1993,MATCH(A583&amp;"ENTRADA",Movimientos!$R$2:$R$1993,0)),"-")</f>
        <v>-</v>
      </c>
      <c r="D583" s="2" t="str">
        <f>IFERROR(INDEX(Movimientos!$E$2:$E$1993,MATCH(A583&amp;"ENTRADA",Movimientos!$R$2:$R$1993,0)),"-")</f>
        <v>-</v>
      </c>
      <c r="E583" s="2" t="str">
        <f>IFERROR(INDEX(Movimientos!$F$2:$F$1993,MATCH(A583&amp;"ENTRADA",Movimientos!$R$2:$R$1993,0)),"-")</f>
        <v>-</v>
      </c>
      <c r="F583" s="2" t="str">
        <f>IFERROR(INDEX(Movimientos!$G$2:$G$1993,MATCH(A583&amp;"ENTRADA",Movimientos!$R$2:$R$1993,0)),"-")</f>
        <v>-</v>
      </c>
      <c r="G583" s="2" t="str">
        <f>IFERROR(INDEX(Movimientos!$L$2:$L$1993,MATCH(A583&amp;"ENTRADA",Movimientos!$R$2:$R$1993,0)),"-")</f>
        <v>-</v>
      </c>
      <c r="H583" s="17" t="str">
        <f>IFERROR(IF(INDEX(Movimientos!$M$2:$M$1993,MATCH(A583&amp;"ENTRADA",Movimientos!$R$2:$R$1993,0))=0,"S/D",INDEX(Movimientos!$M$2:$M$1993,MATCH(A583&amp;"ENTRADA",Movimientos!$R$2:$R$1993,0))),"S/D")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2924</v>
      </c>
      <c r="B584" s="2" t="str">
        <f>IFERROR(INDEX(Movimientos!$C$2:$C$1993,MATCH(A584&amp;"ENTRADA",Movimientos!$R$2:$R$1993,0)),"-")</f>
        <v>-</v>
      </c>
      <c r="C584" s="2" t="str">
        <f>IFERROR(INDEX(Movimientos!$D$2:$D$1993,MATCH(A584&amp;"ENTRADA",Movimientos!$R$2:$R$1993,0)),"-")</f>
        <v>-</v>
      </c>
      <c r="D584" s="2" t="str">
        <f>IFERROR(INDEX(Movimientos!$E$2:$E$1993,MATCH(A584&amp;"ENTRADA",Movimientos!$R$2:$R$1993,0)),"-")</f>
        <v>-</v>
      </c>
      <c r="E584" s="2" t="str">
        <f>IFERROR(INDEX(Movimientos!$F$2:$F$1993,MATCH(A584&amp;"ENTRADA",Movimientos!$R$2:$R$1993,0)),"-")</f>
        <v>-</v>
      </c>
      <c r="F584" s="2" t="str">
        <f>IFERROR(INDEX(Movimientos!$G$2:$G$1993,MATCH(A584&amp;"ENTRADA",Movimientos!$R$2:$R$1993,0)),"-")</f>
        <v>-</v>
      </c>
      <c r="G584" s="2" t="str">
        <f>IFERROR(INDEX(Movimientos!$L$2:$L$1993,MATCH(A584&amp;"ENTRADA",Movimientos!$R$2:$R$1993,0)),"-")</f>
        <v>-</v>
      </c>
      <c r="H584" s="17" t="str">
        <f>IFERROR(IF(INDEX(Movimientos!$M$2:$M$1993,MATCH(A584&amp;"ENTRADA",Movimientos!$R$2:$R$1993,0))=0,"S/D",INDEX(Movimientos!$M$2:$M$1993,MATCH(A584&amp;"ENTRADA",Movimientos!$R$2:$R$1993,0))),"S/D")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2925</v>
      </c>
      <c r="B585" s="2" t="str">
        <f>IFERROR(INDEX(Movimientos!$C$2:$C$1993,MATCH(A585&amp;"ENTRADA",Movimientos!$R$2:$R$1993,0)),"-")</f>
        <v>-</v>
      </c>
      <c r="C585" s="2" t="str">
        <f>IFERROR(INDEX(Movimientos!$D$2:$D$1993,MATCH(A585&amp;"ENTRADA",Movimientos!$R$2:$R$1993,0)),"-")</f>
        <v>-</v>
      </c>
      <c r="D585" s="2" t="str">
        <f>IFERROR(INDEX(Movimientos!$E$2:$E$1993,MATCH(A585&amp;"ENTRADA",Movimientos!$R$2:$R$1993,0)),"-")</f>
        <v>-</v>
      </c>
      <c r="E585" s="2" t="str">
        <f>IFERROR(INDEX(Movimientos!$F$2:$F$1993,MATCH(A585&amp;"ENTRADA",Movimientos!$R$2:$R$1993,0)),"-")</f>
        <v>-</v>
      </c>
      <c r="F585" s="2" t="str">
        <f>IFERROR(INDEX(Movimientos!$G$2:$G$1993,MATCH(A585&amp;"ENTRADA",Movimientos!$R$2:$R$1993,0)),"-")</f>
        <v>-</v>
      </c>
      <c r="G585" s="2" t="str">
        <f>IFERROR(INDEX(Movimientos!$L$2:$L$1993,MATCH(A585&amp;"ENTRADA",Movimientos!$R$2:$R$1993,0)),"-")</f>
        <v>-</v>
      </c>
      <c r="H585" s="17" t="str">
        <f>IFERROR(IF(INDEX(Movimientos!$M$2:$M$1993,MATCH(A585&amp;"ENTRADA",Movimientos!$R$2:$R$1993,0))=0,"S/D",INDEX(Movimientos!$M$2:$M$1993,MATCH(A585&amp;"ENTRADA",Movimientos!$R$2:$R$1993,0))),"S/D")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2926</v>
      </c>
      <c r="B586" s="2" t="str">
        <f>IFERROR(INDEX(Movimientos!$C$2:$C$1993,MATCH(A586&amp;"ENTRADA",Movimientos!$R$2:$R$1993,0)),"-")</f>
        <v>-</v>
      </c>
      <c r="C586" s="2" t="str">
        <f>IFERROR(INDEX(Movimientos!$D$2:$D$1993,MATCH(A586&amp;"ENTRADA",Movimientos!$R$2:$R$1993,0)),"-")</f>
        <v>-</v>
      </c>
      <c r="D586" s="2" t="str">
        <f>IFERROR(INDEX(Movimientos!$E$2:$E$1993,MATCH(A586&amp;"ENTRADA",Movimientos!$R$2:$R$1993,0)),"-")</f>
        <v>-</v>
      </c>
      <c r="E586" s="2" t="str">
        <f>IFERROR(INDEX(Movimientos!$F$2:$F$1993,MATCH(A586&amp;"ENTRADA",Movimientos!$R$2:$R$1993,0)),"-")</f>
        <v>-</v>
      </c>
      <c r="F586" s="2" t="str">
        <f>IFERROR(INDEX(Movimientos!$G$2:$G$1993,MATCH(A586&amp;"ENTRADA",Movimientos!$R$2:$R$1993,0)),"-")</f>
        <v>-</v>
      </c>
      <c r="G586" s="2" t="str">
        <f>IFERROR(INDEX(Movimientos!$L$2:$L$1993,MATCH(A586&amp;"ENTRADA",Movimientos!$R$2:$R$1993,0)),"-")</f>
        <v>-</v>
      </c>
      <c r="H586" s="17" t="str">
        <f>IFERROR(IF(INDEX(Movimientos!$M$2:$M$1993,MATCH(A586&amp;"ENTRADA",Movimientos!$R$2:$R$1993,0))=0,"S/D",INDEX(Movimientos!$M$2:$M$1993,MATCH(A586&amp;"ENTRADA",Movimientos!$R$2:$R$1993,0))),"S/D")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2927</v>
      </c>
      <c r="B587" s="2" t="str">
        <f>IFERROR(INDEX(Movimientos!$C$2:$C$1993,MATCH(A587&amp;"ENTRADA",Movimientos!$R$2:$R$1993,0)),"-")</f>
        <v>-</v>
      </c>
      <c r="C587" s="2" t="str">
        <f>IFERROR(INDEX(Movimientos!$D$2:$D$1993,MATCH(A587&amp;"ENTRADA",Movimientos!$R$2:$R$1993,0)),"-")</f>
        <v>-</v>
      </c>
      <c r="D587" s="2" t="str">
        <f>IFERROR(INDEX(Movimientos!$E$2:$E$1993,MATCH(A587&amp;"ENTRADA",Movimientos!$R$2:$R$1993,0)),"-")</f>
        <v>-</v>
      </c>
      <c r="E587" s="2" t="str">
        <f>IFERROR(INDEX(Movimientos!$F$2:$F$1993,MATCH(A587&amp;"ENTRADA",Movimientos!$R$2:$R$1993,0)),"-")</f>
        <v>-</v>
      </c>
      <c r="F587" s="2" t="str">
        <f>IFERROR(INDEX(Movimientos!$G$2:$G$1993,MATCH(A587&amp;"ENTRADA",Movimientos!$R$2:$R$1993,0)),"-")</f>
        <v>-</v>
      </c>
      <c r="G587" s="2" t="str">
        <f>IFERROR(INDEX(Movimientos!$L$2:$L$1993,MATCH(A587&amp;"ENTRADA",Movimientos!$R$2:$R$1993,0)),"-")</f>
        <v>-</v>
      </c>
      <c r="H587" s="17" t="str">
        <f>IFERROR(IF(INDEX(Movimientos!$M$2:$M$1993,MATCH(A587&amp;"ENTRADA",Movimientos!$R$2:$R$1993,0))=0,"S/D",INDEX(Movimientos!$M$2:$M$1993,MATCH(A587&amp;"ENTRADA",Movimientos!$R$2:$R$1993,0))),"S/D")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2928</v>
      </c>
      <c r="B588" s="2" t="str">
        <f>IFERROR(INDEX(Movimientos!$C$2:$C$1993,MATCH(A588&amp;"ENTRADA",Movimientos!$R$2:$R$1993,0)),"-")</f>
        <v>-</v>
      </c>
      <c r="C588" s="2" t="str">
        <f>IFERROR(INDEX(Movimientos!$D$2:$D$1993,MATCH(A588&amp;"ENTRADA",Movimientos!$R$2:$R$1993,0)),"-")</f>
        <v>-</v>
      </c>
      <c r="D588" s="2" t="str">
        <f>IFERROR(INDEX(Movimientos!$E$2:$E$1993,MATCH(A588&amp;"ENTRADA",Movimientos!$R$2:$R$1993,0)),"-")</f>
        <v>-</v>
      </c>
      <c r="E588" s="2" t="str">
        <f>IFERROR(INDEX(Movimientos!$F$2:$F$1993,MATCH(A588&amp;"ENTRADA",Movimientos!$R$2:$R$1993,0)),"-")</f>
        <v>-</v>
      </c>
      <c r="F588" s="2" t="str">
        <f>IFERROR(INDEX(Movimientos!$G$2:$G$1993,MATCH(A588&amp;"ENTRADA",Movimientos!$R$2:$R$1993,0)),"-")</f>
        <v>-</v>
      </c>
      <c r="G588" s="2" t="str">
        <f>IFERROR(INDEX(Movimientos!$L$2:$L$1993,MATCH(A588&amp;"ENTRADA",Movimientos!$R$2:$R$1993,0)),"-")</f>
        <v>-</v>
      </c>
      <c r="H588" s="17" t="str">
        <f>IFERROR(IF(INDEX(Movimientos!$M$2:$M$1993,MATCH(A588&amp;"ENTRADA",Movimientos!$R$2:$R$1993,0))=0,"S/D",INDEX(Movimientos!$M$2:$M$1993,MATCH(A588&amp;"ENTRADA",Movimientos!$R$2:$R$1993,0))),"S/D")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2929</v>
      </c>
      <c r="B589" s="2" t="str">
        <f>IFERROR(INDEX(Movimientos!$C$2:$C$1993,MATCH(A589&amp;"ENTRADA",Movimientos!$R$2:$R$1993,0)),"-")</f>
        <v>-</v>
      </c>
      <c r="C589" s="2" t="str">
        <f>IFERROR(INDEX(Movimientos!$D$2:$D$1993,MATCH(A589&amp;"ENTRADA",Movimientos!$R$2:$R$1993,0)),"-")</f>
        <v>-</v>
      </c>
      <c r="D589" s="2" t="str">
        <f>IFERROR(INDEX(Movimientos!$E$2:$E$1993,MATCH(A589&amp;"ENTRADA",Movimientos!$R$2:$R$1993,0)),"-")</f>
        <v>-</v>
      </c>
      <c r="E589" s="2" t="str">
        <f>IFERROR(INDEX(Movimientos!$F$2:$F$1993,MATCH(A589&amp;"ENTRADA",Movimientos!$R$2:$R$1993,0)),"-")</f>
        <v>-</v>
      </c>
      <c r="F589" s="2" t="str">
        <f>IFERROR(INDEX(Movimientos!$G$2:$G$1993,MATCH(A589&amp;"ENTRADA",Movimientos!$R$2:$R$1993,0)),"-")</f>
        <v>-</v>
      </c>
      <c r="G589" s="2" t="str">
        <f>IFERROR(INDEX(Movimientos!$L$2:$L$1993,MATCH(A589&amp;"ENTRADA",Movimientos!$R$2:$R$1993,0)),"-")</f>
        <v>-</v>
      </c>
      <c r="H589" s="17" t="str">
        <f>IFERROR(IF(INDEX(Movimientos!$M$2:$M$1993,MATCH(A589&amp;"ENTRADA",Movimientos!$R$2:$R$1993,0))=0,"S/D",INDEX(Movimientos!$M$2:$M$1993,MATCH(A589&amp;"ENTRADA",Movimientos!$R$2:$R$1993,0))),"S/D")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2930</v>
      </c>
      <c r="B590" s="2" t="str">
        <f>IFERROR(INDEX(Movimientos!$C$2:$C$1993,MATCH(A590&amp;"ENTRADA",Movimientos!$R$2:$R$1993,0)),"-")</f>
        <v>-</v>
      </c>
      <c r="C590" s="2" t="str">
        <f>IFERROR(INDEX(Movimientos!$D$2:$D$1993,MATCH(A590&amp;"ENTRADA",Movimientos!$R$2:$R$1993,0)),"-")</f>
        <v>-</v>
      </c>
      <c r="D590" s="2" t="str">
        <f>IFERROR(INDEX(Movimientos!$E$2:$E$1993,MATCH(A590&amp;"ENTRADA",Movimientos!$R$2:$R$1993,0)),"-")</f>
        <v>-</v>
      </c>
      <c r="E590" s="2" t="str">
        <f>IFERROR(INDEX(Movimientos!$F$2:$F$1993,MATCH(A590&amp;"ENTRADA",Movimientos!$R$2:$R$1993,0)),"-")</f>
        <v>-</v>
      </c>
      <c r="F590" s="2" t="str">
        <f>IFERROR(INDEX(Movimientos!$G$2:$G$1993,MATCH(A590&amp;"ENTRADA",Movimientos!$R$2:$R$1993,0)),"-")</f>
        <v>-</v>
      </c>
      <c r="G590" s="2" t="str">
        <f>IFERROR(INDEX(Movimientos!$L$2:$L$1993,MATCH(A590&amp;"ENTRADA",Movimientos!$R$2:$R$1993,0)),"-")</f>
        <v>-</v>
      </c>
      <c r="H590" s="17" t="str">
        <f>IFERROR(IF(INDEX(Movimientos!$M$2:$M$1993,MATCH(A590&amp;"ENTRADA",Movimientos!$R$2:$R$1993,0))=0,"S/D",INDEX(Movimientos!$M$2:$M$1993,MATCH(A590&amp;"ENTRADA",Movimientos!$R$2:$R$1993,0))),"S/D")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2931</v>
      </c>
      <c r="B591" s="2" t="str">
        <f>IFERROR(INDEX(Movimientos!$C$2:$C$1993,MATCH(A591&amp;"ENTRADA",Movimientos!$R$2:$R$1993,0)),"-")</f>
        <v>-</v>
      </c>
      <c r="C591" s="2" t="str">
        <f>IFERROR(INDEX(Movimientos!$D$2:$D$1993,MATCH(A591&amp;"ENTRADA",Movimientos!$R$2:$R$1993,0)),"-")</f>
        <v>-</v>
      </c>
      <c r="D591" s="2" t="str">
        <f>IFERROR(INDEX(Movimientos!$E$2:$E$1993,MATCH(A591&amp;"ENTRADA",Movimientos!$R$2:$R$1993,0)),"-")</f>
        <v>-</v>
      </c>
      <c r="E591" s="2" t="str">
        <f>IFERROR(INDEX(Movimientos!$F$2:$F$1993,MATCH(A591&amp;"ENTRADA",Movimientos!$R$2:$R$1993,0)),"-")</f>
        <v>-</v>
      </c>
      <c r="F591" s="2" t="str">
        <f>IFERROR(INDEX(Movimientos!$G$2:$G$1993,MATCH(A591&amp;"ENTRADA",Movimientos!$R$2:$R$1993,0)),"-")</f>
        <v>-</v>
      </c>
      <c r="G591" s="2" t="str">
        <f>IFERROR(INDEX(Movimientos!$L$2:$L$1993,MATCH(A591&amp;"ENTRADA",Movimientos!$R$2:$R$1993,0)),"-")</f>
        <v>-</v>
      </c>
      <c r="H591" s="17" t="str">
        <f>IFERROR(IF(INDEX(Movimientos!$M$2:$M$1993,MATCH(A591&amp;"ENTRADA",Movimientos!$R$2:$R$1993,0))=0,"S/D",INDEX(Movimientos!$M$2:$M$1993,MATCH(A591&amp;"ENTRADA",Movimientos!$R$2:$R$1993,0))),"S/D")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2932</v>
      </c>
      <c r="B592" s="2" t="str">
        <f>IFERROR(INDEX(Movimientos!$C$2:$C$1993,MATCH(A592&amp;"ENTRADA",Movimientos!$R$2:$R$1993,0)),"-")</f>
        <v>-</v>
      </c>
      <c r="C592" s="2" t="str">
        <f>IFERROR(INDEX(Movimientos!$D$2:$D$1993,MATCH(A592&amp;"ENTRADA",Movimientos!$R$2:$R$1993,0)),"-")</f>
        <v>-</v>
      </c>
      <c r="D592" s="2" t="str">
        <f>IFERROR(INDEX(Movimientos!$E$2:$E$1993,MATCH(A592&amp;"ENTRADA",Movimientos!$R$2:$R$1993,0)),"-")</f>
        <v>-</v>
      </c>
      <c r="E592" s="2" t="str">
        <f>IFERROR(INDEX(Movimientos!$F$2:$F$1993,MATCH(A592&amp;"ENTRADA",Movimientos!$R$2:$R$1993,0)),"-")</f>
        <v>-</v>
      </c>
      <c r="F592" s="2" t="str">
        <f>IFERROR(INDEX(Movimientos!$G$2:$G$1993,MATCH(A592&amp;"ENTRADA",Movimientos!$R$2:$R$1993,0)),"-")</f>
        <v>-</v>
      </c>
      <c r="G592" s="2" t="str">
        <f>IFERROR(INDEX(Movimientos!$L$2:$L$1993,MATCH(A592&amp;"ENTRADA",Movimientos!$R$2:$R$1993,0)),"-")</f>
        <v>-</v>
      </c>
      <c r="H592" s="17" t="str">
        <f>IFERROR(IF(INDEX(Movimientos!$M$2:$M$1993,MATCH(A592&amp;"ENTRADA",Movimientos!$R$2:$R$1993,0))=0,"S/D",INDEX(Movimientos!$M$2:$M$1993,MATCH(A592&amp;"ENTRADA",Movimientos!$R$2:$R$1993,0))),"S/D")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2933</v>
      </c>
      <c r="B593" s="2" t="str">
        <f>IFERROR(INDEX(Movimientos!$C$2:$C$1993,MATCH(A593&amp;"ENTRADA",Movimientos!$R$2:$R$1993,0)),"-")</f>
        <v>-</v>
      </c>
      <c r="C593" s="2" t="str">
        <f>IFERROR(INDEX(Movimientos!$D$2:$D$1993,MATCH(A593&amp;"ENTRADA",Movimientos!$R$2:$R$1993,0)),"-")</f>
        <v>-</v>
      </c>
      <c r="D593" s="2" t="str">
        <f>IFERROR(INDEX(Movimientos!$E$2:$E$1993,MATCH(A593&amp;"ENTRADA",Movimientos!$R$2:$R$1993,0)),"-")</f>
        <v>-</v>
      </c>
      <c r="E593" s="2" t="str">
        <f>IFERROR(INDEX(Movimientos!$F$2:$F$1993,MATCH(A593&amp;"ENTRADA",Movimientos!$R$2:$R$1993,0)),"-")</f>
        <v>-</v>
      </c>
      <c r="F593" s="2" t="str">
        <f>IFERROR(INDEX(Movimientos!$G$2:$G$1993,MATCH(A593&amp;"ENTRADA",Movimientos!$R$2:$R$1993,0)),"-")</f>
        <v>-</v>
      </c>
      <c r="G593" s="2" t="str">
        <f>IFERROR(INDEX(Movimientos!$L$2:$L$1993,MATCH(A593&amp;"ENTRADA",Movimientos!$R$2:$R$1993,0)),"-")</f>
        <v>-</v>
      </c>
      <c r="H593" s="17" t="str">
        <f>IFERROR(IF(INDEX(Movimientos!$M$2:$M$1993,MATCH(A593&amp;"ENTRADA",Movimientos!$R$2:$R$1993,0))=0,"S/D",INDEX(Movimientos!$M$2:$M$1993,MATCH(A593&amp;"ENTRADA",Movimientos!$R$2:$R$1993,0))),"S/D")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2934</v>
      </c>
      <c r="B594" s="2" t="str">
        <f>IFERROR(INDEX(Movimientos!$C$2:$C$1993,MATCH(A594&amp;"ENTRADA",Movimientos!$R$2:$R$1993,0)),"-")</f>
        <v>-</v>
      </c>
      <c r="C594" s="2" t="str">
        <f>IFERROR(INDEX(Movimientos!$D$2:$D$1993,MATCH(A594&amp;"ENTRADA",Movimientos!$R$2:$R$1993,0)),"-")</f>
        <v>-</v>
      </c>
      <c r="D594" s="2" t="str">
        <f>IFERROR(INDEX(Movimientos!$E$2:$E$1993,MATCH(A594&amp;"ENTRADA",Movimientos!$R$2:$R$1993,0)),"-")</f>
        <v>-</v>
      </c>
      <c r="E594" s="2" t="str">
        <f>IFERROR(INDEX(Movimientos!$F$2:$F$1993,MATCH(A594&amp;"ENTRADA",Movimientos!$R$2:$R$1993,0)),"-")</f>
        <v>-</v>
      </c>
      <c r="F594" s="2" t="str">
        <f>IFERROR(INDEX(Movimientos!$G$2:$G$1993,MATCH(A594&amp;"ENTRADA",Movimientos!$R$2:$R$1993,0)),"-")</f>
        <v>-</v>
      </c>
      <c r="G594" s="2" t="str">
        <f>IFERROR(INDEX(Movimientos!$L$2:$L$1993,MATCH(A594&amp;"ENTRADA",Movimientos!$R$2:$R$1993,0)),"-")</f>
        <v>-</v>
      </c>
      <c r="H594" s="17" t="str">
        <f>IFERROR(IF(INDEX(Movimientos!$M$2:$M$1993,MATCH(A594&amp;"ENTRADA",Movimientos!$R$2:$R$1993,0))=0,"S/D",INDEX(Movimientos!$M$2:$M$1993,MATCH(A594&amp;"ENTRADA",Movimientos!$R$2:$R$1993,0))),"S/D")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2935</v>
      </c>
      <c r="B595" s="2" t="str">
        <f>IFERROR(INDEX(Movimientos!$C$2:$C$1993,MATCH(A595&amp;"ENTRADA",Movimientos!$R$2:$R$1993,0)),"-")</f>
        <v>-</v>
      </c>
      <c r="C595" s="2" t="str">
        <f>IFERROR(INDEX(Movimientos!$D$2:$D$1993,MATCH(A595&amp;"ENTRADA",Movimientos!$R$2:$R$1993,0)),"-")</f>
        <v>-</v>
      </c>
      <c r="D595" s="2" t="str">
        <f>IFERROR(INDEX(Movimientos!$E$2:$E$1993,MATCH(A595&amp;"ENTRADA",Movimientos!$R$2:$R$1993,0)),"-")</f>
        <v>-</v>
      </c>
      <c r="E595" s="2" t="str">
        <f>IFERROR(INDEX(Movimientos!$F$2:$F$1993,MATCH(A595&amp;"ENTRADA",Movimientos!$R$2:$R$1993,0)),"-")</f>
        <v>-</v>
      </c>
      <c r="F595" s="2" t="str">
        <f>IFERROR(INDEX(Movimientos!$G$2:$G$1993,MATCH(A595&amp;"ENTRADA",Movimientos!$R$2:$R$1993,0)),"-")</f>
        <v>-</v>
      </c>
      <c r="G595" s="2" t="str">
        <f>IFERROR(INDEX(Movimientos!$L$2:$L$1993,MATCH(A595&amp;"ENTRADA",Movimientos!$R$2:$R$1993,0)),"-")</f>
        <v>-</v>
      </c>
      <c r="H595" s="17" t="str">
        <f>IFERROR(IF(INDEX(Movimientos!$M$2:$M$1993,MATCH(A595&amp;"ENTRADA",Movimientos!$R$2:$R$1993,0))=0,"S/D",INDEX(Movimientos!$M$2:$M$1993,MATCH(A595&amp;"ENTRADA",Movimientos!$R$2:$R$1993,0))),"S/D")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2936</v>
      </c>
      <c r="B596" s="2" t="str">
        <f>IFERROR(INDEX(Movimientos!$C$2:$C$1993,MATCH(A596&amp;"ENTRADA",Movimientos!$R$2:$R$1993,0)),"-")</f>
        <v>-</v>
      </c>
      <c r="C596" s="2" t="str">
        <f>IFERROR(INDEX(Movimientos!$D$2:$D$1993,MATCH(A596&amp;"ENTRADA",Movimientos!$R$2:$R$1993,0)),"-")</f>
        <v>-</v>
      </c>
      <c r="D596" s="2" t="str">
        <f>IFERROR(INDEX(Movimientos!$E$2:$E$1993,MATCH(A596&amp;"ENTRADA",Movimientos!$R$2:$R$1993,0)),"-")</f>
        <v>-</v>
      </c>
      <c r="E596" s="2" t="str">
        <f>IFERROR(INDEX(Movimientos!$F$2:$F$1993,MATCH(A596&amp;"ENTRADA",Movimientos!$R$2:$R$1993,0)),"-")</f>
        <v>-</v>
      </c>
      <c r="F596" s="2" t="str">
        <f>IFERROR(INDEX(Movimientos!$G$2:$G$1993,MATCH(A596&amp;"ENTRADA",Movimientos!$R$2:$R$1993,0)),"-")</f>
        <v>-</v>
      </c>
      <c r="G596" s="2" t="str">
        <f>IFERROR(INDEX(Movimientos!$L$2:$L$1993,MATCH(A596&amp;"ENTRADA",Movimientos!$R$2:$R$1993,0)),"-")</f>
        <v>-</v>
      </c>
      <c r="H596" s="17" t="str">
        <f>IFERROR(IF(INDEX(Movimientos!$M$2:$M$1993,MATCH(A596&amp;"ENTRADA",Movimientos!$R$2:$R$1993,0))=0,"S/D",INDEX(Movimientos!$M$2:$M$1993,MATCH(A596&amp;"ENTRADA",Movimientos!$R$2:$R$1993,0))),"S/D")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2937</v>
      </c>
      <c r="B597" s="2" t="str">
        <f>IFERROR(INDEX(Movimientos!$C$2:$C$1993,MATCH(A597&amp;"ENTRADA",Movimientos!$R$2:$R$1993,0)),"-")</f>
        <v>-</v>
      </c>
      <c r="C597" s="2" t="str">
        <f>IFERROR(INDEX(Movimientos!$D$2:$D$1993,MATCH(A597&amp;"ENTRADA",Movimientos!$R$2:$R$1993,0)),"-")</f>
        <v>-</v>
      </c>
      <c r="D597" s="2" t="str">
        <f>IFERROR(INDEX(Movimientos!$E$2:$E$1993,MATCH(A597&amp;"ENTRADA",Movimientos!$R$2:$R$1993,0)),"-")</f>
        <v>-</v>
      </c>
      <c r="E597" s="2" t="str">
        <f>IFERROR(INDEX(Movimientos!$F$2:$F$1993,MATCH(A597&amp;"ENTRADA",Movimientos!$R$2:$R$1993,0)),"-")</f>
        <v>-</v>
      </c>
      <c r="F597" s="2" t="str">
        <f>IFERROR(INDEX(Movimientos!$G$2:$G$1993,MATCH(A597&amp;"ENTRADA",Movimientos!$R$2:$R$1993,0)),"-")</f>
        <v>-</v>
      </c>
      <c r="G597" s="2" t="str">
        <f>IFERROR(INDEX(Movimientos!$L$2:$L$1993,MATCH(A597&amp;"ENTRADA",Movimientos!$R$2:$R$1993,0)),"-")</f>
        <v>-</v>
      </c>
      <c r="H597" s="17" t="str">
        <f>IFERROR(IF(INDEX(Movimientos!$M$2:$M$1993,MATCH(A597&amp;"ENTRADA",Movimientos!$R$2:$R$1993,0))=0,"S/D",INDEX(Movimientos!$M$2:$M$1993,MATCH(A597&amp;"ENTRADA",Movimientos!$R$2:$R$1993,0))),"S/D")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2938</v>
      </c>
      <c r="B598" s="2" t="str">
        <f>IFERROR(INDEX(Movimientos!$C$2:$C$1993,MATCH(A598&amp;"ENTRADA",Movimientos!$R$2:$R$1993,0)),"-")</f>
        <v>-</v>
      </c>
      <c r="C598" s="2" t="str">
        <f>IFERROR(INDEX(Movimientos!$D$2:$D$1993,MATCH(A598&amp;"ENTRADA",Movimientos!$R$2:$R$1993,0)),"-")</f>
        <v>-</v>
      </c>
      <c r="D598" s="2" t="str">
        <f>IFERROR(INDEX(Movimientos!$E$2:$E$1993,MATCH(A598&amp;"ENTRADA",Movimientos!$R$2:$R$1993,0)),"-")</f>
        <v>-</v>
      </c>
      <c r="E598" s="2" t="str">
        <f>IFERROR(INDEX(Movimientos!$F$2:$F$1993,MATCH(A598&amp;"ENTRADA",Movimientos!$R$2:$R$1993,0)),"-")</f>
        <v>-</v>
      </c>
      <c r="F598" s="2" t="str">
        <f>IFERROR(INDEX(Movimientos!$G$2:$G$1993,MATCH(A598&amp;"ENTRADA",Movimientos!$R$2:$R$1993,0)),"-")</f>
        <v>-</v>
      </c>
      <c r="G598" s="2" t="str">
        <f>IFERROR(INDEX(Movimientos!$L$2:$L$1993,MATCH(A598&amp;"ENTRADA",Movimientos!$R$2:$R$1993,0)),"-")</f>
        <v>-</v>
      </c>
      <c r="H598" s="17" t="str">
        <f>IFERROR(IF(INDEX(Movimientos!$M$2:$M$1993,MATCH(A598&amp;"ENTRADA",Movimientos!$R$2:$R$1993,0))=0,"S/D",INDEX(Movimientos!$M$2:$M$1993,MATCH(A598&amp;"ENTRADA",Movimientos!$R$2:$R$1993,0))),"S/D")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2939</v>
      </c>
      <c r="B599" s="2" t="str">
        <f>IFERROR(INDEX(Movimientos!$C$2:$C$1993,MATCH(A599&amp;"ENTRADA",Movimientos!$R$2:$R$1993,0)),"-")</f>
        <v>-</v>
      </c>
      <c r="C599" s="2" t="str">
        <f>IFERROR(INDEX(Movimientos!$D$2:$D$1993,MATCH(A599&amp;"ENTRADA",Movimientos!$R$2:$R$1993,0)),"-")</f>
        <v>-</v>
      </c>
      <c r="D599" s="2" t="str">
        <f>IFERROR(INDEX(Movimientos!$E$2:$E$1993,MATCH(A599&amp;"ENTRADA",Movimientos!$R$2:$R$1993,0)),"-")</f>
        <v>-</v>
      </c>
      <c r="E599" s="2" t="str">
        <f>IFERROR(INDEX(Movimientos!$F$2:$F$1993,MATCH(A599&amp;"ENTRADA",Movimientos!$R$2:$R$1993,0)),"-")</f>
        <v>-</v>
      </c>
      <c r="F599" s="2" t="str">
        <f>IFERROR(INDEX(Movimientos!$G$2:$G$1993,MATCH(A599&amp;"ENTRADA",Movimientos!$R$2:$R$1993,0)),"-")</f>
        <v>-</v>
      </c>
      <c r="G599" s="2" t="str">
        <f>IFERROR(INDEX(Movimientos!$L$2:$L$1993,MATCH(A599&amp;"ENTRADA",Movimientos!$R$2:$R$1993,0)),"-")</f>
        <v>-</v>
      </c>
      <c r="H599" s="17" t="str">
        <f>IFERROR(IF(INDEX(Movimientos!$M$2:$M$1993,MATCH(A599&amp;"ENTRADA",Movimientos!$R$2:$R$1993,0))=0,"S/D",INDEX(Movimientos!$M$2:$M$1993,MATCH(A599&amp;"ENTRADA",Movimientos!$R$2:$R$1993,0))),"S/D")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2940</v>
      </c>
      <c r="B600" s="2" t="str">
        <f>IFERROR(INDEX(Movimientos!$C$2:$C$1993,MATCH(A600&amp;"ENTRADA",Movimientos!$R$2:$R$1993,0)),"-")</f>
        <v>-</v>
      </c>
      <c r="C600" s="2" t="str">
        <f>IFERROR(INDEX(Movimientos!$D$2:$D$1993,MATCH(A600&amp;"ENTRADA",Movimientos!$R$2:$R$1993,0)),"-")</f>
        <v>-</v>
      </c>
      <c r="D600" s="2" t="str">
        <f>IFERROR(INDEX(Movimientos!$E$2:$E$1993,MATCH(A600&amp;"ENTRADA",Movimientos!$R$2:$R$1993,0)),"-")</f>
        <v>-</v>
      </c>
      <c r="E600" s="2" t="str">
        <f>IFERROR(INDEX(Movimientos!$F$2:$F$1993,MATCH(A600&amp;"ENTRADA",Movimientos!$R$2:$R$1993,0)),"-")</f>
        <v>-</v>
      </c>
      <c r="F600" s="2" t="str">
        <f>IFERROR(INDEX(Movimientos!$G$2:$G$1993,MATCH(A600&amp;"ENTRADA",Movimientos!$R$2:$R$1993,0)),"-")</f>
        <v>-</v>
      </c>
      <c r="G600" s="2" t="str">
        <f>IFERROR(INDEX(Movimientos!$L$2:$L$1993,MATCH(A600&amp;"ENTRADA",Movimientos!$R$2:$R$1993,0)),"-")</f>
        <v>-</v>
      </c>
      <c r="H600" s="17" t="str">
        <f>IFERROR(IF(INDEX(Movimientos!$M$2:$M$1993,MATCH(A600&amp;"ENTRADA",Movimientos!$R$2:$R$1993,0))=0,"S/D",INDEX(Movimientos!$M$2:$M$1993,MATCH(A600&amp;"ENTRADA",Movimientos!$R$2:$R$1993,0))),"S/D")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2941</v>
      </c>
      <c r="B601" s="2" t="str">
        <f>IFERROR(INDEX(Movimientos!$C$2:$C$1993,MATCH(A601&amp;"ENTRADA",Movimientos!$R$2:$R$1993,0)),"-")</f>
        <v>-</v>
      </c>
      <c r="C601" s="2" t="str">
        <f>IFERROR(INDEX(Movimientos!$D$2:$D$1993,MATCH(A601&amp;"ENTRADA",Movimientos!$R$2:$R$1993,0)),"-")</f>
        <v>-</v>
      </c>
      <c r="D601" s="2" t="str">
        <f>IFERROR(INDEX(Movimientos!$E$2:$E$1993,MATCH(A601&amp;"ENTRADA",Movimientos!$R$2:$R$1993,0)),"-")</f>
        <v>-</v>
      </c>
      <c r="E601" s="2" t="str">
        <f>IFERROR(INDEX(Movimientos!$F$2:$F$1993,MATCH(A601&amp;"ENTRADA",Movimientos!$R$2:$R$1993,0)),"-")</f>
        <v>-</v>
      </c>
      <c r="F601" s="2" t="str">
        <f>IFERROR(INDEX(Movimientos!$G$2:$G$1993,MATCH(A601&amp;"ENTRADA",Movimientos!$R$2:$R$1993,0)),"-")</f>
        <v>-</v>
      </c>
      <c r="G601" s="2" t="str">
        <f>IFERROR(INDEX(Movimientos!$L$2:$L$1993,MATCH(A601&amp;"ENTRADA",Movimientos!$R$2:$R$1993,0)),"-")</f>
        <v>-</v>
      </c>
      <c r="H601" s="17" t="str">
        <f>IFERROR(IF(INDEX(Movimientos!$M$2:$M$1993,MATCH(A601&amp;"ENTRADA",Movimientos!$R$2:$R$1993,0))=0,"S/D",INDEX(Movimientos!$M$2:$M$1993,MATCH(A601&amp;"ENTRADA",Movimientos!$R$2:$R$1993,0))),"S/D")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2942</v>
      </c>
      <c r="B602" s="2" t="str">
        <f>IFERROR(INDEX(Movimientos!$C$2:$C$1993,MATCH(A602&amp;"ENTRADA",Movimientos!$R$2:$R$1993,0)),"-")</f>
        <v>-</v>
      </c>
      <c r="C602" s="2" t="str">
        <f>IFERROR(INDEX(Movimientos!$D$2:$D$1993,MATCH(A602&amp;"ENTRADA",Movimientos!$R$2:$R$1993,0)),"-")</f>
        <v>-</v>
      </c>
      <c r="D602" s="2" t="str">
        <f>IFERROR(INDEX(Movimientos!$E$2:$E$1993,MATCH(A602&amp;"ENTRADA",Movimientos!$R$2:$R$1993,0)),"-")</f>
        <v>-</v>
      </c>
      <c r="E602" s="2" t="str">
        <f>IFERROR(INDEX(Movimientos!$F$2:$F$1993,MATCH(A602&amp;"ENTRADA",Movimientos!$R$2:$R$1993,0)),"-")</f>
        <v>-</v>
      </c>
      <c r="F602" s="2" t="str">
        <f>IFERROR(INDEX(Movimientos!$G$2:$G$1993,MATCH(A602&amp;"ENTRADA",Movimientos!$R$2:$R$1993,0)),"-")</f>
        <v>-</v>
      </c>
      <c r="G602" s="2" t="str">
        <f>IFERROR(INDEX(Movimientos!$L$2:$L$1993,MATCH(A602&amp;"ENTRADA",Movimientos!$R$2:$R$1993,0)),"-")</f>
        <v>-</v>
      </c>
      <c r="H602" s="17" t="str">
        <f>IFERROR(IF(INDEX(Movimientos!$M$2:$M$1993,MATCH(A602&amp;"ENTRADA",Movimientos!$R$2:$R$1993,0))=0,"S/D",INDEX(Movimientos!$M$2:$M$1993,MATCH(A602&amp;"ENTRADA",Movimientos!$R$2:$R$1993,0))),"S/D")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2943</v>
      </c>
      <c r="B603" s="2" t="str">
        <f>IFERROR(INDEX(Movimientos!$C$2:$C$1993,MATCH(A603&amp;"ENTRADA",Movimientos!$R$2:$R$1993,0)),"-")</f>
        <v>-</v>
      </c>
      <c r="C603" s="2" t="str">
        <f>IFERROR(INDEX(Movimientos!$D$2:$D$1993,MATCH(A603&amp;"ENTRADA",Movimientos!$R$2:$R$1993,0)),"-")</f>
        <v>-</v>
      </c>
      <c r="D603" s="2" t="str">
        <f>IFERROR(INDEX(Movimientos!$E$2:$E$1993,MATCH(A603&amp;"ENTRADA",Movimientos!$R$2:$R$1993,0)),"-")</f>
        <v>-</v>
      </c>
      <c r="E603" s="2" t="str">
        <f>IFERROR(INDEX(Movimientos!$F$2:$F$1993,MATCH(A603&amp;"ENTRADA",Movimientos!$R$2:$R$1993,0)),"-")</f>
        <v>-</v>
      </c>
      <c r="F603" s="2" t="str">
        <f>IFERROR(INDEX(Movimientos!$G$2:$G$1993,MATCH(A603&amp;"ENTRADA",Movimientos!$R$2:$R$1993,0)),"-")</f>
        <v>-</v>
      </c>
      <c r="G603" s="2" t="str">
        <f>IFERROR(INDEX(Movimientos!$L$2:$L$1993,MATCH(A603&amp;"ENTRADA",Movimientos!$R$2:$R$1993,0)),"-")</f>
        <v>-</v>
      </c>
      <c r="H603" s="17" t="str">
        <f>IFERROR(IF(INDEX(Movimientos!$M$2:$M$1993,MATCH(A603&amp;"ENTRADA",Movimientos!$R$2:$R$1993,0))=0,"S/D",INDEX(Movimientos!$M$2:$M$1993,MATCH(A603&amp;"ENTRADA",Movimientos!$R$2:$R$1993,0))),"S/D")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2944</v>
      </c>
      <c r="B604" s="2" t="str">
        <f>IFERROR(INDEX(Movimientos!$C$2:$C$1993,MATCH(A604&amp;"ENTRADA",Movimientos!$R$2:$R$1993,0)),"-")</f>
        <v>-</v>
      </c>
      <c r="C604" s="2" t="str">
        <f>IFERROR(INDEX(Movimientos!$D$2:$D$1993,MATCH(A604&amp;"ENTRADA",Movimientos!$R$2:$R$1993,0)),"-")</f>
        <v>-</v>
      </c>
      <c r="D604" s="2" t="str">
        <f>IFERROR(INDEX(Movimientos!$E$2:$E$1993,MATCH(A604&amp;"ENTRADA",Movimientos!$R$2:$R$1993,0)),"-")</f>
        <v>-</v>
      </c>
      <c r="E604" s="2" t="str">
        <f>IFERROR(INDEX(Movimientos!$F$2:$F$1993,MATCH(A604&amp;"ENTRADA",Movimientos!$R$2:$R$1993,0)),"-")</f>
        <v>-</v>
      </c>
      <c r="F604" s="2" t="str">
        <f>IFERROR(INDEX(Movimientos!$G$2:$G$1993,MATCH(A604&amp;"ENTRADA",Movimientos!$R$2:$R$1993,0)),"-")</f>
        <v>-</v>
      </c>
      <c r="G604" s="2" t="str">
        <f>IFERROR(INDEX(Movimientos!$L$2:$L$1993,MATCH(A604&amp;"ENTRADA",Movimientos!$R$2:$R$1993,0)),"-")</f>
        <v>-</v>
      </c>
      <c r="H604" s="17" t="str">
        <f>IFERROR(IF(INDEX(Movimientos!$M$2:$M$1993,MATCH(A604&amp;"ENTRADA",Movimientos!$R$2:$R$1993,0))=0,"S/D",INDEX(Movimientos!$M$2:$M$1993,MATCH(A604&amp;"ENTRADA",Movimientos!$R$2:$R$1993,0))),"S/D")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2945</v>
      </c>
      <c r="B605" s="2" t="str">
        <f>IFERROR(INDEX(Movimientos!$C$2:$C$1993,MATCH(A605&amp;"ENTRADA",Movimientos!$R$2:$R$1993,0)),"-")</f>
        <v>-</v>
      </c>
      <c r="C605" s="2" t="str">
        <f>IFERROR(INDEX(Movimientos!$D$2:$D$1993,MATCH(A605&amp;"ENTRADA",Movimientos!$R$2:$R$1993,0)),"-")</f>
        <v>-</v>
      </c>
      <c r="D605" s="2" t="str">
        <f>IFERROR(INDEX(Movimientos!$E$2:$E$1993,MATCH(A605&amp;"ENTRADA",Movimientos!$R$2:$R$1993,0)),"-")</f>
        <v>-</v>
      </c>
      <c r="E605" s="2" t="str">
        <f>IFERROR(INDEX(Movimientos!$F$2:$F$1993,MATCH(A605&amp;"ENTRADA",Movimientos!$R$2:$R$1993,0)),"-")</f>
        <v>-</v>
      </c>
      <c r="F605" s="2" t="str">
        <f>IFERROR(INDEX(Movimientos!$G$2:$G$1993,MATCH(A605&amp;"ENTRADA",Movimientos!$R$2:$R$1993,0)),"-")</f>
        <v>-</v>
      </c>
      <c r="G605" s="2" t="str">
        <f>IFERROR(INDEX(Movimientos!$L$2:$L$1993,MATCH(A605&amp;"ENTRADA",Movimientos!$R$2:$R$1993,0)),"-")</f>
        <v>-</v>
      </c>
      <c r="H605" s="17" t="str">
        <f>IFERROR(IF(INDEX(Movimientos!$M$2:$M$1993,MATCH(A605&amp;"ENTRADA",Movimientos!$R$2:$R$1993,0))=0,"S/D",INDEX(Movimientos!$M$2:$M$1993,MATCH(A605&amp;"ENTRADA",Movimientos!$R$2:$R$1993,0))),"S/D")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2946</v>
      </c>
      <c r="B606" s="2" t="str">
        <f>IFERROR(INDEX(Movimientos!$C$2:$C$1993,MATCH(A606&amp;"ENTRADA",Movimientos!$R$2:$R$1993,0)),"-")</f>
        <v>-</v>
      </c>
      <c r="C606" s="2" t="str">
        <f>IFERROR(INDEX(Movimientos!$D$2:$D$1993,MATCH(A606&amp;"ENTRADA",Movimientos!$R$2:$R$1993,0)),"-")</f>
        <v>-</v>
      </c>
      <c r="D606" s="2" t="str">
        <f>IFERROR(INDEX(Movimientos!$E$2:$E$1993,MATCH(A606&amp;"ENTRADA",Movimientos!$R$2:$R$1993,0)),"-")</f>
        <v>-</v>
      </c>
      <c r="E606" s="2" t="str">
        <f>IFERROR(INDEX(Movimientos!$F$2:$F$1993,MATCH(A606&amp;"ENTRADA",Movimientos!$R$2:$R$1993,0)),"-")</f>
        <v>-</v>
      </c>
      <c r="F606" s="2" t="str">
        <f>IFERROR(INDEX(Movimientos!$G$2:$G$1993,MATCH(A606&amp;"ENTRADA",Movimientos!$R$2:$R$1993,0)),"-")</f>
        <v>-</v>
      </c>
      <c r="G606" s="2" t="str">
        <f>IFERROR(INDEX(Movimientos!$L$2:$L$1993,MATCH(A606&amp;"ENTRADA",Movimientos!$R$2:$R$1993,0)),"-")</f>
        <v>-</v>
      </c>
      <c r="H606" s="17" t="str">
        <f>IFERROR(IF(INDEX(Movimientos!$M$2:$M$1993,MATCH(A606&amp;"ENTRADA",Movimientos!$R$2:$R$1993,0))=0,"S/D",INDEX(Movimientos!$M$2:$M$1993,MATCH(A606&amp;"ENTRADA",Movimientos!$R$2:$R$1993,0))),"S/D")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2947</v>
      </c>
      <c r="B607" s="2" t="str">
        <f>IFERROR(INDEX(Movimientos!$C$2:$C$1993,MATCH(A607&amp;"ENTRADA",Movimientos!$R$2:$R$1993,0)),"-")</f>
        <v>-</v>
      </c>
      <c r="C607" s="2" t="str">
        <f>IFERROR(INDEX(Movimientos!$D$2:$D$1993,MATCH(A607&amp;"ENTRADA",Movimientos!$R$2:$R$1993,0)),"-")</f>
        <v>-</v>
      </c>
      <c r="D607" s="2" t="str">
        <f>IFERROR(INDEX(Movimientos!$E$2:$E$1993,MATCH(A607&amp;"ENTRADA",Movimientos!$R$2:$R$1993,0)),"-")</f>
        <v>-</v>
      </c>
      <c r="E607" s="2" t="str">
        <f>IFERROR(INDEX(Movimientos!$F$2:$F$1993,MATCH(A607&amp;"ENTRADA",Movimientos!$R$2:$R$1993,0)),"-")</f>
        <v>-</v>
      </c>
      <c r="F607" s="2" t="str">
        <f>IFERROR(INDEX(Movimientos!$G$2:$G$1993,MATCH(A607&amp;"ENTRADA",Movimientos!$R$2:$R$1993,0)),"-")</f>
        <v>-</v>
      </c>
      <c r="G607" s="2" t="str">
        <f>IFERROR(INDEX(Movimientos!$L$2:$L$1993,MATCH(A607&amp;"ENTRADA",Movimientos!$R$2:$R$1993,0)),"-")</f>
        <v>-</v>
      </c>
      <c r="H607" s="17" t="str">
        <f>IFERROR(IF(INDEX(Movimientos!$M$2:$M$1993,MATCH(A607&amp;"ENTRADA",Movimientos!$R$2:$R$1993,0))=0,"S/D",INDEX(Movimientos!$M$2:$M$1993,MATCH(A607&amp;"ENTRADA",Movimientos!$R$2:$R$1993,0))),"S/D")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2948</v>
      </c>
      <c r="B608" s="2" t="str">
        <f>IFERROR(INDEX(Movimientos!$C$2:$C$1993,MATCH(A608&amp;"ENTRADA",Movimientos!$R$2:$R$1993,0)),"-")</f>
        <v>-</v>
      </c>
      <c r="C608" s="2" t="str">
        <f>IFERROR(INDEX(Movimientos!$D$2:$D$1993,MATCH(A608&amp;"ENTRADA",Movimientos!$R$2:$R$1993,0)),"-")</f>
        <v>-</v>
      </c>
      <c r="D608" s="2" t="str">
        <f>IFERROR(INDEX(Movimientos!$E$2:$E$1993,MATCH(A608&amp;"ENTRADA",Movimientos!$R$2:$R$1993,0)),"-")</f>
        <v>-</v>
      </c>
      <c r="E608" s="2" t="str">
        <f>IFERROR(INDEX(Movimientos!$F$2:$F$1993,MATCH(A608&amp;"ENTRADA",Movimientos!$R$2:$R$1993,0)),"-")</f>
        <v>-</v>
      </c>
      <c r="F608" s="2" t="str">
        <f>IFERROR(INDEX(Movimientos!$G$2:$G$1993,MATCH(A608&amp;"ENTRADA",Movimientos!$R$2:$R$1993,0)),"-")</f>
        <v>-</v>
      </c>
      <c r="G608" s="2" t="str">
        <f>IFERROR(INDEX(Movimientos!$L$2:$L$1993,MATCH(A608&amp;"ENTRADA",Movimientos!$R$2:$R$1993,0)),"-")</f>
        <v>-</v>
      </c>
      <c r="H608" s="17" t="str">
        <f>IFERROR(IF(INDEX(Movimientos!$M$2:$M$1993,MATCH(A608&amp;"ENTRADA",Movimientos!$R$2:$R$1993,0))=0,"S/D",INDEX(Movimientos!$M$2:$M$1993,MATCH(A608&amp;"ENTRADA",Movimientos!$R$2:$R$1993,0))),"S/D")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2949</v>
      </c>
      <c r="B609" s="2" t="str">
        <f>IFERROR(INDEX(Movimientos!$C$2:$C$1993,MATCH(A609&amp;"ENTRADA",Movimientos!$R$2:$R$1993,0)),"-")</f>
        <v>-</v>
      </c>
      <c r="C609" s="2" t="str">
        <f>IFERROR(INDEX(Movimientos!$D$2:$D$1993,MATCH(A609&amp;"ENTRADA",Movimientos!$R$2:$R$1993,0)),"-")</f>
        <v>-</v>
      </c>
      <c r="D609" s="2" t="str">
        <f>IFERROR(INDEX(Movimientos!$E$2:$E$1993,MATCH(A609&amp;"ENTRADA",Movimientos!$R$2:$R$1993,0)),"-")</f>
        <v>-</v>
      </c>
      <c r="E609" s="2" t="str">
        <f>IFERROR(INDEX(Movimientos!$F$2:$F$1993,MATCH(A609&amp;"ENTRADA",Movimientos!$R$2:$R$1993,0)),"-")</f>
        <v>-</v>
      </c>
      <c r="F609" s="2" t="str">
        <f>IFERROR(INDEX(Movimientos!$G$2:$G$1993,MATCH(A609&amp;"ENTRADA",Movimientos!$R$2:$R$1993,0)),"-")</f>
        <v>-</v>
      </c>
      <c r="G609" s="2" t="str">
        <f>IFERROR(INDEX(Movimientos!$L$2:$L$1993,MATCH(A609&amp;"ENTRADA",Movimientos!$R$2:$R$1993,0)),"-")</f>
        <v>-</v>
      </c>
      <c r="H609" s="17" t="str">
        <f>IFERROR(IF(INDEX(Movimientos!$M$2:$M$1993,MATCH(A609&amp;"ENTRADA",Movimientos!$R$2:$R$1993,0))=0,"S/D",INDEX(Movimientos!$M$2:$M$1993,MATCH(A609&amp;"ENTRADA",Movimientos!$R$2:$R$1993,0))),"S/D")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2950</v>
      </c>
      <c r="B610" s="2" t="str">
        <f>IFERROR(INDEX(Movimientos!$C$2:$C$1993,MATCH(A610&amp;"ENTRADA",Movimientos!$R$2:$R$1993,0)),"-")</f>
        <v>-</v>
      </c>
      <c r="C610" s="2" t="str">
        <f>IFERROR(INDEX(Movimientos!$D$2:$D$1993,MATCH(A610&amp;"ENTRADA",Movimientos!$R$2:$R$1993,0)),"-")</f>
        <v>-</v>
      </c>
      <c r="D610" s="2" t="str">
        <f>IFERROR(INDEX(Movimientos!$E$2:$E$1993,MATCH(A610&amp;"ENTRADA",Movimientos!$R$2:$R$1993,0)),"-")</f>
        <v>-</v>
      </c>
      <c r="E610" s="2" t="str">
        <f>IFERROR(INDEX(Movimientos!$F$2:$F$1993,MATCH(A610&amp;"ENTRADA",Movimientos!$R$2:$R$1993,0)),"-")</f>
        <v>-</v>
      </c>
      <c r="F610" s="2" t="str">
        <f>IFERROR(INDEX(Movimientos!$G$2:$G$1993,MATCH(A610&amp;"ENTRADA",Movimientos!$R$2:$R$1993,0)),"-")</f>
        <v>-</v>
      </c>
      <c r="G610" s="2" t="str">
        <f>IFERROR(INDEX(Movimientos!$L$2:$L$1993,MATCH(A610&amp;"ENTRADA",Movimientos!$R$2:$R$1993,0)),"-")</f>
        <v>-</v>
      </c>
      <c r="H610" s="17" t="str">
        <f>IFERROR(IF(INDEX(Movimientos!$M$2:$M$1993,MATCH(A610&amp;"ENTRADA",Movimientos!$R$2:$R$1993,0))=0,"S/D",INDEX(Movimientos!$M$2:$M$1993,MATCH(A610&amp;"ENTRADA",Movimientos!$R$2:$R$1993,0))),"S/D")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2951</v>
      </c>
      <c r="B611" s="2" t="str">
        <f>IFERROR(INDEX(Movimientos!$C$2:$C$1993,MATCH(A611&amp;"ENTRADA",Movimientos!$R$2:$R$1993,0)),"-")</f>
        <v>-</v>
      </c>
      <c r="C611" s="2" t="str">
        <f>IFERROR(INDEX(Movimientos!$D$2:$D$1993,MATCH(A611&amp;"ENTRADA",Movimientos!$R$2:$R$1993,0)),"-")</f>
        <v>-</v>
      </c>
      <c r="D611" s="2" t="str">
        <f>IFERROR(INDEX(Movimientos!$E$2:$E$1993,MATCH(A611&amp;"ENTRADA",Movimientos!$R$2:$R$1993,0)),"-")</f>
        <v>-</v>
      </c>
      <c r="E611" s="2" t="str">
        <f>IFERROR(INDEX(Movimientos!$F$2:$F$1993,MATCH(A611&amp;"ENTRADA",Movimientos!$R$2:$R$1993,0)),"-")</f>
        <v>-</v>
      </c>
      <c r="F611" s="2" t="str">
        <f>IFERROR(INDEX(Movimientos!$G$2:$G$1993,MATCH(A611&amp;"ENTRADA",Movimientos!$R$2:$R$1993,0)),"-")</f>
        <v>-</v>
      </c>
      <c r="G611" s="2" t="str">
        <f>IFERROR(INDEX(Movimientos!$L$2:$L$1993,MATCH(A611&amp;"ENTRADA",Movimientos!$R$2:$R$1993,0)),"-")</f>
        <v>-</v>
      </c>
      <c r="H611" s="17" t="str">
        <f>IFERROR(IF(INDEX(Movimientos!$M$2:$M$1993,MATCH(A611&amp;"ENTRADA",Movimientos!$R$2:$R$1993,0))=0,"S/D",INDEX(Movimientos!$M$2:$M$1993,MATCH(A611&amp;"ENTRADA",Movimientos!$R$2:$R$1993,0))),"S/D")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2952</v>
      </c>
      <c r="B612" s="2" t="str">
        <f>IFERROR(INDEX(Movimientos!$C$2:$C$1993,MATCH(A612&amp;"ENTRADA",Movimientos!$R$2:$R$1993,0)),"-")</f>
        <v>-</v>
      </c>
      <c r="C612" s="2" t="str">
        <f>IFERROR(INDEX(Movimientos!$D$2:$D$1993,MATCH(A612&amp;"ENTRADA",Movimientos!$R$2:$R$1993,0)),"-")</f>
        <v>-</v>
      </c>
      <c r="D612" s="2" t="str">
        <f>IFERROR(INDEX(Movimientos!$E$2:$E$1993,MATCH(A612&amp;"ENTRADA",Movimientos!$R$2:$R$1993,0)),"-")</f>
        <v>-</v>
      </c>
      <c r="E612" s="2" t="str">
        <f>IFERROR(INDEX(Movimientos!$F$2:$F$1993,MATCH(A612&amp;"ENTRADA",Movimientos!$R$2:$R$1993,0)),"-")</f>
        <v>-</v>
      </c>
      <c r="F612" s="2" t="str">
        <f>IFERROR(INDEX(Movimientos!$G$2:$G$1993,MATCH(A612&amp;"ENTRADA",Movimientos!$R$2:$R$1993,0)),"-")</f>
        <v>-</v>
      </c>
      <c r="G612" s="2" t="str">
        <f>IFERROR(INDEX(Movimientos!$L$2:$L$1993,MATCH(A612&amp;"ENTRADA",Movimientos!$R$2:$R$1993,0)),"-")</f>
        <v>-</v>
      </c>
      <c r="H612" s="17" t="str">
        <f>IFERROR(IF(INDEX(Movimientos!$M$2:$M$1993,MATCH(A612&amp;"ENTRADA",Movimientos!$R$2:$R$1993,0))=0,"S/D",INDEX(Movimientos!$M$2:$M$1993,MATCH(A612&amp;"ENTRADA",Movimientos!$R$2:$R$1993,0))),"S/D")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2953</v>
      </c>
      <c r="B613" s="2" t="str">
        <f>IFERROR(INDEX(Movimientos!$C$2:$C$1993,MATCH(A613&amp;"ENTRADA",Movimientos!$R$2:$R$1993,0)),"-")</f>
        <v>-</v>
      </c>
      <c r="C613" s="2" t="str">
        <f>IFERROR(INDEX(Movimientos!$D$2:$D$1993,MATCH(A613&amp;"ENTRADA",Movimientos!$R$2:$R$1993,0)),"-")</f>
        <v>-</v>
      </c>
      <c r="D613" s="2" t="str">
        <f>IFERROR(INDEX(Movimientos!$E$2:$E$1993,MATCH(A613&amp;"ENTRADA",Movimientos!$R$2:$R$1993,0)),"-")</f>
        <v>-</v>
      </c>
      <c r="E613" s="2" t="str">
        <f>IFERROR(INDEX(Movimientos!$F$2:$F$1993,MATCH(A613&amp;"ENTRADA",Movimientos!$R$2:$R$1993,0)),"-")</f>
        <v>-</v>
      </c>
      <c r="F613" s="2" t="str">
        <f>IFERROR(INDEX(Movimientos!$G$2:$G$1993,MATCH(A613&amp;"ENTRADA",Movimientos!$R$2:$R$1993,0)),"-")</f>
        <v>-</v>
      </c>
      <c r="G613" s="2" t="str">
        <f>IFERROR(INDEX(Movimientos!$L$2:$L$1993,MATCH(A613&amp;"ENTRADA",Movimientos!$R$2:$R$1993,0)),"-")</f>
        <v>-</v>
      </c>
      <c r="H613" s="17" t="str">
        <f>IFERROR(IF(INDEX(Movimientos!$M$2:$M$1993,MATCH(A613&amp;"ENTRADA",Movimientos!$R$2:$R$1993,0))=0,"S/D",INDEX(Movimientos!$M$2:$M$1993,MATCH(A613&amp;"ENTRADA",Movimientos!$R$2:$R$1993,0))),"S/D")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2954</v>
      </c>
      <c r="B614" s="2" t="str">
        <f>IFERROR(INDEX(Movimientos!$C$2:$C$1993,MATCH(A614&amp;"ENTRADA",Movimientos!$R$2:$R$1993,0)),"-")</f>
        <v>-</v>
      </c>
      <c r="C614" s="2" t="str">
        <f>IFERROR(INDEX(Movimientos!$D$2:$D$1993,MATCH(A614&amp;"ENTRADA",Movimientos!$R$2:$R$1993,0)),"-")</f>
        <v>-</v>
      </c>
      <c r="D614" s="2" t="str">
        <f>IFERROR(INDEX(Movimientos!$E$2:$E$1993,MATCH(A614&amp;"ENTRADA",Movimientos!$R$2:$R$1993,0)),"-")</f>
        <v>-</v>
      </c>
      <c r="E614" s="2" t="str">
        <f>IFERROR(INDEX(Movimientos!$F$2:$F$1993,MATCH(A614&amp;"ENTRADA",Movimientos!$R$2:$R$1993,0)),"-")</f>
        <v>-</v>
      </c>
      <c r="F614" s="2" t="str">
        <f>IFERROR(INDEX(Movimientos!$G$2:$G$1993,MATCH(A614&amp;"ENTRADA",Movimientos!$R$2:$R$1993,0)),"-")</f>
        <v>-</v>
      </c>
      <c r="G614" s="2" t="str">
        <f>IFERROR(INDEX(Movimientos!$L$2:$L$1993,MATCH(A614&amp;"ENTRADA",Movimientos!$R$2:$R$1993,0)),"-")</f>
        <v>-</v>
      </c>
      <c r="H614" s="17" t="str">
        <f>IFERROR(IF(INDEX(Movimientos!$M$2:$M$1993,MATCH(A614&amp;"ENTRADA",Movimientos!$R$2:$R$1993,0))=0,"S/D",INDEX(Movimientos!$M$2:$M$1993,MATCH(A614&amp;"ENTRADA",Movimientos!$R$2:$R$1993,0))),"S/D")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2955</v>
      </c>
      <c r="B615" s="2" t="str">
        <f>IFERROR(INDEX(Movimientos!$C$2:$C$1993,MATCH(A615&amp;"ENTRADA",Movimientos!$R$2:$R$1993,0)),"-")</f>
        <v>-</v>
      </c>
      <c r="C615" s="2" t="str">
        <f>IFERROR(INDEX(Movimientos!$D$2:$D$1993,MATCH(A615&amp;"ENTRADA",Movimientos!$R$2:$R$1993,0)),"-")</f>
        <v>-</v>
      </c>
      <c r="D615" s="2" t="str">
        <f>IFERROR(INDEX(Movimientos!$E$2:$E$1993,MATCH(A615&amp;"ENTRADA",Movimientos!$R$2:$R$1993,0)),"-")</f>
        <v>-</v>
      </c>
      <c r="E615" s="2" t="str">
        <f>IFERROR(INDEX(Movimientos!$F$2:$F$1993,MATCH(A615&amp;"ENTRADA",Movimientos!$R$2:$R$1993,0)),"-")</f>
        <v>-</v>
      </c>
      <c r="F615" s="2" t="str">
        <f>IFERROR(INDEX(Movimientos!$G$2:$G$1993,MATCH(A615&amp;"ENTRADA",Movimientos!$R$2:$R$1993,0)),"-")</f>
        <v>-</v>
      </c>
      <c r="G615" s="2" t="str">
        <f>IFERROR(INDEX(Movimientos!$L$2:$L$1993,MATCH(A615&amp;"ENTRADA",Movimientos!$R$2:$R$1993,0)),"-")</f>
        <v>-</v>
      </c>
      <c r="H615" s="17" t="str">
        <f>IFERROR(IF(INDEX(Movimientos!$M$2:$M$1993,MATCH(A615&amp;"ENTRADA",Movimientos!$R$2:$R$1993,0))=0,"S/D",INDEX(Movimientos!$M$2:$M$1993,MATCH(A615&amp;"ENTRADA",Movimientos!$R$2:$R$1993,0))),"S/D")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2956</v>
      </c>
      <c r="B616" s="2" t="str">
        <f>IFERROR(INDEX(Movimientos!$C$2:$C$1993,MATCH(A616&amp;"ENTRADA",Movimientos!$R$2:$R$1993,0)),"-")</f>
        <v>-</v>
      </c>
      <c r="C616" s="2" t="str">
        <f>IFERROR(INDEX(Movimientos!$D$2:$D$1993,MATCH(A616&amp;"ENTRADA",Movimientos!$R$2:$R$1993,0)),"-")</f>
        <v>-</v>
      </c>
      <c r="D616" s="2" t="str">
        <f>IFERROR(INDEX(Movimientos!$E$2:$E$1993,MATCH(A616&amp;"ENTRADA",Movimientos!$R$2:$R$1993,0)),"-")</f>
        <v>-</v>
      </c>
      <c r="E616" s="2" t="str">
        <f>IFERROR(INDEX(Movimientos!$F$2:$F$1993,MATCH(A616&amp;"ENTRADA",Movimientos!$R$2:$R$1993,0)),"-")</f>
        <v>-</v>
      </c>
      <c r="F616" s="2" t="str">
        <f>IFERROR(INDEX(Movimientos!$G$2:$G$1993,MATCH(A616&amp;"ENTRADA",Movimientos!$R$2:$R$1993,0)),"-")</f>
        <v>-</v>
      </c>
      <c r="G616" s="2" t="str">
        <f>IFERROR(INDEX(Movimientos!$L$2:$L$1993,MATCH(A616&amp;"ENTRADA",Movimientos!$R$2:$R$1993,0)),"-")</f>
        <v>-</v>
      </c>
      <c r="H616" s="17" t="str">
        <f>IFERROR(IF(INDEX(Movimientos!$M$2:$M$1993,MATCH(A616&amp;"ENTRADA",Movimientos!$R$2:$R$1993,0))=0,"S/D",INDEX(Movimientos!$M$2:$M$1993,MATCH(A616&amp;"ENTRADA",Movimientos!$R$2:$R$1993,0))),"S/D")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2957</v>
      </c>
      <c r="B617" s="2" t="str">
        <f>IFERROR(INDEX(Movimientos!$C$2:$C$1993,MATCH(A617&amp;"ENTRADA",Movimientos!$R$2:$R$1993,0)),"-")</f>
        <v>-</v>
      </c>
      <c r="C617" s="2" t="str">
        <f>IFERROR(INDEX(Movimientos!$D$2:$D$1993,MATCH(A617&amp;"ENTRADA",Movimientos!$R$2:$R$1993,0)),"-")</f>
        <v>-</v>
      </c>
      <c r="D617" s="2" t="str">
        <f>IFERROR(INDEX(Movimientos!$E$2:$E$1993,MATCH(A617&amp;"ENTRADA",Movimientos!$R$2:$R$1993,0)),"-")</f>
        <v>-</v>
      </c>
      <c r="E617" s="2" t="str">
        <f>IFERROR(INDEX(Movimientos!$F$2:$F$1993,MATCH(A617&amp;"ENTRADA",Movimientos!$R$2:$R$1993,0)),"-")</f>
        <v>-</v>
      </c>
      <c r="F617" s="2" t="str">
        <f>IFERROR(INDEX(Movimientos!$G$2:$G$1993,MATCH(A617&amp;"ENTRADA",Movimientos!$R$2:$R$1993,0)),"-")</f>
        <v>-</v>
      </c>
      <c r="G617" s="2" t="str">
        <f>IFERROR(INDEX(Movimientos!$L$2:$L$1993,MATCH(A617&amp;"ENTRADA",Movimientos!$R$2:$R$1993,0)),"-")</f>
        <v>-</v>
      </c>
      <c r="H617" s="17" t="str">
        <f>IFERROR(IF(INDEX(Movimientos!$M$2:$M$1993,MATCH(A617&amp;"ENTRADA",Movimientos!$R$2:$R$1993,0))=0,"S/D",INDEX(Movimientos!$M$2:$M$1993,MATCH(A617&amp;"ENTRADA",Movimientos!$R$2:$R$1993,0))),"S/D")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2958</v>
      </c>
      <c r="B618" s="2" t="str">
        <f>IFERROR(INDEX(Movimientos!$C$2:$C$1993,MATCH(A618&amp;"ENTRADA",Movimientos!$R$2:$R$1993,0)),"-")</f>
        <v>-</v>
      </c>
      <c r="C618" s="2" t="str">
        <f>IFERROR(INDEX(Movimientos!$D$2:$D$1993,MATCH(A618&amp;"ENTRADA",Movimientos!$R$2:$R$1993,0)),"-")</f>
        <v>-</v>
      </c>
      <c r="D618" s="2" t="str">
        <f>IFERROR(INDEX(Movimientos!$E$2:$E$1993,MATCH(A618&amp;"ENTRADA",Movimientos!$R$2:$R$1993,0)),"-")</f>
        <v>-</v>
      </c>
      <c r="E618" s="2" t="str">
        <f>IFERROR(INDEX(Movimientos!$F$2:$F$1993,MATCH(A618&amp;"ENTRADA",Movimientos!$R$2:$R$1993,0)),"-")</f>
        <v>-</v>
      </c>
      <c r="F618" s="2" t="str">
        <f>IFERROR(INDEX(Movimientos!$G$2:$G$1993,MATCH(A618&amp;"ENTRADA",Movimientos!$R$2:$R$1993,0)),"-")</f>
        <v>-</v>
      </c>
      <c r="G618" s="2" t="str">
        <f>IFERROR(INDEX(Movimientos!$L$2:$L$1993,MATCH(A618&amp;"ENTRADA",Movimientos!$R$2:$R$1993,0)),"-")</f>
        <v>-</v>
      </c>
      <c r="H618" s="17" t="str">
        <f>IFERROR(IF(INDEX(Movimientos!$M$2:$M$1993,MATCH(A618&amp;"ENTRADA",Movimientos!$R$2:$R$1993,0))=0,"S/D",INDEX(Movimientos!$M$2:$M$1993,MATCH(A618&amp;"ENTRADA",Movimientos!$R$2:$R$1993,0))),"S/D")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2959</v>
      </c>
      <c r="B619" s="2" t="str">
        <f>IFERROR(INDEX(Movimientos!$C$2:$C$1993,MATCH(A619&amp;"ENTRADA",Movimientos!$R$2:$R$1993,0)),"-")</f>
        <v>-</v>
      </c>
      <c r="C619" s="2" t="str">
        <f>IFERROR(INDEX(Movimientos!$D$2:$D$1993,MATCH(A619&amp;"ENTRADA",Movimientos!$R$2:$R$1993,0)),"-")</f>
        <v>-</v>
      </c>
      <c r="D619" s="2" t="str">
        <f>IFERROR(INDEX(Movimientos!$E$2:$E$1993,MATCH(A619&amp;"ENTRADA",Movimientos!$R$2:$R$1993,0)),"-")</f>
        <v>-</v>
      </c>
      <c r="E619" s="2" t="str">
        <f>IFERROR(INDEX(Movimientos!$F$2:$F$1993,MATCH(A619&amp;"ENTRADA",Movimientos!$R$2:$R$1993,0)),"-")</f>
        <v>-</v>
      </c>
      <c r="F619" s="2" t="str">
        <f>IFERROR(INDEX(Movimientos!$G$2:$G$1993,MATCH(A619&amp;"ENTRADA",Movimientos!$R$2:$R$1993,0)),"-")</f>
        <v>-</v>
      </c>
      <c r="G619" s="2" t="str">
        <f>IFERROR(INDEX(Movimientos!$L$2:$L$1993,MATCH(A619&amp;"ENTRADA",Movimientos!$R$2:$R$1993,0)),"-")</f>
        <v>-</v>
      </c>
      <c r="H619" s="17" t="str">
        <f>IFERROR(IF(INDEX(Movimientos!$M$2:$M$1993,MATCH(A619&amp;"ENTRADA",Movimientos!$R$2:$R$1993,0))=0,"S/D",INDEX(Movimientos!$M$2:$M$1993,MATCH(A619&amp;"ENTRADA",Movimientos!$R$2:$R$1993,0))),"S/D")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2960</v>
      </c>
      <c r="B620" s="2" t="str">
        <f>IFERROR(INDEX(Movimientos!$C$2:$C$1993,MATCH(A620&amp;"ENTRADA",Movimientos!$R$2:$R$1993,0)),"-")</f>
        <v>-</v>
      </c>
      <c r="C620" s="2" t="str">
        <f>IFERROR(INDEX(Movimientos!$D$2:$D$1993,MATCH(A620&amp;"ENTRADA",Movimientos!$R$2:$R$1993,0)),"-")</f>
        <v>-</v>
      </c>
      <c r="D620" s="2" t="str">
        <f>IFERROR(INDEX(Movimientos!$E$2:$E$1993,MATCH(A620&amp;"ENTRADA",Movimientos!$R$2:$R$1993,0)),"-")</f>
        <v>-</v>
      </c>
      <c r="E620" s="2" t="str">
        <f>IFERROR(INDEX(Movimientos!$F$2:$F$1993,MATCH(A620&amp;"ENTRADA",Movimientos!$R$2:$R$1993,0)),"-")</f>
        <v>-</v>
      </c>
      <c r="F620" s="2" t="str">
        <f>IFERROR(INDEX(Movimientos!$G$2:$G$1993,MATCH(A620&amp;"ENTRADA",Movimientos!$R$2:$R$1993,0)),"-")</f>
        <v>-</v>
      </c>
      <c r="G620" s="2" t="str">
        <f>IFERROR(INDEX(Movimientos!$L$2:$L$1993,MATCH(A620&amp;"ENTRADA",Movimientos!$R$2:$R$1993,0)),"-")</f>
        <v>-</v>
      </c>
      <c r="H620" s="17" t="str">
        <f>IFERROR(IF(INDEX(Movimientos!$M$2:$M$1993,MATCH(A620&amp;"ENTRADA",Movimientos!$R$2:$R$1993,0))=0,"S/D",INDEX(Movimientos!$M$2:$M$1993,MATCH(A620&amp;"ENTRADA",Movimientos!$R$2:$R$1993,0))),"S/D")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2961</v>
      </c>
      <c r="B621" s="2" t="str">
        <f>IFERROR(INDEX(Movimientos!$C$2:$C$1993,MATCH(A621&amp;"ENTRADA",Movimientos!$R$2:$R$1993,0)),"-")</f>
        <v>-</v>
      </c>
      <c r="C621" s="2" t="str">
        <f>IFERROR(INDEX(Movimientos!$D$2:$D$1993,MATCH(A621&amp;"ENTRADA",Movimientos!$R$2:$R$1993,0)),"-")</f>
        <v>-</v>
      </c>
      <c r="D621" s="2" t="str">
        <f>IFERROR(INDEX(Movimientos!$E$2:$E$1993,MATCH(A621&amp;"ENTRADA",Movimientos!$R$2:$R$1993,0)),"-")</f>
        <v>-</v>
      </c>
      <c r="E621" s="2" t="str">
        <f>IFERROR(INDEX(Movimientos!$F$2:$F$1993,MATCH(A621&amp;"ENTRADA",Movimientos!$R$2:$R$1993,0)),"-")</f>
        <v>-</v>
      </c>
      <c r="F621" s="2" t="str">
        <f>IFERROR(INDEX(Movimientos!$G$2:$G$1993,MATCH(A621&amp;"ENTRADA",Movimientos!$R$2:$R$1993,0)),"-")</f>
        <v>-</v>
      </c>
      <c r="G621" s="2" t="str">
        <f>IFERROR(INDEX(Movimientos!$L$2:$L$1993,MATCH(A621&amp;"ENTRADA",Movimientos!$R$2:$R$1993,0)),"-")</f>
        <v>-</v>
      </c>
      <c r="H621" s="17" t="str">
        <f>IFERROR(IF(INDEX(Movimientos!$M$2:$M$1993,MATCH(A621&amp;"ENTRADA",Movimientos!$R$2:$R$1993,0))=0,"S/D",INDEX(Movimientos!$M$2:$M$1993,MATCH(A621&amp;"ENTRADA",Movimientos!$R$2:$R$1993,0))),"S/D")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2962</v>
      </c>
      <c r="B622" s="2" t="str">
        <f>IFERROR(INDEX(Movimientos!$C$2:$C$1993,MATCH(A622&amp;"ENTRADA",Movimientos!$R$2:$R$1993,0)),"-")</f>
        <v>-</v>
      </c>
      <c r="C622" s="2" t="str">
        <f>IFERROR(INDEX(Movimientos!$D$2:$D$1993,MATCH(A622&amp;"ENTRADA",Movimientos!$R$2:$R$1993,0)),"-")</f>
        <v>-</v>
      </c>
      <c r="D622" s="2" t="str">
        <f>IFERROR(INDEX(Movimientos!$E$2:$E$1993,MATCH(A622&amp;"ENTRADA",Movimientos!$R$2:$R$1993,0)),"-")</f>
        <v>-</v>
      </c>
      <c r="E622" s="2" t="str">
        <f>IFERROR(INDEX(Movimientos!$F$2:$F$1993,MATCH(A622&amp;"ENTRADA",Movimientos!$R$2:$R$1993,0)),"-")</f>
        <v>-</v>
      </c>
      <c r="F622" s="2" t="str">
        <f>IFERROR(INDEX(Movimientos!$G$2:$G$1993,MATCH(A622&amp;"ENTRADA",Movimientos!$R$2:$R$1993,0)),"-")</f>
        <v>-</v>
      </c>
      <c r="G622" s="2" t="str">
        <f>IFERROR(INDEX(Movimientos!$L$2:$L$1993,MATCH(A622&amp;"ENTRADA",Movimientos!$R$2:$R$1993,0)),"-")</f>
        <v>-</v>
      </c>
      <c r="H622" s="17" t="str">
        <f>IFERROR(IF(INDEX(Movimientos!$M$2:$M$1993,MATCH(A622&amp;"ENTRADA",Movimientos!$R$2:$R$1993,0))=0,"S/D",INDEX(Movimientos!$M$2:$M$1993,MATCH(A622&amp;"ENTRADA",Movimientos!$R$2:$R$1993,0))),"S/D")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2963</v>
      </c>
      <c r="B623" s="2" t="str">
        <f>IFERROR(INDEX(Movimientos!$C$2:$C$1993,MATCH(A623&amp;"ENTRADA",Movimientos!$R$2:$R$1993,0)),"-")</f>
        <v>-</v>
      </c>
      <c r="C623" s="2" t="str">
        <f>IFERROR(INDEX(Movimientos!$D$2:$D$1993,MATCH(A623&amp;"ENTRADA",Movimientos!$R$2:$R$1993,0)),"-")</f>
        <v>-</v>
      </c>
      <c r="D623" s="2" t="str">
        <f>IFERROR(INDEX(Movimientos!$E$2:$E$1993,MATCH(A623&amp;"ENTRADA",Movimientos!$R$2:$R$1993,0)),"-")</f>
        <v>-</v>
      </c>
      <c r="E623" s="2" t="str">
        <f>IFERROR(INDEX(Movimientos!$F$2:$F$1993,MATCH(A623&amp;"ENTRADA",Movimientos!$R$2:$R$1993,0)),"-")</f>
        <v>-</v>
      </c>
      <c r="F623" s="2" t="str">
        <f>IFERROR(INDEX(Movimientos!$G$2:$G$1993,MATCH(A623&amp;"ENTRADA",Movimientos!$R$2:$R$1993,0)),"-")</f>
        <v>-</v>
      </c>
      <c r="G623" s="2" t="str">
        <f>IFERROR(INDEX(Movimientos!$L$2:$L$1993,MATCH(A623&amp;"ENTRADA",Movimientos!$R$2:$R$1993,0)),"-")</f>
        <v>-</v>
      </c>
      <c r="H623" s="17" t="str">
        <f>IFERROR(IF(INDEX(Movimientos!$M$2:$M$1993,MATCH(A623&amp;"ENTRADA",Movimientos!$R$2:$R$1993,0))=0,"S/D",INDEX(Movimientos!$M$2:$M$1993,MATCH(A623&amp;"ENTRADA",Movimientos!$R$2:$R$1993,0))),"S/D")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2964</v>
      </c>
      <c r="B624" s="2" t="str">
        <f>IFERROR(INDEX(Movimientos!$C$2:$C$1993,MATCH(A624&amp;"ENTRADA",Movimientos!$R$2:$R$1993,0)),"-")</f>
        <v>-</v>
      </c>
      <c r="C624" s="2" t="str">
        <f>IFERROR(INDEX(Movimientos!$D$2:$D$1993,MATCH(A624&amp;"ENTRADA",Movimientos!$R$2:$R$1993,0)),"-")</f>
        <v>-</v>
      </c>
      <c r="D624" s="2" t="str">
        <f>IFERROR(INDEX(Movimientos!$E$2:$E$1993,MATCH(A624&amp;"ENTRADA",Movimientos!$R$2:$R$1993,0)),"-")</f>
        <v>-</v>
      </c>
      <c r="E624" s="2" t="str">
        <f>IFERROR(INDEX(Movimientos!$F$2:$F$1993,MATCH(A624&amp;"ENTRADA",Movimientos!$R$2:$R$1993,0)),"-")</f>
        <v>-</v>
      </c>
      <c r="F624" s="2" t="str">
        <f>IFERROR(INDEX(Movimientos!$G$2:$G$1993,MATCH(A624&amp;"ENTRADA",Movimientos!$R$2:$R$1993,0)),"-")</f>
        <v>-</v>
      </c>
      <c r="G624" s="2" t="str">
        <f>IFERROR(INDEX(Movimientos!$L$2:$L$1993,MATCH(A624&amp;"ENTRADA",Movimientos!$R$2:$R$1993,0)),"-")</f>
        <v>-</v>
      </c>
      <c r="H624" s="17" t="str">
        <f>IFERROR(IF(INDEX(Movimientos!$M$2:$M$1993,MATCH(A624&amp;"ENTRADA",Movimientos!$R$2:$R$1993,0))=0,"S/D",INDEX(Movimientos!$M$2:$M$1993,MATCH(A624&amp;"ENTRADA",Movimientos!$R$2:$R$1993,0))),"S/D")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2965</v>
      </c>
      <c r="B625" s="2" t="str">
        <f>IFERROR(INDEX(Movimientos!$C$2:$C$1993,MATCH(A625&amp;"ENTRADA",Movimientos!$R$2:$R$1993,0)),"-")</f>
        <v>-</v>
      </c>
      <c r="C625" s="2" t="str">
        <f>IFERROR(INDEX(Movimientos!$D$2:$D$1993,MATCH(A625&amp;"ENTRADA",Movimientos!$R$2:$R$1993,0)),"-")</f>
        <v>-</v>
      </c>
      <c r="D625" s="2" t="str">
        <f>IFERROR(INDEX(Movimientos!$E$2:$E$1993,MATCH(A625&amp;"ENTRADA",Movimientos!$R$2:$R$1993,0)),"-")</f>
        <v>-</v>
      </c>
      <c r="E625" s="2" t="str">
        <f>IFERROR(INDEX(Movimientos!$F$2:$F$1993,MATCH(A625&amp;"ENTRADA",Movimientos!$R$2:$R$1993,0)),"-")</f>
        <v>-</v>
      </c>
      <c r="F625" s="2" t="str">
        <f>IFERROR(INDEX(Movimientos!$G$2:$G$1993,MATCH(A625&amp;"ENTRADA",Movimientos!$R$2:$R$1993,0)),"-")</f>
        <v>-</v>
      </c>
      <c r="G625" s="2" t="str">
        <f>IFERROR(INDEX(Movimientos!$L$2:$L$1993,MATCH(A625&amp;"ENTRADA",Movimientos!$R$2:$R$1993,0)),"-")</f>
        <v>-</v>
      </c>
      <c r="H625" s="17" t="str">
        <f>IFERROR(IF(INDEX(Movimientos!$M$2:$M$1993,MATCH(A625&amp;"ENTRADA",Movimientos!$R$2:$R$1993,0))=0,"S/D",INDEX(Movimientos!$M$2:$M$1993,MATCH(A625&amp;"ENTRADA",Movimientos!$R$2:$R$1993,0))),"S/D")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2966</v>
      </c>
      <c r="B626" s="2" t="str">
        <f>IFERROR(INDEX(Movimientos!$C$2:$C$1993,MATCH(A626&amp;"ENTRADA",Movimientos!$R$2:$R$1993,0)),"-")</f>
        <v>-</v>
      </c>
      <c r="C626" s="2" t="str">
        <f>IFERROR(INDEX(Movimientos!$D$2:$D$1993,MATCH(A626&amp;"ENTRADA",Movimientos!$R$2:$R$1993,0)),"-")</f>
        <v>-</v>
      </c>
      <c r="D626" s="2" t="str">
        <f>IFERROR(INDEX(Movimientos!$E$2:$E$1993,MATCH(A626&amp;"ENTRADA",Movimientos!$R$2:$R$1993,0)),"-")</f>
        <v>-</v>
      </c>
      <c r="E626" s="2" t="str">
        <f>IFERROR(INDEX(Movimientos!$F$2:$F$1993,MATCH(A626&amp;"ENTRADA",Movimientos!$R$2:$R$1993,0)),"-")</f>
        <v>-</v>
      </c>
      <c r="F626" s="2" t="str">
        <f>IFERROR(INDEX(Movimientos!$G$2:$G$1993,MATCH(A626&amp;"ENTRADA",Movimientos!$R$2:$R$1993,0)),"-")</f>
        <v>-</v>
      </c>
      <c r="G626" s="2" t="str">
        <f>IFERROR(INDEX(Movimientos!$L$2:$L$1993,MATCH(A626&amp;"ENTRADA",Movimientos!$R$2:$R$1993,0)),"-")</f>
        <v>-</v>
      </c>
      <c r="H626" s="17" t="str">
        <f>IFERROR(IF(INDEX(Movimientos!$M$2:$M$1993,MATCH(A626&amp;"ENTRADA",Movimientos!$R$2:$R$1993,0))=0,"S/D",INDEX(Movimientos!$M$2:$M$1993,MATCH(A626&amp;"ENTRADA",Movimientos!$R$2:$R$1993,0))),"S/D")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2967</v>
      </c>
      <c r="B627" s="2" t="str">
        <f>IFERROR(INDEX(Movimientos!$C$2:$C$1993,MATCH(A627&amp;"ENTRADA",Movimientos!$R$2:$R$1993,0)),"-")</f>
        <v>-</v>
      </c>
      <c r="C627" s="2" t="str">
        <f>IFERROR(INDEX(Movimientos!$D$2:$D$1993,MATCH(A627&amp;"ENTRADA",Movimientos!$R$2:$R$1993,0)),"-")</f>
        <v>-</v>
      </c>
      <c r="D627" s="2" t="str">
        <f>IFERROR(INDEX(Movimientos!$E$2:$E$1993,MATCH(A627&amp;"ENTRADA",Movimientos!$R$2:$R$1993,0)),"-")</f>
        <v>-</v>
      </c>
      <c r="E627" s="2" t="str">
        <f>IFERROR(INDEX(Movimientos!$F$2:$F$1993,MATCH(A627&amp;"ENTRADA",Movimientos!$R$2:$R$1993,0)),"-")</f>
        <v>-</v>
      </c>
      <c r="F627" s="2" t="str">
        <f>IFERROR(INDEX(Movimientos!$G$2:$G$1993,MATCH(A627&amp;"ENTRADA",Movimientos!$R$2:$R$1993,0)),"-")</f>
        <v>-</v>
      </c>
      <c r="G627" s="2" t="str">
        <f>IFERROR(INDEX(Movimientos!$L$2:$L$1993,MATCH(A627&amp;"ENTRADA",Movimientos!$R$2:$R$1993,0)),"-")</f>
        <v>-</v>
      </c>
      <c r="H627" s="17" t="str">
        <f>IFERROR(IF(INDEX(Movimientos!$M$2:$M$1993,MATCH(A627&amp;"ENTRADA",Movimientos!$R$2:$R$1993,0))=0,"S/D",INDEX(Movimientos!$M$2:$M$1993,MATCH(A627&amp;"ENTRADA",Movimientos!$R$2:$R$1993,0))),"S/D")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2968</v>
      </c>
      <c r="B628" s="2" t="str">
        <f>IFERROR(INDEX(Movimientos!$C$2:$C$1993,MATCH(A628&amp;"ENTRADA",Movimientos!$R$2:$R$1993,0)),"-")</f>
        <v>-</v>
      </c>
      <c r="C628" s="2" t="str">
        <f>IFERROR(INDEX(Movimientos!$D$2:$D$1993,MATCH(A628&amp;"ENTRADA",Movimientos!$R$2:$R$1993,0)),"-")</f>
        <v>-</v>
      </c>
      <c r="D628" s="2" t="str">
        <f>IFERROR(INDEX(Movimientos!$E$2:$E$1993,MATCH(A628&amp;"ENTRADA",Movimientos!$R$2:$R$1993,0)),"-")</f>
        <v>-</v>
      </c>
      <c r="E628" s="2" t="str">
        <f>IFERROR(INDEX(Movimientos!$F$2:$F$1993,MATCH(A628&amp;"ENTRADA",Movimientos!$R$2:$R$1993,0)),"-")</f>
        <v>-</v>
      </c>
      <c r="F628" s="2" t="str">
        <f>IFERROR(INDEX(Movimientos!$G$2:$G$1993,MATCH(A628&amp;"ENTRADA",Movimientos!$R$2:$R$1993,0)),"-")</f>
        <v>-</v>
      </c>
      <c r="G628" s="2" t="str">
        <f>IFERROR(INDEX(Movimientos!$L$2:$L$1993,MATCH(A628&amp;"ENTRADA",Movimientos!$R$2:$R$1993,0)),"-")</f>
        <v>-</v>
      </c>
      <c r="H628" s="17" t="str">
        <f>IFERROR(IF(INDEX(Movimientos!$M$2:$M$1993,MATCH(A628&amp;"ENTRADA",Movimientos!$R$2:$R$1993,0))=0,"S/D",INDEX(Movimientos!$M$2:$M$1993,MATCH(A628&amp;"ENTRADA",Movimientos!$R$2:$R$1993,0))),"S/D")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2969</v>
      </c>
      <c r="B629" s="2" t="str">
        <f>IFERROR(INDEX(Movimientos!$C$2:$C$1993,MATCH(A629&amp;"ENTRADA",Movimientos!$R$2:$R$1993,0)),"-")</f>
        <v>-</v>
      </c>
      <c r="C629" s="2" t="str">
        <f>IFERROR(INDEX(Movimientos!$D$2:$D$1993,MATCH(A629&amp;"ENTRADA",Movimientos!$R$2:$R$1993,0)),"-")</f>
        <v>-</v>
      </c>
      <c r="D629" s="2" t="str">
        <f>IFERROR(INDEX(Movimientos!$E$2:$E$1993,MATCH(A629&amp;"ENTRADA",Movimientos!$R$2:$R$1993,0)),"-")</f>
        <v>-</v>
      </c>
      <c r="E629" s="2" t="str">
        <f>IFERROR(INDEX(Movimientos!$F$2:$F$1993,MATCH(A629&amp;"ENTRADA",Movimientos!$R$2:$R$1993,0)),"-")</f>
        <v>-</v>
      </c>
      <c r="F629" s="2" t="str">
        <f>IFERROR(INDEX(Movimientos!$G$2:$G$1993,MATCH(A629&amp;"ENTRADA",Movimientos!$R$2:$R$1993,0)),"-")</f>
        <v>-</v>
      </c>
      <c r="G629" s="2" t="str">
        <f>IFERROR(INDEX(Movimientos!$L$2:$L$1993,MATCH(A629&amp;"ENTRADA",Movimientos!$R$2:$R$1993,0)),"-")</f>
        <v>-</v>
      </c>
      <c r="H629" s="17" t="str">
        <f>IFERROR(IF(INDEX(Movimientos!$M$2:$M$1993,MATCH(A629&amp;"ENTRADA",Movimientos!$R$2:$R$1993,0))=0,"S/D",INDEX(Movimientos!$M$2:$M$1993,MATCH(A629&amp;"ENTRADA",Movimientos!$R$2:$R$1993,0))),"S/D")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2970</v>
      </c>
      <c r="B630" s="2" t="str">
        <f>IFERROR(INDEX(Movimientos!$C$2:$C$1993,MATCH(A630&amp;"ENTRADA",Movimientos!$R$2:$R$1993,0)),"-")</f>
        <v>-</v>
      </c>
      <c r="C630" s="2" t="str">
        <f>IFERROR(INDEX(Movimientos!$D$2:$D$1993,MATCH(A630&amp;"ENTRADA",Movimientos!$R$2:$R$1993,0)),"-")</f>
        <v>-</v>
      </c>
      <c r="D630" s="2" t="str">
        <f>IFERROR(INDEX(Movimientos!$E$2:$E$1993,MATCH(A630&amp;"ENTRADA",Movimientos!$R$2:$R$1993,0)),"-")</f>
        <v>-</v>
      </c>
      <c r="E630" s="2" t="str">
        <f>IFERROR(INDEX(Movimientos!$F$2:$F$1993,MATCH(A630&amp;"ENTRADA",Movimientos!$R$2:$R$1993,0)),"-")</f>
        <v>-</v>
      </c>
      <c r="F630" s="2" t="str">
        <f>IFERROR(INDEX(Movimientos!$G$2:$G$1993,MATCH(A630&amp;"ENTRADA",Movimientos!$R$2:$R$1993,0)),"-")</f>
        <v>-</v>
      </c>
      <c r="G630" s="2" t="str">
        <f>IFERROR(INDEX(Movimientos!$L$2:$L$1993,MATCH(A630&amp;"ENTRADA",Movimientos!$R$2:$R$1993,0)),"-")</f>
        <v>-</v>
      </c>
      <c r="H630" s="17" t="str">
        <f>IFERROR(IF(INDEX(Movimientos!$M$2:$M$1993,MATCH(A630&amp;"ENTRADA",Movimientos!$R$2:$R$1993,0))=0,"S/D",INDEX(Movimientos!$M$2:$M$1993,MATCH(A630&amp;"ENTRADA",Movimientos!$R$2:$R$1993,0))),"S/D")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2971</v>
      </c>
      <c r="B631" s="2" t="str">
        <f>IFERROR(INDEX(Movimientos!$C$2:$C$1993,MATCH(A631&amp;"ENTRADA",Movimientos!$R$2:$R$1993,0)),"-")</f>
        <v>-</v>
      </c>
      <c r="C631" s="2" t="str">
        <f>IFERROR(INDEX(Movimientos!$D$2:$D$1993,MATCH(A631&amp;"ENTRADA",Movimientos!$R$2:$R$1993,0)),"-")</f>
        <v>-</v>
      </c>
      <c r="D631" s="2" t="str">
        <f>IFERROR(INDEX(Movimientos!$E$2:$E$1993,MATCH(A631&amp;"ENTRADA",Movimientos!$R$2:$R$1993,0)),"-")</f>
        <v>-</v>
      </c>
      <c r="E631" s="2" t="str">
        <f>IFERROR(INDEX(Movimientos!$F$2:$F$1993,MATCH(A631&amp;"ENTRADA",Movimientos!$R$2:$R$1993,0)),"-")</f>
        <v>-</v>
      </c>
      <c r="F631" s="2" t="str">
        <f>IFERROR(INDEX(Movimientos!$G$2:$G$1993,MATCH(A631&amp;"ENTRADA",Movimientos!$R$2:$R$1993,0)),"-")</f>
        <v>-</v>
      </c>
      <c r="G631" s="2" t="str">
        <f>IFERROR(INDEX(Movimientos!$L$2:$L$1993,MATCH(A631&amp;"ENTRADA",Movimientos!$R$2:$R$1993,0)),"-")</f>
        <v>-</v>
      </c>
      <c r="H631" s="17" t="str">
        <f>IFERROR(IF(INDEX(Movimientos!$M$2:$M$1993,MATCH(A631&amp;"ENTRADA",Movimientos!$R$2:$R$1993,0))=0,"S/D",INDEX(Movimientos!$M$2:$M$1993,MATCH(A631&amp;"ENTRADA",Movimientos!$R$2:$R$1993,0))),"S/D")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2972</v>
      </c>
      <c r="B632" s="2" t="str">
        <f>IFERROR(INDEX(Movimientos!$C$2:$C$1993,MATCH(A632&amp;"ENTRADA",Movimientos!$R$2:$R$1993,0)),"-")</f>
        <v>-</v>
      </c>
      <c r="C632" s="2" t="str">
        <f>IFERROR(INDEX(Movimientos!$D$2:$D$1993,MATCH(A632&amp;"ENTRADA",Movimientos!$R$2:$R$1993,0)),"-")</f>
        <v>-</v>
      </c>
      <c r="D632" s="2" t="str">
        <f>IFERROR(INDEX(Movimientos!$E$2:$E$1993,MATCH(A632&amp;"ENTRADA",Movimientos!$R$2:$R$1993,0)),"-")</f>
        <v>-</v>
      </c>
      <c r="E632" s="2" t="str">
        <f>IFERROR(INDEX(Movimientos!$F$2:$F$1993,MATCH(A632&amp;"ENTRADA",Movimientos!$R$2:$R$1993,0)),"-")</f>
        <v>-</v>
      </c>
      <c r="F632" s="2" t="str">
        <f>IFERROR(INDEX(Movimientos!$G$2:$G$1993,MATCH(A632&amp;"ENTRADA",Movimientos!$R$2:$R$1993,0)),"-")</f>
        <v>-</v>
      </c>
      <c r="G632" s="2" t="str">
        <f>IFERROR(INDEX(Movimientos!$L$2:$L$1993,MATCH(A632&amp;"ENTRADA",Movimientos!$R$2:$R$1993,0)),"-")</f>
        <v>-</v>
      </c>
      <c r="H632" s="17" t="str">
        <f>IFERROR(IF(INDEX(Movimientos!$M$2:$M$1993,MATCH(A632&amp;"ENTRADA",Movimientos!$R$2:$R$1993,0))=0,"S/D",INDEX(Movimientos!$M$2:$M$1993,MATCH(A632&amp;"ENTRADA",Movimientos!$R$2:$R$1993,0))),"S/D")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2973</v>
      </c>
      <c r="B633" s="2" t="str">
        <f>IFERROR(INDEX(Movimientos!$C$2:$C$1993,MATCH(A633&amp;"ENTRADA",Movimientos!$R$2:$R$1993,0)),"-")</f>
        <v>-</v>
      </c>
      <c r="C633" s="2" t="str">
        <f>IFERROR(INDEX(Movimientos!$D$2:$D$1993,MATCH(A633&amp;"ENTRADA",Movimientos!$R$2:$R$1993,0)),"-")</f>
        <v>-</v>
      </c>
      <c r="D633" s="2" t="str">
        <f>IFERROR(INDEX(Movimientos!$E$2:$E$1993,MATCH(A633&amp;"ENTRADA",Movimientos!$R$2:$R$1993,0)),"-")</f>
        <v>-</v>
      </c>
      <c r="E633" s="2" t="str">
        <f>IFERROR(INDEX(Movimientos!$F$2:$F$1993,MATCH(A633&amp;"ENTRADA",Movimientos!$R$2:$R$1993,0)),"-")</f>
        <v>-</v>
      </c>
      <c r="F633" s="2" t="str">
        <f>IFERROR(INDEX(Movimientos!$G$2:$G$1993,MATCH(A633&amp;"ENTRADA",Movimientos!$R$2:$R$1993,0)),"-")</f>
        <v>-</v>
      </c>
      <c r="G633" s="2" t="str">
        <f>IFERROR(INDEX(Movimientos!$L$2:$L$1993,MATCH(A633&amp;"ENTRADA",Movimientos!$R$2:$R$1993,0)),"-")</f>
        <v>-</v>
      </c>
      <c r="H633" s="17" t="str">
        <f>IFERROR(IF(INDEX(Movimientos!$M$2:$M$1993,MATCH(A633&amp;"ENTRADA",Movimientos!$R$2:$R$1993,0))=0,"S/D",INDEX(Movimientos!$M$2:$M$1993,MATCH(A633&amp;"ENTRADA",Movimientos!$R$2:$R$1993,0))),"S/D")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2974</v>
      </c>
      <c r="B634" s="2" t="str">
        <f>IFERROR(INDEX(Movimientos!$C$2:$C$1993,MATCH(A634&amp;"ENTRADA",Movimientos!$R$2:$R$1993,0)),"-")</f>
        <v>-</v>
      </c>
      <c r="C634" s="2" t="str">
        <f>IFERROR(INDEX(Movimientos!$D$2:$D$1993,MATCH(A634&amp;"ENTRADA",Movimientos!$R$2:$R$1993,0)),"-")</f>
        <v>-</v>
      </c>
      <c r="D634" s="2" t="str">
        <f>IFERROR(INDEX(Movimientos!$E$2:$E$1993,MATCH(A634&amp;"ENTRADA",Movimientos!$R$2:$R$1993,0)),"-")</f>
        <v>-</v>
      </c>
      <c r="E634" s="2" t="str">
        <f>IFERROR(INDEX(Movimientos!$F$2:$F$1993,MATCH(A634&amp;"ENTRADA",Movimientos!$R$2:$R$1993,0)),"-")</f>
        <v>-</v>
      </c>
      <c r="F634" s="2" t="str">
        <f>IFERROR(INDEX(Movimientos!$G$2:$G$1993,MATCH(A634&amp;"ENTRADA",Movimientos!$R$2:$R$1993,0)),"-")</f>
        <v>-</v>
      </c>
      <c r="G634" s="2" t="str">
        <f>IFERROR(INDEX(Movimientos!$L$2:$L$1993,MATCH(A634&amp;"ENTRADA",Movimientos!$R$2:$R$1993,0)),"-")</f>
        <v>-</v>
      </c>
      <c r="H634" s="17" t="str">
        <f>IFERROR(IF(INDEX(Movimientos!$M$2:$M$1993,MATCH(A634&amp;"ENTRADA",Movimientos!$R$2:$R$1993,0))=0,"S/D",INDEX(Movimientos!$M$2:$M$1993,MATCH(A634&amp;"ENTRADA",Movimientos!$R$2:$R$1993,0))),"S/D")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2975</v>
      </c>
      <c r="B635" s="2" t="str">
        <f>IFERROR(INDEX(Movimientos!$C$2:$C$1993,MATCH(A635&amp;"ENTRADA",Movimientos!$R$2:$R$1993,0)),"-")</f>
        <v>-</v>
      </c>
      <c r="C635" s="2" t="str">
        <f>IFERROR(INDEX(Movimientos!$D$2:$D$1993,MATCH(A635&amp;"ENTRADA",Movimientos!$R$2:$R$1993,0)),"-")</f>
        <v>-</v>
      </c>
      <c r="D635" s="2" t="str">
        <f>IFERROR(INDEX(Movimientos!$E$2:$E$1993,MATCH(A635&amp;"ENTRADA",Movimientos!$R$2:$R$1993,0)),"-")</f>
        <v>-</v>
      </c>
      <c r="E635" s="2" t="str">
        <f>IFERROR(INDEX(Movimientos!$F$2:$F$1993,MATCH(A635&amp;"ENTRADA",Movimientos!$R$2:$R$1993,0)),"-")</f>
        <v>-</v>
      </c>
      <c r="F635" s="2" t="str">
        <f>IFERROR(INDEX(Movimientos!$G$2:$G$1993,MATCH(A635&amp;"ENTRADA",Movimientos!$R$2:$R$1993,0)),"-")</f>
        <v>-</v>
      </c>
      <c r="G635" s="2" t="str">
        <f>IFERROR(INDEX(Movimientos!$L$2:$L$1993,MATCH(A635&amp;"ENTRADA",Movimientos!$R$2:$R$1993,0)),"-")</f>
        <v>-</v>
      </c>
      <c r="H635" s="17" t="str">
        <f>IFERROR(IF(INDEX(Movimientos!$M$2:$M$1993,MATCH(A635&amp;"ENTRADA",Movimientos!$R$2:$R$1993,0))=0,"S/D",INDEX(Movimientos!$M$2:$M$1993,MATCH(A635&amp;"ENTRADA",Movimientos!$R$2:$R$1993,0))),"S/D")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2976</v>
      </c>
      <c r="B636" s="2" t="str">
        <f>IFERROR(INDEX(Movimientos!$C$2:$C$1993,MATCH(A636&amp;"ENTRADA",Movimientos!$R$2:$R$1993,0)),"-")</f>
        <v>-</v>
      </c>
      <c r="C636" s="2" t="str">
        <f>IFERROR(INDEX(Movimientos!$D$2:$D$1993,MATCH(A636&amp;"ENTRADA",Movimientos!$R$2:$R$1993,0)),"-")</f>
        <v>-</v>
      </c>
      <c r="D636" s="2" t="str">
        <f>IFERROR(INDEX(Movimientos!$E$2:$E$1993,MATCH(A636&amp;"ENTRADA",Movimientos!$R$2:$R$1993,0)),"-")</f>
        <v>-</v>
      </c>
      <c r="E636" s="2" t="str">
        <f>IFERROR(INDEX(Movimientos!$F$2:$F$1993,MATCH(A636&amp;"ENTRADA",Movimientos!$R$2:$R$1993,0)),"-")</f>
        <v>-</v>
      </c>
      <c r="F636" s="2" t="str">
        <f>IFERROR(INDEX(Movimientos!$G$2:$G$1993,MATCH(A636&amp;"ENTRADA",Movimientos!$R$2:$R$1993,0)),"-")</f>
        <v>-</v>
      </c>
      <c r="G636" s="2" t="str">
        <f>IFERROR(INDEX(Movimientos!$L$2:$L$1993,MATCH(A636&amp;"ENTRADA",Movimientos!$R$2:$R$1993,0)),"-")</f>
        <v>-</v>
      </c>
      <c r="H636" s="17" t="str">
        <f>IFERROR(IF(INDEX(Movimientos!$M$2:$M$1993,MATCH(A636&amp;"ENTRADA",Movimientos!$R$2:$R$1993,0))=0,"S/D",INDEX(Movimientos!$M$2:$M$1993,MATCH(A636&amp;"ENTRADA",Movimientos!$R$2:$R$1993,0))),"S/D")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2977</v>
      </c>
      <c r="B637" s="2" t="str">
        <f>IFERROR(INDEX(Movimientos!$C$2:$C$1993,MATCH(A637&amp;"ENTRADA",Movimientos!$R$2:$R$1993,0)),"-")</f>
        <v>-</v>
      </c>
      <c r="C637" s="2" t="str">
        <f>IFERROR(INDEX(Movimientos!$D$2:$D$1993,MATCH(A637&amp;"ENTRADA",Movimientos!$R$2:$R$1993,0)),"-")</f>
        <v>-</v>
      </c>
      <c r="D637" s="2" t="str">
        <f>IFERROR(INDEX(Movimientos!$E$2:$E$1993,MATCH(A637&amp;"ENTRADA",Movimientos!$R$2:$R$1993,0)),"-")</f>
        <v>-</v>
      </c>
      <c r="E637" s="2" t="str">
        <f>IFERROR(INDEX(Movimientos!$F$2:$F$1993,MATCH(A637&amp;"ENTRADA",Movimientos!$R$2:$R$1993,0)),"-")</f>
        <v>-</v>
      </c>
      <c r="F637" s="2" t="str">
        <f>IFERROR(INDEX(Movimientos!$G$2:$G$1993,MATCH(A637&amp;"ENTRADA",Movimientos!$R$2:$R$1993,0)),"-")</f>
        <v>-</v>
      </c>
      <c r="G637" s="2" t="str">
        <f>IFERROR(INDEX(Movimientos!$L$2:$L$1993,MATCH(A637&amp;"ENTRADA",Movimientos!$R$2:$R$1993,0)),"-")</f>
        <v>-</v>
      </c>
      <c r="H637" s="17" t="str">
        <f>IFERROR(IF(INDEX(Movimientos!$M$2:$M$1993,MATCH(A637&amp;"ENTRADA",Movimientos!$R$2:$R$1993,0))=0,"S/D",INDEX(Movimientos!$M$2:$M$1993,MATCH(A637&amp;"ENTRADA",Movimientos!$R$2:$R$1993,0))),"S/D")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2978</v>
      </c>
      <c r="B638" s="2" t="str">
        <f>IFERROR(INDEX(Movimientos!$C$2:$C$1993,MATCH(A638&amp;"ENTRADA",Movimientos!$R$2:$R$1993,0)),"-")</f>
        <v>-</v>
      </c>
      <c r="C638" s="2" t="str">
        <f>IFERROR(INDEX(Movimientos!$D$2:$D$1993,MATCH(A638&amp;"ENTRADA",Movimientos!$R$2:$R$1993,0)),"-")</f>
        <v>-</v>
      </c>
      <c r="D638" s="2" t="str">
        <f>IFERROR(INDEX(Movimientos!$E$2:$E$1993,MATCH(A638&amp;"ENTRADA",Movimientos!$R$2:$R$1993,0)),"-")</f>
        <v>-</v>
      </c>
      <c r="E638" s="2" t="str">
        <f>IFERROR(INDEX(Movimientos!$F$2:$F$1993,MATCH(A638&amp;"ENTRADA",Movimientos!$R$2:$R$1993,0)),"-")</f>
        <v>-</v>
      </c>
      <c r="F638" s="2" t="str">
        <f>IFERROR(INDEX(Movimientos!$G$2:$G$1993,MATCH(A638&amp;"ENTRADA",Movimientos!$R$2:$R$1993,0)),"-")</f>
        <v>-</v>
      </c>
      <c r="G638" s="2" t="str">
        <f>IFERROR(INDEX(Movimientos!$L$2:$L$1993,MATCH(A638&amp;"ENTRADA",Movimientos!$R$2:$R$1993,0)),"-")</f>
        <v>-</v>
      </c>
      <c r="H638" s="17" t="str">
        <f>IFERROR(IF(INDEX(Movimientos!$M$2:$M$1993,MATCH(A638&amp;"ENTRADA",Movimientos!$R$2:$R$1993,0))=0,"S/D",INDEX(Movimientos!$M$2:$M$1993,MATCH(A638&amp;"ENTRADA",Movimientos!$R$2:$R$1993,0))),"S/D")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2979</v>
      </c>
      <c r="B639" s="2" t="str">
        <f>IFERROR(INDEX(Movimientos!$C$2:$C$1993,MATCH(A639&amp;"ENTRADA",Movimientos!$R$2:$R$1993,0)),"-")</f>
        <v>-</v>
      </c>
      <c r="C639" s="2" t="str">
        <f>IFERROR(INDEX(Movimientos!$D$2:$D$1993,MATCH(A639&amp;"ENTRADA",Movimientos!$R$2:$R$1993,0)),"-")</f>
        <v>-</v>
      </c>
      <c r="D639" s="2" t="str">
        <f>IFERROR(INDEX(Movimientos!$E$2:$E$1993,MATCH(A639&amp;"ENTRADA",Movimientos!$R$2:$R$1993,0)),"-")</f>
        <v>-</v>
      </c>
      <c r="E639" s="2" t="str">
        <f>IFERROR(INDEX(Movimientos!$F$2:$F$1993,MATCH(A639&amp;"ENTRADA",Movimientos!$R$2:$R$1993,0)),"-")</f>
        <v>-</v>
      </c>
      <c r="F639" s="2" t="str">
        <f>IFERROR(INDEX(Movimientos!$G$2:$G$1993,MATCH(A639&amp;"ENTRADA",Movimientos!$R$2:$R$1993,0)),"-")</f>
        <v>-</v>
      </c>
      <c r="G639" s="2" t="str">
        <f>IFERROR(INDEX(Movimientos!$L$2:$L$1993,MATCH(A639&amp;"ENTRADA",Movimientos!$R$2:$R$1993,0)),"-")</f>
        <v>-</v>
      </c>
      <c r="H639" s="17" t="str">
        <f>IFERROR(IF(INDEX(Movimientos!$M$2:$M$1993,MATCH(A639&amp;"ENTRADA",Movimientos!$R$2:$R$1993,0))=0,"S/D",INDEX(Movimientos!$M$2:$M$1993,MATCH(A639&amp;"ENTRADA",Movimientos!$R$2:$R$1993,0))),"S/D")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2980</v>
      </c>
      <c r="B640" s="2" t="str">
        <f>IFERROR(INDEX(Movimientos!$C$2:$C$1993,MATCH(A640&amp;"ENTRADA",Movimientos!$R$2:$R$1993,0)),"-")</f>
        <v>-</v>
      </c>
      <c r="C640" s="2" t="str">
        <f>IFERROR(INDEX(Movimientos!$D$2:$D$1993,MATCH(A640&amp;"ENTRADA",Movimientos!$R$2:$R$1993,0)),"-")</f>
        <v>-</v>
      </c>
      <c r="D640" s="2" t="str">
        <f>IFERROR(INDEX(Movimientos!$E$2:$E$1993,MATCH(A640&amp;"ENTRADA",Movimientos!$R$2:$R$1993,0)),"-")</f>
        <v>-</v>
      </c>
      <c r="E640" s="2" t="str">
        <f>IFERROR(INDEX(Movimientos!$F$2:$F$1993,MATCH(A640&amp;"ENTRADA",Movimientos!$R$2:$R$1993,0)),"-")</f>
        <v>-</v>
      </c>
      <c r="F640" s="2" t="str">
        <f>IFERROR(INDEX(Movimientos!$G$2:$G$1993,MATCH(A640&amp;"ENTRADA",Movimientos!$R$2:$R$1993,0)),"-")</f>
        <v>-</v>
      </c>
      <c r="G640" s="2" t="str">
        <f>IFERROR(INDEX(Movimientos!$L$2:$L$1993,MATCH(A640&amp;"ENTRADA",Movimientos!$R$2:$R$1993,0)),"-")</f>
        <v>-</v>
      </c>
      <c r="H640" s="17" t="str">
        <f>IFERROR(IF(INDEX(Movimientos!$M$2:$M$1993,MATCH(A640&amp;"ENTRADA",Movimientos!$R$2:$R$1993,0))=0,"S/D",INDEX(Movimientos!$M$2:$M$1993,MATCH(A640&amp;"ENTRADA",Movimientos!$R$2:$R$1993,0))),"S/D")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2981</v>
      </c>
      <c r="B641" s="2" t="str">
        <f>IFERROR(INDEX(Movimientos!$C$2:$C$1993,MATCH(A641&amp;"ENTRADA",Movimientos!$R$2:$R$1993,0)),"-")</f>
        <v>-</v>
      </c>
      <c r="C641" s="2" t="str">
        <f>IFERROR(INDEX(Movimientos!$D$2:$D$1993,MATCH(A641&amp;"ENTRADA",Movimientos!$R$2:$R$1993,0)),"-")</f>
        <v>-</v>
      </c>
      <c r="D641" s="2" t="str">
        <f>IFERROR(INDEX(Movimientos!$E$2:$E$1993,MATCH(A641&amp;"ENTRADA",Movimientos!$R$2:$R$1993,0)),"-")</f>
        <v>-</v>
      </c>
      <c r="E641" s="2" t="str">
        <f>IFERROR(INDEX(Movimientos!$F$2:$F$1993,MATCH(A641&amp;"ENTRADA",Movimientos!$R$2:$R$1993,0)),"-")</f>
        <v>-</v>
      </c>
      <c r="F641" s="2" t="str">
        <f>IFERROR(INDEX(Movimientos!$G$2:$G$1993,MATCH(A641&amp;"ENTRADA",Movimientos!$R$2:$R$1993,0)),"-")</f>
        <v>-</v>
      </c>
      <c r="G641" s="2" t="str">
        <f>IFERROR(INDEX(Movimientos!$L$2:$L$1993,MATCH(A641&amp;"ENTRADA",Movimientos!$R$2:$R$1993,0)),"-")</f>
        <v>-</v>
      </c>
      <c r="H641" s="17" t="str">
        <f>IFERROR(IF(INDEX(Movimientos!$M$2:$M$1993,MATCH(A641&amp;"ENTRADA",Movimientos!$R$2:$R$1993,0))=0,"S/D",INDEX(Movimientos!$M$2:$M$1993,MATCH(A641&amp;"ENTRADA",Movimientos!$R$2:$R$1993,0))),"S/D")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2982</v>
      </c>
      <c r="B642" s="2" t="str">
        <f>IFERROR(INDEX(Movimientos!$C$2:$C$1993,MATCH(A642&amp;"ENTRADA",Movimientos!$R$2:$R$1993,0)),"-")</f>
        <v>-</v>
      </c>
      <c r="C642" s="2" t="str">
        <f>IFERROR(INDEX(Movimientos!$D$2:$D$1993,MATCH(A642&amp;"ENTRADA",Movimientos!$R$2:$R$1993,0)),"-")</f>
        <v>-</v>
      </c>
      <c r="D642" s="2" t="str">
        <f>IFERROR(INDEX(Movimientos!$E$2:$E$1993,MATCH(A642&amp;"ENTRADA",Movimientos!$R$2:$R$1993,0)),"-")</f>
        <v>-</v>
      </c>
      <c r="E642" s="2" t="str">
        <f>IFERROR(INDEX(Movimientos!$F$2:$F$1993,MATCH(A642&amp;"ENTRADA",Movimientos!$R$2:$R$1993,0)),"-")</f>
        <v>-</v>
      </c>
      <c r="F642" s="2" t="str">
        <f>IFERROR(INDEX(Movimientos!$G$2:$G$1993,MATCH(A642&amp;"ENTRADA",Movimientos!$R$2:$R$1993,0)),"-")</f>
        <v>-</v>
      </c>
      <c r="G642" s="2" t="str">
        <f>IFERROR(INDEX(Movimientos!$L$2:$L$1993,MATCH(A642&amp;"ENTRADA",Movimientos!$R$2:$R$1993,0)),"-")</f>
        <v>-</v>
      </c>
      <c r="H642" s="17" t="str">
        <f>IFERROR(IF(INDEX(Movimientos!$M$2:$M$1993,MATCH(A642&amp;"ENTRADA",Movimientos!$R$2:$R$1993,0))=0,"S/D",INDEX(Movimientos!$M$2:$M$1993,MATCH(A642&amp;"ENTRADA",Movimientos!$R$2:$R$1993,0))),"S/D")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2983</v>
      </c>
      <c r="B643" s="2" t="str">
        <f>IFERROR(INDEX(Movimientos!$C$2:$C$1993,MATCH(A643&amp;"ENTRADA",Movimientos!$R$2:$R$1993,0)),"-")</f>
        <v>-</v>
      </c>
      <c r="C643" s="2" t="str">
        <f>IFERROR(INDEX(Movimientos!$D$2:$D$1993,MATCH(A643&amp;"ENTRADA",Movimientos!$R$2:$R$1993,0)),"-")</f>
        <v>-</v>
      </c>
      <c r="D643" s="2" t="str">
        <f>IFERROR(INDEX(Movimientos!$E$2:$E$1993,MATCH(A643&amp;"ENTRADA",Movimientos!$R$2:$R$1993,0)),"-")</f>
        <v>-</v>
      </c>
      <c r="E643" s="2" t="str">
        <f>IFERROR(INDEX(Movimientos!$F$2:$F$1993,MATCH(A643&amp;"ENTRADA",Movimientos!$R$2:$R$1993,0)),"-")</f>
        <v>-</v>
      </c>
      <c r="F643" s="2" t="str">
        <f>IFERROR(INDEX(Movimientos!$G$2:$G$1993,MATCH(A643&amp;"ENTRADA",Movimientos!$R$2:$R$1993,0)),"-")</f>
        <v>-</v>
      </c>
      <c r="G643" s="2" t="str">
        <f>IFERROR(INDEX(Movimientos!$L$2:$L$1993,MATCH(A643&amp;"ENTRADA",Movimientos!$R$2:$R$1993,0)),"-")</f>
        <v>-</v>
      </c>
      <c r="H643" s="17" t="str">
        <f>IFERROR(IF(INDEX(Movimientos!$M$2:$M$1993,MATCH(A643&amp;"ENTRADA",Movimientos!$R$2:$R$1993,0))=0,"S/D",INDEX(Movimientos!$M$2:$M$1993,MATCH(A643&amp;"ENTRADA",Movimientos!$R$2:$R$1993,0))),"S/D")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2984</v>
      </c>
      <c r="B644" s="2" t="str">
        <f>IFERROR(INDEX(Movimientos!$C$2:$C$1993,MATCH(A644&amp;"ENTRADA",Movimientos!$R$2:$R$1993,0)),"-")</f>
        <v>-</v>
      </c>
      <c r="C644" s="2" t="str">
        <f>IFERROR(INDEX(Movimientos!$D$2:$D$1993,MATCH(A644&amp;"ENTRADA",Movimientos!$R$2:$R$1993,0)),"-")</f>
        <v>-</v>
      </c>
      <c r="D644" s="2" t="str">
        <f>IFERROR(INDEX(Movimientos!$E$2:$E$1993,MATCH(A644&amp;"ENTRADA",Movimientos!$R$2:$R$1993,0)),"-")</f>
        <v>-</v>
      </c>
      <c r="E644" s="2" t="str">
        <f>IFERROR(INDEX(Movimientos!$F$2:$F$1993,MATCH(A644&amp;"ENTRADA",Movimientos!$R$2:$R$1993,0)),"-")</f>
        <v>-</v>
      </c>
      <c r="F644" s="2" t="str">
        <f>IFERROR(INDEX(Movimientos!$G$2:$G$1993,MATCH(A644&amp;"ENTRADA",Movimientos!$R$2:$R$1993,0)),"-")</f>
        <v>-</v>
      </c>
      <c r="G644" s="2" t="str">
        <f>IFERROR(INDEX(Movimientos!$L$2:$L$1993,MATCH(A644&amp;"ENTRADA",Movimientos!$R$2:$R$1993,0)),"-")</f>
        <v>-</v>
      </c>
      <c r="H644" s="17" t="str">
        <f>IFERROR(IF(INDEX(Movimientos!$M$2:$M$1993,MATCH(A644&amp;"ENTRADA",Movimientos!$R$2:$R$1993,0))=0,"S/D",INDEX(Movimientos!$M$2:$M$1993,MATCH(A644&amp;"ENTRADA",Movimientos!$R$2:$R$1993,0))),"S/D")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2985</v>
      </c>
      <c r="B645" s="2" t="str">
        <f>IFERROR(INDEX(Movimientos!$C$2:$C$1993,MATCH(A645&amp;"ENTRADA",Movimientos!$R$2:$R$1993,0)),"-")</f>
        <v>-</v>
      </c>
      <c r="C645" s="2" t="str">
        <f>IFERROR(INDEX(Movimientos!$D$2:$D$1993,MATCH(A645&amp;"ENTRADA",Movimientos!$R$2:$R$1993,0)),"-")</f>
        <v>-</v>
      </c>
      <c r="D645" s="2" t="str">
        <f>IFERROR(INDEX(Movimientos!$E$2:$E$1993,MATCH(A645&amp;"ENTRADA",Movimientos!$R$2:$R$1993,0)),"-")</f>
        <v>-</v>
      </c>
      <c r="E645" s="2" t="str">
        <f>IFERROR(INDEX(Movimientos!$F$2:$F$1993,MATCH(A645&amp;"ENTRADA",Movimientos!$R$2:$R$1993,0)),"-")</f>
        <v>-</v>
      </c>
      <c r="F645" s="2" t="str">
        <f>IFERROR(INDEX(Movimientos!$G$2:$G$1993,MATCH(A645&amp;"ENTRADA",Movimientos!$R$2:$R$1993,0)),"-")</f>
        <v>-</v>
      </c>
      <c r="G645" s="2" t="str">
        <f>IFERROR(INDEX(Movimientos!$L$2:$L$1993,MATCH(A645&amp;"ENTRADA",Movimientos!$R$2:$R$1993,0)),"-")</f>
        <v>-</v>
      </c>
      <c r="H645" s="17" t="str">
        <f>IFERROR(IF(INDEX(Movimientos!$M$2:$M$1993,MATCH(A645&amp;"ENTRADA",Movimientos!$R$2:$R$1993,0))=0,"S/D",INDEX(Movimientos!$M$2:$M$1993,MATCH(A645&amp;"ENTRADA",Movimientos!$R$2:$R$1993,0))),"S/D")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2986</v>
      </c>
      <c r="B646" s="2" t="str">
        <f>IFERROR(INDEX(Movimientos!$C$2:$C$1993,MATCH(A646&amp;"ENTRADA",Movimientos!$R$2:$R$1993,0)),"-")</f>
        <v>-</v>
      </c>
      <c r="C646" s="2" t="str">
        <f>IFERROR(INDEX(Movimientos!$D$2:$D$1993,MATCH(A646&amp;"ENTRADA",Movimientos!$R$2:$R$1993,0)),"-")</f>
        <v>-</v>
      </c>
      <c r="D646" s="2" t="str">
        <f>IFERROR(INDEX(Movimientos!$E$2:$E$1993,MATCH(A646&amp;"ENTRADA",Movimientos!$R$2:$R$1993,0)),"-")</f>
        <v>-</v>
      </c>
      <c r="E646" s="2" t="str">
        <f>IFERROR(INDEX(Movimientos!$F$2:$F$1993,MATCH(A646&amp;"ENTRADA",Movimientos!$R$2:$R$1993,0)),"-")</f>
        <v>-</v>
      </c>
      <c r="F646" s="2" t="str">
        <f>IFERROR(INDEX(Movimientos!$G$2:$G$1993,MATCH(A646&amp;"ENTRADA",Movimientos!$R$2:$R$1993,0)),"-")</f>
        <v>-</v>
      </c>
      <c r="G646" s="2" t="str">
        <f>IFERROR(INDEX(Movimientos!$L$2:$L$1993,MATCH(A646&amp;"ENTRADA",Movimientos!$R$2:$R$1993,0)),"-")</f>
        <v>-</v>
      </c>
      <c r="H646" s="17" t="str">
        <f>IFERROR(IF(INDEX(Movimientos!$M$2:$M$1993,MATCH(A646&amp;"ENTRADA",Movimientos!$R$2:$R$1993,0))=0,"S/D",INDEX(Movimientos!$M$2:$M$1993,MATCH(A646&amp;"ENTRADA",Movimientos!$R$2:$R$1993,0))),"S/D")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2987</v>
      </c>
      <c r="B647" s="2" t="str">
        <f>IFERROR(INDEX(Movimientos!$C$2:$C$1993,MATCH(A647&amp;"ENTRADA",Movimientos!$R$2:$R$1993,0)),"-")</f>
        <v>-</v>
      </c>
      <c r="C647" s="2" t="str">
        <f>IFERROR(INDEX(Movimientos!$D$2:$D$1993,MATCH(A647&amp;"ENTRADA",Movimientos!$R$2:$R$1993,0)),"-")</f>
        <v>-</v>
      </c>
      <c r="D647" s="2" t="str">
        <f>IFERROR(INDEX(Movimientos!$E$2:$E$1993,MATCH(A647&amp;"ENTRADA",Movimientos!$R$2:$R$1993,0)),"-")</f>
        <v>-</v>
      </c>
      <c r="E647" s="2" t="str">
        <f>IFERROR(INDEX(Movimientos!$F$2:$F$1993,MATCH(A647&amp;"ENTRADA",Movimientos!$R$2:$R$1993,0)),"-")</f>
        <v>-</v>
      </c>
      <c r="F647" s="2" t="str">
        <f>IFERROR(INDEX(Movimientos!$G$2:$G$1993,MATCH(A647&amp;"ENTRADA",Movimientos!$R$2:$R$1993,0)),"-")</f>
        <v>-</v>
      </c>
      <c r="G647" s="2" t="str">
        <f>IFERROR(INDEX(Movimientos!$L$2:$L$1993,MATCH(A647&amp;"ENTRADA",Movimientos!$R$2:$R$1993,0)),"-")</f>
        <v>-</v>
      </c>
      <c r="H647" s="17" t="str">
        <f>IFERROR(IF(INDEX(Movimientos!$M$2:$M$1993,MATCH(A647&amp;"ENTRADA",Movimientos!$R$2:$R$1993,0))=0,"S/D",INDEX(Movimientos!$M$2:$M$1993,MATCH(A647&amp;"ENTRADA",Movimientos!$R$2:$R$1993,0))),"S/D")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2988</v>
      </c>
      <c r="B648" s="2" t="str">
        <f>IFERROR(INDEX(Movimientos!$C$2:$C$1993,MATCH(A648&amp;"ENTRADA",Movimientos!$R$2:$R$1993,0)),"-")</f>
        <v>-</v>
      </c>
      <c r="C648" s="2" t="str">
        <f>IFERROR(INDEX(Movimientos!$D$2:$D$1993,MATCH(A648&amp;"ENTRADA",Movimientos!$R$2:$R$1993,0)),"-")</f>
        <v>-</v>
      </c>
      <c r="D648" s="2" t="str">
        <f>IFERROR(INDEX(Movimientos!$E$2:$E$1993,MATCH(A648&amp;"ENTRADA",Movimientos!$R$2:$R$1993,0)),"-")</f>
        <v>-</v>
      </c>
      <c r="E648" s="2" t="str">
        <f>IFERROR(INDEX(Movimientos!$F$2:$F$1993,MATCH(A648&amp;"ENTRADA",Movimientos!$R$2:$R$1993,0)),"-")</f>
        <v>-</v>
      </c>
      <c r="F648" s="2" t="str">
        <f>IFERROR(INDEX(Movimientos!$G$2:$G$1993,MATCH(A648&amp;"ENTRADA",Movimientos!$R$2:$R$1993,0)),"-")</f>
        <v>-</v>
      </c>
      <c r="G648" s="2" t="str">
        <f>IFERROR(INDEX(Movimientos!$L$2:$L$1993,MATCH(A648&amp;"ENTRADA",Movimientos!$R$2:$R$1993,0)),"-")</f>
        <v>-</v>
      </c>
      <c r="H648" s="17" t="str">
        <f>IFERROR(IF(INDEX(Movimientos!$M$2:$M$1993,MATCH(A648&amp;"ENTRADA",Movimientos!$R$2:$R$1993,0))=0,"S/D",INDEX(Movimientos!$M$2:$M$1993,MATCH(A648&amp;"ENTRADA",Movimientos!$R$2:$R$1993,0))),"S/D")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2989</v>
      </c>
      <c r="B649" s="2" t="str">
        <f>IFERROR(INDEX(Movimientos!$C$2:$C$1993,MATCH(A649&amp;"ENTRADA",Movimientos!$R$2:$R$1993,0)),"-")</f>
        <v>-</v>
      </c>
      <c r="C649" s="2" t="str">
        <f>IFERROR(INDEX(Movimientos!$D$2:$D$1993,MATCH(A649&amp;"ENTRADA",Movimientos!$R$2:$R$1993,0)),"-")</f>
        <v>-</v>
      </c>
      <c r="D649" s="2" t="str">
        <f>IFERROR(INDEX(Movimientos!$E$2:$E$1993,MATCH(A649&amp;"ENTRADA",Movimientos!$R$2:$R$1993,0)),"-")</f>
        <v>-</v>
      </c>
      <c r="E649" s="2" t="str">
        <f>IFERROR(INDEX(Movimientos!$F$2:$F$1993,MATCH(A649&amp;"ENTRADA",Movimientos!$R$2:$R$1993,0)),"-")</f>
        <v>-</v>
      </c>
      <c r="F649" s="2" t="str">
        <f>IFERROR(INDEX(Movimientos!$G$2:$G$1993,MATCH(A649&amp;"ENTRADA",Movimientos!$R$2:$R$1993,0)),"-")</f>
        <v>-</v>
      </c>
      <c r="G649" s="2" t="str">
        <f>IFERROR(INDEX(Movimientos!$L$2:$L$1993,MATCH(A649&amp;"ENTRADA",Movimientos!$R$2:$R$1993,0)),"-")</f>
        <v>-</v>
      </c>
      <c r="H649" s="17" t="str">
        <f>IFERROR(IF(INDEX(Movimientos!$M$2:$M$1993,MATCH(A649&amp;"ENTRADA",Movimientos!$R$2:$R$1993,0))=0,"S/D",INDEX(Movimientos!$M$2:$M$1993,MATCH(A649&amp;"ENTRADA",Movimientos!$R$2:$R$1993,0))),"S/D")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2990</v>
      </c>
      <c r="B650" s="2" t="str">
        <f>IFERROR(INDEX(Movimientos!$C$2:$C$1993,MATCH(A650&amp;"ENTRADA",Movimientos!$R$2:$R$1993,0)),"-")</f>
        <v>-</v>
      </c>
      <c r="C650" s="2" t="str">
        <f>IFERROR(INDEX(Movimientos!$D$2:$D$1993,MATCH(A650&amp;"ENTRADA",Movimientos!$R$2:$R$1993,0)),"-")</f>
        <v>-</v>
      </c>
      <c r="D650" s="2" t="str">
        <f>IFERROR(INDEX(Movimientos!$E$2:$E$1993,MATCH(A650&amp;"ENTRADA",Movimientos!$R$2:$R$1993,0)),"-")</f>
        <v>-</v>
      </c>
      <c r="E650" s="2" t="str">
        <f>IFERROR(INDEX(Movimientos!$F$2:$F$1993,MATCH(A650&amp;"ENTRADA",Movimientos!$R$2:$R$1993,0)),"-")</f>
        <v>-</v>
      </c>
      <c r="F650" s="2" t="str">
        <f>IFERROR(INDEX(Movimientos!$G$2:$G$1993,MATCH(A650&amp;"ENTRADA",Movimientos!$R$2:$R$1993,0)),"-")</f>
        <v>-</v>
      </c>
      <c r="G650" s="2" t="str">
        <f>IFERROR(INDEX(Movimientos!$L$2:$L$1993,MATCH(A650&amp;"ENTRADA",Movimientos!$R$2:$R$1993,0)),"-")</f>
        <v>-</v>
      </c>
      <c r="H650" s="17" t="str">
        <f>IFERROR(IF(INDEX(Movimientos!$M$2:$M$1993,MATCH(A650&amp;"ENTRADA",Movimientos!$R$2:$R$1993,0))=0,"S/D",INDEX(Movimientos!$M$2:$M$1993,MATCH(A650&amp;"ENTRADA",Movimientos!$R$2:$R$1993,0))),"S/D")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2991</v>
      </c>
      <c r="B651" s="2" t="str">
        <f>IFERROR(INDEX(Movimientos!$C$2:$C$1993,MATCH(A651&amp;"ENTRADA",Movimientos!$R$2:$R$1993,0)),"-")</f>
        <v>-</v>
      </c>
      <c r="C651" s="2" t="str">
        <f>IFERROR(INDEX(Movimientos!$D$2:$D$1993,MATCH(A651&amp;"ENTRADA",Movimientos!$R$2:$R$1993,0)),"-")</f>
        <v>-</v>
      </c>
      <c r="D651" s="2" t="str">
        <f>IFERROR(INDEX(Movimientos!$E$2:$E$1993,MATCH(A651&amp;"ENTRADA",Movimientos!$R$2:$R$1993,0)),"-")</f>
        <v>-</v>
      </c>
      <c r="E651" s="2" t="str">
        <f>IFERROR(INDEX(Movimientos!$F$2:$F$1993,MATCH(A651&amp;"ENTRADA",Movimientos!$R$2:$R$1993,0)),"-")</f>
        <v>-</v>
      </c>
      <c r="F651" s="2" t="str">
        <f>IFERROR(INDEX(Movimientos!$G$2:$G$1993,MATCH(A651&amp;"ENTRADA",Movimientos!$R$2:$R$1993,0)),"-")</f>
        <v>-</v>
      </c>
      <c r="G651" s="2" t="str">
        <f>IFERROR(INDEX(Movimientos!$L$2:$L$1993,MATCH(A651&amp;"ENTRADA",Movimientos!$R$2:$R$1993,0)),"-")</f>
        <v>-</v>
      </c>
      <c r="H651" s="17" t="str">
        <f>IFERROR(IF(INDEX(Movimientos!$M$2:$M$1993,MATCH(A651&amp;"ENTRADA",Movimientos!$R$2:$R$1993,0))=0,"S/D",INDEX(Movimientos!$M$2:$M$1993,MATCH(A651&amp;"ENTRADA",Movimientos!$R$2:$R$1993,0))),"S/D")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2992</v>
      </c>
      <c r="B652" s="2" t="str">
        <f>IFERROR(INDEX(Movimientos!$C$2:$C$1993,MATCH(A652&amp;"ENTRADA",Movimientos!$R$2:$R$1993,0)),"-")</f>
        <v>-</v>
      </c>
      <c r="C652" s="2" t="str">
        <f>IFERROR(INDEX(Movimientos!$D$2:$D$1993,MATCH(A652&amp;"ENTRADA",Movimientos!$R$2:$R$1993,0)),"-")</f>
        <v>-</v>
      </c>
      <c r="D652" s="2" t="str">
        <f>IFERROR(INDEX(Movimientos!$E$2:$E$1993,MATCH(A652&amp;"ENTRADA",Movimientos!$R$2:$R$1993,0)),"-")</f>
        <v>-</v>
      </c>
      <c r="E652" s="2" t="str">
        <f>IFERROR(INDEX(Movimientos!$F$2:$F$1993,MATCH(A652&amp;"ENTRADA",Movimientos!$R$2:$R$1993,0)),"-")</f>
        <v>-</v>
      </c>
      <c r="F652" s="2" t="str">
        <f>IFERROR(INDEX(Movimientos!$G$2:$G$1993,MATCH(A652&amp;"ENTRADA",Movimientos!$R$2:$R$1993,0)),"-")</f>
        <v>-</v>
      </c>
      <c r="G652" s="2" t="str">
        <f>IFERROR(INDEX(Movimientos!$L$2:$L$1993,MATCH(A652&amp;"ENTRADA",Movimientos!$R$2:$R$1993,0)),"-")</f>
        <v>-</v>
      </c>
      <c r="H652" s="17" t="str">
        <f>IFERROR(IF(INDEX(Movimientos!$M$2:$M$1993,MATCH(A652&amp;"ENTRADA",Movimientos!$R$2:$R$1993,0))=0,"S/D",INDEX(Movimientos!$M$2:$M$1993,MATCH(A652&amp;"ENTRADA",Movimientos!$R$2:$R$1993,0))),"S/D")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2993</v>
      </c>
      <c r="B653" s="2" t="str">
        <f>IFERROR(INDEX(Movimientos!$C$2:$C$1993,MATCH(A653&amp;"ENTRADA",Movimientos!$R$2:$R$1993,0)),"-")</f>
        <v>-</v>
      </c>
      <c r="C653" s="2" t="str">
        <f>IFERROR(INDEX(Movimientos!$D$2:$D$1993,MATCH(A653&amp;"ENTRADA",Movimientos!$R$2:$R$1993,0)),"-")</f>
        <v>-</v>
      </c>
      <c r="D653" s="2" t="str">
        <f>IFERROR(INDEX(Movimientos!$E$2:$E$1993,MATCH(A653&amp;"ENTRADA",Movimientos!$R$2:$R$1993,0)),"-")</f>
        <v>-</v>
      </c>
      <c r="E653" s="2" t="str">
        <f>IFERROR(INDEX(Movimientos!$F$2:$F$1993,MATCH(A653&amp;"ENTRADA",Movimientos!$R$2:$R$1993,0)),"-")</f>
        <v>-</v>
      </c>
      <c r="F653" s="2" t="str">
        <f>IFERROR(INDEX(Movimientos!$G$2:$G$1993,MATCH(A653&amp;"ENTRADA",Movimientos!$R$2:$R$1993,0)),"-")</f>
        <v>-</v>
      </c>
      <c r="G653" s="2" t="str">
        <f>IFERROR(INDEX(Movimientos!$L$2:$L$1993,MATCH(A653&amp;"ENTRADA",Movimientos!$R$2:$R$1993,0)),"-")</f>
        <v>-</v>
      </c>
      <c r="H653" s="17" t="str">
        <f>IFERROR(IF(INDEX(Movimientos!$M$2:$M$1993,MATCH(A653&amp;"ENTRADA",Movimientos!$R$2:$R$1993,0))=0,"S/D",INDEX(Movimientos!$M$2:$M$1993,MATCH(A653&amp;"ENTRADA",Movimientos!$R$2:$R$1993,0))),"S/D")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2994</v>
      </c>
      <c r="B654" s="2" t="str">
        <f>IFERROR(INDEX(Movimientos!$C$2:$C$1993,MATCH(A654&amp;"ENTRADA",Movimientos!$R$2:$R$1993,0)),"-")</f>
        <v>-</v>
      </c>
      <c r="C654" s="2" t="str">
        <f>IFERROR(INDEX(Movimientos!$D$2:$D$1993,MATCH(A654&amp;"ENTRADA",Movimientos!$R$2:$R$1993,0)),"-")</f>
        <v>-</v>
      </c>
      <c r="D654" s="2" t="str">
        <f>IFERROR(INDEX(Movimientos!$E$2:$E$1993,MATCH(A654&amp;"ENTRADA",Movimientos!$R$2:$R$1993,0)),"-")</f>
        <v>-</v>
      </c>
      <c r="E654" s="2" t="str">
        <f>IFERROR(INDEX(Movimientos!$F$2:$F$1993,MATCH(A654&amp;"ENTRADA",Movimientos!$R$2:$R$1993,0)),"-")</f>
        <v>-</v>
      </c>
      <c r="F654" s="2" t="str">
        <f>IFERROR(INDEX(Movimientos!$G$2:$G$1993,MATCH(A654&amp;"ENTRADA",Movimientos!$R$2:$R$1993,0)),"-")</f>
        <v>-</v>
      </c>
      <c r="G654" s="2" t="str">
        <f>IFERROR(INDEX(Movimientos!$L$2:$L$1993,MATCH(A654&amp;"ENTRADA",Movimientos!$R$2:$R$1993,0)),"-")</f>
        <v>-</v>
      </c>
      <c r="H654" s="17" t="str">
        <f>IFERROR(IF(INDEX(Movimientos!$M$2:$M$1993,MATCH(A654&amp;"ENTRADA",Movimientos!$R$2:$R$1993,0))=0,"S/D",INDEX(Movimientos!$M$2:$M$1993,MATCH(A654&amp;"ENTRADA",Movimientos!$R$2:$R$1993,0))),"S/D")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2995</v>
      </c>
      <c r="B655" s="2" t="str">
        <f>IFERROR(INDEX(Movimientos!$C$2:$C$1993,MATCH(A655&amp;"ENTRADA",Movimientos!$R$2:$R$1993,0)),"-")</f>
        <v>-</v>
      </c>
      <c r="C655" s="2" t="str">
        <f>IFERROR(INDEX(Movimientos!$D$2:$D$1993,MATCH(A655&amp;"ENTRADA",Movimientos!$R$2:$R$1993,0)),"-")</f>
        <v>-</v>
      </c>
      <c r="D655" s="2" t="str">
        <f>IFERROR(INDEX(Movimientos!$E$2:$E$1993,MATCH(A655&amp;"ENTRADA",Movimientos!$R$2:$R$1993,0)),"-")</f>
        <v>-</v>
      </c>
      <c r="E655" s="2" t="str">
        <f>IFERROR(INDEX(Movimientos!$F$2:$F$1993,MATCH(A655&amp;"ENTRADA",Movimientos!$R$2:$R$1993,0)),"-")</f>
        <v>-</v>
      </c>
      <c r="F655" s="2" t="str">
        <f>IFERROR(INDEX(Movimientos!$G$2:$G$1993,MATCH(A655&amp;"ENTRADA",Movimientos!$R$2:$R$1993,0)),"-")</f>
        <v>-</v>
      </c>
      <c r="G655" s="2" t="str">
        <f>IFERROR(INDEX(Movimientos!$L$2:$L$1993,MATCH(A655&amp;"ENTRADA",Movimientos!$R$2:$R$1993,0)),"-")</f>
        <v>-</v>
      </c>
      <c r="H655" s="17" t="str">
        <f>IFERROR(IF(INDEX(Movimientos!$M$2:$M$1993,MATCH(A655&amp;"ENTRADA",Movimientos!$R$2:$R$1993,0))=0,"S/D",INDEX(Movimientos!$M$2:$M$1993,MATCH(A655&amp;"ENTRADA",Movimientos!$R$2:$R$1993,0))),"S/D")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2996</v>
      </c>
      <c r="B656" s="2" t="str">
        <f>IFERROR(INDEX(Movimientos!$C$2:$C$1993,MATCH(A656&amp;"ENTRADA",Movimientos!$R$2:$R$1993,0)),"-")</f>
        <v>-</v>
      </c>
      <c r="C656" s="2" t="str">
        <f>IFERROR(INDEX(Movimientos!$D$2:$D$1993,MATCH(A656&amp;"ENTRADA",Movimientos!$R$2:$R$1993,0)),"-")</f>
        <v>-</v>
      </c>
      <c r="D656" s="2" t="str">
        <f>IFERROR(INDEX(Movimientos!$E$2:$E$1993,MATCH(A656&amp;"ENTRADA",Movimientos!$R$2:$R$1993,0)),"-")</f>
        <v>-</v>
      </c>
      <c r="E656" s="2" t="str">
        <f>IFERROR(INDEX(Movimientos!$F$2:$F$1993,MATCH(A656&amp;"ENTRADA",Movimientos!$R$2:$R$1993,0)),"-")</f>
        <v>-</v>
      </c>
      <c r="F656" s="2" t="str">
        <f>IFERROR(INDEX(Movimientos!$G$2:$G$1993,MATCH(A656&amp;"ENTRADA",Movimientos!$R$2:$R$1993,0)),"-")</f>
        <v>-</v>
      </c>
      <c r="G656" s="2" t="str">
        <f>IFERROR(INDEX(Movimientos!$L$2:$L$1993,MATCH(A656&amp;"ENTRADA",Movimientos!$R$2:$R$1993,0)),"-")</f>
        <v>-</v>
      </c>
      <c r="H656" s="17" t="str">
        <f>IFERROR(IF(INDEX(Movimientos!$M$2:$M$1993,MATCH(A656&amp;"ENTRADA",Movimientos!$R$2:$R$1993,0))=0,"S/D",INDEX(Movimientos!$M$2:$M$1993,MATCH(A656&amp;"ENTRADA",Movimientos!$R$2:$R$1993,0))),"S/D")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2997</v>
      </c>
      <c r="B657" s="2" t="str">
        <f>IFERROR(INDEX(Movimientos!$C$2:$C$1993,MATCH(A657&amp;"ENTRADA",Movimientos!$R$2:$R$1993,0)),"-")</f>
        <v>-</v>
      </c>
      <c r="C657" s="2" t="str">
        <f>IFERROR(INDEX(Movimientos!$D$2:$D$1993,MATCH(A657&amp;"ENTRADA",Movimientos!$R$2:$R$1993,0)),"-")</f>
        <v>-</v>
      </c>
      <c r="D657" s="2" t="str">
        <f>IFERROR(INDEX(Movimientos!$E$2:$E$1993,MATCH(A657&amp;"ENTRADA",Movimientos!$R$2:$R$1993,0)),"-")</f>
        <v>-</v>
      </c>
      <c r="E657" s="2" t="str">
        <f>IFERROR(INDEX(Movimientos!$F$2:$F$1993,MATCH(A657&amp;"ENTRADA",Movimientos!$R$2:$R$1993,0)),"-")</f>
        <v>-</v>
      </c>
      <c r="F657" s="2" t="str">
        <f>IFERROR(INDEX(Movimientos!$G$2:$G$1993,MATCH(A657&amp;"ENTRADA",Movimientos!$R$2:$R$1993,0)),"-")</f>
        <v>-</v>
      </c>
      <c r="G657" s="2" t="str">
        <f>IFERROR(INDEX(Movimientos!$L$2:$L$1993,MATCH(A657&amp;"ENTRADA",Movimientos!$R$2:$R$1993,0)),"-")</f>
        <v>-</v>
      </c>
      <c r="H657" s="17" t="str">
        <f>IFERROR(IF(INDEX(Movimientos!$M$2:$M$1993,MATCH(A657&amp;"ENTRADA",Movimientos!$R$2:$R$1993,0))=0,"S/D",INDEX(Movimientos!$M$2:$M$1993,MATCH(A657&amp;"ENTRADA",Movimientos!$R$2:$R$1993,0))),"S/D")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2998</v>
      </c>
      <c r="B658" s="2" t="str">
        <f>IFERROR(INDEX(Movimientos!$C$2:$C$1993,MATCH(A658&amp;"ENTRADA",Movimientos!$R$2:$R$1993,0)),"-")</f>
        <v>-</v>
      </c>
      <c r="C658" s="2" t="str">
        <f>IFERROR(INDEX(Movimientos!$D$2:$D$1993,MATCH(A658&amp;"ENTRADA",Movimientos!$R$2:$R$1993,0)),"-")</f>
        <v>-</v>
      </c>
      <c r="D658" s="2" t="str">
        <f>IFERROR(INDEX(Movimientos!$E$2:$E$1993,MATCH(A658&amp;"ENTRADA",Movimientos!$R$2:$R$1993,0)),"-")</f>
        <v>-</v>
      </c>
      <c r="E658" s="2" t="str">
        <f>IFERROR(INDEX(Movimientos!$F$2:$F$1993,MATCH(A658&amp;"ENTRADA",Movimientos!$R$2:$R$1993,0)),"-")</f>
        <v>-</v>
      </c>
      <c r="F658" s="2" t="str">
        <f>IFERROR(INDEX(Movimientos!$G$2:$G$1993,MATCH(A658&amp;"ENTRADA",Movimientos!$R$2:$R$1993,0)),"-")</f>
        <v>-</v>
      </c>
      <c r="G658" s="2" t="str">
        <f>IFERROR(INDEX(Movimientos!$L$2:$L$1993,MATCH(A658&amp;"ENTRADA",Movimientos!$R$2:$R$1993,0)),"-")</f>
        <v>-</v>
      </c>
      <c r="H658" s="17" t="str">
        <f>IFERROR(IF(INDEX(Movimientos!$M$2:$M$1993,MATCH(A658&amp;"ENTRADA",Movimientos!$R$2:$R$1993,0))=0,"S/D",INDEX(Movimientos!$M$2:$M$1993,MATCH(A658&amp;"ENTRADA",Movimientos!$R$2:$R$1993,0))),"S/D")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2999</v>
      </c>
      <c r="B659" s="2" t="str">
        <f>IFERROR(INDEX(Movimientos!$C$2:$C$1993,MATCH(A659&amp;"ENTRADA",Movimientos!$R$2:$R$1993,0)),"-")</f>
        <v>-</v>
      </c>
      <c r="C659" s="2" t="str">
        <f>IFERROR(INDEX(Movimientos!$D$2:$D$1993,MATCH(A659&amp;"ENTRADA",Movimientos!$R$2:$R$1993,0)),"-")</f>
        <v>-</v>
      </c>
      <c r="D659" s="2" t="str">
        <f>IFERROR(INDEX(Movimientos!$E$2:$E$1993,MATCH(A659&amp;"ENTRADA",Movimientos!$R$2:$R$1993,0)),"-")</f>
        <v>-</v>
      </c>
      <c r="E659" s="2" t="str">
        <f>IFERROR(INDEX(Movimientos!$F$2:$F$1993,MATCH(A659&amp;"ENTRADA",Movimientos!$R$2:$R$1993,0)),"-")</f>
        <v>-</v>
      </c>
      <c r="F659" s="2" t="str">
        <f>IFERROR(INDEX(Movimientos!$G$2:$G$1993,MATCH(A659&amp;"ENTRADA",Movimientos!$R$2:$R$1993,0)),"-")</f>
        <v>-</v>
      </c>
      <c r="G659" s="2" t="str">
        <f>IFERROR(INDEX(Movimientos!$L$2:$L$1993,MATCH(A659&amp;"ENTRADA",Movimientos!$R$2:$R$1993,0)),"-")</f>
        <v>-</v>
      </c>
      <c r="H659" s="17" t="str">
        <f>IFERROR(IF(INDEX(Movimientos!$M$2:$M$1993,MATCH(A659&amp;"ENTRADA",Movimientos!$R$2:$R$1993,0))=0,"S/D",INDEX(Movimientos!$M$2:$M$1993,MATCH(A659&amp;"ENTRADA",Movimientos!$R$2:$R$1993,0))),"S/D")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3000</v>
      </c>
      <c r="B660" s="2" t="str">
        <f>IFERROR(INDEX(Movimientos!$C$2:$C$1993,MATCH(A660&amp;"ENTRADA",Movimientos!$R$2:$R$1993,0)),"-")</f>
        <v>-</v>
      </c>
      <c r="C660" s="2" t="str">
        <f>IFERROR(INDEX(Movimientos!$D$2:$D$1993,MATCH(A660&amp;"ENTRADA",Movimientos!$R$2:$R$1993,0)),"-")</f>
        <v>-</v>
      </c>
      <c r="D660" s="2" t="str">
        <f>IFERROR(INDEX(Movimientos!$E$2:$E$1993,MATCH(A660&amp;"ENTRADA",Movimientos!$R$2:$R$1993,0)),"-")</f>
        <v>-</v>
      </c>
      <c r="E660" s="2" t="str">
        <f>IFERROR(INDEX(Movimientos!$F$2:$F$1993,MATCH(A660&amp;"ENTRADA",Movimientos!$R$2:$R$1993,0)),"-")</f>
        <v>-</v>
      </c>
      <c r="F660" s="2" t="str">
        <f>IFERROR(INDEX(Movimientos!$G$2:$G$1993,MATCH(A660&amp;"ENTRADA",Movimientos!$R$2:$R$1993,0)),"-")</f>
        <v>-</v>
      </c>
      <c r="G660" s="2" t="str">
        <f>IFERROR(INDEX(Movimientos!$L$2:$L$1993,MATCH(A660&amp;"ENTRADA",Movimientos!$R$2:$R$1993,0)),"-")</f>
        <v>-</v>
      </c>
      <c r="H660" s="17" t="str">
        <f>IFERROR(IF(INDEX(Movimientos!$M$2:$M$1993,MATCH(A660&amp;"ENTRADA",Movimientos!$R$2:$R$1993,0))=0,"S/D",INDEX(Movimientos!$M$2:$M$1993,MATCH(A660&amp;"ENTRADA",Movimientos!$R$2:$R$1993,0))),"S/D")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3001</v>
      </c>
      <c r="B661" s="2" t="str">
        <f>IFERROR(INDEX(Movimientos!$C$2:$C$1993,MATCH(A661&amp;"ENTRADA",Movimientos!$R$2:$R$1993,0)),"-")</f>
        <v>-</v>
      </c>
      <c r="C661" s="2" t="str">
        <f>IFERROR(INDEX(Movimientos!$D$2:$D$1993,MATCH(A661&amp;"ENTRADA",Movimientos!$R$2:$R$1993,0)),"-")</f>
        <v>-</v>
      </c>
      <c r="D661" s="2" t="str">
        <f>IFERROR(INDEX(Movimientos!$E$2:$E$1993,MATCH(A661&amp;"ENTRADA",Movimientos!$R$2:$R$1993,0)),"-")</f>
        <v>-</v>
      </c>
      <c r="E661" s="2" t="str">
        <f>IFERROR(INDEX(Movimientos!$F$2:$F$1993,MATCH(A661&amp;"ENTRADA",Movimientos!$R$2:$R$1993,0)),"-")</f>
        <v>-</v>
      </c>
      <c r="F661" s="2" t="str">
        <f>IFERROR(INDEX(Movimientos!$G$2:$G$1993,MATCH(A661&amp;"ENTRADA",Movimientos!$R$2:$R$1993,0)),"-")</f>
        <v>-</v>
      </c>
      <c r="G661" s="2" t="str">
        <f>IFERROR(INDEX(Movimientos!$L$2:$L$1993,MATCH(A661&amp;"ENTRADA",Movimientos!$R$2:$R$1993,0)),"-")</f>
        <v>-</v>
      </c>
      <c r="H661" s="17" t="str">
        <f>IFERROR(IF(INDEX(Movimientos!$M$2:$M$1993,MATCH(A661&amp;"ENTRADA",Movimientos!$R$2:$R$1993,0))=0,"S/D",INDEX(Movimientos!$M$2:$M$1993,MATCH(A661&amp;"ENTRADA",Movimientos!$R$2:$R$1993,0))),"S/D")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3002</v>
      </c>
      <c r="B662" s="2" t="str">
        <f>IFERROR(INDEX(Movimientos!$C$2:$C$1993,MATCH(A662&amp;"ENTRADA",Movimientos!$R$2:$R$1993,0)),"-")</f>
        <v>-</v>
      </c>
      <c r="C662" s="2" t="str">
        <f>IFERROR(INDEX(Movimientos!$D$2:$D$1993,MATCH(A662&amp;"ENTRADA",Movimientos!$R$2:$R$1993,0)),"-")</f>
        <v>-</v>
      </c>
      <c r="D662" s="2" t="str">
        <f>IFERROR(INDEX(Movimientos!$E$2:$E$1993,MATCH(A662&amp;"ENTRADA",Movimientos!$R$2:$R$1993,0)),"-")</f>
        <v>-</v>
      </c>
      <c r="E662" s="2" t="str">
        <f>IFERROR(INDEX(Movimientos!$F$2:$F$1993,MATCH(A662&amp;"ENTRADA",Movimientos!$R$2:$R$1993,0)),"-")</f>
        <v>-</v>
      </c>
      <c r="F662" s="2" t="str">
        <f>IFERROR(INDEX(Movimientos!$G$2:$G$1993,MATCH(A662&amp;"ENTRADA",Movimientos!$R$2:$R$1993,0)),"-")</f>
        <v>-</v>
      </c>
      <c r="G662" s="2" t="str">
        <f>IFERROR(INDEX(Movimientos!$L$2:$L$1993,MATCH(A662&amp;"ENTRADA",Movimientos!$R$2:$R$1993,0)),"-")</f>
        <v>-</v>
      </c>
      <c r="H662" s="17" t="str">
        <f>IFERROR(IF(INDEX(Movimientos!$M$2:$M$1993,MATCH(A662&amp;"ENTRADA",Movimientos!$R$2:$R$1993,0))=0,"S/D",INDEX(Movimientos!$M$2:$M$1993,MATCH(A662&amp;"ENTRADA",Movimientos!$R$2:$R$1993,0))),"S/D")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3003</v>
      </c>
      <c r="B663" s="2" t="str">
        <f>IFERROR(INDEX(Movimientos!$C$2:$C$1993,MATCH(A663&amp;"ENTRADA",Movimientos!$R$2:$R$1993,0)),"-")</f>
        <v>-</v>
      </c>
      <c r="C663" s="2" t="str">
        <f>IFERROR(INDEX(Movimientos!$D$2:$D$1993,MATCH(A663&amp;"ENTRADA",Movimientos!$R$2:$R$1993,0)),"-")</f>
        <v>-</v>
      </c>
      <c r="D663" s="2" t="str">
        <f>IFERROR(INDEX(Movimientos!$E$2:$E$1993,MATCH(A663&amp;"ENTRADA",Movimientos!$R$2:$R$1993,0)),"-")</f>
        <v>-</v>
      </c>
      <c r="E663" s="2" t="str">
        <f>IFERROR(INDEX(Movimientos!$F$2:$F$1993,MATCH(A663&amp;"ENTRADA",Movimientos!$R$2:$R$1993,0)),"-")</f>
        <v>-</v>
      </c>
      <c r="F663" s="2" t="str">
        <f>IFERROR(INDEX(Movimientos!$G$2:$G$1993,MATCH(A663&amp;"ENTRADA",Movimientos!$R$2:$R$1993,0)),"-")</f>
        <v>-</v>
      </c>
      <c r="G663" s="2" t="str">
        <f>IFERROR(INDEX(Movimientos!$L$2:$L$1993,MATCH(A663&amp;"ENTRADA",Movimientos!$R$2:$R$1993,0)),"-")</f>
        <v>-</v>
      </c>
      <c r="H663" s="17" t="str">
        <f>IFERROR(IF(INDEX(Movimientos!$M$2:$M$1993,MATCH(A663&amp;"ENTRADA",Movimientos!$R$2:$R$1993,0))=0,"S/D",INDEX(Movimientos!$M$2:$M$1993,MATCH(A663&amp;"ENTRADA",Movimientos!$R$2:$R$1993,0))),"S/D")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3004</v>
      </c>
      <c r="B664" s="2" t="str">
        <f>IFERROR(INDEX(Movimientos!$C$2:$C$1993,MATCH(A664&amp;"ENTRADA",Movimientos!$R$2:$R$1993,0)),"-")</f>
        <v>-</v>
      </c>
      <c r="C664" s="2" t="str">
        <f>IFERROR(INDEX(Movimientos!$D$2:$D$1993,MATCH(A664&amp;"ENTRADA",Movimientos!$R$2:$R$1993,0)),"-")</f>
        <v>-</v>
      </c>
      <c r="D664" s="2" t="str">
        <f>IFERROR(INDEX(Movimientos!$E$2:$E$1993,MATCH(A664&amp;"ENTRADA",Movimientos!$R$2:$R$1993,0)),"-")</f>
        <v>-</v>
      </c>
      <c r="E664" s="2" t="str">
        <f>IFERROR(INDEX(Movimientos!$F$2:$F$1993,MATCH(A664&amp;"ENTRADA",Movimientos!$R$2:$R$1993,0)),"-")</f>
        <v>-</v>
      </c>
      <c r="F664" s="2" t="str">
        <f>IFERROR(INDEX(Movimientos!$G$2:$G$1993,MATCH(A664&amp;"ENTRADA",Movimientos!$R$2:$R$1993,0)),"-")</f>
        <v>-</v>
      </c>
      <c r="G664" s="2" t="str">
        <f>IFERROR(INDEX(Movimientos!$L$2:$L$1993,MATCH(A664&amp;"ENTRADA",Movimientos!$R$2:$R$1993,0)),"-")</f>
        <v>-</v>
      </c>
      <c r="H664" s="17" t="str">
        <f>IFERROR(IF(INDEX(Movimientos!$M$2:$M$1993,MATCH(A664&amp;"ENTRADA",Movimientos!$R$2:$R$1993,0))=0,"S/D",INDEX(Movimientos!$M$2:$M$1993,MATCH(A664&amp;"ENTRADA",Movimientos!$R$2:$R$1993,0))),"S/D")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3005</v>
      </c>
      <c r="B665" s="2" t="str">
        <f>IFERROR(INDEX(Movimientos!$C$2:$C$1993,MATCH(A665&amp;"ENTRADA",Movimientos!$R$2:$R$1993,0)),"-")</f>
        <v>-</v>
      </c>
      <c r="C665" s="2" t="str">
        <f>IFERROR(INDEX(Movimientos!$D$2:$D$1993,MATCH(A665&amp;"ENTRADA",Movimientos!$R$2:$R$1993,0)),"-")</f>
        <v>-</v>
      </c>
      <c r="D665" s="2" t="str">
        <f>IFERROR(INDEX(Movimientos!$E$2:$E$1993,MATCH(A665&amp;"ENTRADA",Movimientos!$R$2:$R$1993,0)),"-")</f>
        <v>-</v>
      </c>
      <c r="E665" s="2" t="str">
        <f>IFERROR(INDEX(Movimientos!$F$2:$F$1993,MATCH(A665&amp;"ENTRADA",Movimientos!$R$2:$R$1993,0)),"-")</f>
        <v>-</v>
      </c>
      <c r="F665" s="2" t="str">
        <f>IFERROR(INDEX(Movimientos!$G$2:$G$1993,MATCH(A665&amp;"ENTRADA",Movimientos!$R$2:$R$1993,0)),"-")</f>
        <v>-</v>
      </c>
      <c r="G665" s="2" t="str">
        <f>IFERROR(INDEX(Movimientos!$L$2:$L$1993,MATCH(A665&amp;"ENTRADA",Movimientos!$R$2:$R$1993,0)),"-")</f>
        <v>-</v>
      </c>
      <c r="H665" s="17" t="str">
        <f>IFERROR(IF(INDEX(Movimientos!$M$2:$M$1993,MATCH(A665&amp;"ENTRADA",Movimientos!$R$2:$R$1993,0))=0,"S/D",INDEX(Movimientos!$M$2:$M$1993,MATCH(A665&amp;"ENTRADA",Movimientos!$R$2:$R$1993,0))),"S/D")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3006</v>
      </c>
      <c r="B666" s="2" t="str">
        <f>IFERROR(INDEX(Movimientos!$C$2:$C$1993,MATCH(A666&amp;"ENTRADA",Movimientos!$R$2:$R$1993,0)),"-")</f>
        <v>-</v>
      </c>
      <c r="C666" s="2" t="str">
        <f>IFERROR(INDEX(Movimientos!$D$2:$D$1993,MATCH(A666&amp;"ENTRADA",Movimientos!$R$2:$R$1993,0)),"-")</f>
        <v>-</v>
      </c>
      <c r="D666" s="2" t="str">
        <f>IFERROR(INDEX(Movimientos!$E$2:$E$1993,MATCH(A666&amp;"ENTRADA",Movimientos!$R$2:$R$1993,0)),"-")</f>
        <v>-</v>
      </c>
      <c r="E666" s="2" t="str">
        <f>IFERROR(INDEX(Movimientos!$F$2:$F$1993,MATCH(A666&amp;"ENTRADA",Movimientos!$R$2:$R$1993,0)),"-")</f>
        <v>-</v>
      </c>
      <c r="F666" s="2" t="str">
        <f>IFERROR(INDEX(Movimientos!$G$2:$G$1993,MATCH(A666&amp;"ENTRADA",Movimientos!$R$2:$R$1993,0)),"-")</f>
        <v>-</v>
      </c>
      <c r="G666" s="2" t="str">
        <f>IFERROR(INDEX(Movimientos!$L$2:$L$1993,MATCH(A666&amp;"ENTRADA",Movimientos!$R$2:$R$1993,0)),"-")</f>
        <v>-</v>
      </c>
      <c r="H666" s="17" t="str">
        <f>IFERROR(IF(INDEX(Movimientos!$M$2:$M$1993,MATCH(A666&amp;"ENTRADA",Movimientos!$R$2:$R$1993,0))=0,"S/D",INDEX(Movimientos!$M$2:$M$1993,MATCH(A666&amp;"ENTRADA",Movimientos!$R$2:$R$1993,0))),"S/D")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3007</v>
      </c>
      <c r="B667" s="2" t="str">
        <f>IFERROR(INDEX(Movimientos!$C$2:$C$1993,MATCH(A667&amp;"ENTRADA",Movimientos!$R$2:$R$1993,0)),"-")</f>
        <v>-</v>
      </c>
      <c r="C667" s="2" t="str">
        <f>IFERROR(INDEX(Movimientos!$D$2:$D$1993,MATCH(A667&amp;"ENTRADA",Movimientos!$R$2:$R$1993,0)),"-")</f>
        <v>-</v>
      </c>
      <c r="D667" s="2" t="str">
        <f>IFERROR(INDEX(Movimientos!$E$2:$E$1993,MATCH(A667&amp;"ENTRADA",Movimientos!$R$2:$R$1993,0)),"-")</f>
        <v>-</v>
      </c>
      <c r="E667" s="2" t="str">
        <f>IFERROR(INDEX(Movimientos!$F$2:$F$1993,MATCH(A667&amp;"ENTRADA",Movimientos!$R$2:$R$1993,0)),"-")</f>
        <v>-</v>
      </c>
      <c r="F667" s="2" t="str">
        <f>IFERROR(INDEX(Movimientos!$G$2:$G$1993,MATCH(A667&amp;"ENTRADA",Movimientos!$R$2:$R$1993,0)),"-")</f>
        <v>-</v>
      </c>
      <c r="G667" s="2" t="str">
        <f>IFERROR(INDEX(Movimientos!$L$2:$L$1993,MATCH(A667&amp;"ENTRADA",Movimientos!$R$2:$R$1993,0)),"-")</f>
        <v>-</v>
      </c>
      <c r="H667" s="17" t="str">
        <f>IFERROR(IF(INDEX(Movimientos!$M$2:$M$1993,MATCH(A667&amp;"ENTRADA",Movimientos!$R$2:$R$1993,0))=0,"S/D",INDEX(Movimientos!$M$2:$M$1993,MATCH(A667&amp;"ENTRADA",Movimientos!$R$2:$R$1993,0))),"S/D")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3008</v>
      </c>
      <c r="B668" s="2" t="str">
        <f>IFERROR(INDEX(Movimientos!$C$2:$C$1993,MATCH(A668&amp;"ENTRADA",Movimientos!$R$2:$R$1993,0)),"-")</f>
        <v>-</v>
      </c>
      <c r="C668" s="2" t="str">
        <f>IFERROR(INDEX(Movimientos!$D$2:$D$1993,MATCH(A668&amp;"ENTRADA",Movimientos!$R$2:$R$1993,0)),"-")</f>
        <v>-</v>
      </c>
      <c r="D668" s="2" t="str">
        <f>IFERROR(INDEX(Movimientos!$E$2:$E$1993,MATCH(A668&amp;"ENTRADA",Movimientos!$R$2:$R$1993,0)),"-")</f>
        <v>-</v>
      </c>
      <c r="E668" s="2" t="str">
        <f>IFERROR(INDEX(Movimientos!$F$2:$F$1993,MATCH(A668&amp;"ENTRADA",Movimientos!$R$2:$R$1993,0)),"-")</f>
        <v>-</v>
      </c>
      <c r="F668" s="2" t="str">
        <f>IFERROR(INDEX(Movimientos!$G$2:$G$1993,MATCH(A668&amp;"ENTRADA",Movimientos!$R$2:$R$1993,0)),"-")</f>
        <v>-</v>
      </c>
      <c r="G668" s="2" t="str">
        <f>IFERROR(INDEX(Movimientos!$L$2:$L$1993,MATCH(A668&amp;"ENTRADA",Movimientos!$R$2:$R$1993,0)),"-")</f>
        <v>-</v>
      </c>
      <c r="H668" s="17" t="str">
        <f>IFERROR(IF(INDEX(Movimientos!$M$2:$M$1993,MATCH(A668&amp;"ENTRADA",Movimientos!$R$2:$R$1993,0))=0,"S/D",INDEX(Movimientos!$M$2:$M$1993,MATCH(A668&amp;"ENTRADA",Movimientos!$R$2:$R$1993,0))),"S/D")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3009</v>
      </c>
      <c r="B669" s="2" t="str">
        <f>IFERROR(INDEX(Movimientos!$C$2:$C$1993,MATCH(A669&amp;"ENTRADA",Movimientos!$R$2:$R$1993,0)),"-")</f>
        <v>-</v>
      </c>
      <c r="C669" s="2" t="str">
        <f>IFERROR(INDEX(Movimientos!$D$2:$D$1993,MATCH(A669&amp;"ENTRADA",Movimientos!$R$2:$R$1993,0)),"-")</f>
        <v>-</v>
      </c>
      <c r="D669" s="2" t="str">
        <f>IFERROR(INDEX(Movimientos!$E$2:$E$1993,MATCH(A669&amp;"ENTRADA",Movimientos!$R$2:$R$1993,0)),"-")</f>
        <v>-</v>
      </c>
      <c r="E669" s="2" t="str">
        <f>IFERROR(INDEX(Movimientos!$F$2:$F$1993,MATCH(A669&amp;"ENTRADA",Movimientos!$R$2:$R$1993,0)),"-")</f>
        <v>-</v>
      </c>
      <c r="F669" s="2" t="str">
        <f>IFERROR(INDEX(Movimientos!$G$2:$G$1993,MATCH(A669&amp;"ENTRADA",Movimientos!$R$2:$R$1993,0)),"-")</f>
        <v>-</v>
      </c>
      <c r="G669" s="2" t="str">
        <f>IFERROR(INDEX(Movimientos!$L$2:$L$1993,MATCH(A669&amp;"ENTRADA",Movimientos!$R$2:$R$1993,0)),"-")</f>
        <v>-</v>
      </c>
      <c r="H669" s="17" t="str">
        <f>IFERROR(IF(INDEX(Movimientos!$M$2:$M$1993,MATCH(A669&amp;"ENTRADA",Movimientos!$R$2:$R$1993,0))=0,"S/D",INDEX(Movimientos!$M$2:$M$1993,MATCH(A669&amp;"ENTRADA",Movimientos!$R$2:$R$1993,0))),"S/D")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3010</v>
      </c>
      <c r="B670" s="2" t="str">
        <f>IFERROR(INDEX(Movimientos!$C$2:$C$1993,MATCH(A670&amp;"ENTRADA",Movimientos!$R$2:$R$1993,0)),"-")</f>
        <v>-</v>
      </c>
      <c r="C670" s="2" t="str">
        <f>IFERROR(INDEX(Movimientos!$D$2:$D$1993,MATCH(A670&amp;"ENTRADA",Movimientos!$R$2:$R$1993,0)),"-")</f>
        <v>-</v>
      </c>
      <c r="D670" s="2" t="str">
        <f>IFERROR(INDEX(Movimientos!$E$2:$E$1993,MATCH(A670&amp;"ENTRADA",Movimientos!$R$2:$R$1993,0)),"-")</f>
        <v>-</v>
      </c>
      <c r="E670" s="2" t="str">
        <f>IFERROR(INDEX(Movimientos!$F$2:$F$1993,MATCH(A670&amp;"ENTRADA",Movimientos!$R$2:$R$1993,0)),"-")</f>
        <v>-</v>
      </c>
      <c r="F670" s="2" t="str">
        <f>IFERROR(INDEX(Movimientos!$G$2:$G$1993,MATCH(A670&amp;"ENTRADA",Movimientos!$R$2:$R$1993,0)),"-")</f>
        <v>-</v>
      </c>
      <c r="G670" s="2" t="str">
        <f>IFERROR(INDEX(Movimientos!$L$2:$L$1993,MATCH(A670&amp;"ENTRADA",Movimientos!$R$2:$R$1993,0)),"-")</f>
        <v>-</v>
      </c>
      <c r="H670" s="17" t="str">
        <f>IFERROR(IF(INDEX(Movimientos!$M$2:$M$1993,MATCH(A670&amp;"ENTRADA",Movimientos!$R$2:$R$1993,0))=0,"S/D",INDEX(Movimientos!$M$2:$M$1993,MATCH(A670&amp;"ENTRADA",Movimientos!$R$2:$R$1993,0))),"S/D")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3011</v>
      </c>
      <c r="B671" s="2" t="str">
        <f>IFERROR(INDEX(Movimientos!$C$2:$C$1993,MATCH(A671&amp;"ENTRADA",Movimientos!$R$2:$R$1993,0)),"-")</f>
        <v>-</v>
      </c>
      <c r="C671" s="2" t="str">
        <f>IFERROR(INDEX(Movimientos!$D$2:$D$1993,MATCH(A671&amp;"ENTRADA",Movimientos!$R$2:$R$1993,0)),"-")</f>
        <v>-</v>
      </c>
      <c r="D671" s="2" t="str">
        <f>IFERROR(INDEX(Movimientos!$E$2:$E$1993,MATCH(A671&amp;"ENTRADA",Movimientos!$R$2:$R$1993,0)),"-")</f>
        <v>-</v>
      </c>
      <c r="E671" s="2" t="str">
        <f>IFERROR(INDEX(Movimientos!$F$2:$F$1993,MATCH(A671&amp;"ENTRADA",Movimientos!$R$2:$R$1993,0)),"-")</f>
        <v>-</v>
      </c>
      <c r="F671" s="2" t="str">
        <f>IFERROR(INDEX(Movimientos!$G$2:$G$1993,MATCH(A671&amp;"ENTRADA",Movimientos!$R$2:$R$1993,0)),"-")</f>
        <v>-</v>
      </c>
      <c r="G671" s="2" t="str">
        <f>IFERROR(INDEX(Movimientos!$L$2:$L$1993,MATCH(A671&amp;"ENTRADA",Movimientos!$R$2:$R$1993,0)),"-")</f>
        <v>-</v>
      </c>
      <c r="H671" s="17" t="str">
        <f>IFERROR(IF(INDEX(Movimientos!$M$2:$M$1993,MATCH(A671&amp;"ENTRADA",Movimientos!$R$2:$R$1993,0))=0,"S/D",INDEX(Movimientos!$M$2:$M$1993,MATCH(A671&amp;"ENTRADA",Movimientos!$R$2:$R$1993,0))),"S/D")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3012</v>
      </c>
      <c r="B672" s="2" t="str">
        <f>IFERROR(INDEX(Movimientos!$C$2:$C$1993,MATCH(A672&amp;"ENTRADA",Movimientos!$R$2:$R$1993,0)),"-")</f>
        <v>-</v>
      </c>
      <c r="C672" s="2" t="str">
        <f>IFERROR(INDEX(Movimientos!$D$2:$D$1993,MATCH(A672&amp;"ENTRADA",Movimientos!$R$2:$R$1993,0)),"-")</f>
        <v>-</v>
      </c>
      <c r="D672" s="2" t="str">
        <f>IFERROR(INDEX(Movimientos!$E$2:$E$1993,MATCH(A672&amp;"ENTRADA",Movimientos!$R$2:$R$1993,0)),"-")</f>
        <v>-</v>
      </c>
      <c r="E672" s="2" t="str">
        <f>IFERROR(INDEX(Movimientos!$F$2:$F$1993,MATCH(A672&amp;"ENTRADA",Movimientos!$R$2:$R$1993,0)),"-")</f>
        <v>-</v>
      </c>
      <c r="F672" s="2" t="str">
        <f>IFERROR(INDEX(Movimientos!$G$2:$G$1993,MATCH(A672&amp;"ENTRADA",Movimientos!$R$2:$R$1993,0)),"-")</f>
        <v>-</v>
      </c>
      <c r="G672" s="2" t="str">
        <f>IFERROR(INDEX(Movimientos!$L$2:$L$1993,MATCH(A672&amp;"ENTRADA",Movimientos!$R$2:$R$1993,0)),"-")</f>
        <v>-</v>
      </c>
      <c r="H672" s="17" t="str">
        <f>IFERROR(IF(INDEX(Movimientos!$M$2:$M$1993,MATCH(A672&amp;"ENTRADA",Movimientos!$R$2:$R$1993,0))=0,"S/D",INDEX(Movimientos!$M$2:$M$1993,MATCH(A672&amp;"ENTRADA",Movimientos!$R$2:$R$1993,0))),"S/D")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3013</v>
      </c>
      <c r="B673" s="2" t="str">
        <f>IFERROR(INDEX(Movimientos!$C$2:$C$1993,MATCH(A673&amp;"ENTRADA",Movimientos!$R$2:$R$1993,0)),"-")</f>
        <v>-</v>
      </c>
      <c r="C673" s="2" t="str">
        <f>IFERROR(INDEX(Movimientos!$D$2:$D$1993,MATCH(A673&amp;"ENTRADA",Movimientos!$R$2:$R$1993,0)),"-")</f>
        <v>-</v>
      </c>
      <c r="D673" s="2" t="str">
        <f>IFERROR(INDEX(Movimientos!$E$2:$E$1993,MATCH(A673&amp;"ENTRADA",Movimientos!$R$2:$R$1993,0)),"-")</f>
        <v>-</v>
      </c>
      <c r="E673" s="2" t="str">
        <f>IFERROR(INDEX(Movimientos!$F$2:$F$1993,MATCH(A673&amp;"ENTRADA",Movimientos!$R$2:$R$1993,0)),"-")</f>
        <v>-</v>
      </c>
      <c r="F673" s="2" t="str">
        <f>IFERROR(INDEX(Movimientos!$G$2:$G$1993,MATCH(A673&amp;"ENTRADA",Movimientos!$R$2:$R$1993,0)),"-")</f>
        <v>-</v>
      </c>
      <c r="G673" s="2" t="str">
        <f>IFERROR(INDEX(Movimientos!$L$2:$L$1993,MATCH(A673&amp;"ENTRADA",Movimientos!$R$2:$R$1993,0)),"-")</f>
        <v>-</v>
      </c>
      <c r="H673" s="17" t="str">
        <f>IFERROR(IF(INDEX(Movimientos!$M$2:$M$1993,MATCH(A673&amp;"ENTRADA",Movimientos!$R$2:$R$1993,0))=0,"S/D",INDEX(Movimientos!$M$2:$M$1993,MATCH(A673&amp;"ENTRADA",Movimientos!$R$2:$R$1993,0))),"S/D")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3014</v>
      </c>
      <c r="B674" s="2" t="str">
        <f>IFERROR(INDEX(Movimientos!$C$2:$C$1993,MATCH(A674&amp;"ENTRADA",Movimientos!$R$2:$R$1993,0)),"-")</f>
        <v>-</v>
      </c>
      <c r="C674" s="2" t="str">
        <f>IFERROR(INDEX(Movimientos!$D$2:$D$1993,MATCH(A674&amp;"ENTRADA",Movimientos!$R$2:$R$1993,0)),"-")</f>
        <v>-</v>
      </c>
      <c r="D674" s="2" t="str">
        <f>IFERROR(INDEX(Movimientos!$E$2:$E$1993,MATCH(A674&amp;"ENTRADA",Movimientos!$R$2:$R$1993,0)),"-")</f>
        <v>-</v>
      </c>
      <c r="E674" s="2" t="str">
        <f>IFERROR(INDEX(Movimientos!$F$2:$F$1993,MATCH(A674&amp;"ENTRADA",Movimientos!$R$2:$R$1993,0)),"-")</f>
        <v>-</v>
      </c>
      <c r="F674" s="2" t="str">
        <f>IFERROR(INDEX(Movimientos!$G$2:$G$1993,MATCH(A674&amp;"ENTRADA",Movimientos!$R$2:$R$1993,0)),"-")</f>
        <v>-</v>
      </c>
      <c r="G674" s="2" t="str">
        <f>IFERROR(INDEX(Movimientos!$L$2:$L$1993,MATCH(A674&amp;"ENTRADA",Movimientos!$R$2:$R$1993,0)),"-")</f>
        <v>-</v>
      </c>
      <c r="H674" s="17" t="str">
        <f>IFERROR(IF(INDEX(Movimientos!$M$2:$M$1993,MATCH(A674&amp;"ENTRADA",Movimientos!$R$2:$R$1993,0))=0,"S/D",INDEX(Movimientos!$M$2:$M$1993,MATCH(A674&amp;"ENTRADA",Movimientos!$R$2:$R$1993,0))),"S/D")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3015</v>
      </c>
      <c r="B675" s="2" t="str">
        <f>IFERROR(INDEX(Movimientos!$C$2:$C$1993,MATCH(A675&amp;"ENTRADA",Movimientos!$R$2:$R$1993,0)),"-")</f>
        <v>-</v>
      </c>
      <c r="C675" s="2" t="str">
        <f>IFERROR(INDEX(Movimientos!$D$2:$D$1993,MATCH(A675&amp;"ENTRADA",Movimientos!$R$2:$R$1993,0)),"-")</f>
        <v>-</v>
      </c>
      <c r="D675" s="2" t="str">
        <f>IFERROR(INDEX(Movimientos!$E$2:$E$1993,MATCH(A675&amp;"ENTRADA",Movimientos!$R$2:$R$1993,0)),"-")</f>
        <v>-</v>
      </c>
      <c r="E675" s="2" t="str">
        <f>IFERROR(INDEX(Movimientos!$F$2:$F$1993,MATCH(A675&amp;"ENTRADA",Movimientos!$R$2:$R$1993,0)),"-")</f>
        <v>-</v>
      </c>
      <c r="F675" s="2" t="str">
        <f>IFERROR(INDEX(Movimientos!$G$2:$G$1993,MATCH(A675&amp;"ENTRADA",Movimientos!$R$2:$R$1993,0)),"-")</f>
        <v>-</v>
      </c>
      <c r="G675" s="2" t="str">
        <f>IFERROR(INDEX(Movimientos!$L$2:$L$1993,MATCH(A675&amp;"ENTRADA",Movimientos!$R$2:$R$1993,0)),"-")</f>
        <v>-</v>
      </c>
      <c r="H675" s="17" t="str">
        <f>IFERROR(IF(INDEX(Movimientos!$M$2:$M$1993,MATCH(A675&amp;"ENTRADA",Movimientos!$R$2:$R$1993,0))=0,"S/D",INDEX(Movimientos!$M$2:$M$1993,MATCH(A675&amp;"ENTRADA",Movimientos!$R$2:$R$1993,0))),"S/D")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3016</v>
      </c>
      <c r="B676" s="2" t="str">
        <f>IFERROR(INDEX(Movimientos!$C$2:$C$1993,MATCH(A676&amp;"ENTRADA",Movimientos!$R$2:$R$1993,0)),"-")</f>
        <v>-</v>
      </c>
      <c r="C676" s="2" t="str">
        <f>IFERROR(INDEX(Movimientos!$D$2:$D$1993,MATCH(A676&amp;"ENTRADA",Movimientos!$R$2:$R$1993,0)),"-")</f>
        <v>-</v>
      </c>
      <c r="D676" s="2" t="str">
        <f>IFERROR(INDEX(Movimientos!$E$2:$E$1993,MATCH(A676&amp;"ENTRADA",Movimientos!$R$2:$R$1993,0)),"-")</f>
        <v>-</v>
      </c>
      <c r="E676" s="2" t="str">
        <f>IFERROR(INDEX(Movimientos!$F$2:$F$1993,MATCH(A676&amp;"ENTRADA",Movimientos!$R$2:$R$1993,0)),"-")</f>
        <v>-</v>
      </c>
      <c r="F676" s="2" t="str">
        <f>IFERROR(INDEX(Movimientos!$G$2:$G$1993,MATCH(A676&amp;"ENTRADA",Movimientos!$R$2:$R$1993,0)),"-")</f>
        <v>-</v>
      </c>
      <c r="G676" s="2" t="str">
        <f>IFERROR(INDEX(Movimientos!$L$2:$L$1993,MATCH(A676&amp;"ENTRADA",Movimientos!$R$2:$R$1993,0)),"-")</f>
        <v>-</v>
      </c>
      <c r="H676" s="17" t="str">
        <f>IFERROR(IF(INDEX(Movimientos!$M$2:$M$1993,MATCH(A676&amp;"ENTRADA",Movimientos!$R$2:$R$1993,0))=0,"S/D",INDEX(Movimientos!$M$2:$M$1993,MATCH(A676&amp;"ENTRADA",Movimientos!$R$2:$R$1993,0))),"S/D")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3017</v>
      </c>
      <c r="B677" s="2" t="str">
        <f>IFERROR(INDEX(Movimientos!$C$2:$C$1993,MATCH(A677&amp;"ENTRADA",Movimientos!$R$2:$R$1993,0)),"-")</f>
        <v>-</v>
      </c>
      <c r="C677" s="2" t="str">
        <f>IFERROR(INDEX(Movimientos!$D$2:$D$1993,MATCH(A677&amp;"ENTRADA",Movimientos!$R$2:$R$1993,0)),"-")</f>
        <v>-</v>
      </c>
      <c r="D677" s="2" t="str">
        <f>IFERROR(INDEX(Movimientos!$E$2:$E$1993,MATCH(A677&amp;"ENTRADA",Movimientos!$R$2:$R$1993,0)),"-")</f>
        <v>-</v>
      </c>
      <c r="E677" s="2" t="str">
        <f>IFERROR(INDEX(Movimientos!$F$2:$F$1993,MATCH(A677&amp;"ENTRADA",Movimientos!$R$2:$R$1993,0)),"-")</f>
        <v>-</v>
      </c>
      <c r="F677" s="2" t="str">
        <f>IFERROR(INDEX(Movimientos!$G$2:$G$1993,MATCH(A677&amp;"ENTRADA",Movimientos!$R$2:$R$1993,0)),"-")</f>
        <v>-</v>
      </c>
      <c r="G677" s="2" t="str">
        <f>IFERROR(INDEX(Movimientos!$L$2:$L$1993,MATCH(A677&amp;"ENTRADA",Movimientos!$R$2:$R$1993,0)),"-")</f>
        <v>-</v>
      </c>
      <c r="H677" s="17" t="str">
        <f>IFERROR(IF(INDEX(Movimientos!$M$2:$M$1993,MATCH(A677&amp;"ENTRADA",Movimientos!$R$2:$R$1993,0))=0,"S/D",INDEX(Movimientos!$M$2:$M$1993,MATCH(A677&amp;"ENTRADA",Movimientos!$R$2:$R$1993,0))),"S/D")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3018</v>
      </c>
      <c r="B678" s="2" t="str">
        <f>IFERROR(INDEX(Movimientos!$C$2:$C$1993,MATCH(A678&amp;"ENTRADA",Movimientos!$R$2:$R$1993,0)),"-")</f>
        <v>-</v>
      </c>
      <c r="C678" s="2" t="str">
        <f>IFERROR(INDEX(Movimientos!$D$2:$D$1993,MATCH(A678&amp;"ENTRADA",Movimientos!$R$2:$R$1993,0)),"-")</f>
        <v>-</v>
      </c>
      <c r="D678" s="2" t="str">
        <f>IFERROR(INDEX(Movimientos!$E$2:$E$1993,MATCH(A678&amp;"ENTRADA",Movimientos!$R$2:$R$1993,0)),"-")</f>
        <v>-</v>
      </c>
      <c r="E678" s="2" t="str">
        <f>IFERROR(INDEX(Movimientos!$F$2:$F$1993,MATCH(A678&amp;"ENTRADA",Movimientos!$R$2:$R$1993,0)),"-")</f>
        <v>-</v>
      </c>
      <c r="F678" s="2" t="str">
        <f>IFERROR(INDEX(Movimientos!$G$2:$G$1993,MATCH(A678&amp;"ENTRADA",Movimientos!$R$2:$R$1993,0)),"-")</f>
        <v>-</v>
      </c>
      <c r="G678" s="2" t="str">
        <f>IFERROR(INDEX(Movimientos!$L$2:$L$1993,MATCH(A678&amp;"ENTRADA",Movimientos!$R$2:$R$1993,0)),"-")</f>
        <v>-</v>
      </c>
      <c r="H678" s="17" t="str">
        <f>IFERROR(IF(INDEX(Movimientos!$M$2:$M$1993,MATCH(A678&amp;"ENTRADA",Movimientos!$R$2:$R$1993,0))=0,"S/D",INDEX(Movimientos!$M$2:$M$1993,MATCH(A678&amp;"ENTRADA",Movimientos!$R$2:$R$1993,0))),"S/D")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3019</v>
      </c>
      <c r="B679" s="2" t="str">
        <f>IFERROR(INDEX(Movimientos!$C$2:$C$1993,MATCH(A679&amp;"ENTRADA",Movimientos!$R$2:$R$1993,0)),"-")</f>
        <v>-</v>
      </c>
      <c r="C679" s="2" t="str">
        <f>IFERROR(INDEX(Movimientos!$D$2:$D$1993,MATCH(A679&amp;"ENTRADA",Movimientos!$R$2:$R$1993,0)),"-")</f>
        <v>-</v>
      </c>
      <c r="D679" s="2" t="str">
        <f>IFERROR(INDEX(Movimientos!$E$2:$E$1993,MATCH(A679&amp;"ENTRADA",Movimientos!$R$2:$R$1993,0)),"-")</f>
        <v>-</v>
      </c>
      <c r="E679" s="2" t="str">
        <f>IFERROR(INDEX(Movimientos!$F$2:$F$1993,MATCH(A679&amp;"ENTRADA",Movimientos!$R$2:$R$1993,0)),"-")</f>
        <v>-</v>
      </c>
      <c r="F679" s="2" t="str">
        <f>IFERROR(INDEX(Movimientos!$G$2:$G$1993,MATCH(A679&amp;"ENTRADA",Movimientos!$R$2:$R$1993,0)),"-")</f>
        <v>-</v>
      </c>
      <c r="G679" s="2" t="str">
        <f>IFERROR(INDEX(Movimientos!$L$2:$L$1993,MATCH(A679&amp;"ENTRADA",Movimientos!$R$2:$R$1993,0)),"-")</f>
        <v>-</v>
      </c>
      <c r="H679" s="17" t="str">
        <f>IFERROR(IF(INDEX(Movimientos!$M$2:$M$1993,MATCH(A679&amp;"ENTRADA",Movimientos!$R$2:$R$1993,0))=0,"S/D",INDEX(Movimientos!$M$2:$M$1993,MATCH(A679&amp;"ENTRADA",Movimientos!$R$2:$R$1993,0))),"S/D")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3020</v>
      </c>
      <c r="B680" s="2" t="str">
        <f>IFERROR(INDEX(Movimientos!$C$2:$C$1993,MATCH(A680&amp;"ENTRADA",Movimientos!$R$2:$R$1993,0)),"-")</f>
        <v>-</v>
      </c>
      <c r="C680" s="2" t="str">
        <f>IFERROR(INDEX(Movimientos!$D$2:$D$1993,MATCH(A680&amp;"ENTRADA",Movimientos!$R$2:$R$1993,0)),"-")</f>
        <v>-</v>
      </c>
      <c r="D680" s="2" t="str">
        <f>IFERROR(INDEX(Movimientos!$E$2:$E$1993,MATCH(A680&amp;"ENTRADA",Movimientos!$R$2:$R$1993,0)),"-")</f>
        <v>-</v>
      </c>
      <c r="E680" s="2" t="str">
        <f>IFERROR(INDEX(Movimientos!$F$2:$F$1993,MATCH(A680&amp;"ENTRADA",Movimientos!$R$2:$R$1993,0)),"-")</f>
        <v>-</v>
      </c>
      <c r="F680" s="2" t="str">
        <f>IFERROR(INDEX(Movimientos!$G$2:$G$1993,MATCH(A680&amp;"ENTRADA",Movimientos!$R$2:$R$1993,0)),"-")</f>
        <v>-</v>
      </c>
      <c r="G680" s="2" t="str">
        <f>IFERROR(INDEX(Movimientos!$L$2:$L$1993,MATCH(A680&amp;"ENTRADA",Movimientos!$R$2:$R$1993,0)),"-")</f>
        <v>-</v>
      </c>
      <c r="H680" s="17" t="str">
        <f>IFERROR(IF(INDEX(Movimientos!$M$2:$M$1993,MATCH(A680&amp;"ENTRADA",Movimientos!$R$2:$R$1993,0))=0,"S/D",INDEX(Movimientos!$M$2:$M$1993,MATCH(A680&amp;"ENTRADA",Movimientos!$R$2:$R$1993,0))),"S/D")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3021</v>
      </c>
      <c r="B681" s="2" t="str">
        <f>IFERROR(INDEX(Movimientos!$C$2:$C$1993,MATCH(A681&amp;"ENTRADA",Movimientos!$R$2:$R$1993,0)),"-")</f>
        <v>-</v>
      </c>
      <c r="C681" s="2" t="str">
        <f>IFERROR(INDEX(Movimientos!$D$2:$D$1993,MATCH(A681&amp;"ENTRADA",Movimientos!$R$2:$R$1993,0)),"-")</f>
        <v>-</v>
      </c>
      <c r="D681" s="2" t="str">
        <f>IFERROR(INDEX(Movimientos!$E$2:$E$1993,MATCH(A681&amp;"ENTRADA",Movimientos!$R$2:$R$1993,0)),"-")</f>
        <v>-</v>
      </c>
      <c r="E681" s="2" t="str">
        <f>IFERROR(INDEX(Movimientos!$F$2:$F$1993,MATCH(A681&amp;"ENTRADA",Movimientos!$R$2:$R$1993,0)),"-")</f>
        <v>-</v>
      </c>
      <c r="F681" s="2" t="str">
        <f>IFERROR(INDEX(Movimientos!$G$2:$G$1993,MATCH(A681&amp;"ENTRADA",Movimientos!$R$2:$R$1993,0)),"-")</f>
        <v>-</v>
      </c>
      <c r="G681" s="2" t="str">
        <f>IFERROR(INDEX(Movimientos!$L$2:$L$1993,MATCH(A681&amp;"ENTRADA",Movimientos!$R$2:$R$1993,0)),"-")</f>
        <v>-</v>
      </c>
      <c r="H681" s="17" t="str">
        <f>IFERROR(IF(INDEX(Movimientos!$M$2:$M$1993,MATCH(A681&amp;"ENTRADA",Movimientos!$R$2:$R$1993,0))=0,"S/D",INDEX(Movimientos!$M$2:$M$1993,MATCH(A681&amp;"ENTRADA",Movimientos!$R$2:$R$1993,0))),"S/D")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3022</v>
      </c>
      <c r="B682" s="2" t="str">
        <f>IFERROR(INDEX(Movimientos!$C$2:$C$1993,MATCH(A682&amp;"ENTRADA",Movimientos!$R$2:$R$1993,0)),"-")</f>
        <v>-</v>
      </c>
      <c r="C682" s="2" t="str">
        <f>IFERROR(INDEX(Movimientos!$D$2:$D$1993,MATCH(A682&amp;"ENTRADA",Movimientos!$R$2:$R$1993,0)),"-")</f>
        <v>-</v>
      </c>
      <c r="D682" s="2" t="str">
        <f>IFERROR(INDEX(Movimientos!$E$2:$E$1993,MATCH(A682&amp;"ENTRADA",Movimientos!$R$2:$R$1993,0)),"-")</f>
        <v>-</v>
      </c>
      <c r="E682" s="2" t="str">
        <f>IFERROR(INDEX(Movimientos!$F$2:$F$1993,MATCH(A682&amp;"ENTRADA",Movimientos!$R$2:$R$1993,0)),"-")</f>
        <v>-</v>
      </c>
      <c r="F682" s="2" t="str">
        <f>IFERROR(INDEX(Movimientos!$G$2:$G$1993,MATCH(A682&amp;"ENTRADA",Movimientos!$R$2:$R$1993,0)),"-")</f>
        <v>-</v>
      </c>
      <c r="G682" s="2" t="str">
        <f>IFERROR(INDEX(Movimientos!$L$2:$L$1993,MATCH(A682&amp;"ENTRADA",Movimientos!$R$2:$R$1993,0)),"-")</f>
        <v>-</v>
      </c>
      <c r="H682" s="17" t="str">
        <f>IFERROR(IF(INDEX(Movimientos!$M$2:$M$1993,MATCH(A682&amp;"ENTRADA",Movimientos!$R$2:$R$1993,0))=0,"S/D",INDEX(Movimientos!$M$2:$M$1993,MATCH(A682&amp;"ENTRADA",Movimientos!$R$2:$R$1993,0))),"S/D")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3023</v>
      </c>
      <c r="B683" s="2" t="str">
        <f>IFERROR(INDEX(Movimientos!$C$2:$C$1993,MATCH(A683&amp;"ENTRADA",Movimientos!$R$2:$R$1993,0)),"-")</f>
        <v>-</v>
      </c>
      <c r="C683" s="2" t="str">
        <f>IFERROR(INDEX(Movimientos!$D$2:$D$1993,MATCH(A683&amp;"ENTRADA",Movimientos!$R$2:$R$1993,0)),"-")</f>
        <v>-</v>
      </c>
      <c r="D683" s="2" t="str">
        <f>IFERROR(INDEX(Movimientos!$E$2:$E$1993,MATCH(A683&amp;"ENTRADA",Movimientos!$R$2:$R$1993,0)),"-")</f>
        <v>-</v>
      </c>
      <c r="E683" s="2" t="str">
        <f>IFERROR(INDEX(Movimientos!$F$2:$F$1993,MATCH(A683&amp;"ENTRADA",Movimientos!$R$2:$R$1993,0)),"-")</f>
        <v>-</v>
      </c>
      <c r="F683" s="2" t="str">
        <f>IFERROR(INDEX(Movimientos!$G$2:$G$1993,MATCH(A683&amp;"ENTRADA",Movimientos!$R$2:$R$1993,0)),"-")</f>
        <v>-</v>
      </c>
      <c r="G683" s="2" t="str">
        <f>IFERROR(INDEX(Movimientos!$L$2:$L$1993,MATCH(A683&amp;"ENTRADA",Movimientos!$R$2:$R$1993,0)),"-")</f>
        <v>-</v>
      </c>
      <c r="H683" s="17" t="str">
        <f>IFERROR(IF(INDEX(Movimientos!$M$2:$M$1993,MATCH(A683&amp;"ENTRADA",Movimientos!$R$2:$R$1993,0))=0,"S/D",INDEX(Movimientos!$M$2:$M$1993,MATCH(A683&amp;"ENTRADA",Movimientos!$R$2:$R$1993,0))),"S/D")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3024</v>
      </c>
      <c r="B684" s="2" t="str">
        <f>IFERROR(INDEX(Movimientos!$C$2:$C$1993,MATCH(A684&amp;"ENTRADA",Movimientos!$R$2:$R$1993,0)),"-")</f>
        <v>-</v>
      </c>
      <c r="C684" s="2" t="str">
        <f>IFERROR(INDEX(Movimientos!$D$2:$D$1993,MATCH(A684&amp;"ENTRADA",Movimientos!$R$2:$R$1993,0)),"-")</f>
        <v>-</v>
      </c>
      <c r="D684" s="2" t="str">
        <f>IFERROR(INDEX(Movimientos!$E$2:$E$1993,MATCH(A684&amp;"ENTRADA",Movimientos!$R$2:$R$1993,0)),"-")</f>
        <v>-</v>
      </c>
      <c r="E684" s="2" t="str">
        <f>IFERROR(INDEX(Movimientos!$F$2:$F$1993,MATCH(A684&amp;"ENTRADA",Movimientos!$R$2:$R$1993,0)),"-")</f>
        <v>-</v>
      </c>
      <c r="F684" s="2" t="str">
        <f>IFERROR(INDEX(Movimientos!$G$2:$G$1993,MATCH(A684&amp;"ENTRADA",Movimientos!$R$2:$R$1993,0)),"-")</f>
        <v>-</v>
      </c>
      <c r="G684" s="2" t="str">
        <f>IFERROR(INDEX(Movimientos!$L$2:$L$1993,MATCH(A684&amp;"ENTRADA",Movimientos!$R$2:$R$1993,0)),"-")</f>
        <v>-</v>
      </c>
      <c r="H684" s="17" t="str">
        <f>IFERROR(IF(INDEX(Movimientos!$M$2:$M$1993,MATCH(A684&amp;"ENTRADA",Movimientos!$R$2:$R$1993,0))=0,"S/D",INDEX(Movimientos!$M$2:$M$1993,MATCH(A684&amp;"ENTRADA",Movimientos!$R$2:$R$1993,0))),"S/D")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3025</v>
      </c>
      <c r="B685" s="2" t="str">
        <f>IFERROR(INDEX(Movimientos!$C$2:$C$1993,MATCH(A685&amp;"ENTRADA",Movimientos!$R$2:$R$1993,0)),"-")</f>
        <v>-</v>
      </c>
      <c r="C685" s="2" t="str">
        <f>IFERROR(INDEX(Movimientos!$D$2:$D$1993,MATCH(A685&amp;"ENTRADA",Movimientos!$R$2:$R$1993,0)),"-")</f>
        <v>-</v>
      </c>
      <c r="D685" s="2" t="str">
        <f>IFERROR(INDEX(Movimientos!$E$2:$E$1993,MATCH(A685&amp;"ENTRADA",Movimientos!$R$2:$R$1993,0)),"-")</f>
        <v>-</v>
      </c>
      <c r="E685" s="2" t="str">
        <f>IFERROR(INDEX(Movimientos!$F$2:$F$1993,MATCH(A685&amp;"ENTRADA",Movimientos!$R$2:$R$1993,0)),"-")</f>
        <v>-</v>
      </c>
      <c r="F685" s="2" t="str">
        <f>IFERROR(INDEX(Movimientos!$G$2:$G$1993,MATCH(A685&amp;"ENTRADA",Movimientos!$R$2:$R$1993,0)),"-")</f>
        <v>-</v>
      </c>
      <c r="G685" s="2" t="str">
        <f>IFERROR(INDEX(Movimientos!$L$2:$L$1993,MATCH(A685&amp;"ENTRADA",Movimientos!$R$2:$R$1993,0)),"-")</f>
        <v>-</v>
      </c>
      <c r="H685" s="17" t="str">
        <f>IFERROR(IF(INDEX(Movimientos!$M$2:$M$1993,MATCH(A685&amp;"ENTRADA",Movimientos!$R$2:$R$1993,0))=0,"S/D",INDEX(Movimientos!$M$2:$M$1993,MATCH(A685&amp;"ENTRADA",Movimientos!$R$2:$R$1993,0))),"S/D")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3026</v>
      </c>
      <c r="B686" s="2" t="str">
        <f>IFERROR(INDEX(Movimientos!$C$2:$C$1993,MATCH(A686&amp;"ENTRADA",Movimientos!$R$2:$R$1993,0)),"-")</f>
        <v>-</v>
      </c>
      <c r="C686" s="2" t="str">
        <f>IFERROR(INDEX(Movimientos!$D$2:$D$1993,MATCH(A686&amp;"ENTRADA",Movimientos!$R$2:$R$1993,0)),"-")</f>
        <v>-</v>
      </c>
      <c r="D686" s="2" t="str">
        <f>IFERROR(INDEX(Movimientos!$E$2:$E$1993,MATCH(A686&amp;"ENTRADA",Movimientos!$R$2:$R$1993,0)),"-")</f>
        <v>-</v>
      </c>
      <c r="E686" s="2" t="str">
        <f>IFERROR(INDEX(Movimientos!$F$2:$F$1993,MATCH(A686&amp;"ENTRADA",Movimientos!$R$2:$R$1993,0)),"-")</f>
        <v>-</v>
      </c>
      <c r="F686" s="2" t="str">
        <f>IFERROR(INDEX(Movimientos!$G$2:$G$1993,MATCH(A686&amp;"ENTRADA",Movimientos!$R$2:$R$1993,0)),"-")</f>
        <v>-</v>
      </c>
      <c r="G686" s="2" t="str">
        <f>IFERROR(INDEX(Movimientos!$L$2:$L$1993,MATCH(A686&amp;"ENTRADA",Movimientos!$R$2:$R$1993,0)),"-")</f>
        <v>-</v>
      </c>
      <c r="H686" s="17" t="str">
        <f>IFERROR(IF(INDEX(Movimientos!$M$2:$M$1993,MATCH(A686&amp;"ENTRADA",Movimientos!$R$2:$R$1993,0))=0,"S/D",INDEX(Movimientos!$M$2:$M$1993,MATCH(A686&amp;"ENTRADA",Movimientos!$R$2:$R$1993,0))),"S/D")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3027</v>
      </c>
      <c r="B687" s="2" t="str">
        <f>IFERROR(INDEX(Movimientos!$C$2:$C$1993,MATCH(A687&amp;"ENTRADA",Movimientos!$R$2:$R$1993,0)),"-")</f>
        <v>-</v>
      </c>
      <c r="C687" s="2" t="str">
        <f>IFERROR(INDEX(Movimientos!$D$2:$D$1993,MATCH(A687&amp;"ENTRADA",Movimientos!$R$2:$R$1993,0)),"-")</f>
        <v>-</v>
      </c>
      <c r="D687" s="2" t="str">
        <f>IFERROR(INDEX(Movimientos!$E$2:$E$1993,MATCH(A687&amp;"ENTRADA",Movimientos!$R$2:$R$1993,0)),"-")</f>
        <v>-</v>
      </c>
      <c r="E687" s="2" t="str">
        <f>IFERROR(INDEX(Movimientos!$F$2:$F$1993,MATCH(A687&amp;"ENTRADA",Movimientos!$R$2:$R$1993,0)),"-")</f>
        <v>-</v>
      </c>
      <c r="F687" s="2" t="str">
        <f>IFERROR(INDEX(Movimientos!$G$2:$G$1993,MATCH(A687&amp;"ENTRADA",Movimientos!$R$2:$R$1993,0)),"-")</f>
        <v>-</v>
      </c>
      <c r="G687" s="2" t="str">
        <f>IFERROR(INDEX(Movimientos!$L$2:$L$1993,MATCH(A687&amp;"ENTRADA",Movimientos!$R$2:$R$1993,0)),"-")</f>
        <v>-</v>
      </c>
      <c r="H687" s="17" t="str">
        <f>IFERROR(IF(INDEX(Movimientos!$M$2:$M$1993,MATCH(A687&amp;"ENTRADA",Movimientos!$R$2:$R$1993,0))=0,"S/D",INDEX(Movimientos!$M$2:$M$1993,MATCH(A687&amp;"ENTRADA",Movimientos!$R$2:$R$1993,0))),"S/D")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3028</v>
      </c>
      <c r="B688" s="2" t="str">
        <f>IFERROR(INDEX(Movimientos!$C$2:$C$1993,MATCH(A688&amp;"ENTRADA",Movimientos!$R$2:$R$1993,0)),"-")</f>
        <v>-</v>
      </c>
      <c r="C688" s="2" t="str">
        <f>IFERROR(INDEX(Movimientos!$D$2:$D$1993,MATCH(A688&amp;"ENTRADA",Movimientos!$R$2:$R$1993,0)),"-")</f>
        <v>-</v>
      </c>
      <c r="D688" s="2" t="str">
        <f>IFERROR(INDEX(Movimientos!$E$2:$E$1993,MATCH(A688&amp;"ENTRADA",Movimientos!$R$2:$R$1993,0)),"-")</f>
        <v>-</v>
      </c>
      <c r="E688" s="2" t="str">
        <f>IFERROR(INDEX(Movimientos!$F$2:$F$1993,MATCH(A688&amp;"ENTRADA",Movimientos!$R$2:$R$1993,0)),"-")</f>
        <v>-</v>
      </c>
      <c r="F688" s="2" t="str">
        <f>IFERROR(INDEX(Movimientos!$G$2:$G$1993,MATCH(A688&amp;"ENTRADA",Movimientos!$R$2:$R$1993,0)),"-")</f>
        <v>-</v>
      </c>
      <c r="G688" s="2" t="str">
        <f>IFERROR(INDEX(Movimientos!$L$2:$L$1993,MATCH(A688&amp;"ENTRADA",Movimientos!$R$2:$R$1993,0)),"-")</f>
        <v>-</v>
      </c>
      <c r="H688" s="17" t="str">
        <f>IFERROR(IF(INDEX(Movimientos!$M$2:$M$1993,MATCH(A688&amp;"ENTRADA",Movimientos!$R$2:$R$1993,0))=0,"S/D",INDEX(Movimientos!$M$2:$M$1993,MATCH(A688&amp;"ENTRADA",Movimientos!$R$2:$R$1993,0))),"S/D")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3029</v>
      </c>
      <c r="B689" s="2" t="str">
        <f>IFERROR(INDEX(Movimientos!$C$2:$C$1993,MATCH(A689&amp;"ENTRADA",Movimientos!$R$2:$R$1993,0)),"-")</f>
        <v>-</v>
      </c>
      <c r="C689" s="2" t="str">
        <f>IFERROR(INDEX(Movimientos!$D$2:$D$1993,MATCH(A689&amp;"ENTRADA",Movimientos!$R$2:$R$1993,0)),"-")</f>
        <v>-</v>
      </c>
      <c r="D689" s="2" t="str">
        <f>IFERROR(INDEX(Movimientos!$E$2:$E$1993,MATCH(A689&amp;"ENTRADA",Movimientos!$R$2:$R$1993,0)),"-")</f>
        <v>-</v>
      </c>
      <c r="E689" s="2" t="str">
        <f>IFERROR(INDEX(Movimientos!$F$2:$F$1993,MATCH(A689&amp;"ENTRADA",Movimientos!$R$2:$R$1993,0)),"-")</f>
        <v>-</v>
      </c>
      <c r="F689" s="2" t="str">
        <f>IFERROR(INDEX(Movimientos!$G$2:$G$1993,MATCH(A689&amp;"ENTRADA",Movimientos!$R$2:$R$1993,0)),"-")</f>
        <v>-</v>
      </c>
      <c r="G689" s="2" t="str">
        <f>IFERROR(INDEX(Movimientos!$L$2:$L$1993,MATCH(A689&amp;"ENTRADA",Movimientos!$R$2:$R$1993,0)),"-")</f>
        <v>-</v>
      </c>
      <c r="H689" s="17" t="str">
        <f>IFERROR(IF(INDEX(Movimientos!$M$2:$M$1993,MATCH(A689&amp;"ENTRADA",Movimientos!$R$2:$R$1993,0))=0,"S/D",INDEX(Movimientos!$M$2:$M$1993,MATCH(A689&amp;"ENTRADA",Movimientos!$R$2:$R$1993,0))),"S/D")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3030</v>
      </c>
      <c r="B690" s="2" t="str">
        <f>IFERROR(INDEX(Movimientos!$C$2:$C$1993,MATCH(A690&amp;"ENTRADA",Movimientos!$R$2:$R$1993,0)),"-")</f>
        <v>-</v>
      </c>
      <c r="C690" s="2" t="str">
        <f>IFERROR(INDEX(Movimientos!$D$2:$D$1993,MATCH(A690&amp;"ENTRADA",Movimientos!$R$2:$R$1993,0)),"-")</f>
        <v>-</v>
      </c>
      <c r="D690" s="2" t="str">
        <f>IFERROR(INDEX(Movimientos!$E$2:$E$1993,MATCH(A690&amp;"ENTRADA",Movimientos!$R$2:$R$1993,0)),"-")</f>
        <v>-</v>
      </c>
      <c r="E690" s="2" t="str">
        <f>IFERROR(INDEX(Movimientos!$F$2:$F$1993,MATCH(A690&amp;"ENTRADA",Movimientos!$R$2:$R$1993,0)),"-")</f>
        <v>-</v>
      </c>
      <c r="F690" s="2" t="str">
        <f>IFERROR(INDEX(Movimientos!$G$2:$G$1993,MATCH(A690&amp;"ENTRADA",Movimientos!$R$2:$R$1993,0)),"-")</f>
        <v>-</v>
      </c>
      <c r="G690" s="2" t="str">
        <f>IFERROR(INDEX(Movimientos!$L$2:$L$1993,MATCH(A690&amp;"ENTRADA",Movimientos!$R$2:$R$1993,0)),"-")</f>
        <v>-</v>
      </c>
      <c r="H690" s="17" t="str">
        <f>IFERROR(IF(INDEX(Movimientos!$M$2:$M$1993,MATCH(A690&amp;"ENTRADA",Movimientos!$R$2:$R$1993,0))=0,"S/D",INDEX(Movimientos!$M$2:$M$1993,MATCH(A690&amp;"ENTRADA",Movimientos!$R$2:$R$1993,0))),"S/D")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3031</v>
      </c>
      <c r="B691" s="2" t="str">
        <f>IFERROR(INDEX(Movimientos!$C$2:$C$1993,MATCH(A691&amp;"ENTRADA",Movimientos!$R$2:$R$1993,0)),"-")</f>
        <v>-</v>
      </c>
      <c r="C691" s="2" t="str">
        <f>IFERROR(INDEX(Movimientos!$D$2:$D$1993,MATCH(A691&amp;"ENTRADA",Movimientos!$R$2:$R$1993,0)),"-")</f>
        <v>-</v>
      </c>
      <c r="D691" s="2" t="str">
        <f>IFERROR(INDEX(Movimientos!$E$2:$E$1993,MATCH(A691&amp;"ENTRADA",Movimientos!$R$2:$R$1993,0)),"-")</f>
        <v>-</v>
      </c>
      <c r="E691" s="2" t="str">
        <f>IFERROR(INDEX(Movimientos!$F$2:$F$1993,MATCH(A691&amp;"ENTRADA",Movimientos!$R$2:$R$1993,0)),"-")</f>
        <v>-</v>
      </c>
      <c r="F691" s="2" t="str">
        <f>IFERROR(INDEX(Movimientos!$G$2:$G$1993,MATCH(A691&amp;"ENTRADA",Movimientos!$R$2:$R$1993,0)),"-")</f>
        <v>-</v>
      </c>
      <c r="G691" s="2" t="str">
        <f>IFERROR(INDEX(Movimientos!$L$2:$L$1993,MATCH(A691&amp;"ENTRADA",Movimientos!$R$2:$R$1993,0)),"-")</f>
        <v>-</v>
      </c>
      <c r="H691" s="17" t="str">
        <f>IFERROR(IF(INDEX(Movimientos!$M$2:$M$1993,MATCH(A691&amp;"ENTRADA",Movimientos!$R$2:$R$1993,0))=0,"S/D",INDEX(Movimientos!$M$2:$M$1993,MATCH(A691&amp;"ENTRADA",Movimientos!$R$2:$R$1993,0))),"S/D")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3032</v>
      </c>
      <c r="B692" s="2" t="str">
        <f>IFERROR(INDEX(Movimientos!$C$2:$C$1993,MATCH(A692&amp;"ENTRADA",Movimientos!$R$2:$R$1993,0)),"-")</f>
        <v>-</v>
      </c>
      <c r="C692" s="2" t="str">
        <f>IFERROR(INDEX(Movimientos!$D$2:$D$1993,MATCH(A692&amp;"ENTRADA",Movimientos!$R$2:$R$1993,0)),"-")</f>
        <v>-</v>
      </c>
      <c r="D692" s="2" t="str">
        <f>IFERROR(INDEX(Movimientos!$E$2:$E$1993,MATCH(A692&amp;"ENTRADA",Movimientos!$R$2:$R$1993,0)),"-")</f>
        <v>-</v>
      </c>
      <c r="E692" s="2" t="str">
        <f>IFERROR(INDEX(Movimientos!$F$2:$F$1993,MATCH(A692&amp;"ENTRADA",Movimientos!$R$2:$R$1993,0)),"-")</f>
        <v>-</v>
      </c>
      <c r="F692" s="2" t="str">
        <f>IFERROR(INDEX(Movimientos!$G$2:$G$1993,MATCH(A692&amp;"ENTRADA",Movimientos!$R$2:$R$1993,0)),"-")</f>
        <v>-</v>
      </c>
      <c r="G692" s="2" t="str">
        <f>IFERROR(INDEX(Movimientos!$L$2:$L$1993,MATCH(A692&amp;"ENTRADA",Movimientos!$R$2:$R$1993,0)),"-")</f>
        <v>-</v>
      </c>
      <c r="H692" s="17" t="str">
        <f>IFERROR(IF(INDEX(Movimientos!$M$2:$M$1993,MATCH(A692&amp;"ENTRADA",Movimientos!$R$2:$R$1993,0))=0,"S/D",INDEX(Movimientos!$M$2:$M$1993,MATCH(A692&amp;"ENTRADA",Movimientos!$R$2:$R$1993,0))),"S/D")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3033</v>
      </c>
      <c r="B693" s="2" t="str">
        <f>IFERROR(INDEX(Movimientos!$C$2:$C$1993,MATCH(A693&amp;"ENTRADA",Movimientos!$R$2:$R$1993,0)),"-")</f>
        <v>-</v>
      </c>
      <c r="C693" s="2" t="str">
        <f>IFERROR(INDEX(Movimientos!$D$2:$D$1993,MATCH(A693&amp;"ENTRADA",Movimientos!$R$2:$R$1993,0)),"-")</f>
        <v>-</v>
      </c>
      <c r="D693" s="2" t="str">
        <f>IFERROR(INDEX(Movimientos!$E$2:$E$1993,MATCH(A693&amp;"ENTRADA",Movimientos!$R$2:$R$1993,0)),"-")</f>
        <v>-</v>
      </c>
      <c r="E693" s="2" t="str">
        <f>IFERROR(INDEX(Movimientos!$F$2:$F$1993,MATCH(A693&amp;"ENTRADA",Movimientos!$R$2:$R$1993,0)),"-")</f>
        <v>-</v>
      </c>
      <c r="F693" s="2" t="str">
        <f>IFERROR(INDEX(Movimientos!$G$2:$G$1993,MATCH(A693&amp;"ENTRADA",Movimientos!$R$2:$R$1993,0)),"-")</f>
        <v>-</v>
      </c>
      <c r="G693" s="2" t="str">
        <f>IFERROR(INDEX(Movimientos!$L$2:$L$1993,MATCH(A693&amp;"ENTRADA",Movimientos!$R$2:$R$1993,0)),"-")</f>
        <v>-</v>
      </c>
      <c r="H693" s="17" t="str">
        <f>IFERROR(IF(INDEX(Movimientos!$M$2:$M$1993,MATCH(A693&amp;"ENTRADA",Movimientos!$R$2:$R$1993,0))=0,"S/D",INDEX(Movimientos!$M$2:$M$1993,MATCH(A693&amp;"ENTRADA",Movimientos!$R$2:$R$1993,0))),"S/D")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3034</v>
      </c>
      <c r="B694" s="2" t="str">
        <f>IFERROR(INDEX(Movimientos!$C$2:$C$1993,MATCH(A694&amp;"ENTRADA",Movimientos!$R$2:$R$1993,0)),"-")</f>
        <v>-</v>
      </c>
      <c r="C694" s="2" t="str">
        <f>IFERROR(INDEX(Movimientos!$D$2:$D$1993,MATCH(A694&amp;"ENTRADA",Movimientos!$R$2:$R$1993,0)),"-")</f>
        <v>-</v>
      </c>
      <c r="D694" s="2" t="str">
        <f>IFERROR(INDEX(Movimientos!$E$2:$E$1993,MATCH(A694&amp;"ENTRADA",Movimientos!$R$2:$R$1993,0)),"-")</f>
        <v>-</v>
      </c>
      <c r="E694" s="2" t="str">
        <f>IFERROR(INDEX(Movimientos!$F$2:$F$1993,MATCH(A694&amp;"ENTRADA",Movimientos!$R$2:$R$1993,0)),"-")</f>
        <v>-</v>
      </c>
      <c r="F694" s="2" t="str">
        <f>IFERROR(INDEX(Movimientos!$G$2:$G$1993,MATCH(A694&amp;"ENTRADA",Movimientos!$R$2:$R$1993,0)),"-")</f>
        <v>-</v>
      </c>
      <c r="G694" s="2" t="str">
        <f>IFERROR(INDEX(Movimientos!$L$2:$L$1993,MATCH(A694&amp;"ENTRADA",Movimientos!$R$2:$R$1993,0)),"-")</f>
        <v>-</v>
      </c>
      <c r="H694" s="17" t="str">
        <f>IFERROR(IF(INDEX(Movimientos!$M$2:$M$1993,MATCH(A694&amp;"ENTRADA",Movimientos!$R$2:$R$1993,0))=0,"S/D",INDEX(Movimientos!$M$2:$M$1993,MATCH(A694&amp;"ENTRADA",Movimientos!$R$2:$R$1993,0))),"S/D")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3035</v>
      </c>
      <c r="B695" s="2" t="str">
        <f>IFERROR(INDEX(Movimientos!$C$2:$C$1993,MATCH(A695&amp;"ENTRADA",Movimientos!$R$2:$R$1993,0)),"-")</f>
        <v>-</v>
      </c>
      <c r="C695" s="2" t="str">
        <f>IFERROR(INDEX(Movimientos!$D$2:$D$1993,MATCH(A695&amp;"ENTRADA",Movimientos!$R$2:$R$1993,0)),"-")</f>
        <v>-</v>
      </c>
      <c r="D695" s="2" t="str">
        <f>IFERROR(INDEX(Movimientos!$E$2:$E$1993,MATCH(A695&amp;"ENTRADA",Movimientos!$R$2:$R$1993,0)),"-")</f>
        <v>-</v>
      </c>
      <c r="E695" s="2" t="str">
        <f>IFERROR(INDEX(Movimientos!$F$2:$F$1993,MATCH(A695&amp;"ENTRADA",Movimientos!$R$2:$R$1993,0)),"-")</f>
        <v>-</v>
      </c>
      <c r="F695" s="2" t="str">
        <f>IFERROR(INDEX(Movimientos!$G$2:$G$1993,MATCH(A695&amp;"ENTRADA",Movimientos!$R$2:$R$1993,0)),"-")</f>
        <v>-</v>
      </c>
      <c r="G695" s="2" t="str">
        <f>IFERROR(INDEX(Movimientos!$L$2:$L$1993,MATCH(A695&amp;"ENTRADA",Movimientos!$R$2:$R$1993,0)),"-")</f>
        <v>-</v>
      </c>
      <c r="H695" s="17" t="str">
        <f>IFERROR(IF(INDEX(Movimientos!$M$2:$M$1993,MATCH(A695&amp;"ENTRADA",Movimientos!$R$2:$R$1993,0))=0,"S/D",INDEX(Movimientos!$M$2:$M$1993,MATCH(A695&amp;"ENTRADA",Movimientos!$R$2:$R$1993,0))),"S/D")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3036</v>
      </c>
      <c r="B696" s="2" t="str">
        <f>IFERROR(INDEX(Movimientos!$C$2:$C$1993,MATCH(A696&amp;"ENTRADA",Movimientos!$R$2:$R$1993,0)),"-")</f>
        <v>-</v>
      </c>
      <c r="C696" s="2" t="str">
        <f>IFERROR(INDEX(Movimientos!$D$2:$D$1993,MATCH(A696&amp;"ENTRADA",Movimientos!$R$2:$R$1993,0)),"-")</f>
        <v>-</v>
      </c>
      <c r="D696" s="2" t="str">
        <f>IFERROR(INDEX(Movimientos!$E$2:$E$1993,MATCH(A696&amp;"ENTRADA",Movimientos!$R$2:$R$1993,0)),"-")</f>
        <v>-</v>
      </c>
      <c r="E696" s="2" t="str">
        <f>IFERROR(INDEX(Movimientos!$F$2:$F$1993,MATCH(A696&amp;"ENTRADA",Movimientos!$R$2:$R$1993,0)),"-")</f>
        <v>-</v>
      </c>
      <c r="F696" s="2" t="str">
        <f>IFERROR(INDEX(Movimientos!$G$2:$G$1993,MATCH(A696&amp;"ENTRADA",Movimientos!$R$2:$R$1993,0)),"-")</f>
        <v>-</v>
      </c>
      <c r="G696" s="2" t="str">
        <f>IFERROR(INDEX(Movimientos!$L$2:$L$1993,MATCH(A696&amp;"ENTRADA",Movimientos!$R$2:$R$1993,0)),"-")</f>
        <v>-</v>
      </c>
      <c r="H696" s="17" t="str">
        <f>IFERROR(IF(INDEX(Movimientos!$M$2:$M$1993,MATCH(A696&amp;"ENTRADA",Movimientos!$R$2:$R$1993,0))=0,"S/D",INDEX(Movimientos!$M$2:$M$1993,MATCH(A696&amp;"ENTRADA",Movimientos!$R$2:$R$1993,0))),"S/D")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3037</v>
      </c>
      <c r="B697" s="2" t="str">
        <f>IFERROR(INDEX(Movimientos!$C$2:$C$1993,MATCH(A697&amp;"ENTRADA",Movimientos!$R$2:$R$1993,0)),"-")</f>
        <v>-</v>
      </c>
      <c r="C697" s="2" t="str">
        <f>IFERROR(INDEX(Movimientos!$D$2:$D$1993,MATCH(A697&amp;"ENTRADA",Movimientos!$R$2:$R$1993,0)),"-")</f>
        <v>-</v>
      </c>
      <c r="D697" s="2" t="str">
        <f>IFERROR(INDEX(Movimientos!$E$2:$E$1993,MATCH(A697&amp;"ENTRADA",Movimientos!$R$2:$R$1993,0)),"-")</f>
        <v>-</v>
      </c>
      <c r="E697" s="2" t="str">
        <f>IFERROR(INDEX(Movimientos!$F$2:$F$1993,MATCH(A697&amp;"ENTRADA",Movimientos!$R$2:$R$1993,0)),"-")</f>
        <v>-</v>
      </c>
      <c r="F697" s="2" t="str">
        <f>IFERROR(INDEX(Movimientos!$G$2:$G$1993,MATCH(A697&amp;"ENTRADA",Movimientos!$R$2:$R$1993,0)),"-")</f>
        <v>-</v>
      </c>
      <c r="G697" s="2" t="str">
        <f>IFERROR(INDEX(Movimientos!$L$2:$L$1993,MATCH(A697&amp;"ENTRADA",Movimientos!$R$2:$R$1993,0)),"-")</f>
        <v>-</v>
      </c>
      <c r="H697" s="17" t="str">
        <f>IFERROR(IF(INDEX(Movimientos!$M$2:$M$1993,MATCH(A697&amp;"ENTRADA",Movimientos!$R$2:$R$1993,0))=0,"S/D",INDEX(Movimientos!$M$2:$M$1993,MATCH(A697&amp;"ENTRADA",Movimientos!$R$2:$R$1993,0))),"S/D")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3038</v>
      </c>
      <c r="B698" s="2" t="str">
        <f>IFERROR(INDEX(Movimientos!$C$2:$C$1993,MATCH(A698&amp;"ENTRADA",Movimientos!$R$2:$R$1993,0)),"-")</f>
        <v>-</v>
      </c>
      <c r="C698" s="2" t="str">
        <f>IFERROR(INDEX(Movimientos!$D$2:$D$1993,MATCH(A698&amp;"ENTRADA",Movimientos!$R$2:$R$1993,0)),"-")</f>
        <v>-</v>
      </c>
      <c r="D698" s="2" t="str">
        <f>IFERROR(INDEX(Movimientos!$E$2:$E$1993,MATCH(A698&amp;"ENTRADA",Movimientos!$R$2:$R$1993,0)),"-")</f>
        <v>-</v>
      </c>
      <c r="E698" s="2" t="str">
        <f>IFERROR(INDEX(Movimientos!$F$2:$F$1993,MATCH(A698&amp;"ENTRADA",Movimientos!$R$2:$R$1993,0)),"-")</f>
        <v>-</v>
      </c>
      <c r="F698" s="2" t="str">
        <f>IFERROR(INDEX(Movimientos!$G$2:$G$1993,MATCH(A698&amp;"ENTRADA",Movimientos!$R$2:$R$1993,0)),"-")</f>
        <v>-</v>
      </c>
      <c r="G698" s="2" t="str">
        <f>IFERROR(INDEX(Movimientos!$L$2:$L$1993,MATCH(A698&amp;"ENTRADA",Movimientos!$R$2:$R$1993,0)),"-")</f>
        <v>-</v>
      </c>
      <c r="H698" s="17" t="str">
        <f>IFERROR(IF(INDEX(Movimientos!$M$2:$M$1993,MATCH(A698&amp;"ENTRADA",Movimientos!$R$2:$R$1993,0))=0,"S/D",INDEX(Movimientos!$M$2:$M$1993,MATCH(A698&amp;"ENTRADA",Movimientos!$R$2:$R$1993,0))),"S/D")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3039</v>
      </c>
      <c r="B699" s="2" t="str">
        <f>IFERROR(INDEX(Movimientos!$C$2:$C$1993,MATCH(A699&amp;"ENTRADA",Movimientos!$R$2:$R$1993,0)),"-")</f>
        <v>-</v>
      </c>
      <c r="C699" s="2" t="str">
        <f>IFERROR(INDEX(Movimientos!$D$2:$D$1993,MATCH(A699&amp;"ENTRADA",Movimientos!$R$2:$R$1993,0)),"-")</f>
        <v>-</v>
      </c>
      <c r="D699" s="2" t="str">
        <f>IFERROR(INDEX(Movimientos!$E$2:$E$1993,MATCH(A699&amp;"ENTRADA",Movimientos!$R$2:$R$1993,0)),"-")</f>
        <v>-</v>
      </c>
      <c r="E699" s="2" t="str">
        <f>IFERROR(INDEX(Movimientos!$F$2:$F$1993,MATCH(A699&amp;"ENTRADA",Movimientos!$R$2:$R$1993,0)),"-")</f>
        <v>-</v>
      </c>
      <c r="F699" s="2" t="str">
        <f>IFERROR(INDEX(Movimientos!$G$2:$G$1993,MATCH(A699&amp;"ENTRADA",Movimientos!$R$2:$R$1993,0)),"-")</f>
        <v>-</v>
      </c>
      <c r="G699" s="2" t="str">
        <f>IFERROR(INDEX(Movimientos!$L$2:$L$1993,MATCH(A699&amp;"ENTRADA",Movimientos!$R$2:$R$1993,0)),"-")</f>
        <v>-</v>
      </c>
      <c r="H699" s="17" t="str">
        <f>IFERROR(IF(INDEX(Movimientos!$M$2:$M$1993,MATCH(A699&amp;"ENTRADA",Movimientos!$R$2:$R$1993,0))=0,"S/D",INDEX(Movimientos!$M$2:$M$1993,MATCH(A699&amp;"ENTRADA",Movimientos!$R$2:$R$1993,0))),"S/D")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3040</v>
      </c>
      <c r="B700" s="2" t="str">
        <f>IFERROR(INDEX(Movimientos!$C$2:$C$1993,MATCH(A700&amp;"ENTRADA",Movimientos!$R$2:$R$1993,0)),"-")</f>
        <v>-</v>
      </c>
      <c r="C700" s="2" t="str">
        <f>IFERROR(INDEX(Movimientos!$D$2:$D$1993,MATCH(A700&amp;"ENTRADA",Movimientos!$R$2:$R$1993,0)),"-")</f>
        <v>-</v>
      </c>
      <c r="D700" s="2" t="str">
        <f>IFERROR(INDEX(Movimientos!$E$2:$E$1993,MATCH(A700&amp;"ENTRADA",Movimientos!$R$2:$R$1993,0)),"-")</f>
        <v>-</v>
      </c>
      <c r="E700" s="2" t="str">
        <f>IFERROR(INDEX(Movimientos!$F$2:$F$1993,MATCH(A700&amp;"ENTRADA",Movimientos!$R$2:$R$1993,0)),"-")</f>
        <v>-</v>
      </c>
      <c r="F700" s="2" t="str">
        <f>IFERROR(INDEX(Movimientos!$G$2:$G$1993,MATCH(A700&amp;"ENTRADA",Movimientos!$R$2:$R$1993,0)),"-")</f>
        <v>-</v>
      </c>
      <c r="G700" s="2" t="str">
        <f>IFERROR(INDEX(Movimientos!$L$2:$L$1993,MATCH(A700&amp;"ENTRADA",Movimientos!$R$2:$R$1993,0)),"-")</f>
        <v>-</v>
      </c>
      <c r="H700" s="17" t="str">
        <f>IFERROR(IF(INDEX(Movimientos!$M$2:$M$1993,MATCH(A700&amp;"ENTRADA",Movimientos!$R$2:$R$1993,0))=0,"S/D",INDEX(Movimientos!$M$2:$M$1993,MATCH(A700&amp;"ENTRADA",Movimientos!$R$2:$R$1993,0))),"S/D")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3041</v>
      </c>
      <c r="B701" s="2" t="str">
        <f>IFERROR(INDEX(Movimientos!$C$2:$C$1993,MATCH(A701&amp;"ENTRADA",Movimientos!$R$2:$R$1993,0)),"-")</f>
        <v>-</v>
      </c>
      <c r="C701" s="2" t="str">
        <f>IFERROR(INDEX(Movimientos!$D$2:$D$1993,MATCH(A701&amp;"ENTRADA",Movimientos!$R$2:$R$1993,0)),"-")</f>
        <v>-</v>
      </c>
      <c r="D701" s="2" t="str">
        <f>IFERROR(INDEX(Movimientos!$E$2:$E$1993,MATCH(A701&amp;"ENTRADA",Movimientos!$R$2:$R$1993,0)),"-")</f>
        <v>-</v>
      </c>
      <c r="E701" s="2" t="str">
        <f>IFERROR(INDEX(Movimientos!$F$2:$F$1993,MATCH(A701&amp;"ENTRADA",Movimientos!$R$2:$R$1993,0)),"-")</f>
        <v>-</v>
      </c>
      <c r="F701" s="2" t="str">
        <f>IFERROR(INDEX(Movimientos!$G$2:$G$1993,MATCH(A701&amp;"ENTRADA",Movimientos!$R$2:$R$1993,0)),"-")</f>
        <v>-</v>
      </c>
      <c r="G701" s="2" t="str">
        <f>IFERROR(INDEX(Movimientos!$L$2:$L$1993,MATCH(A701&amp;"ENTRADA",Movimientos!$R$2:$R$1993,0)),"-")</f>
        <v>-</v>
      </c>
      <c r="H701" s="17" t="str">
        <f>IFERROR(IF(INDEX(Movimientos!$M$2:$M$1993,MATCH(A701&amp;"ENTRADA",Movimientos!$R$2:$R$1993,0))=0,"S/D",INDEX(Movimientos!$M$2:$M$1993,MATCH(A701&amp;"ENTRADA",Movimientos!$R$2:$R$1993,0))),"S/D")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3042</v>
      </c>
      <c r="B702" s="2" t="str">
        <f>IFERROR(INDEX(Movimientos!$C$2:$C$1993,MATCH(A702&amp;"ENTRADA",Movimientos!$R$2:$R$1993,0)),"-")</f>
        <v>-</v>
      </c>
      <c r="C702" s="2" t="str">
        <f>IFERROR(INDEX(Movimientos!$D$2:$D$1993,MATCH(A702&amp;"ENTRADA",Movimientos!$R$2:$R$1993,0)),"-")</f>
        <v>-</v>
      </c>
      <c r="D702" s="2" t="str">
        <f>IFERROR(INDEX(Movimientos!$E$2:$E$1993,MATCH(A702&amp;"ENTRADA",Movimientos!$R$2:$R$1993,0)),"-")</f>
        <v>-</v>
      </c>
      <c r="E702" s="2" t="str">
        <f>IFERROR(INDEX(Movimientos!$F$2:$F$1993,MATCH(A702&amp;"ENTRADA",Movimientos!$R$2:$R$1993,0)),"-")</f>
        <v>-</v>
      </c>
      <c r="F702" s="2" t="str">
        <f>IFERROR(INDEX(Movimientos!$G$2:$G$1993,MATCH(A702&amp;"ENTRADA",Movimientos!$R$2:$R$1993,0)),"-")</f>
        <v>-</v>
      </c>
      <c r="G702" s="2" t="str">
        <f>IFERROR(INDEX(Movimientos!$L$2:$L$1993,MATCH(A702&amp;"ENTRADA",Movimientos!$R$2:$R$1993,0)),"-")</f>
        <v>-</v>
      </c>
      <c r="H702" s="17" t="str">
        <f>IFERROR(IF(INDEX(Movimientos!$M$2:$M$1993,MATCH(A702&amp;"ENTRADA",Movimientos!$R$2:$R$1993,0))=0,"S/D",INDEX(Movimientos!$M$2:$M$1993,MATCH(A702&amp;"ENTRADA",Movimientos!$R$2:$R$1993,0))),"S/D")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3043</v>
      </c>
      <c r="B703" s="2" t="str">
        <f>IFERROR(INDEX(Movimientos!$C$2:$C$1993,MATCH(A703&amp;"ENTRADA",Movimientos!$R$2:$R$1993,0)),"-")</f>
        <v>-</v>
      </c>
      <c r="C703" s="2" t="str">
        <f>IFERROR(INDEX(Movimientos!$D$2:$D$1993,MATCH(A703&amp;"ENTRADA",Movimientos!$R$2:$R$1993,0)),"-")</f>
        <v>-</v>
      </c>
      <c r="D703" s="2" t="str">
        <f>IFERROR(INDEX(Movimientos!$E$2:$E$1993,MATCH(A703&amp;"ENTRADA",Movimientos!$R$2:$R$1993,0)),"-")</f>
        <v>-</v>
      </c>
      <c r="E703" s="2" t="str">
        <f>IFERROR(INDEX(Movimientos!$F$2:$F$1993,MATCH(A703&amp;"ENTRADA",Movimientos!$R$2:$R$1993,0)),"-")</f>
        <v>-</v>
      </c>
      <c r="F703" s="2" t="str">
        <f>IFERROR(INDEX(Movimientos!$G$2:$G$1993,MATCH(A703&amp;"ENTRADA",Movimientos!$R$2:$R$1993,0)),"-")</f>
        <v>-</v>
      </c>
      <c r="G703" s="2" t="str">
        <f>IFERROR(INDEX(Movimientos!$L$2:$L$1993,MATCH(A703&amp;"ENTRADA",Movimientos!$R$2:$R$1993,0)),"-")</f>
        <v>-</v>
      </c>
      <c r="H703" s="17" t="str">
        <f>IFERROR(IF(INDEX(Movimientos!$M$2:$M$1993,MATCH(A703&amp;"ENTRADA",Movimientos!$R$2:$R$1993,0))=0,"S/D",INDEX(Movimientos!$M$2:$M$1993,MATCH(A703&amp;"ENTRADA",Movimientos!$R$2:$R$1993,0))),"S/D")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3044</v>
      </c>
      <c r="B704" s="2" t="str">
        <f>IFERROR(INDEX(Movimientos!$C$2:$C$1993,MATCH(A704&amp;"ENTRADA",Movimientos!$R$2:$R$1993,0)),"-")</f>
        <v>-</v>
      </c>
      <c r="C704" s="2" t="str">
        <f>IFERROR(INDEX(Movimientos!$D$2:$D$1993,MATCH(A704&amp;"ENTRADA",Movimientos!$R$2:$R$1993,0)),"-")</f>
        <v>-</v>
      </c>
      <c r="D704" s="2" t="str">
        <f>IFERROR(INDEX(Movimientos!$E$2:$E$1993,MATCH(A704&amp;"ENTRADA",Movimientos!$R$2:$R$1993,0)),"-")</f>
        <v>-</v>
      </c>
      <c r="E704" s="2" t="str">
        <f>IFERROR(INDEX(Movimientos!$F$2:$F$1993,MATCH(A704&amp;"ENTRADA",Movimientos!$R$2:$R$1993,0)),"-")</f>
        <v>-</v>
      </c>
      <c r="F704" s="2" t="str">
        <f>IFERROR(INDEX(Movimientos!$G$2:$G$1993,MATCH(A704&amp;"ENTRADA",Movimientos!$R$2:$R$1993,0)),"-")</f>
        <v>-</v>
      </c>
      <c r="G704" s="2" t="str">
        <f>IFERROR(INDEX(Movimientos!$L$2:$L$1993,MATCH(A704&amp;"ENTRADA",Movimientos!$R$2:$R$1993,0)),"-")</f>
        <v>-</v>
      </c>
      <c r="H704" s="17" t="str">
        <f>IFERROR(IF(INDEX(Movimientos!$M$2:$M$1993,MATCH(A704&amp;"ENTRADA",Movimientos!$R$2:$R$1993,0))=0,"S/D",INDEX(Movimientos!$M$2:$M$1993,MATCH(A704&amp;"ENTRADA",Movimientos!$R$2:$R$1993,0))),"S/D")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3045</v>
      </c>
      <c r="B705" s="2" t="str">
        <f>IFERROR(INDEX(Movimientos!$C$2:$C$1993,MATCH(A705&amp;"ENTRADA",Movimientos!$R$2:$R$1993,0)),"-")</f>
        <v>-</v>
      </c>
      <c r="C705" s="2" t="str">
        <f>IFERROR(INDEX(Movimientos!$D$2:$D$1993,MATCH(A705&amp;"ENTRADA",Movimientos!$R$2:$R$1993,0)),"-")</f>
        <v>-</v>
      </c>
      <c r="D705" s="2" t="str">
        <f>IFERROR(INDEX(Movimientos!$E$2:$E$1993,MATCH(A705&amp;"ENTRADA",Movimientos!$R$2:$R$1993,0)),"-")</f>
        <v>-</v>
      </c>
      <c r="E705" s="2" t="str">
        <f>IFERROR(INDEX(Movimientos!$F$2:$F$1993,MATCH(A705&amp;"ENTRADA",Movimientos!$R$2:$R$1993,0)),"-")</f>
        <v>-</v>
      </c>
      <c r="F705" s="2" t="str">
        <f>IFERROR(INDEX(Movimientos!$G$2:$G$1993,MATCH(A705&amp;"ENTRADA",Movimientos!$R$2:$R$1993,0)),"-")</f>
        <v>-</v>
      </c>
      <c r="G705" s="2" t="str">
        <f>IFERROR(INDEX(Movimientos!$L$2:$L$1993,MATCH(A705&amp;"ENTRADA",Movimientos!$R$2:$R$1993,0)),"-")</f>
        <v>-</v>
      </c>
      <c r="H705" s="17" t="str">
        <f>IFERROR(IF(INDEX(Movimientos!$M$2:$M$1993,MATCH(A705&amp;"ENTRADA",Movimientos!$R$2:$R$1993,0))=0,"S/D",INDEX(Movimientos!$M$2:$M$1993,MATCH(A705&amp;"ENTRADA",Movimientos!$R$2:$R$1993,0))),"S/D")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3046</v>
      </c>
      <c r="B706" s="2" t="str">
        <f>IFERROR(INDEX(Movimientos!$C$2:$C$1993,MATCH(A706&amp;"ENTRADA",Movimientos!$R$2:$R$1993,0)),"-")</f>
        <v>-</v>
      </c>
      <c r="C706" s="2" t="str">
        <f>IFERROR(INDEX(Movimientos!$D$2:$D$1993,MATCH(A706&amp;"ENTRADA",Movimientos!$R$2:$R$1993,0)),"-")</f>
        <v>-</v>
      </c>
      <c r="D706" s="2" t="str">
        <f>IFERROR(INDEX(Movimientos!$E$2:$E$1993,MATCH(A706&amp;"ENTRADA",Movimientos!$R$2:$R$1993,0)),"-")</f>
        <v>-</v>
      </c>
      <c r="E706" s="2" t="str">
        <f>IFERROR(INDEX(Movimientos!$F$2:$F$1993,MATCH(A706&amp;"ENTRADA",Movimientos!$R$2:$R$1993,0)),"-")</f>
        <v>-</v>
      </c>
      <c r="F706" s="2" t="str">
        <f>IFERROR(INDEX(Movimientos!$G$2:$G$1993,MATCH(A706&amp;"ENTRADA",Movimientos!$R$2:$R$1993,0)),"-")</f>
        <v>-</v>
      </c>
      <c r="G706" s="2" t="str">
        <f>IFERROR(INDEX(Movimientos!$L$2:$L$1993,MATCH(A706&amp;"ENTRADA",Movimientos!$R$2:$R$1993,0)),"-")</f>
        <v>-</v>
      </c>
      <c r="H706" s="17" t="str">
        <f>IFERROR(IF(INDEX(Movimientos!$M$2:$M$1993,MATCH(A706&amp;"ENTRADA",Movimientos!$R$2:$R$1993,0))=0,"S/D",INDEX(Movimientos!$M$2:$M$1993,MATCH(A706&amp;"ENTRADA",Movimientos!$R$2:$R$1993,0))),"S/D")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3047</v>
      </c>
      <c r="B707" s="2" t="str">
        <f>IFERROR(INDEX(Movimientos!$C$2:$C$1993,MATCH(A707&amp;"ENTRADA",Movimientos!$R$2:$R$1993,0)),"-")</f>
        <v>-</v>
      </c>
      <c r="C707" s="2" t="str">
        <f>IFERROR(INDEX(Movimientos!$D$2:$D$1993,MATCH(A707&amp;"ENTRADA",Movimientos!$R$2:$R$1993,0)),"-")</f>
        <v>-</v>
      </c>
      <c r="D707" s="2" t="str">
        <f>IFERROR(INDEX(Movimientos!$E$2:$E$1993,MATCH(A707&amp;"ENTRADA",Movimientos!$R$2:$R$1993,0)),"-")</f>
        <v>-</v>
      </c>
      <c r="E707" s="2" t="str">
        <f>IFERROR(INDEX(Movimientos!$F$2:$F$1993,MATCH(A707&amp;"ENTRADA",Movimientos!$R$2:$R$1993,0)),"-")</f>
        <v>-</v>
      </c>
      <c r="F707" s="2" t="str">
        <f>IFERROR(INDEX(Movimientos!$G$2:$G$1993,MATCH(A707&amp;"ENTRADA",Movimientos!$R$2:$R$1993,0)),"-")</f>
        <v>-</v>
      </c>
      <c r="G707" s="2" t="str">
        <f>IFERROR(INDEX(Movimientos!$L$2:$L$1993,MATCH(A707&amp;"ENTRADA",Movimientos!$R$2:$R$1993,0)),"-")</f>
        <v>-</v>
      </c>
      <c r="H707" s="17" t="str">
        <f>IFERROR(IF(INDEX(Movimientos!$M$2:$M$1993,MATCH(A707&amp;"ENTRADA",Movimientos!$R$2:$R$1993,0))=0,"S/D",INDEX(Movimientos!$M$2:$M$1993,MATCH(A707&amp;"ENTRADA",Movimientos!$R$2:$R$1993,0))),"S/D")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3048</v>
      </c>
      <c r="B708" s="2" t="str">
        <f>IFERROR(INDEX(Movimientos!$C$2:$C$1993,MATCH(A708&amp;"ENTRADA",Movimientos!$R$2:$R$1993,0)),"-")</f>
        <v>-</v>
      </c>
      <c r="C708" s="2" t="str">
        <f>IFERROR(INDEX(Movimientos!$D$2:$D$1993,MATCH(A708&amp;"ENTRADA",Movimientos!$R$2:$R$1993,0)),"-")</f>
        <v>-</v>
      </c>
      <c r="D708" s="2" t="str">
        <f>IFERROR(INDEX(Movimientos!$E$2:$E$1993,MATCH(A708&amp;"ENTRADA",Movimientos!$R$2:$R$1993,0)),"-")</f>
        <v>-</v>
      </c>
      <c r="E708" s="2" t="str">
        <f>IFERROR(INDEX(Movimientos!$F$2:$F$1993,MATCH(A708&amp;"ENTRADA",Movimientos!$R$2:$R$1993,0)),"-")</f>
        <v>-</v>
      </c>
      <c r="F708" s="2" t="str">
        <f>IFERROR(INDEX(Movimientos!$G$2:$G$1993,MATCH(A708&amp;"ENTRADA",Movimientos!$R$2:$R$1993,0)),"-")</f>
        <v>-</v>
      </c>
      <c r="G708" s="2" t="str">
        <f>IFERROR(INDEX(Movimientos!$L$2:$L$1993,MATCH(A708&amp;"ENTRADA",Movimientos!$R$2:$R$1993,0)),"-")</f>
        <v>-</v>
      </c>
      <c r="H708" s="17" t="str">
        <f>IFERROR(IF(INDEX(Movimientos!$M$2:$M$1993,MATCH(A708&amp;"ENTRADA",Movimientos!$R$2:$R$1993,0))=0,"S/D",INDEX(Movimientos!$M$2:$M$1993,MATCH(A708&amp;"ENTRADA",Movimientos!$R$2:$R$1993,0))),"S/D")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3049</v>
      </c>
      <c r="B709" s="2" t="str">
        <f>IFERROR(INDEX(Movimientos!$C$2:$C$1993,MATCH(A709&amp;"ENTRADA",Movimientos!$R$2:$R$1993,0)),"-")</f>
        <v>-</v>
      </c>
      <c r="C709" s="2" t="str">
        <f>IFERROR(INDEX(Movimientos!$D$2:$D$1993,MATCH(A709&amp;"ENTRADA",Movimientos!$R$2:$R$1993,0)),"-")</f>
        <v>-</v>
      </c>
      <c r="D709" s="2" t="str">
        <f>IFERROR(INDEX(Movimientos!$E$2:$E$1993,MATCH(A709&amp;"ENTRADA",Movimientos!$R$2:$R$1993,0)),"-")</f>
        <v>-</v>
      </c>
      <c r="E709" s="2" t="str">
        <f>IFERROR(INDEX(Movimientos!$F$2:$F$1993,MATCH(A709&amp;"ENTRADA",Movimientos!$R$2:$R$1993,0)),"-")</f>
        <v>-</v>
      </c>
      <c r="F709" s="2" t="str">
        <f>IFERROR(INDEX(Movimientos!$G$2:$G$1993,MATCH(A709&amp;"ENTRADA",Movimientos!$R$2:$R$1993,0)),"-")</f>
        <v>-</v>
      </c>
      <c r="G709" s="2" t="str">
        <f>IFERROR(INDEX(Movimientos!$L$2:$L$1993,MATCH(A709&amp;"ENTRADA",Movimientos!$R$2:$R$1993,0)),"-")</f>
        <v>-</v>
      </c>
      <c r="H709" s="17" t="str">
        <f>IFERROR(IF(INDEX(Movimientos!$M$2:$M$1993,MATCH(A709&amp;"ENTRADA",Movimientos!$R$2:$R$1993,0))=0,"S/D",INDEX(Movimientos!$M$2:$M$1993,MATCH(A709&amp;"ENTRADA",Movimientos!$R$2:$R$1993,0))),"S/D")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3050</v>
      </c>
      <c r="B710" s="2" t="str">
        <f>IFERROR(INDEX(Movimientos!$C$2:$C$1993,MATCH(A710&amp;"ENTRADA",Movimientos!$R$2:$R$1993,0)),"-")</f>
        <v>-</v>
      </c>
      <c r="C710" s="2" t="str">
        <f>IFERROR(INDEX(Movimientos!$D$2:$D$1993,MATCH(A710&amp;"ENTRADA",Movimientos!$R$2:$R$1993,0)),"-")</f>
        <v>-</v>
      </c>
      <c r="D710" s="2" t="str">
        <f>IFERROR(INDEX(Movimientos!$E$2:$E$1993,MATCH(A710&amp;"ENTRADA",Movimientos!$R$2:$R$1993,0)),"-")</f>
        <v>-</v>
      </c>
      <c r="E710" s="2" t="str">
        <f>IFERROR(INDEX(Movimientos!$F$2:$F$1993,MATCH(A710&amp;"ENTRADA",Movimientos!$R$2:$R$1993,0)),"-")</f>
        <v>-</v>
      </c>
      <c r="F710" s="2" t="str">
        <f>IFERROR(INDEX(Movimientos!$G$2:$G$1993,MATCH(A710&amp;"ENTRADA",Movimientos!$R$2:$R$1993,0)),"-")</f>
        <v>-</v>
      </c>
      <c r="G710" s="2" t="str">
        <f>IFERROR(INDEX(Movimientos!$L$2:$L$1993,MATCH(A710&amp;"ENTRADA",Movimientos!$R$2:$R$1993,0)),"-")</f>
        <v>-</v>
      </c>
      <c r="H710" s="17" t="str">
        <f>IFERROR(IF(INDEX(Movimientos!$M$2:$M$1993,MATCH(A710&amp;"ENTRADA",Movimientos!$R$2:$R$1993,0))=0,"S/D",INDEX(Movimientos!$M$2:$M$1993,MATCH(A710&amp;"ENTRADA",Movimientos!$R$2:$R$1993,0))),"S/D")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3051</v>
      </c>
      <c r="B711" s="2" t="str">
        <f>IFERROR(INDEX(Movimientos!$C$2:$C$1993,MATCH(A711&amp;"ENTRADA",Movimientos!$R$2:$R$1993,0)),"-")</f>
        <v>-</v>
      </c>
      <c r="C711" s="2" t="str">
        <f>IFERROR(INDEX(Movimientos!$D$2:$D$1993,MATCH(A711&amp;"ENTRADA",Movimientos!$R$2:$R$1993,0)),"-")</f>
        <v>-</v>
      </c>
      <c r="D711" s="2" t="str">
        <f>IFERROR(INDEX(Movimientos!$E$2:$E$1993,MATCH(A711&amp;"ENTRADA",Movimientos!$R$2:$R$1993,0)),"-")</f>
        <v>-</v>
      </c>
      <c r="E711" s="2" t="str">
        <f>IFERROR(INDEX(Movimientos!$F$2:$F$1993,MATCH(A711&amp;"ENTRADA",Movimientos!$R$2:$R$1993,0)),"-")</f>
        <v>-</v>
      </c>
      <c r="F711" s="2" t="str">
        <f>IFERROR(INDEX(Movimientos!$G$2:$G$1993,MATCH(A711&amp;"ENTRADA",Movimientos!$R$2:$R$1993,0)),"-")</f>
        <v>-</v>
      </c>
      <c r="G711" s="2" t="str">
        <f>IFERROR(INDEX(Movimientos!$L$2:$L$1993,MATCH(A711&amp;"ENTRADA",Movimientos!$R$2:$R$1993,0)),"-")</f>
        <v>-</v>
      </c>
      <c r="H711" s="17" t="str">
        <f>IFERROR(IF(INDEX(Movimientos!$M$2:$M$1993,MATCH(A711&amp;"ENTRADA",Movimientos!$R$2:$R$1993,0))=0,"S/D",INDEX(Movimientos!$M$2:$M$1993,MATCH(A711&amp;"ENTRADA",Movimientos!$R$2:$R$1993,0))),"S/D")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3052</v>
      </c>
      <c r="B712" s="2" t="str">
        <f>IFERROR(INDEX(Movimientos!$C$2:$C$1993,MATCH(A712&amp;"ENTRADA",Movimientos!$R$2:$R$1993,0)),"-")</f>
        <v>-</v>
      </c>
      <c r="C712" s="2" t="str">
        <f>IFERROR(INDEX(Movimientos!$D$2:$D$1993,MATCH(A712&amp;"ENTRADA",Movimientos!$R$2:$R$1993,0)),"-")</f>
        <v>-</v>
      </c>
      <c r="D712" s="2" t="str">
        <f>IFERROR(INDEX(Movimientos!$E$2:$E$1993,MATCH(A712&amp;"ENTRADA",Movimientos!$R$2:$R$1993,0)),"-")</f>
        <v>-</v>
      </c>
      <c r="E712" s="2" t="str">
        <f>IFERROR(INDEX(Movimientos!$F$2:$F$1993,MATCH(A712&amp;"ENTRADA",Movimientos!$R$2:$R$1993,0)),"-")</f>
        <v>-</v>
      </c>
      <c r="F712" s="2" t="str">
        <f>IFERROR(INDEX(Movimientos!$G$2:$G$1993,MATCH(A712&amp;"ENTRADA",Movimientos!$R$2:$R$1993,0)),"-")</f>
        <v>-</v>
      </c>
      <c r="G712" s="2" t="str">
        <f>IFERROR(INDEX(Movimientos!$L$2:$L$1993,MATCH(A712&amp;"ENTRADA",Movimientos!$R$2:$R$1993,0)),"-")</f>
        <v>-</v>
      </c>
      <c r="H712" s="17" t="str">
        <f>IFERROR(IF(INDEX(Movimientos!$M$2:$M$1993,MATCH(A712&amp;"ENTRADA",Movimientos!$R$2:$R$1993,0))=0,"S/D",INDEX(Movimientos!$M$2:$M$1993,MATCH(A712&amp;"ENTRADA",Movimientos!$R$2:$R$1993,0))),"S/D")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3053</v>
      </c>
      <c r="B713" s="2" t="str">
        <f>IFERROR(INDEX(Movimientos!$C$2:$C$1993,MATCH(A713&amp;"ENTRADA",Movimientos!$R$2:$R$1993,0)),"-")</f>
        <v>-</v>
      </c>
      <c r="C713" s="2" t="str">
        <f>IFERROR(INDEX(Movimientos!$D$2:$D$1993,MATCH(A713&amp;"ENTRADA",Movimientos!$R$2:$R$1993,0)),"-")</f>
        <v>-</v>
      </c>
      <c r="D713" s="2" t="str">
        <f>IFERROR(INDEX(Movimientos!$E$2:$E$1993,MATCH(A713&amp;"ENTRADA",Movimientos!$R$2:$R$1993,0)),"-")</f>
        <v>-</v>
      </c>
      <c r="E713" s="2" t="str">
        <f>IFERROR(INDEX(Movimientos!$F$2:$F$1993,MATCH(A713&amp;"ENTRADA",Movimientos!$R$2:$R$1993,0)),"-")</f>
        <v>-</v>
      </c>
      <c r="F713" s="2" t="str">
        <f>IFERROR(INDEX(Movimientos!$G$2:$G$1993,MATCH(A713&amp;"ENTRADA",Movimientos!$R$2:$R$1993,0)),"-")</f>
        <v>-</v>
      </c>
      <c r="G713" s="2" t="str">
        <f>IFERROR(INDEX(Movimientos!$L$2:$L$1993,MATCH(A713&amp;"ENTRADA",Movimientos!$R$2:$R$1993,0)),"-")</f>
        <v>-</v>
      </c>
      <c r="H713" s="17" t="str">
        <f>IFERROR(IF(INDEX(Movimientos!$M$2:$M$1993,MATCH(A713&amp;"ENTRADA",Movimientos!$R$2:$R$1993,0))=0,"S/D",INDEX(Movimientos!$M$2:$M$1993,MATCH(A713&amp;"ENTRADA",Movimientos!$R$2:$R$1993,0))),"S/D")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3054</v>
      </c>
      <c r="B714" s="2" t="str">
        <f>IFERROR(INDEX(Movimientos!$C$2:$C$1993,MATCH(A714&amp;"ENTRADA",Movimientos!$R$2:$R$1993,0)),"-")</f>
        <v>-</v>
      </c>
      <c r="C714" s="2" t="str">
        <f>IFERROR(INDEX(Movimientos!$D$2:$D$1993,MATCH(A714&amp;"ENTRADA",Movimientos!$R$2:$R$1993,0)),"-")</f>
        <v>-</v>
      </c>
      <c r="D714" s="2" t="str">
        <f>IFERROR(INDEX(Movimientos!$E$2:$E$1993,MATCH(A714&amp;"ENTRADA",Movimientos!$R$2:$R$1993,0)),"-")</f>
        <v>-</v>
      </c>
      <c r="E714" s="2" t="str">
        <f>IFERROR(INDEX(Movimientos!$F$2:$F$1993,MATCH(A714&amp;"ENTRADA",Movimientos!$R$2:$R$1993,0)),"-")</f>
        <v>-</v>
      </c>
      <c r="F714" s="2" t="str">
        <f>IFERROR(INDEX(Movimientos!$G$2:$G$1993,MATCH(A714&amp;"ENTRADA",Movimientos!$R$2:$R$1993,0)),"-")</f>
        <v>-</v>
      </c>
      <c r="G714" s="2" t="str">
        <f>IFERROR(INDEX(Movimientos!$L$2:$L$1993,MATCH(A714&amp;"ENTRADA",Movimientos!$R$2:$R$1993,0)),"-")</f>
        <v>-</v>
      </c>
      <c r="H714" s="17" t="str">
        <f>IFERROR(IF(INDEX(Movimientos!$M$2:$M$1993,MATCH(A714&amp;"ENTRADA",Movimientos!$R$2:$R$1993,0))=0,"S/D",INDEX(Movimientos!$M$2:$M$1993,MATCH(A714&amp;"ENTRADA",Movimientos!$R$2:$R$1993,0))),"S/D")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3055</v>
      </c>
      <c r="B715" s="2" t="str">
        <f>IFERROR(INDEX(Movimientos!$C$2:$C$1993,MATCH(A715&amp;"ENTRADA",Movimientos!$R$2:$R$1993,0)),"-")</f>
        <v>-</v>
      </c>
      <c r="C715" s="2" t="str">
        <f>IFERROR(INDEX(Movimientos!$D$2:$D$1993,MATCH(A715&amp;"ENTRADA",Movimientos!$R$2:$R$1993,0)),"-")</f>
        <v>-</v>
      </c>
      <c r="D715" s="2" t="str">
        <f>IFERROR(INDEX(Movimientos!$E$2:$E$1993,MATCH(A715&amp;"ENTRADA",Movimientos!$R$2:$R$1993,0)),"-")</f>
        <v>-</v>
      </c>
      <c r="E715" s="2" t="str">
        <f>IFERROR(INDEX(Movimientos!$F$2:$F$1993,MATCH(A715&amp;"ENTRADA",Movimientos!$R$2:$R$1993,0)),"-")</f>
        <v>-</v>
      </c>
      <c r="F715" s="2" t="str">
        <f>IFERROR(INDEX(Movimientos!$G$2:$G$1993,MATCH(A715&amp;"ENTRADA",Movimientos!$R$2:$R$1993,0)),"-")</f>
        <v>-</v>
      </c>
      <c r="G715" s="2" t="str">
        <f>IFERROR(INDEX(Movimientos!$L$2:$L$1993,MATCH(A715&amp;"ENTRADA",Movimientos!$R$2:$R$1993,0)),"-")</f>
        <v>-</v>
      </c>
      <c r="H715" s="17" t="str">
        <f>IFERROR(IF(INDEX(Movimientos!$M$2:$M$1993,MATCH(A715&amp;"ENTRADA",Movimientos!$R$2:$R$1993,0))=0,"S/D",INDEX(Movimientos!$M$2:$M$1993,MATCH(A715&amp;"ENTRADA",Movimientos!$R$2:$R$1993,0))),"S/D")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3056</v>
      </c>
      <c r="B716" s="2" t="str">
        <f>IFERROR(INDEX(Movimientos!$C$2:$C$1993,MATCH(A716&amp;"ENTRADA",Movimientos!$R$2:$R$1993,0)),"-")</f>
        <v>-</v>
      </c>
      <c r="C716" s="2" t="str">
        <f>IFERROR(INDEX(Movimientos!$D$2:$D$1993,MATCH(A716&amp;"ENTRADA",Movimientos!$R$2:$R$1993,0)),"-")</f>
        <v>-</v>
      </c>
      <c r="D716" s="2" t="str">
        <f>IFERROR(INDEX(Movimientos!$E$2:$E$1993,MATCH(A716&amp;"ENTRADA",Movimientos!$R$2:$R$1993,0)),"-")</f>
        <v>-</v>
      </c>
      <c r="E716" s="2" t="str">
        <f>IFERROR(INDEX(Movimientos!$F$2:$F$1993,MATCH(A716&amp;"ENTRADA",Movimientos!$R$2:$R$1993,0)),"-")</f>
        <v>-</v>
      </c>
      <c r="F716" s="2" t="str">
        <f>IFERROR(INDEX(Movimientos!$G$2:$G$1993,MATCH(A716&amp;"ENTRADA",Movimientos!$R$2:$R$1993,0)),"-")</f>
        <v>-</v>
      </c>
      <c r="G716" s="2" t="str">
        <f>IFERROR(INDEX(Movimientos!$L$2:$L$1993,MATCH(A716&amp;"ENTRADA",Movimientos!$R$2:$R$1993,0)),"-")</f>
        <v>-</v>
      </c>
      <c r="H716" s="17" t="str">
        <f>IFERROR(IF(INDEX(Movimientos!$M$2:$M$1993,MATCH(A716&amp;"ENTRADA",Movimientos!$R$2:$R$1993,0))=0,"S/D",INDEX(Movimientos!$M$2:$M$1993,MATCH(A716&amp;"ENTRADA",Movimientos!$R$2:$R$1993,0))),"S/D")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3057</v>
      </c>
      <c r="B717" s="2" t="str">
        <f>IFERROR(INDEX(Movimientos!$C$2:$C$1993,MATCH(A717&amp;"ENTRADA",Movimientos!$R$2:$R$1993,0)),"-")</f>
        <v>-</v>
      </c>
      <c r="C717" s="2" t="str">
        <f>IFERROR(INDEX(Movimientos!$D$2:$D$1993,MATCH(A717&amp;"ENTRADA",Movimientos!$R$2:$R$1993,0)),"-")</f>
        <v>-</v>
      </c>
      <c r="D717" s="2" t="str">
        <f>IFERROR(INDEX(Movimientos!$E$2:$E$1993,MATCH(A717&amp;"ENTRADA",Movimientos!$R$2:$R$1993,0)),"-")</f>
        <v>-</v>
      </c>
      <c r="E717" s="2" t="str">
        <f>IFERROR(INDEX(Movimientos!$F$2:$F$1993,MATCH(A717&amp;"ENTRADA",Movimientos!$R$2:$R$1993,0)),"-")</f>
        <v>-</v>
      </c>
      <c r="F717" s="2" t="str">
        <f>IFERROR(INDEX(Movimientos!$G$2:$G$1993,MATCH(A717&amp;"ENTRADA",Movimientos!$R$2:$R$1993,0)),"-")</f>
        <v>-</v>
      </c>
      <c r="G717" s="2" t="str">
        <f>IFERROR(INDEX(Movimientos!$L$2:$L$1993,MATCH(A717&amp;"ENTRADA",Movimientos!$R$2:$R$1993,0)),"-")</f>
        <v>-</v>
      </c>
      <c r="H717" s="17" t="str">
        <f>IFERROR(IF(INDEX(Movimientos!$M$2:$M$1993,MATCH(A717&amp;"ENTRADA",Movimientos!$R$2:$R$1993,0))=0,"S/D",INDEX(Movimientos!$M$2:$M$1993,MATCH(A717&amp;"ENTRADA",Movimientos!$R$2:$R$1993,0))),"S/D")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3058</v>
      </c>
      <c r="B718" s="2" t="str">
        <f>IFERROR(INDEX(Movimientos!$C$2:$C$1993,MATCH(A718&amp;"ENTRADA",Movimientos!$R$2:$R$1993,0)),"-")</f>
        <v>-</v>
      </c>
      <c r="C718" s="2" t="str">
        <f>IFERROR(INDEX(Movimientos!$D$2:$D$1993,MATCH(A718&amp;"ENTRADA",Movimientos!$R$2:$R$1993,0)),"-")</f>
        <v>-</v>
      </c>
      <c r="D718" s="2" t="str">
        <f>IFERROR(INDEX(Movimientos!$E$2:$E$1993,MATCH(A718&amp;"ENTRADA",Movimientos!$R$2:$R$1993,0)),"-")</f>
        <v>-</v>
      </c>
      <c r="E718" s="2" t="str">
        <f>IFERROR(INDEX(Movimientos!$F$2:$F$1993,MATCH(A718&amp;"ENTRADA",Movimientos!$R$2:$R$1993,0)),"-")</f>
        <v>-</v>
      </c>
      <c r="F718" s="2" t="str">
        <f>IFERROR(INDEX(Movimientos!$G$2:$G$1993,MATCH(A718&amp;"ENTRADA",Movimientos!$R$2:$R$1993,0)),"-")</f>
        <v>-</v>
      </c>
      <c r="G718" s="2" t="str">
        <f>IFERROR(INDEX(Movimientos!$L$2:$L$1993,MATCH(A718&amp;"ENTRADA",Movimientos!$R$2:$R$1993,0)),"-")</f>
        <v>-</v>
      </c>
      <c r="H718" s="17" t="str">
        <f>IFERROR(IF(INDEX(Movimientos!$M$2:$M$1993,MATCH(A718&amp;"ENTRADA",Movimientos!$R$2:$R$1993,0))=0,"S/D",INDEX(Movimientos!$M$2:$M$1993,MATCH(A718&amp;"ENTRADA",Movimientos!$R$2:$R$1993,0))),"S/D")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3059</v>
      </c>
      <c r="B719" s="2" t="str">
        <f>IFERROR(INDEX(Movimientos!$C$2:$C$1993,MATCH(A719&amp;"ENTRADA",Movimientos!$R$2:$R$1993,0)),"-")</f>
        <v>-</v>
      </c>
      <c r="C719" s="2" t="str">
        <f>IFERROR(INDEX(Movimientos!$D$2:$D$1993,MATCH(A719&amp;"ENTRADA",Movimientos!$R$2:$R$1993,0)),"-")</f>
        <v>-</v>
      </c>
      <c r="D719" s="2" t="str">
        <f>IFERROR(INDEX(Movimientos!$E$2:$E$1993,MATCH(A719&amp;"ENTRADA",Movimientos!$R$2:$R$1993,0)),"-")</f>
        <v>-</v>
      </c>
      <c r="E719" s="2" t="str">
        <f>IFERROR(INDEX(Movimientos!$F$2:$F$1993,MATCH(A719&amp;"ENTRADA",Movimientos!$R$2:$R$1993,0)),"-")</f>
        <v>-</v>
      </c>
      <c r="F719" s="2" t="str">
        <f>IFERROR(INDEX(Movimientos!$G$2:$G$1993,MATCH(A719&amp;"ENTRADA",Movimientos!$R$2:$R$1993,0)),"-")</f>
        <v>-</v>
      </c>
      <c r="G719" s="2" t="str">
        <f>IFERROR(INDEX(Movimientos!$L$2:$L$1993,MATCH(A719&amp;"ENTRADA",Movimientos!$R$2:$R$1993,0)),"-")</f>
        <v>-</v>
      </c>
      <c r="H719" s="17" t="str">
        <f>IFERROR(IF(INDEX(Movimientos!$M$2:$M$1993,MATCH(A719&amp;"ENTRADA",Movimientos!$R$2:$R$1993,0))=0,"S/D",INDEX(Movimientos!$M$2:$M$1993,MATCH(A719&amp;"ENTRADA",Movimientos!$R$2:$R$1993,0))),"S/D")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3060</v>
      </c>
      <c r="B720" s="2" t="str">
        <f>IFERROR(INDEX(Movimientos!$C$2:$C$1993,MATCH(A720&amp;"ENTRADA",Movimientos!$R$2:$R$1993,0)),"-")</f>
        <v>-</v>
      </c>
      <c r="C720" s="2" t="str">
        <f>IFERROR(INDEX(Movimientos!$D$2:$D$1993,MATCH(A720&amp;"ENTRADA",Movimientos!$R$2:$R$1993,0)),"-")</f>
        <v>-</v>
      </c>
      <c r="D720" s="2" t="str">
        <f>IFERROR(INDEX(Movimientos!$E$2:$E$1993,MATCH(A720&amp;"ENTRADA",Movimientos!$R$2:$R$1993,0)),"-")</f>
        <v>-</v>
      </c>
      <c r="E720" s="2" t="str">
        <f>IFERROR(INDEX(Movimientos!$F$2:$F$1993,MATCH(A720&amp;"ENTRADA",Movimientos!$R$2:$R$1993,0)),"-")</f>
        <v>-</v>
      </c>
      <c r="F720" s="2" t="str">
        <f>IFERROR(INDEX(Movimientos!$G$2:$G$1993,MATCH(A720&amp;"ENTRADA",Movimientos!$R$2:$R$1993,0)),"-")</f>
        <v>-</v>
      </c>
      <c r="G720" s="2" t="str">
        <f>IFERROR(INDEX(Movimientos!$L$2:$L$1993,MATCH(A720&amp;"ENTRADA",Movimientos!$R$2:$R$1993,0)),"-")</f>
        <v>-</v>
      </c>
      <c r="H720" s="17" t="str">
        <f>IFERROR(IF(INDEX(Movimientos!$M$2:$M$1993,MATCH(A720&amp;"ENTRADA",Movimientos!$R$2:$R$1993,0))=0,"S/D",INDEX(Movimientos!$M$2:$M$1993,MATCH(A720&amp;"ENTRADA",Movimientos!$R$2:$R$1993,0))),"S/D")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3061</v>
      </c>
      <c r="B721" s="2" t="str">
        <f>IFERROR(INDEX(Movimientos!$C$2:$C$1993,MATCH(A721&amp;"ENTRADA",Movimientos!$R$2:$R$1993,0)),"-")</f>
        <v>-</v>
      </c>
      <c r="C721" s="2" t="str">
        <f>IFERROR(INDEX(Movimientos!$D$2:$D$1993,MATCH(A721&amp;"ENTRADA",Movimientos!$R$2:$R$1993,0)),"-")</f>
        <v>-</v>
      </c>
      <c r="D721" s="2" t="str">
        <f>IFERROR(INDEX(Movimientos!$E$2:$E$1993,MATCH(A721&amp;"ENTRADA",Movimientos!$R$2:$R$1993,0)),"-")</f>
        <v>-</v>
      </c>
      <c r="E721" s="2" t="str">
        <f>IFERROR(INDEX(Movimientos!$F$2:$F$1993,MATCH(A721&amp;"ENTRADA",Movimientos!$R$2:$R$1993,0)),"-")</f>
        <v>-</v>
      </c>
      <c r="F721" s="2" t="str">
        <f>IFERROR(INDEX(Movimientos!$G$2:$G$1993,MATCH(A721&amp;"ENTRADA",Movimientos!$R$2:$R$1993,0)),"-")</f>
        <v>-</v>
      </c>
      <c r="G721" s="2" t="str">
        <f>IFERROR(INDEX(Movimientos!$L$2:$L$1993,MATCH(A721&amp;"ENTRADA",Movimientos!$R$2:$R$1993,0)),"-")</f>
        <v>-</v>
      </c>
      <c r="H721" s="17" t="str">
        <f>IFERROR(IF(INDEX(Movimientos!$M$2:$M$1993,MATCH(A721&amp;"ENTRADA",Movimientos!$R$2:$R$1993,0))=0,"S/D",INDEX(Movimientos!$M$2:$M$1993,MATCH(A721&amp;"ENTRADA",Movimientos!$R$2:$R$1993,0))),"S/D")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3062</v>
      </c>
      <c r="B722" s="2" t="str">
        <f>IFERROR(INDEX(Movimientos!$C$2:$C$1993,MATCH(A722&amp;"ENTRADA",Movimientos!$R$2:$R$1993,0)),"-")</f>
        <v>-</v>
      </c>
      <c r="C722" s="2" t="str">
        <f>IFERROR(INDEX(Movimientos!$D$2:$D$1993,MATCH(A722&amp;"ENTRADA",Movimientos!$R$2:$R$1993,0)),"-")</f>
        <v>-</v>
      </c>
      <c r="D722" s="2" t="str">
        <f>IFERROR(INDEX(Movimientos!$E$2:$E$1993,MATCH(A722&amp;"ENTRADA",Movimientos!$R$2:$R$1993,0)),"-")</f>
        <v>-</v>
      </c>
      <c r="E722" s="2" t="str">
        <f>IFERROR(INDEX(Movimientos!$F$2:$F$1993,MATCH(A722&amp;"ENTRADA",Movimientos!$R$2:$R$1993,0)),"-")</f>
        <v>-</v>
      </c>
      <c r="F722" s="2" t="str">
        <f>IFERROR(INDEX(Movimientos!$G$2:$G$1993,MATCH(A722&amp;"ENTRADA",Movimientos!$R$2:$R$1993,0)),"-")</f>
        <v>-</v>
      </c>
      <c r="G722" s="2" t="str">
        <f>IFERROR(INDEX(Movimientos!$L$2:$L$1993,MATCH(A722&amp;"ENTRADA",Movimientos!$R$2:$R$1993,0)),"-")</f>
        <v>-</v>
      </c>
      <c r="H722" s="17" t="str">
        <f>IFERROR(IF(INDEX(Movimientos!$M$2:$M$1993,MATCH(A722&amp;"ENTRADA",Movimientos!$R$2:$R$1993,0))=0,"S/D",INDEX(Movimientos!$M$2:$M$1993,MATCH(A722&amp;"ENTRADA",Movimientos!$R$2:$R$1993,0))),"S/D")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3063</v>
      </c>
      <c r="B723" s="2" t="str">
        <f>IFERROR(INDEX(Movimientos!$C$2:$C$1993,MATCH(A723&amp;"ENTRADA",Movimientos!$R$2:$R$1993,0)),"-")</f>
        <v>-</v>
      </c>
      <c r="C723" s="2" t="str">
        <f>IFERROR(INDEX(Movimientos!$D$2:$D$1993,MATCH(A723&amp;"ENTRADA",Movimientos!$R$2:$R$1993,0)),"-")</f>
        <v>-</v>
      </c>
      <c r="D723" s="2" t="str">
        <f>IFERROR(INDEX(Movimientos!$E$2:$E$1993,MATCH(A723&amp;"ENTRADA",Movimientos!$R$2:$R$1993,0)),"-")</f>
        <v>-</v>
      </c>
      <c r="E723" s="2" t="str">
        <f>IFERROR(INDEX(Movimientos!$F$2:$F$1993,MATCH(A723&amp;"ENTRADA",Movimientos!$R$2:$R$1993,0)),"-")</f>
        <v>-</v>
      </c>
      <c r="F723" s="2" t="str">
        <f>IFERROR(INDEX(Movimientos!$G$2:$G$1993,MATCH(A723&amp;"ENTRADA",Movimientos!$R$2:$R$1993,0)),"-")</f>
        <v>-</v>
      </c>
      <c r="G723" s="2" t="str">
        <f>IFERROR(INDEX(Movimientos!$L$2:$L$1993,MATCH(A723&amp;"ENTRADA",Movimientos!$R$2:$R$1993,0)),"-")</f>
        <v>-</v>
      </c>
      <c r="H723" s="17" t="str">
        <f>IFERROR(IF(INDEX(Movimientos!$M$2:$M$1993,MATCH(A723&amp;"ENTRADA",Movimientos!$R$2:$R$1993,0))=0,"S/D",INDEX(Movimientos!$M$2:$M$1993,MATCH(A723&amp;"ENTRADA",Movimientos!$R$2:$R$1993,0))),"S/D")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3064</v>
      </c>
      <c r="B724" s="2" t="str">
        <f>IFERROR(INDEX(Movimientos!$C$2:$C$1993,MATCH(A724&amp;"ENTRADA",Movimientos!$R$2:$R$1993,0)),"-")</f>
        <v>-</v>
      </c>
      <c r="C724" s="2" t="str">
        <f>IFERROR(INDEX(Movimientos!$D$2:$D$1993,MATCH(A724&amp;"ENTRADA",Movimientos!$R$2:$R$1993,0)),"-")</f>
        <v>-</v>
      </c>
      <c r="D724" s="2" t="str">
        <f>IFERROR(INDEX(Movimientos!$E$2:$E$1993,MATCH(A724&amp;"ENTRADA",Movimientos!$R$2:$R$1993,0)),"-")</f>
        <v>-</v>
      </c>
      <c r="E724" s="2" t="str">
        <f>IFERROR(INDEX(Movimientos!$F$2:$F$1993,MATCH(A724&amp;"ENTRADA",Movimientos!$R$2:$R$1993,0)),"-")</f>
        <v>-</v>
      </c>
      <c r="F724" s="2" t="str">
        <f>IFERROR(INDEX(Movimientos!$G$2:$G$1993,MATCH(A724&amp;"ENTRADA",Movimientos!$R$2:$R$1993,0)),"-")</f>
        <v>-</v>
      </c>
      <c r="G724" s="2" t="str">
        <f>IFERROR(INDEX(Movimientos!$L$2:$L$1993,MATCH(A724&amp;"ENTRADA",Movimientos!$R$2:$R$1993,0)),"-")</f>
        <v>-</v>
      </c>
      <c r="H724" s="17" t="str">
        <f>IFERROR(IF(INDEX(Movimientos!$M$2:$M$1993,MATCH(A724&amp;"ENTRADA",Movimientos!$R$2:$R$1993,0))=0,"S/D",INDEX(Movimientos!$M$2:$M$1993,MATCH(A724&amp;"ENTRADA",Movimientos!$R$2:$R$1993,0))),"S/D")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3065</v>
      </c>
      <c r="B725" s="2" t="str">
        <f>IFERROR(INDEX(Movimientos!$C$2:$C$1993,MATCH(A725&amp;"ENTRADA",Movimientos!$R$2:$R$1993,0)),"-")</f>
        <v>-</v>
      </c>
      <c r="C725" s="2" t="str">
        <f>IFERROR(INDEX(Movimientos!$D$2:$D$1993,MATCH(A725&amp;"ENTRADA",Movimientos!$R$2:$R$1993,0)),"-")</f>
        <v>-</v>
      </c>
      <c r="D725" s="2" t="str">
        <f>IFERROR(INDEX(Movimientos!$E$2:$E$1993,MATCH(A725&amp;"ENTRADA",Movimientos!$R$2:$R$1993,0)),"-")</f>
        <v>-</v>
      </c>
      <c r="E725" s="2" t="str">
        <f>IFERROR(INDEX(Movimientos!$F$2:$F$1993,MATCH(A725&amp;"ENTRADA",Movimientos!$R$2:$R$1993,0)),"-")</f>
        <v>-</v>
      </c>
      <c r="F725" s="2" t="str">
        <f>IFERROR(INDEX(Movimientos!$G$2:$G$1993,MATCH(A725&amp;"ENTRADA",Movimientos!$R$2:$R$1993,0)),"-")</f>
        <v>-</v>
      </c>
      <c r="G725" s="2" t="str">
        <f>IFERROR(INDEX(Movimientos!$L$2:$L$1993,MATCH(A725&amp;"ENTRADA",Movimientos!$R$2:$R$1993,0)),"-")</f>
        <v>-</v>
      </c>
      <c r="H725" s="17" t="str">
        <f>IFERROR(IF(INDEX(Movimientos!$M$2:$M$1993,MATCH(A725&amp;"ENTRADA",Movimientos!$R$2:$R$1993,0))=0,"S/D",INDEX(Movimientos!$M$2:$M$1993,MATCH(A725&amp;"ENTRADA",Movimientos!$R$2:$R$1993,0))),"S/D")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3066</v>
      </c>
      <c r="B726" s="2" t="str">
        <f>IFERROR(INDEX(Movimientos!$C$2:$C$1993,MATCH(A726&amp;"ENTRADA",Movimientos!$R$2:$R$1993,0)),"-")</f>
        <v>-</v>
      </c>
      <c r="C726" s="2" t="str">
        <f>IFERROR(INDEX(Movimientos!$D$2:$D$1993,MATCH(A726&amp;"ENTRADA",Movimientos!$R$2:$R$1993,0)),"-")</f>
        <v>-</v>
      </c>
      <c r="D726" s="2" t="str">
        <f>IFERROR(INDEX(Movimientos!$E$2:$E$1993,MATCH(A726&amp;"ENTRADA",Movimientos!$R$2:$R$1993,0)),"-")</f>
        <v>-</v>
      </c>
      <c r="E726" s="2" t="str">
        <f>IFERROR(INDEX(Movimientos!$F$2:$F$1993,MATCH(A726&amp;"ENTRADA",Movimientos!$R$2:$R$1993,0)),"-")</f>
        <v>-</v>
      </c>
      <c r="F726" s="2" t="str">
        <f>IFERROR(INDEX(Movimientos!$G$2:$G$1993,MATCH(A726&amp;"ENTRADA",Movimientos!$R$2:$R$1993,0)),"-")</f>
        <v>-</v>
      </c>
      <c r="G726" s="2" t="str">
        <f>IFERROR(INDEX(Movimientos!$L$2:$L$1993,MATCH(A726&amp;"ENTRADA",Movimientos!$R$2:$R$1993,0)),"-")</f>
        <v>-</v>
      </c>
      <c r="H726" s="17" t="str">
        <f>IFERROR(IF(INDEX(Movimientos!$M$2:$M$1993,MATCH(A726&amp;"ENTRADA",Movimientos!$R$2:$R$1993,0))=0,"S/D",INDEX(Movimientos!$M$2:$M$1993,MATCH(A726&amp;"ENTRADA",Movimientos!$R$2:$R$1993,0))),"S/D")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3067</v>
      </c>
      <c r="B727" s="2" t="str">
        <f>IFERROR(INDEX(Movimientos!$C$2:$C$1993,MATCH(A727&amp;"ENTRADA",Movimientos!$R$2:$R$1993,0)),"-")</f>
        <v>-</v>
      </c>
      <c r="C727" s="2" t="str">
        <f>IFERROR(INDEX(Movimientos!$D$2:$D$1993,MATCH(A727&amp;"ENTRADA",Movimientos!$R$2:$R$1993,0)),"-")</f>
        <v>-</v>
      </c>
      <c r="D727" s="2" t="str">
        <f>IFERROR(INDEX(Movimientos!$E$2:$E$1993,MATCH(A727&amp;"ENTRADA",Movimientos!$R$2:$R$1993,0)),"-")</f>
        <v>-</v>
      </c>
      <c r="E727" s="2" t="str">
        <f>IFERROR(INDEX(Movimientos!$F$2:$F$1993,MATCH(A727&amp;"ENTRADA",Movimientos!$R$2:$R$1993,0)),"-")</f>
        <v>-</v>
      </c>
      <c r="F727" s="2" t="str">
        <f>IFERROR(INDEX(Movimientos!$G$2:$G$1993,MATCH(A727&amp;"ENTRADA",Movimientos!$R$2:$R$1993,0)),"-")</f>
        <v>-</v>
      </c>
      <c r="G727" s="2" t="str">
        <f>IFERROR(INDEX(Movimientos!$L$2:$L$1993,MATCH(A727&amp;"ENTRADA",Movimientos!$R$2:$R$1993,0)),"-")</f>
        <v>-</v>
      </c>
      <c r="H727" s="17" t="str">
        <f>IFERROR(IF(INDEX(Movimientos!$M$2:$M$1993,MATCH(A727&amp;"ENTRADA",Movimientos!$R$2:$R$1993,0))=0,"S/D",INDEX(Movimientos!$M$2:$M$1993,MATCH(A727&amp;"ENTRADA",Movimientos!$R$2:$R$1993,0))),"S/D")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3068</v>
      </c>
      <c r="B728" s="2" t="str">
        <f>IFERROR(INDEX(Movimientos!$C$2:$C$1993,MATCH(A728&amp;"ENTRADA",Movimientos!$R$2:$R$1993,0)),"-")</f>
        <v>-</v>
      </c>
      <c r="C728" s="2" t="str">
        <f>IFERROR(INDEX(Movimientos!$D$2:$D$1993,MATCH(A728&amp;"ENTRADA",Movimientos!$R$2:$R$1993,0)),"-")</f>
        <v>-</v>
      </c>
      <c r="D728" s="2" t="str">
        <f>IFERROR(INDEX(Movimientos!$E$2:$E$1993,MATCH(A728&amp;"ENTRADA",Movimientos!$R$2:$R$1993,0)),"-")</f>
        <v>-</v>
      </c>
      <c r="E728" s="2" t="str">
        <f>IFERROR(INDEX(Movimientos!$F$2:$F$1993,MATCH(A728&amp;"ENTRADA",Movimientos!$R$2:$R$1993,0)),"-")</f>
        <v>-</v>
      </c>
      <c r="F728" s="2" t="str">
        <f>IFERROR(INDEX(Movimientos!$G$2:$G$1993,MATCH(A728&amp;"ENTRADA",Movimientos!$R$2:$R$1993,0)),"-")</f>
        <v>-</v>
      </c>
      <c r="G728" s="2" t="str">
        <f>IFERROR(INDEX(Movimientos!$L$2:$L$1993,MATCH(A728&amp;"ENTRADA",Movimientos!$R$2:$R$1993,0)),"-")</f>
        <v>-</v>
      </c>
      <c r="H728" s="17" t="str">
        <f>IFERROR(IF(INDEX(Movimientos!$M$2:$M$1993,MATCH(A728&amp;"ENTRADA",Movimientos!$R$2:$R$1993,0))=0,"S/D",INDEX(Movimientos!$M$2:$M$1993,MATCH(A728&amp;"ENTRADA",Movimientos!$R$2:$R$1993,0))),"S/D")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3069</v>
      </c>
      <c r="B729" s="2" t="str">
        <f>IFERROR(INDEX(Movimientos!$C$2:$C$1993,MATCH(A729&amp;"ENTRADA",Movimientos!$R$2:$R$1993,0)),"-")</f>
        <v>-</v>
      </c>
      <c r="C729" s="2" t="str">
        <f>IFERROR(INDEX(Movimientos!$D$2:$D$1993,MATCH(A729&amp;"ENTRADA",Movimientos!$R$2:$R$1993,0)),"-")</f>
        <v>-</v>
      </c>
      <c r="D729" s="2" t="str">
        <f>IFERROR(INDEX(Movimientos!$E$2:$E$1993,MATCH(A729&amp;"ENTRADA",Movimientos!$R$2:$R$1993,0)),"-")</f>
        <v>-</v>
      </c>
      <c r="E729" s="2" t="str">
        <f>IFERROR(INDEX(Movimientos!$F$2:$F$1993,MATCH(A729&amp;"ENTRADA",Movimientos!$R$2:$R$1993,0)),"-")</f>
        <v>-</v>
      </c>
      <c r="F729" s="2" t="str">
        <f>IFERROR(INDEX(Movimientos!$G$2:$G$1993,MATCH(A729&amp;"ENTRADA",Movimientos!$R$2:$R$1993,0)),"-")</f>
        <v>-</v>
      </c>
      <c r="G729" s="2" t="str">
        <f>IFERROR(INDEX(Movimientos!$L$2:$L$1993,MATCH(A729&amp;"ENTRADA",Movimientos!$R$2:$R$1993,0)),"-")</f>
        <v>-</v>
      </c>
      <c r="H729" s="17" t="str">
        <f>IFERROR(IF(INDEX(Movimientos!$M$2:$M$1993,MATCH(A729&amp;"ENTRADA",Movimientos!$R$2:$R$1993,0))=0,"S/D",INDEX(Movimientos!$M$2:$M$1993,MATCH(A729&amp;"ENTRADA",Movimientos!$R$2:$R$1993,0))),"S/D")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3070</v>
      </c>
      <c r="B730" s="2" t="str">
        <f>IFERROR(INDEX(Movimientos!$C$2:$C$1993,MATCH(A730&amp;"ENTRADA",Movimientos!$R$2:$R$1993,0)),"-")</f>
        <v>-</v>
      </c>
      <c r="C730" s="2" t="str">
        <f>IFERROR(INDEX(Movimientos!$D$2:$D$1993,MATCH(A730&amp;"ENTRADA",Movimientos!$R$2:$R$1993,0)),"-")</f>
        <v>-</v>
      </c>
      <c r="D730" s="2" t="str">
        <f>IFERROR(INDEX(Movimientos!$E$2:$E$1993,MATCH(A730&amp;"ENTRADA",Movimientos!$R$2:$R$1993,0)),"-")</f>
        <v>-</v>
      </c>
      <c r="E730" s="2" t="str">
        <f>IFERROR(INDEX(Movimientos!$F$2:$F$1993,MATCH(A730&amp;"ENTRADA",Movimientos!$R$2:$R$1993,0)),"-")</f>
        <v>-</v>
      </c>
      <c r="F730" s="2" t="str">
        <f>IFERROR(INDEX(Movimientos!$G$2:$G$1993,MATCH(A730&amp;"ENTRADA",Movimientos!$R$2:$R$1993,0)),"-")</f>
        <v>-</v>
      </c>
      <c r="G730" s="2" t="str">
        <f>IFERROR(INDEX(Movimientos!$L$2:$L$1993,MATCH(A730&amp;"ENTRADA",Movimientos!$R$2:$R$1993,0)),"-")</f>
        <v>-</v>
      </c>
      <c r="H730" s="17" t="str">
        <f>IFERROR(IF(INDEX(Movimientos!$M$2:$M$1993,MATCH(A730&amp;"ENTRADA",Movimientos!$R$2:$R$1993,0))=0,"S/D",INDEX(Movimientos!$M$2:$M$1993,MATCH(A730&amp;"ENTRADA",Movimientos!$R$2:$R$1993,0))),"S/D")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3071</v>
      </c>
      <c r="B731" s="2" t="str">
        <f>IFERROR(INDEX(Movimientos!$C$2:$C$1993,MATCH(A731&amp;"ENTRADA",Movimientos!$R$2:$R$1993,0)),"-")</f>
        <v>-</v>
      </c>
      <c r="C731" s="2" t="str">
        <f>IFERROR(INDEX(Movimientos!$D$2:$D$1993,MATCH(A731&amp;"ENTRADA",Movimientos!$R$2:$R$1993,0)),"-")</f>
        <v>-</v>
      </c>
      <c r="D731" s="2" t="str">
        <f>IFERROR(INDEX(Movimientos!$E$2:$E$1993,MATCH(A731&amp;"ENTRADA",Movimientos!$R$2:$R$1993,0)),"-")</f>
        <v>-</v>
      </c>
      <c r="E731" s="2" t="str">
        <f>IFERROR(INDEX(Movimientos!$F$2:$F$1993,MATCH(A731&amp;"ENTRADA",Movimientos!$R$2:$R$1993,0)),"-")</f>
        <v>-</v>
      </c>
      <c r="F731" s="2" t="str">
        <f>IFERROR(INDEX(Movimientos!$G$2:$G$1993,MATCH(A731&amp;"ENTRADA",Movimientos!$R$2:$R$1993,0)),"-")</f>
        <v>-</v>
      </c>
      <c r="G731" s="2" t="str">
        <f>IFERROR(INDEX(Movimientos!$L$2:$L$1993,MATCH(A731&amp;"ENTRADA",Movimientos!$R$2:$R$1993,0)),"-")</f>
        <v>-</v>
      </c>
      <c r="H731" s="17" t="str">
        <f>IFERROR(IF(INDEX(Movimientos!$M$2:$M$1993,MATCH(A731&amp;"ENTRADA",Movimientos!$R$2:$R$1993,0))=0,"S/D",INDEX(Movimientos!$M$2:$M$1993,MATCH(A731&amp;"ENTRADA",Movimientos!$R$2:$R$1993,0))),"S/D")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3072</v>
      </c>
      <c r="B732" s="2" t="str">
        <f>IFERROR(INDEX(Movimientos!$C$2:$C$1993,MATCH(A732&amp;"ENTRADA",Movimientos!$R$2:$R$1993,0)),"-")</f>
        <v>-</v>
      </c>
      <c r="C732" s="2" t="str">
        <f>IFERROR(INDEX(Movimientos!$D$2:$D$1993,MATCH(A732&amp;"ENTRADA",Movimientos!$R$2:$R$1993,0)),"-")</f>
        <v>-</v>
      </c>
      <c r="D732" s="2" t="str">
        <f>IFERROR(INDEX(Movimientos!$E$2:$E$1993,MATCH(A732&amp;"ENTRADA",Movimientos!$R$2:$R$1993,0)),"-")</f>
        <v>-</v>
      </c>
      <c r="E732" s="2" t="str">
        <f>IFERROR(INDEX(Movimientos!$F$2:$F$1993,MATCH(A732&amp;"ENTRADA",Movimientos!$R$2:$R$1993,0)),"-")</f>
        <v>-</v>
      </c>
      <c r="F732" s="2" t="str">
        <f>IFERROR(INDEX(Movimientos!$G$2:$G$1993,MATCH(A732&amp;"ENTRADA",Movimientos!$R$2:$R$1993,0)),"-")</f>
        <v>-</v>
      </c>
      <c r="G732" s="2" t="str">
        <f>IFERROR(INDEX(Movimientos!$L$2:$L$1993,MATCH(A732&amp;"ENTRADA",Movimientos!$R$2:$R$1993,0)),"-")</f>
        <v>-</v>
      </c>
      <c r="H732" s="17" t="str">
        <f>IFERROR(IF(INDEX(Movimientos!$M$2:$M$1993,MATCH(A732&amp;"ENTRADA",Movimientos!$R$2:$R$1993,0))=0,"S/D",INDEX(Movimientos!$M$2:$M$1993,MATCH(A732&amp;"ENTRADA",Movimientos!$R$2:$R$1993,0))),"S/D")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3073</v>
      </c>
      <c r="B733" s="2" t="str">
        <f>IFERROR(INDEX(Movimientos!$C$2:$C$1993,MATCH(A733&amp;"ENTRADA",Movimientos!$R$2:$R$1993,0)),"-")</f>
        <v>-</v>
      </c>
      <c r="C733" s="2" t="str">
        <f>IFERROR(INDEX(Movimientos!$D$2:$D$1993,MATCH(A733&amp;"ENTRADA",Movimientos!$R$2:$R$1993,0)),"-")</f>
        <v>-</v>
      </c>
      <c r="D733" s="2" t="str">
        <f>IFERROR(INDEX(Movimientos!$E$2:$E$1993,MATCH(A733&amp;"ENTRADA",Movimientos!$R$2:$R$1993,0)),"-")</f>
        <v>-</v>
      </c>
      <c r="E733" s="2" t="str">
        <f>IFERROR(INDEX(Movimientos!$F$2:$F$1993,MATCH(A733&amp;"ENTRADA",Movimientos!$R$2:$R$1993,0)),"-")</f>
        <v>-</v>
      </c>
      <c r="F733" s="2" t="str">
        <f>IFERROR(INDEX(Movimientos!$G$2:$G$1993,MATCH(A733&amp;"ENTRADA",Movimientos!$R$2:$R$1993,0)),"-")</f>
        <v>-</v>
      </c>
      <c r="G733" s="2" t="str">
        <f>IFERROR(INDEX(Movimientos!$L$2:$L$1993,MATCH(A733&amp;"ENTRADA",Movimientos!$R$2:$R$1993,0)),"-")</f>
        <v>-</v>
      </c>
      <c r="H733" s="17" t="str">
        <f>IFERROR(IF(INDEX(Movimientos!$M$2:$M$1993,MATCH(A733&amp;"ENTRADA",Movimientos!$R$2:$R$1993,0))=0,"S/D",INDEX(Movimientos!$M$2:$M$1993,MATCH(A733&amp;"ENTRADA",Movimientos!$R$2:$R$1993,0))),"S/D")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3074</v>
      </c>
      <c r="B734" s="2" t="str">
        <f>IFERROR(INDEX(Movimientos!$C$2:$C$1993,MATCH(A734&amp;"ENTRADA",Movimientos!$R$2:$R$1993,0)),"-")</f>
        <v>-</v>
      </c>
      <c r="C734" s="2" t="str">
        <f>IFERROR(INDEX(Movimientos!$D$2:$D$1993,MATCH(A734&amp;"ENTRADA",Movimientos!$R$2:$R$1993,0)),"-")</f>
        <v>-</v>
      </c>
      <c r="D734" s="2" t="str">
        <f>IFERROR(INDEX(Movimientos!$E$2:$E$1993,MATCH(A734&amp;"ENTRADA",Movimientos!$R$2:$R$1993,0)),"-")</f>
        <v>-</v>
      </c>
      <c r="E734" s="2" t="str">
        <f>IFERROR(INDEX(Movimientos!$F$2:$F$1993,MATCH(A734&amp;"ENTRADA",Movimientos!$R$2:$R$1993,0)),"-")</f>
        <v>-</v>
      </c>
      <c r="F734" s="2" t="str">
        <f>IFERROR(INDEX(Movimientos!$G$2:$G$1993,MATCH(A734&amp;"ENTRADA",Movimientos!$R$2:$R$1993,0)),"-")</f>
        <v>-</v>
      </c>
      <c r="G734" s="2" t="str">
        <f>IFERROR(INDEX(Movimientos!$L$2:$L$1993,MATCH(A734&amp;"ENTRADA",Movimientos!$R$2:$R$1993,0)),"-")</f>
        <v>-</v>
      </c>
      <c r="H734" s="17" t="str">
        <f>IFERROR(IF(INDEX(Movimientos!$M$2:$M$1993,MATCH(A734&amp;"ENTRADA",Movimientos!$R$2:$R$1993,0))=0,"S/D",INDEX(Movimientos!$M$2:$M$1993,MATCH(A734&amp;"ENTRADA",Movimientos!$R$2:$R$1993,0))),"S/D")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3075</v>
      </c>
      <c r="B735" s="2" t="str">
        <f>IFERROR(INDEX(Movimientos!$C$2:$C$1993,MATCH(A735&amp;"ENTRADA",Movimientos!$R$2:$R$1993,0)),"-")</f>
        <v>-</v>
      </c>
      <c r="C735" s="2" t="str">
        <f>IFERROR(INDEX(Movimientos!$D$2:$D$1993,MATCH(A735&amp;"ENTRADA",Movimientos!$R$2:$R$1993,0)),"-")</f>
        <v>-</v>
      </c>
      <c r="D735" s="2" t="str">
        <f>IFERROR(INDEX(Movimientos!$E$2:$E$1993,MATCH(A735&amp;"ENTRADA",Movimientos!$R$2:$R$1993,0)),"-")</f>
        <v>-</v>
      </c>
      <c r="E735" s="2" t="str">
        <f>IFERROR(INDEX(Movimientos!$F$2:$F$1993,MATCH(A735&amp;"ENTRADA",Movimientos!$R$2:$R$1993,0)),"-")</f>
        <v>-</v>
      </c>
      <c r="F735" s="2" t="str">
        <f>IFERROR(INDEX(Movimientos!$G$2:$G$1993,MATCH(A735&amp;"ENTRADA",Movimientos!$R$2:$R$1993,0)),"-")</f>
        <v>-</v>
      </c>
      <c r="G735" s="2" t="str">
        <f>IFERROR(INDEX(Movimientos!$L$2:$L$1993,MATCH(A735&amp;"ENTRADA",Movimientos!$R$2:$R$1993,0)),"-")</f>
        <v>-</v>
      </c>
      <c r="H735" s="17" t="str">
        <f>IFERROR(IF(INDEX(Movimientos!$M$2:$M$1993,MATCH(A735&amp;"ENTRADA",Movimientos!$R$2:$R$1993,0))=0,"S/D",INDEX(Movimientos!$M$2:$M$1993,MATCH(A735&amp;"ENTRADA",Movimientos!$R$2:$R$1993,0))),"S/D")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3076</v>
      </c>
      <c r="B736" s="2" t="str">
        <f>IFERROR(INDEX(Movimientos!$C$2:$C$1993,MATCH(A736&amp;"ENTRADA",Movimientos!$R$2:$R$1993,0)),"-")</f>
        <v>-</v>
      </c>
      <c r="C736" s="2" t="str">
        <f>IFERROR(INDEX(Movimientos!$D$2:$D$1993,MATCH(A736&amp;"ENTRADA",Movimientos!$R$2:$R$1993,0)),"-")</f>
        <v>-</v>
      </c>
      <c r="D736" s="2" t="str">
        <f>IFERROR(INDEX(Movimientos!$E$2:$E$1993,MATCH(A736&amp;"ENTRADA",Movimientos!$R$2:$R$1993,0)),"-")</f>
        <v>-</v>
      </c>
      <c r="E736" s="2" t="str">
        <f>IFERROR(INDEX(Movimientos!$F$2:$F$1993,MATCH(A736&amp;"ENTRADA",Movimientos!$R$2:$R$1993,0)),"-")</f>
        <v>-</v>
      </c>
      <c r="F736" s="2" t="str">
        <f>IFERROR(INDEX(Movimientos!$G$2:$G$1993,MATCH(A736&amp;"ENTRADA",Movimientos!$R$2:$R$1993,0)),"-")</f>
        <v>-</v>
      </c>
      <c r="G736" s="2" t="str">
        <f>IFERROR(INDEX(Movimientos!$L$2:$L$1993,MATCH(A736&amp;"ENTRADA",Movimientos!$R$2:$R$1993,0)),"-")</f>
        <v>-</v>
      </c>
      <c r="H736" s="17" t="str">
        <f>IFERROR(IF(INDEX(Movimientos!$M$2:$M$1993,MATCH(A736&amp;"ENTRADA",Movimientos!$R$2:$R$1993,0))=0,"S/D",INDEX(Movimientos!$M$2:$M$1993,MATCH(A736&amp;"ENTRADA",Movimientos!$R$2:$R$1993,0))),"S/D")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3077</v>
      </c>
      <c r="B737" s="2" t="str">
        <f>IFERROR(INDEX(Movimientos!$C$2:$C$1993,MATCH(A737&amp;"ENTRADA",Movimientos!$R$2:$R$1993,0)),"-")</f>
        <v>-</v>
      </c>
      <c r="C737" s="2" t="str">
        <f>IFERROR(INDEX(Movimientos!$D$2:$D$1993,MATCH(A737&amp;"ENTRADA",Movimientos!$R$2:$R$1993,0)),"-")</f>
        <v>-</v>
      </c>
      <c r="D737" s="2" t="str">
        <f>IFERROR(INDEX(Movimientos!$E$2:$E$1993,MATCH(A737&amp;"ENTRADA",Movimientos!$R$2:$R$1993,0)),"-")</f>
        <v>-</v>
      </c>
      <c r="E737" s="2" t="str">
        <f>IFERROR(INDEX(Movimientos!$F$2:$F$1993,MATCH(A737&amp;"ENTRADA",Movimientos!$R$2:$R$1993,0)),"-")</f>
        <v>-</v>
      </c>
      <c r="F737" s="2" t="str">
        <f>IFERROR(INDEX(Movimientos!$G$2:$G$1993,MATCH(A737&amp;"ENTRADA",Movimientos!$R$2:$R$1993,0)),"-")</f>
        <v>-</v>
      </c>
      <c r="G737" s="2" t="str">
        <f>IFERROR(INDEX(Movimientos!$L$2:$L$1993,MATCH(A737&amp;"ENTRADA",Movimientos!$R$2:$R$1993,0)),"-")</f>
        <v>-</v>
      </c>
      <c r="H737" s="17" t="str">
        <f>IFERROR(IF(INDEX(Movimientos!$M$2:$M$1993,MATCH(A737&amp;"ENTRADA",Movimientos!$R$2:$R$1993,0))=0,"S/D",INDEX(Movimientos!$M$2:$M$1993,MATCH(A737&amp;"ENTRADA",Movimientos!$R$2:$R$1993,0))),"S/D")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3078</v>
      </c>
      <c r="B738" s="2" t="str">
        <f>IFERROR(INDEX(Movimientos!$C$2:$C$1993,MATCH(A738&amp;"ENTRADA",Movimientos!$R$2:$R$1993,0)),"-")</f>
        <v>-</v>
      </c>
      <c r="C738" s="2" t="str">
        <f>IFERROR(INDEX(Movimientos!$D$2:$D$1993,MATCH(A738&amp;"ENTRADA",Movimientos!$R$2:$R$1993,0)),"-")</f>
        <v>-</v>
      </c>
      <c r="D738" s="2" t="str">
        <f>IFERROR(INDEX(Movimientos!$E$2:$E$1993,MATCH(A738&amp;"ENTRADA",Movimientos!$R$2:$R$1993,0)),"-")</f>
        <v>-</v>
      </c>
      <c r="E738" s="2" t="str">
        <f>IFERROR(INDEX(Movimientos!$F$2:$F$1993,MATCH(A738&amp;"ENTRADA",Movimientos!$R$2:$R$1993,0)),"-")</f>
        <v>-</v>
      </c>
      <c r="F738" s="2" t="str">
        <f>IFERROR(INDEX(Movimientos!$G$2:$G$1993,MATCH(A738&amp;"ENTRADA",Movimientos!$R$2:$R$1993,0)),"-")</f>
        <v>-</v>
      </c>
      <c r="G738" s="2" t="str">
        <f>IFERROR(INDEX(Movimientos!$L$2:$L$1993,MATCH(A738&amp;"ENTRADA",Movimientos!$R$2:$R$1993,0)),"-")</f>
        <v>-</v>
      </c>
      <c r="H738" s="17" t="str">
        <f>IFERROR(IF(INDEX(Movimientos!$M$2:$M$1993,MATCH(A738&amp;"ENTRADA",Movimientos!$R$2:$R$1993,0))=0,"S/D",INDEX(Movimientos!$M$2:$M$1993,MATCH(A738&amp;"ENTRADA",Movimientos!$R$2:$R$1993,0))),"S/D")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3079</v>
      </c>
      <c r="B739" s="2" t="str">
        <f>IFERROR(INDEX(Movimientos!$C$2:$C$1993,MATCH(A739&amp;"ENTRADA",Movimientos!$R$2:$R$1993,0)),"-")</f>
        <v>-</v>
      </c>
      <c r="C739" s="2" t="str">
        <f>IFERROR(INDEX(Movimientos!$D$2:$D$1993,MATCH(A739&amp;"ENTRADA",Movimientos!$R$2:$R$1993,0)),"-")</f>
        <v>-</v>
      </c>
      <c r="D739" s="2" t="str">
        <f>IFERROR(INDEX(Movimientos!$E$2:$E$1993,MATCH(A739&amp;"ENTRADA",Movimientos!$R$2:$R$1993,0)),"-")</f>
        <v>-</v>
      </c>
      <c r="E739" s="2" t="str">
        <f>IFERROR(INDEX(Movimientos!$F$2:$F$1993,MATCH(A739&amp;"ENTRADA",Movimientos!$R$2:$R$1993,0)),"-")</f>
        <v>-</v>
      </c>
      <c r="F739" s="2" t="str">
        <f>IFERROR(INDEX(Movimientos!$G$2:$G$1993,MATCH(A739&amp;"ENTRADA",Movimientos!$R$2:$R$1993,0)),"-")</f>
        <v>-</v>
      </c>
      <c r="G739" s="2" t="str">
        <f>IFERROR(INDEX(Movimientos!$L$2:$L$1993,MATCH(A739&amp;"ENTRADA",Movimientos!$R$2:$R$1993,0)),"-")</f>
        <v>-</v>
      </c>
      <c r="H739" s="17" t="str">
        <f>IFERROR(IF(INDEX(Movimientos!$M$2:$M$1993,MATCH(A739&amp;"ENTRADA",Movimientos!$R$2:$R$1993,0))=0,"S/D",INDEX(Movimientos!$M$2:$M$1993,MATCH(A739&amp;"ENTRADA",Movimientos!$R$2:$R$1993,0))),"S/D")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3080</v>
      </c>
      <c r="B740" s="2" t="str">
        <f>IFERROR(INDEX(Movimientos!$C$2:$C$1993,MATCH(A740&amp;"ENTRADA",Movimientos!$R$2:$R$1993,0)),"-")</f>
        <v>-</v>
      </c>
      <c r="C740" s="2" t="str">
        <f>IFERROR(INDEX(Movimientos!$D$2:$D$1993,MATCH(A740&amp;"ENTRADA",Movimientos!$R$2:$R$1993,0)),"-")</f>
        <v>-</v>
      </c>
      <c r="D740" s="2" t="str">
        <f>IFERROR(INDEX(Movimientos!$E$2:$E$1993,MATCH(A740&amp;"ENTRADA",Movimientos!$R$2:$R$1993,0)),"-")</f>
        <v>-</v>
      </c>
      <c r="E740" s="2" t="str">
        <f>IFERROR(INDEX(Movimientos!$F$2:$F$1993,MATCH(A740&amp;"ENTRADA",Movimientos!$R$2:$R$1993,0)),"-")</f>
        <v>-</v>
      </c>
      <c r="F740" s="2" t="str">
        <f>IFERROR(INDEX(Movimientos!$G$2:$G$1993,MATCH(A740&amp;"ENTRADA",Movimientos!$R$2:$R$1993,0)),"-")</f>
        <v>-</v>
      </c>
      <c r="G740" s="2" t="str">
        <f>IFERROR(INDEX(Movimientos!$L$2:$L$1993,MATCH(A740&amp;"ENTRADA",Movimientos!$R$2:$R$1993,0)),"-")</f>
        <v>-</v>
      </c>
      <c r="H740" s="17" t="str">
        <f>IFERROR(IF(INDEX(Movimientos!$M$2:$M$1993,MATCH(A740&amp;"ENTRADA",Movimientos!$R$2:$R$1993,0))=0,"S/D",INDEX(Movimientos!$M$2:$M$1993,MATCH(A740&amp;"ENTRADA",Movimientos!$R$2:$R$1993,0))),"S/D")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3081</v>
      </c>
      <c r="B741" s="2" t="str">
        <f>IFERROR(INDEX(Movimientos!$C$2:$C$1993,MATCH(A741&amp;"ENTRADA",Movimientos!$R$2:$R$1993,0)),"-")</f>
        <v>-</v>
      </c>
      <c r="C741" s="2" t="str">
        <f>IFERROR(INDEX(Movimientos!$D$2:$D$1993,MATCH(A741&amp;"ENTRADA",Movimientos!$R$2:$R$1993,0)),"-")</f>
        <v>-</v>
      </c>
      <c r="D741" s="2" t="str">
        <f>IFERROR(INDEX(Movimientos!$E$2:$E$1993,MATCH(A741&amp;"ENTRADA",Movimientos!$R$2:$R$1993,0)),"-")</f>
        <v>-</v>
      </c>
      <c r="E741" s="2" t="str">
        <f>IFERROR(INDEX(Movimientos!$F$2:$F$1993,MATCH(A741&amp;"ENTRADA",Movimientos!$R$2:$R$1993,0)),"-")</f>
        <v>-</v>
      </c>
      <c r="F741" s="2" t="str">
        <f>IFERROR(INDEX(Movimientos!$G$2:$G$1993,MATCH(A741&amp;"ENTRADA",Movimientos!$R$2:$R$1993,0)),"-")</f>
        <v>-</v>
      </c>
      <c r="G741" s="2" t="str">
        <f>IFERROR(INDEX(Movimientos!$L$2:$L$1993,MATCH(A741&amp;"ENTRADA",Movimientos!$R$2:$R$1993,0)),"-")</f>
        <v>-</v>
      </c>
      <c r="H741" s="17" t="str">
        <f>IFERROR(IF(INDEX(Movimientos!$M$2:$M$1993,MATCH(A741&amp;"ENTRADA",Movimientos!$R$2:$R$1993,0))=0,"S/D",INDEX(Movimientos!$M$2:$M$1993,MATCH(A741&amp;"ENTRADA",Movimientos!$R$2:$R$1993,0))),"S/D")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3082</v>
      </c>
      <c r="B742" s="2" t="str">
        <f>IFERROR(INDEX(Movimientos!$C$2:$C$1993,MATCH(A742&amp;"ENTRADA",Movimientos!$R$2:$R$1993,0)),"-")</f>
        <v>-</v>
      </c>
      <c r="C742" s="2" t="str">
        <f>IFERROR(INDEX(Movimientos!$D$2:$D$1993,MATCH(A742&amp;"ENTRADA",Movimientos!$R$2:$R$1993,0)),"-")</f>
        <v>-</v>
      </c>
      <c r="D742" s="2" t="str">
        <f>IFERROR(INDEX(Movimientos!$E$2:$E$1993,MATCH(A742&amp;"ENTRADA",Movimientos!$R$2:$R$1993,0)),"-")</f>
        <v>-</v>
      </c>
      <c r="E742" s="2" t="str">
        <f>IFERROR(INDEX(Movimientos!$F$2:$F$1993,MATCH(A742&amp;"ENTRADA",Movimientos!$R$2:$R$1993,0)),"-")</f>
        <v>-</v>
      </c>
      <c r="F742" s="2" t="str">
        <f>IFERROR(INDEX(Movimientos!$G$2:$G$1993,MATCH(A742&amp;"ENTRADA",Movimientos!$R$2:$R$1993,0)),"-")</f>
        <v>-</v>
      </c>
      <c r="G742" s="2" t="str">
        <f>IFERROR(INDEX(Movimientos!$L$2:$L$1993,MATCH(A742&amp;"ENTRADA",Movimientos!$R$2:$R$1993,0)),"-")</f>
        <v>-</v>
      </c>
      <c r="H742" s="17" t="str">
        <f>IFERROR(IF(INDEX(Movimientos!$M$2:$M$1993,MATCH(A742&amp;"ENTRADA",Movimientos!$R$2:$R$1993,0))=0,"S/D",INDEX(Movimientos!$M$2:$M$1993,MATCH(A742&amp;"ENTRADA",Movimientos!$R$2:$R$1993,0))),"S/D")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3083</v>
      </c>
      <c r="B743" s="2" t="str">
        <f>IFERROR(INDEX(Movimientos!$C$2:$C$1993,MATCH(A743&amp;"ENTRADA",Movimientos!$R$2:$R$1993,0)),"-")</f>
        <v>-</v>
      </c>
      <c r="C743" s="2" t="str">
        <f>IFERROR(INDEX(Movimientos!$D$2:$D$1993,MATCH(A743&amp;"ENTRADA",Movimientos!$R$2:$R$1993,0)),"-")</f>
        <v>-</v>
      </c>
      <c r="D743" s="2" t="str">
        <f>IFERROR(INDEX(Movimientos!$E$2:$E$1993,MATCH(A743&amp;"ENTRADA",Movimientos!$R$2:$R$1993,0)),"-")</f>
        <v>-</v>
      </c>
      <c r="E743" s="2" t="str">
        <f>IFERROR(INDEX(Movimientos!$F$2:$F$1993,MATCH(A743&amp;"ENTRADA",Movimientos!$R$2:$R$1993,0)),"-")</f>
        <v>-</v>
      </c>
      <c r="F743" s="2" t="str">
        <f>IFERROR(INDEX(Movimientos!$G$2:$G$1993,MATCH(A743&amp;"ENTRADA",Movimientos!$R$2:$R$1993,0)),"-")</f>
        <v>-</v>
      </c>
      <c r="G743" s="2" t="str">
        <f>IFERROR(INDEX(Movimientos!$L$2:$L$1993,MATCH(A743&amp;"ENTRADA",Movimientos!$R$2:$R$1993,0)),"-")</f>
        <v>-</v>
      </c>
      <c r="H743" s="17" t="str">
        <f>IFERROR(IF(INDEX(Movimientos!$M$2:$M$1993,MATCH(A743&amp;"ENTRADA",Movimientos!$R$2:$R$1993,0))=0,"S/D",INDEX(Movimientos!$M$2:$M$1993,MATCH(A743&amp;"ENTRADA",Movimientos!$R$2:$R$1993,0))),"S/D")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3084</v>
      </c>
      <c r="B744" s="2" t="str">
        <f>IFERROR(INDEX(Movimientos!$C$2:$C$1993,MATCH(A744&amp;"ENTRADA",Movimientos!$R$2:$R$1993,0)),"-")</f>
        <v>-</v>
      </c>
      <c r="C744" s="2" t="str">
        <f>IFERROR(INDEX(Movimientos!$D$2:$D$1993,MATCH(A744&amp;"ENTRADA",Movimientos!$R$2:$R$1993,0)),"-")</f>
        <v>-</v>
      </c>
      <c r="D744" s="2" t="str">
        <f>IFERROR(INDEX(Movimientos!$E$2:$E$1993,MATCH(A744&amp;"ENTRADA",Movimientos!$R$2:$R$1993,0)),"-")</f>
        <v>-</v>
      </c>
      <c r="E744" s="2" t="str">
        <f>IFERROR(INDEX(Movimientos!$F$2:$F$1993,MATCH(A744&amp;"ENTRADA",Movimientos!$R$2:$R$1993,0)),"-")</f>
        <v>-</v>
      </c>
      <c r="F744" s="2" t="str">
        <f>IFERROR(INDEX(Movimientos!$G$2:$G$1993,MATCH(A744&amp;"ENTRADA",Movimientos!$R$2:$R$1993,0)),"-")</f>
        <v>-</v>
      </c>
      <c r="G744" s="2" t="str">
        <f>IFERROR(INDEX(Movimientos!$L$2:$L$1993,MATCH(A744&amp;"ENTRADA",Movimientos!$R$2:$R$1993,0)),"-")</f>
        <v>-</v>
      </c>
      <c r="H744" s="17" t="str">
        <f>IFERROR(IF(INDEX(Movimientos!$M$2:$M$1993,MATCH(A744&amp;"ENTRADA",Movimientos!$R$2:$R$1993,0))=0,"S/D",INDEX(Movimientos!$M$2:$M$1993,MATCH(A744&amp;"ENTRADA",Movimientos!$R$2:$R$1993,0))),"S/D")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3085</v>
      </c>
      <c r="B745" s="2" t="str">
        <f>IFERROR(INDEX(Movimientos!$C$2:$C$1993,MATCH(A745&amp;"ENTRADA",Movimientos!$R$2:$R$1993,0)),"-")</f>
        <v>-</v>
      </c>
      <c r="C745" s="2" t="str">
        <f>IFERROR(INDEX(Movimientos!$D$2:$D$1993,MATCH(A745&amp;"ENTRADA",Movimientos!$R$2:$R$1993,0)),"-")</f>
        <v>-</v>
      </c>
      <c r="D745" s="2" t="str">
        <f>IFERROR(INDEX(Movimientos!$E$2:$E$1993,MATCH(A745&amp;"ENTRADA",Movimientos!$R$2:$R$1993,0)),"-")</f>
        <v>-</v>
      </c>
      <c r="E745" s="2" t="str">
        <f>IFERROR(INDEX(Movimientos!$F$2:$F$1993,MATCH(A745&amp;"ENTRADA",Movimientos!$R$2:$R$1993,0)),"-")</f>
        <v>-</v>
      </c>
      <c r="F745" s="2" t="str">
        <f>IFERROR(INDEX(Movimientos!$G$2:$G$1993,MATCH(A745&amp;"ENTRADA",Movimientos!$R$2:$R$1993,0)),"-")</f>
        <v>-</v>
      </c>
      <c r="G745" s="2" t="str">
        <f>IFERROR(INDEX(Movimientos!$L$2:$L$1993,MATCH(A745&amp;"ENTRADA",Movimientos!$R$2:$R$1993,0)),"-")</f>
        <v>-</v>
      </c>
      <c r="H745" s="17" t="str">
        <f>IFERROR(IF(INDEX(Movimientos!$M$2:$M$1993,MATCH(A745&amp;"ENTRADA",Movimientos!$R$2:$R$1993,0))=0,"S/D",INDEX(Movimientos!$M$2:$M$1993,MATCH(A745&amp;"ENTRADA",Movimientos!$R$2:$R$1993,0))),"S/D")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3086</v>
      </c>
      <c r="B746" s="2" t="str">
        <f>IFERROR(INDEX(Movimientos!$C$2:$C$1993,MATCH(A746&amp;"ENTRADA",Movimientos!$R$2:$R$1993,0)),"-")</f>
        <v>-</v>
      </c>
      <c r="C746" s="2" t="str">
        <f>IFERROR(INDEX(Movimientos!$D$2:$D$1993,MATCH(A746&amp;"ENTRADA",Movimientos!$R$2:$R$1993,0)),"-")</f>
        <v>-</v>
      </c>
      <c r="D746" s="2" t="str">
        <f>IFERROR(INDEX(Movimientos!$E$2:$E$1993,MATCH(A746&amp;"ENTRADA",Movimientos!$R$2:$R$1993,0)),"-")</f>
        <v>-</v>
      </c>
      <c r="E746" s="2" t="str">
        <f>IFERROR(INDEX(Movimientos!$F$2:$F$1993,MATCH(A746&amp;"ENTRADA",Movimientos!$R$2:$R$1993,0)),"-")</f>
        <v>-</v>
      </c>
      <c r="F746" s="2" t="str">
        <f>IFERROR(INDEX(Movimientos!$G$2:$G$1993,MATCH(A746&amp;"ENTRADA",Movimientos!$R$2:$R$1993,0)),"-")</f>
        <v>-</v>
      </c>
      <c r="G746" s="2" t="str">
        <f>IFERROR(INDEX(Movimientos!$L$2:$L$1993,MATCH(A746&amp;"ENTRADA",Movimientos!$R$2:$R$1993,0)),"-")</f>
        <v>-</v>
      </c>
      <c r="H746" s="17" t="str">
        <f>IFERROR(IF(INDEX(Movimientos!$M$2:$M$1993,MATCH(A746&amp;"ENTRADA",Movimientos!$R$2:$R$1993,0))=0,"S/D",INDEX(Movimientos!$M$2:$M$1993,MATCH(A746&amp;"ENTRADA",Movimientos!$R$2:$R$1993,0))),"S/D")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3087</v>
      </c>
      <c r="B747" s="2" t="str">
        <f>IFERROR(INDEX(Movimientos!$C$2:$C$1993,MATCH(A747&amp;"ENTRADA",Movimientos!$R$2:$R$1993,0)),"-")</f>
        <v>-</v>
      </c>
      <c r="C747" s="2" t="str">
        <f>IFERROR(INDEX(Movimientos!$D$2:$D$1993,MATCH(A747&amp;"ENTRADA",Movimientos!$R$2:$R$1993,0)),"-")</f>
        <v>-</v>
      </c>
      <c r="D747" s="2" t="str">
        <f>IFERROR(INDEX(Movimientos!$E$2:$E$1993,MATCH(A747&amp;"ENTRADA",Movimientos!$R$2:$R$1993,0)),"-")</f>
        <v>-</v>
      </c>
      <c r="E747" s="2" t="str">
        <f>IFERROR(INDEX(Movimientos!$F$2:$F$1993,MATCH(A747&amp;"ENTRADA",Movimientos!$R$2:$R$1993,0)),"-")</f>
        <v>-</v>
      </c>
      <c r="F747" s="2" t="str">
        <f>IFERROR(INDEX(Movimientos!$G$2:$G$1993,MATCH(A747&amp;"ENTRADA",Movimientos!$R$2:$R$1993,0)),"-")</f>
        <v>-</v>
      </c>
      <c r="G747" s="2" t="str">
        <f>IFERROR(INDEX(Movimientos!$L$2:$L$1993,MATCH(A747&amp;"ENTRADA",Movimientos!$R$2:$R$1993,0)),"-")</f>
        <v>-</v>
      </c>
      <c r="H747" s="17" t="str">
        <f>IFERROR(IF(INDEX(Movimientos!$M$2:$M$1993,MATCH(A747&amp;"ENTRADA",Movimientos!$R$2:$R$1993,0))=0,"S/D",INDEX(Movimientos!$M$2:$M$1993,MATCH(A747&amp;"ENTRADA",Movimientos!$R$2:$R$1993,0))),"S/D")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3088</v>
      </c>
      <c r="B748" s="2" t="str">
        <f>IFERROR(INDEX(Movimientos!$C$2:$C$1993,MATCH(A748&amp;"ENTRADA",Movimientos!$R$2:$R$1993,0)),"-")</f>
        <v>-</v>
      </c>
      <c r="C748" s="2" t="str">
        <f>IFERROR(INDEX(Movimientos!$D$2:$D$1993,MATCH(A748&amp;"ENTRADA",Movimientos!$R$2:$R$1993,0)),"-")</f>
        <v>-</v>
      </c>
      <c r="D748" s="2" t="str">
        <f>IFERROR(INDEX(Movimientos!$E$2:$E$1993,MATCH(A748&amp;"ENTRADA",Movimientos!$R$2:$R$1993,0)),"-")</f>
        <v>-</v>
      </c>
      <c r="E748" s="2" t="str">
        <f>IFERROR(INDEX(Movimientos!$F$2:$F$1993,MATCH(A748&amp;"ENTRADA",Movimientos!$R$2:$R$1993,0)),"-")</f>
        <v>-</v>
      </c>
      <c r="F748" s="2" t="str">
        <f>IFERROR(INDEX(Movimientos!$G$2:$G$1993,MATCH(A748&amp;"ENTRADA",Movimientos!$R$2:$R$1993,0)),"-")</f>
        <v>-</v>
      </c>
      <c r="G748" s="2" t="str">
        <f>IFERROR(INDEX(Movimientos!$L$2:$L$1993,MATCH(A748&amp;"ENTRADA",Movimientos!$R$2:$R$1993,0)),"-")</f>
        <v>-</v>
      </c>
      <c r="H748" s="17" t="str">
        <f>IFERROR(IF(INDEX(Movimientos!$M$2:$M$1993,MATCH(A748&amp;"ENTRADA",Movimientos!$R$2:$R$1993,0))=0,"S/D",INDEX(Movimientos!$M$2:$M$1993,MATCH(A748&amp;"ENTRADA",Movimientos!$R$2:$R$1993,0))),"S/D")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3089</v>
      </c>
      <c r="B749" s="2" t="str">
        <f>IFERROR(INDEX(Movimientos!$C$2:$C$1993,MATCH(A749&amp;"ENTRADA",Movimientos!$R$2:$R$1993,0)),"-")</f>
        <v>-</v>
      </c>
      <c r="C749" s="2" t="str">
        <f>IFERROR(INDEX(Movimientos!$D$2:$D$1993,MATCH(A749&amp;"ENTRADA",Movimientos!$R$2:$R$1993,0)),"-")</f>
        <v>-</v>
      </c>
      <c r="D749" s="2" t="str">
        <f>IFERROR(INDEX(Movimientos!$E$2:$E$1993,MATCH(A749&amp;"ENTRADA",Movimientos!$R$2:$R$1993,0)),"-")</f>
        <v>-</v>
      </c>
      <c r="E749" s="2" t="str">
        <f>IFERROR(INDEX(Movimientos!$F$2:$F$1993,MATCH(A749&amp;"ENTRADA",Movimientos!$R$2:$R$1993,0)),"-")</f>
        <v>-</v>
      </c>
      <c r="F749" s="2" t="str">
        <f>IFERROR(INDEX(Movimientos!$G$2:$G$1993,MATCH(A749&amp;"ENTRADA",Movimientos!$R$2:$R$1993,0)),"-")</f>
        <v>-</v>
      </c>
      <c r="G749" s="2" t="str">
        <f>IFERROR(INDEX(Movimientos!$L$2:$L$1993,MATCH(A749&amp;"ENTRADA",Movimientos!$R$2:$R$1993,0)),"-")</f>
        <v>-</v>
      </c>
      <c r="H749" s="17" t="str">
        <f>IFERROR(IF(INDEX(Movimientos!$M$2:$M$1993,MATCH(A749&amp;"ENTRADA",Movimientos!$R$2:$R$1993,0))=0,"S/D",INDEX(Movimientos!$M$2:$M$1993,MATCH(A749&amp;"ENTRADA",Movimientos!$R$2:$R$1993,0))),"S/D")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3090</v>
      </c>
      <c r="B750" s="2" t="str">
        <f>IFERROR(INDEX(Movimientos!$C$2:$C$1993,MATCH(A750&amp;"ENTRADA",Movimientos!$R$2:$R$1993,0)),"-")</f>
        <v>-</v>
      </c>
      <c r="C750" s="2" t="str">
        <f>IFERROR(INDEX(Movimientos!$D$2:$D$1993,MATCH(A750&amp;"ENTRADA",Movimientos!$R$2:$R$1993,0)),"-")</f>
        <v>-</v>
      </c>
      <c r="D750" s="2" t="str">
        <f>IFERROR(INDEX(Movimientos!$E$2:$E$1993,MATCH(A750&amp;"ENTRADA",Movimientos!$R$2:$R$1993,0)),"-")</f>
        <v>-</v>
      </c>
      <c r="E750" s="2" t="str">
        <f>IFERROR(INDEX(Movimientos!$F$2:$F$1993,MATCH(A750&amp;"ENTRADA",Movimientos!$R$2:$R$1993,0)),"-")</f>
        <v>-</v>
      </c>
      <c r="F750" s="2" t="str">
        <f>IFERROR(INDEX(Movimientos!$G$2:$G$1993,MATCH(A750&amp;"ENTRADA",Movimientos!$R$2:$R$1993,0)),"-")</f>
        <v>-</v>
      </c>
      <c r="G750" s="2" t="str">
        <f>IFERROR(INDEX(Movimientos!$L$2:$L$1993,MATCH(A750&amp;"ENTRADA",Movimientos!$R$2:$R$1993,0)),"-")</f>
        <v>-</v>
      </c>
      <c r="H750" s="17" t="str">
        <f>IFERROR(IF(INDEX(Movimientos!$M$2:$M$1993,MATCH(A750&amp;"ENTRADA",Movimientos!$R$2:$R$1993,0))=0,"S/D",INDEX(Movimientos!$M$2:$M$1993,MATCH(A750&amp;"ENTRADA",Movimientos!$R$2:$R$1993,0))),"S/D")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3091</v>
      </c>
      <c r="B751" s="2" t="str">
        <f>IFERROR(INDEX(Movimientos!$C$2:$C$1993,MATCH(A751&amp;"ENTRADA",Movimientos!$R$2:$R$1993,0)),"-")</f>
        <v>-</v>
      </c>
      <c r="C751" s="2" t="str">
        <f>IFERROR(INDEX(Movimientos!$D$2:$D$1993,MATCH(A751&amp;"ENTRADA",Movimientos!$R$2:$R$1993,0)),"-")</f>
        <v>-</v>
      </c>
      <c r="D751" s="2" t="str">
        <f>IFERROR(INDEX(Movimientos!$E$2:$E$1993,MATCH(A751&amp;"ENTRADA",Movimientos!$R$2:$R$1993,0)),"-")</f>
        <v>-</v>
      </c>
      <c r="E751" s="2" t="str">
        <f>IFERROR(INDEX(Movimientos!$F$2:$F$1993,MATCH(A751&amp;"ENTRADA",Movimientos!$R$2:$R$1993,0)),"-")</f>
        <v>-</v>
      </c>
      <c r="F751" s="2" t="str">
        <f>IFERROR(INDEX(Movimientos!$G$2:$G$1993,MATCH(A751&amp;"ENTRADA",Movimientos!$R$2:$R$1993,0)),"-")</f>
        <v>-</v>
      </c>
      <c r="G751" s="2" t="str">
        <f>IFERROR(INDEX(Movimientos!$L$2:$L$1993,MATCH(A751&amp;"ENTRADA",Movimientos!$R$2:$R$1993,0)),"-")</f>
        <v>-</v>
      </c>
      <c r="H751" s="17" t="str">
        <f>IFERROR(IF(INDEX(Movimientos!$M$2:$M$1993,MATCH(A751&amp;"ENTRADA",Movimientos!$R$2:$R$1993,0))=0,"S/D",INDEX(Movimientos!$M$2:$M$1993,MATCH(A751&amp;"ENTRADA",Movimientos!$R$2:$R$1993,0))),"S/D")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3092</v>
      </c>
      <c r="B752" s="2" t="str">
        <f>IFERROR(INDEX(Movimientos!$C$2:$C$1993,MATCH(A752&amp;"ENTRADA",Movimientos!$R$2:$R$1993,0)),"-")</f>
        <v>-</v>
      </c>
      <c r="C752" s="2" t="str">
        <f>IFERROR(INDEX(Movimientos!$D$2:$D$1993,MATCH(A752&amp;"ENTRADA",Movimientos!$R$2:$R$1993,0)),"-")</f>
        <v>-</v>
      </c>
      <c r="D752" s="2" t="str">
        <f>IFERROR(INDEX(Movimientos!$E$2:$E$1993,MATCH(A752&amp;"ENTRADA",Movimientos!$R$2:$R$1993,0)),"-")</f>
        <v>-</v>
      </c>
      <c r="E752" s="2" t="str">
        <f>IFERROR(INDEX(Movimientos!$F$2:$F$1993,MATCH(A752&amp;"ENTRADA",Movimientos!$R$2:$R$1993,0)),"-")</f>
        <v>-</v>
      </c>
      <c r="F752" s="2" t="str">
        <f>IFERROR(INDEX(Movimientos!$G$2:$G$1993,MATCH(A752&amp;"ENTRADA",Movimientos!$R$2:$R$1993,0)),"-")</f>
        <v>-</v>
      </c>
      <c r="G752" s="2" t="str">
        <f>IFERROR(INDEX(Movimientos!$L$2:$L$1993,MATCH(A752&amp;"ENTRADA",Movimientos!$R$2:$R$1993,0)),"-")</f>
        <v>-</v>
      </c>
      <c r="H752" s="17" t="str">
        <f>IFERROR(IF(INDEX(Movimientos!$M$2:$M$1993,MATCH(A752&amp;"ENTRADA",Movimientos!$R$2:$R$1993,0))=0,"S/D",INDEX(Movimientos!$M$2:$M$1993,MATCH(A752&amp;"ENTRADA",Movimientos!$R$2:$R$1993,0))),"S/D")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3093</v>
      </c>
      <c r="B753" s="2" t="str">
        <f>IFERROR(INDEX(Movimientos!$C$2:$C$1993,MATCH(A753&amp;"ENTRADA",Movimientos!$R$2:$R$1993,0)),"-")</f>
        <v>-</v>
      </c>
      <c r="C753" s="2" t="str">
        <f>IFERROR(INDEX(Movimientos!$D$2:$D$1993,MATCH(A753&amp;"ENTRADA",Movimientos!$R$2:$R$1993,0)),"-")</f>
        <v>-</v>
      </c>
      <c r="D753" s="2" t="str">
        <f>IFERROR(INDEX(Movimientos!$E$2:$E$1993,MATCH(A753&amp;"ENTRADA",Movimientos!$R$2:$R$1993,0)),"-")</f>
        <v>-</v>
      </c>
      <c r="E753" s="2" t="str">
        <f>IFERROR(INDEX(Movimientos!$F$2:$F$1993,MATCH(A753&amp;"ENTRADA",Movimientos!$R$2:$R$1993,0)),"-")</f>
        <v>-</v>
      </c>
      <c r="F753" s="2" t="str">
        <f>IFERROR(INDEX(Movimientos!$G$2:$G$1993,MATCH(A753&amp;"ENTRADA",Movimientos!$R$2:$R$1993,0)),"-")</f>
        <v>-</v>
      </c>
      <c r="G753" s="2" t="str">
        <f>IFERROR(INDEX(Movimientos!$L$2:$L$1993,MATCH(A753&amp;"ENTRADA",Movimientos!$R$2:$R$1993,0)),"-")</f>
        <v>-</v>
      </c>
      <c r="H753" s="17" t="str">
        <f>IFERROR(IF(INDEX(Movimientos!$M$2:$M$1993,MATCH(A753&amp;"ENTRADA",Movimientos!$R$2:$R$1993,0))=0,"S/D",INDEX(Movimientos!$M$2:$M$1993,MATCH(A753&amp;"ENTRADA",Movimientos!$R$2:$R$1993,0))),"S/D")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3094</v>
      </c>
      <c r="B754" s="2" t="str">
        <f>IFERROR(INDEX(Movimientos!$C$2:$C$1993,MATCH(A754&amp;"ENTRADA",Movimientos!$R$2:$R$1993,0)),"-")</f>
        <v>-</v>
      </c>
      <c r="C754" s="2" t="str">
        <f>IFERROR(INDEX(Movimientos!$D$2:$D$1993,MATCH(A754&amp;"ENTRADA",Movimientos!$R$2:$R$1993,0)),"-")</f>
        <v>-</v>
      </c>
      <c r="D754" s="2" t="str">
        <f>IFERROR(INDEX(Movimientos!$E$2:$E$1993,MATCH(A754&amp;"ENTRADA",Movimientos!$R$2:$R$1993,0)),"-")</f>
        <v>-</v>
      </c>
      <c r="E754" s="2" t="str">
        <f>IFERROR(INDEX(Movimientos!$F$2:$F$1993,MATCH(A754&amp;"ENTRADA",Movimientos!$R$2:$R$1993,0)),"-")</f>
        <v>-</v>
      </c>
      <c r="F754" s="2" t="str">
        <f>IFERROR(INDEX(Movimientos!$G$2:$G$1993,MATCH(A754&amp;"ENTRADA",Movimientos!$R$2:$R$1993,0)),"-")</f>
        <v>-</v>
      </c>
      <c r="G754" s="2" t="str">
        <f>IFERROR(INDEX(Movimientos!$L$2:$L$1993,MATCH(A754&amp;"ENTRADA",Movimientos!$R$2:$R$1993,0)),"-")</f>
        <v>-</v>
      </c>
      <c r="H754" s="17" t="str">
        <f>IFERROR(IF(INDEX(Movimientos!$M$2:$M$1993,MATCH(A754&amp;"ENTRADA",Movimientos!$R$2:$R$1993,0))=0,"S/D",INDEX(Movimientos!$M$2:$M$1993,MATCH(A754&amp;"ENTRADA",Movimientos!$R$2:$R$1993,0))),"S/D")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3095</v>
      </c>
      <c r="B755" s="2" t="str">
        <f>IFERROR(INDEX(Movimientos!$C$2:$C$1993,MATCH(A755&amp;"ENTRADA",Movimientos!$R$2:$R$1993,0)),"-")</f>
        <v>-</v>
      </c>
      <c r="C755" s="2" t="str">
        <f>IFERROR(INDEX(Movimientos!$D$2:$D$1993,MATCH(A755&amp;"ENTRADA",Movimientos!$R$2:$R$1993,0)),"-")</f>
        <v>-</v>
      </c>
      <c r="D755" s="2" t="str">
        <f>IFERROR(INDEX(Movimientos!$E$2:$E$1993,MATCH(A755&amp;"ENTRADA",Movimientos!$R$2:$R$1993,0)),"-")</f>
        <v>-</v>
      </c>
      <c r="E755" s="2" t="str">
        <f>IFERROR(INDEX(Movimientos!$F$2:$F$1993,MATCH(A755&amp;"ENTRADA",Movimientos!$R$2:$R$1993,0)),"-")</f>
        <v>-</v>
      </c>
      <c r="F755" s="2" t="str">
        <f>IFERROR(INDEX(Movimientos!$G$2:$G$1993,MATCH(A755&amp;"ENTRADA",Movimientos!$R$2:$R$1993,0)),"-")</f>
        <v>-</v>
      </c>
      <c r="G755" s="2" t="str">
        <f>IFERROR(INDEX(Movimientos!$L$2:$L$1993,MATCH(A755&amp;"ENTRADA",Movimientos!$R$2:$R$1993,0)),"-")</f>
        <v>-</v>
      </c>
      <c r="H755" s="17" t="str">
        <f>IFERROR(IF(INDEX(Movimientos!$M$2:$M$1993,MATCH(A755&amp;"ENTRADA",Movimientos!$R$2:$R$1993,0))=0,"S/D",INDEX(Movimientos!$M$2:$M$1993,MATCH(A755&amp;"ENTRADA",Movimientos!$R$2:$R$1993,0))),"S/D")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3096</v>
      </c>
      <c r="B756" s="2" t="str">
        <f>IFERROR(INDEX(Movimientos!$C$2:$C$1993,MATCH(A756&amp;"ENTRADA",Movimientos!$R$2:$R$1993,0)),"-")</f>
        <v>-</v>
      </c>
      <c r="C756" s="2" t="str">
        <f>IFERROR(INDEX(Movimientos!$D$2:$D$1993,MATCH(A756&amp;"ENTRADA",Movimientos!$R$2:$R$1993,0)),"-")</f>
        <v>-</v>
      </c>
      <c r="D756" s="2" t="str">
        <f>IFERROR(INDEX(Movimientos!$E$2:$E$1993,MATCH(A756&amp;"ENTRADA",Movimientos!$R$2:$R$1993,0)),"-")</f>
        <v>-</v>
      </c>
      <c r="E756" s="2" t="str">
        <f>IFERROR(INDEX(Movimientos!$F$2:$F$1993,MATCH(A756&amp;"ENTRADA",Movimientos!$R$2:$R$1993,0)),"-")</f>
        <v>-</v>
      </c>
      <c r="F756" s="2" t="str">
        <f>IFERROR(INDEX(Movimientos!$G$2:$G$1993,MATCH(A756&amp;"ENTRADA",Movimientos!$R$2:$R$1993,0)),"-")</f>
        <v>-</v>
      </c>
      <c r="G756" s="2" t="str">
        <f>IFERROR(INDEX(Movimientos!$L$2:$L$1993,MATCH(A756&amp;"ENTRADA",Movimientos!$R$2:$R$1993,0)),"-")</f>
        <v>-</v>
      </c>
      <c r="H756" s="17" t="str">
        <f>IFERROR(IF(INDEX(Movimientos!$M$2:$M$1993,MATCH(A756&amp;"ENTRADA",Movimientos!$R$2:$R$1993,0))=0,"S/D",INDEX(Movimientos!$M$2:$M$1993,MATCH(A756&amp;"ENTRADA",Movimientos!$R$2:$R$1993,0))),"S/D")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3097</v>
      </c>
      <c r="B757" s="2" t="str">
        <f>IFERROR(INDEX(Movimientos!$C$2:$C$1993,MATCH(A757&amp;"ENTRADA",Movimientos!$R$2:$R$1993,0)),"-")</f>
        <v>-</v>
      </c>
      <c r="C757" s="2" t="str">
        <f>IFERROR(INDEX(Movimientos!$D$2:$D$1993,MATCH(A757&amp;"ENTRADA",Movimientos!$R$2:$R$1993,0)),"-")</f>
        <v>-</v>
      </c>
      <c r="D757" s="2" t="str">
        <f>IFERROR(INDEX(Movimientos!$E$2:$E$1993,MATCH(A757&amp;"ENTRADA",Movimientos!$R$2:$R$1993,0)),"-")</f>
        <v>-</v>
      </c>
      <c r="E757" s="2" t="str">
        <f>IFERROR(INDEX(Movimientos!$F$2:$F$1993,MATCH(A757&amp;"ENTRADA",Movimientos!$R$2:$R$1993,0)),"-")</f>
        <v>-</v>
      </c>
      <c r="F757" s="2" t="str">
        <f>IFERROR(INDEX(Movimientos!$G$2:$G$1993,MATCH(A757&amp;"ENTRADA",Movimientos!$R$2:$R$1993,0)),"-")</f>
        <v>-</v>
      </c>
      <c r="G757" s="2" t="str">
        <f>IFERROR(INDEX(Movimientos!$L$2:$L$1993,MATCH(A757&amp;"ENTRADA",Movimientos!$R$2:$R$1993,0)),"-")</f>
        <v>-</v>
      </c>
      <c r="H757" s="17" t="str">
        <f>IFERROR(IF(INDEX(Movimientos!$M$2:$M$1993,MATCH(A757&amp;"ENTRADA",Movimientos!$R$2:$R$1993,0))=0,"S/D",INDEX(Movimientos!$M$2:$M$1993,MATCH(A757&amp;"ENTRADA",Movimientos!$R$2:$R$1993,0))),"S/D")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3098</v>
      </c>
      <c r="B758" s="2" t="str">
        <f>IFERROR(INDEX(Movimientos!$C$2:$C$1993,MATCH(A758&amp;"ENTRADA",Movimientos!$R$2:$R$1993,0)),"-")</f>
        <v>-</v>
      </c>
      <c r="C758" s="2" t="str">
        <f>IFERROR(INDEX(Movimientos!$D$2:$D$1993,MATCH(A758&amp;"ENTRADA",Movimientos!$R$2:$R$1993,0)),"-")</f>
        <v>-</v>
      </c>
      <c r="D758" s="2" t="str">
        <f>IFERROR(INDEX(Movimientos!$E$2:$E$1993,MATCH(A758&amp;"ENTRADA",Movimientos!$R$2:$R$1993,0)),"-")</f>
        <v>-</v>
      </c>
      <c r="E758" s="2" t="str">
        <f>IFERROR(INDEX(Movimientos!$F$2:$F$1993,MATCH(A758&amp;"ENTRADA",Movimientos!$R$2:$R$1993,0)),"-")</f>
        <v>-</v>
      </c>
      <c r="F758" s="2" t="str">
        <f>IFERROR(INDEX(Movimientos!$G$2:$G$1993,MATCH(A758&amp;"ENTRADA",Movimientos!$R$2:$R$1993,0)),"-")</f>
        <v>-</v>
      </c>
      <c r="G758" s="2" t="str">
        <f>IFERROR(INDEX(Movimientos!$L$2:$L$1993,MATCH(A758&amp;"ENTRADA",Movimientos!$R$2:$R$1993,0)),"-")</f>
        <v>-</v>
      </c>
      <c r="H758" s="17" t="str">
        <f>IFERROR(IF(INDEX(Movimientos!$M$2:$M$1993,MATCH(A758&amp;"ENTRADA",Movimientos!$R$2:$R$1993,0))=0,"S/D",INDEX(Movimientos!$M$2:$M$1993,MATCH(A758&amp;"ENTRADA",Movimientos!$R$2:$R$1993,0))),"S/D")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3099</v>
      </c>
      <c r="B759" s="2" t="str">
        <f>IFERROR(INDEX(Movimientos!$C$2:$C$1993,MATCH(A759&amp;"ENTRADA",Movimientos!$R$2:$R$1993,0)),"-")</f>
        <v>-</v>
      </c>
      <c r="C759" s="2" t="str">
        <f>IFERROR(INDEX(Movimientos!$D$2:$D$1993,MATCH(A759&amp;"ENTRADA",Movimientos!$R$2:$R$1993,0)),"-")</f>
        <v>-</v>
      </c>
      <c r="D759" s="2" t="str">
        <f>IFERROR(INDEX(Movimientos!$E$2:$E$1993,MATCH(A759&amp;"ENTRADA",Movimientos!$R$2:$R$1993,0)),"-")</f>
        <v>-</v>
      </c>
      <c r="E759" s="2" t="str">
        <f>IFERROR(INDEX(Movimientos!$F$2:$F$1993,MATCH(A759&amp;"ENTRADA",Movimientos!$R$2:$R$1993,0)),"-")</f>
        <v>-</v>
      </c>
      <c r="F759" s="2" t="str">
        <f>IFERROR(INDEX(Movimientos!$G$2:$G$1993,MATCH(A759&amp;"ENTRADA",Movimientos!$R$2:$R$1993,0)),"-")</f>
        <v>-</v>
      </c>
      <c r="G759" s="2" t="str">
        <f>IFERROR(INDEX(Movimientos!$L$2:$L$1993,MATCH(A759&amp;"ENTRADA",Movimientos!$R$2:$R$1993,0)),"-")</f>
        <v>-</v>
      </c>
      <c r="H759" s="17" t="str">
        <f>IFERROR(IF(INDEX(Movimientos!$M$2:$M$1993,MATCH(A759&amp;"ENTRADA",Movimientos!$R$2:$R$1993,0))=0,"S/D",INDEX(Movimientos!$M$2:$M$1993,MATCH(A759&amp;"ENTRADA",Movimientos!$R$2:$R$1993,0))),"S/D")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3100</v>
      </c>
      <c r="B760" s="2" t="str">
        <f>IFERROR(INDEX(Movimientos!$C$2:$C$1993,MATCH(A760&amp;"ENTRADA",Movimientos!$R$2:$R$1993,0)),"-")</f>
        <v>-</v>
      </c>
      <c r="C760" s="2" t="str">
        <f>IFERROR(INDEX(Movimientos!$D$2:$D$1993,MATCH(A760&amp;"ENTRADA",Movimientos!$R$2:$R$1993,0)),"-")</f>
        <v>-</v>
      </c>
      <c r="D760" s="2" t="str">
        <f>IFERROR(INDEX(Movimientos!$E$2:$E$1993,MATCH(A760&amp;"ENTRADA",Movimientos!$R$2:$R$1993,0)),"-")</f>
        <v>-</v>
      </c>
      <c r="E760" s="2" t="str">
        <f>IFERROR(INDEX(Movimientos!$F$2:$F$1993,MATCH(A760&amp;"ENTRADA",Movimientos!$R$2:$R$1993,0)),"-")</f>
        <v>-</v>
      </c>
      <c r="F760" s="2" t="str">
        <f>IFERROR(INDEX(Movimientos!$G$2:$G$1993,MATCH(A760&amp;"ENTRADA",Movimientos!$R$2:$R$1993,0)),"-")</f>
        <v>-</v>
      </c>
      <c r="G760" s="2" t="str">
        <f>IFERROR(INDEX(Movimientos!$L$2:$L$1993,MATCH(A760&amp;"ENTRADA",Movimientos!$R$2:$R$1993,0)),"-")</f>
        <v>-</v>
      </c>
      <c r="H760" s="17" t="str">
        <f>IFERROR(IF(INDEX(Movimientos!$M$2:$M$1993,MATCH(A760&amp;"ENTRADA",Movimientos!$R$2:$R$1993,0))=0,"S/D",INDEX(Movimientos!$M$2:$M$1993,MATCH(A760&amp;"ENTRADA",Movimientos!$R$2:$R$1993,0))),"S/D")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3101</v>
      </c>
      <c r="B761" s="2" t="str">
        <f>IFERROR(INDEX(Movimientos!$C$2:$C$1993,MATCH(A761&amp;"ENTRADA",Movimientos!$R$2:$R$1993,0)),"-")</f>
        <v>-</v>
      </c>
      <c r="C761" s="2" t="str">
        <f>IFERROR(INDEX(Movimientos!$D$2:$D$1993,MATCH(A761&amp;"ENTRADA",Movimientos!$R$2:$R$1993,0)),"-")</f>
        <v>-</v>
      </c>
      <c r="D761" s="2" t="str">
        <f>IFERROR(INDEX(Movimientos!$E$2:$E$1993,MATCH(A761&amp;"ENTRADA",Movimientos!$R$2:$R$1993,0)),"-")</f>
        <v>-</v>
      </c>
      <c r="E761" s="2" t="str">
        <f>IFERROR(INDEX(Movimientos!$F$2:$F$1993,MATCH(A761&amp;"ENTRADA",Movimientos!$R$2:$R$1993,0)),"-")</f>
        <v>-</v>
      </c>
      <c r="F761" s="2" t="str">
        <f>IFERROR(INDEX(Movimientos!$G$2:$G$1993,MATCH(A761&amp;"ENTRADA",Movimientos!$R$2:$R$1993,0)),"-")</f>
        <v>-</v>
      </c>
      <c r="G761" s="2" t="str">
        <f>IFERROR(INDEX(Movimientos!$L$2:$L$1993,MATCH(A761&amp;"ENTRADA",Movimientos!$R$2:$R$1993,0)),"-")</f>
        <v>-</v>
      </c>
      <c r="H761" s="17" t="str">
        <f>IFERROR(IF(INDEX(Movimientos!$M$2:$M$1993,MATCH(A761&amp;"ENTRADA",Movimientos!$R$2:$R$1993,0))=0,"S/D",INDEX(Movimientos!$M$2:$M$1993,MATCH(A761&amp;"ENTRADA",Movimientos!$R$2:$R$1993,0))),"S/D")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3102</v>
      </c>
      <c r="B762" s="2" t="str">
        <f>IFERROR(INDEX(Movimientos!$C$2:$C$1993,MATCH(A762&amp;"ENTRADA",Movimientos!$R$2:$R$1993,0)),"-")</f>
        <v>-</v>
      </c>
      <c r="C762" s="2" t="str">
        <f>IFERROR(INDEX(Movimientos!$D$2:$D$1993,MATCH(A762&amp;"ENTRADA",Movimientos!$R$2:$R$1993,0)),"-")</f>
        <v>-</v>
      </c>
      <c r="D762" s="2" t="str">
        <f>IFERROR(INDEX(Movimientos!$E$2:$E$1993,MATCH(A762&amp;"ENTRADA",Movimientos!$R$2:$R$1993,0)),"-")</f>
        <v>-</v>
      </c>
      <c r="E762" s="2" t="str">
        <f>IFERROR(INDEX(Movimientos!$F$2:$F$1993,MATCH(A762&amp;"ENTRADA",Movimientos!$R$2:$R$1993,0)),"-")</f>
        <v>-</v>
      </c>
      <c r="F762" s="2" t="str">
        <f>IFERROR(INDEX(Movimientos!$G$2:$G$1993,MATCH(A762&amp;"ENTRADA",Movimientos!$R$2:$R$1993,0)),"-")</f>
        <v>-</v>
      </c>
      <c r="G762" s="2" t="str">
        <f>IFERROR(INDEX(Movimientos!$L$2:$L$1993,MATCH(A762&amp;"ENTRADA",Movimientos!$R$2:$R$1993,0)),"-")</f>
        <v>-</v>
      </c>
      <c r="H762" s="17" t="str">
        <f>IFERROR(IF(INDEX(Movimientos!$M$2:$M$1993,MATCH(A762&amp;"ENTRADA",Movimientos!$R$2:$R$1993,0))=0,"S/D",INDEX(Movimientos!$M$2:$M$1993,MATCH(A762&amp;"ENTRADA",Movimientos!$R$2:$R$1993,0))),"S/D")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3103</v>
      </c>
      <c r="B763" s="2" t="str">
        <f>IFERROR(INDEX(Movimientos!$C$2:$C$1993,MATCH(A763&amp;"ENTRADA",Movimientos!$R$2:$R$1993,0)),"-")</f>
        <v>-</v>
      </c>
      <c r="C763" s="2" t="str">
        <f>IFERROR(INDEX(Movimientos!$D$2:$D$1993,MATCH(A763&amp;"ENTRADA",Movimientos!$R$2:$R$1993,0)),"-")</f>
        <v>-</v>
      </c>
      <c r="D763" s="2" t="str">
        <f>IFERROR(INDEX(Movimientos!$E$2:$E$1993,MATCH(A763&amp;"ENTRADA",Movimientos!$R$2:$R$1993,0)),"-")</f>
        <v>-</v>
      </c>
      <c r="E763" s="2" t="str">
        <f>IFERROR(INDEX(Movimientos!$F$2:$F$1993,MATCH(A763&amp;"ENTRADA",Movimientos!$R$2:$R$1993,0)),"-")</f>
        <v>-</v>
      </c>
      <c r="F763" s="2" t="str">
        <f>IFERROR(INDEX(Movimientos!$G$2:$G$1993,MATCH(A763&amp;"ENTRADA",Movimientos!$R$2:$R$1993,0)),"-")</f>
        <v>-</v>
      </c>
      <c r="G763" s="2" t="str">
        <f>IFERROR(INDEX(Movimientos!$L$2:$L$1993,MATCH(A763&amp;"ENTRADA",Movimientos!$R$2:$R$1993,0)),"-")</f>
        <v>-</v>
      </c>
      <c r="H763" s="17" t="str">
        <f>IFERROR(IF(INDEX(Movimientos!$M$2:$M$1993,MATCH(A763&amp;"ENTRADA",Movimientos!$R$2:$R$1993,0))=0,"S/D",INDEX(Movimientos!$M$2:$M$1993,MATCH(A763&amp;"ENTRADA",Movimientos!$R$2:$R$1993,0))),"S/D")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3104</v>
      </c>
      <c r="B764" s="2" t="str">
        <f>IFERROR(INDEX(Movimientos!$C$2:$C$1993,MATCH(A764&amp;"ENTRADA",Movimientos!$R$2:$R$1993,0)),"-")</f>
        <v>-</v>
      </c>
      <c r="C764" s="2" t="str">
        <f>IFERROR(INDEX(Movimientos!$D$2:$D$1993,MATCH(A764&amp;"ENTRADA",Movimientos!$R$2:$R$1993,0)),"-")</f>
        <v>-</v>
      </c>
      <c r="D764" s="2" t="str">
        <f>IFERROR(INDEX(Movimientos!$E$2:$E$1993,MATCH(A764&amp;"ENTRADA",Movimientos!$R$2:$R$1993,0)),"-")</f>
        <v>-</v>
      </c>
      <c r="E764" s="2" t="str">
        <f>IFERROR(INDEX(Movimientos!$F$2:$F$1993,MATCH(A764&amp;"ENTRADA",Movimientos!$R$2:$R$1993,0)),"-")</f>
        <v>-</v>
      </c>
      <c r="F764" s="2" t="str">
        <f>IFERROR(INDEX(Movimientos!$G$2:$G$1993,MATCH(A764&amp;"ENTRADA",Movimientos!$R$2:$R$1993,0)),"-")</f>
        <v>-</v>
      </c>
      <c r="G764" s="2" t="str">
        <f>IFERROR(INDEX(Movimientos!$L$2:$L$1993,MATCH(A764&amp;"ENTRADA",Movimientos!$R$2:$R$1993,0)),"-")</f>
        <v>-</v>
      </c>
      <c r="H764" s="17" t="str">
        <f>IFERROR(IF(INDEX(Movimientos!$M$2:$M$1993,MATCH(A764&amp;"ENTRADA",Movimientos!$R$2:$R$1993,0))=0,"S/D",INDEX(Movimientos!$M$2:$M$1993,MATCH(A764&amp;"ENTRADA",Movimientos!$R$2:$R$1993,0))),"S/D")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3105</v>
      </c>
      <c r="B765" s="2" t="str">
        <f>IFERROR(INDEX(Movimientos!$C$2:$C$1993,MATCH(A765&amp;"ENTRADA",Movimientos!$R$2:$R$1993,0)),"-")</f>
        <v>-</v>
      </c>
      <c r="C765" s="2" t="str">
        <f>IFERROR(INDEX(Movimientos!$D$2:$D$1993,MATCH(A765&amp;"ENTRADA",Movimientos!$R$2:$R$1993,0)),"-")</f>
        <v>-</v>
      </c>
      <c r="D765" s="2" t="str">
        <f>IFERROR(INDEX(Movimientos!$E$2:$E$1993,MATCH(A765&amp;"ENTRADA",Movimientos!$R$2:$R$1993,0)),"-")</f>
        <v>-</v>
      </c>
      <c r="E765" s="2" t="str">
        <f>IFERROR(INDEX(Movimientos!$F$2:$F$1993,MATCH(A765&amp;"ENTRADA",Movimientos!$R$2:$R$1993,0)),"-")</f>
        <v>-</v>
      </c>
      <c r="F765" s="2" t="str">
        <f>IFERROR(INDEX(Movimientos!$G$2:$G$1993,MATCH(A765&amp;"ENTRADA",Movimientos!$R$2:$R$1993,0)),"-")</f>
        <v>-</v>
      </c>
      <c r="G765" s="2" t="str">
        <f>IFERROR(INDEX(Movimientos!$L$2:$L$1993,MATCH(A765&amp;"ENTRADA",Movimientos!$R$2:$R$1993,0)),"-")</f>
        <v>-</v>
      </c>
      <c r="H765" s="17" t="str">
        <f>IFERROR(IF(INDEX(Movimientos!$M$2:$M$1993,MATCH(A765&amp;"ENTRADA",Movimientos!$R$2:$R$1993,0))=0,"S/D",INDEX(Movimientos!$M$2:$M$1993,MATCH(A765&amp;"ENTRADA",Movimientos!$R$2:$R$1993,0))),"S/D")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3106</v>
      </c>
      <c r="B766" s="2" t="str">
        <f>IFERROR(INDEX(Movimientos!$C$2:$C$1993,MATCH(A766&amp;"ENTRADA",Movimientos!$R$2:$R$1993,0)),"-")</f>
        <v>-</v>
      </c>
      <c r="C766" s="2" t="str">
        <f>IFERROR(INDEX(Movimientos!$D$2:$D$1993,MATCH(A766&amp;"ENTRADA",Movimientos!$R$2:$R$1993,0)),"-")</f>
        <v>-</v>
      </c>
      <c r="D766" s="2" t="str">
        <f>IFERROR(INDEX(Movimientos!$E$2:$E$1993,MATCH(A766&amp;"ENTRADA",Movimientos!$R$2:$R$1993,0)),"-")</f>
        <v>-</v>
      </c>
      <c r="E766" s="2" t="str">
        <f>IFERROR(INDEX(Movimientos!$F$2:$F$1993,MATCH(A766&amp;"ENTRADA",Movimientos!$R$2:$R$1993,0)),"-")</f>
        <v>-</v>
      </c>
      <c r="F766" s="2" t="str">
        <f>IFERROR(INDEX(Movimientos!$G$2:$G$1993,MATCH(A766&amp;"ENTRADA",Movimientos!$R$2:$R$1993,0)),"-")</f>
        <v>-</v>
      </c>
      <c r="G766" s="2" t="str">
        <f>IFERROR(INDEX(Movimientos!$L$2:$L$1993,MATCH(A766&amp;"ENTRADA",Movimientos!$R$2:$R$1993,0)),"-")</f>
        <v>-</v>
      </c>
      <c r="H766" s="17" t="str">
        <f>IFERROR(IF(INDEX(Movimientos!$M$2:$M$1993,MATCH(A766&amp;"ENTRADA",Movimientos!$R$2:$R$1993,0))=0,"S/D",INDEX(Movimientos!$M$2:$M$1993,MATCH(A766&amp;"ENTRADA",Movimientos!$R$2:$R$1993,0))),"S/D")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3107</v>
      </c>
      <c r="B767" s="2" t="str">
        <f>IFERROR(INDEX(Movimientos!$C$2:$C$1993,MATCH(A767&amp;"ENTRADA",Movimientos!$R$2:$R$1993,0)),"-")</f>
        <v>-</v>
      </c>
      <c r="C767" s="2" t="str">
        <f>IFERROR(INDEX(Movimientos!$D$2:$D$1993,MATCH(A767&amp;"ENTRADA",Movimientos!$R$2:$R$1993,0)),"-")</f>
        <v>-</v>
      </c>
      <c r="D767" s="2" t="str">
        <f>IFERROR(INDEX(Movimientos!$E$2:$E$1993,MATCH(A767&amp;"ENTRADA",Movimientos!$R$2:$R$1993,0)),"-")</f>
        <v>-</v>
      </c>
      <c r="E767" s="2" t="str">
        <f>IFERROR(INDEX(Movimientos!$F$2:$F$1993,MATCH(A767&amp;"ENTRADA",Movimientos!$R$2:$R$1993,0)),"-")</f>
        <v>-</v>
      </c>
      <c r="F767" s="2" t="str">
        <f>IFERROR(INDEX(Movimientos!$G$2:$G$1993,MATCH(A767&amp;"ENTRADA",Movimientos!$R$2:$R$1993,0)),"-")</f>
        <v>-</v>
      </c>
      <c r="G767" s="2" t="str">
        <f>IFERROR(INDEX(Movimientos!$L$2:$L$1993,MATCH(A767&amp;"ENTRADA",Movimientos!$R$2:$R$1993,0)),"-")</f>
        <v>-</v>
      </c>
      <c r="H767" s="17" t="str">
        <f>IFERROR(IF(INDEX(Movimientos!$M$2:$M$1993,MATCH(A767&amp;"ENTRADA",Movimientos!$R$2:$R$1993,0))=0,"S/D",INDEX(Movimientos!$M$2:$M$1993,MATCH(A767&amp;"ENTRADA",Movimientos!$R$2:$R$1993,0))),"S/D")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3108</v>
      </c>
      <c r="B768" s="2" t="str">
        <f>IFERROR(INDEX(Movimientos!$C$2:$C$1993,MATCH(A768&amp;"ENTRADA",Movimientos!$R$2:$R$1993,0)),"-")</f>
        <v>-</v>
      </c>
      <c r="C768" s="2" t="str">
        <f>IFERROR(INDEX(Movimientos!$D$2:$D$1993,MATCH(A768&amp;"ENTRADA",Movimientos!$R$2:$R$1993,0)),"-")</f>
        <v>-</v>
      </c>
      <c r="D768" s="2" t="str">
        <f>IFERROR(INDEX(Movimientos!$E$2:$E$1993,MATCH(A768&amp;"ENTRADA",Movimientos!$R$2:$R$1993,0)),"-")</f>
        <v>-</v>
      </c>
      <c r="E768" s="2" t="str">
        <f>IFERROR(INDEX(Movimientos!$F$2:$F$1993,MATCH(A768&amp;"ENTRADA",Movimientos!$R$2:$R$1993,0)),"-")</f>
        <v>-</v>
      </c>
      <c r="F768" s="2" t="str">
        <f>IFERROR(INDEX(Movimientos!$G$2:$G$1993,MATCH(A768&amp;"ENTRADA",Movimientos!$R$2:$R$1993,0)),"-")</f>
        <v>-</v>
      </c>
      <c r="G768" s="2" t="str">
        <f>IFERROR(INDEX(Movimientos!$L$2:$L$1993,MATCH(A768&amp;"ENTRADA",Movimientos!$R$2:$R$1993,0)),"-")</f>
        <v>-</v>
      </c>
      <c r="H768" s="17" t="str">
        <f>IFERROR(IF(INDEX(Movimientos!$M$2:$M$1993,MATCH(A768&amp;"ENTRADA",Movimientos!$R$2:$R$1993,0))=0,"S/D",INDEX(Movimientos!$M$2:$M$1993,MATCH(A768&amp;"ENTRADA",Movimientos!$R$2:$R$1993,0))),"S/D")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3109</v>
      </c>
      <c r="B769" s="2" t="str">
        <f>IFERROR(INDEX(Movimientos!$C$2:$C$1993,MATCH(A769&amp;"ENTRADA",Movimientos!$R$2:$R$1993,0)),"-")</f>
        <v>-</v>
      </c>
      <c r="C769" s="2" t="str">
        <f>IFERROR(INDEX(Movimientos!$D$2:$D$1993,MATCH(A769&amp;"ENTRADA",Movimientos!$R$2:$R$1993,0)),"-")</f>
        <v>-</v>
      </c>
      <c r="D769" s="2" t="str">
        <f>IFERROR(INDEX(Movimientos!$E$2:$E$1993,MATCH(A769&amp;"ENTRADA",Movimientos!$R$2:$R$1993,0)),"-")</f>
        <v>-</v>
      </c>
      <c r="E769" s="2" t="str">
        <f>IFERROR(INDEX(Movimientos!$F$2:$F$1993,MATCH(A769&amp;"ENTRADA",Movimientos!$R$2:$R$1993,0)),"-")</f>
        <v>-</v>
      </c>
      <c r="F769" s="2" t="str">
        <f>IFERROR(INDEX(Movimientos!$G$2:$G$1993,MATCH(A769&amp;"ENTRADA",Movimientos!$R$2:$R$1993,0)),"-")</f>
        <v>-</v>
      </c>
      <c r="G769" s="2" t="str">
        <f>IFERROR(INDEX(Movimientos!$L$2:$L$1993,MATCH(A769&amp;"ENTRADA",Movimientos!$R$2:$R$1993,0)),"-")</f>
        <v>-</v>
      </c>
      <c r="H769" s="17" t="str">
        <f>IFERROR(IF(INDEX(Movimientos!$M$2:$M$1993,MATCH(A769&amp;"ENTRADA",Movimientos!$R$2:$R$1993,0))=0,"S/D",INDEX(Movimientos!$M$2:$M$1993,MATCH(A769&amp;"ENTRADA",Movimientos!$R$2:$R$1993,0))),"S/D")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3110</v>
      </c>
      <c r="B770" s="2" t="str">
        <f>IFERROR(INDEX(Movimientos!$C$2:$C$1993,MATCH(A770&amp;"ENTRADA",Movimientos!$R$2:$R$1993,0)),"-")</f>
        <v>-</v>
      </c>
      <c r="C770" s="2" t="str">
        <f>IFERROR(INDEX(Movimientos!$D$2:$D$1993,MATCH(A770&amp;"ENTRADA",Movimientos!$R$2:$R$1993,0)),"-")</f>
        <v>-</v>
      </c>
      <c r="D770" s="2" t="str">
        <f>IFERROR(INDEX(Movimientos!$E$2:$E$1993,MATCH(A770&amp;"ENTRADA",Movimientos!$R$2:$R$1993,0)),"-")</f>
        <v>-</v>
      </c>
      <c r="E770" s="2" t="str">
        <f>IFERROR(INDEX(Movimientos!$F$2:$F$1993,MATCH(A770&amp;"ENTRADA",Movimientos!$R$2:$R$1993,0)),"-")</f>
        <v>-</v>
      </c>
      <c r="F770" s="2" t="str">
        <f>IFERROR(INDEX(Movimientos!$G$2:$G$1993,MATCH(A770&amp;"ENTRADA",Movimientos!$R$2:$R$1993,0)),"-")</f>
        <v>-</v>
      </c>
      <c r="G770" s="2" t="str">
        <f>IFERROR(INDEX(Movimientos!$L$2:$L$1993,MATCH(A770&amp;"ENTRADA",Movimientos!$R$2:$R$1993,0)),"-")</f>
        <v>-</v>
      </c>
      <c r="H770" s="17" t="str">
        <f>IFERROR(IF(INDEX(Movimientos!$M$2:$M$1993,MATCH(A770&amp;"ENTRADA",Movimientos!$R$2:$R$1993,0))=0,"S/D",INDEX(Movimientos!$M$2:$M$1993,MATCH(A770&amp;"ENTRADA",Movimientos!$R$2:$R$1993,0))),"S/D")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3111</v>
      </c>
      <c r="B771" s="2" t="str">
        <f>IFERROR(INDEX(Movimientos!$C$2:$C$1993,MATCH(A771&amp;"ENTRADA",Movimientos!$R$2:$R$1993,0)),"-")</f>
        <v>-</v>
      </c>
      <c r="C771" s="2" t="str">
        <f>IFERROR(INDEX(Movimientos!$D$2:$D$1993,MATCH(A771&amp;"ENTRADA",Movimientos!$R$2:$R$1993,0)),"-")</f>
        <v>-</v>
      </c>
      <c r="D771" s="2" t="str">
        <f>IFERROR(INDEX(Movimientos!$E$2:$E$1993,MATCH(A771&amp;"ENTRADA",Movimientos!$R$2:$R$1993,0)),"-")</f>
        <v>-</v>
      </c>
      <c r="E771" s="2" t="str">
        <f>IFERROR(INDEX(Movimientos!$F$2:$F$1993,MATCH(A771&amp;"ENTRADA",Movimientos!$R$2:$R$1993,0)),"-")</f>
        <v>-</v>
      </c>
      <c r="F771" s="2" t="str">
        <f>IFERROR(INDEX(Movimientos!$G$2:$G$1993,MATCH(A771&amp;"ENTRADA",Movimientos!$R$2:$R$1993,0)),"-")</f>
        <v>-</v>
      </c>
      <c r="G771" s="2" t="str">
        <f>IFERROR(INDEX(Movimientos!$L$2:$L$1993,MATCH(A771&amp;"ENTRADA",Movimientos!$R$2:$R$1993,0)),"-")</f>
        <v>-</v>
      </c>
      <c r="H771" s="17" t="str">
        <f>IFERROR(IF(INDEX(Movimientos!$M$2:$M$1993,MATCH(A771&amp;"ENTRADA",Movimientos!$R$2:$R$1993,0))=0,"S/D",INDEX(Movimientos!$M$2:$M$1993,MATCH(A771&amp;"ENTRADA",Movimientos!$R$2:$R$1993,0))),"S/D")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3112</v>
      </c>
      <c r="B772" s="2" t="str">
        <f>IFERROR(INDEX(Movimientos!$C$2:$C$1993,MATCH(A772&amp;"ENTRADA",Movimientos!$R$2:$R$1993,0)),"-")</f>
        <v>-</v>
      </c>
      <c r="C772" s="2" t="str">
        <f>IFERROR(INDEX(Movimientos!$D$2:$D$1993,MATCH(A772&amp;"ENTRADA",Movimientos!$R$2:$R$1993,0)),"-")</f>
        <v>-</v>
      </c>
      <c r="D772" s="2" t="str">
        <f>IFERROR(INDEX(Movimientos!$E$2:$E$1993,MATCH(A772&amp;"ENTRADA",Movimientos!$R$2:$R$1993,0)),"-")</f>
        <v>-</v>
      </c>
      <c r="E772" s="2" t="str">
        <f>IFERROR(INDEX(Movimientos!$F$2:$F$1993,MATCH(A772&amp;"ENTRADA",Movimientos!$R$2:$R$1993,0)),"-")</f>
        <v>-</v>
      </c>
      <c r="F772" s="2" t="str">
        <f>IFERROR(INDEX(Movimientos!$G$2:$G$1993,MATCH(A772&amp;"ENTRADA",Movimientos!$R$2:$R$1993,0)),"-")</f>
        <v>-</v>
      </c>
      <c r="G772" s="2" t="str">
        <f>IFERROR(INDEX(Movimientos!$L$2:$L$1993,MATCH(A772&amp;"ENTRADA",Movimientos!$R$2:$R$1993,0)),"-")</f>
        <v>-</v>
      </c>
      <c r="H772" s="17" t="str">
        <f>IFERROR(IF(INDEX(Movimientos!$M$2:$M$1993,MATCH(A772&amp;"ENTRADA",Movimientos!$R$2:$R$1993,0))=0,"S/D",INDEX(Movimientos!$M$2:$M$1993,MATCH(A772&amp;"ENTRADA",Movimientos!$R$2:$R$1993,0))),"S/D")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3113</v>
      </c>
      <c r="B773" s="2" t="str">
        <f>IFERROR(INDEX(Movimientos!$C$2:$C$1993,MATCH(A773&amp;"ENTRADA",Movimientos!$R$2:$R$1993,0)),"-")</f>
        <v>-</v>
      </c>
      <c r="C773" s="2" t="str">
        <f>IFERROR(INDEX(Movimientos!$D$2:$D$1993,MATCH(A773&amp;"ENTRADA",Movimientos!$R$2:$R$1993,0)),"-")</f>
        <v>-</v>
      </c>
      <c r="D773" s="2" t="str">
        <f>IFERROR(INDEX(Movimientos!$E$2:$E$1993,MATCH(A773&amp;"ENTRADA",Movimientos!$R$2:$R$1993,0)),"-")</f>
        <v>-</v>
      </c>
      <c r="E773" s="2" t="str">
        <f>IFERROR(INDEX(Movimientos!$F$2:$F$1993,MATCH(A773&amp;"ENTRADA",Movimientos!$R$2:$R$1993,0)),"-")</f>
        <v>-</v>
      </c>
      <c r="F773" s="2" t="str">
        <f>IFERROR(INDEX(Movimientos!$G$2:$G$1993,MATCH(A773&amp;"ENTRADA",Movimientos!$R$2:$R$1993,0)),"-")</f>
        <v>-</v>
      </c>
      <c r="G773" s="2" t="str">
        <f>IFERROR(INDEX(Movimientos!$L$2:$L$1993,MATCH(A773&amp;"ENTRADA",Movimientos!$R$2:$R$1993,0)),"-")</f>
        <v>-</v>
      </c>
      <c r="H773" s="17" t="str">
        <f>IFERROR(IF(INDEX(Movimientos!$M$2:$M$1993,MATCH(A773&amp;"ENTRADA",Movimientos!$R$2:$R$1993,0))=0,"S/D",INDEX(Movimientos!$M$2:$M$1993,MATCH(A773&amp;"ENTRADA",Movimientos!$R$2:$R$1993,0))),"S/D")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3114</v>
      </c>
      <c r="B774" s="2" t="str">
        <f>IFERROR(INDEX(Movimientos!$C$2:$C$1993,MATCH(A774&amp;"ENTRADA",Movimientos!$R$2:$R$1993,0)),"-")</f>
        <v>-</v>
      </c>
      <c r="C774" s="2" t="str">
        <f>IFERROR(INDEX(Movimientos!$D$2:$D$1993,MATCH(A774&amp;"ENTRADA",Movimientos!$R$2:$R$1993,0)),"-")</f>
        <v>-</v>
      </c>
      <c r="D774" s="2" t="str">
        <f>IFERROR(INDEX(Movimientos!$E$2:$E$1993,MATCH(A774&amp;"ENTRADA",Movimientos!$R$2:$R$1993,0)),"-")</f>
        <v>-</v>
      </c>
      <c r="E774" s="2" t="str">
        <f>IFERROR(INDEX(Movimientos!$F$2:$F$1993,MATCH(A774&amp;"ENTRADA",Movimientos!$R$2:$R$1993,0)),"-")</f>
        <v>-</v>
      </c>
      <c r="F774" s="2" t="str">
        <f>IFERROR(INDEX(Movimientos!$G$2:$G$1993,MATCH(A774&amp;"ENTRADA",Movimientos!$R$2:$R$1993,0)),"-")</f>
        <v>-</v>
      </c>
      <c r="G774" s="2" t="str">
        <f>IFERROR(INDEX(Movimientos!$L$2:$L$1993,MATCH(A774&amp;"ENTRADA",Movimientos!$R$2:$R$1993,0)),"-")</f>
        <v>-</v>
      </c>
      <c r="H774" s="17" t="str">
        <f>IFERROR(IF(INDEX(Movimientos!$M$2:$M$1993,MATCH(A774&amp;"ENTRADA",Movimientos!$R$2:$R$1993,0))=0,"S/D",INDEX(Movimientos!$M$2:$M$1993,MATCH(A774&amp;"ENTRADA",Movimientos!$R$2:$R$1993,0))),"S/D")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3115</v>
      </c>
      <c r="B775" s="2" t="str">
        <f>IFERROR(INDEX(Movimientos!$C$2:$C$1993,MATCH(A775&amp;"ENTRADA",Movimientos!$R$2:$R$1993,0)),"-")</f>
        <v>-</v>
      </c>
      <c r="C775" s="2" t="str">
        <f>IFERROR(INDEX(Movimientos!$D$2:$D$1993,MATCH(A775&amp;"ENTRADA",Movimientos!$R$2:$R$1993,0)),"-")</f>
        <v>-</v>
      </c>
      <c r="D775" s="2" t="str">
        <f>IFERROR(INDEX(Movimientos!$E$2:$E$1993,MATCH(A775&amp;"ENTRADA",Movimientos!$R$2:$R$1993,0)),"-")</f>
        <v>-</v>
      </c>
      <c r="E775" s="2" t="str">
        <f>IFERROR(INDEX(Movimientos!$F$2:$F$1993,MATCH(A775&amp;"ENTRADA",Movimientos!$R$2:$R$1993,0)),"-")</f>
        <v>-</v>
      </c>
      <c r="F775" s="2" t="str">
        <f>IFERROR(INDEX(Movimientos!$G$2:$G$1993,MATCH(A775&amp;"ENTRADA",Movimientos!$R$2:$R$1993,0)),"-")</f>
        <v>-</v>
      </c>
      <c r="G775" s="2" t="str">
        <f>IFERROR(INDEX(Movimientos!$L$2:$L$1993,MATCH(A775&amp;"ENTRADA",Movimientos!$R$2:$R$1993,0)),"-")</f>
        <v>-</v>
      </c>
      <c r="H775" s="17" t="str">
        <f>IFERROR(IF(INDEX(Movimientos!$M$2:$M$1993,MATCH(A775&amp;"ENTRADA",Movimientos!$R$2:$R$1993,0))=0,"S/D",INDEX(Movimientos!$M$2:$M$1993,MATCH(A775&amp;"ENTRADA",Movimientos!$R$2:$R$1993,0))),"S/D")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3116</v>
      </c>
      <c r="B776" s="2" t="str">
        <f>IFERROR(INDEX(Movimientos!$C$2:$C$1993,MATCH(A776&amp;"ENTRADA",Movimientos!$R$2:$R$1993,0)),"-")</f>
        <v>-</v>
      </c>
      <c r="C776" s="2" t="str">
        <f>IFERROR(INDEX(Movimientos!$D$2:$D$1993,MATCH(A776&amp;"ENTRADA",Movimientos!$R$2:$R$1993,0)),"-")</f>
        <v>-</v>
      </c>
      <c r="D776" s="2" t="str">
        <f>IFERROR(INDEX(Movimientos!$E$2:$E$1993,MATCH(A776&amp;"ENTRADA",Movimientos!$R$2:$R$1993,0)),"-")</f>
        <v>-</v>
      </c>
      <c r="E776" s="2" t="str">
        <f>IFERROR(INDEX(Movimientos!$F$2:$F$1993,MATCH(A776&amp;"ENTRADA",Movimientos!$R$2:$R$1993,0)),"-")</f>
        <v>-</v>
      </c>
      <c r="F776" s="2" t="str">
        <f>IFERROR(INDEX(Movimientos!$G$2:$G$1993,MATCH(A776&amp;"ENTRADA",Movimientos!$R$2:$R$1993,0)),"-")</f>
        <v>-</v>
      </c>
      <c r="G776" s="2" t="str">
        <f>IFERROR(INDEX(Movimientos!$L$2:$L$1993,MATCH(A776&amp;"ENTRADA",Movimientos!$R$2:$R$1993,0)),"-")</f>
        <v>-</v>
      </c>
      <c r="H776" s="17" t="str">
        <f>IFERROR(IF(INDEX(Movimientos!$M$2:$M$1993,MATCH(A776&amp;"ENTRADA",Movimientos!$R$2:$R$1993,0))=0,"S/D",INDEX(Movimientos!$M$2:$M$1993,MATCH(A776&amp;"ENTRADA",Movimientos!$R$2:$R$1993,0))),"S/D")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3117</v>
      </c>
      <c r="B777" s="2" t="str">
        <f>IFERROR(INDEX(Movimientos!$C$2:$C$1993,MATCH(A777&amp;"ENTRADA",Movimientos!$R$2:$R$1993,0)),"-")</f>
        <v>-</v>
      </c>
      <c r="C777" s="2" t="str">
        <f>IFERROR(INDEX(Movimientos!$D$2:$D$1993,MATCH(A777&amp;"ENTRADA",Movimientos!$R$2:$R$1993,0)),"-")</f>
        <v>-</v>
      </c>
      <c r="D777" s="2" t="str">
        <f>IFERROR(INDEX(Movimientos!$E$2:$E$1993,MATCH(A777&amp;"ENTRADA",Movimientos!$R$2:$R$1993,0)),"-")</f>
        <v>-</v>
      </c>
      <c r="E777" s="2" t="str">
        <f>IFERROR(INDEX(Movimientos!$F$2:$F$1993,MATCH(A777&amp;"ENTRADA",Movimientos!$R$2:$R$1993,0)),"-")</f>
        <v>-</v>
      </c>
      <c r="F777" s="2" t="str">
        <f>IFERROR(INDEX(Movimientos!$G$2:$G$1993,MATCH(A777&amp;"ENTRADA",Movimientos!$R$2:$R$1993,0)),"-")</f>
        <v>-</v>
      </c>
      <c r="G777" s="2" t="str">
        <f>IFERROR(INDEX(Movimientos!$L$2:$L$1993,MATCH(A777&amp;"ENTRADA",Movimientos!$R$2:$R$1993,0)),"-")</f>
        <v>-</v>
      </c>
      <c r="H777" s="17" t="str">
        <f>IFERROR(IF(INDEX(Movimientos!$M$2:$M$1993,MATCH(A777&amp;"ENTRADA",Movimientos!$R$2:$R$1993,0))=0,"S/D",INDEX(Movimientos!$M$2:$M$1993,MATCH(A777&amp;"ENTRADA",Movimientos!$R$2:$R$1993,0))),"S/D")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3118</v>
      </c>
      <c r="B778" s="2" t="str">
        <f>IFERROR(INDEX(Movimientos!$C$2:$C$1993,MATCH(A778&amp;"ENTRADA",Movimientos!$R$2:$R$1993,0)),"-")</f>
        <v>-</v>
      </c>
      <c r="C778" s="2" t="str">
        <f>IFERROR(INDEX(Movimientos!$D$2:$D$1993,MATCH(A778&amp;"ENTRADA",Movimientos!$R$2:$R$1993,0)),"-")</f>
        <v>-</v>
      </c>
      <c r="D778" s="2" t="str">
        <f>IFERROR(INDEX(Movimientos!$E$2:$E$1993,MATCH(A778&amp;"ENTRADA",Movimientos!$R$2:$R$1993,0)),"-")</f>
        <v>-</v>
      </c>
      <c r="E778" s="2" t="str">
        <f>IFERROR(INDEX(Movimientos!$F$2:$F$1993,MATCH(A778&amp;"ENTRADA",Movimientos!$R$2:$R$1993,0)),"-")</f>
        <v>-</v>
      </c>
      <c r="F778" s="2" t="str">
        <f>IFERROR(INDEX(Movimientos!$G$2:$G$1993,MATCH(A778&amp;"ENTRADA",Movimientos!$R$2:$R$1993,0)),"-")</f>
        <v>-</v>
      </c>
      <c r="G778" s="2" t="str">
        <f>IFERROR(INDEX(Movimientos!$L$2:$L$1993,MATCH(A778&amp;"ENTRADA",Movimientos!$R$2:$R$1993,0)),"-")</f>
        <v>-</v>
      </c>
      <c r="H778" s="17" t="str">
        <f>IFERROR(IF(INDEX(Movimientos!$M$2:$M$1993,MATCH(A778&amp;"ENTRADA",Movimientos!$R$2:$R$1993,0))=0,"S/D",INDEX(Movimientos!$M$2:$M$1993,MATCH(A778&amp;"ENTRADA",Movimientos!$R$2:$R$1993,0))),"S/D")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3119</v>
      </c>
      <c r="B779" s="2" t="str">
        <f>IFERROR(INDEX(Movimientos!$C$2:$C$1993,MATCH(A779&amp;"ENTRADA",Movimientos!$R$2:$R$1993,0)),"-")</f>
        <v>-</v>
      </c>
      <c r="C779" s="2" t="str">
        <f>IFERROR(INDEX(Movimientos!$D$2:$D$1993,MATCH(A779&amp;"ENTRADA",Movimientos!$R$2:$R$1993,0)),"-")</f>
        <v>-</v>
      </c>
      <c r="D779" s="2" t="str">
        <f>IFERROR(INDEX(Movimientos!$E$2:$E$1993,MATCH(A779&amp;"ENTRADA",Movimientos!$R$2:$R$1993,0)),"-")</f>
        <v>-</v>
      </c>
      <c r="E779" s="2" t="str">
        <f>IFERROR(INDEX(Movimientos!$F$2:$F$1993,MATCH(A779&amp;"ENTRADA",Movimientos!$R$2:$R$1993,0)),"-")</f>
        <v>-</v>
      </c>
      <c r="F779" s="2" t="str">
        <f>IFERROR(INDEX(Movimientos!$G$2:$G$1993,MATCH(A779&amp;"ENTRADA",Movimientos!$R$2:$R$1993,0)),"-")</f>
        <v>-</v>
      </c>
      <c r="G779" s="2" t="str">
        <f>IFERROR(INDEX(Movimientos!$L$2:$L$1993,MATCH(A779&amp;"ENTRADA",Movimientos!$R$2:$R$1993,0)),"-")</f>
        <v>-</v>
      </c>
      <c r="H779" s="17" t="str">
        <f>IFERROR(IF(INDEX(Movimientos!$M$2:$M$1993,MATCH(A779&amp;"ENTRADA",Movimientos!$R$2:$R$1993,0))=0,"S/D",INDEX(Movimientos!$M$2:$M$1993,MATCH(A779&amp;"ENTRADA",Movimientos!$R$2:$R$1993,0))),"S/D")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3120</v>
      </c>
      <c r="B780" s="2" t="str">
        <f>IFERROR(INDEX(Movimientos!$C$2:$C$1993,MATCH(A780&amp;"ENTRADA",Movimientos!$R$2:$R$1993,0)),"-")</f>
        <v>-</v>
      </c>
      <c r="C780" s="2" t="str">
        <f>IFERROR(INDEX(Movimientos!$D$2:$D$1993,MATCH(A780&amp;"ENTRADA",Movimientos!$R$2:$R$1993,0)),"-")</f>
        <v>-</v>
      </c>
      <c r="D780" s="2" t="str">
        <f>IFERROR(INDEX(Movimientos!$E$2:$E$1993,MATCH(A780&amp;"ENTRADA",Movimientos!$R$2:$R$1993,0)),"-")</f>
        <v>-</v>
      </c>
      <c r="E780" s="2" t="str">
        <f>IFERROR(INDEX(Movimientos!$F$2:$F$1993,MATCH(A780&amp;"ENTRADA",Movimientos!$R$2:$R$1993,0)),"-")</f>
        <v>-</v>
      </c>
      <c r="F780" s="2" t="str">
        <f>IFERROR(INDEX(Movimientos!$G$2:$G$1993,MATCH(A780&amp;"ENTRADA",Movimientos!$R$2:$R$1993,0)),"-")</f>
        <v>-</v>
      </c>
      <c r="G780" s="2" t="str">
        <f>IFERROR(INDEX(Movimientos!$L$2:$L$1993,MATCH(A780&amp;"ENTRADA",Movimientos!$R$2:$R$1993,0)),"-")</f>
        <v>-</v>
      </c>
      <c r="H780" s="17" t="str">
        <f>IFERROR(IF(INDEX(Movimientos!$M$2:$M$1993,MATCH(A780&amp;"ENTRADA",Movimientos!$R$2:$R$1993,0))=0,"S/D",INDEX(Movimientos!$M$2:$M$1993,MATCH(A780&amp;"ENTRADA",Movimientos!$R$2:$R$1993,0))),"S/D")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3121</v>
      </c>
      <c r="B781" s="2" t="str">
        <f>IFERROR(INDEX(Movimientos!$C$2:$C$1993,MATCH(A781&amp;"ENTRADA",Movimientos!$R$2:$R$1993,0)),"-")</f>
        <v>-</v>
      </c>
      <c r="C781" s="2" t="str">
        <f>IFERROR(INDEX(Movimientos!$D$2:$D$1993,MATCH(A781&amp;"ENTRADA",Movimientos!$R$2:$R$1993,0)),"-")</f>
        <v>-</v>
      </c>
      <c r="D781" s="2" t="str">
        <f>IFERROR(INDEX(Movimientos!$E$2:$E$1993,MATCH(A781&amp;"ENTRADA",Movimientos!$R$2:$R$1993,0)),"-")</f>
        <v>-</v>
      </c>
      <c r="E781" s="2" t="str">
        <f>IFERROR(INDEX(Movimientos!$F$2:$F$1993,MATCH(A781&amp;"ENTRADA",Movimientos!$R$2:$R$1993,0)),"-")</f>
        <v>-</v>
      </c>
      <c r="F781" s="2" t="str">
        <f>IFERROR(INDEX(Movimientos!$G$2:$G$1993,MATCH(A781&amp;"ENTRADA",Movimientos!$R$2:$R$1993,0)),"-")</f>
        <v>-</v>
      </c>
      <c r="G781" s="2" t="str">
        <f>IFERROR(INDEX(Movimientos!$L$2:$L$1993,MATCH(A781&amp;"ENTRADA",Movimientos!$R$2:$R$1993,0)),"-")</f>
        <v>-</v>
      </c>
      <c r="H781" s="17" t="str">
        <f>IFERROR(IF(INDEX(Movimientos!$M$2:$M$1993,MATCH(A781&amp;"ENTRADA",Movimientos!$R$2:$R$1993,0))=0,"S/D",INDEX(Movimientos!$M$2:$M$1993,MATCH(A781&amp;"ENTRADA",Movimientos!$R$2:$R$1993,0))),"S/D")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3122</v>
      </c>
      <c r="B782" s="2" t="str">
        <f>IFERROR(INDEX(Movimientos!$C$2:$C$1993,MATCH(A782&amp;"ENTRADA",Movimientos!$R$2:$R$1993,0)),"-")</f>
        <v>-</v>
      </c>
      <c r="C782" s="2" t="str">
        <f>IFERROR(INDEX(Movimientos!$D$2:$D$1993,MATCH(A782&amp;"ENTRADA",Movimientos!$R$2:$R$1993,0)),"-")</f>
        <v>-</v>
      </c>
      <c r="D782" s="2" t="str">
        <f>IFERROR(INDEX(Movimientos!$E$2:$E$1993,MATCH(A782&amp;"ENTRADA",Movimientos!$R$2:$R$1993,0)),"-")</f>
        <v>-</v>
      </c>
      <c r="E782" s="2" t="str">
        <f>IFERROR(INDEX(Movimientos!$F$2:$F$1993,MATCH(A782&amp;"ENTRADA",Movimientos!$R$2:$R$1993,0)),"-")</f>
        <v>-</v>
      </c>
      <c r="F782" s="2" t="str">
        <f>IFERROR(INDEX(Movimientos!$G$2:$G$1993,MATCH(A782&amp;"ENTRADA",Movimientos!$R$2:$R$1993,0)),"-")</f>
        <v>-</v>
      </c>
      <c r="G782" s="2" t="str">
        <f>IFERROR(INDEX(Movimientos!$L$2:$L$1993,MATCH(A782&amp;"ENTRADA",Movimientos!$R$2:$R$1993,0)),"-")</f>
        <v>-</v>
      </c>
      <c r="H782" s="17" t="str">
        <f>IFERROR(IF(INDEX(Movimientos!$M$2:$M$1993,MATCH(A782&amp;"ENTRADA",Movimientos!$R$2:$R$1993,0))=0,"S/D",INDEX(Movimientos!$M$2:$M$1993,MATCH(A782&amp;"ENTRADA",Movimientos!$R$2:$R$1993,0))),"S/D")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3123</v>
      </c>
      <c r="B783" s="2" t="str">
        <f>IFERROR(INDEX(Movimientos!$C$2:$C$1993,MATCH(A783&amp;"ENTRADA",Movimientos!$R$2:$R$1993,0)),"-")</f>
        <v>-</v>
      </c>
      <c r="C783" s="2" t="str">
        <f>IFERROR(INDEX(Movimientos!$D$2:$D$1993,MATCH(A783&amp;"ENTRADA",Movimientos!$R$2:$R$1993,0)),"-")</f>
        <v>-</v>
      </c>
      <c r="D783" s="2" t="str">
        <f>IFERROR(INDEX(Movimientos!$E$2:$E$1993,MATCH(A783&amp;"ENTRADA",Movimientos!$R$2:$R$1993,0)),"-")</f>
        <v>-</v>
      </c>
      <c r="E783" s="2" t="str">
        <f>IFERROR(INDEX(Movimientos!$F$2:$F$1993,MATCH(A783&amp;"ENTRADA",Movimientos!$R$2:$R$1993,0)),"-")</f>
        <v>-</v>
      </c>
      <c r="F783" s="2" t="str">
        <f>IFERROR(INDEX(Movimientos!$G$2:$G$1993,MATCH(A783&amp;"ENTRADA",Movimientos!$R$2:$R$1993,0)),"-")</f>
        <v>-</v>
      </c>
      <c r="G783" s="2" t="str">
        <f>IFERROR(INDEX(Movimientos!$L$2:$L$1993,MATCH(A783&amp;"ENTRADA",Movimientos!$R$2:$R$1993,0)),"-")</f>
        <v>-</v>
      </c>
      <c r="H783" s="17" t="str">
        <f>IFERROR(IF(INDEX(Movimientos!$M$2:$M$1993,MATCH(A783&amp;"ENTRADA",Movimientos!$R$2:$R$1993,0))=0,"S/D",INDEX(Movimientos!$M$2:$M$1993,MATCH(A783&amp;"ENTRADA",Movimientos!$R$2:$R$1993,0))),"S/D")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3124</v>
      </c>
      <c r="B784" s="2" t="str">
        <f>IFERROR(INDEX(Movimientos!$C$2:$C$1993,MATCH(A784&amp;"ENTRADA",Movimientos!$R$2:$R$1993,0)),"-")</f>
        <v>-</v>
      </c>
      <c r="C784" s="2" t="str">
        <f>IFERROR(INDEX(Movimientos!$D$2:$D$1993,MATCH(A784&amp;"ENTRADA",Movimientos!$R$2:$R$1993,0)),"-")</f>
        <v>-</v>
      </c>
      <c r="D784" s="2" t="str">
        <f>IFERROR(INDEX(Movimientos!$E$2:$E$1993,MATCH(A784&amp;"ENTRADA",Movimientos!$R$2:$R$1993,0)),"-")</f>
        <v>-</v>
      </c>
      <c r="E784" s="2" t="str">
        <f>IFERROR(INDEX(Movimientos!$F$2:$F$1993,MATCH(A784&amp;"ENTRADA",Movimientos!$R$2:$R$1993,0)),"-")</f>
        <v>-</v>
      </c>
      <c r="F784" s="2" t="str">
        <f>IFERROR(INDEX(Movimientos!$G$2:$G$1993,MATCH(A784&amp;"ENTRADA",Movimientos!$R$2:$R$1993,0)),"-")</f>
        <v>-</v>
      </c>
      <c r="G784" s="2" t="str">
        <f>IFERROR(INDEX(Movimientos!$L$2:$L$1993,MATCH(A784&amp;"ENTRADA",Movimientos!$R$2:$R$1993,0)),"-")</f>
        <v>-</v>
      </c>
      <c r="H784" s="17" t="str">
        <f>IFERROR(IF(INDEX(Movimientos!$M$2:$M$1993,MATCH(A784&amp;"ENTRADA",Movimientos!$R$2:$R$1993,0))=0,"S/D",INDEX(Movimientos!$M$2:$M$1993,MATCH(A784&amp;"ENTRADA",Movimientos!$R$2:$R$1993,0))),"S/D")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3125</v>
      </c>
      <c r="B785" s="2" t="str">
        <f>IFERROR(INDEX(Movimientos!$C$2:$C$1993,MATCH(A785&amp;"ENTRADA",Movimientos!$R$2:$R$1993,0)),"-")</f>
        <v>-</v>
      </c>
      <c r="C785" s="2" t="str">
        <f>IFERROR(INDEX(Movimientos!$D$2:$D$1993,MATCH(A785&amp;"ENTRADA",Movimientos!$R$2:$R$1993,0)),"-")</f>
        <v>-</v>
      </c>
      <c r="D785" s="2" t="str">
        <f>IFERROR(INDEX(Movimientos!$E$2:$E$1993,MATCH(A785&amp;"ENTRADA",Movimientos!$R$2:$R$1993,0)),"-")</f>
        <v>-</v>
      </c>
      <c r="E785" s="2" t="str">
        <f>IFERROR(INDEX(Movimientos!$F$2:$F$1993,MATCH(A785&amp;"ENTRADA",Movimientos!$R$2:$R$1993,0)),"-")</f>
        <v>-</v>
      </c>
      <c r="F785" s="2" t="str">
        <f>IFERROR(INDEX(Movimientos!$G$2:$G$1993,MATCH(A785&amp;"ENTRADA",Movimientos!$R$2:$R$1993,0)),"-")</f>
        <v>-</v>
      </c>
      <c r="G785" s="2" t="str">
        <f>IFERROR(INDEX(Movimientos!$L$2:$L$1993,MATCH(A785&amp;"ENTRADA",Movimientos!$R$2:$R$1993,0)),"-")</f>
        <v>-</v>
      </c>
      <c r="H785" s="17" t="str">
        <f>IFERROR(IF(INDEX(Movimientos!$M$2:$M$1993,MATCH(A785&amp;"ENTRADA",Movimientos!$R$2:$R$1993,0))=0,"S/D",INDEX(Movimientos!$M$2:$M$1993,MATCH(A785&amp;"ENTRADA",Movimientos!$R$2:$R$1993,0))),"S/D")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3126</v>
      </c>
      <c r="B786" s="2" t="str">
        <f>IFERROR(INDEX(Movimientos!$C$2:$C$1993,MATCH(A786&amp;"ENTRADA",Movimientos!$R$2:$R$1993,0)),"-")</f>
        <v>-</v>
      </c>
      <c r="C786" s="2" t="str">
        <f>IFERROR(INDEX(Movimientos!$D$2:$D$1993,MATCH(A786&amp;"ENTRADA",Movimientos!$R$2:$R$1993,0)),"-")</f>
        <v>-</v>
      </c>
      <c r="D786" s="2" t="str">
        <f>IFERROR(INDEX(Movimientos!$E$2:$E$1993,MATCH(A786&amp;"ENTRADA",Movimientos!$R$2:$R$1993,0)),"-")</f>
        <v>-</v>
      </c>
      <c r="E786" s="2" t="str">
        <f>IFERROR(INDEX(Movimientos!$F$2:$F$1993,MATCH(A786&amp;"ENTRADA",Movimientos!$R$2:$R$1993,0)),"-")</f>
        <v>-</v>
      </c>
      <c r="F786" s="2" t="str">
        <f>IFERROR(INDEX(Movimientos!$G$2:$G$1993,MATCH(A786&amp;"ENTRADA",Movimientos!$R$2:$R$1993,0)),"-")</f>
        <v>-</v>
      </c>
      <c r="G786" s="2" t="str">
        <f>IFERROR(INDEX(Movimientos!$L$2:$L$1993,MATCH(A786&amp;"ENTRADA",Movimientos!$R$2:$R$1993,0)),"-")</f>
        <v>-</v>
      </c>
      <c r="H786" s="17" t="str">
        <f>IFERROR(IF(INDEX(Movimientos!$M$2:$M$1993,MATCH(A786&amp;"ENTRADA",Movimientos!$R$2:$R$1993,0))=0,"S/D",INDEX(Movimientos!$M$2:$M$1993,MATCH(A786&amp;"ENTRADA",Movimientos!$R$2:$R$1993,0))),"S/D")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3127</v>
      </c>
      <c r="B787" s="2" t="str">
        <f>IFERROR(INDEX(Movimientos!$C$2:$C$1993,MATCH(A787&amp;"ENTRADA",Movimientos!$R$2:$R$1993,0)),"-")</f>
        <v>-</v>
      </c>
      <c r="C787" s="2" t="str">
        <f>IFERROR(INDEX(Movimientos!$D$2:$D$1993,MATCH(A787&amp;"ENTRADA",Movimientos!$R$2:$R$1993,0)),"-")</f>
        <v>-</v>
      </c>
      <c r="D787" s="2" t="str">
        <f>IFERROR(INDEX(Movimientos!$E$2:$E$1993,MATCH(A787&amp;"ENTRADA",Movimientos!$R$2:$R$1993,0)),"-")</f>
        <v>-</v>
      </c>
      <c r="E787" s="2" t="str">
        <f>IFERROR(INDEX(Movimientos!$F$2:$F$1993,MATCH(A787&amp;"ENTRADA",Movimientos!$R$2:$R$1993,0)),"-")</f>
        <v>-</v>
      </c>
      <c r="F787" s="2" t="str">
        <f>IFERROR(INDEX(Movimientos!$G$2:$G$1993,MATCH(A787&amp;"ENTRADA",Movimientos!$R$2:$R$1993,0)),"-")</f>
        <v>-</v>
      </c>
      <c r="G787" s="2" t="str">
        <f>IFERROR(INDEX(Movimientos!$L$2:$L$1993,MATCH(A787&amp;"ENTRADA",Movimientos!$R$2:$R$1993,0)),"-")</f>
        <v>-</v>
      </c>
      <c r="H787" s="17" t="str">
        <f>IFERROR(IF(INDEX(Movimientos!$M$2:$M$1993,MATCH(A787&amp;"ENTRADA",Movimientos!$R$2:$R$1993,0))=0,"S/D",INDEX(Movimientos!$M$2:$M$1993,MATCH(A787&amp;"ENTRADA",Movimientos!$R$2:$R$1993,0))),"S/D")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3128</v>
      </c>
      <c r="B788" s="2" t="str">
        <f>IFERROR(INDEX(Movimientos!$C$2:$C$1993,MATCH(A788&amp;"ENTRADA",Movimientos!$R$2:$R$1993,0)),"-")</f>
        <v>-</v>
      </c>
      <c r="C788" s="2" t="str">
        <f>IFERROR(INDEX(Movimientos!$D$2:$D$1993,MATCH(A788&amp;"ENTRADA",Movimientos!$R$2:$R$1993,0)),"-")</f>
        <v>-</v>
      </c>
      <c r="D788" s="2" t="str">
        <f>IFERROR(INDEX(Movimientos!$E$2:$E$1993,MATCH(A788&amp;"ENTRADA",Movimientos!$R$2:$R$1993,0)),"-")</f>
        <v>-</v>
      </c>
      <c r="E788" s="2" t="str">
        <f>IFERROR(INDEX(Movimientos!$F$2:$F$1993,MATCH(A788&amp;"ENTRADA",Movimientos!$R$2:$R$1993,0)),"-")</f>
        <v>-</v>
      </c>
      <c r="F788" s="2" t="str">
        <f>IFERROR(INDEX(Movimientos!$G$2:$G$1993,MATCH(A788&amp;"ENTRADA",Movimientos!$R$2:$R$1993,0)),"-")</f>
        <v>-</v>
      </c>
      <c r="G788" s="2" t="str">
        <f>IFERROR(INDEX(Movimientos!$L$2:$L$1993,MATCH(A788&amp;"ENTRADA",Movimientos!$R$2:$R$1993,0)),"-")</f>
        <v>-</v>
      </c>
      <c r="H788" s="17" t="str">
        <f>IFERROR(IF(INDEX(Movimientos!$M$2:$M$1993,MATCH(A788&amp;"ENTRADA",Movimientos!$R$2:$R$1993,0))=0,"S/D",INDEX(Movimientos!$M$2:$M$1993,MATCH(A788&amp;"ENTRADA",Movimientos!$R$2:$R$1993,0))),"S/D")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3129</v>
      </c>
      <c r="B789" s="2" t="str">
        <f>IFERROR(INDEX(Movimientos!$C$2:$C$1993,MATCH(A789&amp;"ENTRADA",Movimientos!$R$2:$R$1993,0)),"-")</f>
        <v>-</v>
      </c>
      <c r="C789" s="2" t="str">
        <f>IFERROR(INDEX(Movimientos!$D$2:$D$1993,MATCH(A789&amp;"ENTRADA",Movimientos!$R$2:$R$1993,0)),"-")</f>
        <v>-</v>
      </c>
      <c r="D789" s="2" t="str">
        <f>IFERROR(INDEX(Movimientos!$E$2:$E$1993,MATCH(A789&amp;"ENTRADA",Movimientos!$R$2:$R$1993,0)),"-")</f>
        <v>-</v>
      </c>
      <c r="E789" s="2" t="str">
        <f>IFERROR(INDEX(Movimientos!$F$2:$F$1993,MATCH(A789&amp;"ENTRADA",Movimientos!$R$2:$R$1993,0)),"-")</f>
        <v>-</v>
      </c>
      <c r="F789" s="2" t="str">
        <f>IFERROR(INDEX(Movimientos!$G$2:$G$1993,MATCH(A789&amp;"ENTRADA",Movimientos!$R$2:$R$1993,0)),"-")</f>
        <v>-</v>
      </c>
      <c r="G789" s="2" t="str">
        <f>IFERROR(INDEX(Movimientos!$L$2:$L$1993,MATCH(A789&amp;"ENTRADA",Movimientos!$R$2:$R$1993,0)),"-")</f>
        <v>-</v>
      </c>
      <c r="H789" s="17" t="str">
        <f>IFERROR(IF(INDEX(Movimientos!$M$2:$M$1993,MATCH(A789&amp;"ENTRADA",Movimientos!$R$2:$R$1993,0))=0,"S/D",INDEX(Movimientos!$M$2:$M$1993,MATCH(A789&amp;"ENTRADA",Movimientos!$R$2:$R$1993,0))),"S/D")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3130</v>
      </c>
      <c r="B790" s="2" t="str">
        <f>IFERROR(INDEX(Movimientos!$C$2:$C$1993,MATCH(A790&amp;"ENTRADA",Movimientos!$R$2:$R$1993,0)),"-")</f>
        <v>-</v>
      </c>
      <c r="C790" s="2" t="str">
        <f>IFERROR(INDEX(Movimientos!$D$2:$D$1993,MATCH(A790&amp;"ENTRADA",Movimientos!$R$2:$R$1993,0)),"-")</f>
        <v>-</v>
      </c>
      <c r="D790" s="2" t="str">
        <f>IFERROR(INDEX(Movimientos!$E$2:$E$1993,MATCH(A790&amp;"ENTRADA",Movimientos!$R$2:$R$1993,0)),"-")</f>
        <v>-</v>
      </c>
      <c r="E790" s="2" t="str">
        <f>IFERROR(INDEX(Movimientos!$F$2:$F$1993,MATCH(A790&amp;"ENTRADA",Movimientos!$R$2:$R$1993,0)),"-")</f>
        <v>-</v>
      </c>
      <c r="F790" s="2" t="str">
        <f>IFERROR(INDEX(Movimientos!$G$2:$G$1993,MATCH(A790&amp;"ENTRADA",Movimientos!$R$2:$R$1993,0)),"-")</f>
        <v>-</v>
      </c>
      <c r="G790" s="2" t="str">
        <f>IFERROR(INDEX(Movimientos!$L$2:$L$1993,MATCH(A790&amp;"ENTRADA",Movimientos!$R$2:$R$1993,0)),"-")</f>
        <v>-</v>
      </c>
      <c r="H790" s="17" t="str">
        <f>IFERROR(IF(INDEX(Movimientos!$M$2:$M$1993,MATCH(A790&amp;"ENTRADA",Movimientos!$R$2:$R$1993,0))=0,"S/D",INDEX(Movimientos!$M$2:$M$1993,MATCH(A790&amp;"ENTRADA",Movimientos!$R$2:$R$1993,0))),"S/D")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3131</v>
      </c>
      <c r="B791" s="2" t="str">
        <f>IFERROR(INDEX(Movimientos!$C$2:$C$1993,MATCH(A791&amp;"ENTRADA",Movimientos!$R$2:$R$1993,0)),"-")</f>
        <v>-</v>
      </c>
      <c r="C791" s="2" t="str">
        <f>IFERROR(INDEX(Movimientos!$D$2:$D$1993,MATCH(A791&amp;"ENTRADA",Movimientos!$R$2:$R$1993,0)),"-")</f>
        <v>-</v>
      </c>
      <c r="D791" s="2" t="str">
        <f>IFERROR(INDEX(Movimientos!$E$2:$E$1993,MATCH(A791&amp;"ENTRADA",Movimientos!$R$2:$R$1993,0)),"-")</f>
        <v>-</v>
      </c>
      <c r="E791" s="2" t="str">
        <f>IFERROR(INDEX(Movimientos!$F$2:$F$1993,MATCH(A791&amp;"ENTRADA",Movimientos!$R$2:$R$1993,0)),"-")</f>
        <v>-</v>
      </c>
      <c r="F791" s="2" t="str">
        <f>IFERROR(INDEX(Movimientos!$G$2:$G$1993,MATCH(A791&amp;"ENTRADA",Movimientos!$R$2:$R$1993,0)),"-")</f>
        <v>-</v>
      </c>
      <c r="G791" s="2" t="str">
        <f>IFERROR(INDEX(Movimientos!$L$2:$L$1993,MATCH(A791&amp;"ENTRADA",Movimientos!$R$2:$R$1993,0)),"-")</f>
        <v>-</v>
      </c>
      <c r="H791" s="17" t="str">
        <f>IFERROR(IF(INDEX(Movimientos!$M$2:$M$1993,MATCH(A791&amp;"ENTRADA",Movimientos!$R$2:$R$1993,0))=0,"S/D",INDEX(Movimientos!$M$2:$M$1993,MATCH(A791&amp;"ENTRADA",Movimientos!$R$2:$R$1993,0))),"S/D")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3132</v>
      </c>
      <c r="B792" s="2" t="str">
        <f>IFERROR(INDEX(Movimientos!$C$2:$C$1993,MATCH(A792&amp;"ENTRADA",Movimientos!$R$2:$R$1993,0)),"-")</f>
        <v>-</v>
      </c>
      <c r="C792" s="2" t="str">
        <f>IFERROR(INDEX(Movimientos!$D$2:$D$1993,MATCH(A792&amp;"ENTRADA",Movimientos!$R$2:$R$1993,0)),"-")</f>
        <v>-</v>
      </c>
      <c r="D792" s="2" t="str">
        <f>IFERROR(INDEX(Movimientos!$E$2:$E$1993,MATCH(A792&amp;"ENTRADA",Movimientos!$R$2:$R$1993,0)),"-")</f>
        <v>-</v>
      </c>
      <c r="E792" s="2" t="str">
        <f>IFERROR(INDEX(Movimientos!$F$2:$F$1993,MATCH(A792&amp;"ENTRADA",Movimientos!$R$2:$R$1993,0)),"-")</f>
        <v>-</v>
      </c>
      <c r="F792" s="2" t="str">
        <f>IFERROR(INDEX(Movimientos!$G$2:$G$1993,MATCH(A792&amp;"ENTRADA",Movimientos!$R$2:$R$1993,0)),"-")</f>
        <v>-</v>
      </c>
      <c r="G792" s="2" t="str">
        <f>IFERROR(INDEX(Movimientos!$L$2:$L$1993,MATCH(A792&amp;"ENTRADA",Movimientos!$R$2:$R$1993,0)),"-")</f>
        <v>-</v>
      </c>
      <c r="H792" s="17" t="str">
        <f>IFERROR(IF(INDEX(Movimientos!$M$2:$M$1993,MATCH(A792&amp;"ENTRADA",Movimientos!$R$2:$R$1993,0))=0,"S/D",INDEX(Movimientos!$M$2:$M$1993,MATCH(A792&amp;"ENTRADA",Movimientos!$R$2:$R$1993,0))),"S/D")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3133</v>
      </c>
      <c r="B793" s="2" t="str">
        <f>IFERROR(INDEX(Movimientos!$C$2:$C$1993,MATCH(A793&amp;"ENTRADA",Movimientos!$R$2:$R$1993,0)),"-")</f>
        <v>-</v>
      </c>
      <c r="C793" s="2" t="str">
        <f>IFERROR(INDEX(Movimientos!$D$2:$D$1993,MATCH(A793&amp;"ENTRADA",Movimientos!$R$2:$R$1993,0)),"-")</f>
        <v>-</v>
      </c>
      <c r="D793" s="2" t="str">
        <f>IFERROR(INDEX(Movimientos!$E$2:$E$1993,MATCH(A793&amp;"ENTRADA",Movimientos!$R$2:$R$1993,0)),"-")</f>
        <v>-</v>
      </c>
      <c r="E793" s="2" t="str">
        <f>IFERROR(INDEX(Movimientos!$F$2:$F$1993,MATCH(A793&amp;"ENTRADA",Movimientos!$R$2:$R$1993,0)),"-")</f>
        <v>-</v>
      </c>
      <c r="F793" s="2" t="str">
        <f>IFERROR(INDEX(Movimientos!$G$2:$G$1993,MATCH(A793&amp;"ENTRADA",Movimientos!$R$2:$R$1993,0)),"-")</f>
        <v>-</v>
      </c>
      <c r="G793" s="2" t="str">
        <f>IFERROR(INDEX(Movimientos!$L$2:$L$1993,MATCH(A793&amp;"ENTRADA",Movimientos!$R$2:$R$1993,0)),"-")</f>
        <v>-</v>
      </c>
      <c r="H793" s="17" t="str">
        <f>IFERROR(IF(INDEX(Movimientos!$M$2:$M$1993,MATCH(A793&amp;"ENTRADA",Movimientos!$R$2:$R$1993,0))=0,"S/D",INDEX(Movimientos!$M$2:$M$1993,MATCH(A793&amp;"ENTRADA",Movimientos!$R$2:$R$1993,0))),"S/D")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3134</v>
      </c>
      <c r="B794" s="2" t="str">
        <f>IFERROR(INDEX(Movimientos!$C$2:$C$1993,MATCH(A794&amp;"ENTRADA",Movimientos!$R$2:$R$1993,0)),"-")</f>
        <v>-</v>
      </c>
      <c r="C794" s="2" t="str">
        <f>IFERROR(INDEX(Movimientos!$D$2:$D$1993,MATCH(A794&amp;"ENTRADA",Movimientos!$R$2:$R$1993,0)),"-")</f>
        <v>-</v>
      </c>
      <c r="D794" s="2" t="str">
        <f>IFERROR(INDEX(Movimientos!$E$2:$E$1993,MATCH(A794&amp;"ENTRADA",Movimientos!$R$2:$R$1993,0)),"-")</f>
        <v>-</v>
      </c>
      <c r="E794" s="2" t="str">
        <f>IFERROR(INDEX(Movimientos!$F$2:$F$1993,MATCH(A794&amp;"ENTRADA",Movimientos!$R$2:$R$1993,0)),"-")</f>
        <v>-</v>
      </c>
      <c r="F794" s="2" t="str">
        <f>IFERROR(INDEX(Movimientos!$G$2:$G$1993,MATCH(A794&amp;"ENTRADA",Movimientos!$R$2:$R$1993,0)),"-")</f>
        <v>-</v>
      </c>
      <c r="G794" s="2" t="str">
        <f>IFERROR(INDEX(Movimientos!$L$2:$L$1993,MATCH(A794&amp;"ENTRADA",Movimientos!$R$2:$R$1993,0)),"-")</f>
        <v>-</v>
      </c>
      <c r="H794" s="17" t="str">
        <f>IFERROR(IF(INDEX(Movimientos!$M$2:$M$1993,MATCH(A794&amp;"ENTRADA",Movimientos!$R$2:$R$1993,0))=0,"S/D",INDEX(Movimientos!$M$2:$M$1993,MATCH(A794&amp;"ENTRADA",Movimientos!$R$2:$R$1993,0))),"S/D")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3135</v>
      </c>
      <c r="B795" s="2" t="str">
        <f>IFERROR(INDEX(Movimientos!$C$2:$C$1993,MATCH(A795&amp;"ENTRADA",Movimientos!$R$2:$R$1993,0)),"-")</f>
        <v>-</v>
      </c>
      <c r="C795" s="2" t="str">
        <f>IFERROR(INDEX(Movimientos!$D$2:$D$1993,MATCH(A795&amp;"ENTRADA",Movimientos!$R$2:$R$1993,0)),"-")</f>
        <v>-</v>
      </c>
      <c r="D795" s="2" t="str">
        <f>IFERROR(INDEX(Movimientos!$E$2:$E$1993,MATCH(A795&amp;"ENTRADA",Movimientos!$R$2:$R$1993,0)),"-")</f>
        <v>-</v>
      </c>
      <c r="E795" s="2" t="str">
        <f>IFERROR(INDEX(Movimientos!$F$2:$F$1993,MATCH(A795&amp;"ENTRADA",Movimientos!$R$2:$R$1993,0)),"-")</f>
        <v>-</v>
      </c>
      <c r="F795" s="2" t="str">
        <f>IFERROR(INDEX(Movimientos!$G$2:$G$1993,MATCH(A795&amp;"ENTRADA",Movimientos!$R$2:$R$1993,0)),"-")</f>
        <v>-</v>
      </c>
      <c r="G795" s="2" t="str">
        <f>IFERROR(INDEX(Movimientos!$L$2:$L$1993,MATCH(A795&amp;"ENTRADA",Movimientos!$R$2:$R$1993,0)),"-")</f>
        <v>-</v>
      </c>
      <c r="H795" s="17" t="str">
        <f>IFERROR(IF(INDEX(Movimientos!$M$2:$M$1993,MATCH(A795&amp;"ENTRADA",Movimientos!$R$2:$R$1993,0))=0,"S/D",INDEX(Movimientos!$M$2:$M$1993,MATCH(A795&amp;"ENTRADA",Movimientos!$R$2:$R$1993,0))),"S/D")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3136</v>
      </c>
      <c r="B796" s="2" t="str">
        <f>IFERROR(INDEX(Movimientos!$C$2:$C$1993,MATCH(A796&amp;"ENTRADA",Movimientos!$R$2:$R$1993,0)),"-")</f>
        <v>-</v>
      </c>
      <c r="C796" s="2" t="str">
        <f>IFERROR(INDEX(Movimientos!$D$2:$D$1993,MATCH(A796&amp;"ENTRADA",Movimientos!$R$2:$R$1993,0)),"-")</f>
        <v>-</v>
      </c>
      <c r="D796" s="2" t="str">
        <f>IFERROR(INDEX(Movimientos!$E$2:$E$1993,MATCH(A796&amp;"ENTRADA",Movimientos!$R$2:$R$1993,0)),"-")</f>
        <v>-</v>
      </c>
      <c r="E796" s="2" t="str">
        <f>IFERROR(INDEX(Movimientos!$F$2:$F$1993,MATCH(A796&amp;"ENTRADA",Movimientos!$R$2:$R$1993,0)),"-")</f>
        <v>-</v>
      </c>
      <c r="F796" s="2" t="str">
        <f>IFERROR(INDEX(Movimientos!$G$2:$G$1993,MATCH(A796&amp;"ENTRADA",Movimientos!$R$2:$R$1993,0)),"-")</f>
        <v>-</v>
      </c>
      <c r="G796" s="2" t="str">
        <f>IFERROR(INDEX(Movimientos!$L$2:$L$1993,MATCH(A796&amp;"ENTRADA",Movimientos!$R$2:$R$1993,0)),"-")</f>
        <v>-</v>
      </c>
      <c r="H796" s="17" t="str">
        <f>IFERROR(IF(INDEX(Movimientos!$M$2:$M$1993,MATCH(A796&amp;"ENTRADA",Movimientos!$R$2:$R$1993,0))=0,"S/D",INDEX(Movimientos!$M$2:$M$1993,MATCH(A796&amp;"ENTRADA",Movimientos!$R$2:$R$1993,0))),"S/D")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3137</v>
      </c>
      <c r="B797" s="2" t="str">
        <f>IFERROR(INDEX(Movimientos!$C$2:$C$1993,MATCH(A797&amp;"ENTRADA",Movimientos!$R$2:$R$1993,0)),"-")</f>
        <v>-</v>
      </c>
      <c r="C797" s="2" t="str">
        <f>IFERROR(INDEX(Movimientos!$D$2:$D$1993,MATCH(A797&amp;"ENTRADA",Movimientos!$R$2:$R$1993,0)),"-")</f>
        <v>-</v>
      </c>
      <c r="D797" s="2" t="str">
        <f>IFERROR(INDEX(Movimientos!$E$2:$E$1993,MATCH(A797&amp;"ENTRADA",Movimientos!$R$2:$R$1993,0)),"-")</f>
        <v>-</v>
      </c>
      <c r="E797" s="2" t="str">
        <f>IFERROR(INDEX(Movimientos!$F$2:$F$1993,MATCH(A797&amp;"ENTRADA",Movimientos!$R$2:$R$1993,0)),"-")</f>
        <v>-</v>
      </c>
      <c r="F797" s="2" t="str">
        <f>IFERROR(INDEX(Movimientos!$G$2:$G$1993,MATCH(A797&amp;"ENTRADA",Movimientos!$R$2:$R$1993,0)),"-")</f>
        <v>-</v>
      </c>
      <c r="G797" s="2" t="str">
        <f>IFERROR(INDEX(Movimientos!$L$2:$L$1993,MATCH(A797&amp;"ENTRADA",Movimientos!$R$2:$R$1993,0)),"-")</f>
        <v>-</v>
      </c>
      <c r="H797" s="17" t="str">
        <f>IFERROR(IF(INDEX(Movimientos!$M$2:$M$1993,MATCH(A797&amp;"ENTRADA",Movimientos!$R$2:$R$1993,0))=0,"S/D",INDEX(Movimientos!$M$2:$M$1993,MATCH(A797&amp;"ENTRADA",Movimientos!$R$2:$R$1993,0))),"S/D")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3138</v>
      </c>
      <c r="B798" s="2" t="str">
        <f>IFERROR(INDEX(Movimientos!$C$2:$C$1993,MATCH(A798&amp;"ENTRADA",Movimientos!$R$2:$R$1993,0)),"-")</f>
        <v>-</v>
      </c>
      <c r="C798" s="2" t="str">
        <f>IFERROR(INDEX(Movimientos!$D$2:$D$1993,MATCH(A798&amp;"ENTRADA",Movimientos!$R$2:$R$1993,0)),"-")</f>
        <v>-</v>
      </c>
      <c r="D798" s="2" t="str">
        <f>IFERROR(INDEX(Movimientos!$E$2:$E$1993,MATCH(A798&amp;"ENTRADA",Movimientos!$R$2:$R$1993,0)),"-")</f>
        <v>-</v>
      </c>
      <c r="E798" s="2" t="str">
        <f>IFERROR(INDEX(Movimientos!$F$2:$F$1993,MATCH(A798&amp;"ENTRADA",Movimientos!$R$2:$R$1993,0)),"-")</f>
        <v>-</v>
      </c>
      <c r="F798" s="2" t="str">
        <f>IFERROR(INDEX(Movimientos!$G$2:$G$1993,MATCH(A798&amp;"ENTRADA",Movimientos!$R$2:$R$1993,0)),"-")</f>
        <v>-</v>
      </c>
      <c r="G798" s="2" t="str">
        <f>IFERROR(INDEX(Movimientos!$L$2:$L$1993,MATCH(A798&amp;"ENTRADA",Movimientos!$R$2:$R$1993,0)),"-")</f>
        <v>-</v>
      </c>
      <c r="H798" s="17" t="str">
        <f>IFERROR(IF(INDEX(Movimientos!$M$2:$M$1993,MATCH(A798&amp;"ENTRADA",Movimientos!$R$2:$R$1993,0))=0,"S/D",INDEX(Movimientos!$M$2:$M$1993,MATCH(A798&amp;"ENTRADA",Movimientos!$R$2:$R$1993,0))),"S/D")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3139</v>
      </c>
      <c r="B799" s="2" t="str">
        <f>IFERROR(INDEX(Movimientos!$C$2:$C$1993,MATCH(A799&amp;"ENTRADA",Movimientos!$R$2:$R$1993,0)),"-")</f>
        <v>-</v>
      </c>
      <c r="C799" s="2" t="str">
        <f>IFERROR(INDEX(Movimientos!$D$2:$D$1993,MATCH(A799&amp;"ENTRADA",Movimientos!$R$2:$R$1993,0)),"-")</f>
        <v>-</v>
      </c>
      <c r="D799" s="2" t="str">
        <f>IFERROR(INDEX(Movimientos!$E$2:$E$1993,MATCH(A799&amp;"ENTRADA",Movimientos!$R$2:$R$1993,0)),"-")</f>
        <v>-</v>
      </c>
      <c r="E799" s="2" t="str">
        <f>IFERROR(INDEX(Movimientos!$F$2:$F$1993,MATCH(A799&amp;"ENTRADA",Movimientos!$R$2:$R$1993,0)),"-")</f>
        <v>-</v>
      </c>
      <c r="F799" s="2" t="str">
        <f>IFERROR(INDEX(Movimientos!$G$2:$G$1993,MATCH(A799&amp;"ENTRADA",Movimientos!$R$2:$R$1993,0)),"-")</f>
        <v>-</v>
      </c>
      <c r="G799" s="2" t="str">
        <f>IFERROR(INDEX(Movimientos!$L$2:$L$1993,MATCH(A799&amp;"ENTRADA",Movimientos!$R$2:$R$1993,0)),"-")</f>
        <v>-</v>
      </c>
      <c r="H799" s="17" t="str">
        <f>IFERROR(IF(INDEX(Movimientos!$M$2:$M$1993,MATCH(A799&amp;"ENTRADA",Movimientos!$R$2:$R$1993,0))=0,"S/D",INDEX(Movimientos!$M$2:$M$1993,MATCH(A799&amp;"ENTRADA",Movimientos!$R$2:$R$1993,0))),"S/D")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3140</v>
      </c>
      <c r="B800" s="2" t="str">
        <f>IFERROR(INDEX(Movimientos!$C$2:$C$1993,MATCH(A800&amp;"ENTRADA",Movimientos!$R$2:$R$1993,0)),"-")</f>
        <v>-</v>
      </c>
      <c r="C800" s="2" t="str">
        <f>IFERROR(INDEX(Movimientos!$D$2:$D$1993,MATCH(A800&amp;"ENTRADA",Movimientos!$R$2:$R$1993,0)),"-")</f>
        <v>-</v>
      </c>
      <c r="D800" s="2" t="str">
        <f>IFERROR(INDEX(Movimientos!$E$2:$E$1993,MATCH(A800&amp;"ENTRADA",Movimientos!$R$2:$R$1993,0)),"-")</f>
        <v>-</v>
      </c>
      <c r="E800" s="2" t="str">
        <f>IFERROR(INDEX(Movimientos!$F$2:$F$1993,MATCH(A800&amp;"ENTRADA",Movimientos!$R$2:$R$1993,0)),"-")</f>
        <v>-</v>
      </c>
      <c r="F800" s="2" t="str">
        <f>IFERROR(INDEX(Movimientos!$G$2:$G$1993,MATCH(A800&amp;"ENTRADA",Movimientos!$R$2:$R$1993,0)),"-")</f>
        <v>-</v>
      </c>
      <c r="G800" s="2" t="str">
        <f>IFERROR(INDEX(Movimientos!$L$2:$L$1993,MATCH(A800&amp;"ENTRADA",Movimientos!$R$2:$R$1993,0)),"-")</f>
        <v>-</v>
      </c>
      <c r="H800" s="17" t="str">
        <f>IFERROR(IF(INDEX(Movimientos!$M$2:$M$1993,MATCH(A800&amp;"ENTRADA",Movimientos!$R$2:$R$1993,0))=0,"S/D",INDEX(Movimientos!$M$2:$M$1993,MATCH(A800&amp;"ENTRADA",Movimientos!$R$2:$R$1993,0))),"S/D")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3141</v>
      </c>
      <c r="B801" s="2" t="str">
        <f>IFERROR(INDEX(Movimientos!$C$2:$C$1993,MATCH(A801&amp;"ENTRADA",Movimientos!$R$2:$R$1993,0)),"-")</f>
        <v>-</v>
      </c>
      <c r="C801" s="2" t="str">
        <f>IFERROR(INDEX(Movimientos!$D$2:$D$1993,MATCH(A801&amp;"ENTRADA",Movimientos!$R$2:$R$1993,0)),"-")</f>
        <v>-</v>
      </c>
      <c r="D801" s="2" t="str">
        <f>IFERROR(INDEX(Movimientos!$E$2:$E$1993,MATCH(A801&amp;"ENTRADA",Movimientos!$R$2:$R$1993,0)),"-")</f>
        <v>-</v>
      </c>
      <c r="E801" s="2" t="str">
        <f>IFERROR(INDEX(Movimientos!$F$2:$F$1993,MATCH(A801&amp;"ENTRADA",Movimientos!$R$2:$R$1993,0)),"-")</f>
        <v>-</v>
      </c>
      <c r="F801" s="2" t="str">
        <f>IFERROR(INDEX(Movimientos!$G$2:$G$1993,MATCH(A801&amp;"ENTRADA",Movimientos!$R$2:$R$1993,0)),"-")</f>
        <v>-</v>
      </c>
      <c r="G801" s="2" t="str">
        <f>IFERROR(INDEX(Movimientos!$L$2:$L$1993,MATCH(A801&amp;"ENTRADA",Movimientos!$R$2:$R$1993,0)),"-")</f>
        <v>-</v>
      </c>
      <c r="H801" s="17" t="str">
        <f>IFERROR(IF(INDEX(Movimientos!$M$2:$M$1993,MATCH(A801&amp;"ENTRADA",Movimientos!$R$2:$R$1993,0))=0,"S/D",INDEX(Movimientos!$M$2:$M$1993,MATCH(A801&amp;"ENTRADA",Movimientos!$R$2:$R$1993,0))),"S/D")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3142</v>
      </c>
      <c r="B802" s="2" t="str">
        <f>IFERROR(INDEX(Movimientos!$C$2:$C$1993,MATCH(A802&amp;"ENTRADA",Movimientos!$R$2:$R$1993,0)),"-")</f>
        <v>-</v>
      </c>
      <c r="C802" s="2" t="str">
        <f>IFERROR(INDEX(Movimientos!$D$2:$D$1993,MATCH(A802&amp;"ENTRADA",Movimientos!$R$2:$R$1993,0)),"-")</f>
        <v>-</v>
      </c>
      <c r="D802" s="2" t="str">
        <f>IFERROR(INDEX(Movimientos!$E$2:$E$1993,MATCH(A802&amp;"ENTRADA",Movimientos!$R$2:$R$1993,0)),"-")</f>
        <v>-</v>
      </c>
      <c r="E802" s="2" t="str">
        <f>IFERROR(INDEX(Movimientos!$F$2:$F$1993,MATCH(A802&amp;"ENTRADA",Movimientos!$R$2:$R$1993,0)),"-")</f>
        <v>-</v>
      </c>
      <c r="F802" s="2" t="str">
        <f>IFERROR(INDEX(Movimientos!$G$2:$G$1993,MATCH(A802&amp;"ENTRADA",Movimientos!$R$2:$R$1993,0)),"-")</f>
        <v>-</v>
      </c>
      <c r="G802" s="2" t="str">
        <f>IFERROR(INDEX(Movimientos!$L$2:$L$1993,MATCH(A802&amp;"ENTRADA",Movimientos!$R$2:$R$1993,0)),"-")</f>
        <v>-</v>
      </c>
      <c r="H802" s="17" t="str">
        <f>IFERROR(IF(INDEX(Movimientos!$M$2:$M$1993,MATCH(A802&amp;"ENTRADA",Movimientos!$R$2:$R$1993,0))=0,"S/D",INDEX(Movimientos!$M$2:$M$1993,MATCH(A802&amp;"ENTRADA",Movimientos!$R$2:$R$1993,0))),"S/D")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3143</v>
      </c>
      <c r="B803" s="2" t="str">
        <f>IFERROR(INDEX(Movimientos!$C$2:$C$1993,MATCH(A803&amp;"ENTRADA",Movimientos!$R$2:$R$1993,0)),"-")</f>
        <v>-</v>
      </c>
      <c r="C803" s="2" t="str">
        <f>IFERROR(INDEX(Movimientos!$D$2:$D$1993,MATCH(A803&amp;"ENTRADA",Movimientos!$R$2:$R$1993,0)),"-")</f>
        <v>-</v>
      </c>
      <c r="D803" s="2" t="str">
        <f>IFERROR(INDEX(Movimientos!$E$2:$E$1993,MATCH(A803&amp;"ENTRADA",Movimientos!$R$2:$R$1993,0)),"-")</f>
        <v>-</v>
      </c>
      <c r="E803" s="2" t="str">
        <f>IFERROR(INDEX(Movimientos!$F$2:$F$1993,MATCH(A803&amp;"ENTRADA",Movimientos!$R$2:$R$1993,0)),"-")</f>
        <v>-</v>
      </c>
      <c r="F803" s="2" t="str">
        <f>IFERROR(INDEX(Movimientos!$G$2:$G$1993,MATCH(A803&amp;"ENTRADA",Movimientos!$R$2:$R$1993,0)),"-")</f>
        <v>-</v>
      </c>
      <c r="G803" s="2" t="str">
        <f>IFERROR(INDEX(Movimientos!$L$2:$L$1993,MATCH(A803&amp;"ENTRADA",Movimientos!$R$2:$R$1993,0)),"-")</f>
        <v>-</v>
      </c>
      <c r="H803" s="17" t="str">
        <f>IFERROR(IF(INDEX(Movimientos!$M$2:$M$1993,MATCH(A803&amp;"ENTRADA",Movimientos!$R$2:$R$1993,0))=0,"S/D",INDEX(Movimientos!$M$2:$M$1993,MATCH(A803&amp;"ENTRADA",Movimientos!$R$2:$R$1993,0))),"S/D")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3144</v>
      </c>
      <c r="B804" s="2" t="str">
        <f>IFERROR(INDEX(Movimientos!$C$2:$C$1993,MATCH(A804&amp;"ENTRADA",Movimientos!$R$2:$R$1993,0)),"-")</f>
        <v>-</v>
      </c>
      <c r="C804" s="2" t="str">
        <f>IFERROR(INDEX(Movimientos!$D$2:$D$1993,MATCH(A804&amp;"ENTRADA",Movimientos!$R$2:$R$1993,0)),"-")</f>
        <v>-</v>
      </c>
      <c r="D804" s="2" t="str">
        <f>IFERROR(INDEX(Movimientos!$E$2:$E$1993,MATCH(A804&amp;"ENTRADA",Movimientos!$R$2:$R$1993,0)),"-")</f>
        <v>-</v>
      </c>
      <c r="E804" s="2" t="str">
        <f>IFERROR(INDEX(Movimientos!$F$2:$F$1993,MATCH(A804&amp;"ENTRADA",Movimientos!$R$2:$R$1993,0)),"-")</f>
        <v>-</v>
      </c>
      <c r="F804" s="2" t="str">
        <f>IFERROR(INDEX(Movimientos!$G$2:$G$1993,MATCH(A804&amp;"ENTRADA",Movimientos!$R$2:$R$1993,0)),"-")</f>
        <v>-</v>
      </c>
      <c r="G804" s="2" t="str">
        <f>IFERROR(INDEX(Movimientos!$L$2:$L$1993,MATCH(A804&amp;"ENTRADA",Movimientos!$R$2:$R$1993,0)),"-")</f>
        <v>-</v>
      </c>
      <c r="H804" s="17" t="str">
        <f>IFERROR(IF(INDEX(Movimientos!$M$2:$M$1993,MATCH(A804&amp;"ENTRADA",Movimientos!$R$2:$R$1993,0))=0,"S/D",INDEX(Movimientos!$M$2:$M$1993,MATCH(A804&amp;"ENTRADA",Movimientos!$R$2:$R$1993,0))),"S/D")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3145</v>
      </c>
      <c r="B805" s="2" t="str">
        <f>IFERROR(INDEX(Movimientos!$C$2:$C$1993,MATCH(A805&amp;"ENTRADA",Movimientos!$R$2:$R$1993,0)),"-")</f>
        <v>-</v>
      </c>
      <c r="C805" s="2" t="str">
        <f>IFERROR(INDEX(Movimientos!$D$2:$D$1993,MATCH(A805&amp;"ENTRADA",Movimientos!$R$2:$R$1993,0)),"-")</f>
        <v>-</v>
      </c>
      <c r="D805" s="2" t="str">
        <f>IFERROR(INDEX(Movimientos!$E$2:$E$1993,MATCH(A805&amp;"ENTRADA",Movimientos!$R$2:$R$1993,0)),"-")</f>
        <v>-</v>
      </c>
      <c r="E805" s="2" t="str">
        <f>IFERROR(INDEX(Movimientos!$F$2:$F$1993,MATCH(A805&amp;"ENTRADA",Movimientos!$R$2:$R$1993,0)),"-")</f>
        <v>-</v>
      </c>
      <c r="F805" s="2" t="str">
        <f>IFERROR(INDEX(Movimientos!$G$2:$G$1993,MATCH(A805&amp;"ENTRADA",Movimientos!$R$2:$R$1993,0)),"-")</f>
        <v>-</v>
      </c>
      <c r="G805" s="2" t="str">
        <f>IFERROR(INDEX(Movimientos!$L$2:$L$1993,MATCH(A805&amp;"ENTRADA",Movimientos!$R$2:$R$1993,0)),"-")</f>
        <v>-</v>
      </c>
      <c r="H805" s="17" t="str">
        <f>IFERROR(IF(INDEX(Movimientos!$M$2:$M$1993,MATCH(A805&amp;"ENTRADA",Movimientos!$R$2:$R$1993,0))=0,"S/D",INDEX(Movimientos!$M$2:$M$1993,MATCH(A805&amp;"ENTRADA",Movimientos!$R$2:$R$1993,0))),"S/D")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3146</v>
      </c>
      <c r="B806" s="2" t="str">
        <f>IFERROR(INDEX(Movimientos!$C$2:$C$1993,MATCH(A806&amp;"ENTRADA",Movimientos!$R$2:$R$1993,0)),"-")</f>
        <v>-</v>
      </c>
      <c r="C806" s="2" t="str">
        <f>IFERROR(INDEX(Movimientos!$D$2:$D$1993,MATCH(A806&amp;"ENTRADA",Movimientos!$R$2:$R$1993,0)),"-")</f>
        <v>-</v>
      </c>
      <c r="D806" s="2" t="str">
        <f>IFERROR(INDEX(Movimientos!$E$2:$E$1993,MATCH(A806&amp;"ENTRADA",Movimientos!$R$2:$R$1993,0)),"-")</f>
        <v>-</v>
      </c>
      <c r="E806" s="2" t="str">
        <f>IFERROR(INDEX(Movimientos!$F$2:$F$1993,MATCH(A806&amp;"ENTRADA",Movimientos!$R$2:$R$1993,0)),"-")</f>
        <v>-</v>
      </c>
      <c r="F806" s="2" t="str">
        <f>IFERROR(INDEX(Movimientos!$G$2:$G$1993,MATCH(A806&amp;"ENTRADA",Movimientos!$R$2:$R$1993,0)),"-")</f>
        <v>-</v>
      </c>
      <c r="G806" s="2" t="str">
        <f>IFERROR(INDEX(Movimientos!$L$2:$L$1993,MATCH(A806&amp;"ENTRADA",Movimientos!$R$2:$R$1993,0)),"-")</f>
        <v>-</v>
      </c>
      <c r="H806" s="17" t="str">
        <f>IFERROR(IF(INDEX(Movimientos!$M$2:$M$1993,MATCH(A806&amp;"ENTRADA",Movimientos!$R$2:$R$1993,0))=0,"S/D",INDEX(Movimientos!$M$2:$M$1993,MATCH(A806&amp;"ENTRADA",Movimientos!$R$2:$R$1993,0))),"S/D")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3147</v>
      </c>
      <c r="B807" s="2" t="str">
        <f>IFERROR(INDEX(Movimientos!$C$2:$C$1993,MATCH(A807&amp;"ENTRADA",Movimientos!$R$2:$R$1993,0)),"-")</f>
        <v>-</v>
      </c>
      <c r="C807" s="2" t="str">
        <f>IFERROR(INDEX(Movimientos!$D$2:$D$1993,MATCH(A807&amp;"ENTRADA",Movimientos!$R$2:$R$1993,0)),"-")</f>
        <v>-</v>
      </c>
      <c r="D807" s="2" t="str">
        <f>IFERROR(INDEX(Movimientos!$E$2:$E$1993,MATCH(A807&amp;"ENTRADA",Movimientos!$R$2:$R$1993,0)),"-")</f>
        <v>-</v>
      </c>
      <c r="E807" s="2" t="str">
        <f>IFERROR(INDEX(Movimientos!$F$2:$F$1993,MATCH(A807&amp;"ENTRADA",Movimientos!$R$2:$R$1993,0)),"-")</f>
        <v>-</v>
      </c>
      <c r="F807" s="2" t="str">
        <f>IFERROR(INDEX(Movimientos!$G$2:$G$1993,MATCH(A807&amp;"ENTRADA",Movimientos!$R$2:$R$1993,0)),"-")</f>
        <v>-</v>
      </c>
      <c r="G807" s="2" t="str">
        <f>IFERROR(INDEX(Movimientos!$L$2:$L$1993,MATCH(A807&amp;"ENTRADA",Movimientos!$R$2:$R$1993,0)),"-")</f>
        <v>-</v>
      </c>
      <c r="H807" s="17" t="str">
        <f>IFERROR(IF(INDEX(Movimientos!$M$2:$M$1993,MATCH(A807&amp;"ENTRADA",Movimientos!$R$2:$R$1993,0))=0,"S/D",INDEX(Movimientos!$M$2:$M$1993,MATCH(A807&amp;"ENTRADA",Movimientos!$R$2:$R$1993,0))),"S/D")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3148</v>
      </c>
      <c r="B808" s="2" t="str">
        <f>IFERROR(INDEX(Movimientos!$C$2:$C$1993,MATCH(A808&amp;"ENTRADA",Movimientos!$R$2:$R$1993,0)),"-")</f>
        <v>-</v>
      </c>
      <c r="C808" s="2" t="str">
        <f>IFERROR(INDEX(Movimientos!$D$2:$D$1993,MATCH(A808&amp;"ENTRADA",Movimientos!$R$2:$R$1993,0)),"-")</f>
        <v>-</v>
      </c>
      <c r="D808" s="2" t="str">
        <f>IFERROR(INDEX(Movimientos!$E$2:$E$1993,MATCH(A808&amp;"ENTRADA",Movimientos!$R$2:$R$1993,0)),"-")</f>
        <v>-</v>
      </c>
      <c r="E808" s="2" t="str">
        <f>IFERROR(INDEX(Movimientos!$F$2:$F$1993,MATCH(A808&amp;"ENTRADA",Movimientos!$R$2:$R$1993,0)),"-")</f>
        <v>-</v>
      </c>
      <c r="F808" s="2" t="str">
        <f>IFERROR(INDEX(Movimientos!$G$2:$G$1993,MATCH(A808&amp;"ENTRADA",Movimientos!$R$2:$R$1993,0)),"-")</f>
        <v>-</v>
      </c>
      <c r="G808" s="2" t="str">
        <f>IFERROR(INDEX(Movimientos!$L$2:$L$1993,MATCH(A808&amp;"ENTRADA",Movimientos!$R$2:$R$1993,0)),"-")</f>
        <v>-</v>
      </c>
      <c r="H808" s="17" t="str">
        <f>IFERROR(IF(INDEX(Movimientos!$M$2:$M$1993,MATCH(A808&amp;"ENTRADA",Movimientos!$R$2:$R$1993,0))=0,"S/D",INDEX(Movimientos!$M$2:$M$1993,MATCH(A808&amp;"ENTRADA",Movimientos!$R$2:$R$1993,0))),"S/D")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3149</v>
      </c>
      <c r="B809" s="2" t="str">
        <f>IFERROR(INDEX(Movimientos!$C$2:$C$1993,MATCH(A809&amp;"ENTRADA",Movimientos!$R$2:$R$1993,0)),"-")</f>
        <v>-</v>
      </c>
      <c r="C809" s="2" t="str">
        <f>IFERROR(INDEX(Movimientos!$D$2:$D$1993,MATCH(A809&amp;"ENTRADA",Movimientos!$R$2:$R$1993,0)),"-")</f>
        <v>-</v>
      </c>
      <c r="D809" s="2" t="str">
        <f>IFERROR(INDEX(Movimientos!$E$2:$E$1993,MATCH(A809&amp;"ENTRADA",Movimientos!$R$2:$R$1993,0)),"-")</f>
        <v>-</v>
      </c>
      <c r="E809" s="2" t="str">
        <f>IFERROR(INDEX(Movimientos!$F$2:$F$1993,MATCH(A809&amp;"ENTRADA",Movimientos!$R$2:$R$1993,0)),"-")</f>
        <v>-</v>
      </c>
      <c r="F809" s="2" t="str">
        <f>IFERROR(INDEX(Movimientos!$G$2:$G$1993,MATCH(A809&amp;"ENTRADA",Movimientos!$R$2:$R$1993,0)),"-")</f>
        <v>-</v>
      </c>
      <c r="G809" s="2" t="str">
        <f>IFERROR(INDEX(Movimientos!$L$2:$L$1993,MATCH(A809&amp;"ENTRADA",Movimientos!$R$2:$R$1993,0)),"-")</f>
        <v>-</v>
      </c>
      <c r="H809" s="17" t="str">
        <f>IFERROR(IF(INDEX(Movimientos!$M$2:$M$1993,MATCH(A809&amp;"ENTRADA",Movimientos!$R$2:$R$1993,0))=0,"S/D",INDEX(Movimientos!$M$2:$M$1993,MATCH(A809&amp;"ENTRADA",Movimientos!$R$2:$R$1993,0))),"S/D")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3150</v>
      </c>
      <c r="B810" s="2" t="str">
        <f>IFERROR(INDEX(Movimientos!$C$2:$C$1993,MATCH(A810&amp;"ENTRADA",Movimientos!$R$2:$R$1993,0)),"-")</f>
        <v>-</v>
      </c>
      <c r="C810" s="2" t="str">
        <f>IFERROR(INDEX(Movimientos!$D$2:$D$1993,MATCH(A810&amp;"ENTRADA",Movimientos!$R$2:$R$1993,0)),"-")</f>
        <v>-</v>
      </c>
      <c r="D810" s="2" t="str">
        <f>IFERROR(INDEX(Movimientos!$E$2:$E$1993,MATCH(A810&amp;"ENTRADA",Movimientos!$R$2:$R$1993,0)),"-")</f>
        <v>-</v>
      </c>
      <c r="E810" s="2" t="str">
        <f>IFERROR(INDEX(Movimientos!$F$2:$F$1993,MATCH(A810&amp;"ENTRADA",Movimientos!$R$2:$R$1993,0)),"-")</f>
        <v>-</v>
      </c>
      <c r="F810" s="2" t="str">
        <f>IFERROR(INDEX(Movimientos!$G$2:$G$1993,MATCH(A810&amp;"ENTRADA",Movimientos!$R$2:$R$1993,0)),"-")</f>
        <v>-</v>
      </c>
      <c r="G810" s="2" t="str">
        <f>IFERROR(INDEX(Movimientos!$L$2:$L$1993,MATCH(A810&amp;"ENTRADA",Movimientos!$R$2:$R$1993,0)),"-")</f>
        <v>-</v>
      </c>
      <c r="H810" s="17" t="str">
        <f>IFERROR(IF(INDEX(Movimientos!$M$2:$M$1993,MATCH(A810&amp;"ENTRADA",Movimientos!$R$2:$R$1993,0))=0,"S/D",INDEX(Movimientos!$M$2:$M$1993,MATCH(A810&amp;"ENTRADA",Movimientos!$R$2:$R$1993,0))),"S/D")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3151</v>
      </c>
      <c r="B811" s="2" t="str">
        <f>IFERROR(INDEX(Movimientos!$C$2:$C$1993,MATCH(A811&amp;"ENTRADA",Movimientos!$R$2:$R$1993,0)),"-")</f>
        <v>-</v>
      </c>
      <c r="C811" s="2" t="str">
        <f>IFERROR(INDEX(Movimientos!$D$2:$D$1993,MATCH(A811&amp;"ENTRADA",Movimientos!$R$2:$R$1993,0)),"-")</f>
        <v>-</v>
      </c>
      <c r="D811" s="2" t="str">
        <f>IFERROR(INDEX(Movimientos!$E$2:$E$1993,MATCH(A811&amp;"ENTRADA",Movimientos!$R$2:$R$1993,0)),"-")</f>
        <v>-</v>
      </c>
      <c r="E811" s="2" t="str">
        <f>IFERROR(INDEX(Movimientos!$F$2:$F$1993,MATCH(A811&amp;"ENTRADA",Movimientos!$R$2:$R$1993,0)),"-")</f>
        <v>-</v>
      </c>
      <c r="F811" s="2" t="str">
        <f>IFERROR(INDEX(Movimientos!$G$2:$G$1993,MATCH(A811&amp;"ENTRADA",Movimientos!$R$2:$R$1993,0)),"-")</f>
        <v>-</v>
      </c>
      <c r="G811" s="2" t="str">
        <f>IFERROR(INDEX(Movimientos!$L$2:$L$1993,MATCH(A811&amp;"ENTRADA",Movimientos!$R$2:$R$1993,0)),"-")</f>
        <v>-</v>
      </c>
      <c r="H811" s="17" t="str">
        <f>IFERROR(IF(INDEX(Movimientos!$M$2:$M$1993,MATCH(A811&amp;"ENTRADA",Movimientos!$R$2:$R$1993,0))=0,"S/D",INDEX(Movimientos!$M$2:$M$1993,MATCH(A811&amp;"ENTRADA",Movimientos!$R$2:$R$1993,0))),"S/D")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3152</v>
      </c>
      <c r="B812" s="2" t="str">
        <f>IFERROR(INDEX(Movimientos!$C$2:$C$1993,MATCH(A812&amp;"ENTRADA",Movimientos!$R$2:$R$1993,0)),"-")</f>
        <v>-</v>
      </c>
      <c r="C812" s="2" t="str">
        <f>IFERROR(INDEX(Movimientos!$D$2:$D$1993,MATCH(A812&amp;"ENTRADA",Movimientos!$R$2:$R$1993,0)),"-")</f>
        <v>-</v>
      </c>
      <c r="D812" s="2" t="str">
        <f>IFERROR(INDEX(Movimientos!$E$2:$E$1993,MATCH(A812&amp;"ENTRADA",Movimientos!$R$2:$R$1993,0)),"-")</f>
        <v>-</v>
      </c>
      <c r="E812" s="2" t="str">
        <f>IFERROR(INDEX(Movimientos!$F$2:$F$1993,MATCH(A812&amp;"ENTRADA",Movimientos!$R$2:$R$1993,0)),"-")</f>
        <v>-</v>
      </c>
      <c r="F812" s="2" t="str">
        <f>IFERROR(INDEX(Movimientos!$G$2:$G$1993,MATCH(A812&amp;"ENTRADA",Movimientos!$R$2:$R$1993,0)),"-")</f>
        <v>-</v>
      </c>
      <c r="G812" s="2" t="str">
        <f>IFERROR(INDEX(Movimientos!$L$2:$L$1993,MATCH(A812&amp;"ENTRADA",Movimientos!$R$2:$R$1993,0)),"-")</f>
        <v>-</v>
      </c>
      <c r="H812" s="17" t="str">
        <f>IFERROR(IF(INDEX(Movimientos!$M$2:$M$1993,MATCH(A812&amp;"ENTRADA",Movimientos!$R$2:$R$1993,0))=0,"S/D",INDEX(Movimientos!$M$2:$M$1993,MATCH(A812&amp;"ENTRADA",Movimientos!$R$2:$R$1993,0))),"S/D")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3153</v>
      </c>
      <c r="B813" s="2" t="str">
        <f>IFERROR(INDEX(Movimientos!$C$2:$C$1993,MATCH(A813&amp;"ENTRADA",Movimientos!$R$2:$R$1993,0)),"-")</f>
        <v>-</v>
      </c>
      <c r="C813" s="2" t="str">
        <f>IFERROR(INDEX(Movimientos!$D$2:$D$1993,MATCH(A813&amp;"ENTRADA",Movimientos!$R$2:$R$1993,0)),"-")</f>
        <v>-</v>
      </c>
      <c r="D813" s="2" t="str">
        <f>IFERROR(INDEX(Movimientos!$E$2:$E$1993,MATCH(A813&amp;"ENTRADA",Movimientos!$R$2:$R$1993,0)),"-")</f>
        <v>-</v>
      </c>
      <c r="E813" s="2" t="str">
        <f>IFERROR(INDEX(Movimientos!$F$2:$F$1993,MATCH(A813&amp;"ENTRADA",Movimientos!$R$2:$R$1993,0)),"-")</f>
        <v>-</v>
      </c>
      <c r="F813" s="2" t="str">
        <f>IFERROR(INDEX(Movimientos!$G$2:$G$1993,MATCH(A813&amp;"ENTRADA",Movimientos!$R$2:$R$1993,0)),"-")</f>
        <v>-</v>
      </c>
      <c r="G813" s="2" t="str">
        <f>IFERROR(INDEX(Movimientos!$L$2:$L$1993,MATCH(A813&amp;"ENTRADA",Movimientos!$R$2:$R$1993,0)),"-")</f>
        <v>-</v>
      </c>
      <c r="H813" s="17" t="str">
        <f>IFERROR(IF(INDEX(Movimientos!$M$2:$M$1993,MATCH(A813&amp;"ENTRADA",Movimientos!$R$2:$R$1993,0))=0,"S/D",INDEX(Movimientos!$M$2:$M$1993,MATCH(A813&amp;"ENTRADA",Movimientos!$R$2:$R$1993,0))),"S/D")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3154</v>
      </c>
      <c r="B814" s="2" t="str">
        <f>IFERROR(INDEX(Movimientos!$C$2:$C$1993,MATCH(A814&amp;"ENTRADA",Movimientos!$R$2:$R$1993,0)),"-")</f>
        <v>-</v>
      </c>
      <c r="C814" s="2" t="str">
        <f>IFERROR(INDEX(Movimientos!$D$2:$D$1993,MATCH(A814&amp;"ENTRADA",Movimientos!$R$2:$R$1993,0)),"-")</f>
        <v>-</v>
      </c>
      <c r="D814" s="2" t="str">
        <f>IFERROR(INDEX(Movimientos!$E$2:$E$1993,MATCH(A814&amp;"ENTRADA",Movimientos!$R$2:$R$1993,0)),"-")</f>
        <v>-</v>
      </c>
      <c r="E814" s="2" t="str">
        <f>IFERROR(INDEX(Movimientos!$F$2:$F$1993,MATCH(A814&amp;"ENTRADA",Movimientos!$R$2:$R$1993,0)),"-")</f>
        <v>-</v>
      </c>
      <c r="F814" s="2" t="str">
        <f>IFERROR(INDEX(Movimientos!$G$2:$G$1993,MATCH(A814&amp;"ENTRADA",Movimientos!$R$2:$R$1993,0)),"-")</f>
        <v>-</v>
      </c>
      <c r="G814" s="2" t="str">
        <f>IFERROR(INDEX(Movimientos!$L$2:$L$1993,MATCH(A814&amp;"ENTRADA",Movimientos!$R$2:$R$1993,0)),"-")</f>
        <v>-</v>
      </c>
      <c r="H814" s="17" t="str">
        <f>IFERROR(IF(INDEX(Movimientos!$M$2:$M$1993,MATCH(A814&amp;"ENTRADA",Movimientos!$R$2:$R$1993,0))=0,"S/D",INDEX(Movimientos!$M$2:$M$1993,MATCH(A814&amp;"ENTRADA",Movimientos!$R$2:$R$1993,0))),"S/D")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3155</v>
      </c>
      <c r="B815" s="2" t="str">
        <f>IFERROR(INDEX(Movimientos!$C$2:$C$1993,MATCH(A815&amp;"ENTRADA",Movimientos!$R$2:$R$1993,0)),"-")</f>
        <v>-</v>
      </c>
      <c r="C815" s="2" t="str">
        <f>IFERROR(INDEX(Movimientos!$D$2:$D$1993,MATCH(A815&amp;"ENTRADA",Movimientos!$R$2:$R$1993,0)),"-")</f>
        <v>-</v>
      </c>
      <c r="D815" s="2" t="str">
        <f>IFERROR(INDEX(Movimientos!$E$2:$E$1993,MATCH(A815&amp;"ENTRADA",Movimientos!$R$2:$R$1993,0)),"-")</f>
        <v>-</v>
      </c>
      <c r="E815" s="2" t="str">
        <f>IFERROR(INDEX(Movimientos!$F$2:$F$1993,MATCH(A815&amp;"ENTRADA",Movimientos!$R$2:$R$1993,0)),"-")</f>
        <v>-</v>
      </c>
      <c r="F815" s="2" t="str">
        <f>IFERROR(INDEX(Movimientos!$G$2:$G$1993,MATCH(A815&amp;"ENTRADA",Movimientos!$R$2:$R$1993,0)),"-")</f>
        <v>-</v>
      </c>
      <c r="G815" s="2" t="str">
        <f>IFERROR(INDEX(Movimientos!$L$2:$L$1993,MATCH(A815&amp;"ENTRADA",Movimientos!$R$2:$R$1993,0)),"-")</f>
        <v>-</v>
      </c>
      <c r="H815" s="17" t="str">
        <f>IFERROR(IF(INDEX(Movimientos!$M$2:$M$1993,MATCH(A815&amp;"ENTRADA",Movimientos!$R$2:$R$1993,0))=0,"S/D",INDEX(Movimientos!$M$2:$M$1993,MATCH(A815&amp;"ENTRADA",Movimientos!$R$2:$R$1993,0))),"S/D")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3156</v>
      </c>
      <c r="B816" s="2" t="str">
        <f>IFERROR(INDEX(Movimientos!$C$2:$C$1993,MATCH(A816&amp;"ENTRADA",Movimientos!$R$2:$R$1993,0)),"-")</f>
        <v>-</v>
      </c>
      <c r="C816" s="2" t="str">
        <f>IFERROR(INDEX(Movimientos!$D$2:$D$1993,MATCH(A816&amp;"ENTRADA",Movimientos!$R$2:$R$1993,0)),"-")</f>
        <v>-</v>
      </c>
      <c r="D816" s="2" t="str">
        <f>IFERROR(INDEX(Movimientos!$E$2:$E$1993,MATCH(A816&amp;"ENTRADA",Movimientos!$R$2:$R$1993,0)),"-")</f>
        <v>-</v>
      </c>
      <c r="E816" s="2" t="str">
        <f>IFERROR(INDEX(Movimientos!$F$2:$F$1993,MATCH(A816&amp;"ENTRADA",Movimientos!$R$2:$R$1993,0)),"-")</f>
        <v>-</v>
      </c>
      <c r="F816" s="2" t="str">
        <f>IFERROR(INDEX(Movimientos!$G$2:$G$1993,MATCH(A816&amp;"ENTRADA",Movimientos!$R$2:$R$1993,0)),"-")</f>
        <v>-</v>
      </c>
      <c r="G816" s="2" t="str">
        <f>IFERROR(INDEX(Movimientos!$L$2:$L$1993,MATCH(A816&amp;"ENTRADA",Movimientos!$R$2:$R$1993,0)),"-")</f>
        <v>-</v>
      </c>
      <c r="H816" s="17" t="str">
        <f>IFERROR(IF(INDEX(Movimientos!$M$2:$M$1993,MATCH(A816&amp;"ENTRADA",Movimientos!$R$2:$R$1993,0))=0,"S/D",INDEX(Movimientos!$M$2:$M$1993,MATCH(A816&amp;"ENTRADA",Movimientos!$R$2:$R$1993,0))),"S/D")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3157</v>
      </c>
      <c r="B817" s="2" t="str">
        <f>IFERROR(INDEX(Movimientos!$C$2:$C$1993,MATCH(A817&amp;"ENTRADA",Movimientos!$R$2:$R$1993,0)),"-")</f>
        <v>-</v>
      </c>
      <c r="C817" s="2" t="str">
        <f>IFERROR(INDEX(Movimientos!$D$2:$D$1993,MATCH(A817&amp;"ENTRADA",Movimientos!$R$2:$R$1993,0)),"-")</f>
        <v>-</v>
      </c>
      <c r="D817" s="2" t="str">
        <f>IFERROR(INDEX(Movimientos!$E$2:$E$1993,MATCH(A817&amp;"ENTRADA",Movimientos!$R$2:$R$1993,0)),"-")</f>
        <v>-</v>
      </c>
      <c r="E817" s="2" t="str">
        <f>IFERROR(INDEX(Movimientos!$F$2:$F$1993,MATCH(A817&amp;"ENTRADA",Movimientos!$R$2:$R$1993,0)),"-")</f>
        <v>-</v>
      </c>
      <c r="F817" s="2" t="str">
        <f>IFERROR(INDEX(Movimientos!$G$2:$G$1993,MATCH(A817&amp;"ENTRADA",Movimientos!$R$2:$R$1993,0)),"-")</f>
        <v>-</v>
      </c>
      <c r="G817" s="2" t="str">
        <f>IFERROR(INDEX(Movimientos!$L$2:$L$1993,MATCH(A817&amp;"ENTRADA",Movimientos!$R$2:$R$1993,0)),"-")</f>
        <v>-</v>
      </c>
      <c r="H817" s="17" t="str">
        <f>IFERROR(IF(INDEX(Movimientos!$M$2:$M$1993,MATCH(A817&amp;"ENTRADA",Movimientos!$R$2:$R$1993,0))=0,"S/D",INDEX(Movimientos!$M$2:$M$1993,MATCH(A817&amp;"ENTRADA",Movimientos!$R$2:$R$1993,0))),"S/D")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3158</v>
      </c>
      <c r="B818" s="2" t="str">
        <f>IFERROR(INDEX(Movimientos!$C$2:$C$1993,MATCH(A818&amp;"ENTRADA",Movimientos!$R$2:$R$1993,0)),"-")</f>
        <v>-</v>
      </c>
      <c r="C818" s="2" t="str">
        <f>IFERROR(INDEX(Movimientos!$D$2:$D$1993,MATCH(A818&amp;"ENTRADA",Movimientos!$R$2:$R$1993,0)),"-")</f>
        <v>-</v>
      </c>
      <c r="D818" s="2" t="str">
        <f>IFERROR(INDEX(Movimientos!$E$2:$E$1993,MATCH(A818&amp;"ENTRADA",Movimientos!$R$2:$R$1993,0)),"-")</f>
        <v>-</v>
      </c>
      <c r="E818" s="2" t="str">
        <f>IFERROR(INDEX(Movimientos!$F$2:$F$1993,MATCH(A818&amp;"ENTRADA",Movimientos!$R$2:$R$1993,0)),"-")</f>
        <v>-</v>
      </c>
      <c r="F818" s="2" t="str">
        <f>IFERROR(INDEX(Movimientos!$G$2:$G$1993,MATCH(A818&amp;"ENTRADA",Movimientos!$R$2:$R$1993,0)),"-")</f>
        <v>-</v>
      </c>
      <c r="G818" s="2" t="str">
        <f>IFERROR(INDEX(Movimientos!$L$2:$L$1993,MATCH(A818&amp;"ENTRADA",Movimientos!$R$2:$R$1993,0)),"-")</f>
        <v>-</v>
      </c>
      <c r="H818" s="17" t="str">
        <f>IFERROR(IF(INDEX(Movimientos!$M$2:$M$1993,MATCH(A818&amp;"ENTRADA",Movimientos!$R$2:$R$1993,0))=0,"S/D",INDEX(Movimientos!$M$2:$M$1993,MATCH(A818&amp;"ENTRADA",Movimientos!$R$2:$R$1993,0))),"S/D")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3159</v>
      </c>
      <c r="B819" s="2" t="str">
        <f>IFERROR(INDEX(Movimientos!$C$2:$C$1993,MATCH(A819&amp;"ENTRADA",Movimientos!$R$2:$R$1993,0)),"-")</f>
        <v>-</v>
      </c>
      <c r="C819" s="2" t="str">
        <f>IFERROR(INDEX(Movimientos!$D$2:$D$1993,MATCH(A819&amp;"ENTRADA",Movimientos!$R$2:$R$1993,0)),"-")</f>
        <v>-</v>
      </c>
      <c r="D819" s="2" t="str">
        <f>IFERROR(INDEX(Movimientos!$E$2:$E$1993,MATCH(A819&amp;"ENTRADA",Movimientos!$R$2:$R$1993,0)),"-")</f>
        <v>-</v>
      </c>
      <c r="E819" s="2" t="str">
        <f>IFERROR(INDEX(Movimientos!$F$2:$F$1993,MATCH(A819&amp;"ENTRADA",Movimientos!$R$2:$R$1993,0)),"-")</f>
        <v>-</v>
      </c>
      <c r="F819" s="2" t="str">
        <f>IFERROR(INDEX(Movimientos!$G$2:$G$1993,MATCH(A819&amp;"ENTRADA",Movimientos!$R$2:$R$1993,0)),"-")</f>
        <v>-</v>
      </c>
      <c r="G819" s="2" t="str">
        <f>IFERROR(INDEX(Movimientos!$L$2:$L$1993,MATCH(A819&amp;"ENTRADA",Movimientos!$R$2:$R$1993,0)),"-")</f>
        <v>-</v>
      </c>
      <c r="H819" s="17" t="str">
        <f>IFERROR(IF(INDEX(Movimientos!$M$2:$M$1993,MATCH(A819&amp;"ENTRADA",Movimientos!$R$2:$R$1993,0))=0,"S/D",INDEX(Movimientos!$M$2:$M$1993,MATCH(A819&amp;"ENTRADA",Movimientos!$R$2:$R$1993,0))),"S/D")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3160</v>
      </c>
      <c r="B820" s="2" t="str">
        <f>IFERROR(INDEX(Movimientos!$C$2:$C$1993,MATCH(A820&amp;"ENTRADA",Movimientos!$R$2:$R$1993,0)),"-")</f>
        <v>-</v>
      </c>
      <c r="C820" s="2" t="str">
        <f>IFERROR(INDEX(Movimientos!$D$2:$D$1993,MATCH(A820&amp;"ENTRADA",Movimientos!$R$2:$R$1993,0)),"-")</f>
        <v>-</v>
      </c>
      <c r="D820" s="2" t="str">
        <f>IFERROR(INDEX(Movimientos!$E$2:$E$1993,MATCH(A820&amp;"ENTRADA",Movimientos!$R$2:$R$1993,0)),"-")</f>
        <v>-</v>
      </c>
      <c r="E820" s="2" t="str">
        <f>IFERROR(INDEX(Movimientos!$F$2:$F$1993,MATCH(A820&amp;"ENTRADA",Movimientos!$R$2:$R$1993,0)),"-")</f>
        <v>-</v>
      </c>
      <c r="F820" s="2" t="str">
        <f>IFERROR(INDEX(Movimientos!$G$2:$G$1993,MATCH(A820&amp;"ENTRADA",Movimientos!$R$2:$R$1993,0)),"-")</f>
        <v>-</v>
      </c>
      <c r="G820" s="2" t="str">
        <f>IFERROR(INDEX(Movimientos!$L$2:$L$1993,MATCH(A820&amp;"ENTRADA",Movimientos!$R$2:$R$1993,0)),"-")</f>
        <v>-</v>
      </c>
      <c r="H820" s="17" t="str">
        <f>IFERROR(IF(INDEX(Movimientos!$M$2:$M$1993,MATCH(A820&amp;"ENTRADA",Movimientos!$R$2:$R$1993,0))=0,"S/D",INDEX(Movimientos!$M$2:$M$1993,MATCH(A820&amp;"ENTRADA",Movimientos!$R$2:$R$1993,0))),"S/D")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3161</v>
      </c>
      <c r="B821" s="2" t="str">
        <f>IFERROR(INDEX(Movimientos!$C$2:$C$1993,MATCH(A821&amp;"ENTRADA",Movimientos!$R$2:$R$1993,0)),"-")</f>
        <v>-</v>
      </c>
      <c r="C821" s="2" t="str">
        <f>IFERROR(INDEX(Movimientos!$D$2:$D$1993,MATCH(A821&amp;"ENTRADA",Movimientos!$R$2:$R$1993,0)),"-")</f>
        <v>-</v>
      </c>
      <c r="D821" s="2" t="str">
        <f>IFERROR(INDEX(Movimientos!$E$2:$E$1993,MATCH(A821&amp;"ENTRADA",Movimientos!$R$2:$R$1993,0)),"-")</f>
        <v>-</v>
      </c>
      <c r="E821" s="2" t="str">
        <f>IFERROR(INDEX(Movimientos!$F$2:$F$1993,MATCH(A821&amp;"ENTRADA",Movimientos!$R$2:$R$1993,0)),"-")</f>
        <v>-</v>
      </c>
      <c r="F821" s="2" t="str">
        <f>IFERROR(INDEX(Movimientos!$G$2:$G$1993,MATCH(A821&amp;"ENTRADA",Movimientos!$R$2:$R$1993,0)),"-")</f>
        <v>-</v>
      </c>
      <c r="G821" s="2" t="str">
        <f>IFERROR(INDEX(Movimientos!$L$2:$L$1993,MATCH(A821&amp;"ENTRADA",Movimientos!$R$2:$R$1993,0)),"-")</f>
        <v>-</v>
      </c>
      <c r="H821" s="17" t="str">
        <f>IFERROR(IF(INDEX(Movimientos!$M$2:$M$1993,MATCH(A821&amp;"ENTRADA",Movimientos!$R$2:$R$1993,0))=0,"S/D",INDEX(Movimientos!$M$2:$M$1993,MATCH(A821&amp;"ENTRADA",Movimientos!$R$2:$R$1993,0))),"S/D")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3162</v>
      </c>
      <c r="B822" s="2" t="str">
        <f>IFERROR(INDEX(Movimientos!$C$2:$C$1993,MATCH(A822&amp;"ENTRADA",Movimientos!$R$2:$R$1993,0)),"-")</f>
        <v>-</v>
      </c>
      <c r="C822" s="2" t="str">
        <f>IFERROR(INDEX(Movimientos!$D$2:$D$1993,MATCH(A822&amp;"ENTRADA",Movimientos!$R$2:$R$1993,0)),"-")</f>
        <v>-</v>
      </c>
      <c r="D822" s="2" t="str">
        <f>IFERROR(INDEX(Movimientos!$E$2:$E$1993,MATCH(A822&amp;"ENTRADA",Movimientos!$R$2:$R$1993,0)),"-")</f>
        <v>-</v>
      </c>
      <c r="E822" s="2" t="str">
        <f>IFERROR(INDEX(Movimientos!$F$2:$F$1993,MATCH(A822&amp;"ENTRADA",Movimientos!$R$2:$R$1993,0)),"-")</f>
        <v>-</v>
      </c>
      <c r="F822" s="2" t="str">
        <f>IFERROR(INDEX(Movimientos!$G$2:$G$1993,MATCH(A822&amp;"ENTRADA",Movimientos!$R$2:$R$1993,0)),"-")</f>
        <v>-</v>
      </c>
      <c r="G822" s="2" t="str">
        <f>IFERROR(INDEX(Movimientos!$L$2:$L$1993,MATCH(A822&amp;"ENTRADA",Movimientos!$R$2:$R$1993,0)),"-")</f>
        <v>-</v>
      </c>
      <c r="H822" s="17" t="str">
        <f>IFERROR(IF(INDEX(Movimientos!$M$2:$M$1993,MATCH(A822&amp;"ENTRADA",Movimientos!$R$2:$R$1993,0))=0,"S/D",INDEX(Movimientos!$M$2:$M$1993,MATCH(A822&amp;"ENTRADA",Movimientos!$R$2:$R$1993,0))),"S/D")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3163</v>
      </c>
      <c r="B823" s="2" t="str">
        <f>IFERROR(INDEX(Movimientos!$C$2:$C$1993,MATCH(A823&amp;"ENTRADA",Movimientos!$R$2:$R$1993,0)),"-")</f>
        <v>-</v>
      </c>
      <c r="C823" s="2" t="str">
        <f>IFERROR(INDEX(Movimientos!$D$2:$D$1993,MATCH(A823&amp;"ENTRADA",Movimientos!$R$2:$R$1993,0)),"-")</f>
        <v>-</v>
      </c>
      <c r="D823" s="2" t="str">
        <f>IFERROR(INDEX(Movimientos!$E$2:$E$1993,MATCH(A823&amp;"ENTRADA",Movimientos!$R$2:$R$1993,0)),"-")</f>
        <v>-</v>
      </c>
      <c r="E823" s="2" t="str">
        <f>IFERROR(INDEX(Movimientos!$F$2:$F$1993,MATCH(A823&amp;"ENTRADA",Movimientos!$R$2:$R$1993,0)),"-")</f>
        <v>-</v>
      </c>
      <c r="F823" s="2" t="str">
        <f>IFERROR(INDEX(Movimientos!$G$2:$G$1993,MATCH(A823&amp;"ENTRADA",Movimientos!$R$2:$R$1993,0)),"-")</f>
        <v>-</v>
      </c>
      <c r="G823" s="2" t="str">
        <f>IFERROR(INDEX(Movimientos!$L$2:$L$1993,MATCH(A823&amp;"ENTRADA",Movimientos!$R$2:$R$1993,0)),"-")</f>
        <v>-</v>
      </c>
      <c r="H823" s="17" t="str">
        <f>IFERROR(IF(INDEX(Movimientos!$M$2:$M$1993,MATCH(A823&amp;"ENTRADA",Movimientos!$R$2:$R$1993,0))=0,"S/D",INDEX(Movimientos!$M$2:$M$1993,MATCH(A823&amp;"ENTRADA",Movimientos!$R$2:$R$1993,0))),"S/D")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3164</v>
      </c>
      <c r="B824" s="2" t="str">
        <f>IFERROR(INDEX(Movimientos!$C$2:$C$1993,MATCH(A824&amp;"ENTRADA",Movimientos!$R$2:$R$1993,0)),"-")</f>
        <v>-</v>
      </c>
      <c r="C824" s="2" t="str">
        <f>IFERROR(INDEX(Movimientos!$D$2:$D$1993,MATCH(A824&amp;"ENTRADA",Movimientos!$R$2:$R$1993,0)),"-")</f>
        <v>-</v>
      </c>
      <c r="D824" s="2" t="str">
        <f>IFERROR(INDEX(Movimientos!$E$2:$E$1993,MATCH(A824&amp;"ENTRADA",Movimientos!$R$2:$R$1993,0)),"-")</f>
        <v>-</v>
      </c>
      <c r="E824" s="2" t="str">
        <f>IFERROR(INDEX(Movimientos!$F$2:$F$1993,MATCH(A824&amp;"ENTRADA",Movimientos!$R$2:$R$1993,0)),"-")</f>
        <v>-</v>
      </c>
      <c r="F824" s="2" t="str">
        <f>IFERROR(INDEX(Movimientos!$G$2:$G$1993,MATCH(A824&amp;"ENTRADA",Movimientos!$R$2:$R$1993,0)),"-")</f>
        <v>-</v>
      </c>
      <c r="G824" s="2" t="str">
        <f>IFERROR(INDEX(Movimientos!$L$2:$L$1993,MATCH(A824&amp;"ENTRADA",Movimientos!$R$2:$R$1993,0)),"-")</f>
        <v>-</v>
      </c>
      <c r="H824" s="17" t="str">
        <f>IFERROR(IF(INDEX(Movimientos!$M$2:$M$1993,MATCH(A824&amp;"ENTRADA",Movimientos!$R$2:$R$1993,0))=0,"S/D",INDEX(Movimientos!$M$2:$M$1993,MATCH(A824&amp;"ENTRADA",Movimientos!$R$2:$R$1993,0))),"S/D")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3165</v>
      </c>
      <c r="B825" s="2" t="str">
        <f>IFERROR(INDEX(Movimientos!$C$2:$C$1993,MATCH(A825&amp;"ENTRADA",Movimientos!$R$2:$R$1993,0)),"-")</f>
        <v>-</v>
      </c>
      <c r="C825" s="2" t="str">
        <f>IFERROR(INDEX(Movimientos!$D$2:$D$1993,MATCH(A825&amp;"ENTRADA",Movimientos!$R$2:$R$1993,0)),"-")</f>
        <v>-</v>
      </c>
      <c r="D825" s="2" t="str">
        <f>IFERROR(INDEX(Movimientos!$E$2:$E$1993,MATCH(A825&amp;"ENTRADA",Movimientos!$R$2:$R$1993,0)),"-")</f>
        <v>-</v>
      </c>
      <c r="E825" s="2" t="str">
        <f>IFERROR(INDEX(Movimientos!$F$2:$F$1993,MATCH(A825&amp;"ENTRADA",Movimientos!$R$2:$R$1993,0)),"-")</f>
        <v>-</v>
      </c>
      <c r="F825" s="2" t="str">
        <f>IFERROR(INDEX(Movimientos!$G$2:$G$1993,MATCH(A825&amp;"ENTRADA",Movimientos!$R$2:$R$1993,0)),"-")</f>
        <v>-</v>
      </c>
      <c r="G825" s="2" t="str">
        <f>IFERROR(INDEX(Movimientos!$L$2:$L$1993,MATCH(A825&amp;"ENTRADA",Movimientos!$R$2:$R$1993,0)),"-")</f>
        <v>-</v>
      </c>
      <c r="H825" s="17" t="str">
        <f>IFERROR(IF(INDEX(Movimientos!$M$2:$M$1993,MATCH(A825&amp;"ENTRADA",Movimientos!$R$2:$R$1993,0))=0,"S/D",INDEX(Movimientos!$M$2:$M$1993,MATCH(A825&amp;"ENTRADA",Movimientos!$R$2:$R$1993,0))),"S/D")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3166</v>
      </c>
      <c r="B826" s="2" t="str">
        <f>IFERROR(INDEX(Movimientos!$C$2:$C$1993,MATCH(A826&amp;"ENTRADA",Movimientos!$R$2:$R$1993,0)),"-")</f>
        <v>-</v>
      </c>
      <c r="C826" s="2" t="str">
        <f>IFERROR(INDEX(Movimientos!$D$2:$D$1993,MATCH(A826&amp;"ENTRADA",Movimientos!$R$2:$R$1993,0)),"-")</f>
        <v>-</v>
      </c>
      <c r="D826" s="2" t="str">
        <f>IFERROR(INDEX(Movimientos!$E$2:$E$1993,MATCH(A826&amp;"ENTRADA",Movimientos!$R$2:$R$1993,0)),"-")</f>
        <v>-</v>
      </c>
      <c r="E826" s="2" t="str">
        <f>IFERROR(INDEX(Movimientos!$F$2:$F$1993,MATCH(A826&amp;"ENTRADA",Movimientos!$R$2:$R$1993,0)),"-")</f>
        <v>-</v>
      </c>
      <c r="F826" s="2" t="str">
        <f>IFERROR(INDEX(Movimientos!$G$2:$G$1993,MATCH(A826&amp;"ENTRADA",Movimientos!$R$2:$R$1993,0)),"-")</f>
        <v>-</v>
      </c>
      <c r="G826" s="2" t="str">
        <f>IFERROR(INDEX(Movimientos!$L$2:$L$1993,MATCH(A826&amp;"ENTRADA",Movimientos!$R$2:$R$1993,0)),"-")</f>
        <v>-</v>
      </c>
      <c r="H826" s="17" t="str">
        <f>IFERROR(IF(INDEX(Movimientos!$M$2:$M$1993,MATCH(A826&amp;"ENTRADA",Movimientos!$R$2:$R$1993,0))=0,"S/D",INDEX(Movimientos!$M$2:$M$1993,MATCH(A826&amp;"ENTRADA",Movimientos!$R$2:$R$1993,0))),"S/D")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3167</v>
      </c>
      <c r="B827" s="2" t="str">
        <f>IFERROR(INDEX(Movimientos!$C$2:$C$1993,MATCH(A827&amp;"ENTRADA",Movimientos!$R$2:$R$1993,0)),"-")</f>
        <v>-</v>
      </c>
      <c r="C827" s="2" t="str">
        <f>IFERROR(INDEX(Movimientos!$D$2:$D$1993,MATCH(A827&amp;"ENTRADA",Movimientos!$R$2:$R$1993,0)),"-")</f>
        <v>-</v>
      </c>
      <c r="D827" s="2" t="str">
        <f>IFERROR(INDEX(Movimientos!$E$2:$E$1993,MATCH(A827&amp;"ENTRADA",Movimientos!$R$2:$R$1993,0)),"-")</f>
        <v>-</v>
      </c>
      <c r="E827" s="2" t="str">
        <f>IFERROR(INDEX(Movimientos!$F$2:$F$1993,MATCH(A827&amp;"ENTRADA",Movimientos!$R$2:$R$1993,0)),"-")</f>
        <v>-</v>
      </c>
      <c r="F827" s="2" t="str">
        <f>IFERROR(INDEX(Movimientos!$G$2:$G$1993,MATCH(A827&amp;"ENTRADA",Movimientos!$R$2:$R$1993,0)),"-")</f>
        <v>-</v>
      </c>
      <c r="G827" s="2" t="str">
        <f>IFERROR(INDEX(Movimientos!$L$2:$L$1993,MATCH(A827&amp;"ENTRADA",Movimientos!$R$2:$R$1993,0)),"-")</f>
        <v>-</v>
      </c>
      <c r="H827" s="17" t="str">
        <f>IFERROR(IF(INDEX(Movimientos!$M$2:$M$1993,MATCH(A827&amp;"ENTRADA",Movimientos!$R$2:$R$1993,0))=0,"S/D",INDEX(Movimientos!$M$2:$M$1993,MATCH(A827&amp;"ENTRADA",Movimientos!$R$2:$R$1993,0))),"S/D")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3168</v>
      </c>
      <c r="B828" s="2" t="str">
        <f>IFERROR(INDEX(Movimientos!$C$2:$C$1993,MATCH(A828&amp;"ENTRADA",Movimientos!$R$2:$R$1993,0)),"-")</f>
        <v>-</v>
      </c>
      <c r="C828" s="2" t="str">
        <f>IFERROR(INDEX(Movimientos!$D$2:$D$1993,MATCH(A828&amp;"ENTRADA",Movimientos!$R$2:$R$1993,0)),"-")</f>
        <v>-</v>
      </c>
      <c r="D828" s="2" t="str">
        <f>IFERROR(INDEX(Movimientos!$E$2:$E$1993,MATCH(A828&amp;"ENTRADA",Movimientos!$R$2:$R$1993,0)),"-")</f>
        <v>-</v>
      </c>
      <c r="E828" s="2" t="str">
        <f>IFERROR(INDEX(Movimientos!$F$2:$F$1993,MATCH(A828&amp;"ENTRADA",Movimientos!$R$2:$R$1993,0)),"-")</f>
        <v>-</v>
      </c>
      <c r="F828" s="2" t="str">
        <f>IFERROR(INDEX(Movimientos!$G$2:$G$1993,MATCH(A828&amp;"ENTRADA",Movimientos!$R$2:$R$1993,0)),"-")</f>
        <v>-</v>
      </c>
      <c r="G828" s="2" t="str">
        <f>IFERROR(INDEX(Movimientos!$L$2:$L$1993,MATCH(A828&amp;"ENTRADA",Movimientos!$R$2:$R$1993,0)),"-")</f>
        <v>-</v>
      </c>
      <c r="H828" s="17" t="str">
        <f>IFERROR(IF(INDEX(Movimientos!$M$2:$M$1993,MATCH(A828&amp;"ENTRADA",Movimientos!$R$2:$R$1993,0))=0,"S/D",INDEX(Movimientos!$M$2:$M$1993,MATCH(A828&amp;"ENTRADA",Movimientos!$R$2:$R$1993,0))),"S/D")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3169</v>
      </c>
      <c r="B829" s="2" t="str">
        <f>IFERROR(INDEX(Movimientos!$C$2:$C$1993,MATCH(A829&amp;"ENTRADA",Movimientos!$R$2:$R$1993,0)),"-")</f>
        <v>-</v>
      </c>
      <c r="C829" s="2" t="str">
        <f>IFERROR(INDEX(Movimientos!$D$2:$D$1993,MATCH(A829&amp;"ENTRADA",Movimientos!$R$2:$R$1993,0)),"-")</f>
        <v>-</v>
      </c>
      <c r="D829" s="2" t="str">
        <f>IFERROR(INDEX(Movimientos!$E$2:$E$1993,MATCH(A829&amp;"ENTRADA",Movimientos!$R$2:$R$1993,0)),"-")</f>
        <v>-</v>
      </c>
      <c r="E829" s="2" t="str">
        <f>IFERROR(INDEX(Movimientos!$F$2:$F$1993,MATCH(A829&amp;"ENTRADA",Movimientos!$R$2:$R$1993,0)),"-")</f>
        <v>-</v>
      </c>
      <c r="F829" s="2" t="str">
        <f>IFERROR(INDEX(Movimientos!$G$2:$G$1993,MATCH(A829&amp;"ENTRADA",Movimientos!$R$2:$R$1993,0)),"-")</f>
        <v>-</v>
      </c>
      <c r="G829" s="2" t="str">
        <f>IFERROR(INDEX(Movimientos!$L$2:$L$1993,MATCH(A829&amp;"ENTRADA",Movimientos!$R$2:$R$1993,0)),"-")</f>
        <v>-</v>
      </c>
      <c r="H829" s="17" t="str">
        <f>IFERROR(IF(INDEX(Movimientos!$M$2:$M$1993,MATCH(A829&amp;"ENTRADA",Movimientos!$R$2:$R$1993,0))=0,"S/D",INDEX(Movimientos!$M$2:$M$1993,MATCH(A829&amp;"ENTRADA",Movimientos!$R$2:$R$1993,0))),"S/D")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3170</v>
      </c>
      <c r="B830" s="2" t="str">
        <f>IFERROR(INDEX(Movimientos!$C$2:$C$1993,MATCH(A830&amp;"ENTRADA",Movimientos!$R$2:$R$1993,0)),"-")</f>
        <v>-</v>
      </c>
      <c r="C830" s="2" t="str">
        <f>IFERROR(INDEX(Movimientos!$D$2:$D$1993,MATCH(A830&amp;"ENTRADA",Movimientos!$R$2:$R$1993,0)),"-")</f>
        <v>-</v>
      </c>
      <c r="D830" s="2" t="str">
        <f>IFERROR(INDEX(Movimientos!$E$2:$E$1993,MATCH(A830&amp;"ENTRADA",Movimientos!$R$2:$R$1993,0)),"-")</f>
        <v>-</v>
      </c>
      <c r="E830" s="2" t="str">
        <f>IFERROR(INDEX(Movimientos!$F$2:$F$1993,MATCH(A830&amp;"ENTRADA",Movimientos!$R$2:$R$1993,0)),"-")</f>
        <v>-</v>
      </c>
      <c r="F830" s="2" t="str">
        <f>IFERROR(INDEX(Movimientos!$G$2:$G$1993,MATCH(A830&amp;"ENTRADA",Movimientos!$R$2:$R$1993,0)),"-")</f>
        <v>-</v>
      </c>
      <c r="G830" s="2" t="str">
        <f>IFERROR(INDEX(Movimientos!$L$2:$L$1993,MATCH(A830&amp;"ENTRADA",Movimientos!$R$2:$R$1993,0)),"-")</f>
        <v>-</v>
      </c>
      <c r="H830" s="17" t="str">
        <f>IFERROR(IF(INDEX(Movimientos!$M$2:$M$1993,MATCH(A830&amp;"ENTRADA",Movimientos!$R$2:$R$1993,0))=0,"S/D",INDEX(Movimientos!$M$2:$M$1993,MATCH(A830&amp;"ENTRADA",Movimientos!$R$2:$R$1993,0))),"S/D")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3171</v>
      </c>
      <c r="B831" s="2" t="str">
        <f>IFERROR(INDEX(Movimientos!$C$2:$C$1993,MATCH(A831&amp;"ENTRADA",Movimientos!$R$2:$R$1993,0)),"-")</f>
        <v>-</v>
      </c>
      <c r="C831" s="2" t="str">
        <f>IFERROR(INDEX(Movimientos!$D$2:$D$1993,MATCH(A831&amp;"ENTRADA",Movimientos!$R$2:$R$1993,0)),"-")</f>
        <v>-</v>
      </c>
      <c r="D831" s="2" t="str">
        <f>IFERROR(INDEX(Movimientos!$E$2:$E$1993,MATCH(A831&amp;"ENTRADA",Movimientos!$R$2:$R$1993,0)),"-")</f>
        <v>-</v>
      </c>
      <c r="E831" s="2" t="str">
        <f>IFERROR(INDEX(Movimientos!$F$2:$F$1993,MATCH(A831&amp;"ENTRADA",Movimientos!$R$2:$R$1993,0)),"-")</f>
        <v>-</v>
      </c>
      <c r="F831" s="2" t="str">
        <f>IFERROR(INDEX(Movimientos!$G$2:$G$1993,MATCH(A831&amp;"ENTRADA",Movimientos!$R$2:$R$1993,0)),"-")</f>
        <v>-</v>
      </c>
      <c r="G831" s="2" t="str">
        <f>IFERROR(INDEX(Movimientos!$L$2:$L$1993,MATCH(A831&amp;"ENTRADA",Movimientos!$R$2:$R$1993,0)),"-")</f>
        <v>-</v>
      </c>
      <c r="H831" s="17" t="str">
        <f>IFERROR(IF(INDEX(Movimientos!$M$2:$M$1993,MATCH(A831&amp;"ENTRADA",Movimientos!$R$2:$R$1993,0))=0,"S/D",INDEX(Movimientos!$M$2:$M$1993,MATCH(A831&amp;"ENTRADA",Movimientos!$R$2:$R$1993,0))),"S/D")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3172</v>
      </c>
      <c r="B832" s="2" t="str">
        <f>IFERROR(INDEX(Movimientos!$C$2:$C$1993,MATCH(A832&amp;"ENTRADA",Movimientos!$R$2:$R$1993,0)),"-")</f>
        <v>-</v>
      </c>
      <c r="C832" s="2" t="str">
        <f>IFERROR(INDEX(Movimientos!$D$2:$D$1993,MATCH(A832&amp;"ENTRADA",Movimientos!$R$2:$R$1993,0)),"-")</f>
        <v>-</v>
      </c>
      <c r="D832" s="2" t="str">
        <f>IFERROR(INDEX(Movimientos!$E$2:$E$1993,MATCH(A832&amp;"ENTRADA",Movimientos!$R$2:$R$1993,0)),"-")</f>
        <v>-</v>
      </c>
      <c r="E832" s="2" t="str">
        <f>IFERROR(INDEX(Movimientos!$F$2:$F$1993,MATCH(A832&amp;"ENTRADA",Movimientos!$R$2:$R$1993,0)),"-")</f>
        <v>-</v>
      </c>
      <c r="F832" s="2" t="str">
        <f>IFERROR(INDEX(Movimientos!$G$2:$G$1993,MATCH(A832&amp;"ENTRADA",Movimientos!$R$2:$R$1993,0)),"-")</f>
        <v>-</v>
      </c>
      <c r="G832" s="2" t="str">
        <f>IFERROR(INDEX(Movimientos!$L$2:$L$1993,MATCH(A832&amp;"ENTRADA",Movimientos!$R$2:$R$1993,0)),"-")</f>
        <v>-</v>
      </c>
      <c r="H832" s="17" t="str">
        <f>IFERROR(IF(INDEX(Movimientos!$M$2:$M$1993,MATCH(A832&amp;"ENTRADA",Movimientos!$R$2:$R$1993,0))=0,"S/D",INDEX(Movimientos!$M$2:$M$1993,MATCH(A832&amp;"ENTRADA",Movimientos!$R$2:$R$1993,0))),"S/D")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3173</v>
      </c>
      <c r="B833" s="2" t="str">
        <f>IFERROR(INDEX(Movimientos!$C$2:$C$1993,MATCH(A833&amp;"ENTRADA",Movimientos!$R$2:$R$1993,0)),"-")</f>
        <v>-</v>
      </c>
      <c r="C833" s="2" t="str">
        <f>IFERROR(INDEX(Movimientos!$D$2:$D$1993,MATCH(A833&amp;"ENTRADA",Movimientos!$R$2:$R$1993,0)),"-")</f>
        <v>-</v>
      </c>
      <c r="D833" s="2" t="str">
        <f>IFERROR(INDEX(Movimientos!$E$2:$E$1993,MATCH(A833&amp;"ENTRADA",Movimientos!$R$2:$R$1993,0)),"-")</f>
        <v>-</v>
      </c>
      <c r="E833" s="2" t="str">
        <f>IFERROR(INDEX(Movimientos!$F$2:$F$1993,MATCH(A833&amp;"ENTRADA",Movimientos!$R$2:$R$1993,0)),"-")</f>
        <v>-</v>
      </c>
      <c r="F833" s="2" t="str">
        <f>IFERROR(INDEX(Movimientos!$G$2:$G$1993,MATCH(A833&amp;"ENTRADA",Movimientos!$R$2:$R$1993,0)),"-")</f>
        <v>-</v>
      </c>
      <c r="G833" s="2" t="str">
        <f>IFERROR(INDEX(Movimientos!$L$2:$L$1993,MATCH(A833&amp;"ENTRADA",Movimientos!$R$2:$R$1993,0)),"-")</f>
        <v>-</v>
      </c>
      <c r="H833" s="17" t="str">
        <f>IFERROR(IF(INDEX(Movimientos!$M$2:$M$1993,MATCH(A833&amp;"ENTRADA",Movimientos!$R$2:$R$1993,0))=0,"S/D",INDEX(Movimientos!$M$2:$M$1993,MATCH(A833&amp;"ENTRADA",Movimientos!$R$2:$R$1993,0))),"S/D")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3174</v>
      </c>
      <c r="B834" s="2" t="str">
        <f>IFERROR(INDEX(Movimientos!$C$2:$C$1993,MATCH(A834&amp;"ENTRADA",Movimientos!$R$2:$R$1993,0)),"-")</f>
        <v>-</v>
      </c>
      <c r="C834" s="2" t="str">
        <f>IFERROR(INDEX(Movimientos!$D$2:$D$1993,MATCH(A834&amp;"ENTRADA",Movimientos!$R$2:$R$1993,0)),"-")</f>
        <v>-</v>
      </c>
      <c r="D834" s="2" t="str">
        <f>IFERROR(INDEX(Movimientos!$E$2:$E$1993,MATCH(A834&amp;"ENTRADA",Movimientos!$R$2:$R$1993,0)),"-")</f>
        <v>-</v>
      </c>
      <c r="E834" s="2" t="str">
        <f>IFERROR(INDEX(Movimientos!$F$2:$F$1993,MATCH(A834&amp;"ENTRADA",Movimientos!$R$2:$R$1993,0)),"-")</f>
        <v>-</v>
      </c>
      <c r="F834" s="2" t="str">
        <f>IFERROR(INDEX(Movimientos!$G$2:$G$1993,MATCH(A834&amp;"ENTRADA",Movimientos!$R$2:$R$1993,0)),"-")</f>
        <v>-</v>
      </c>
      <c r="G834" s="2" t="str">
        <f>IFERROR(INDEX(Movimientos!$L$2:$L$1993,MATCH(A834&amp;"ENTRADA",Movimientos!$R$2:$R$1993,0)),"-")</f>
        <v>-</v>
      </c>
      <c r="H834" s="17" t="str">
        <f>IFERROR(IF(INDEX(Movimientos!$M$2:$M$1993,MATCH(A834&amp;"ENTRADA",Movimientos!$R$2:$R$1993,0))=0,"S/D",INDEX(Movimientos!$M$2:$M$1993,MATCH(A834&amp;"ENTRADA",Movimientos!$R$2:$R$1993,0))),"S/D")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3175</v>
      </c>
      <c r="B835" s="2" t="str">
        <f>IFERROR(INDEX(Movimientos!$C$2:$C$1993,MATCH(A835&amp;"ENTRADA",Movimientos!$R$2:$R$1993,0)),"-")</f>
        <v>-</v>
      </c>
      <c r="C835" s="2" t="str">
        <f>IFERROR(INDEX(Movimientos!$D$2:$D$1993,MATCH(A835&amp;"ENTRADA",Movimientos!$R$2:$R$1993,0)),"-")</f>
        <v>-</v>
      </c>
      <c r="D835" s="2" t="str">
        <f>IFERROR(INDEX(Movimientos!$E$2:$E$1993,MATCH(A835&amp;"ENTRADA",Movimientos!$R$2:$R$1993,0)),"-")</f>
        <v>-</v>
      </c>
      <c r="E835" s="2" t="str">
        <f>IFERROR(INDEX(Movimientos!$F$2:$F$1993,MATCH(A835&amp;"ENTRADA",Movimientos!$R$2:$R$1993,0)),"-")</f>
        <v>-</v>
      </c>
      <c r="F835" s="2" t="str">
        <f>IFERROR(INDEX(Movimientos!$G$2:$G$1993,MATCH(A835&amp;"ENTRADA",Movimientos!$R$2:$R$1993,0)),"-")</f>
        <v>-</v>
      </c>
      <c r="G835" s="2" t="str">
        <f>IFERROR(INDEX(Movimientos!$L$2:$L$1993,MATCH(A835&amp;"ENTRADA",Movimientos!$R$2:$R$1993,0)),"-")</f>
        <v>-</v>
      </c>
      <c r="H835" s="17" t="str">
        <f>IFERROR(IF(INDEX(Movimientos!$M$2:$M$1993,MATCH(A835&amp;"ENTRADA",Movimientos!$R$2:$R$1993,0))=0,"S/D",INDEX(Movimientos!$M$2:$M$1993,MATCH(A835&amp;"ENTRADA",Movimientos!$R$2:$R$1993,0))),"S/D")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3176</v>
      </c>
      <c r="B836" s="2" t="str">
        <f>IFERROR(INDEX(Movimientos!$C$2:$C$1993,MATCH(A836&amp;"ENTRADA",Movimientos!$R$2:$R$1993,0)),"-")</f>
        <v>-</v>
      </c>
      <c r="C836" s="2" t="str">
        <f>IFERROR(INDEX(Movimientos!$D$2:$D$1993,MATCH(A836&amp;"ENTRADA",Movimientos!$R$2:$R$1993,0)),"-")</f>
        <v>-</v>
      </c>
      <c r="D836" s="2" t="str">
        <f>IFERROR(INDEX(Movimientos!$E$2:$E$1993,MATCH(A836&amp;"ENTRADA",Movimientos!$R$2:$R$1993,0)),"-")</f>
        <v>-</v>
      </c>
      <c r="E836" s="2" t="str">
        <f>IFERROR(INDEX(Movimientos!$F$2:$F$1993,MATCH(A836&amp;"ENTRADA",Movimientos!$R$2:$R$1993,0)),"-")</f>
        <v>-</v>
      </c>
      <c r="F836" s="2" t="str">
        <f>IFERROR(INDEX(Movimientos!$G$2:$G$1993,MATCH(A836&amp;"ENTRADA",Movimientos!$R$2:$R$1993,0)),"-")</f>
        <v>-</v>
      </c>
      <c r="G836" s="2" t="str">
        <f>IFERROR(INDEX(Movimientos!$L$2:$L$1993,MATCH(A836&amp;"ENTRADA",Movimientos!$R$2:$R$1993,0)),"-")</f>
        <v>-</v>
      </c>
      <c r="H836" s="17" t="str">
        <f>IFERROR(IF(INDEX(Movimientos!$M$2:$M$1993,MATCH(A836&amp;"ENTRADA",Movimientos!$R$2:$R$1993,0))=0,"S/D",INDEX(Movimientos!$M$2:$M$1993,MATCH(A836&amp;"ENTRADA",Movimientos!$R$2:$R$1993,0))),"S/D")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3177</v>
      </c>
      <c r="B837" s="2" t="str">
        <f>IFERROR(INDEX(Movimientos!$C$2:$C$1993,MATCH(A837&amp;"ENTRADA",Movimientos!$R$2:$R$1993,0)),"-")</f>
        <v>-</v>
      </c>
      <c r="C837" s="2" t="str">
        <f>IFERROR(INDEX(Movimientos!$D$2:$D$1993,MATCH(A837&amp;"ENTRADA",Movimientos!$R$2:$R$1993,0)),"-")</f>
        <v>-</v>
      </c>
      <c r="D837" s="2" t="str">
        <f>IFERROR(INDEX(Movimientos!$E$2:$E$1993,MATCH(A837&amp;"ENTRADA",Movimientos!$R$2:$R$1993,0)),"-")</f>
        <v>-</v>
      </c>
      <c r="E837" s="2" t="str">
        <f>IFERROR(INDEX(Movimientos!$F$2:$F$1993,MATCH(A837&amp;"ENTRADA",Movimientos!$R$2:$R$1993,0)),"-")</f>
        <v>-</v>
      </c>
      <c r="F837" s="2" t="str">
        <f>IFERROR(INDEX(Movimientos!$G$2:$G$1993,MATCH(A837&amp;"ENTRADA",Movimientos!$R$2:$R$1993,0)),"-")</f>
        <v>-</v>
      </c>
      <c r="G837" s="2" t="str">
        <f>IFERROR(INDEX(Movimientos!$L$2:$L$1993,MATCH(A837&amp;"ENTRADA",Movimientos!$R$2:$R$1993,0)),"-")</f>
        <v>-</v>
      </c>
      <c r="H837" s="17" t="str">
        <f>IFERROR(IF(INDEX(Movimientos!$M$2:$M$1993,MATCH(A837&amp;"ENTRADA",Movimientos!$R$2:$R$1993,0))=0,"S/D",INDEX(Movimientos!$M$2:$M$1993,MATCH(A837&amp;"ENTRADA",Movimientos!$R$2:$R$1993,0))),"S/D")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3178</v>
      </c>
      <c r="B838" s="2" t="str">
        <f>IFERROR(INDEX(Movimientos!$C$2:$C$1993,MATCH(A838&amp;"ENTRADA",Movimientos!$R$2:$R$1993,0)),"-")</f>
        <v>-</v>
      </c>
      <c r="C838" s="2" t="str">
        <f>IFERROR(INDEX(Movimientos!$D$2:$D$1993,MATCH(A838&amp;"ENTRADA",Movimientos!$R$2:$R$1993,0)),"-")</f>
        <v>-</v>
      </c>
      <c r="D838" s="2" t="str">
        <f>IFERROR(INDEX(Movimientos!$E$2:$E$1993,MATCH(A838&amp;"ENTRADA",Movimientos!$R$2:$R$1993,0)),"-")</f>
        <v>-</v>
      </c>
      <c r="E838" s="2" t="str">
        <f>IFERROR(INDEX(Movimientos!$F$2:$F$1993,MATCH(A838&amp;"ENTRADA",Movimientos!$R$2:$R$1993,0)),"-")</f>
        <v>-</v>
      </c>
      <c r="F838" s="2" t="str">
        <f>IFERROR(INDEX(Movimientos!$G$2:$G$1993,MATCH(A838&amp;"ENTRADA",Movimientos!$R$2:$R$1993,0)),"-")</f>
        <v>-</v>
      </c>
      <c r="G838" s="2" t="str">
        <f>IFERROR(INDEX(Movimientos!$L$2:$L$1993,MATCH(A838&amp;"ENTRADA",Movimientos!$R$2:$R$1993,0)),"-")</f>
        <v>-</v>
      </c>
      <c r="H838" s="17" t="str">
        <f>IFERROR(IF(INDEX(Movimientos!$M$2:$M$1993,MATCH(A838&amp;"ENTRADA",Movimientos!$R$2:$R$1993,0))=0,"S/D",INDEX(Movimientos!$M$2:$M$1993,MATCH(A838&amp;"ENTRADA",Movimientos!$R$2:$R$1993,0))),"S/D")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3179</v>
      </c>
      <c r="B839" s="2" t="str">
        <f>IFERROR(INDEX(Movimientos!$C$2:$C$1993,MATCH(A839&amp;"ENTRADA",Movimientos!$R$2:$R$1993,0)),"-")</f>
        <v>-</v>
      </c>
      <c r="C839" s="2" t="str">
        <f>IFERROR(INDEX(Movimientos!$D$2:$D$1993,MATCH(A839&amp;"ENTRADA",Movimientos!$R$2:$R$1993,0)),"-")</f>
        <v>-</v>
      </c>
      <c r="D839" s="2" t="str">
        <f>IFERROR(INDEX(Movimientos!$E$2:$E$1993,MATCH(A839&amp;"ENTRADA",Movimientos!$R$2:$R$1993,0)),"-")</f>
        <v>-</v>
      </c>
      <c r="E839" s="2" t="str">
        <f>IFERROR(INDEX(Movimientos!$F$2:$F$1993,MATCH(A839&amp;"ENTRADA",Movimientos!$R$2:$R$1993,0)),"-")</f>
        <v>-</v>
      </c>
      <c r="F839" s="2" t="str">
        <f>IFERROR(INDEX(Movimientos!$G$2:$G$1993,MATCH(A839&amp;"ENTRADA",Movimientos!$R$2:$R$1993,0)),"-")</f>
        <v>-</v>
      </c>
      <c r="G839" s="2" t="str">
        <f>IFERROR(INDEX(Movimientos!$L$2:$L$1993,MATCH(A839&amp;"ENTRADA",Movimientos!$R$2:$R$1993,0)),"-")</f>
        <v>-</v>
      </c>
      <c r="H839" s="17" t="str">
        <f>IFERROR(IF(INDEX(Movimientos!$M$2:$M$1993,MATCH(A839&amp;"ENTRADA",Movimientos!$R$2:$R$1993,0))=0,"S/D",INDEX(Movimientos!$M$2:$M$1993,MATCH(A839&amp;"ENTRADA",Movimientos!$R$2:$R$1993,0))),"S/D")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3180</v>
      </c>
      <c r="B840" s="2" t="str">
        <f>IFERROR(INDEX(Movimientos!$C$2:$C$1993,MATCH(A840&amp;"ENTRADA",Movimientos!$R$2:$R$1993,0)),"-")</f>
        <v>-</v>
      </c>
      <c r="C840" s="2" t="str">
        <f>IFERROR(INDEX(Movimientos!$D$2:$D$1993,MATCH(A840&amp;"ENTRADA",Movimientos!$R$2:$R$1993,0)),"-")</f>
        <v>-</v>
      </c>
      <c r="D840" s="2" t="str">
        <f>IFERROR(INDEX(Movimientos!$E$2:$E$1993,MATCH(A840&amp;"ENTRADA",Movimientos!$R$2:$R$1993,0)),"-")</f>
        <v>-</v>
      </c>
      <c r="E840" s="2" t="str">
        <f>IFERROR(INDEX(Movimientos!$F$2:$F$1993,MATCH(A840&amp;"ENTRADA",Movimientos!$R$2:$R$1993,0)),"-")</f>
        <v>-</v>
      </c>
      <c r="F840" s="2" t="str">
        <f>IFERROR(INDEX(Movimientos!$G$2:$G$1993,MATCH(A840&amp;"ENTRADA",Movimientos!$R$2:$R$1993,0)),"-")</f>
        <v>-</v>
      </c>
      <c r="G840" s="2" t="str">
        <f>IFERROR(INDEX(Movimientos!$L$2:$L$1993,MATCH(A840&amp;"ENTRADA",Movimientos!$R$2:$R$1993,0)),"-")</f>
        <v>-</v>
      </c>
      <c r="H840" s="17" t="str">
        <f>IFERROR(IF(INDEX(Movimientos!$M$2:$M$1993,MATCH(A840&amp;"ENTRADA",Movimientos!$R$2:$R$1993,0))=0,"S/D",INDEX(Movimientos!$M$2:$M$1993,MATCH(A840&amp;"ENTRADA",Movimientos!$R$2:$R$1993,0))),"S/D")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3181</v>
      </c>
      <c r="B841" s="2" t="str">
        <f>IFERROR(INDEX(Movimientos!$C$2:$C$1993,MATCH(A841&amp;"ENTRADA",Movimientos!$R$2:$R$1993,0)),"-")</f>
        <v>-</v>
      </c>
      <c r="C841" s="2" t="str">
        <f>IFERROR(INDEX(Movimientos!$D$2:$D$1993,MATCH(A841&amp;"ENTRADA",Movimientos!$R$2:$R$1993,0)),"-")</f>
        <v>-</v>
      </c>
      <c r="D841" s="2" t="str">
        <f>IFERROR(INDEX(Movimientos!$E$2:$E$1993,MATCH(A841&amp;"ENTRADA",Movimientos!$R$2:$R$1993,0)),"-")</f>
        <v>-</v>
      </c>
      <c r="E841" s="2" t="str">
        <f>IFERROR(INDEX(Movimientos!$F$2:$F$1993,MATCH(A841&amp;"ENTRADA",Movimientos!$R$2:$R$1993,0)),"-")</f>
        <v>-</v>
      </c>
      <c r="F841" s="2" t="str">
        <f>IFERROR(INDEX(Movimientos!$G$2:$G$1993,MATCH(A841&amp;"ENTRADA",Movimientos!$R$2:$R$1993,0)),"-")</f>
        <v>-</v>
      </c>
      <c r="G841" s="2" t="str">
        <f>IFERROR(INDEX(Movimientos!$L$2:$L$1993,MATCH(A841&amp;"ENTRADA",Movimientos!$R$2:$R$1993,0)),"-")</f>
        <v>-</v>
      </c>
      <c r="H841" s="17" t="str">
        <f>IFERROR(IF(INDEX(Movimientos!$M$2:$M$1993,MATCH(A841&amp;"ENTRADA",Movimientos!$R$2:$R$1993,0))=0,"S/D",INDEX(Movimientos!$M$2:$M$1993,MATCH(A841&amp;"ENTRADA",Movimientos!$R$2:$R$1993,0))),"S/D")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3182</v>
      </c>
      <c r="B842" s="2" t="str">
        <f>IFERROR(INDEX(Movimientos!$C$2:$C$1993,MATCH(A842&amp;"ENTRADA",Movimientos!$R$2:$R$1993,0)),"-")</f>
        <v>-</v>
      </c>
      <c r="C842" s="2" t="str">
        <f>IFERROR(INDEX(Movimientos!$D$2:$D$1993,MATCH(A842&amp;"ENTRADA",Movimientos!$R$2:$R$1993,0)),"-")</f>
        <v>-</v>
      </c>
      <c r="D842" s="2" t="str">
        <f>IFERROR(INDEX(Movimientos!$E$2:$E$1993,MATCH(A842&amp;"ENTRADA",Movimientos!$R$2:$R$1993,0)),"-")</f>
        <v>-</v>
      </c>
      <c r="E842" s="2" t="str">
        <f>IFERROR(INDEX(Movimientos!$F$2:$F$1993,MATCH(A842&amp;"ENTRADA",Movimientos!$R$2:$R$1993,0)),"-")</f>
        <v>-</v>
      </c>
      <c r="F842" s="2" t="str">
        <f>IFERROR(INDEX(Movimientos!$G$2:$G$1993,MATCH(A842&amp;"ENTRADA",Movimientos!$R$2:$R$1993,0)),"-")</f>
        <v>-</v>
      </c>
      <c r="G842" s="2" t="str">
        <f>IFERROR(INDEX(Movimientos!$L$2:$L$1993,MATCH(A842&amp;"ENTRADA",Movimientos!$R$2:$R$1993,0)),"-")</f>
        <v>-</v>
      </c>
      <c r="H842" s="17" t="str">
        <f>IFERROR(IF(INDEX(Movimientos!$M$2:$M$1993,MATCH(A842&amp;"ENTRADA",Movimientos!$R$2:$R$1993,0))=0,"S/D",INDEX(Movimientos!$M$2:$M$1993,MATCH(A842&amp;"ENTRADA",Movimientos!$R$2:$R$1993,0))),"S/D")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3183</v>
      </c>
      <c r="B843" s="2" t="str">
        <f>IFERROR(INDEX(Movimientos!$C$2:$C$1993,MATCH(A843&amp;"ENTRADA",Movimientos!$R$2:$R$1993,0)),"-")</f>
        <v>-</v>
      </c>
      <c r="C843" s="2" t="str">
        <f>IFERROR(INDEX(Movimientos!$D$2:$D$1993,MATCH(A843&amp;"ENTRADA",Movimientos!$R$2:$R$1993,0)),"-")</f>
        <v>-</v>
      </c>
      <c r="D843" s="2" t="str">
        <f>IFERROR(INDEX(Movimientos!$E$2:$E$1993,MATCH(A843&amp;"ENTRADA",Movimientos!$R$2:$R$1993,0)),"-")</f>
        <v>-</v>
      </c>
      <c r="E843" s="2" t="str">
        <f>IFERROR(INDEX(Movimientos!$F$2:$F$1993,MATCH(A843&amp;"ENTRADA",Movimientos!$R$2:$R$1993,0)),"-")</f>
        <v>-</v>
      </c>
      <c r="F843" s="2" t="str">
        <f>IFERROR(INDEX(Movimientos!$G$2:$G$1993,MATCH(A843&amp;"ENTRADA",Movimientos!$R$2:$R$1993,0)),"-")</f>
        <v>-</v>
      </c>
      <c r="G843" s="2" t="str">
        <f>IFERROR(INDEX(Movimientos!$L$2:$L$1993,MATCH(A843&amp;"ENTRADA",Movimientos!$R$2:$R$1993,0)),"-")</f>
        <v>-</v>
      </c>
      <c r="H843" s="17" t="str">
        <f>IFERROR(IF(INDEX(Movimientos!$M$2:$M$1993,MATCH(A843&amp;"ENTRADA",Movimientos!$R$2:$R$1993,0))=0,"S/D",INDEX(Movimientos!$M$2:$M$1993,MATCH(A843&amp;"ENTRADA",Movimientos!$R$2:$R$1993,0))),"S/D")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3184</v>
      </c>
      <c r="B844" s="2" t="str">
        <f>IFERROR(INDEX(Movimientos!$C$2:$C$1993,MATCH(A844&amp;"ENTRADA",Movimientos!$R$2:$R$1993,0)),"-")</f>
        <v>-</v>
      </c>
      <c r="C844" s="2" t="str">
        <f>IFERROR(INDEX(Movimientos!$D$2:$D$1993,MATCH(A844&amp;"ENTRADA",Movimientos!$R$2:$R$1993,0)),"-")</f>
        <v>-</v>
      </c>
      <c r="D844" s="2" t="str">
        <f>IFERROR(INDEX(Movimientos!$E$2:$E$1993,MATCH(A844&amp;"ENTRADA",Movimientos!$R$2:$R$1993,0)),"-")</f>
        <v>-</v>
      </c>
      <c r="E844" s="2" t="str">
        <f>IFERROR(INDEX(Movimientos!$F$2:$F$1993,MATCH(A844&amp;"ENTRADA",Movimientos!$R$2:$R$1993,0)),"-")</f>
        <v>-</v>
      </c>
      <c r="F844" s="2" t="str">
        <f>IFERROR(INDEX(Movimientos!$G$2:$G$1993,MATCH(A844&amp;"ENTRADA",Movimientos!$R$2:$R$1993,0)),"-")</f>
        <v>-</v>
      </c>
      <c r="G844" s="2" t="str">
        <f>IFERROR(INDEX(Movimientos!$L$2:$L$1993,MATCH(A844&amp;"ENTRADA",Movimientos!$R$2:$R$1993,0)),"-")</f>
        <v>-</v>
      </c>
      <c r="H844" s="17" t="str">
        <f>IFERROR(IF(INDEX(Movimientos!$M$2:$M$1993,MATCH(A844&amp;"ENTRADA",Movimientos!$R$2:$R$1993,0))=0,"S/D",INDEX(Movimientos!$M$2:$M$1993,MATCH(A844&amp;"ENTRADA",Movimientos!$R$2:$R$1993,0))),"S/D")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3185</v>
      </c>
      <c r="B845" s="2" t="str">
        <f>IFERROR(INDEX(Movimientos!$C$2:$C$1993,MATCH(A845&amp;"ENTRADA",Movimientos!$R$2:$R$1993,0)),"-")</f>
        <v>-</v>
      </c>
      <c r="C845" s="2" t="str">
        <f>IFERROR(INDEX(Movimientos!$D$2:$D$1993,MATCH(A845&amp;"ENTRADA",Movimientos!$R$2:$R$1993,0)),"-")</f>
        <v>-</v>
      </c>
      <c r="D845" s="2" t="str">
        <f>IFERROR(INDEX(Movimientos!$E$2:$E$1993,MATCH(A845&amp;"ENTRADA",Movimientos!$R$2:$R$1993,0)),"-")</f>
        <v>-</v>
      </c>
      <c r="E845" s="2" t="str">
        <f>IFERROR(INDEX(Movimientos!$F$2:$F$1993,MATCH(A845&amp;"ENTRADA",Movimientos!$R$2:$R$1993,0)),"-")</f>
        <v>-</v>
      </c>
      <c r="F845" s="2" t="str">
        <f>IFERROR(INDEX(Movimientos!$G$2:$G$1993,MATCH(A845&amp;"ENTRADA",Movimientos!$R$2:$R$1993,0)),"-")</f>
        <v>-</v>
      </c>
      <c r="G845" s="2" t="str">
        <f>IFERROR(INDEX(Movimientos!$L$2:$L$1993,MATCH(A845&amp;"ENTRADA",Movimientos!$R$2:$R$1993,0)),"-")</f>
        <v>-</v>
      </c>
      <c r="H845" s="17" t="str">
        <f>IFERROR(IF(INDEX(Movimientos!$M$2:$M$1993,MATCH(A845&amp;"ENTRADA",Movimientos!$R$2:$R$1993,0))=0,"S/D",INDEX(Movimientos!$M$2:$M$1993,MATCH(A845&amp;"ENTRADA",Movimientos!$R$2:$R$1993,0))),"S/D")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3186</v>
      </c>
      <c r="B846" s="2" t="str">
        <f>IFERROR(INDEX(Movimientos!$C$2:$C$1993,MATCH(A846&amp;"ENTRADA",Movimientos!$R$2:$R$1993,0)),"-")</f>
        <v>-</v>
      </c>
      <c r="C846" s="2" t="str">
        <f>IFERROR(INDEX(Movimientos!$D$2:$D$1993,MATCH(A846&amp;"ENTRADA",Movimientos!$R$2:$R$1993,0)),"-")</f>
        <v>-</v>
      </c>
      <c r="D846" s="2" t="str">
        <f>IFERROR(INDEX(Movimientos!$E$2:$E$1993,MATCH(A846&amp;"ENTRADA",Movimientos!$R$2:$R$1993,0)),"-")</f>
        <v>-</v>
      </c>
      <c r="E846" s="2" t="str">
        <f>IFERROR(INDEX(Movimientos!$F$2:$F$1993,MATCH(A846&amp;"ENTRADA",Movimientos!$R$2:$R$1993,0)),"-")</f>
        <v>-</v>
      </c>
      <c r="F846" s="2" t="str">
        <f>IFERROR(INDEX(Movimientos!$G$2:$G$1993,MATCH(A846&amp;"ENTRADA",Movimientos!$R$2:$R$1993,0)),"-")</f>
        <v>-</v>
      </c>
      <c r="G846" s="2" t="str">
        <f>IFERROR(INDEX(Movimientos!$L$2:$L$1993,MATCH(A846&amp;"ENTRADA",Movimientos!$R$2:$R$1993,0)),"-")</f>
        <v>-</v>
      </c>
      <c r="H846" s="17" t="str">
        <f>IFERROR(IF(INDEX(Movimientos!$M$2:$M$1993,MATCH(A846&amp;"ENTRADA",Movimientos!$R$2:$R$1993,0))=0,"S/D",INDEX(Movimientos!$M$2:$M$1993,MATCH(A846&amp;"ENTRADA",Movimientos!$R$2:$R$1993,0))),"S/D")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3187</v>
      </c>
      <c r="B847" s="2" t="str">
        <f>IFERROR(INDEX(Movimientos!$C$2:$C$1993,MATCH(A847&amp;"ENTRADA",Movimientos!$R$2:$R$1993,0)),"-")</f>
        <v>-</v>
      </c>
      <c r="C847" s="2" t="str">
        <f>IFERROR(INDEX(Movimientos!$D$2:$D$1993,MATCH(A847&amp;"ENTRADA",Movimientos!$R$2:$R$1993,0)),"-")</f>
        <v>-</v>
      </c>
      <c r="D847" s="2" t="str">
        <f>IFERROR(INDEX(Movimientos!$E$2:$E$1993,MATCH(A847&amp;"ENTRADA",Movimientos!$R$2:$R$1993,0)),"-")</f>
        <v>-</v>
      </c>
      <c r="E847" s="2" t="str">
        <f>IFERROR(INDEX(Movimientos!$F$2:$F$1993,MATCH(A847&amp;"ENTRADA",Movimientos!$R$2:$R$1993,0)),"-")</f>
        <v>-</v>
      </c>
      <c r="F847" s="2" t="str">
        <f>IFERROR(INDEX(Movimientos!$G$2:$G$1993,MATCH(A847&amp;"ENTRADA",Movimientos!$R$2:$R$1993,0)),"-")</f>
        <v>-</v>
      </c>
      <c r="G847" s="2" t="str">
        <f>IFERROR(INDEX(Movimientos!$L$2:$L$1993,MATCH(A847&amp;"ENTRADA",Movimientos!$R$2:$R$1993,0)),"-")</f>
        <v>-</v>
      </c>
      <c r="H847" s="17" t="str">
        <f>IFERROR(IF(INDEX(Movimientos!$M$2:$M$1993,MATCH(A847&amp;"ENTRADA",Movimientos!$R$2:$R$1993,0))=0,"S/D",INDEX(Movimientos!$M$2:$M$1993,MATCH(A847&amp;"ENTRADA",Movimientos!$R$2:$R$1993,0))),"S/D")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3188</v>
      </c>
      <c r="B848" s="2" t="str">
        <f>IFERROR(INDEX(Movimientos!$C$2:$C$1993,MATCH(A848&amp;"ENTRADA",Movimientos!$R$2:$R$1993,0)),"-")</f>
        <v>-</v>
      </c>
      <c r="C848" s="2" t="str">
        <f>IFERROR(INDEX(Movimientos!$D$2:$D$1993,MATCH(A848&amp;"ENTRADA",Movimientos!$R$2:$R$1993,0)),"-")</f>
        <v>-</v>
      </c>
      <c r="D848" s="2" t="str">
        <f>IFERROR(INDEX(Movimientos!$E$2:$E$1993,MATCH(A848&amp;"ENTRADA",Movimientos!$R$2:$R$1993,0)),"-")</f>
        <v>-</v>
      </c>
      <c r="E848" s="2" t="str">
        <f>IFERROR(INDEX(Movimientos!$F$2:$F$1993,MATCH(A848&amp;"ENTRADA",Movimientos!$R$2:$R$1993,0)),"-")</f>
        <v>-</v>
      </c>
      <c r="F848" s="2" t="str">
        <f>IFERROR(INDEX(Movimientos!$G$2:$G$1993,MATCH(A848&amp;"ENTRADA",Movimientos!$R$2:$R$1993,0)),"-")</f>
        <v>-</v>
      </c>
      <c r="G848" s="2" t="str">
        <f>IFERROR(INDEX(Movimientos!$L$2:$L$1993,MATCH(A848&amp;"ENTRADA",Movimientos!$R$2:$R$1993,0)),"-")</f>
        <v>-</v>
      </c>
      <c r="H848" s="17" t="str">
        <f>IFERROR(IF(INDEX(Movimientos!$M$2:$M$1993,MATCH(A848&amp;"ENTRADA",Movimientos!$R$2:$R$1993,0))=0,"S/D",INDEX(Movimientos!$M$2:$M$1993,MATCH(A848&amp;"ENTRADA",Movimientos!$R$2:$R$1993,0))),"S/D")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3189</v>
      </c>
      <c r="B849" s="2" t="str">
        <f>IFERROR(INDEX(Movimientos!$C$2:$C$1993,MATCH(A849&amp;"ENTRADA",Movimientos!$R$2:$R$1993,0)),"-")</f>
        <v>-</v>
      </c>
      <c r="C849" s="2" t="str">
        <f>IFERROR(INDEX(Movimientos!$D$2:$D$1993,MATCH(A849&amp;"ENTRADA",Movimientos!$R$2:$R$1993,0)),"-")</f>
        <v>-</v>
      </c>
      <c r="D849" s="2" t="str">
        <f>IFERROR(INDEX(Movimientos!$E$2:$E$1993,MATCH(A849&amp;"ENTRADA",Movimientos!$R$2:$R$1993,0)),"-")</f>
        <v>-</v>
      </c>
      <c r="E849" s="2" t="str">
        <f>IFERROR(INDEX(Movimientos!$F$2:$F$1993,MATCH(A849&amp;"ENTRADA",Movimientos!$R$2:$R$1993,0)),"-")</f>
        <v>-</v>
      </c>
      <c r="F849" s="2" t="str">
        <f>IFERROR(INDEX(Movimientos!$G$2:$G$1993,MATCH(A849&amp;"ENTRADA",Movimientos!$R$2:$R$1993,0)),"-")</f>
        <v>-</v>
      </c>
      <c r="G849" s="2" t="str">
        <f>IFERROR(INDEX(Movimientos!$L$2:$L$1993,MATCH(A849&amp;"ENTRADA",Movimientos!$R$2:$R$1993,0)),"-")</f>
        <v>-</v>
      </c>
      <c r="H849" s="17" t="str">
        <f>IFERROR(IF(INDEX(Movimientos!$M$2:$M$1993,MATCH(A849&amp;"ENTRADA",Movimientos!$R$2:$R$1993,0))=0,"S/D",INDEX(Movimientos!$M$2:$M$1993,MATCH(A849&amp;"ENTRADA",Movimientos!$R$2:$R$1993,0))),"S/D")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3190</v>
      </c>
      <c r="B850" s="2" t="str">
        <f>IFERROR(INDEX(Movimientos!$C$2:$C$1993,MATCH(A850&amp;"ENTRADA",Movimientos!$R$2:$R$1993,0)),"-")</f>
        <v>-</v>
      </c>
      <c r="C850" s="2" t="str">
        <f>IFERROR(INDEX(Movimientos!$D$2:$D$1993,MATCH(A850&amp;"ENTRADA",Movimientos!$R$2:$R$1993,0)),"-")</f>
        <v>-</v>
      </c>
      <c r="D850" s="2" t="str">
        <f>IFERROR(INDEX(Movimientos!$E$2:$E$1993,MATCH(A850&amp;"ENTRADA",Movimientos!$R$2:$R$1993,0)),"-")</f>
        <v>-</v>
      </c>
      <c r="E850" s="2" t="str">
        <f>IFERROR(INDEX(Movimientos!$F$2:$F$1993,MATCH(A850&amp;"ENTRADA",Movimientos!$R$2:$R$1993,0)),"-")</f>
        <v>-</v>
      </c>
      <c r="F850" s="2" t="str">
        <f>IFERROR(INDEX(Movimientos!$G$2:$G$1993,MATCH(A850&amp;"ENTRADA",Movimientos!$R$2:$R$1993,0)),"-")</f>
        <v>-</v>
      </c>
      <c r="G850" s="2" t="str">
        <f>IFERROR(INDEX(Movimientos!$L$2:$L$1993,MATCH(A850&amp;"ENTRADA",Movimientos!$R$2:$R$1993,0)),"-")</f>
        <v>-</v>
      </c>
      <c r="H850" s="17" t="str">
        <f>IFERROR(IF(INDEX(Movimientos!$M$2:$M$1993,MATCH(A850&amp;"ENTRADA",Movimientos!$R$2:$R$1993,0))=0,"S/D",INDEX(Movimientos!$M$2:$M$1993,MATCH(A850&amp;"ENTRADA",Movimientos!$R$2:$R$1993,0))),"S/D")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3191</v>
      </c>
      <c r="B851" s="2" t="str">
        <f>IFERROR(INDEX(Movimientos!$C$2:$C$1993,MATCH(A851&amp;"ENTRADA",Movimientos!$R$2:$R$1993,0)),"-")</f>
        <v>-</v>
      </c>
      <c r="C851" s="2" t="str">
        <f>IFERROR(INDEX(Movimientos!$D$2:$D$1993,MATCH(A851&amp;"ENTRADA",Movimientos!$R$2:$R$1993,0)),"-")</f>
        <v>-</v>
      </c>
      <c r="D851" s="2" t="str">
        <f>IFERROR(INDEX(Movimientos!$E$2:$E$1993,MATCH(A851&amp;"ENTRADA",Movimientos!$R$2:$R$1993,0)),"-")</f>
        <v>-</v>
      </c>
      <c r="E851" s="2" t="str">
        <f>IFERROR(INDEX(Movimientos!$F$2:$F$1993,MATCH(A851&amp;"ENTRADA",Movimientos!$R$2:$R$1993,0)),"-")</f>
        <v>-</v>
      </c>
      <c r="F851" s="2" t="str">
        <f>IFERROR(INDEX(Movimientos!$G$2:$G$1993,MATCH(A851&amp;"ENTRADA",Movimientos!$R$2:$R$1993,0)),"-")</f>
        <v>-</v>
      </c>
      <c r="G851" s="2" t="str">
        <f>IFERROR(INDEX(Movimientos!$L$2:$L$1993,MATCH(A851&amp;"ENTRADA",Movimientos!$R$2:$R$1993,0)),"-")</f>
        <v>-</v>
      </c>
      <c r="H851" s="17" t="str">
        <f>IFERROR(IF(INDEX(Movimientos!$M$2:$M$1993,MATCH(A851&amp;"ENTRADA",Movimientos!$R$2:$R$1993,0))=0,"S/D",INDEX(Movimientos!$M$2:$M$1993,MATCH(A851&amp;"ENTRADA",Movimientos!$R$2:$R$1993,0))),"S/D")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3192</v>
      </c>
      <c r="B852" s="2" t="str">
        <f>IFERROR(INDEX(Movimientos!$C$2:$C$1993,MATCH(A852&amp;"ENTRADA",Movimientos!$R$2:$R$1993,0)),"-")</f>
        <v>-</v>
      </c>
      <c r="C852" s="2" t="str">
        <f>IFERROR(INDEX(Movimientos!$D$2:$D$1993,MATCH(A852&amp;"ENTRADA",Movimientos!$R$2:$R$1993,0)),"-")</f>
        <v>-</v>
      </c>
      <c r="D852" s="2" t="str">
        <f>IFERROR(INDEX(Movimientos!$E$2:$E$1993,MATCH(A852&amp;"ENTRADA",Movimientos!$R$2:$R$1993,0)),"-")</f>
        <v>-</v>
      </c>
      <c r="E852" s="2" t="str">
        <f>IFERROR(INDEX(Movimientos!$F$2:$F$1993,MATCH(A852&amp;"ENTRADA",Movimientos!$R$2:$R$1993,0)),"-")</f>
        <v>-</v>
      </c>
      <c r="F852" s="2" t="str">
        <f>IFERROR(INDEX(Movimientos!$G$2:$G$1993,MATCH(A852&amp;"ENTRADA",Movimientos!$R$2:$R$1993,0)),"-")</f>
        <v>-</v>
      </c>
      <c r="G852" s="2" t="str">
        <f>IFERROR(INDEX(Movimientos!$L$2:$L$1993,MATCH(A852&amp;"ENTRADA",Movimientos!$R$2:$R$1993,0)),"-")</f>
        <v>-</v>
      </c>
      <c r="H852" s="17" t="str">
        <f>IFERROR(IF(INDEX(Movimientos!$M$2:$M$1993,MATCH(A852&amp;"ENTRADA",Movimientos!$R$2:$R$1993,0))=0,"S/D",INDEX(Movimientos!$M$2:$M$1993,MATCH(A852&amp;"ENTRADA",Movimientos!$R$2:$R$1993,0))),"S/D")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3193</v>
      </c>
      <c r="B853" s="2" t="str">
        <f>IFERROR(INDEX(Movimientos!$C$2:$C$1993,MATCH(A853&amp;"ENTRADA",Movimientos!$R$2:$R$1993,0)),"-")</f>
        <v>-</v>
      </c>
      <c r="C853" s="2" t="str">
        <f>IFERROR(INDEX(Movimientos!$D$2:$D$1993,MATCH(A853&amp;"ENTRADA",Movimientos!$R$2:$R$1993,0)),"-")</f>
        <v>-</v>
      </c>
      <c r="D853" s="2" t="str">
        <f>IFERROR(INDEX(Movimientos!$E$2:$E$1993,MATCH(A853&amp;"ENTRADA",Movimientos!$R$2:$R$1993,0)),"-")</f>
        <v>-</v>
      </c>
      <c r="E853" s="2" t="str">
        <f>IFERROR(INDEX(Movimientos!$F$2:$F$1993,MATCH(A853&amp;"ENTRADA",Movimientos!$R$2:$R$1993,0)),"-")</f>
        <v>-</v>
      </c>
      <c r="F853" s="2" t="str">
        <f>IFERROR(INDEX(Movimientos!$G$2:$G$1993,MATCH(A853&amp;"ENTRADA",Movimientos!$R$2:$R$1993,0)),"-")</f>
        <v>-</v>
      </c>
      <c r="G853" s="2" t="str">
        <f>IFERROR(INDEX(Movimientos!$L$2:$L$1993,MATCH(A853&amp;"ENTRADA",Movimientos!$R$2:$R$1993,0)),"-")</f>
        <v>-</v>
      </c>
      <c r="H853" s="17" t="str">
        <f>IFERROR(IF(INDEX(Movimientos!$M$2:$M$1993,MATCH(A853&amp;"ENTRADA",Movimientos!$R$2:$R$1993,0))=0,"S/D",INDEX(Movimientos!$M$2:$M$1993,MATCH(A853&amp;"ENTRADA",Movimientos!$R$2:$R$1993,0))),"S/D")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3194</v>
      </c>
      <c r="B854" s="2" t="str">
        <f>IFERROR(INDEX(Movimientos!$C$2:$C$1993,MATCH(A854&amp;"ENTRADA",Movimientos!$R$2:$R$1993,0)),"-")</f>
        <v>-</v>
      </c>
      <c r="C854" s="2" t="str">
        <f>IFERROR(INDEX(Movimientos!$D$2:$D$1993,MATCH(A854&amp;"ENTRADA",Movimientos!$R$2:$R$1993,0)),"-")</f>
        <v>-</v>
      </c>
      <c r="D854" s="2" t="str">
        <f>IFERROR(INDEX(Movimientos!$E$2:$E$1993,MATCH(A854&amp;"ENTRADA",Movimientos!$R$2:$R$1993,0)),"-")</f>
        <v>-</v>
      </c>
      <c r="E854" s="2" t="str">
        <f>IFERROR(INDEX(Movimientos!$F$2:$F$1993,MATCH(A854&amp;"ENTRADA",Movimientos!$R$2:$R$1993,0)),"-")</f>
        <v>-</v>
      </c>
      <c r="F854" s="2" t="str">
        <f>IFERROR(INDEX(Movimientos!$G$2:$G$1993,MATCH(A854&amp;"ENTRADA",Movimientos!$R$2:$R$1993,0)),"-")</f>
        <v>-</v>
      </c>
      <c r="G854" s="2" t="str">
        <f>IFERROR(INDEX(Movimientos!$L$2:$L$1993,MATCH(A854&amp;"ENTRADA",Movimientos!$R$2:$R$1993,0)),"-")</f>
        <v>-</v>
      </c>
      <c r="H854" s="17" t="str">
        <f>IFERROR(IF(INDEX(Movimientos!$M$2:$M$1993,MATCH(A854&amp;"ENTRADA",Movimientos!$R$2:$R$1993,0))=0,"S/D",INDEX(Movimientos!$M$2:$M$1993,MATCH(A854&amp;"ENTRADA",Movimientos!$R$2:$R$1993,0))),"S/D")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3195</v>
      </c>
      <c r="B855" s="2" t="str">
        <f>IFERROR(INDEX(Movimientos!$C$2:$C$1993,MATCH(A855&amp;"ENTRADA",Movimientos!$R$2:$R$1993,0)),"-")</f>
        <v>-</v>
      </c>
      <c r="C855" s="2" t="str">
        <f>IFERROR(INDEX(Movimientos!$D$2:$D$1993,MATCH(A855&amp;"ENTRADA",Movimientos!$R$2:$R$1993,0)),"-")</f>
        <v>-</v>
      </c>
      <c r="D855" s="2" t="str">
        <f>IFERROR(INDEX(Movimientos!$E$2:$E$1993,MATCH(A855&amp;"ENTRADA",Movimientos!$R$2:$R$1993,0)),"-")</f>
        <v>-</v>
      </c>
      <c r="E855" s="2" t="str">
        <f>IFERROR(INDEX(Movimientos!$F$2:$F$1993,MATCH(A855&amp;"ENTRADA",Movimientos!$R$2:$R$1993,0)),"-")</f>
        <v>-</v>
      </c>
      <c r="F855" s="2" t="str">
        <f>IFERROR(INDEX(Movimientos!$G$2:$G$1993,MATCH(A855&amp;"ENTRADA",Movimientos!$R$2:$R$1993,0)),"-")</f>
        <v>-</v>
      </c>
      <c r="G855" s="2" t="str">
        <f>IFERROR(INDEX(Movimientos!$L$2:$L$1993,MATCH(A855&amp;"ENTRADA",Movimientos!$R$2:$R$1993,0)),"-")</f>
        <v>-</v>
      </c>
      <c r="H855" s="17" t="str">
        <f>IFERROR(IF(INDEX(Movimientos!$M$2:$M$1993,MATCH(A855&amp;"ENTRADA",Movimientos!$R$2:$R$1993,0))=0,"S/D",INDEX(Movimientos!$M$2:$M$1993,MATCH(A855&amp;"ENTRADA",Movimientos!$R$2:$R$1993,0))),"S/D")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3196</v>
      </c>
      <c r="B856" s="2" t="str">
        <f>IFERROR(INDEX(Movimientos!$C$2:$C$1993,MATCH(A856&amp;"ENTRADA",Movimientos!$R$2:$R$1993,0)),"-")</f>
        <v>-</v>
      </c>
      <c r="C856" s="2" t="str">
        <f>IFERROR(INDEX(Movimientos!$D$2:$D$1993,MATCH(A856&amp;"ENTRADA",Movimientos!$R$2:$R$1993,0)),"-")</f>
        <v>-</v>
      </c>
      <c r="D856" s="2" t="str">
        <f>IFERROR(INDEX(Movimientos!$E$2:$E$1993,MATCH(A856&amp;"ENTRADA",Movimientos!$R$2:$R$1993,0)),"-")</f>
        <v>-</v>
      </c>
      <c r="E856" s="2" t="str">
        <f>IFERROR(INDEX(Movimientos!$F$2:$F$1993,MATCH(A856&amp;"ENTRADA",Movimientos!$R$2:$R$1993,0)),"-")</f>
        <v>-</v>
      </c>
      <c r="F856" s="2" t="str">
        <f>IFERROR(INDEX(Movimientos!$G$2:$G$1993,MATCH(A856&amp;"ENTRADA",Movimientos!$R$2:$R$1993,0)),"-")</f>
        <v>-</v>
      </c>
      <c r="G856" s="2" t="str">
        <f>IFERROR(INDEX(Movimientos!$L$2:$L$1993,MATCH(A856&amp;"ENTRADA",Movimientos!$R$2:$R$1993,0)),"-")</f>
        <v>-</v>
      </c>
      <c r="H856" s="17" t="str">
        <f>IFERROR(IF(INDEX(Movimientos!$M$2:$M$1993,MATCH(A856&amp;"ENTRADA",Movimientos!$R$2:$R$1993,0))=0,"S/D",INDEX(Movimientos!$M$2:$M$1993,MATCH(A856&amp;"ENTRADA",Movimientos!$R$2:$R$1993,0))),"S/D")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3197</v>
      </c>
      <c r="B857" s="2" t="str">
        <f>IFERROR(INDEX(Movimientos!$C$2:$C$1993,MATCH(A857&amp;"ENTRADA",Movimientos!$R$2:$R$1993,0)),"-")</f>
        <v>-</v>
      </c>
      <c r="C857" s="2" t="str">
        <f>IFERROR(INDEX(Movimientos!$D$2:$D$1993,MATCH(A857&amp;"ENTRADA",Movimientos!$R$2:$R$1993,0)),"-")</f>
        <v>-</v>
      </c>
      <c r="D857" s="2" t="str">
        <f>IFERROR(INDEX(Movimientos!$E$2:$E$1993,MATCH(A857&amp;"ENTRADA",Movimientos!$R$2:$R$1993,0)),"-")</f>
        <v>-</v>
      </c>
      <c r="E857" s="2" t="str">
        <f>IFERROR(INDEX(Movimientos!$F$2:$F$1993,MATCH(A857&amp;"ENTRADA",Movimientos!$R$2:$R$1993,0)),"-")</f>
        <v>-</v>
      </c>
      <c r="F857" s="2" t="str">
        <f>IFERROR(INDEX(Movimientos!$G$2:$G$1993,MATCH(A857&amp;"ENTRADA",Movimientos!$R$2:$R$1993,0)),"-")</f>
        <v>-</v>
      </c>
      <c r="G857" s="2" t="str">
        <f>IFERROR(INDEX(Movimientos!$L$2:$L$1993,MATCH(A857&amp;"ENTRADA",Movimientos!$R$2:$R$1993,0)),"-")</f>
        <v>-</v>
      </c>
      <c r="H857" s="17" t="str">
        <f>IFERROR(IF(INDEX(Movimientos!$M$2:$M$1993,MATCH(A857&amp;"ENTRADA",Movimientos!$R$2:$R$1993,0))=0,"S/D",INDEX(Movimientos!$M$2:$M$1993,MATCH(A857&amp;"ENTRADA",Movimientos!$R$2:$R$1993,0))),"S/D")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3198</v>
      </c>
      <c r="B858" s="2" t="str">
        <f>IFERROR(INDEX(Movimientos!$C$2:$C$1993,MATCH(A858&amp;"ENTRADA",Movimientos!$R$2:$R$1993,0)),"-")</f>
        <v>-</v>
      </c>
      <c r="C858" s="2" t="str">
        <f>IFERROR(INDEX(Movimientos!$D$2:$D$1993,MATCH(A858&amp;"ENTRADA",Movimientos!$R$2:$R$1993,0)),"-")</f>
        <v>-</v>
      </c>
      <c r="D858" s="2" t="str">
        <f>IFERROR(INDEX(Movimientos!$E$2:$E$1993,MATCH(A858&amp;"ENTRADA",Movimientos!$R$2:$R$1993,0)),"-")</f>
        <v>-</v>
      </c>
      <c r="E858" s="2" t="str">
        <f>IFERROR(INDEX(Movimientos!$F$2:$F$1993,MATCH(A858&amp;"ENTRADA",Movimientos!$R$2:$R$1993,0)),"-")</f>
        <v>-</v>
      </c>
      <c r="F858" s="2" t="str">
        <f>IFERROR(INDEX(Movimientos!$G$2:$G$1993,MATCH(A858&amp;"ENTRADA",Movimientos!$R$2:$R$1993,0)),"-")</f>
        <v>-</v>
      </c>
      <c r="G858" s="2" t="str">
        <f>IFERROR(INDEX(Movimientos!$L$2:$L$1993,MATCH(A858&amp;"ENTRADA",Movimientos!$R$2:$R$1993,0)),"-")</f>
        <v>-</v>
      </c>
      <c r="H858" s="17" t="str">
        <f>IFERROR(IF(INDEX(Movimientos!$M$2:$M$1993,MATCH(A858&amp;"ENTRADA",Movimientos!$R$2:$R$1993,0))=0,"S/D",INDEX(Movimientos!$M$2:$M$1993,MATCH(A858&amp;"ENTRADA",Movimientos!$R$2:$R$1993,0))),"S/D")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3199</v>
      </c>
      <c r="B859" s="2" t="str">
        <f>IFERROR(INDEX(Movimientos!$C$2:$C$1993,MATCH(A859&amp;"ENTRADA",Movimientos!$R$2:$R$1993,0)),"-")</f>
        <v>-</v>
      </c>
      <c r="C859" s="2" t="str">
        <f>IFERROR(INDEX(Movimientos!$D$2:$D$1993,MATCH(A859&amp;"ENTRADA",Movimientos!$R$2:$R$1993,0)),"-")</f>
        <v>-</v>
      </c>
      <c r="D859" s="2" t="str">
        <f>IFERROR(INDEX(Movimientos!$E$2:$E$1993,MATCH(A859&amp;"ENTRADA",Movimientos!$R$2:$R$1993,0)),"-")</f>
        <v>-</v>
      </c>
      <c r="E859" s="2" t="str">
        <f>IFERROR(INDEX(Movimientos!$F$2:$F$1993,MATCH(A859&amp;"ENTRADA",Movimientos!$R$2:$R$1993,0)),"-")</f>
        <v>-</v>
      </c>
      <c r="F859" s="2" t="str">
        <f>IFERROR(INDEX(Movimientos!$G$2:$G$1993,MATCH(A859&amp;"ENTRADA",Movimientos!$R$2:$R$1993,0)),"-")</f>
        <v>-</v>
      </c>
      <c r="G859" s="2" t="str">
        <f>IFERROR(INDEX(Movimientos!$L$2:$L$1993,MATCH(A859&amp;"ENTRADA",Movimientos!$R$2:$R$1993,0)),"-")</f>
        <v>-</v>
      </c>
      <c r="H859" s="17" t="str">
        <f>IFERROR(IF(INDEX(Movimientos!$M$2:$M$1993,MATCH(A859&amp;"ENTRADA",Movimientos!$R$2:$R$1993,0))=0,"S/D",INDEX(Movimientos!$M$2:$M$1993,MATCH(A859&amp;"ENTRADA",Movimientos!$R$2:$R$1993,0))),"S/D")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3200</v>
      </c>
      <c r="B860" s="2" t="str">
        <f>IFERROR(INDEX(Movimientos!$C$2:$C$1993,MATCH(A860&amp;"ENTRADA",Movimientos!$R$2:$R$1993,0)),"-")</f>
        <v>-</v>
      </c>
      <c r="C860" s="2" t="str">
        <f>IFERROR(INDEX(Movimientos!$D$2:$D$1993,MATCH(A860&amp;"ENTRADA",Movimientos!$R$2:$R$1993,0)),"-")</f>
        <v>-</v>
      </c>
      <c r="D860" s="2" t="str">
        <f>IFERROR(INDEX(Movimientos!$E$2:$E$1993,MATCH(A860&amp;"ENTRADA",Movimientos!$R$2:$R$1993,0)),"-")</f>
        <v>-</v>
      </c>
      <c r="E860" s="2" t="str">
        <f>IFERROR(INDEX(Movimientos!$F$2:$F$1993,MATCH(A860&amp;"ENTRADA",Movimientos!$R$2:$R$1993,0)),"-")</f>
        <v>-</v>
      </c>
      <c r="F860" s="2" t="str">
        <f>IFERROR(INDEX(Movimientos!$G$2:$G$1993,MATCH(A860&amp;"ENTRADA",Movimientos!$R$2:$R$1993,0)),"-")</f>
        <v>-</v>
      </c>
      <c r="G860" s="2" t="str">
        <f>IFERROR(INDEX(Movimientos!$L$2:$L$1993,MATCH(A860&amp;"ENTRADA",Movimientos!$R$2:$R$1993,0)),"-")</f>
        <v>-</v>
      </c>
      <c r="H860" s="17" t="str">
        <f>IFERROR(IF(INDEX(Movimientos!$M$2:$M$1993,MATCH(A860&amp;"ENTRADA",Movimientos!$R$2:$R$1993,0))=0,"S/D",INDEX(Movimientos!$M$2:$M$1993,MATCH(A860&amp;"ENTRADA",Movimientos!$R$2:$R$1993,0))),"S/D")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3201</v>
      </c>
      <c r="B861" s="2" t="str">
        <f>IFERROR(INDEX(Movimientos!$C$2:$C$1993,MATCH(A861&amp;"ENTRADA",Movimientos!$R$2:$R$1993,0)),"-")</f>
        <v>-</v>
      </c>
      <c r="C861" s="2" t="str">
        <f>IFERROR(INDEX(Movimientos!$D$2:$D$1993,MATCH(A861&amp;"ENTRADA",Movimientos!$R$2:$R$1993,0)),"-")</f>
        <v>-</v>
      </c>
      <c r="D861" s="2" t="str">
        <f>IFERROR(INDEX(Movimientos!$E$2:$E$1993,MATCH(A861&amp;"ENTRADA",Movimientos!$R$2:$R$1993,0)),"-")</f>
        <v>-</v>
      </c>
      <c r="E861" s="2" t="str">
        <f>IFERROR(INDEX(Movimientos!$F$2:$F$1993,MATCH(A861&amp;"ENTRADA",Movimientos!$R$2:$R$1993,0)),"-")</f>
        <v>-</v>
      </c>
      <c r="F861" s="2" t="str">
        <f>IFERROR(INDEX(Movimientos!$G$2:$G$1993,MATCH(A861&amp;"ENTRADA",Movimientos!$R$2:$R$1993,0)),"-")</f>
        <v>-</v>
      </c>
      <c r="G861" s="2" t="str">
        <f>IFERROR(INDEX(Movimientos!$L$2:$L$1993,MATCH(A861&amp;"ENTRADA",Movimientos!$R$2:$R$1993,0)),"-")</f>
        <v>-</v>
      </c>
      <c r="H861" s="17" t="str">
        <f>IFERROR(IF(INDEX(Movimientos!$M$2:$M$1993,MATCH(A861&amp;"ENTRADA",Movimientos!$R$2:$R$1993,0))=0,"S/D",INDEX(Movimientos!$M$2:$M$1993,MATCH(A861&amp;"ENTRADA",Movimientos!$R$2:$R$1993,0))),"S/D")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3202</v>
      </c>
      <c r="B862" s="2" t="str">
        <f>IFERROR(INDEX(Movimientos!$C$2:$C$1993,MATCH(A862&amp;"ENTRADA",Movimientos!$R$2:$R$1993,0)),"-")</f>
        <v>-</v>
      </c>
      <c r="C862" s="2" t="str">
        <f>IFERROR(INDEX(Movimientos!$D$2:$D$1993,MATCH(A862&amp;"ENTRADA",Movimientos!$R$2:$R$1993,0)),"-")</f>
        <v>-</v>
      </c>
      <c r="D862" s="2" t="str">
        <f>IFERROR(INDEX(Movimientos!$E$2:$E$1993,MATCH(A862&amp;"ENTRADA",Movimientos!$R$2:$R$1993,0)),"-")</f>
        <v>-</v>
      </c>
      <c r="E862" s="2" t="str">
        <f>IFERROR(INDEX(Movimientos!$F$2:$F$1993,MATCH(A862&amp;"ENTRADA",Movimientos!$R$2:$R$1993,0)),"-")</f>
        <v>-</v>
      </c>
      <c r="F862" s="2" t="str">
        <f>IFERROR(INDEX(Movimientos!$G$2:$G$1993,MATCH(A862&amp;"ENTRADA",Movimientos!$R$2:$R$1993,0)),"-")</f>
        <v>-</v>
      </c>
      <c r="G862" s="2" t="str">
        <f>IFERROR(INDEX(Movimientos!$L$2:$L$1993,MATCH(A862&amp;"ENTRADA",Movimientos!$R$2:$R$1993,0)),"-")</f>
        <v>-</v>
      </c>
      <c r="H862" s="17" t="str">
        <f>IFERROR(IF(INDEX(Movimientos!$M$2:$M$1993,MATCH(A862&amp;"ENTRADA",Movimientos!$R$2:$R$1993,0))=0,"S/D",INDEX(Movimientos!$M$2:$M$1993,MATCH(A862&amp;"ENTRADA",Movimientos!$R$2:$R$1993,0))),"S/D")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3203</v>
      </c>
      <c r="B863" s="2" t="str">
        <f>IFERROR(INDEX(Movimientos!$C$2:$C$1993,MATCH(A863&amp;"ENTRADA",Movimientos!$R$2:$R$1993,0)),"-")</f>
        <v>-</v>
      </c>
      <c r="C863" s="2" t="str">
        <f>IFERROR(INDEX(Movimientos!$D$2:$D$1993,MATCH(A863&amp;"ENTRADA",Movimientos!$R$2:$R$1993,0)),"-")</f>
        <v>-</v>
      </c>
      <c r="D863" s="2" t="str">
        <f>IFERROR(INDEX(Movimientos!$E$2:$E$1993,MATCH(A863&amp;"ENTRADA",Movimientos!$R$2:$R$1993,0)),"-")</f>
        <v>-</v>
      </c>
      <c r="E863" s="2" t="str">
        <f>IFERROR(INDEX(Movimientos!$F$2:$F$1993,MATCH(A863&amp;"ENTRADA",Movimientos!$R$2:$R$1993,0)),"-")</f>
        <v>-</v>
      </c>
      <c r="F863" s="2" t="str">
        <f>IFERROR(INDEX(Movimientos!$G$2:$G$1993,MATCH(A863&amp;"ENTRADA",Movimientos!$R$2:$R$1993,0)),"-")</f>
        <v>-</v>
      </c>
      <c r="G863" s="2" t="str">
        <f>IFERROR(INDEX(Movimientos!$L$2:$L$1993,MATCH(A863&amp;"ENTRADA",Movimientos!$R$2:$R$1993,0)),"-")</f>
        <v>-</v>
      </c>
      <c r="H863" s="17" t="str">
        <f>IFERROR(IF(INDEX(Movimientos!$M$2:$M$1993,MATCH(A863&amp;"ENTRADA",Movimientos!$R$2:$R$1993,0))=0,"S/D",INDEX(Movimientos!$M$2:$M$1993,MATCH(A863&amp;"ENTRADA",Movimientos!$R$2:$R$1993,0))),"S/D")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3204</v>
      </c>
      <c r="B864" s="2" t="str">
        <f>IFERROR(INDEX(Movimientos!$C$2:$C$1993,MATCH(A864&amp;"ENTRADA",Movimientos!$R$2:$R$1993,0)),"-")</f>
        <v>-</v>
      </c>
      <c r="C864" s="2" t="str">
        <f>IFERROR(INDEX(Movimientos!$D$2:$D$1993,MATCH(A864&amp;"ENTRADA",Movimientos!$R$2:$R$1993,0)),"-")</f>
        <v>-</v>
      </c>
      <c r="D864" s="2" t="str">
        <f>IFERROR(INDEX(Movimientos!$E$2:$E$1993,MATCH(A864&amp;"ENTRADA",Movimientos!$R$2:$R$1993,0)),"-")</f>
        <v>-</v>
      </c>
      <c r="E864" s="2" t="str">
        <f>IFERROR(INDEX(Movimientos!$F$2:$F$1993,MATCH(A864&amp;"ENTRADA",Movimientos!$R$2:$R$1993,0)),"-")</f>
        <v>-</v>
      </c>
      <c r="F864" s="2" t="str">
        <f>IFERROR(INDEX(Movimientos!$G$2:$G$1993,MATCH(A864&amp;"ENTRADA",Movimientos!$R$2:$R$1993,0)),"-")</f>
        <v>-</v>
      </c>
      <c r="G864" s="2" t="str">
        <f>IFERROR(INDEX(Movimientos!$L$2:$L$1993,MATCH(A864&amp;"ENTRADA",Movimientos!$R$2:$R$1993,0)),"-")</f>
        <v>-</v>
      </c>
      <c r="H864" s="17" t="str">
        <f>IFERROR(IF(INDEX(Movimientos!$M$2:$M$1993,MATCH(A864&amp;"ENTRADA",Movimientos!$R$2:$R$1993,0))=0,"S/D",INDEX(Movimientos!$M$2:$M$1993,MATCH(A864&amp;"ENTRADA",Movimientos!$R$2:$R$1993,0))),"S/D")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3205</v>
      </c>
      <c r="B865" s="2" t="str">
        <f>IFERROR(INDEX(Movimientos!$C$2:$C$1993,MATCH(A865&amp;"ENTRADA",Movimientos!$R$2:$R$1993,0)),"-")</f>
        <v>-</v>
      </c>
      <c r="C865" s="2" t="str">
        <f>IFERROR(INDEX(Movimientos!$D$2:$D$1993,MATCH(A865&amp;"ENTRADA",Movimientos!$R$2:$R$1993,0)),"-")</f>
        <v>-</v>
      </c>
      <c r="D865" s="2" t="str">
        <f>IFERROR(INDEX(Movimientos!$E$2:$E$1993,MATCH(A865&amp;"ENTRADA",Movimientos!$R$2:$R$1993,0)),"-")</f>
        <v>-</v>
      </c>
      <c r="E865" s="2" t="str">
        <f>IFERROR(INDEX(Movimientos!$F$2:$F$1993,MATCH(A865&amp;"ENTRADA",Movimientos!$R$2:$R$1993,0)),"-")</f>
        <v>-</v>
      </c>
      <c r="F865" s="2" t="str">
        <f>IFERROR(INDEX(Movimientos!$G$2:$G$1993,MATCH(A865&amp;"ENTRADA",Movimientos!$R$2:$R$1993,0)),"-")</f>
        <v>-</v>
      </c>
      <c r="G865" s="2" t="str">
        <f>IFERROR(INDEX(Movimientos!$L$2:$L$1993,MATCH(A865&amp;"ENTRADA",Movimientos!$R$2:$R$1993,0)),"-")</f>
        <v>-</v>
      </c>
      <c r="H865" s="17" t="str">
        <f>IFERROR(IF(INDEX(Movimientos!$M$2:$M$1993,MATCH(A865&amp;"ENTRADA",Movimientos!$R$2:$R$1993,0))=0,"S/D",INDEX(Movimientos!$M$2:$M$1993,MATCH(A865&amp;"ENTRADA",Movimientos!$R$2:$R$1993,0))),"S/D")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3206</v>
      </c>
      <c r="B866" s="2" t="str">
        <f>IFERROR(INDEX(Movimientos!$C$2:$C$1993,MATCH(A866&amp;"ENTRADA",Movimientos!$R$2:$R$1993,0)),"-")</f>
        <v>-</v>
      </c>
      <c r="C866" s="2" t="str">
        <f>IFERROR(INDEX(Movimientos!$D$2:$D$1993,MATCH(A866&amp;"ENTRADA",Movimientos!$R$2:$R$1993,0)),"-")</f>
        <v>-</v>
      </c>
      <c r="D866" s="2" t="str">
        <f>IFERROR(INDEX(Movimientos!$E$2:$E$1993,MATCH(A866&amp;"ENTRADA",Movimientos!$R$2:$R$1993,0)),"-")</f>
        <v>-</v>
      </c>
      <c r="E866" s="2" t="str">
        <f>IFERROR(INDEX(Movimientos!$F$2:$F$1993,MATCH(A866&amp;"ENTRADA",Movimientos!$R$2:$R$1993,0)),"-")</f>
        <v>-</v>
      </c>
      <c r="F866" s="2" t="str">
        <f>IFERROR(INDEX(Movimientos!$G$2:$G$1993,MATCH(A866&amp;"ENTRADA",Movimientos!$R$2:$R$1993,0)),"-")</f>
        <v>-</v>
      </c>
      <c r="G866" s="2" t="str">
        <f>IFERROR(INDEX(Movimientos!$L$2:$L$1993,MATCH(A866&amp;"ENTRADA",Movimientos!$R$2:$R$1993,0)),"-")</f>
        <v>-</v>
      </c>
      <c r="H866" s="17" t="str">
        <f>IFERROR(IF(INDEX(Movimientos!$M$2:$M$1993,MATCH(A866&amp;"ENTRADA",Movimientos!$R$2:$R$1993,0))=0,"S/D",INDEX(Movimientos!$M$2:$M$1993,MATCH(A866&amp;"ENTRADA",Movimientos!$R$2:$R$1993,0))),"S/D")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3207</v>
      </c>
      <c r="B867" s="2" t="str">
        <f>IFERROR(INDEX(Movimientos!$C$2:$C$1993,MATCH(A867&amp;"ENTRADA",Movimientos!$R$2:$R$1993,0)),"-")</f>
        <v>-</v>
      </c>
      <c r="C867" s="2" t="str">
        <f>IFERROR(INDEX(Movimientos!$D$2:$D$1993,MATCH(A867&amp;"ENTRADA",Movimientos!$R$2:$R$1993,0)),"-")</f>
        <v>-</v>
      </c>
      <c r="D867" s="2" t="str">
        <f>IFERROR(INDEX(Movimientos!$E$2:$E$1993,MATCH(A867&amp;"ENTRADA",Movimientos!$R$2:$R$1993,0)),"-")</f>
        <v>-</v>
      </c>
      <c r="E867" s="2" t="str">
        <f>IFERROR(INDEX(Movimientos!$F$2:$F$1993,MATCH(A867&amp;"ENTRADA",Movimientos!$R$2:$R$1993,0)),"-")</f>
        <v>-</v>
      </c>
      <c r="F867" s="2" t="str">
        <f>IFERROR(INDEX(Movimientos!$G$2:$G$1993,MATCH(A867&amp;"ENTRADA",Movimientos!$R$2:$R$1993,0)),"-")</f>
        <v>-</v>
      </c>
      <c r="G867" s="2" t="str">
        <f>IFERROR(INDEX(Movimientos!$L$2:$L$1993,MATCH(A867&amp;"ENTRADA",Movimientos!$R$2:$R$1993,0)),"-")</f>
        <v>-</v>
      </c>
      <c r="H867" s="17" t="str">
        <f>IFERROR(IF(INDEX(Movimientos!$M$2:$M$1993,MATCH(A867&amp;"ENTRADA",Movimientos!$R$2:$R$1993,0))=0,"S/D",INDEX(Movimientos!$M$2:$M$1993,MATCH(A867&amp;"ENTRADA",Movimientos!$R$2:$R$1993,0))),"S/D")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3208</v>
      </c>
      <c r="B868" s="2" t="str">
        <f>IFERROR(INDEX(Movimientos!$C$2:$C$1993,MATCH(A868&amp;"ENTRADA",Movimientos!$R$2:$R$1993,0)),"-")</f>
        <v>-</v>
      </c>
      <c r="C868" s="2" t="str">
        <f>IFERROR(INDEX(Movimientos!$D$2:$D$1993,MATCH(A868&amp;"ENTRADA",Movimientos!$R$2:$R$1993,0)),"-")</f>
        <v>-</v>
      </c>
      <c r="D868" s="2" t="str">
        <f>IFERROR(INDEX(Movimientos!$E$2:$E$1993,MATCH(A868&amp;"ENTRADA",Movimientos!$R$2:$R$1993,0)),"-")</f>
        <v>-</v>
      </c>
      <c r="E868" s="2" t="str">
        <f>IFERROR(INDEX(Movimientos!$F$2:$F$1993,MATCH(A868&amp;"ENTRADA",Movimientos!$R$2:$R$1993,0)),"-")</f>
        <v>-</v>
      </c>
      <c r="F868" s="2" t="str">
        <f>IFERROR(INDEX(Movimientos!$G$2:$G$1993,MATCH(A868&amp;"ENTRADA",Movimientos!$R$2:$R$1993,0)),"-")</f>
        <v>-</v>
      </c>
      <c r="G868" s="2" t="str">
        <f>IFERROR(INDEX(Movimientos!$L$2:$L$1993,MATCH(A868&amp;"ENTRADA",Movimientos!$R$2:$R$1993,0)),"-")</f>
        <v>-</v>
      </c>
      <c r="H868" s="17" t="str">
        <f>IFERROR(IF(INDEX(Movimientos!$M$2:$M$1993,MATCH(A868&amp;"ENTRADA",Movimientos!$R$2:$R$1993,0))=0,"S/D",INDEX(Movimientos!$M$2:$M$1993,MATCH(A868&amp;"ENTRADA",Movimientos!$R$2:$R$1993,0))),"S/D")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3209</v>
      </c>
      <c r="B869" s="2" t="str">
        <f>IFERROR(INDEX(Movimientos!$C$2:$C$1993,MATCH(A869&amp;"ENTRADA",Movimientos!$R$2:$R$1993,0)),"-")</f>
        <v>-</v>
      </c>
      <c r="C869" s="2" t="str">
        <f>IFERROR(INDEX(Movimientos!$D$2:$D$1993,MATCH(A869&amp;"ENTRADA",Movimientos!$R$2:$R$1993,0)),"-")</f>
        <v>-</v>
      </c>
      <c r="D869" s="2" t="str">
        <f>IFERROR(INDEX(Movimientos!$E$2:$E$1993,MATCH(A869&amp;"ENTRADA",Movimientos!$R$2:$R$1993,0)),"-")</f>
        <v>-</v>
      </c>
      <c r="E869" s="2" t="str">
        <f>IFERROR(INDEX(Movimientos!$F$2:$F$1993,MATCH(A869&amp;"ENTRADA",Movimientos!$R$2:$R$1993,0)),"-")</f>
        <v>-</v>
      </c>
      <c r="F869" s="2" t="str">
        <f>IFERROR(INDEX(Movimientos!$G$2:$G$1993,MATCH(A869&amp;"ENTRADA",Movimientos!$R$2:$R$1993,0)),"-")</f>
        <v>-</v>
      </c>
      <c r="G869" s="2" t="str">
        <f>IFERROR(INDEX(Movimientos!$L$2:$L$1993,MATCH(A869&amp;"ENTRADA",Movimientos!$R$2:$R$1993,0)),"-")</f>
        <v>-</v>
      </c>
      <c r="H869" s="17" t="str">
        <f>IFERROR(IF(INDEX(Movimientos!$M$2:$M$1993,MATCH(A869&amp;"ENTRADA",Movimientos!$R$2:$R$1993,0))=0,"S/D",INDEX(Movimientos!$M$2:$M$1993,MATCH(A869&amp;"ENTRADA",Movimientos!$R$2:$R$1993,0))),"S/D")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3210</v>
      </c>
      <c r="B870" s="2" t="str">
        <f>IFERROR(INDEX(Movimientos!$C$2:$C$1993,MATCH(A870&amp;"ENTRADA",Movimientos!$R$2:$R$1993,0)),"-")</f>
        <v>-</v>
      </c>
      <c r="C870" s="2" t="str">
        <f>IFERROR(INDEX(Movimientos!$D$2:$D$1993,MATCH(A870&amp;"ENTRADA",Movimientos!$R$2:$R$1993,0)),"-")</f>
        <v>-</v>
      </c>
      <c r="D870" s="2" t="str">
        <f>IFERROR(INDEX(Movimientos!$E$2:$E$1993,MATCH(A870&amp;"ENTRADA",Movimientos!$R$2:$R$1993,0)),"-")</f>
        <v>-</v>
      </c>
      <c r="E870" s="2" t="str">
        <f>IFERROR(INDEX(Movimientos!$F$2:$F$1993,MATCH(A870&amp;"ENTRADA",Movimientos!$R$2:$R$1993,0)),"-")</f>
        <v>-</v>
      </c>
      <c r="F870" s="2" t="str">
        <f>IFERROR(INDEX(Movimientos!$G$2:$G$1993,MATCH(A870&amp;"ENTRADA",Movimientos!$R$2:$R$1993,0)),"-")</f>
        <v>-</v>
      </c>
      <c r="G870" s="2" t="str">
        <f>IFERROR(INDEX(Movimientos!$L$2:$L$1993,MATCH(A870&amp;"ENTRADA",Movimientos!$R$2:$R$1993,0)),"-")</f>
        <v>-</v>
      </c>
      <c r="H870" s="17" t="str">
        <f>IFERROR(IF(INDEX(Movimientos!$M$2:$M$1993,MATCH(A870&amp;"ENTRADA",Movimientos!$R$2:$R$1993,0))=0,"S/D",INDEX(Movimientos!$M$2:$M$1993,MATCH(A870&amp;"ENTRADA",Movimientos!$R$2:$R$1993,0))),"S/D")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3211</v>
      </c>
      <c r="B871" s="2" t="str">
        <f>IFERROR(INDEX(Movimientos!$C$2:$C$1993,MATCH(A871&amp;"ENTRADA",Movimientos!$R$2:$R$1993,0)),"-")</f>
        <v>-</v>
      </c>
      <c r="C871" s="2" t="str">
        <f>IFERROR(INDEX(Movimientos!$D$2:$D$1993,MATCH(A871&amp;"ENTRADA",Movimientos!$R$2:$R$1993,0)),"-")</f>
        <v>-</v>
      </c>
      <c r="D871" s="2" t="str">
        <f>IFERROR(INDEX(Movimientos!$E$2:$E$1993,MATCH(A871&amp;"ENTRADA",Movimientos!$R$2:$R$1993,0)),"-")</f>
        <v>-</v>
      </c>
      <c r="E871" s="2" t="str">
        <f>IFERROR(INDEX(Movimientos!$F$2:$F$1993,MATCH(A871&amp;"ENTRADA",Movimientos!$R$2:$R$1993,0)),"-")</f>
        <v>-</v>
      </c>
      <c r="F871" s="2" t="str">
        <f>IFERROR(INDEX(Movimientos!$G$2:$G$1993,MATCH(A871&amp;"ENTRADA",Movimientos!$R$2:$R$1993,0)),"-")</f>
        <v>-</v>
      </c>
      <c r="G871" s="2" t="str">
        <f>IFERROR(INDEX(Movimientos!$L$2:$L$1993,MATCH(A871&amp;"ENTRADA",Movimientos!$R$2:$R$1993,0)),"-")</f>
        <v>-</v>
      </c>
      <c r="H871" s="17" t="str">
        <f>IFERROR(IF(INDEX(Movimientos!$M$2:$M$1993,MATCH(A871&amp;"ENTRADA",Movimientos!$R$2:$R$1993,0))=0,"S/D",INDEX(Movimientos!$M$2:$M$1993,MATCH(A871&amp;"ENTRADA",Movimientos!$R$2:$R$1993,0))),"S/D")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3212</v>
      </c>
      <c r="B872" s="2" t="str">
        <f>IFERROR(INDEX(Movimientos!$C$2:$C$1993,MATCH(A872&amp;"ENTRADA",Movimientos!$R$2:$R$1993,0)),"-")</f>
        <v>-</v>
      </c>
      <c r="C872" s="2" t="str">
        <f>IFERROR(INDEX(Movimientos!$D$2:$D$1993,MATCH(A872&amp;"ENTRADA",Movimientos!$R$2:$R$1993,0)),"-")</f>
        <v>-</v>
      </c>
      <c r="D872" s="2" t="str">
        <f>IFERROR(INDEX(Movimientos!$E$2:$E$1993,MATCH(A872&amp;"ENTRADA",Movimientos!$R$2:$R$1993,0)),"-")</f>
        <v>-</v>
      </c>
      <c r="E872" s="2" t="str">
        <f>IFERROR(INDEX(Movimientos!$F$2:$F$1993,MATCH(A872&amp;"ENTRADA",Movimientos!$R$2:$R$1993,0)),"-")</f>
        <v>-</v>
      </c>
      <c r="F872" s="2" t="str">
        <f>IFERROR(INDEX(Movimientos!$G$2:$G$1993,MATCH(A872&amp;"ENTRADA",Movimientos!$R$2:$R$1993,0)),"-")</f>
        <v>-</v>
      </c>
      <c r="G872" s="2" t="str">
        <f>IFERROR(INDEX(Movimientos!$L$2:$L$1993,MATCH(A872&amp;"ENTRADA",Movimientos!$R$2:$R$1993,0)),"-")</f>
        <v>-</v>
      </c>
      <c r="H872" s="17" t="str">
        <f>IFERROR(IF(INDEX(Movimientos!$M$2:$M$1993,MATCH(A872&amp;"ENTRADA",Movimientos!$R$2:$R$1993,0))=0,"S/D",INDEX(Movimientos!$M$2:$M$1993,MATCH(A872&amp;"ENTRADA",Movimientos!$R$2:$R$1993,0))),"S/D")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3213</v>
      </c>
      <c r="B873" s="2" t="str">
        <f>IFERROR(INDEX(Movimientos!$C$2:$C$1993,MATCH(A873&amp;"ENTRADA",Movimientos!$R$2:$R$1993,0)),"-")</f>
        <v>-</v>
      </c>
      <c r="C873" s="2" t="str">
        <f>IFERROR(INDEX(Movimientos!$D$2:$D$1993,MATCH(A873&amp;"ENTRADA",Movimientos!$R$2:$R$1993,0)),"-")</f>
        <v>-</v>
      </c>
      <c r="D873" s="2" t="str">
        <f>IFERROR(INDEX(Movimientos!$E$2:$E$1993,MATCH(A873&amp;"ENTRADA",Movimientos!$R$2:$R$1993,0)),"-")</f>
        <v>-</v>
      </c>
      <c r="E873" s="2" t="str">
        <f>IFERROR(INDEX(Movimientos!$F$2:$F$1993,MATCH(A873&amp;"ENTRADA",Movimientos!$R$2:$R$1993,0)),"-")</f>
        <v>-</v>
      </c>
      <c r="F873" s="2" t="str">
        <f>IFERROR(INDEX(Movimientos!$G$2:$G$1993,MATCH(A873&amp;"ENTRADA",Movimientos!$R$2:$R$1993,0)),"-")</f>
        <v>-</v>
      </c>
      <c r="G873" s="2" t="str">
        <f>IFERROR(INDEX(Movimientos!$L$2:$L$1993,MATCH(A873&amp;"ENTRADA",Movimientos!$R$2:$R$1993,0)),"-")</f>
        <v>-</v>
      </c>
      <c r="H873" s="17" t="str">
        <f>IFERROR(IF(INDEX(Movimientos!$M$2:$M$1993,MATCH(A873&amp;"ENTRADA",Movimientos!$R$2:$R$1993,0))=0,"S/D",INDEX(Movimientos!$M$2:$M$1993,MATCH(A873&amp;"ENTRADA",Movimientos!$R$2:$R$1993,0))),"S/D")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3214</v>
      </c>
      <c r="B874" s="2" t="str">
        <f>IFERROR(INDEX(Movimientos!$C$2:$C$1993,MATCH(A874&amp;"ENTRADA",Movimientos!$R$2:$R$1993,0)),"-")</f>
        <v>-</v>
      </c>
      <c r="C874" s="2" t="str">
        <f>IFERROR(INDEX(Movimientos!$D$2:$D$1993,MATCH(A874&amp;"ENTRADA",Movimientos!$R$2:$R$1993,0)),"-")</f>
        <v>-</v>
      </c>
      <c r="D874" s="2" t="str">
        <f>IFERROR(INDEX(Movimientos!$E$2:$E$1993,MATCH(A874&amp;"ENTRADA",Movimientos!$R$2:$R$1993,0)),"-")</f>
        <v>-</v>
      </c>
      <c r="E874" s="2" t="str">
        <f>IFERROR(INDEX(Movimientos!$F$2:$F$1993,MATCH(A874&amp;"ENTRADA",Movimientos!$R$2:$R$1993,0)),"-")</f>
        <v>-</v>
      </c>
      <c r="F874" s="2" t="str">
        <f>IFERROR(INDEX(Movimientos!$G$2:$G$1993,MATCH(A874&amp;"ENTRADA",Movimientos!$R$2:$R$1993,0)),"-")</f>
        <v>-</v>
      </c>
      <c r="G874" s="2" t="str">
        <f>IFERROR(INDEX(Movimientos!$L$2:$L$1993,MATCH(A874&amp;"ENTRADA",Movimientos!$R$2:$R$1993,0)),"-")</f>
        <v>-</v>
      </c>
      <c r="H874" s="17" t="str">
        <f>IFERROR(IF(INDEX(Movimientos!$M$2:$M$1993,MATCH(A874&amp;"ENTRADA",Movimientos!$R$2:$R$1993,0))=0,"S/D",INDEX(Movimientos!$M$2:$M$1993,MATCH(A874&amp;"ENTRADA",Movimientos!$R$2:$R$1993,0))),"S/D")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3215</v>
      </c>
      <c r="B875" s="2" t="str">
        <f>IFERROR(INDEX(Movimientos!$C$2:$C$1993,MATCH(A875&amp;"ENTRADA",Movimientos!$R$2:$R$1993,0)),"-")</f>
        <v>-</v>
      </c>
      <c r="C875" s="2" t="str">
        <f>IFERROR(INDEX(Movimientos!$D$2:$D$1993,MATCH(A875&amp;"ENTRADA",Movimientos!$R$2:$R$1993,0)),"-")</f>
        <v>-</v>
      </c>
      <c r="D875" s="2" t="str">
        <f>IFERROR(INDEX(Movimientos!$E$2:$E$1993,MATCH(A875&amp;"ENTRADA",Movimientos!$R$2:$R$1993,0)),"-")</f>
        <v>-</v>
      </c>
      <c r="E875" s="2" t="str">
        <f>IFERROR(INDEX(Movimientos!$F$2:$F$1993,MATCH(A875&amp;"ENTRADA",Movimientos!$R$2:$R$1993,0)),"-")</f>
        <v>-</v>
      </c>
      <c r="F875" s="2" t="str">
        <f>IFERROR(INDEX(Movimientos!$G$2:$G$1993,MATCH(A875&amp;"ENTRADA",Movimientos!$R$2:$R$1993,0)),"-")</f>
        <v>-</v>
      </c>
      <c r="G875" s="2" t="str">
        <f>IFERROR(INDEX(Movimientos!$L$2:$L$1993,MATCH(A875&amp;"ENTRADA",Movimientos!$R$2:$R$1993,0)),"-")</f>
        <v>-</v>
      </c>
      <c r="H875" s="17" t="str">
        <f>IFERROR(IF(INDEX(Movimientos!$M$2:$M$1993,MATCH(A875&amp;"ENTRADA",Movimientos!$R$2:$R$1993,0))=0,"S/D",INDEX(Movimientos!$M$2:$M$1993,MATCH(A875&amp;"ENTRADA",Movimientos!$R$2:$R$1993,0))),"S/D")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3216</v>
      </c>
      <c r="B876" s="2" t="str">
        <f>IFERROR(INDEX(Movimientos!$C$2:$C$1993,MATCH(A876&amp;"ENTRADA",Movimientos!$R$2:$R$1993,0)),"-")</f>
        <v>-</v>
      </c>
      <c r="C876" s="2" t="str">
        <f>IFERROR(INDEX(Movimientos!$D$2:$D$1993,MATCH(A876&amp;"ENTRADA",Movimientos!$R$2:$R$1993,0)),"-")</f>
        <v>-</v>
      </c>
      <c r="D876" s="2" t="str">
        <f>IFERROR(INDEX(Movimientos!$E$2:$E$1993,MATCH(A876&amp;"ENTRADA",Movimientos!$R$2:$R$1993,0)),"-")</f>
        <v>-</v>
      </c>
      <c r="E876" s="2" t="str">
        <f>IFERROR(INDEX(Movimientos!$F$2:$F$1993,MATCH(A876&amp;"ENTRADA",Movimientos!$R$2:$R$1993,0)),"-")</f>
        <v>-</v>
      </c>
      <c r="F876" s="2" t="str">
        <f>IFERROR(INDEX(Movimientos!$G$2:$G$1993,MATCH(A876&amp;"ENTRADA",Movimientos!$R$2:$R$1993,0)),"-")</f>
        <v>-</v>
      </c>
      <c r="G876" s="2" t="str">
        <f>IFERROR(INDEX(Movimientos!$L$2:$L$1993,MATCH(A876&amp;"ENTRADA",Movimientos!$R$2:$R$1993,0)),"-")</f>
        <v>-</v>
      </c>
      <c r="H876" s="17" t="str">
        <f>IFERROR(IF(INDEX(Movimientos!$M$2:$M$1993,MATCH(A876&amp;"ENTRADA",Movimientos!$R$2:$R$1993,0))=0,"S/D",INDEX(Movimientos!$M$2:$M$1993,MATCH(A876&amp;"ENTRADA",Movimientos!$R$2:$R$1993,0))),"S/D")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3217</v>
      </c>
      <c r="B877" s="2" t="str">
        <f>IFERROR(INDEX(Movimientos!$C$2:$C$1993,MATCH(A877&amp;"ENTRADA",Movimientos!$R$2:$R$1993,0)),"-")</f>
        <v>-</v>
      </c>
      <c r="C877" s="2" t="str">
        <f>IFERROR(INDEX(Movimientos!$D$2:$D$1993,MATCH(A877&amp;"ENTRADA",Movimientos!$R$2:$R$1993,0)),"-")</f>
        <v>-</v>
      </c>
      <c r="D877" s="2" t="str">
        <f>IFERROR(INDEX(Movimientos!$E$2:$E$1993,MATCH(A877&amp;"ENTRADA",Movimientos!$R$2:$R$1993,0)),"-")</f>
        <v>-</v>
      </c>
      <c r="E877" s="2" t="str">
        <f>IFERROR(INDEX(Movimientos!$F$2:$F$1993,MATCH(A877&amp;"ENTRADA",Movimientos!$R$2:$R$1993,0)),"-")</f>
        <v>-</v>
      </c>
      <c r="F877" s="2" t="str">
        <f>IFERROR(INDEX(Movimientos!$G$2:$G$1993,MATCH(A877&amp;"ENTRADA",Movimientos!$R$2:$R$1993,0)),"-")</f>
        <v>-</v>
      </c>
      <c r="G877" s="2" t="str">
        <f>IFERROR(INDEX(Movimientos!$L$2:$L$1993,MATCH(A877&amp;"ENTRADA",Movimientos!$R$2:$R$1993,0)),"-")</f>
        <v>-</v>
      </c>
      <c r="H877" s="17" t="str">
        <f>IFERROR(IF(INDEX(Movimientos!$M$2:$M$1993,MATCH(A877&amp;"ENTRADA",Movimientos!$R$2:$R$1993,0))=0,"S/D",INDEX(Movimientos!$M$2:$M$1993,MATCH(A877&amp;"ENTRADA",Movimientos!$R$2:$R$1993,0))),"S/D")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3218</v>
      </c>
      <c r="B878" s="2" t="str">
        <f>IFERROR(INDEX(Movimientos!$C$2:$C$1993,MATCH(A878&amp;"ENTRADA",Movimientos!$R$2:$R$1993,0)),"-")</f>
        <v>-</v>
      </c>
      <c r="C878" s="2" t="str">
        <f>IFERROR(INDEX(Movimientos!$D$2:$D$1993,MATCH(A878&amp;"ENTRADA",Movimientos!$R$2:$R$1993,0)),"-")</f>
        <v>-</v>
      </c>
      <c r="D878" s="2" t="str">
        <f>IFERROR(INDEX(Movimientos!$E$2:$E$1993,MATCH(A878&amp;"ENTRADA",Movimientos!$R$2:$R$1993,0)),"-")</f>
        <v>-</v>
      </c>
      <c r="E878" s="2" t="str">
        <f>IFERROR(INDEX(Movimientos!$F$2:$F$1993,MATCH(A878&amp;"ENTRADA",Movimientos!$R$2:$R$1993,0)),"-")</f>
        <v>-</v>
      </c>
      <c r="F878" s="2" t="str">
        <f>IFERROR(INDEX(Movimientos!$G$2:$G$1993,MATCH(A878&amp;"ENTRADA",Movimientos!$R$2:$R$1993,0)),"-")</f>
        <v>-</v>
      </c>
      <c r="G878" s="2" t="str">
        <f>IFERROR(INDEX(Movimientos!$L$2:$L$1993,MATCH(A878&amp;"ENTRADA",Movimientos!$R$2:$R$1993,0)),"-")</f>
        <v>-</v>
      </c>
      <c r="H878" s="17" t="str">
        <f>IFERROR(IF(INDEX(Movimientos!$M$2:$M$1993,MATCH(A878&amp;"ENTRADA",Movimientos!$R$2:$R$1993,0))=0,"S/D",INDEX(Movimientos!$M$2:$M$1993,MATCH(A878&amp;"ENTRADA",Movimientos!$R$2:$R$1993,0))),"S/D")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3219</v>
      </c>
      <c r="B879" s="2" t="str">
        <f>IFERROR(INDEX(Movimientos!$C$2:$C$1993,MATCH(A879&amp;"ENTRADA",Movimientos!$R$2:$R$1993,0)),"-")</f>
        <v>-</v>
      </c>
      <c r="C879" s="2" t="str">
        <f>IFERROR(INDEX(Movimientos!$D$2:$D$1993,MATCH(A879&amp;"ENTRADA",Movimientos!$R$2:$R$1993,0)),"-")</f>
        <v>-</v>
      </c>
      <c r="D879" s="2" t="str">
        <f>IFERROR(INDEX(Movimientos!$E$2:$E$1993,MATCH(A879&amp;"ENTRADA",Movimientos!$R$2:$R$1993,0)),"-")</f>
        <v>-</v>
      </c>
      <c r="E879" s="2" t="str">
        <f>IFERROR(INDEX(Movimientos!$F$2:$F$1993,MATCH(A879&amp;"ENTRADA",Movimientos!$R$2:$R$1993,0)),"-")</f>
        <v>-</v>
      </c>
      <c r="F879" s="2" t="str">
        <f>IFERROR(INDEX(Movimientos!$G$2:$G$1993,MATCH(A879&amp;"ENTRADA",Movimientos!$R$2:$R$1993,0)),"-")</f>
        <v>-</v>
      </c>
      <c r="G879" s="2" t="str">
        <f>IFERROR(INDEX(Movimientos!$L$2:$L$1993,MATCH(A879&amp;"ENTRADA",Movimientos!$R$2:$R$1993,0)),"-")</f>
        <v>-</v>
      </c>
      <c r="H879" s="17" t="str">
        <f>IFERROR(IF(INDEX(Movimientos!$M$2:$M$1993,MATCH(A879&amp;"ENTRADA",Movimientos!$R$2:$R$1993,0))=0,"S/D",INDEX(Movimientos!$M$2:$M$1993,MATCH(A879&amp;"ENTRADA",Movimientos!$R$2:$R$1993,0))),"S/D")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3220</v>
      </c>
      <c r="B880" s="2" t="str">
        <f>IFERROR(INDEX(Movimientos!$C$2:$C$1993,MATCH(A880&amp;"ENTRADA",Movimientos!$R$2:$R$1993,0)),"-")</f>
        <v>-</v>
      </c>
      <c r="C880" s="2" t="str">
        <f>IFERROR(INDEX(Movimientos!$D$2:$D$1993,MATCH(A880&amp;"ENTRADA",Movimientos!$R$2:$R$1993,0)),"-")</f>
        <v>-</v>
      </c>
      <c r="D880" s="2" t="str">
        <f>IFERROR(INDEX(Movimientos!$E$2:$E$1993,MATCH(A880&amp;"ENTRADA",Movimientos!$R$2:$R$1993,0)),"-")</f>
        <v>-</v>
      </c>
      <c r="E880" s="2" t="str">
        <f>IFERROR(INDEX(Movimientos!$F$2:$F$1993,MATCH(A880&amp;"ENTRADA",Movimientos!$R$2:$R$1993,0)),"-")</f>
        <v>-</v>
      </c>
      <c r="F880" s="2" t="str">
        <f>IFERROR(INDEX(Movimientos!$G$2:$G$1993,MATCH(A880&amp;"ENTRADA",Movimientos!$R$2:$R$1993,0)),"-")</f>
        <v>-</v>
      </c>
      <c r="G880" s="2" t="str">
        <f>IFERROR(INDEX(Movimientos!$L$2:$L$1993,MATCH(A880&amp;"ENTRADA",Movimientos!$R$2:$R$1993,0)),"-")</f>
        <v>-</v>
      </c>
      <c r="H880" s="17" t="str">
        <f>IFERROR(IF(INDEX(Movimientos!$M$2:$M$1993,MATCH(A880&amp;"ENTRADA",Movimientos!$R$2:$R$1993,0))=0,"S/D",INDEX(Movimientos!$M$2:$M$1993,MATCH(A880&amp;"ENTRADA",Movimientos!$R$2:$R$1993,0))),"S/D")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3221</v>
      </c>
      <c r="B881" s="2" t="str">
        <f>IFERROR(INDEX(Movimientos!$C$2:$C$1993,MATCH(A881&amp;"ENTRADA",Movimientos!$R$2:$R$1993,0)),"-")</f>
        <v>-</v>
      </c>
      <c r="C881" s="2" t="str">
        <f>IFERROR(INDEX(Movimientos!$D$2:$D$1993,MATCH(A881&amp;"ENTRADA",Movimientos!$R$2:$R$1993,0)),"-")</f>
        <v>-</v>
      </c>
      <c r="D881" s="2" t="str">
        <f>IFERROR(INDEX(Movimientos!$E$2:$E$1993,MATCH(A881&amp;"ENTRADA",Movimientos!$R$2:$R$1993,0)),"-")</f>
        <v>-</v>
      </c>
      <c r="E881" s="2" t="str">
        <f>IFERROR(INDEX(Movimientos!$F$2:$F$1993,MATCH(A881&amp;"ENTRADA",Movimientos!$R$2:$R$1993,0)),"-")</f>
        <v>-</v>
      </c>
      <c r="F881" s="2" t="str">
        <f>IFERROR(INDEX(Movimientos!$G$2:$G$1993,MATCH(A881&amp;"ENTRADA",Movimientos!$R$2:$R$1993,0)),"-")</f>
        <v>-</v>
      </c>
      <c r="G881" s="2" t="str">
        <f>IFERROR(INDEX(Movimientos!$L$2:$L$1993,MATCH(A881&amp;"ENTRADA",Movimientos!$R$2:$R$1993,0)),"-")</f>
        <v>-</v>
      </c>
      <c r="H881" s="17" t="str">
        <f>IFERROR(IF(INDEX(Movimientos!$M$2:$M$1993,MATCH(A881&amp;"ENTRADA",Movimientos!$R$2:$R$1993,0))=0,"S/D",INDEX(Movimientos!$M$2:$M$1993,MATCH(A881&amp;"ENTRADA",Movimientos!$R$2:$R$1993,0))),"S/D")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3222</v>
      </c>
      <c r="B882" s="2" t="str">
        <f>IFERROR(INDEX(Movimientos!$C$2:$C$1993,MATCH(A882&amp;"ENTRADA",Movimientos!$R$2:$R$1993,0)),"-")</f>
        <v>-</v>
      </c>
      <c r="C882" s="2" t="str">
        <f>IFERROR(INDEX(Movimientos!$D$2:$D$1993,MATCH(A882&amp;"ENTRADA",Movimientos!$R$2:$R$1993,0)),"-")</f>
        <v>-</v>
      </c>
      <c r="D882" s="2" t="str">
        <f>IFERROR(INDEX(Movimientos!$E$2:$E$1993,MATCH(A882&amp;"ENTRADA",Movimientos!$R$2:$R$1993,0)),"-")</f>
        <v>-</v>
      </c>
      <c r="E882" s="2" t="str">
        <f>IFERROR(INDEX(Movimientos!$F$2:$F$1993,MATCH(A882&amp;"ENTRADA",Movimientos!$R$2:$R$1993,0)),"-")</f>
        <v>-</v>
      </c>
      <c r="F882" s="2" t="str">
        <f>IFERROR(INDEX(Movimientos!$G$2:$G$1993,MATCH(A882&amp;"ENTRADA",Movimientos!$R$2:$R$1993,0)),"-")</f>
        <v>-</v>
      </c>
      <c r="G882" s="2" t="str">
        <f>IFERROR(INDEX(Movimientos!$L$2:$L$1993,MATCH(A882&amp;"ENTRADA",Movimientos!$R$2:$R$1993,0)),"-")</f>
        <v>-</v>
      </c>
      <c r="H882" s="17" t="str">
        <f>IFERROR(IF(INDEX(Movimientos!$M$2:$M$1993,MATCH(A882&amp;"ENTRADA",Movimientos!$R$2:$R$1993,0))=0,"S/D",INDEX(Movimientos!$M$2:$M$1993,MATCH(A882&amp;"ENTRADA",Movimientos!$R$2:$R$1993,0))),"S/D")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3223</v>
      </c>
      <c r="B883" s="2" t="str">
        <f>IFERROR(INDEX(Movimientos!$C$2:$C$1993,MATCH(A883&amp;"ENTRADA",Movimientos!$R$2:$R$1993,0)),"-")</f>
        <v>-</v>
      </c>
      <c r="C883" s="2" t="str">
        <f>IFERROR(INDEX(Movimientos!$D$2:$D$1993,MATCH(A883&amp;"ENTRADA",Movimientos!$R$2:$R$1993,0)),"-")</f>
        <v>-</v>
      </c>
      <c r="D883" s="2" t="str">
        <f>IFERROR(INDEX(Movimientos!$E$2:$E$1993,MATCH(A883&amp;"ENTRADA",Movimientos!$R$2:$R$1993,0)),"-")</f>
        <v>-</v>
      </c>
      <c r="E883" s="2" t="str">
        <f>IFERROR(INDEX(Movimientos!$F$2:$F$1993,MATCH(A883&amp;"ENTRADA",Movimientos!$R$2:$R$1993,0)),"-")</f>
        <v>-</v>
      </c>
      <c r="F883" s="2" t="str">
        <f>IFERROR(INDEX(Movimientos!$G$2:$G$1993,MATCH(A883&amp;"ENTRADA",Movimientos!$R$2:$R$1993,0)),"-")</f>
        <v>-</v>
      </c>
      <c r="G883" s="2" t="str">
        <f>IFERROR(INDEX(Movimientos!$L$2:$L$1993,MATCH(A883&amp;"ENTRADA",Movimientos!$R$2:$R$1993,0)),"-")</f>
        <v>-</v>
      </c>
      <c r="H883" s="17" t="str">
        <f>IFERROR(IF(INDEX(Movimientos!$M$2:$M$1993,MATCH(A883&amp;"ENTRADA",Movimientos!$R$2:$R$1993,0))=0,"S/D",INDEX(Movimientos!$M$2:$M$1993,MATCH(A883&amp;"ENTRADA",Movimientos!$R$2:$R$1993,0))),"S/D")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3224</v>
      </c>
      <c r="B884" s="2" t="str">
        <f>IFERROR(INDEX(Movimientos!$C$2:$C$1993,MATCH(A884&amp;"ENTRADA",Movimientos!$R$2:$R$1993,0)),"-")</f>
        <v>-</v>
      </c>
      <c r="C884" s="2" t="str">
        <f>IFERROR(INDEX(Movimientos!$D$2:$D$1993,MATCH(A884&amp;"ENTRADA",Movimientos!$R$2:$R$1993,0)),"-")</f>
        <v>-</v>
      </c>
      <c r="D884" s="2" t="str">
        <f>IFERROR(INDEX(Movimientos!$E$2:$E$1993,MATCH(A884&amp;"ENTRADA",Movimientos!$R$2:$R$1993,0)),"-")</f>
        <v>-</v>
      </c>
      <c r="E884" s="2" t="str">
        <f>IFERROR(INDEX(Movimientos!$F$2:$F$1993,MATCH(A884&amp;"ENTRADA",Movimientos!$R$2:$R$1993,0)),"-")</f>
        <v>-</v>
      </c>
      <c r="F884" s="2" t="str">
        <f>IFERROR(INDEX(Movimientos!$G$2:$G$1993,MATCH(A884&amp;"ENTRADA",Movimientos!$R$2:$R$1993,0)),"-")</f>
        <v>-</v>
      </c>
      <c r="G884" s="2" t="str">
        <f>IFERROR(INDEX(Movimientos!$L$2:$L$1993,MATCH(A884&amp;"ENTRADA",Movimientos!$R$2:$R$1993,0)),"-")</f>
        <v>-</v>
      </c>
      <c r="H884" s="17" t="str">
        <f>IFERROR(IF(INDEX(Movimientos!$M$2:$M$1993,MATCH(A884&amp;"ENTRADA",Movimientos!$R$2:$R$1993,0))=0,"S/D",INDEX(Movimientos!$M$2:$M$1993,MATCH(A884&amp;"ENTRADA",Movimientos!$R$2:$R$1993,0))),"S/D")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3225</v>
      </c>
      <c r="B885" s="2" t="str">
        <f>IFERROR(INDEX(Movimientos!$C$2:$C$1993,MATCH(A885&amp;"ENTRADA",Movimientos!$R$2:$R$1993,0)),"-")</f>
        <v>-</v>
      </c>
      <c r="C885" s="2" t="str">
        <f>IFERROR(INDEX(Movimientos!$D$2:$D$1993,MATCH(A885&amp;"ENTRADA",Movimientos!$R$2:$R$1993,0)),"-")</f>
        <v>-</v>
      </c>
      <c r="D885" s="2" t="str">
        <f>IFERROR(INDEX(Movimientos!$E$2:$E$1993,MATCH(A885&amp;"ENTRADA",Movimientos!$R$2:$R$1993,0)),"-")</f>
        <v>-</v>
      </c>
      <c r="E885" s="2" t="str">
        <f>IFERROR(INDEX(Movimientos!$F$2:$F$1993,MATCH(A885&amp;"ENTRADA",Movimientos!$R$2:$R$1993,0)),"-")</f>
        <v>-</v>
      </c>
      <c r="F885" s="2" t="str">
        <f>IFERROR(INDEX(Movimientos!$G$2:$G$1993,MATCH(A885&amp;"ENTRADA",Movimientos!$R$2:$R$1993,0)),"-")</f>
        <v>-</v>
      </c>
      <c r="G885" s="2" t="str">
        <f>IFERROR(INDEX(Movimientos!$L$2:$L$1993,MATCH(A885&amp;"ENTRADA",Movimientos!$R$2:$R$1993,0)),"-")</f>
        <v>-</v>
      </c>
      <c r="H885" s="17" t="str">
        <f>IFERROR(IF(INDEX(Movimientos!$M$2:$M$1993,MATCH(A885&amp;"ENTRADA",Movimientos!$R$2:$R$1993,0))=0,"S/D",INDEX(Movimientos!$M$2:$M$1993,MATCH(A885&amp;"ENTRADA",Movimientos!$R$2:$R$1993,0))),"S/D")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3226</v>
      </c>
      <c r="B886" s="2" t="str">
        <f>IFERROR(INDEX(Movimientos!$C$2:$C$1993,MATCH(A886&amp;"ENTRADA",Movimientos!$R$2:$R$1993,0)),"-")</f>
        <v>-</v>
      </c>
      <c r="C886" s="2" t="str">
        <f>IFERROR(INDEX(Movimientos!$D$2:$D$1993,MATCH(A886&amp;"ENTRADA",Movimientos!$R$2:$R$1993,0)),"-")</f>
        <v>-</v>
      </c>
      <c r="D886" s="2" t="str">
        <f>IFERROR(INDEX(Movimientos!$E$2:$E$1993,MATCH(A886&amp;"ENTRADA",Movimientos!$R$2:$R$1993,0)),"-")</f>
        <v>-</v>
      </c>
      <c r="E886" s="2" t="str">
        <f>IFERROR(INDEX(Movimientos!$F$2:$F$1993,MATCH(A886&amp;"ENTRADA",Movimientos!$R$2:$R$1993,0)),"-")</f>
        <v>-</v>
      </c>
      <c r="F886" s="2" t="str">
        <f>IFERROR(INDEX(Movimientos!$G$2:$G$1993,MATCH(A886&amp;"ENTRADA",Movimientos!$R$2:$R$1993,0)),"-")</f>
        <v>-</v>
      </c>
      <c r="G886" s="2" t="str">
        <f>IFERROR(INDEX(Movimientos!$L$2:$L$1993,MATCH(A886&amp;"ENTRADA",Movimientos!$R$2:$R$1993,0)),"-")</f>
        <v>-</v>
      </c>
      <c r="H886" s="17" t="str">
        <f>IFERROR(IF(INDEX(Movimientos!$M$2:$M$1993,MATCH(A886&amp;"ENTRADA",Movimientos!$R$2:$R$1993,0))=0,"S/D",INDEX(Movimientos!$M$2:$M$1993,MATCH(A886&amp;"ENTRADA",Movimientos!$R$2:$R$1993,0))),"S/D")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3227</v>
      </c>
      <c r="B887" s="2" t="str">
        <f>IFERROR(INDEX(Movimientos!$C$2:$C$1993,MATCH(A887&amp;"ENTRADA",Movimientos!$R$2:$R$1993,0)),"-")</f>
        <v>-</v>
      </c>
      <c r="C887" s="2" t="str">
        <f>IFERROR(INDEX(Movimientos!$D$2:$D$1993,MATCH(A887&amp;"ENTRADA",Movimientos!$R$2:$R$1993,0)),"-")</f>
        <v>-</v>
      </c>
      <c r="D887" s="2" t="str">
        <f>IFERROR(INDEX(Movimientos!$E$2:$E$1993,MATCH(A887&amp;"ENTRADA",Movimientos!$R$2:$R$1993,0)),"-")</f>
        <v>-</v>
      </c>
      <c r="E887" s="2" t="str">
        <f>IFERROR(INDEX(Movimientos!$F$2:$F$1993,MATCH(A887&amp;"ENTRADA",Movimientos!$R$2:$R$1993,0)),"-")</f>
        <v>-</v>
      </c>
      <c r="F887" s="2" t="str">
        <f>IFERROR(INDEX(Movimientos!$G$2:$G$1993,MATCH(A887&amp;"ENTRADA",Movimientos!$R$2:$R$1993,0)),"-")</f>
        <v>-</v>
      </c>
      <c r="G887" s="2" t="str">
        <f>IFERROR(INDEX(Movimientos!$L$2:$L$1993,MATCH(A887&amp;"ENTRADA",Movimientos!$R$2:$R$1993,0)),"-")</f>
        <v>-</v>
      </c>
      <c r="H887" s="17" t="str">
        <f>IFERROR(IF(INDEX(Movimientos!$M$2:$M$1993,MATCH(A887&amp;"ENTRADA",Movimientos!$R$2:$R$1993,0))=0,"S/D",INDEX(Movimientos!$M$2:$M$1993,MATCH(A887&amp;"ENTRADA",Movimientos!$R$2:$R$1993,0))),"S/D")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3228</v>
      </c>
      <c r="B888" s="2" t="str">
        <f>IFERROR(INDEX(Movimientos!$C$2:$C$1993,MATCH(A888&amp;"ENTRADA",Movimientos!$R$2:$R$1993,0)),"-")</f>
        <v>-</v>
      </c>
      <c r="C888" s="2" t="str">
        <f>IFERROR(INDEX(Movimientos!$D$2:$D$1993,MATCH(A888&amp;"ENTRADA",Movimientos!$R$2:$R$1993,0)),"-")</f>
        <v>-</v>
      </c>
      <c r="D888" s="2" t="str">
        <f>IFERROR(INDEX(Movimientos!$E$2:$E$1993,MATCH(A888&amp;"ENTRADA",Movimientos!$R$2:$R$1993,0)),"-")</f>
        <v>-</v>
      </c>
      <c r="E888" s="2" t="str">
        <f>IFERROR(INDEX(Movimientos!$F$2:$F$1993,MATCH(A888&amp;"ENTRADA",Movimientos!$R$2:$R$1993,0)),"-")</f>
        <v>-</v>
      </c>
      <c r="F888" s="2" t="str">
        <f>IFERROR(INDEX(Movimientos!$G$2:$G$1993,MATCH(A888&amp;"ENTRADA",Movimientos!$R$2:$R$1993,0)),"-")</f>
        <v>-</v>
      </c>
      <c r="G888" s="2" t="str">
        <f>IFERROR(INDEX(Movimientos!$L$2:$L$1993,MATCH(A888&amp;"ENTRADA",Movimientos!$R$2:$R$1993,0)),"-")</f>
        <v>-</v>
      </c>
      <c r="H888" s="17" t="str">
        <f>IFERROR(IF(INDEX(Movimientos!$M$2:$M$1993,MATCH(A888&amp;"ENTRADA",Movimientos!$R$2:$R$1993,0))=0,"S/D",INDEX(Movimientos!$M$2:$M$1993,MATCH(A888&amp;"ENTRADA",Movimientos!$R$2:$R$1993,0))),"S/D")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3229</v>
      </c>
      <c r="B889" s="2" t="str">
        <f>IFERROR(INDEX(Movimientos!$C$2:$C$1993,MATCH(A889&amp;"ENTRADA",Movimientos!$R$2:$R$1993,0)),"-")</f>
        <v>-</v>
      </c>
      <c r="C889" s="2" t="str">
        <f>IFERROR(INDEX(Movimientos!$D$2:$D$1993,MATCH(A889&amp;"ENTRADA",Movimientos!$R$2:$R$1993,0)),"-")</f>
        <v>-</v>
      </c>
      <c r="D889" s="2" t="str">
        <f>IFERROR(INDEX(Movimientos!$E$2:$E$1993,MATCH(A889&amp;"ENTRADA",Movimientos!$R$2:$R$1993,0)),"-")</f>
        <v>-</v>
      </c>
      <c r="E889" s="2" t="str">
        <f>IFERROR(INDEX(Movimientos!$F$2:$F$1993,MATCH(A889&amp;"ENTRADA",Movimientos!$R$2:$R$1993,0)),"-")</f>
        <v>-</v>
      </c>
      <c r="F889" s="2" t="str">
        <f>IFERROR(INDEX(Movimientos!$G$2:$G$1993,MATCH(A889&amp;"ENTRADA",Movimientos!$R$2:$R$1993,0)),"-")</f>
        <v>-</v>
      </c>
      <c r="G889" s="2" t="str">
        <f>IFERROR(INDEX(Movimientos!$L$2:$L$1993,MATCH(A889&amp;"ENTRADA",Movimientos!$R$2:$R$1993,0)),"-")</f>
        <v>-</v>
      </c>
      <c r="H889" s="17" t="str">
        <f>IFERROR(IF(INDEX(Movimientos!$M$2:$M$1993,MATCH(A889&amp;"ENTRADA",Movimientos!$R$2:$R$1993,0))=0,"S/D",INDEX(Movimientos!$M$2:$M$1993,MATCH(A889&amp;"ENTRADA",Movimientos!$R$2:$R$1993,0))),"S/D")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3230</v>
      </c>
      <c r="B890" s="2" t="str">
        <f>IFERROR(INDEX(Movimientos!$C$2:$C$1993,MATCH(A890&amp;"ENTRADA",Movimientos!$R$2:$R$1993,0)),"-")</f>
        <v>-</v>
      </c>
      <c r="C890" s="2" t="str">
        <f>IFERROR(INDEX(Movimientos!$D$2:$D$1993,MATCH(A890&amp;"ENTRADA",Movimientos!$R$2:$R$1993,0)),"-")</f>
        <v>-</v>
      </c>
      <c r="D890" s="2" t="str">
        <f>IFERROR(INDEX(Movimientos!$E$2:$E$1993,MATCH(A890&amp;"ENTRADA",Movimientos!$R$2:$R$1993,0)),"-")</f>
        <v>-</v>
      </c>
      <c r="E890" s="2" t="str">
        <f>IFERROR(INDEX(Movimientos!$F$2:$F$1993,MATCH(A890&amp;"ENTRADA",Movimientos!$R$2:$R$1993,0)),"-")</f>
        <v>-</v>
      </c>
      <c r="F890" s="2" t="str">
        <f>IFERROR(INDEX(Movimientos!$G$2:$G$1993,MATCH(A890&amp;"ENTRADA",Movimientos!$R$2:$R$1993,0)),"-")</f>
        <v>-</v>
      </c>
      <c r="G890" s="2" t="str">
        <f>IFERROR(INDEX(Movimientos!$L$2:$L$1993,MATCH(A890&amp;"ENTRADA",Movimientos!$R$2:$R$1993,0)),"-")</f>
        <v>-</v>
      </c>
      <c r="H890" s="17" t="str">
        <f>IFERROR(IF(INDEX(Movimientos!$M$2:$M$1993,MATCH(A890&amp;"ENTRADA",Movimientos!$R$2:$R$1993,0))=0,"S/D",INDEX(Movimientos!$M$2:$M$1993,MATCH(A890&amp;"ENTRADA",Movimientos!$R$2:$R$1993,0))),"S/D")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3231</v>
      </c>
      <c r="B891" s="2" t="str">
        <f>IFERROR(INDEX(Movimientos!$C$2:$C$1993,MATCH(A891&amp;"ENTRADA",Movimientos!$R$2:$R$1993,0)),"-")</f>
        <v>-</v>
      </c>
      <c r="C891" s="2" t="str">
        <f>IFERROR(INDEX(Movimientos!$D$2:$D$1993,MATCH(A891&amp;"ENTRADA",Movimientos!$R$2:$R$1993,0)),"-")</f>
        <v>-</v>
      </c>
      <c r="D891" s="2" t="str">
        <f>IFERROR(INDEX(Movimientos!$E$2:$E$1993,MATCH(A891&amp;"ENTRADA",Movimientos!$R$2:$R$1993,0)),"-")</f>
        <v>-</v>
      </c>
      <c r="E891" s="2" t="str">
        <f>IFERROR(INDEX(Movimientos!$F$2:$F$1993,MATCH(A891&amp;"ENTRADA",Movimientos!$R$2:$R$1993,0)),"-")</f>
        <v>-</v>
      </c>
      <c r="F891" s="2" t="str">
        <f>IFERROR(INDEX(Movimientos!$G$2:$G$1993,MATCH(A891&amp;"ENTRADA",Movimientos!$R$2:$R$1993,0)),"-")</f>
        <v>-</v>
      </c>
      <c r="G891" s="2" t="str">
        <f>IFERROR(INDEX(Movimientos!$L$2:$L$1993,MATCH(A891&amp;"ENTRADA",Movimientos!$R$2:$R$1993,0)),"-")</f>
        <v>-</v>
      </c>
      <c r="H891" s="17" t="str">
        <f>IFERROR(IF(INDEX(Movimientos!$M$2:$M$1993,MATCH(A891&amp;"ENTRADA",Movimientos!$R$2:$R$1993,0))=0,"S/D",INDEX(Movimientos!$M$2:$M$1993,MATCH(A891&amp;"ENTRADA",Movimientos!$R$2:$R$1993,0))),"S/D")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3232</v>
      </c>
      <c r="B892" s="2" t="str">
        <f>IFERROR(INDEX(Movimientos!$C$2:$C$1993,MATCH(A892&amp;"ENTRADA",Movimientos!$R$2:$R$1993,0)),"-")</f>
        <v>-</v>
      </c>
      <c r="C892" s="2" t="str">
        <f>IFERROR(INDEX(Movimientos!$D$2:$D$1993,MATCH(A892&amp;"ENTRADA",Movimientos!$R$2:$R$1993,0)),"-")</f>
        <v>-</v>
      </c>
      <c r="D892" s="2" t="str">
        <f>IFERROR(INDEX(Movimientos!$E$2:$E$1993,MATCH(A892&amp;"ENTRADA",Movimientos!$R$2:$R$1993,0)),"-")</f>
        <v>-</v>
      </c>
      <c r="E892" s="2" t="str">
        <f>IFERROR(INDEX(Movimientos!$F$2:$F$1993,MATCH(A892&amp;"ENTRADA",Movimientos!$R$2:$R$1993,0)),"-")</f>
        <v>-</v>
      </c>
      <c r="F892" s="2" t="str">
        <f>IFERROR(INDEX(Movimientos!$G$2:$G$1993,MATCH(A892&amp;"ENTRADA",Movimientos!$R$2:$R$1993,0)),"-")</f>
        <v>-</v>
      </c>
      <c r="G892" s="2" t="str">
        <f>IFERROR(INDEX(Movimientos!$L$2:$L$1993,MATCH(A892&amp;"ENTRADA",Movimientos!$R$2:$R$1993,0)),"-")</f>
        <v>-</v>
      </c>
      <c r="H892" s="17" t="str">
        <f>IFERROR(IF(INDEX(Movimientos!$M$2:$M$1993,MATCH(A892&amp;"ENTRADA",Movimientos!$R$2:$R$1993,0))=0,"S/D",INDEX(Movimientos!$M$2:$M$1993,MATCH(A892&amp;"ENTRADA",Movimientos!$R$2:$R$1993,0))),"S/D")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3233</v>
      </c>
      <c r="B893" s="2" t="str">
        <f>IFERROR(INDEX(Movimientos!$C$2:$C$1993,MATCH(A893&amp;"ENTRADA",Movimientos!$R$2:$R$1993,0)),"-")</f>
        <v>-</v>
      </c>
      <c r="C893" s="2" t="str">
        <f>IFERROR(INDEX(Movimientos!$D$2:$D$1993,MATCH(A893&amp;"ENTRADA",Movimientos!$R$2:$R$1993,0)),"-")</f>
        <v>-</v>
      </c>
      <c r="D893" s="2" t="str">
        <f>IFERROR(INDEX(Movimientos!$E$2:$E$1993,MATCH(A893&amp;"ENTRADA",Movimientos!$R$2:$R$1993,0)),"-")</f>
        <v>-</v>
      </c>
      <c r="E893" s="2" t="str">
        <f>IFERROR(INDEX(Movimientos!$F$2:$F$1993,MATCH(A893&amp;"ENTRADA",Movimientos!$R$2:$R$1993,0)),"-")</f>
        <v>-</v>
      </c>
      <c r="F893" s="2" t="str">
        <f>IFERROR(INDEX(Movimientos!$G$2:$G$1993,MATCH(A893&amp;"ENTRADA",Movimientos!$R$2:$R$1993,0)),"-")</f>
        <v>-</v>
      </c>
      <c r="G893" s="2" t="str">
        <f>IFERROR(INDEX(Movimientos!$L$2:$L$1993,MATCH(A893&amp;"ENTRADA",Movimientos!$R$2:$R$1993,0)),"-")</f>
        <v>-</v>
      </c>
      <c r="H893" s="17" t="str">
        <f>IFERROR(IF(INDEX(Movimientos!$M$2:$M$1993,MATCH(A893&amp;"ENTRADA",Movimientos!$R$2:$R$1993,0))=0,"S/D",INDEX(Movimientos!$M$2:$M$1993,MATCH(A893&amp;"ENTRADA",Movimientos!$R$2:$R$1993,0))),"S/D")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3234</v>
      </c>
      <c r="B894" s="2" t="str">
        <f>IFERROR(INDEX(Movimientos!$C$2:$C$1993,MATCH(A894&amp;"ENTRADA",Movimientos!$R$2:$R$1993,0)),"-")</f>
        <v>-</v>
      </c>
      <c r="C894" s="2" t="str">
        <f>IFERROR(INDEX(Movimientos!$D$2:$D$1993,MATCH(A894&amp;"ENTRADA",Movimientos!$R$2:$R$1993,0)),"-")</f>
        <v>-</v>
      </c>
      <c r="D894" s="2" t="str">
        <f>IFERROR(INDEX(Movimientos!$E$2:$E$1993,MATCH(A894&amp;"ENTRADA",Movimientos!$R$2:$R$1993,0)),"-")</f>
        <v>-</v>
      </c>
      <c r="E894" s="2" t="str">
        <f>IFERROR(INDEX(Movimientos!$F$2:$F$1993,MATCH(A894&amp;"ENTRADA",Movimientos!$R$2:$R$1993,0)),"-")</f>
        <v>-</v>
      </c>
      <c r="F894" s="2" t="str">
        <f>IFERROR(INDEX(Movimientos!$G$2:$G$1993,MATCH(A894&amp;"ENTRADA",Movimientos!$R$2:$R$1993,0)),"-")</f>
        <v>-</v>
      </c>
      <c r="G894" s="2" t="str">
        <f>IFERROR(INDEX(Movimientos!$L$2:$L$1993,MATCH(A894&amp;"ENTRADA",Movimientos!$R$2:$R$1993,0)),"-")</f>
        <v>-</v>
      </c>
      <c r="H894" s="17" t="str">
        <f>IFERROR(IF(INDEX(Movimientos!$M$2:$M$1993,MATCH(A894&amp;"ENTRADA",Movimientos!$R$2:$R$1993,0))=0,"S/D",INDEX(Movimientos!$M$2:$M$1993,MATCH(A894&amp;"ENTRADA",Movimientos!$R$2:$R$1993,0))),"S/D")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3235</v>
      </c>
      <c r="B895" s="2" t="str">
        <f>IFERROR(INDEX(Movimientos!$C$2:$C$1993,MATCH(A895&amp;"ENTRADA",Movimientos!$R$2:$R$1993,0)),"-")</f>
        <v>-</v>
      </c>
      <c r="C895" s="2" t="str">
        <f>IFERROR(INDEX(Movimientos!$D$2:$D$1993,MATCH(A895&amp;"ENTRADA",Movimientos!$R$2:$R$1993,0)),"-")</f>
        <v>-</v>
      </c>
      <c r="D895" s="2" t="str">
        <f>IFERROR(INDEX(Movimientos!$E$2:$E$1993,MATCH(A895&amp;"ENTRADA",Movimientos!$R$2:$R$1993,0)),"-")</f>
        <v>-</v>
      </c>
      <c r="E895" s="2" t="str">
        <f>IFERROR(INDEX(Movimientos!$F$2:$F$1993,MATCH(A895&amp;"ENTRADA",Movimientos!$R$2:$R$1993,0)),"-")</f>
        <v>-</v>
      </c>
      <c r="F895" s="2" t="str">
        <f>IFERROR(INDEX(Movimientos!$G$2:$G$1993,MATCH(A895&amp;"ENTRADA",Movimientos!$R$2:$R$1993,0)),"-")</f>
        <v>-</v>
      </c>
      <c r="G895" s="2" t="str">
        <f>IFERROR(INDEX(Movimientos!$L$2:$L$1993,MATCH(A895&amp;"ENTRADA",Movimientos!$R$2:$R$1993,0)),"-")</f>
        <v>-</v>
      </c>
      <c r="H895" s="17" t="str">
        <f>IFERROR(IF(INDEX(Movimientos!$M$2:$M$1993,MATCH(A895&amp;"ENTRADA",Movimientos!$R$2:$R$1993,0))=0,"S/D",INDEX(Movimientos!$M$2:$M$1993,MATCH(A895&amp;"ENTRADA",Movimientos!$R$2:$R$1993,0))),"S/D")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3236</v>
      </c>
      <c r="B896" s="2" t="str">
        <f>IFERROR(INDEX(Movimientos!$C$2:$C$1993,MATCH(A896&amp;"ENTRADA",Movimientos!$R$2:$R$1993,0)),"-")</f>
        <v>-</v>
      </c>
      <c r="C896" s="2" t="str">
        <f>IFERROR(INDEX(Movimientos!$D$2:$D$1993,MATCH(A896&amp;"ENTRADA",Movimientos!$R$2:$R$1993,0)),"-")</f>
        <v>-</v>
      </c>
      <c r="D896" s="2" t="str">
        <f>IFERROR(INDEX(Movimientos!$E$2:$E$1993,MATCH(A896&amp;"ENTRADA",Movimientos!$R$2:$R$1993,0)),"-")</f>
        <v>-</v>
      </c>
      <c r="E896" s="2" t="str">
        <f>IFERROR(INDEX(Movimientos!$F$2:$F$1993,MATCH(A896&amp;"ENTRADA",Movimientos!$R$2:$R$1993,0)),"-")</f>
        <v>-</v>
      </c>
      <c r="F896" s="2" t="str">
        <f>IFERROR(INDEX(Movimientos!$G$2:$G$1993,MATCH(A896&amp;"ENTRADA",Movimientos!$R$2:$R$1993,0)),"-")</f>
        <v>-</v>
      </c>
      <c r="G896" s="2" t="str">
        <f>IFERROR(INDEX(Movimientos!$L$2:$L$1993,MATCH(A896&amp;"ENTRADA",Movimientos!$R$2:$R$1993,0)),"-")</f>
        <v>-</v>
      </c>
      <c r="H896" s="17" t="str">
        <f>IFERROR(IF(INDEX(Movimientos!$M$2:$M$1993,MATCH(A896&amp;"ENTRADA",Movimientos!$R$2:$R$1993,0))=0,"S/D",INDEX(Movimientos!$M$2:$M$1993,MATCH(A896&amp;"ENTRADA",Movimientos!$R$2:$R$1993,0))),"S/D")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3237</v>
      </c>
      <c r="B897" s="2" t="str">
        <f>IFERROR(INDEX(Movimientos!$C$2:$C$1993,MATCH(A897&amp;"ENTRADA",Movimientos!$R$2:$R$1993,0)),"-")</f>
        <v>-</v>
      </c>
      <c r="C897" s="2" t="str">
        <f>IFERROR(INDEX(Movimientos!$D$2:$D$1993,MATCH(A897&amp;"ENTRADA",Movimientos!$R$2:$R$1993,0)),"-")</f>
        <v>-</v>
      </c>
      <c r="D897" s="2" t="str">
        <f>IFERROR(INDEX(Movimientos!$E$2:$E$1993,MATCH(A897&amp;"ENTRADA",Movimientos!$R$2:$R$1993,0)),"-")</f>
        <v>-</v>
      </c>
      <c r="E897" s="2" t="str">
        <f>IFERROR(INDEX(Movimientos!$F$2:$F$1993,MATCH(A897&amp;"ENTRADA",Movimientos!$R$2:$R$1993,0)),"-")</f>
        <v>-</v>
      </c>
      <c r="F897" s="2" t="str">
        <f>IFERROR(INDEX(Movimientos!$G$2:$G$1993,MATCH(A897&amp;"ENTRADA",Movimientos!$R$2:$R$1993,0)),"-")</f>
        <v>-</v>
      </c>
      <c r="G897" s="2" t="str">
        <f>IFERROR(INDEX(Movimientos!$L$2:$L$1993,MATCH(A897&amp;"ENTRADA",Movimientos!$R$2:$R$1993,0)),"-")</f>
        <v>-</v>
      </c>
      <c r="H897" s="17" t="str">
        <f>IFERROR(IF(INDEX(Movimientos!$M$2:$M$1993,MATCH(A897&amp;"ENTRADA",Movimientos!$R$2:$R$1993,0))=0,"S/D",INDEX(Movimientos!$M$2:$M$1993,MATCH(A897&amp;"ENTRADA",Movimientos!$R$2:$R$1993,0))),"S/D")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3238</v>
      </c>
      <c r="B898" s="2" t="str">
        <f>IFERROR(INDEX(Movimientos!$C$2:$C$1993,MATCH(A898&amp;"ENTRADA",Movimientos!$R$2:$R$1993,0)),"-")</f>
        <v>-</v>
      </c>
      <c r="C898" s="2" t="str">
        <f>IFERROR(INDEX(Movimientos!$D$2:$D$1993,MATCH(A898&amp;"ENTRADA",Movimientos!$R$2:$R$1993,0)),"-")</f>
        <v>-</v>
      </c>
      <c r="D898" s="2" t="str">
        <f>IFERROR(INDEX(Movimientos!$E$2:$E$1993,MATCH(A898&amp;"ENTRADA",Movimientos!$R$2:$R$1993,0)),"-")</f>
        <v>-</v>
      </c>
      <c r="E898" s="2" t="str">
        <f>IFERROR(INDEX(Movimientos!$F$2:$F$1993,MATCH(A898&amp;"ENTRADA",Movimientos!$R$2:$R$1993,0)),"-")</f>
        <v>-</v>
      </c>
      <c r="F898" s="2" t="str">
        <f>IFERROR(INDEX(Movimientos!$G$2:$G$1993,MATCH(A898&amp;"ENTRADA",Movimientos!$R$2:$R$1993,0)),"-")</f>
        <v>-</v>
      </c>
      <c r="G898" s="2" t="str">
        <f>IFERROR(INDEX(Movimientos!$L$2:$L$1993,MATCH(A898&amp;"ENTRADA",Movimientos!$R$2:$R$1993,0)),"-")</f>
        <v>-</v>
      </c>
      <c r="H898" s="17" t="str">
        <f>IFERROR(IF(INDEX(Movimientos!$M$2:$M$1993,MATCH(A898&amp;"ENTRADA",Movimientos!$R$2:$R$1993,0))=0,"S/D",INDEX(Movimientos!$M$2:$M$1993,MATCH(A898&amp;"ENTRADA",Movimientos!$R$2:$R$1993,0))),"S/D")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3239</v>
      </c>
      <c r="B899" s="2" t="str">
        <f>IFERROR(INDEX(Movimientos!$C$2:$C$1993,MATCH(A899&amp;"ENTRADA",Movimientos!$R$2:$R$1993,0)),"-")</f>
        <v>-</v>
      </c>
      <c r="C899" s="2" t="str">
        <f>IFERROR(INDEX(Movimientos!$D$2:$D$1993,MATCH(A899&amp;"ENTRADA",Movimientos!$R$2:$R$1993,0)),"-")</f>
        <v>-</v>
      </c>
      <c r="D899" s="2" t="str">
        <f>IFERROR(INDEX(Movimientos!$E$2:$E$1993,MATCH(A899&amp;"ENTRADA",Movimientos!$R$2:$R$1993,0)),"-")</f>
        <v>-</v>
      </c>
      <c r="E899" s="2" t="str">
        <f>IFERROR(INDEX(Movimientos!$F$2:$F$1993,MATCH(A899&amp;"ENTRADA",Movimientos!$R$2:$R$1993,0)),"-")</f>
        <v>-</v>
      </c>
      <c r="F899" s="2" t="str">
        <f>IFERROR(INDEX(Movimientos!$G$2:$G$1993,MATCH(A899&amp;"ENTRADA",Movimientos!$R$2:$R$1993,0)),"-")</f>
        <v>-</v>
      </c>
      <c r="G899" s="2" t="str">
        <f>IFERROR(INDEX(Movimientos!$L$2:$L$1993,MATCH(A899&amp;"ENTRADA",Movimientos!$R$2:$R$1993,0)),"-")</f>
        <v>-</v>
      </c>
      <c r="H899" s="17" t="str">
        <f>IFERROR(IF(INDEX(Movimientos!$M$2:$M$1993,MATCH(A899&amp;"ENTRADA",Movimientos!$R$2:$R$1993,0))=0,"S/D",INDEX(Movimientos!$M$2:$M$1993,MATCH(A899&amp;"ENTRADA",Movimientos!$R$2:$R$1993,0))),"S/D")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3240</v>
      </c>
      <c r="B900" s="2" t="str">
        <f>IFERROR(INDEX(Movimientos!$C$2:$C$1993,MATCH(A900&amp;"ENTRADA",Movimientos!$R$2:$R$1993,0)),"-")</f>
        <v>-</v>
      </c>
      <c r="C900" s="2" t="str">
        <f>IFERROR(INDEX(Movimientos!$D$2:$D$1993,MATCH(A900&amp;"ENTRADA",Movimientos!$R$2:$R$1993,0)),"-")</f>
        <v>-</v>
      </c>
      <c r="D900" s="2" t="str">
        <f>IFERROR(INDEX(Movimientos!$E$2:$E$1993,MATCH(A900&amp;"ENTRADA",Movimientos!$R$2:$R$1993,0)),"-")</f>
        <v>-</v>
      </c>
      <c r="E900" s="2" t="str">
        <f>IFERROR(INDEX(Movimientos!$F$2:$F$1993,MATCH(A900&amp;"ENTRADA",Movimientos!$R$2:$R$1993,0)),"-")</f>
        <v>-</v>
      </c>
      <c r="F900" s="2" t="str">
        <f>IFERROR(INDEX(Movimientos!$G$2:$G$1993,MATCH(A900&amp;"ENTRADA",Movimientos!$R$2:$R$1993,0)),"-")</f>
        <v>-</v>
      </c>
      <c r="G900" s="2" t="str">
        <f>IFERROR(INDEX(Movimientos!$L$2:$L$1993,MATCH(A900&amp;"ENTRADA",Movimientos!$R$2:$R$1993,0)),"-")</f>
        <v>-</v>
      </c>
      <c r="H900" s="17" t="str">
        <f>IFERROR(IF(INDEX(Movimientos!$M$2:$M$1993,MATCH(A900&amp;"ENTRADA",Movimientos!$R$2:$R$1993,0))=0,"S/D",INDEX(Movimientos!$M$2:$M$1993,MATCH(A900&amp;"ENTRADA",Movimientos!$R$2:$R$1993,0))),"S/D")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3241</v>
      </c>
      <c r="B901" s="2" t="str">
        <f>IFERROR(INDEX(Movimientos!$C$2:$C$1993,MATCH(A901&amp;"ENTRADA",Movimientos!$R$2:$R$1993,0)),"-")</f>
        <v>-</v>
      </c>
      <c r="C901" s="2" t="str">
        <f>IFERROR(INDEX(Movimientos!$D$2:$D$1993,MATCH(A901&amp;"ENTRADA",Movimientos!$R$2:$R$1993,0)),"-")</f>
        <v>-</v>
      </c>
      <c r="D901" s="2" t="str">
        <f>IFERROR(INDEX(Movimientos!$E$2:$E$1993,MATCH(A901&amp;"ENTRADA",Movimientos!$R$2:$R$1993,0)),"-")</f>
        <v>-</v>
      </c>
      <c r="E901" s="2" t="str">
        <f>IFERROR(INDEX(Movimientos!$F$2:$F$1993,MATCH(A901&amp;"ENTRADA",Movimientos!$R$2:$R$1993,0)),"-")</f>
        <v>-</v>
      </c>
      <c r="F901" s="2" t="str">
        <f>IFERROR(INDEX(Movimientos!$G$2:$G$1993,MATCH(A901&amp;"ENTRADA",Movimientos!$R$2:$R$1993,0)),"-")</f>
        <v>-</v>
      </c>
      <c r="G901" s="2" t="str">
        <f>IFERROR(INDEX(Movimientos!$L$2:$L$1993,MATCH(A901&amp;"ENTRADA",Movimientos!$R$2:$R$1993,0)),"-")</f>
        <v>-</v>
      </c>
      <c r="H901" s="17" t="str">
        <f>IFERROR(IF(INDEX(Movimientos!$M$2:$M$1993,MATCH(A901&amp;"ENTRADA",Movimientos!$R$2:$R$1993,0))=0,"S/D",INDEX(Movimientos!$M$2:$M$1993,MATCH(A901&amp;"ENTRADA",Movimientos!$R$2:$R$1993,0))),"S/D")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3242</v>
      </c>
      <c r="B902" s="2" t="str">
        <f>IFERROR(INDEX(Movimientos!$C$2:$C$1993,MATCH(A902&amp;"ENTRADA",Movimientos!$R$2:$R$1993,0)),"-")</f>
        <v>-</v>
      </c>
      <c r="C902" s="2" t="str">
        <f>IFERROR(INDEX(Movimientos!$D$2:$D$1993,MATCH(A902&amp;"ENTRADA",Movimientos!$R$2:$R$1993,0)),"-")</f>
        <v>-</v>
      </c>
      <c r="D902" s="2" t="str">
        <f>IFERROR(INDEX(Movimientos!$E$2:$E$1993,MATCH(A902&amp;"ENTRADA",Movimientos!$R$2:$R$1993,0)),"-")</f>
        <v>-</v>
      </c>
      <c r="E902" s="2" t="str">
        <f>IFERROR(INDEX(Movimientos!$F$2:$F$1993,MATCH(A902&amp;"ENTRADA",Movimientos!$R$2:$R$1993,0)),"-")</f>
        <v>-</v>
      </c>
      <c r="F902" s="2" t="str">
        <f>IFERROR(INDEX(Movimientos!$G$2:$G$1993,MATCH(A902&amp;"ENTRADA",Movimientos!$R$2:$R$1993,0)),"-")</f>
        <v>-</v>
      </c>
      <c r="G902" s="2" t="str">
        <f>IFERROR(INDEX(Movimientos!$L$2:$L$1993,MATCH(A902&amp;"ENTRADA",Movimientos!$R$2:$R$1993,0)),"-")</f>
        <v>-</v>
      </c>
      <c r="H902" s="17" t="str">
        <f>IFERROR(IF(INDEX(Movimientos!$M$2:$M$1993,MATCH(A902&amp;"ENTRADA",Movimientos!$R$2:$R$1993,0))=0,"S/D",INDEX(Movimientos!$M$2:$M$1993,MATCH(A902&amp;"ENTRADA",Movimientos!$R$2:$R$1993,0))),"S/D")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3243</v>
      </c>
      <c r="B903" s="2" t="str">
        <f>IFERROR(INDEX(Movimientos!$C$2:$C$1993,MATCH(A903&amp;"ENTRADA",Movimientos!$R$2:$R$1993,0)),"-")</f>
        <v>-</v>
      </c>
      <c r="C903" s="2" t="str">
        <f>IFERROR(INDEX(Movimientos!$D$2:$D$1993,MATCH(A903&amp;"ENTRADA",Movimientos!$R$2:$R$1993,0)),"-")</f>
        <v>-</v>
      </c>
      <c r="D903" s="2" t="str">
        <f>IFERROR(INDEX(Movimientos!$E$2:$E$1993,MATCH(A903&amp;"ENTRADA",Movimientos!$R$2:$R$1993,0)),"-")</f>
        <v>-</v>
      </c>
      <c r="E903" s="2" t="str">
        <f>IFERROR(INDEX(Movimientos!$F$2:$F$1993,MATCH(A903&amp;"ENTRADA",Movimientos!$R$2:$R$1993,0)),"-")</f>
        <v>-</v>
      </c>
      <c r="F903" s="2" t="str">
        <f>IFERROR(INDEX(Movimientos!$G$2:$G$1993,MATCH(A903&amp;"ENTRADA",Movimientos!$R$2:$R$1993,0)),"-")</f>
        <v>-</v>
      </c>
      <c r="G903" s="2" t="str">
        <f>IFERROR(INDEX(Movimientos!$L$2:$L$1993,MATCH(A903&amp;"ENTRADA",Movimientos!$R$2:$R$1993,0)),"-")</f>
        <v>-</v>
      </c>
      <c r="H903" s="17" t="str">
        <f>IFERROR(IF(INDEX(Movimientos!$M$2:$M$1993,MATCH(A903&amp;"ENTRADA",Movimientos!$R$2:$R$1993,0))=0,"S/D",INDEX(Movimientos!$M$2:$M$1993,MATCH(A903&amp;"ENTRADA",Movimientos!$R$2:$R$1993,0))),"S/D")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3244</v>
      </c>
      <c r="B904" s="2" t="str">
        <f>IFERROR(INDEX(Movimientos!$C$2:$C$1993,MATCH(A904&amp;"ENTRADA",Movimientos!$R$2:$R$1993,0)),"-")</f>
        <v>-</v>
      </c>
      <c r="C904" s="2" t="str">
        <f>IFERROR(INDEX(Movimientos!$D$2:$D$1993,MATCH(A904&amp;"ENTRADA",Movimientos!$R$2:$R$1993,0)),"-")</f>
        <v>-</v>
      </c>
      <c r="D904" s="2" t="str">
        <f>IFERROR(INDEX(Movimientos!$E$2:$E$1993,MATCH(A904&amp;"ENTRADA",Movimientos!$R$2:$R$1993,0)),"-")</f>
        <v>-</v>
      </c>
      <c r="E904" s="2" t="str">
        <f>IFERROR(INDEX(Movimientos!$F$2:$F$1993,MATCH(A904&amp;"ENTRADA",Movimientos!$R$2:$R$1993,0)),"-")</f>
        <v>-</v>
      </c>
      <c r="F904" s="2" t="str">
        <f>IFERROR(INDEX(Movimientos!$G$2:$G$1993,MATCH(A904&amp;"ENTRADA",Movimientos!$R$2:$R$1993,0)),"-")</f>
        <v>-</v>
      </c>
      <c r="G904" s="2" t="str">
        <f>IFERROR(INDEX(Movimientos!$L$2:$L$1993,MATCH(A904&amp;"ENTRADA",Movimientos!$R$2:$R$1993,0)),"-")</f>
        <v>-</v>
      </c>
      <c r="H904" s="17" t="str">
        <f>IFERROR(IF(INDEX(Movimientos!$M$2:$M$1993,MATCH(A904&amp;"ENTRADA",Movimientos!$R$2:$R$1993,0))=0,"S/D",INDEX(Movimientos!$M$2:$M$1993,MATCH(A904&amp;"ENTRADA",Movimientos!$R$2:$R$1993,0))),"S/D")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3245</v>
      </c>
      <c r="B905" s="2" t="str">
        <f>IFERROR(INDEX(Movimientos!$C$2:$C$1993,MATCH(A905&amp;"ENTRADA",Movimientos!$R$2:$R$1993,0)),"-")</f>
        <v>-</v>
      </c>
      <c r="C905" s="2" t="str">
        <f>IFERROR(INDEX(Movimientos!$D$2:$D$1993,MATCH(A905&amp;"ENTRADA",Movimientos!$R$2:$R$1993,0)),"-")</f>
        <v>-</v>
      </c>
      <c r="D905" s="2" t="str">
        <f>IFERROR(INDEX(Movimientos!$E$2:$E$1993,MATCH(A905&amp;"ENTRADA",Movimientos!$R$2:$R$1993,0)),"-")</f>
        <v>-</v>
      </c>
      <c r="E905" s="2" t="str">
        <f>IFERROR(INDEX(Movimientos!$F$2:$F$1993,MATCH(A905&amp;"ENTRADA",Movimientos!$R$2:$R$1993,0)),"-")</f>
        <v>-</v>
      </c>
      <c r="F905" s="2" t="str">
        <f>IFERROR(INDEX(Movimientos!$G$2:$G$1993,MATCH(A905&amp;"ENTRADA",Movimientos!$R$2:$R$1993,0)),"-")</f>
        <v>-</v>
      </c>
      <c r="G905" s="2" t="str">
        <f>IFERROR(INDEX(Movimientos!$L$2:$L$1993,MATCH(A905&amp;"ENTRADA",Movimientos!$R$2:$R$1993,0)),"-")</f>
        <v>-</v>
      </c>
      <c r="H905" s="17" t="str">
        <f>IFERROR(IF(INDEX(Movimientos!$M$2:$M$1993,MATCH(A905&amp;"ENTRADA",Movimientos!$R$2:$R$1993,0))=0,"S/D",INDEX(Movimientos!$M$2:$M$1993,MATCH(A905&amp;"ENTRADA",Movimientos!$R$2:$R$1993,0))),"S/D")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3246</v>
      </c>
      <c r="B906" s="2" t="str">
        <f>IFERROR(INDEX(Movimientos!$C$2:$C$1993,MATCH(A906&amp;"ENTRADA",Movimientos!$R$2:$R$1993,0)),"-")</f>
        <v>-</v>
      </c>
      <c r="C906" s="2" t="str">
        <f>IFERROR(INDEX(Movimientos!$D$2:$D$1993,MATCH(A906&amp;"ENTRADA",Movimientos!$R$2:$R$1993,0)),"-")</f>
        <v>-</v>
      </c>
      <c r="D906" s="2" t="str">
        <f>IFERROR(INDEX(Movimientos!$E$2:$E$1993,MATCH(A906&amp;"ENTRADA",Movimientos!$R$2:$R$1993,0)),"-")</f>
        <v>-</v>
      </c>
      <c r="E906" s="2" t="str">
        <f>IFERROR(INDEX(Movimientos!$F$2:$F$1993,MATCH(A906&amp;"ENTRADA",Movimientos!$R$2:$R$1993,0)),"-")</f>
        <v>-</v>
      </c>
      <c r="F906" s="2" t="str">
        <f>IFERROR(INDEX(Movimientos!$G$2:$G$1993,MATCH(A906&amp;"ENTRADA",Movimientos!$R$2:$R$1993,0)),"-")</f>
        <v>-</v>
      </c>
      <c r="G906" s="2" t="str">
        <f>IFERROR(INDEX(Movimientos!$L$2:$L$1993,MATCH(A906&amp;"ENTRADA",Movimientos!$R$2:$R$1993,0)),"-")</f>
        <v>-</v>
      </c>
      <c r="H906" s="17" t="str">
        <f>IFERROR(IF(INDEX(Movimientos!$M$2:$M$1993,MATCH(A906&amp;"ENTRADA",Movimientos!$R$2:$R$1993,0))=0,"S/D",INDEX(Movimientos!$M$2:$M$1993,MATCH(A906&amp;"ENTRADA",Movimientos!$R$2:$R$1993,0))),"S/D")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3247</v>
      </c>
      <c r="B907" s="2" t="str">
        <f>IFERROR(INDEX(Movimientos!$C$2:$C$1993,MATCH(A907&amp;"ENTRADA",Movimientos!$R$2:$R$1993,0)),"-")</f>
        <v>-</v>
      </c>
      <c r="C907" s="2" t="str">
        <f>IFERROR(INDEX(Movimientos!$D$2:$D$1993,MATCH(A907&amp;"ENTRADA",Movimientos!$R$2:$R$1993,0)),"-")</f>
        <v>-</v>
      </c>
      <c r="D907" s="2" t="str">
        <f>IFERROR(INDEX(Movimientos!$E$2:$E$1993,MATCH(A907&amp;"ENTRADA",Movimientos!$R$2:$R$1993,0)),"-")</f>
        <v>-</v>
      </c>
      <c r="E907" s="2" t="str">
        <f>IFERROR(INDEX(Movimientos!$F$2:$F$1993,MATCH(A907&amp;"ENTRADA",Movimientos!$R$2:$R$1993,0)),"-")</f>
        <v>-</v>
      </c>
      <c r="F907" s="2" t="str">
        <f>IFERROR(INDEX(Movimientos!$G$2:$G$1993,MATCH(A907&amp;"ENTRADA",Movimientos!$R$2:$R$1993,0)),"-")</f>
        <v>-</v>
      </c>
      <c r="G907" s="2" t="str">
        <f>IFERROR(INDEX(Movimientos!$L$2:$L$1993,MATCH(A907&amp;"ENTRADA",Movimientos!$R$2:$R$1993,0)),"-")</f>
        <v>-</v>
      </c>
      <c r="H907" s="17" t="str">
        <f>IFERROR(IF(INDEX(Movimientos!$M$2:$M$1993,MATCH(A907&amp;"ENTRADA",Movimientos!$R$2:$R$1993,0))=0,"S/D",INDEX(Movimientos!$M$2:$M$1993,MATCH(A907&amp;"ENTRADA",Movimientos!$R$2:$R$1993,0))),"S/D")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3248</v>
      </c>
      <c r="B908" s="2" t="str">
        <f>IFERROR(INDEX(Movimientos!$C$2:$C$1993,MATCH(A908&amp;"ENTRADA",Movimientos!$R$2:$R$1993,0)),"-")</f>
        <v>-</v>
      </c>
      <c r="C908" s="2" t="str">
        <f>IFERROR(INDEX(Movimientos!$D$2:$D$1993,MATCH(A908&amp;"ENTRADA",Movimientos!$R$2:$R$1993,0)),"-")</f>
        <v>-</v>
      </c>
      <c r="D908" s="2" t="str">
        <f>IFERROR(INDEX(Movimientos!$E$2:$E$1993,MATCH(A908&amp;"ENTRADA",Movimientos!$R$2:$R$1993,0)),"-")</f>
        <v>-</v>
      </c>
      <c r="E908" s="2" t="str">
        <f>IFERROR(INDEX(Movimientos!$F$2:$F$1993,MATCH(A908&amp;"ENTRADA",Movimientos!$R$2:$R$1993,0)),"-")</f>
        <v>-</v>
      </c>
      <c r="F908" s="2" t="str">
        <f>IFERROR(INDEX(Movimientos!$G$2:$G$1993,MATCH(A908&amp;"ENTRADA",Movimientos!$R$2:$R$1993,0)),"-")</f>
        <v>-</v>
      </c>
      <c r="G908" s="2" t="str">
        <f>IFERROR(INDEX(Movimientos!$L$2:$L$1993,MATCH(A908&amp;"ENTRADA",Movimientos!$R$2:$R$1993,0)),"-")</f>
        <v>-</v>
      </c>
      <c r="H908" s="17" t="str">
        <f>IFERROR(IF(INDEX(Movimientos!$M$2:$M$1993,MATCH(A908&amp;"ENTRADA",Movimientos!$R$2:$R$1993,0))=0,"S/D",INDEX(Movimientos!$M$2:$M$1993,MATCH(A908&amp;"ENTRADA",Movimientos!$R$2:$R$1993,0))),"S/D")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3249</v>
      </c>
      <c r="B909" s="2" t="str">
        <f>IFERROR(INDEX(Movimientos!$C$2:$C$1993,MATCH(A909&amp;"ENTRADA",Movimientos!$R$2:$R$1993,0)),"-")</f>
        <v>-</v>
      </c>
      <c r="C909" s="2" t="str">
        <f>IFERROR(INDEX(Movimientos!$D$2:$D$1993,MATCH(A909&amp;"ENTRADA",Movimientos!$R$2:$R$1993,0)),"-")</f>
        <v>-</v>
      </c>
      <c r="D909" s="2" t="str">
        <f>IFERROR(INDEX(Movimientos!$E$2:$E$1993,MATCH(A909&amp;"ENTRADA",Movimientos!$R$2:$R$1993,0)),"-")</f>
        <v>-</v>
      </c>
      <c r="E909" s="2" t="str">
        <f>IFERROR(INDEX(Movimientos!$F$2:$F$1993,MATCH(A909&amp;"ENTRADA",Movimientos!$R$2:$R$1993,0)),"-")</f>
        <v>-</v>
      </c>
      <c r="F909" s="2" t="str">
        <f>IFERROR(INDEX(Movimientos!$G$2:$G$1993,MATCH(A909&amp;"ENTRADA",Movimientos!$R$2:$R$1993,0)),"-")</f>
        <v>-</v>
      </c>
      <c r="G909" s="2" t="str">
        <f>IFERROR(INDEX(Movimientos!$L$2:$L$1993,MATCH(A909&amp;"ENTRADA",Movimientos!$R$2:$R$1993,0)),"-")</f>
        <v>-</v>
      </c>
      <c r="H909" s="17" t="str">
        <f>IFERROR(IF(INDEX(Movimientos!$M$2:$M$1993,MATCH(A909&amp;"ENTRADA",Movimientos!$R$2:$R$1993,0))=0,"S/D",INDEX(Movimientos!$M$2:$M$1993,MATCH(A909&amp;"ENTRADA",Movimientos!$R$2:$R$1993,0))),"S/D")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3250</v>
      </c>
      <c r="B910" s="2" t="str">
        <f>IFERROR(INDEX(Movimientos!$C$2:$C$1993,MATCH(A910&amp;"ENTRADA",Movimientos!$R$2:$R$1993,0)),"-")</f>
        <v>-</v>
      </c>
      <c r="C910" s="2" t="str">
        <f>IFERROR(INDEX(Movimientos!$D$2:$D$1993,MATCH(A910&amp;"ENTRADA",Movimientos!$R$2:$R$1993,0)),"-")</f>
        <v>-</v>
      </c>
      <c r="D910" s="2" t="str">
        <f>IFERROR(INDEX(Movimientos!$E$2:$E$1993,MATCH(A910&amp;"ENTRADA",Movimientos!$R$2:$R$1993,0)),"-")</f>
        <v>-</v>
      </c>
      <c r="E910" s="2" t="str">
        <f>IFERROR(INDEX(Movimientos!$F$2:$F$1993,MATCH(A910&amp;"ENTRADA",Movimientos!$R$2:$R$1993,0)),"-")</f>
        <v>-</v>
      </c>
      <c r="F910" s="2" t="str">
        <f>IFERROR(INDEX(Movimientos!$G$2:$G$1993,MATCH(A910&amp;"ENTRADA",Movimientos!$R$2:$R$1993,0)),"-")</f>
        <v>-</v>
      </c>
      <c r="G910" s="2" t="str">
        <f>IFERROR(INDEX(Movimientos!$L$2:$L$1993,MATCH(A910&amp;"ENTRADA",Movimientos!$R$2:$R$1993,0)),"-")</f>
        <v>-</v>
      </c>
      <c r="H910" s="17" t="str">
        <f>IFERROR(IF(INDEX(Movimientos!$M$2:$M$1993,MATCH(A910&amp;"ENTRADA",Movimientos!$R$2:$R$1993,0))=0,"S/D",INDEX(Movimientos!$M$2:$M$1993,MATCH(A910&amp;"ENTRADA",Movimientos!$R$2:$R$1993,0))),"S/D")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3251</v>
      </c>
      <c r="B911" s="2" t="str">
        <f>IFERROR(INDEX(Movimientos!$C$2:$C$1993,MATCH(A911&amp;"ENTRADA",Movimientos!$R$2:$R$1993,0)),"-")</f>
        <v>-</v>
      </c>
      <c r="C911" s="2" t="str">
        <f>IFERROR(INDEX(Movimientos!$D$2:$D$1993,MATCH(A911&amp;"ENTRADA",Movimientos!$R$2:$R$1993,0)),"-")</f>
        <v>-</v>
      </c>
      <c r="D911" s="2" t="str">
        <f>IFERROR(INDEX(Movimientos!$E$2:$E$1993,MATCH(A911&amp;"ENTRADA",Movimientos!$R$2:$R$1993,0)),"-")</f>
        <v>-</v>
      </c>
      <c r="E911" s="2" t="str">
        <f>IFERROR(INDEX(Movimientos!$F$2:$F$1993,MATCH(A911&amp;"ENTRADA",Movimientos!$R$2:$R$1993,0)),"-")</f>
        <v>-</v>
      </c>
      <c r="F911" s="2" t="str">
        <f>IFERROR(INDEX(Movimientos!$G$2:$G$1993,MATCH(A911&amp;"ENTRADA",Movimientos!$R$2:$R$1993,0)),"-")</f>
        <v>-</v>
      </c>
      <c r="G911" s="2" t="str">
        <f>IFERROR(INDEX(Movimientos!$L$2:$L$1993,MATCH(A911&amp;"ENTRADA",Movimientos!$R$2:$R$1993,0)),"-")</f>
        <v>-</v>
      </c>
      <c r="H911" s="17" t="str">
        <f>IFERROR(IF(INDEX(Movimientos!$M$2:$M$1993,MATCH(A911&amp;"ENTRADA",Movimientos!$R$2:$R$1993,0))=0,"S/D",INDEX(Movimientos!$M$2:$M$1993,MATCH(A911&amp;"ENTRADA",Movimientos!$R$2:$R$1993,0))),"S/D")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3252</v>
      </c>
      <c r="B912" s="2" t="str">
        <f>IFERROR(INDEX(Movimientos!$C$2:$C$1993,MATCH(A912&amp;"ENTRADA",Movimientos!$R$2:$R$1993,0)),"-")</f>
        <v>-</v>
      </c>
      <c r="C912" s="2" t="str">
        <f>IFERROR(INDEX(Movimientos!$D$2:$D$1993,MATCH(A912&amp;"ENTRADA",Movimientos!$R$2:$R$1993,0)),"-")</f>
        <v>-</v>
      </c>
      <c r="D912" s="2" t="str">
        <f>IFERROR(INDEX(Movimientos!$E$2:$E$1993,MATCH(A912&amp;"ENTRADA",Movimientos!$R$2:$R$1993,0)),"-")</f>
        <v>-</v>
      </c>
      <c r="E912" s="2" t="str">
        <f>IFERROR(INDEX(Movimientos!$F$2:$F$1993,MATCH(A912&amp;"ENTRADA",Movimientos!$R$2:$R$1993,0)),"-")</f>
        <v>-</v>
      </c>
      <c r="F912" s="2" t="str">
        <f>IFERROR(INDEX(Movimientos!$G$2:$G$1993,MATCH(A912&amp;"ENTRADA",Movimientos!$R$2:$R$1993,0)),"-")</f>
        <v>-</v>
      </c>
      <c r="G912" s="2" t="str">
        <f>IFERROR(INDEX(Movimientos!$L$2:$L$1993,MATCH(A912&amp;"ENTRADA",Movimientos!$R$2:$R$1993,0)),"-")</f>
        <v>-</v>
      </c>
      <c r="H912" s="17" t="str">
        <f>IFERROR(IF(INDEX(Movimientos!$M$2:$M$1993,MATCH(A912&amp;"ENTRADA",Movimientos!$R$2:$R$1993,0))=0,"S/D",INDEX(Movimientos!$M$2:$M$1993,MATCH(A912&amp;"ENTRADA",Movimientos!$R$2:$R$1993,0))),"S/D")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3253</v>
      </c>
      <c r="B913" s="2" t="str">
        <f>IFERROR(INDEX(Movimientos!$C$2:$C$1993,MATCH(A913&amp;"ENTRADA",Movimientos!$R$2:$R$1993,0)),"-")</f>
        <v>-</v>
      </c>
      <c r="C913" s="2" t="str">
        <f>IFERROR(INDEX(Movimientos!$D$2:$D$1993,MATCH(A913&amp;"ENTRADA",Movimientos!$R$2:$R$1993,0)),"-")</f>
        <v>-</v>
      </c>
      <c r="D913" s="2" t="str">
        <f>IFERROR(INDEX(Movimientos!$E$2:$E$1993,MATCH(A913&amp;"ENTRADA",Movimientos!$R$2:$R$1993,0)),"-")</f>
        <v>-</v>
      </c>
      <c r="E913" s="2" t="str">
        <f>IFERROR(INDEX(Movimientos!$F$2:$F$1993,MATCH(A913&amp;"ENTRADA",Movimientos!$R$2:$R$1993,0)),"-")</f>
        <v>-</v>
      </c>
      <c r="F913" s="2" t="str">
        <f>IFERROR(INDEX(Movimientos!$G$2:$G$1993,MATCH(A913&amp;"ENTRADA",Movimientos!$R$2:$R$1993,0)),"-")</f>
        <v>-</v>
      </c>
      <c r="G913" s="2" t="str">
        <f>IFERROR(INDEX(Movimientos!$L$2:$L$1993,MATCH(A913&amp;"ENTRADA",Movimientos!$R$2:$R$1993,0)),"-")</f>
        <v>-</v>
      </c>
      <c r="H913" s="17" t="str">
        <f>IFERROR(IF(INDEX(Movimientos!$M$2:$M$1993,MATCH(A913&amp;"ENTRADA",Movimientos!$R$2:$R$1993,0))=0,"S/D",INDEX(Movimientos!$M$2:$M$1993,MATCH(A913&amp;"ENTRADA",Movimientos!$R$2:$R$1993,0))),"S/D")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3254</v>
      </c>
      <c r="B914" s="2" t="str">
        <f>IFERROR(INDEX(Movimientos!$C$2:$C$1993,MATCH(A914&amp;"ENTRADA",Movimientos!$R$2:$R$1993,0)),"-")</f>
        <v>-</v>
      </c>
      <c r="C914" s="2" t="str">
        <f>IFERROR(INDEX(Movimientos!$D$2:$D$1993,MATCH(A914&amp;"ENTRADA",Movimientos!$R$2:$R$1993,0)),"-")</f>
        <v>-</v>
      </c>
      <c r="D914" s="2" t="str">
        <f>IFERROR(INDEX(Movimientos!$E$2:$E$1993,MATCH(A914&amp;"ENTRADA",Movimientos!$R$2:$R$1993,0)),"-")</f>
        <v>-</v>
      </c>
      <c r="E914" s="2" t="str">
        <f>IFERROR(INDEX(Movimientos!$F$2:$F$1993,MATCH(A914&amp;"ENTRADA",Movimientos!$R$2:$R$1993,0)),"-")</f>
        <v>-</v>
      </c>
      <c r="F914" s="2" t="str">
        <f>IFERROR(INDEX(Movimientos!$G$2:$G$1993,MATCH(A914&amp;"ENTRADA",Movimientos!$R$2:$R$1993,0)),"-")</f>
        <v>-</v>
      </c>
      <c r="G914" s="2" t="str">
        <f>IFERROR(INDEX(Movimientos!$L$2:$L$1993,MATCH(A914&amp;"ENTRADA",Movimientos!$R$2:$R$1993,0)),"-")</f>
        <v>-</v>
      </c>
      <c r="H914" s="17" t="str">
        <f>IFERROR(IF(INDEX(Movimientos!$M$2:$M$1993,MATCH(A914&amp;"ENTRADA",Movimientos!$R$2:$R$1993,0))=0,"S/D",INDEX(Movimientos!$M$2:$M$1993,MATCH(A914&amp;"ENTRADA",Movimientos!$R$2:$R$1993,0))),"S/D")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3255</v>
      </c>
      <c r="B915" s="2" t="str">
        <f>IFERROR(INDEX(Movimientos!$C$2:$C$1993,MATCH(A915&amp;"ENTRADA",Movimientos!$R$2:$R$1993,0)),"-")</f>
        <v>-</v>
      </c>
      <c r="C915" s="2" t="str">
        <f>IFERROR(INDEX(Movimientos!$D$2:$D$1993,MATCH(A915&amp;"ENTRADA",Movimientos!$R$2:$R$1993,0)),"-")</f>
        <v>-</v>
      </c>
      <c r="D915" s="2" t="str">
        <f>IFERROR(INDEX(Movimientos!$E$2:$E$1993,MATCH(A915&amp;"ENTRADA",Movimientos!$R$2:$R$1993,0)),"-")</f>
        <v>-</v>
      </c>
      <c r="E915" s="2" t="str">
        <f>IFERROR(INDEX(Movimientos!$F$2:$F$1993,MATCH(A915&amp;"ENTRADA",Movimientos!$R$2:$R$1993,0)),"-")</f>
        <v>-</v>
      </c>
      <c r="F915" s="2" t="str">
        <f>IFERROR(INDEX(Movimientos!$G$2:$G$1993,MATCH(A915&amp;"ENTRADA",Movimientos!$R$2:$R$1993,0)),"-")</f>
        <v>-</v>
      </c>
      <c r="G915" s="2" t="str">
        <f>IFERROR(INDEX(Movimientos!$L$2:$L$1993,MATCH(A915&amp;"ENTRADA",Movimientos!$R$2:$R$1993,0)),"-")</f>
        <v>-</v>
      </c>
      <c r="H915" s="17" t="str">
        <f>IFERROR(IF(INDEX(Movimientos!$M$2:$M$1993,MATCH(A915&amp;"ENTRADA",Movimientos!$R$2:$R$1993,0))=0,"S/D",INDEX(Movimientos!$M$2:$M$1993,MATCH(A915&amp;"ENTRADA",Movimientos!$R$2:$R$1993,0))),"S/D")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3256</v>
      </c>
      <c r="B916" s="2" t="str">
        <f>IFERROR(INDEX(Movimientos!$C$2:$C$1993,MATCH(A916&amp;"ENTRADA",Movimientos!$R$2:$R$1993,0)),"-")</f>
        <v>-</v>
      </c>
      <c r="C916" s="2" t="str">
        <f>IFERROR(INDEX(Movimientos!$D$2:$D$1993,MATCH(A916&amp;"ENTRADA",Movimientos!$R$2:$R$1993,0)),"-")</f>
        <v>-</v>
      </c>
      <c r="D916" s="2" t="str">
        <f>IFERROR(INDEX(Movimientos!$E$2:$E$1993,MATCH(A916&amp;"ENTRADA",Movimientos!$R$2:$R$1993,0)),"-")</f>
        <v>-</v>
      </c>
      <c r="E916" s="2" t="str">
        <f>IFERROR(INDEX(Movimientos!$F$2:$F$1993,MATCH(A916&amp;"ENTRADA",Movimientos!$R$2:$R$1993,0)),"-")</f>
        <v>-</v>
      </c>
      <c r="F916" s="2" t="str">
        <f>IFERROR(INDEX(Movimientos!$G$2:$G$1993,MATCH(A916&amp;"ENTRADA",Movimientos!$R$2:$R$1993,0)),"-")</f>
        <v>-</v>
      </c>
      <c r="G916" s="2" t="str">
        <f>IFERROR(INDEX(Movimientos!$L$2:$L$1993,MATCH(A916&amp;"ENTRADA",Movimientos!$R$2:$R$1993,0)),"-")</f>
        <v>-</v>
      </c>
      <c r="H916" s="17" t="str">
        <f>IFERROR(IF(INDEX(Movimientos!$M$2:$M$1993,MATCH(A916&amp;"ENTRADA",Movimientos!$R$2:$R$1993,0))=0,"S/D",INDEX(Movimientos!$M$2:$M$1993,MATCH(A916&amp;"ENTRADA",Movimientos!$R$2:$R$1993,0))),"S/D")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3257</v>
      </c>
      <c r="B917" s="2" t="str">
        <f>IFERROR(INDEX(Movimientos!$C$2:$C$1993,MATCH(A917&amp;"ENTRADA",Movimientos!$R$2:$R$1993,0)),"-")</f>
        <v>-</v>
      </c>
      <c r="C917" s="2" t="str">
        <f>IFERROR(INDEX(Movimientos!$D$2:$D$1993,MATCH(A917&amp;"ENTRADA",Movimientos!$R$2:$R$1993,0)),"-")</f>
        <v>-</v>
      </c>
      <c r="D917" s="2" t="str">
        <f>IFERROR(INDEX(Movimientos!$E$2:$E$1993,MATCH(A917&amp;"ENTRADA",Movimientos!$R$2:$R$1993,0)),"-")</f>
        <v>-</v>
      </c>
      <c r="E917" s="2" t="str">
        <f>IFERROR(INDEX(Movimientos!$F$2:$F$1993,MATCH(A917&amp;"ENTRADA",Movimientos!$R$2:$R$1993,0)),"-")</f>
        <v>-</v>
      </c>
      <c r="F917" s="2" t="str">
        <f>IFERROR(INDEX(Movimientos!$G$2:$G$1993,MATCH(A917&amp;"ENTRADA",Movimientos!$R$2:$R$1993,0)),"-")</f>
        <v>-</v>
      </c>
      <c r="G917" s="2" t="str">
        <f>IFERROR(INDEX(Movimientos!$L$2:$L$1993,MATCH(A917&amp;"ENTRADA",Movimientos!$R$2:$R$1993,0)),"-")</f>
        <v>-</v>
      </c>
      <c r="H917" s="17" t="str">
        <f>IFERROR(IF(INDEX(Movimientos!$M$2:$M$1993,MATCH(A917&amp;"ENTRADA",Movimientos!$R$2:$R$1993,0))=0,"S/D",INDEX(Movimientos!$M$2:$M$1993,MATCH(A917&amp;"ENTRADA",Movimientos!$R$2:$R$1993,0))),"S/D")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3258</v>
      </c>
      <c r="B918" s="2" t="str">
        <f>IFERROR(INDEX(Movimientos!$C$2:$C$1993,MATCH(A918&amp;"ENTRADA",Movimientos!$R$2:$R$1993,0)),"-")</f>
        <v>-</v>
      </c>
      <c r="C918" s="2" t="str">
        <f>IFERROR(INDEX(Movimientos!$D$2:$D$1993,MATCH(A918&amp;"ENTRADA",Movimientos!$R$2:$R$1993,0)),"-")</f>
        <v>-</v>
      </c>
      <c r="D918" s="2" t="str">
        <f>IFERROR(INDEX(Movimientos!$E$2:$E$1993,MATCH(A918&amp;"ENTRADA",Movimientos!$R$2:$R$1993,0)),"-")</f>
        <v>-</v>
      </c>
      <c r="E918" s="2" t="str">
        <f>IFERROR(INDEX(Movimientos!$F$2:$F$1993,MATCH(A918&amp;"ENTRADA",Movimientos!$R$2:$R$1993,0)),"-")</f>
        <v>-</v>
      </c>
      <c r="F918" s="2" t="str">
        <f>IFERROR(INDEX(Movimientos!$G$2:$G$1993,MATCH(A918&amp;"ENTRADA",Movimientos!$R$2:$R$1993,0)),"-")</f>
        <v>-</v>
      </c>
      <c r="G918" s="2" t="str">
        <f>IFERROR(INDEX(Movimientos!$L$2:$L$1993,MATCH(A918&amp;"ENTRADA",Movimientos!$R$2:$R$1993,0)),"-")</f>
        <v>-</v>
      </c>
      <c r="H918" s="17" t="str">
        <f>IFERROR(IF(INDEX(Movimientos!$M$2:$M$1993,MATCH(A918&amp;"ENTRADA",Movimientos!$R$2:$R$1993,0))=0,"S/D",INDEX(Movimientos!$M$2:$M$1993,MATCH(A918&amp;"ENTRADA",Movimientos!$R$2:$R$1993,0))),"S/D")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3259</v>
      </c>
      <c r="B919" s="2" t="str">
        <f>IFERROR(INDEX(Movimientos!$C$2:$C$1993,MATCH(A919&amp;"ENTRADA",Movimientos!$R$2:$R$1993,0)),"-")</f>
        <v>-</v>
      </c>
      <c r="C919" s="2" t="str">
        <f>IFERROR(INDEX(Movimientos!$D$2:$D$1993,MATCH(A919&amp;"ENTRADA",Movimientos!$R$2:$R$1993,0)),"-")</f>
        <v>-</v>
      </c>
      <c r="D919" s="2" t="str">
        <f>IFERROR(INDEX(Movimientos!$E$2:$E$1993,MATCH(A919&amp;"ENTRADA",Movimientos!$R$2:$R$1993,0)),"-")</f>
        <v>-</v>
      </c>
      <c r="E919" s="2" t="str">
        <f>IFERROR(INDEX(Movimientos!$F$2:$F$1993,MATCH(A919&amp;"ENTRADA",Movimientos!$R$2:$R$1993,0)),"-")</f>
        <v>-</v>
      </c>
      <c r="F919" s="2" t="str">
        <f>IFERROR(INDEX(Movimientos!$G$2:$G$1993,MATCH(A919&amp;"ENTRADA",Movimientos!$R$2:$R$1993,0)),"-")</f>
        <v>-</v>
      </c>
      <c r="G919" s="2" t="str">
        <f>IFERROR(INDEX(Movimientos!$L$2:$L$1993,MATCH(A919&amp;"ENTRADA",Movimientos!$R$2:$R$1993,0)),"-")</f>
        <v>-</v>
      </c>
      <c r="H919" s="17" t="str">
        <f>IFERROR(IF(INDEX(Movimientos!$M$2:$M$1993,MATCH(A919&amp;"ENTRADA",Movimientos!$R$2:$R$1993,0))=0,"S/D",INDEX(Movimientos!$M$2:$M$1993,MATCH(A919&amp;"ENTRADA",Movimientos!$R$2:$R$1993,0))),"S/D")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3260</v>
      </c>
      <c r="B920" s="2" t="str">
        <f>IFERROR(INDEX(Movimientos!$C$2:$C$1993,MATCH(A920&amp;"ENTRADA",Movimientos!$R$2:$R$1993,0)),"-")</f>
        <v>-</v>
      </c>
      <c r="C920" s="2" t="str">
        <f>IFERROR(INDEX(Movimientos!$D$2:$D$1993,MATCH(A920&amp;"ENTRADA",Movimientos!$R$2:$R$1993,0)),"-")</f>
        <v>-</v>
      </c>
      <c r="D920" s="2" t="str">
        <f>IFERROR(INDEX(Movimientos!$E$2:$E$1993,MATCH(A920&amp;"ENTRADA",Movimientos!$R$2:$R$1993,0)),"-")</f>
        <v>-</v>
      </c>
      <c r="E920" s="2" t="str">
        <f>IFERROR(INDEX(Movimientos!$F$2:$F$1993,MATCH(A920&amp;"ENTRADA",Movimientos!$R$2:$R$1993,0)),"-")</f>
        <v>-</v>
      </c>
      <c r="F920" s="2" t="str">
        <f>IFERROR(INDEX(Movimientos!$G$2:$G$1993,MATCH(A920&amp;"ENTRADA",Movimientos!$R$2:$R$1993,0)),"-")</f>
        <v>-</v>
      </c>
      <c r="G920" s="2" t="str">
        <f>IFERROR(INDEX(Movimientos!$L$2:$L$1993,MATCH(A920&amp;"ENTRADA",Movimientos!$R$2:$R$1993,0)),"-")</f>
        <v>-</v>
      </c>
      <c r="H920" s="17" t="str">
        <f>IFERROR(IF(INDEX(Movimientos!$M$2:$M$1993,MATCH(A920&amp;"ENTRADA",Movimientos!$R$2:$R$1993,0))=0,"S/D",INDEX(Movimientos!$M$2:$M$1993,MATCH(A920&amp;"ENTRADA",Movimientos!$R$2:$R$1993,0))),"S/D")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3261</v>
      </c>
      <c r="B921" s="2" t="str">
        <f>IFERROR(INDEX(Movimientos!$C$2:$C$1993,MATCH(A921&amp;"ENTRADA",Movimientos!$R$2:$R$1993,0)),"-")</f>
        <v>-</v>
      </c>
      <c r="C921" s="2" t="str">
        <f>IFERROR(INDEX(Movimientos!$D$2:$D$1993,MATCH(A921&amp;"ENTRADA",Movimientos!$R$2:$R$1993,0)),"-")</f>
        <v>-</v>
      </c>
      <c r="D921" s="2" t="str">
        <f>IFERROR(INDEX(Movimientos!$E$2:$E$1993,MATCH(A921&amp;"ENTRADA",Movimientos!$R$2:$R$1993,0)),"-")</f>
        <v>-</v>
      </c>
      <c r="E921" s="2" t="str">
        <f>IFERROR(INDEX(Movimientos!$F$2:$F$1993,MATCH(A921&amp;"ENTRADA",Movimientos!$R$2:$R$1993,0)),"-")</f>
        <v>-</v>
      </c>
      <c r="F921" s="2" t="str">
        <f>IFERROR(INDEX(Movimientos!$G$2:$G$1993,MATCH(A921&amp;"ENTRADA",Movimientos!$R$2:$R$1993,0)),"-")</f>
        <v>-</v>
      </c>
      <c r="G921" s="2" t="str">
        <f>IFERROR(INDEX(Movimientos!$L$2:$L$1993,MATCH(A921&amp;"ENTRADA",Movimientos!$R$2:$R$1993,0)),"-")</f>
        <v>-</v>
      </c>
      <c r="H921" s="17" t="str">
        <f>IFERROR(IF(INDEX(Movimientos!$M$2:$M$1993,MATCH(A921&amp;"ENTRADA",Movimientos!$R$2:$R$1993,0))=0,"S/D",INDEX(Movimientos!$M$2:$M$1993,MATCH(A921&amp;"ENTRADA",Movimientos!$R$2:$R$1993,0))),"S/D")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3262</v>
      </c>
      <c r="B922" s="2" t="str">
        <f>IFERROR(INDEX(Movimientos!$C$2:$C$1993,MATCH(A922&amp;"ENTRADA",Movimientos!$R$2:$R$1993,0)),"-")</f>
        <v>-</v>
      </c>
      <c r="C922" s="2" t="str">
        <f>IFERROR(INDEX(Movimientos!$D$2:$D$1993,MATCH(A922&amp;"ENTRADA",Movimientos!$R$2:$R$1993,0)),"-")</f>
        <v>-</v>
      </c>
      <c r="D922" s="2" t="str">
        <f>IFERROR(INDEX(Movimientos!$E$2:$E$1993,MATCH(A922&amp;"ENTRADA",Movimientos!$R$2:$R$1993,0)),"-")</f>
        <v>-</v>
      </c>
      <c r="E922" s="2" t="str">
        <f>IFERROR(INDEX(Movimientos!$F$2:$F$1993,MATCH(A922&amp;"ENTRADA",Movimientos!$R$2:$R$1993,0)),"-")</f>
        <v>-</v>
      </c>
      <c r="F922" s="2" t="str">
        <f>IFERROR(INDEX(Movimientos!$G$2:$G$1993,MATCH(A922&amp;"ENTRADA",Movimientos!$R$2:$R$1993,0)),"-")</f>
        <v>-</v>
      </c>
      <c r="G922" s="2" t="str">
        <f>IFERROR(INDEX(Movimientos!$L$2:$L$1993,MATCH(A922&amp;"ENTRADA",Movimientos!$R$2:$R$1993,0)),"-")</f>
        <v>-</v>
      </c>
      <c r="H922" s="17" t="str">
        <f>IFERROR(IF(INDEX(Movimientos!$M$2:$M$1993,MATCH(A922&amp;"ENTRADA",Movimientos!$R$2:$R$1993,0))=0,"S/D",INDEX(Movimientos!$M$2:$M$1993,MATCH(A922&amp;"ENTRADA",Movimientos!$R$2:$R$1993,0))),"S/D")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3263</v>
      </c>
      <c r="B923" s="2" t="str">
        <f>IFERROR(INDEX(Movimientos!$C$2:$C$1993,MATCH(A923&amp;"ENTRADA",Movimientos!$R$2:$R$1993,0)),"-")</f>
        <v>-</v>
      </c>
      <c r="C923" s="2" t="str">
        <f>IFERROR(INDEX(Movimientos!$D$2:$D$1993,MATCH(A923&amp;"ENTRADA",Movimientos!$R$2:$R$1993,0)),"-")</f>
        <v>-</v>
      </c>
      <c r="D923" s="2" t="str">
        <f>IFERROR(INDEX(Movimientos!$E$2:$E$1993,MATCH(A923&amp;"ENTRADA",Movimientos!$R$2:$R$1993,0)),"-")</f>
        <v>-</v>
      </c>
      <c r="E923" s="2" t="str">
        <f>IFERROR(INDEX(Movimientos!$F$2:$F$1993,MATCH(A923&amp;"ENTRADA",Movimientos!$R$2:$R$1993,0)),"-")</f>
        <v>-</v>
      </c>
      <c r="F923" s="2" t="str">
        <f>IFERROR(INDEX(Movimientos!$G$2:$G$1993,MATCH(A923&amp;"ENTRADA",Movimientos!$R$2:$R$1993,0)),"-")</f>
        <v>-</v>
      </c>
      <c r="G923" s="2" t="str">
        <f>IFERROR(INDEX(Movimientos!$L$2:$L$1993,MATCH(A923&amp;"ENTRADA",Movimientos!$R$2:$R$1993,0)),"-")</f>
        <v>-</v>
      </c>
      <c r="H923" s="17" t="str">
        <f>IFERROR(IF(INDEX(Movimientos!$M$2:$M$1993,MATCH(A923&amp;"ENTRADA",Movimientos!$R$2:$R$1993,0))=0,"S/D",INDEX(Movimientos!$M$2:$M$1993,MATCH(A923&amp;"ENTRADA",Movimientos!$R$2:$R$1993,0))),"S/D")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3264</v>
      </c>
      <c r="B924" s="2" t="str">
        <f>IFERROR(INDEX(Movimientos!$C$2:$C$1993,MATCH(A924&amp;"ENTRADA",Movimientos!$R$2:$R$1993,0)),"-")</f>
        <v>-</v>
      </c>
      <c r="C924" s="2" t="str">
        <f>IFERROR(INDEX(Movimientos!$D$2:$D$1993,MATCH(A924&amp;"ENTRADA",Movimientos!$R$2:$R$1993,0)),"-")</f>
        <v>-</v>
      </c>
      <c r="D924" s="2" t="str">
        <f>IFERROR(INDEX(Movimientos!$E$2:$E$1993,MATCH(A924&amp;"ENTRADA",Movimientos!$R$2:$R$1993,0)),"-")</f>
        <v>-</v>
      </c>
      <c r="E924" s="2" t="str">
        <f>IFERROR(INDEX(Movimientos!$F$2:$F$1993,MATCH(A924&amp;"ENTRADA",Movimientos!$R$2:$R$1993,0)),"-")</f>
        <v>-</v>
      </c>
      <c r="F924" s="2" t="str">
        <f>IFERROR(INDEX(Movimientos!$G$2:$G$1993,MATCH(A924&amp;"ENTRADA",Movimientos!$R$2:$R$1993,0)),"-")</f>
        <v>-</v>
      </c>
      <c r="G924" s="2" t="str">
        <f>IFERROR(INDEX(Movimientos!$L$2:$L$1993,MATCH(A924&amp;"ENTRADA",Movimientos!$R$2:$R$1993,0)),"-")</f>
        <v>-</v>
      </c>
      <c r="H924" s="17" t="str">
        <f>IFERROR(IF(INDEX(Movimientos!$M$2:$M$1993,MATCH(A924&amp;"ENTRADA",Movimientos!$R$2:$R$1993,0))=0,"S/D",INDEX(Movimientos!$M$2:$M$1993,MATCH(A924&amp;"ENTRADA",Movimientos!$R$2:$R$1993,0))),"S/D")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3265</v>
      </c>
      <c r="B925" s="2" t="str">
        <f>IFERROR(INDEX(Movimientos!$C$2:$C$1993,MATCH(A925&amp;"ENTRADA",Movimientos!$R$2:$R$1993,0)),"-")</f>
        <v>-</v>
      </c>
      <c r="C925" s="2" t="str">
        <f>IFERROR(INDEX(Movimientos!$D$2:$D$1993,MATCH(A925&amp;"ENTRADA",Movimientos!$R$2:$R$1993,0)),"-")</f>
        <v>-</v>
      </c>
      <c r="D925" s="2" t="str">
        <f>IFERROR(INDEX(Movimientos!$E$2:$E$1993,MATCH(A925&amp;"ENTRADA",Movimientos!$R$2:$R$1993,0)),"-")</f>
        <v>-</v>
      </c>
      <c r="E925" s="2" t="str">
        <f>IFERROR(INDEX(Movimientos!$F$2:$F$1993,MATCH(A925&amp;"ENTRADA",Movimientos!$R$2:$R$1993,0)),"-")</f>
        <v>-</v>
      </c>
      <c r="F925" s="2" t="str">
        <f>IFERROR(INDEX(Movimientos!$G$2:$G$1993,MATCH(A925&amp;"ENTRADA",Movimientos!$R$2:$R$1993,0)),"-")</f>
        <v>-</v>
      </c>
      <c r="G925" s="2" t="str">
        <f>IFERROR(INDEX(Movimientos!$L$2:$L$1993,MATCH(A925&amp;"ENTRADA",Movimientos!$R$2:$R$1993,0)),"-")</f>
        <v>-</v>
      </c>
      <c r="H925" s="17" t="str">
        <f>IFERROR(IF(INDEX(Movimientos!$M$2:$M$1993,MATCH(A925&amp;"ENTRADA",Movimientos!$R$2:$R$1993,0))=0,"S/D",INDEX(Movimientos!$M$2:$M$1993,MATCH(A925&amp;"ENTRADA",Movimientos!$R$2:$R$1993,0))),"S/D")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3266</v>
      </c>
      <c r="B926" s="2" t="str">
        <f>IFERROR(INDEX(Movimientos!$C$2:$C$1993,MATCH(A926&amp;"ENTRADA",Movimientos!$R$2:$R$1993,0)),"-")</f>
        <v>-</v>
      </c>
      <c r="C926" s="2" t="str">
        <f>IFERROR(INDEX(Movimientos!$D$2:$D$1993,MATCH(A926&amp;"ENTRADA",Movimientos!$R$2:$R$1993,0)),"-")</f>
        <v>-</v>
      </c>
      <c r="D926" s="2" t="str">
        <f>IFERROR(INDEX(Movimientos!$E$2:$E$1993,MATCH(A926&amp;"ENTRADA",Movimientos!$R$2:$R$1993,0)),"-")</f>
        <v>-</v>
      </c>
      <c r="E926" s="2" t="str">
        <f>IFERROR(INDEX(Movimientos!$F$2:$F$1993,MATCH(A926&amp;"ENTRADA",Movimientos!$R$2:$R$1993,0)),"-")</f>
        <v>-</v>
      </c>
      <c r="F926" s="2" t="str">
        <f>IFERROR(INDEX(Movimientos!$G$2:$G$1993,MATCH(A926&amp;"ENTRADA",Movimientos!$R$2:$R$1993,0)),"-")</f>
        <v>-</v>
      </c>
      <c r="G926" s="2" t="str">
        <f>IFERROR(INDEX(Movimientos!$L$2:$L$1993,MATCH(A926&amp;"ENTRADA",Movimientos!$R$2:$R$1993,0)),"-")</f>
        <v>-</v>
      </c>
      <c r="H926" s="17" t="str">
        <f>IFERROR(IF(INDEX(Movimientos!$M$2:$M$1993,MATCH(A926&amp;"ENTRADA",Movimientos!$R$2:$R$1993,0))=0,"S/D",INDEX(Movimientos!$M$2:$M$1993,MATCH(A926&amp;"ENTRADA",Movimientos!$R$2:$R$1993,0))),"S/D")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3267</v>
      </c>
      <c r="B927" s="2" t="str">
        <f>IFERROR(INDEX(Movimientos!$C$2:$C$1993,MATCH(A927&amp;"ENTRADA",Movimientos!$R$2:$R$1993,0)),"-")</f>
        <v>-</v>
      </c>
      <c r="C927" s="2" t="str">
        <f>IFERROR(INDEX(Movimientos!$D$2:$D$1993,MATCH(A927&amp;"ENTRADA",Movimientos!$R$2:$R$1993,0)),"-")</f>
        <v>-</v>
      </c>
      <c r="D927" s="2" t="str">
        <f>IFERROR(INDEX(Movimientos!$E$2:$E$1993,MATCH(A927&amp;"ENTRADA",Movimientos!$R$2:$R$1993,0)),"-")</f>
        <v>-</v>
      </c>
      <c r="E927" s="2" t="str">
        <f>IFERROR(INDEX(Movimientos!$F$2:$F$1993,MATCH(A927&amp;"ENTRADA",Movimientos!$R$2:$R$1993,0)),"-")</f>
        <v>-</v>
      </c>
      <c r="F927" s="2" t="str">
        <f>IFERROR(INDEX(Movimientos!$G$2:$G$1993,MATCH(A927&amp;"ENTRADA",Movimientos!$R$2:$R$1993,0)),"-")</f>
        <v>-</v>
      </c>
      <c r="G927" s="2" t="str">
        <f>IFERROR(INDEX(Movimientos!$L$2:$L$1993,MATCH(A927&amp;"ENTRADA",Movimientos!$R$2:$R$1993,0)),"-")</f>
        <v>-</v>
      </c>
      <c r="H927" s="17" t="str">
        <f>IFERROR(IF(INDEX(Movimientos!$M$2:$M$1993,MATCH(A927&amp;"ENTRADA",Movimientos!$R$2:$R$1993,0))=0,"S/D",INDEX(Movimientos!$M$2:$M$1993,MATCH(A927&amp;"ENTRADA",Movimientos!$R$2:$R$1993,0))),"S/D")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3268</v>
      </c>
      <c r="B928" s="2" t="str">
        <f>IFERROR(INDEX(Movimientos!$C$2:$C$1993,MATCH(A928&amp;"ENTRADA",Movimientos!$R$2:$R$1993,0)),"-")</f>
        <v>-</v>
      </c>
      <c r="C928" s="2" t="str">
        <f>IFERROR(INDEX(Movimientos!$D$2:$D$1993,MATCH(A928&amp;"ENTRADA",Movimientos!$R$2:$R$1993,0)),"-")</f>
        <v>-</v>
      </c>
      <c r="D928" s="2" t="str">
        <f>IFERROR(INDEX(Movimientos!$E$2:$E$1993,MATCH(A928&amp;"ENTRADA",Movimientos!$R$2:$R$1993,0)),"-")</f>
        <v>-</v>
      </c>
      <c r="E928" s="2" t="str">
        <f>IFERROR(INDEX(Movimientos!$F$2:$F$1993,MATCH(A928&amp;"ENTRADA",Movimientos!$R$2:$R$1993,0)),"-")</f>
        <v>-</v>
      </c>
      <c r="F928" s="2" t="str">
        <f>IFERROR(INDEX(Movimientos!$G$2:$G$1993,MATCH(A928&amp;"ENTRADA",Movimientos!$R$2:$R$1993,0)),"-")</f>
        <v>-</v>
      </c>
      <c r="G928" s="2" t="str">
        <f>IFERROR(INDEX(Movimientos!$L$2:$L$1993,MATCH(A928&amp;"ENTRADA",Movimientos!$R$2:$R$1993,0)),"-")</f>
        <v>-</v>
      </c>
      <c r="H928" s="17" t="str">
        <f>IFERROR(IF(INDEX(Movimientos!$M$2:$M$1993,MATCH(A928&amp;"ENTRADA",Movimientos!$R$2:$R$1993,0))=0,"S/D",INDEX(Movimientos!$M$2:$M$1993,MATCH(A928&amp;"ENTRADA",Movimientos!$R$2:$R$1993,0))),"S/D")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3269</v>
      </c>
      <c r="B929" s="2" t="str">
        <f>IFERROR(INDEX(Movimientos!$C$2:$C$1993,MATCH(A929&amp;"ENTRADA",Movimientos!$R$2:$R$1993,0)),"-")</f>
        <v>-</v>
      </c>
      <c r="C929" s="2" t="str">
        <f>IFERROR(INDEX(Movimientos!$D$2:$D$1993,MATCH(A929&amp;"ENTRADA",Movimientos!$R$2:$R$1993,0)),"-")</f>
        <v>-</v>
      </c>
      <c r="D929" s="2" t="str">
        <f>IFERROR(INDEX(Movimientos!$E$2:$E$1993,MATCH(A929&amp;"ENTRADA",Movimientos!$R$2:$R$1993,0)),"-")</f>
        <v>-</v>
      </c>
      <c r="E929" s="2" t="str">
        <f>IFERROR(INDEX(Movimientos!$F$2:$F$1993,MATCH(A929&amp;"ENTRADA",Movimientos!$R$2:$R$1993,0)),"-")</f>
        <v>-</v>
      </c>
      <c r="F929" s="2" t="str">
        <f>IFERROR(INDEX(Movimientos!$G$2:$G$1993,MATCH(A929&amp;"ENTRADA",Movimientos!$R$2:$R$1993,0)),"-")</f>
        <v>-</v>
      </c>
      <c r="G929" s="2" t="str">
        <f>IFERROR(INDEX(Movimientos!$L$2:$L$1993,MATCH(A929&amp;"ENTRADA",Movimientos!$R$2:$R$1993,0)),"-")</f>
        <v>-</v>
      </c>
      <c r="H929" s="17" t="str">
        <f>IFERROR(IF(INDEX(Movimientos!$M$2:$M$1993,MATCH(A929&amp;"ENTRADA",Movimientos!$R$2:$R$1993,0))=0,"S/D",INDEX(Movimientos!$M$2:$M$1993,MATCH(A929&amp;"ENTRADA",Movimientos!$R$2:$R$1993,0))),"S/D")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3270</v>
      </c>
      <c r="B930" s="2" t="str">
        <f>IFERROR(INDEX(Movimientos!$C$2:$C$1993,MATCH(A930&amp;"ENTRADA",Movimientos!$R$2:$R$1993,0)),"-")</f>
        <v>-</v>
      </c>
      <c r="C930" s="2" t="str">
        <f>IFERROR(INDEX(Movimientos!$D$2:$D$1993,MATCH(A930&amp;"ENTRADA",Movimientos!$R$2:$R$1993,0)),"-")</f>
        <v>-</v>
      </c>
      <c r="D930" s="2" t="str">
        <f>IFERROR(INDEX(Movimientos!$E$2:$E$1993,MATCH(A930&amp;"ENTRADA",Movimientos!$R$2:$R$1993,0)),"-")</f>
        <v>-</v>
      </c>
      <c r="E930" s="2" t="str">
        <f>IFERROR(INDEX(Movimientos!$F$2:$F$1993,MATCH(A930&amp;"ENTRADA",Movimientos!$R$2:$R$1993,0)),"-")</f>
        <v>-</v>
      </c>
      <c r="F930" s="2" t="str">
        <f>IFERROR(INDEX(Movimientos!$G$2:$G$1993,MATCH(A930&amp;"ENTRADA",Movimientos!$R$2:$R$1993,0)),"-")</f>
        <v>-</v>
      </c>
      <c r="G930" s="2" t="str">
        <f>IFERROR(INDEX(Movimientos!$L$2:$L$1993,MATCH(A930&amp;"ENTRADA",Movimientos!$R$2:$R$1993,0)),"-")</f>
        <v>-</v>
      </c>
      <c r="H930" s="17" t="str">
        <f>IFERROR(IF(INDEX(Movimientos!$M$2:$M$1993,MATCH(A930&amp;"ENTRADA",Movimientos!$R$2:$R$1993,0))=0,"S/D",INDEX(Movimientos!$M$2:$M$1993,MATCH(A930&amp;"ENTRADA",Movimientos!$R$2:$R$1993,0))),"S/D")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3271</v>
      </c>
      <c r="B931" s="2" t="str">
        <f>IFERROR(INDEX(Movimientos!$C$2:$C$1993,MATCH(A931&amp;"ENTRADA",Movimientos!$R$2:$R$1993,0)),"-")</f>
        <v>-</v>
      </c>
      <c r="C931" s="2" t="str">
        <f>IFERROR(INDEX(Movimientos!$D$2:$D$1993,MATCH(A931&amp;"ENTRADA",Movimientos!$R$2:$R$1993,0)),"-")</f>
        <v>-</v>
      </c>
      <c r="D931" s="2" t="str">
        <f>IFERROR(INDEX(Movimientos!$E$2:$E$1993,MATCH(A931&amp;"ENTRADA",Movimientos!$R$2:$R$1993,0)),"-")</f>
        <v>-</v>
      </c>
      <c r="E931" s="2" t="str">
        <f>IFERROR(INDEX(Movimientos!$F$2:$F$1993,MATCH(A931&amp;"ENTRADA",Movimientos!$R$2:$R$1993,0)),"-")</f>
        <v>-</v>
      </c>
      <c r="F931" s="2" t="str">
        <f>IFERROR(INDEX(Movimientos!$G$2:$G$1993,MATCH(A931&amp;"ENTRADA",Movimientos!$R$2:$R$1993,0)),"-")</f>
        <v>-</v>
      </c>
      <c r="G931" s="2" t="str">
        <f>IFERROR(INDEX(Movimientos!$L$2:$L$1993,MATCH(A931&amp;"ENTRADA",Movimientos!$R$2:$R$1993,0)),"-")</f>
        <v>-</v>
      </c>
      <c r="H931" s="17" t="str">
        <f>IFERROR(IF(INDEX(Movimientos!$M$2:$M$1993,MATCH(A931&amp;"ENTRADA",Movimientos!$R$2:$R$1993,0))=0,"S/D",INDEX(Movimientos!$M$2:$M$1993,MATCH(A931&amp;"ENTRADA",Movimientos!$R$2:$R$1993,0))),"S/D")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3272</v>
      </c>
      <c r="B932" s="2" t="str">
        <f>IFERROR(INDEX(Movimientos!$C$2:$C$1993,MATCH(A932&amp;"ENTRADA",Movimientos!$R$2:$R$1993,0)),"-")</f>
        <v>-</v>
      </c>
      <c r="C932" s="2" t="str">
        <f>IFERROR(INDEX(Movimientos!$D$2:$D$1993,MATCH(A932&amp;"ENTRADA",Movimientos!$R$2:$R$1993,0)),"-")</f>
        <v>-</v>
      </c>
      <c r="D932" s="2" t="str">
        <f>IFERROR(INDEX(Movimientos!$E$2:$E$1993,MATCH(A932&amp;"ENTRADA",Movimientos!$R$2:$R$1993,0)),"-")</f>
        <v>-</v>
      </c>
      <c r="E932" s="2" t="str">
        <f>IFERROR(INDEX(Movimientos!$F$2:$F$1993,MATCH(A932&amp;"ENTRADA",Movimientos!$R$2:$R$1993,0)),"-")</f>
        <v>-</v>
      </c>
      <c r="F932" s="2" t="str">
        <f>IFERROR(INDEX(Movimientos!$G$2:$G$1993,MATCH(A932&amp;"ENTRADA",Movimientos!$R$2:$R$1993,0)),"-")</f>
        <v>-</v>
      </c>
      <c r="G932" s="2" t="str">
        <f>IFERROR(INDEX(Movimientos!$L$2:$L$1993,MATCH(A932&amp;"ENTRADA",Movimientos!$R$2:$R$1993,0)),"-")</f>
        <v>-</v>
      </c>
      <c r="H932" s="17" t="str">
        <f>IFERROR(IF(INDEX(Movimientos!$M$2:$M$1993,MATCH(A932&amp;"ENTRADA",Movimientos!$R$2:$R$1993,0))=0,"S/D",INDEX(Movimientos!$M$2:$M$1993,MATCH(A932&amp;"ENTRADA",Movimientos!$R$2:$R$1993,0))),"S/D")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3273</v>
      </c>
      <c r="B933" s="2" t="str">
        <f>IFERROR(INDEX(Movimientos!$C$2:$C$1993,MATCH(A933&amp;"ENTRADA",Movimientos!$R$2:$R$1993,0)),"-")</f>
        <v>-</v>
      </c>
      <c r="C933" s="2" t="str">
        <f>IFERROR(INDEX(Movimientos!$D$2:$D$1993,MATCH(A933&amp;"ENTRADA",Movimientos!$R$2:$R$1993,0)),"-")</f>
        <v>-</v>
      </c>
      <c r="D933" s="2" t="str">
        <f>IFERROR(INDEX(Movimientos!$E$2:$E$1993,MATCH(A933&amp;"ENTRADA",Movimientos!$R$2:$R$1993,0)),"-")</f>
        <v>-</v>
      </c>
      <c r="E933" s="2" t="str">
        <f>IFERROR(INDEX(Movimientos!$F$2:$F$1993,MATCH(A933&amp;"ENTRADA",Movimientos!$R$2:$R$1993,0)),"-")</f>
        <v>-</v>
      </c>
      <c r="F933" s="2" t="str">
        <f>IFERROR(INDEX(Movimientos!$G$2:$G$1993,MATCH(A933&amp;"ENTRADA",Movimientos!$R$2:$R$1993,0)),"-")</f>
        <v>-</v>
      </c>
      <c r="G933" s="2" t="str">
        <f>IFERROR(INDEX(Movimientos!$L$2:$L$1993,MATCH(A933&amp;"ENTRADA",Movimientos!$R$2:$R$1993,0)),"-")</f>
        <v>-</v>
      </c>
      <c r="H933" s="17" t="str">
        <f>IFERROR(IF(INDEX(Movimientos!$M$2:$M$1993,MATCH(A933&amp;"ENTRADA",Movimientos!$R$2:$R$1993,0))=0,"S/D",INDEX(Movimientos!$M$2:$M$1993,MATCH(A933&amp;"ENTRADA",Movimientos!$R$2:$R$1993,0))),"S/D")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3274</v>
      </c>
      <c r="B934" s="2" t="str">
        <f>IFERROR(INDEX(Movimientos!$C$2:$C$1993,MATCH(A934&amp;"ENTRADA",Movimientos!$R$2:$R$1993,0)),"-")</f>
        <v>-</v>
      </c>
      <c r="C934" s="2" t="str">
        <f>IFERROR(INDEX(Movimientos!$D$2:$D$1993,MATCH(A934&amp;"ENTRADA",Movimientos!$R$2:$R$1993,0)),"-")</f>
        <v>-</v>
      </c>
      <c r="D934" s="2" t="str">
        <f>IFERROR(INDEX(Movimientos!$E$2:$E$1993,MATCH(A934&amp;"ENTRADA",Movimientos!$R$2:$R$1993,0)),"-")</f>
        <v>-</v>
      </c>
      <c r="E934" s="2" t="str">
        <f>IFERROR(INDEX(Movimientos!$F$2:$F$1993,MATCH(A934&amp;"ENTRADA",Movimientos!$R$2:$R$1993,0)),"-")</f>
        <v>-</v>
      </c>
      <c r="F934" s="2" t="str">
        <f>IFERROR(INDEX(Movimientos!$G$2:$G$1993,MATCH(A934&amp;"ENTRADA",Movimientos!$R$2:$R$1993,0)),"-")</f>
        <v>-</v>
      </c>
      <c r="G934" s="2" t="str">
        <f>IFERROR(INDEX(Movimientos!$L$2:$L$1993,MATCH(A934&amp;"ENTRADA",Movimientos!$R$2:$R$1993,0)),"-")</f>
        <v>-</v>
      </c>
      <c r="H934" s="17" t="str">
        <f>IFERROR(IF(INDEX(Movimientos!$M$2:$M$1993,MATCH(A934&amp;"ENTRADA",Movimientos!$R$2:$R$1993,0))=0,"S/D",INDEX(Movimientos!$M$2:$M$1993,MATCH(A934&amp;"ENTRADA",Movimientos!$R$2:$R$1993,0))),"S/D")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3275</v>
      </c>
      <c r="B935" s="2" t="str">
        <f>IFERROR(INDEX(Movimientos!$C$2:$C$1993,MATCH(A935&amp;"ENTRADA",Movimientos!$R$2:$R$1993,0)),"-")</f>
        <v>-</v>
      </c>
      <c r="C935" s="2" t="str">
        <f>IFERROR(INDEX(Movimientos!$D$2:$D$1993,MATCH(A935&amp;"ENTRADA",Movimientos!$R$2:$R$1993,0)),"-")</f>
        <v>-</v>
      </c>
      <c r="D935" s="2" t="str">
        <f>IFERROR(INDEX(Movimientos!$E$2:$E$1993,MATCH(A935&amp;"ENTRADA",Movimientos!$R$2:$R$1993,0)),"-")</f>
        <v>-</v>
      </c>
      <c r="E935" s="2" t="str">
        <f>IFERROR(INDEX(Movimientos!$F$2:$F$1993,MATCH(A935&amp;"ENTRADA",Movimientos!$R$2:$R$1993,0)),"-")</f>
        <v>-</v>
      </c>
      <c r="F935" s="2" t="str">
        <f>IFERROR(INDEX(Movimientos!$G$2:$G$1993,MATCH(A935&amp;"ENTRADA",Movimientos!$R$2:$R$1993,0)),"-")</f>
        <v>-</v>
      </c>
      <c r="G935" s="2" t="str">
        <f>IFERROR(INDEX(Movimientos!$L$2:$L$1993,MATCH(A935&amp;"ENTRADA",Movimientos!$R$2:$R$1993,0)),"-")</f>
        <v>-</v>
      </c>
      <c r="H935" s="17" t="str">
        <f>IFERROR(IF(INDEX(Movimientos!$M$2:$M$1993,MATCH(A935&amp;"ENTRADA",Movimientos!$R$2:$R$1993,0))=0,"S/D",INDEX(Movimientos!$M$2:$M$1993,MATCH(A935&amp;"ENTRADA",Movimientos!$R$2:$R$1993,0))),"S/D")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3276</v>
      </c>
      <c r="B936" s="2" t="str">
        <f>IFERROR(INDEX(Movimientos!$C$2:$C$1993,MATCH(A936&amp;"ENTRADA",Movimientos!$R$2:$R$1993,0)),"-")</f>
        <v>-</v>
      </c>
      <c r="C936" s="2" t="str">
        <f>IFERROR(INDEX(Movimientos!$D$2:$D$1993,MATCH(A936&amp;"ENTRADA",Movimientos!$R$2:$R$1993,0)),"-")</f>
        <v>-</v>
      </c>
      <c r="D936" s="2" t="str">
        <f>IFERROR(INDEX(Movimientos!$E$2:$E$1993,MATCH(A936&amp;"ENTRADA",Movimientos!$R$2:$R$1993,0)),"-")</f>
        <v>-</v>
      </c>
      <c r="E936" s="2" t="str">
        <f>IFERROR(INDEX(Movimientos!$F$2:$F$1993,MATCH(A936&amp;"ENTRADA",Movimientos!$R$2:$R$1993,0)),"-")</f>
        <v>-</v>
      </c>
      <c r="F936" s="2" t="str">
        <f>IFERROR(INDEX(Movimientos!$G$2:$G$1993,MATCH(A936&amp;"ENTRADA",Movimientos!$R$2:$R$1993,0)),"-")</f>
        <v>-</v>
      </c>
      <c r="G936" s="2" t="str">
        <f>IFERROR(INDEX(Movimientos!$L$2:$L$1993,MATCH(A936&amp;"ENTRADA",Movimientos!$R$2:$R$1993,0)),"-")</f>
        <v>-</v>
      </c>
      <c r="H936" s="17" t="str">
        <f>IFERROR(IF(INDEX(Movimientos!$M$2:$M$1993,MATCH(A936&amp;"ENTRADA",Movimientos!$R$2:$R$1993,0))=0,"S/D",INDEX(Movimientos!$M$2:$M$1993,MATCH(A936&amp;"ENTRADA",Movimientos!$R$2:$R$1993,0))),"S/D")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3277</v>
      </c>
      <c r="B937" s="2" t="str">
        <f>IFERROR(INDEX(Movimientos!$C$2:$C$1993,MATCH(A937&amp;"ENTRADA",Movimientos!$R$2:$R$1993,0)),"-")</f>
        <v>-</v>
      </c>
      <c r="C937" s="2" t="str">
        <f>IFERROR(INDEX(Movimientos!$D$2:$D$1993,MATCH(A937&amp;"ENTRADA",Movimientos!$R$2:$R$1993,0)),"-")</f>
        <v>-</v>
      </c>
      <c r="D937" s="2" t="str">
        <f>IFERROR(INDEX(Movimientos!$E$2:$E$1993,MATCH(A937&amp;"ENTRADA",Movimientos!$R$2:$R$1993,0)),"-")</f>
        <v>-</v>
      </c>
      <c r="E937" s="2" t="str">
        <f>IFERROR(INDEX(Movimientos!$F$2:$F$1993,MATCH(A937&amp;"ENTRADA",Movimientos!$R$2:$R$1993,0)),"-")</f>
        <v>-</v>
      </c>
      <c r="F937" s="2" t="str">
        <f>IFERROR(INDEX(Movimientos!$G$2:$G$1993,MATCH(A937&amp;"ENTRADA",Movimientos!$R$2:$R$1993,0)),"-")</f>
        <v>-</v>
      </c>
      <c r="G937" s="2" t="str">
        <f>IFERROR(INDEX(Movimientos!$L$2:$L$1993,MATCH(A937&amp;"ENTRADA",Movimientos!$R$2:$R$1993,0)),"-")</f>
        <v>-</v>
      </c>
      <c r="H937" s="17" t="str">
        <f>IFERROR(IF(INDEX(Movimientos!$M$2:$M$1993,MATCH(A937&amp;"ENTRADA",Movimientos!$R$2:$R$1993,0))=0,"S/D",INDEX(Movimientos!$M$2:$M$1993,MATCH(A937&amp;"ENTRADA",Movimientos!$R$2:$R$1993,0))),"S/D")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3278</v>
      </c>
      <c r="B938" s="2" t="str">
        <f>IFERROR(INDEX(Movimientos!$C$2:$C$1993,MATCH(A938&amp;"ENTRADA",Movimientos!$R$2:$R$1993,0)),"-")</f>
        <v>-</v>
      </c>
      <c r="C938" s="2" t="str">
        <f>IFERROR(INDEX(Movimientos!$D$2:$D$1993,MATCH(A938&amp;"ENTRADA",Movimientos!$R$2:$R$1993,0)),"-")</f>
        <v>-</v>
      </c>
      <c r="D938" s="2" t="str">
        <f>IFERROR(INDEX(Movimientos!$E$2:$E$1993,MATCH(A938&amp;"ENTRADA",Movimientos!$R$2:$R$1993,0)),"-")</f>
        <v>-</v>
      </c>
      <c r="E938" s="2" t="str">
        <f>IFERROR(INDEX(Movimientos!$F$2:$F$1993,MATCH(A938&amp;"ENTRADA",Movimientos!$R$2:$R$1993,0)),"-")</f>
        <v>-</v>
      </c>
      <c r="F938" s="2" t="str">
        <f>IFERROR(INDEX(Movimientos!$G$2:$G$1993,MATCH(A938&amp;"ENTRADA",Movimientos!$R$2:$R$1993,0)),"-")</f>
        <v>-</v>
      </c>
      <c r="G938" s="2" t="str">
        <f>IFERROR(INDEX(Movimientos!$L$2:$L$1993,MATCH(A938&amp;"ENTRADA",Movimientos!$R$2:$R$1993,0)),"-")</f>
        <v>-</v>
      </c>
      <c r="H938" s="17" t="str">
        <f>IFERROR(IF(INDEX(Movimientos!$M$2:$M$1993,MATCH(A938&amp;"ENTRADA",Movimientos!$R$2:$R$1993,0))=0,"S/D",INDEX(Movimientos!$M$2:$M$1993,MATCH(A938&amp;"ENTRADA",Movimientos!$R$2:$R$1993,0))),"S/D")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3279</v>
      </c>
      <c r="B939" s="2" t="str">
        <f>IFERROR(INDEX(Movimientos!$C$2:$C$1993,MATCH(A939&amp;"ENTRADA",Movimientos!$R$2:$R$1993,0)),"-")</f>
        <v>-</v>
      </c>
      <c r="C939" s="2" t="str">
        <f>IFERROR(INDEX(Movimientos!$D$2:$D$1993,MATCH(A939&amp;"ENTRADA",Movimientos!$R$2:$R$1993,0)),"-")</f>
        <v>-</v>
      </c>
      <c r="D939" s="2" t="str">
        <f>IFERROR(INDEX(Movimientos!$E$2:$E$1993,MATCH(A939&amp;"ENTRADA",Movimientos!$R$2:$R$1993,0)),"-")</f>
        <v>-</v>
      </c>
      <c r="E939" s="2" t="str">
        <f>IFERROR(INDEX(Movimientos!$F$2:$F$1993,MATCH(A939&amp;"ENTRADA",Movimientos!$R$2:$R$1993,0)),"-")</f>
        <v>-</v>
      </c>
      <c r="F939" s="2" t="str">
        <f>IFERROR(INDEX(Movimientos!$G$2:$G$1993,MATCH(A939&amp;"ENTRADA",Movimientos!$R$2:$R$1993,0)),"-")</f>
        <v>-</v>
      </c>
      <c r="G939" s="2" t="str">
        <f>IFERROR(INDEX(Movimientos!$L$2:$L$1993,MATCH(A939&amp;"ENTRADA",Movimientos!$R$2:$R$1993,0)),"-")</f>
        <v>-</v>
      </c>
      <c r="H939" s="17" t="str">
        <f>IFERROR(IF(INDEX(Movimientos!$M$2:$M$1993,MATCH(A939&amp;"ENTRADA",Movimientos!$R$2:$R$1993,0))=0,"S/D",INDEX(Movimientos!$M$2:$M$1993,MATCH(A939&amp;"ENTRADA",Movimientos!$R$2:$R$1993,0))),"S/D")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3280</v>
      </c>
      <c r="B940" s="2" t="str">
        <f>IFERROR(INDEX(Movimientos!$C$2:$C$1993,MATCH(A940&amp;"ENTRADA",Movimientos!$R$2:$R$1993,0)),"-")</f>
        <v>-</v>
      </c>
      <c r="C940" s="2" t="str">
        <f>IFERROR(INDEX(Movimientos!$D$2:$D$1993,MATCH(A940&amp;"ENTRADA",Movimientos!$R$2:$R$1993,0)),"-")</f>
        <v>-</v>
      </c>
      <c r="D940" s="2" t="str">
        <f>IFERROR(INDEX(Movimientos!$E$2:$E$1993,MATCH(A940&amp;"ENTRADA",Movimientos!$R$2:$R$1993,0)),"-")</f>
        <v>-</v>
      </c>
      <c r="E940" s="2" t="str">
        <f>IFERROR(INDEX(Movimientos!$F$2:$F$1993,MATCH(A940&amp;"ENTRADA",Movimientos!$R$2:$R$1993,0)),"-")</f>
        <v>-</v>
      </c>
      <c r="F940" s="2" t="str">
        <f>IFERROR(INDEX(Movimientos!$G$2:$G$1993,MATCH(A940&amp;"ENTRADA",Movimientos!$R$2:$R$1993,0)),"-")</f>
        <v>-</v>
      </c>
      <c r="G940" s="2" t="str">
        <f>IFERROR(INDEX(Movimientos!$L$2:$L$1993,MATCH(A940&amp;"ENTRADA",Movimientos!$R$2:$R$1993,0)),"-")</f>
        <v>-</v>
      </c>
      <c r="H940" s="17" t="str">
        <f>IFERROR(IF(INDEX(Movimientos!$M$2:$M$1993,MATCH(A940&amp;"ENTRADA",Movimientos!$R$2:$R$1993,0))=0,"S/D",INDEX(Movimientos!$M$2:$M$1993,MATCH(A940&amp;"ENTRADA",Movimientos!$R$2:$R$1993,0))),"S/D")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3281</v>
      </c>
      <c r="B941" s="2" t="str">
        <f>IFERROR(INDEX(Movimientos!$C$2:$C$1993,MATCH(A941&amp;"ENTRADA",Movimientos!$R$2:$R$1993,0)),"-")</f>
        <v>-</v>
      </c>
      <c r="C941" s="2" t="str">
        <f>IFERROR(INDEX(Movimientos!$D$2:$D$1993,MATCH(A941&amp;"ENTRADA",Movimientos!$R$2:$R$1993,0)),"-")</f>
        <v>-</v>
      </c>
      <c r="D941" s="2" t="str">
        <f>IFERROR(INDEX(Movimientos!$E$2:$E$1993,MATCH(A941&amp;"ENTRADA",Movimientos!$R$2:$R$1993,0)),"-")</f>
        <v>-</v>
      </c>
      <c r="E941" s="2" t="str">
        <f>IFERROR(INDEX(Movimientos!$F$2:$F$1993,MATCH(A941&amp;"ENTRADA",Movimientos!$R$2:$R$1993,0)),"-")</f>
        <v>-</v>
      </c>
      <c r="F941" s="2" t="str">
        <f>IFERROR(INDEX(Movimientos!$G$2:$G$1993,MATCH(A941&amp;"ENTRADA",Movimientos!$R$2:$R$1993,0)),"-")</f>
        <v>-</v>
      </c>
      <c r="G941" s="2" t="str">
        <f>IFERROR(INDEX(Movimientos!$L$2:$L$1993,MATCH(A941&amp;"ENTRADA",Movimientos!$R$2:$R$1993,0)),"-")</f>
        <v>-</v>
      </c>
      <c r="H941" s="17" t="str">
        <f>IFERROR(IF(INDEX(Movimientos!$M$2:$M$1993,MATCH(A941&amp;"ENTRADA",Movimientos!$R$2:$R$1993,0))=0,"S/D",INDEX(Movimientos!$M$2:$M$1993,MATCH(A941&amp;"ENTRADA",Movimientos!$R$2:$R$1993,0))),"S/D")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3282</v>
      </c>
      <c r="B942" s="2" t="str">
        <f>IFERROR(INDEX(Movimientos!$C$2:$C$1993,MATCH(A942&amp;"ENTRADA",Movimientos!$R$2:$R$1993,0)),"-")</f>
        <v>-</v>
      </c>
      <c r="C942" s="2" t="str">
        <f>IFERROR(INDEX(Movimientos!$D$2:$D$1993,MATCH(A942&amp;"ENTRADA",Movimientos!$R$2:$R$1993,0)),"-")</f>
        <v>-</v>
      </c>
      <c r="D942" s="2" t="str">
        <f>IFERROR(INDEX(Movimientos!$E$2:$E$1993,MATCH(A942&amp;"ENTRADA",Movimientos!$R$2:$R$1993,0)),"-")</f>
        <v>-</v>
      </c>
      <c r="E942" s="2" t="str">
        <f>IFERROR(INDEX(Movimientos!$F$2:$F$1993,MATCH(A942&amp;"ENTRADA",Movimientos!$R$2:$R$1993,0)),"-")</f>
        <v>-</v>
      </c>
      <c r="F942" s="2" t="str">
        <f>IFERROR(INDEX(Movimientos!$G$2:$G$1993,MATCH(A942&amp;"ENTRADA",Movimientos!$R$2:$R$1993,0)),"-")</f>
        <v>-</v>
      </c>
      <c r="G942" s="2" t="str">
        <f>IFERROR(INDEX(Movimientos!$L$2:$L$1993,MATCH(A942&amp;"ENTRADA",Movimientos!$R$2:$R$1993,0)),"-")</f>
        <v>-</v>
      </c>
      <c r="H942" s="17" t="str">
        <f>IFERROR(IF(INDEX(Movimientos!$M$2:$M$1993,MATCH(A942&amp;"ENTRADA",Movimientos!$R$2:$R$1993,0))=0,"S/D",INDEX(Movimientos!$M$2:$M$1993,MATCH(A942&amp;"ENTRADA",Movimientos!$R$2:$R$1993,0))),"S/D")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3283</v>
      </c>
      <c r="B943" s="2" t="str">
        <f>IFERROR(INDEX(Movimientos!$C$2:$C$1993,MATCH(A943&amp;"ENTRADA",Movimientos!$R$2:$R$1993,0)),"-")</f>
        <v>-</v>
      </c>
      <c r="C943" s="2" t="str">
        <f>IFERROR(INDEX(Movimientos!$D$2:$D$1993,MATCH(A943&amp;"ENTRADA",Movimientos!$R$2:$R$1993,0)),"-")</f>
        <v>-</v>
      </c>
      <c r="D943" s="2" t="str">
        <f>IFERROR(INDEX(Movimientos!$E$2:$E$1993,MATCH(A943&amp;"ENTRADA",Movimientos!$R$2:$R$1993,0)),"-")</f>
        <v>-</v>
      </c>
      <c r="E943" s="2" t="str">
        <f>IFERROR(INDEX(Movimientos!$F$2:$F$1993,MATCH(A943&amp;"ENTRADA",Movimientos!$R$2:$R$1993,0)),"-")</f>
        <v>-</v>
      </c>
      <c r="F943" s="2" t="str">
        <f>IFERROR(INDEX(Movimientos!$G$2:$G$1993,MATCH(A943&amp;"ENTRADA",Movimientos!$R$2:$R$1993,0)),"-")</f>
        <v>-</v>
      </c>
      <c r="G943" s="2" t="str">
        <f>IFERROR(INDEX(Movimientos!$L$2:$L$1993,MATCH(A943&amp;"ENTRADA",Movimientos!$R$2:$R$1993,0)),"-")</f>
        <v>-</v>
      </c>
      <c r="H943" s="17" t="str">
        <f>IFERROR(IF(INDEX(Movimientos!$M$2:$M$1993,MATCH(A943&amp;"ENTRADA",Movimientos!$R$2:$R$1993,0))=0,"S/D",INDEX(Movimientos!$M$2:$M$1993,MATCH(A943&amp;"ENTRADA",Movimientos!$R$2:$R$1993,0))),"S/D")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3284</v>
      </c>
      <c r="B944" s="2" t="str">
        <f>IFERROR(INDEX(Movimientos!$C$2:$C$1993,MATCH(A944&amp;"ENTRADA",Movimientos!$R$2:$R$1993,0)),"-")</f>
        <v>-</v>
      </c>
      <c r="C944" s="2" t="str">
        <f>IFERROR(INDEX(Movimientos!$D$2:$D$1993,MATCH(A944&amp;"ENTRADA",Movimientos!$R$2:$R$1993,0)),"-")</f>
        <v>-</v>
      </c>
      <c r="D944" s="2" t="str">
        <f>IFERROR(INDEX(Movimientos!$E$2:$E$1993,MATCH(A944&amp;"ENTRADA",Movimientos!$R$2:$R$1993,0)),"-")</f>
        <v>-</v>
      </c>
      <c r="E944" s="2" t="str">
        <f>IFERROR(INDEX(Movimientos!$F$2:$F$1993,MATCH(A944&amp;"ENTRADA",Movimientos!$R$2:$R$1993,0)),"-")</f>
        <v>-</v>
      </c>
      <c r="F944" s="2" t="str">
        <f>IFERROR(INDEX(Movimientos!$G$2:$G$1993,MATCH(A944&amp;"ENTRADA",Movimientos!$R$2:$R$1993,0)),"-")</f>
        <v>-</v>
      </c>
      <c r="G944" s="2" t="str">
        <f>IFERROR(INDEX(Movimientos!$L$2:$L$1993,MATCH(A944&amp;"ENTRADA",Movimientos!$R$2:$R$1993,0)),"-")</f>
        <v>-</v>
      </c>
      <c r="H944" s="17" t="str">
        <f>IFERROR(IF(INDEX(Movimientos!$M$2:$M$1993,MATCH(A944&amp;"ENTRADA",Movimientos!$R$2:$R$1993,0))=0,"S/D",INDEX(Movimientos!$M$2:$M$1993,MATCH(A944&amp;"ENTRADA",Movimientos!$R$2:$R$1993,0))),"S/D")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3285</v>
      </c>
      <c r="B945" s="2" t="str">
        <f>IFERROR(INDEX(Movimientos!$C$2:$C$1993,MATCH(A945&amp;"ENTRADA",Movimientos!$R$2:$R$1993,0)),"-")</f>
        <v>-</v>
      </c>
      <c r="C945" s="2" t="str">
        <f>IFERROR(INDEX(Movimientos!$D$2:$D$1993,MATCH(A945&amp;"ENTRADA",Movimientos!$R$2:$R$1993,0)),"-")</f>
        <v>-</v>
      </c>
      <c r="D945" s="2" t="str">
        <f>IFERROR(INDEX(Movimientos!$E$2:$E$1993,MATCH(A945&amp;"ENTRADA",Movimientos!$R$2:$R$1993,0)),"-")</f>
        <v>-</v>
      </c>
      <c r="E945" s="2" t="str">
        <f>IFERROR(INDEX(Movimientos!$F$2:$F$1993,MATCH(A945&amp;"ENTRADA",Movimientos!$R$2:$R$1993,0)),"-")</f>
        <v>-</v>
      </c>
      <c r="F945" s="2" t="str">
        <f>IFERROR(INDEX(Movimientos!$G$2:$G$1993,MATCH(A945&amp;"ENTRADA",Movimientos!$R$2:$R$1993,0)),"-")</f>
        <v>-</v>
      </c>
      <c r="G945" s="2" t="str">
        <f>IFERROR(INDEX(Movimientos!$L$2:$L$1993,MATCH(A945&amp;"ENTRADA",Movimientos!$R$2:$R$1993,0)),"-")</f>
        <v>-</v>
      </c>
      <c r="H945" s="17" t="str">
        <f>IFERROR(IF(INDEX(Movimientos!$M$2:$M$1993,MATCH(A945&amp;"ENTRADA",Movimientos!$R$2:$R$1993,0))=0,"S/D",INDEX(Movimientos!$M$2:$M$1993,MATCH(A945&amp;"ENTRADA",Movimientos!$R$2:$R$1993,0))),"S/D")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3286</v>
      </c>
      <c r="B946" s="2" t="str">
        <f>IFERROR(INDEX(Movimientos!$C$2:$C$1993,MATCH(A946&amp;"ENTRADA",Movimientos!$R$2:$R$1993,0)),"-")</f>
        <v>-</v>
      </c>
      <c r="C946" s="2" t="str">
        <f>IFERROR(INDEX(Movimientos!$D$2:$D$1993,MATCH(A946&amp;"ENTRADA",Movimientos!$R$2:$R$1993,0)),"-")</f>
        <v>-</v>
      </c>
      <c r="D946" s="2" t="str">
        <f>IFERROR(INDEX(Movimientos!$E$2:$E$1993,MATCH(A946&amp;"ENTRADA",Movimientos!$R$2:$R$1993,0)),"-")</f>
        <v>-</v>
      </c>
      <c r="E946" s="2" t="str">
        <f>IFERROR(INDEX(Movimientos!$F$2:$F$1993,MATCH(A946&amp;"ENTRADA",Movimientos!$R$2:$R$1993,0)),"-")</f>
        <v>-</v>
      </c>
      <c r="F946" s="2" t="str">
        <f>IFERROR(INDEX(Movimientos!$G$2:$G$1993,MATCH(A946&amp;"ENTRADA",Movimientos!$R$2:$R$1993,0)),"-")</f>
        <v>-</v>
      </c>
      <c r="G946" s="2" t="str">
        <f>IFERROR(INDEX(Movimientos!$L$2:$L$1993,MATCH(A946&amp;"ENTRADA",Movimientos!$R$2:$R$1993,0)),"-")</f>
        <v>-</v>
      </c>
      <c r="H946" s="17" t="str">
        <f>IFERROR(IF(INDEX(Movimientos!$M$2:$M$1993,MATCH(A946&amp;"ENTRADA",Movimientos!$R$2:$R$1993,0))=0,"S/D",INDEX(Movimientos!$M$2:$M$1993,MATCH(A946&amp;"ENTRADA",Movimientos!$R$2:$R$1993,0))),"S/D")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3287</v>
      </c>
      <c r="B947" s="2" t="str">
        <f>IFERROR(INDEX(Movimientos!$C$2:$C$1993,MATCH(A947&amp;"ENTRADA",Movimientos!$R$2:$R$1993,0)),"-")</f>
        <v>-</v>
      </c>
      <c r="C947" s="2" t="str">
        <f>IFERROR(INDEX(Movimientos!$D$2:$D$1993,MATCH(A947&amp;"ENTRADA",Movimientos!$R$2:$R$1993,0)),"-")</f>
        <v>-</v>
      </c>
      <c r="D947" s="2" t="str">
        <f>IFERROR(INDEX(Movimientos!$E$2:$E$1993,MATCH(A947&amp;"ENTRADA",Movimientos!$R$2:$R$1993,0)),"-")</f>
        <v>-</v>
      </c>
      <c r="E947" s="2" t="str">
        <f>IFERROR(INDEX(Movimientos!$F$2:$F$1993,MATCH(A947&amp;"ENTRADA",Movimientos!$R$2:$R$1993,0)),"-")</f>
        <v>-</v>
      </c>
      <c r="F947" s="2" t="str">
        <f>IFERROR(INDEX(Movimientos!$G$2:$G$1993,MATCH(A947&amp;"ENTRADA",Movimientos!$R$2:$R$1993,0)),"-")</f>
        <v>-</v>
      </c>
      <c r="G947" s="2" t="str">
        <f>IFERROR(INDEX(Movimientos!$L$2:$L$1993,MATCH(A947&amp;"ENTRADA",Movimientos!$R$2:$R$1993,0)),"-")</f>
        <v>-</v>
      </c>
      <c r="H947" s="17" t="str">
        <f>IFERROR(IF(INDEX(Movimientos!$M$2:$M$1993,MATCH(A947&amp;"ENTRADA",Movimientos!$R$2:$R$1993,0))=0,"S/D",INDEX(Movimientos!$M$2:$M$1993,MATCH(A947&amp;"ENTRADA",Movimientos!$R$2:$R$1993,0))),"S/D")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3288</v>
      </c>
      <c r="B948" s="2" t="str">
        <f>IFERROR(INDEX(Movimientos!$C$2:$C$1993,MATCH(A948&amp;"ENTRADA",Movimientos!$R$2:$R$1993,0)),"-")</f>
        <v>-</v>
      </c>
      <c r="C948" s="2" t="str">
        <f>IFERROR(INDEX(Movimientos!$D$2:$D$1993,MATCH(A948&amp;"ENTRADA",Movimientos!$R$2:$R$1993,0)),"-")</f>
        <v>-</v>
      </c>
      <c r="D948" s="2" t="str">
        <f>IFERROR(INDEX(Movimientos!$E$2:$E$1993,MATCH(A948&amp;"ENTRADA",Movimientos!$R$2:$R$1993,0)),"-")</f>
        <v>-</v>
      </c>
      <c r="E948" s="2" t="str">
        <f>IFERROR(INDEX(Movimientos!$F$2:$F$1993,MATCH(A948&amp;"ENTRADA",Movimientos!$R$2:$R$1993,0)),"-")</f>
        <v>-</v>
      </c>
      <c r="F948" s="2" t="str">
        <f>IFERROR(INDEX(Movimientos!$G$2:$G$1993,MATCH(A948&amp;"ENTRADA",Movimientos!$R$2:$R$1993,0)),"-")</f>
        <v>-</v>
      </c>
      <c r="G948" s="2" t="str">
        <f>IFERROR(INDEX(Movimientos!$L$2:$L$1993,MATCH(A948&amp;"ENTRADA",Movimientos!$R$2:$R$1993,0)),"-")</f>
        <v>-</v>
      </c>
      <c r="H948" s="17" t="str">
        <f>IFERROR(IF(INDEX(Movimientos!$M$2:$M$1993,MATCH(A948&amp;"ENTRADA",Movimientos!$R$2:$R$1993,0))=0,"S/D",INDEX(Movimientos!$M$2:$M$1993,MATCH(A948&amp;"ENTRADA",Movimientos!$R$2:$R$1993,0))),"S/D")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3289</v>
      </c>
      <c r="B949" s="2" t="str">
        <f>IFERROR(INDEX(Movimientos!$C$2:$C$1993,MATCH(A949&amp;"ENTRADA",Movimientos!$R$2:$R$1993,0)),"-")</f>
        <v>-</v>
      </c>
      <c r="C949" s="2" t="str">
        <f>IFERROR(INDEX(Movimientos!$D$2:$D$1993,MATCH(A949&amp;"ENTRADA",Movimientos!$R$2:$R$1993,0)),"-")</f>
        <v>-</v>
      </c>
      <c r="D949" s="2" t="str">
        <f>IFERROR(INDEX(Movimientos!$E$2:$E$1993,MATCH(A949&amp;"ENTRADA",Movimientos!$R$2:$R$1993,0)),"-")</f>
        <v>-</v>
      </c>
      <c r="E949" s="2" t="str">
        <f>IFERROR(INDEX(Movimientos!$F$2:$F$1993,MATCH(A949&amp;"ENTRADA",Movimientos!$R$2:$R$1993,0)),"-")</f>
        <v>-</v>
      </c>
      <c r="F949" s="2" t="str">
        <f>IFERROR(INDEX(Movimientos!$G$2:$G$1993,MATCH(A949&amp;"ENTRADA",Movimientos!$R$2:$R$1993,0)),"-")</f>
        <v>-</v>
      </c>
      <c r="G949" s="2" t="str">
        <f>IFERROR(INDEX(Movimientos!$L$2:$L$1993,MATCH(A949&amp;"ENTRADA",Movimientos!$R$2:$R$1993,0)),"-")</f>
        <v>-</v>
      </c>
      <c r="H949" s="17" t="str">
        <f>IFERROR(IF(INDEX(Movimientos!$M$2:$M$1993,MATCH(A949&amp;"ENTRADA",Movimientos!$R$2:$R$1993,0))=0,"S/D",INDEX(Movimientos!$M$2:$M$1993,MATCH(A949&amp;"ENTRADA",Movimientos!$R$2:$R$1993,0))),"S/D")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3290</v>
      </c>
      <c r="B950" s="2" t="str">
        <f>IFERROR(INDEX(Movimientos!$C$2:$C$1993,MATCH(A950&amp;"ENTRADA",Movimientos!$R$2:$R$1993,0)),"-")</f>
        <v>-</v>
      </c>
      <c r="C950" s="2" t="str">
        <f>IFERROR(INDEX(Movimientos!$D$2:$D$1993,MATCH(A950&amp;"ENTRADA",Movimientos!$R$2:$R$1993,0)),"-")</f>
        <v>-</v>
      </c>
      <c r="D950" s="2" t="str">
        <f>IFERROR(INDEX(Movimientos!$E$2:$E$1993,MATCH(A950&amp;"ENTRADA",Movimientos!$R$2:$R$1993,0)),"-")</f>
        <v>-</v>
      </c>
      <c r="E950" s="2" t="str">
        <f>IFERROR(INDEX(Movimientos!$F$2:$F$1993,MATCH(A950&amp;"ENTRADA",Movimientos!$R$2:$R$1993,0)),"-")</f>
        <v>-</v>
      </c>
      <c r="F950" s="2" t="str">
        <f>IFERROR(INDEX(Movimientos!$G$2:$G$1993,MATCH(A950&amp;"ENTRADA",Movimientos!$R$2:$R$1993,0)),"-")</f>
        <v>-</v>
      </c>
      <c r="G950" s="2" t="str">
        <f>IFERROR(INDEX(Movimientos!$L$2:$L$1993,MATCH(A950&amp;"ENTRADA",Movimientos!$R$2:$R$1993,0)),"-")</f>
        <v>-</v>
      </c>
      <c r="H950" s="17" t="str">
        <f>IFERROR(IF(INDEX(Movimientos!$M$2:$M$1993,MATCH(A950&amp;"ENTRADA",Movimientos!$R$2:$R$1993,0))=0,"S/D",INDEX(Movimientos!$M$2:$M$1993,MATCH(A950&amp;"ENTRADA",Movimientos!$R$2:$R$1993,0))),"S/D")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3291</v>
      </c>
      <c r="B951" s="2" t="str">
        <f>IFERROR(INDEX(Movimientos!$C$2:$C$1993,MATCH(A951&amp;"ENTRADA",Movimientos!$R$2:$R$1993,0)),"-")</f>
        <v>-</v>
      </c>
      <c r="C951" s="2" t="str">
        <f>IFERROR(INDEX(Movimientos!$D$2:$D$1993,MATCH(A951&amp;"ENTRADA",Movimientos!$R$2:$R$1993,0)),"-")</f>
        <v>-</v>
      </c>
      <c r="D951" s="2" t="str">
        <f>IFERROR(INDEX(Movimientos!$E$2:$E$1993,MATCH(A951&amp;"ENTRADA",Movimientos!$R$2:$R$1993,0)),"-")</f>
        <v>-</v>
      </c>
      <c r="E951" s="2" t="str">
        <f>IFERROR(INDEX(Movimientos!$F$2:$F$1993,MATCH(A951&amp;"ENTRADA",Movimientos!$R$2:$R$1993,0)),"-")</f>
        <v>-</v>
      </c>
      <c r="F951" s="2" t="str">
        <f>IFERROR(INDEX(Movimientos!$G$2:$G$1993,MATCH(A951&amp;"ENTRADA",Movimientos!$R$2:$R$1993,0)),"-")</f>
        <v>-</v>
      </c>
      <c r="G951" s="2" t="str">
        <f>IFERROR(INDEX(Movimientos!$L$2:$L$1993,MATCH(A951&amp;"ENTRADA",Movimientos!$R$2:$R$1993,0)),"-")</f>
        <v>-</v>
      </c>
      <c r="H951" s="17" t="str">
        <f>IFERROR(IF(INDEX(Movimientos!$M$2:$M$1993,MATCH(A951&amp;"ENTRADA",Movimientos!$R$2:$R$1993,0))=0,"S/D",INDEX(Movimientos!$M$2:$M$1993,MATCH(A951&amp;"ENTRADA",Movimientos!$R$2:$R$1993,0))),"S/D")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3292</v>
      </c>
      <c r="B952" s="2" t="str">
        <f>IFERROR(INDEX(Movimientos!$C$2:$C$1993,MATCH(A952&amp;"ENTRADA",Movimientos!$R$2:$R$1993,0)),"-")</f>
        <v>-</v>
      </c>
      <c r="C952" s="2" t="str">
        <f>IFERROR(INDEX(Movimientos!$D$2:$D$1993,MATCH(A952&amp;"ENTRADA",Movimientos!$R$2:$R$1993,0)),"-")</f>
        <v>-</v>
      </c>
      <c r="D952" s="2" t="str">
        <f>IFERROR(INDEX(Movimientos!$E$2:$E$1993,MATCH(A952&amp;"ENTRADA",Movimientos!$R$2:$R$1993,0)),"-")</f>
        <v>-</v>
      </c>
      <c r="E952" s="2" t="str">
        <f>IFERROR(INDEX(Movimientos!$F$2:$F$1993,MATCH(A952&amp;"ENTRADA",Movimientos!$R$2:$R$1993,0)),"-")</f>
        <v>-</v>
      </c>
      <c r="F952" s="2" t="str">
        <f>IFERROR(INDEX(Movimientos!$G$2:$G$1993,MATCH(A952&amp;"ENTRADA",Movimientos!$R$2:$R$1993,0)),"-")</f>
        <v>-</v>
      </c>
      <c r="G952" s="2" t="str">
        <f>IFERROR(INDEX(Movimientos!$L$2:$L$1993,MATCH(A952&amp;"ENTRADA",Movimientos!$R$2:$R$1993,0)),"-")</f>
        <v>-</v>
      </c>
      <c r="H952" s="17" t="str">
        <f>IFERROR(IF(INDEX(Movimientos!$M$2:$M$1993,MATCH(A952&amp;"ENTRADA",Movimientos!$R$2:$R$1993,0))=0,"S/D",INDEX(Movimientos!$M$2:$M$1993,MATCH(A952&amp;"ENTRADA",Movimientos!$R$2:$R$1993,0))),"S/D")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3293</v>
      </c>
      <c r="B953" s="2" t="str">
        <f>IFERROR(INDEX(Movimientos!$C$2:$C$1993,MATCH(A953&amp;"ENTRADA",Movimientos!$R$2:$R$1993,0)),"-")</f>
        <v>-</v>
      </c>
      <c r="C953" s="2" t="str">
        <f>IFERROR(INDEX(Movimientos!$D$2:$D$1993,MATCH(A953&amp;"ENTRADA",Movimientos!$R$2:$R$1993,0)),"-")</f>
        <v>-</v>
      </c>
      <c r="D953" s="2" t="str">
        <f>IFERROR(INDEX(Movimientos!$E$2:$E$1993,MATCH(A953&amp;"ENTRADA",Movimientos!$R$2:$R$1993,0)),"-")</f>
        <v>-</v>
      </c>
      <c r="E953" s="2" t="str">
        <f>IFERROR(INDEX(Movimientos!$F$2:$F$1993,MATCH(A953&amp;"ENTRADA",Movimientos!$R$2:$R$1993,0)),"-")</f>
        <v>-</v>
      </c>
      <c r="F953" s="2" t="str">
        <f>IFERROR(INDEX(Movimientos!$G$2:$G$1993,MATCH(A953&amp;"ENTRADA",Movimientos!$R$2:$R$1993,0)),"-")</f>
        <v>-</v>
      </c>
      <c r="G953" s="2" t="str">
        <f>IFERROR(INDEX(Movimientos!$L$2:$L$1993,MATCH(A953&amp;"ENTRADA",Movimientos!$R$2:$R$1993,0)),"-")</f>
        <v>-</v>
      </c>
      <c r="H953" s="17" t="str">
        <f>IFERROR(IF(INDEX(Movimientos!$M$2:$M$1993,MATCH(A953&amp;"ENTRADA",Movimientos!$R$2:$R$1993,0))=0,"S/D",INDEX(Movimientos!$M$2:$M$1993,MATCH(A953&amp;"ENTRADA",Movimientos!$R$2:$R$1993,0))),"S/D")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3294</v>
      </c>
      <c r="B954" s="2" t="str">
        <f>IFERROR(INDEX(Movimientos!$C$2:$C$1993,MATCH(A954&amp;"ENTRADA",Movimientos!$R$2:$R$1993,0)),"-")</f>
        <v>-</v>
      </c>
      <c r="C954" s="2" t="str">
        <f>IFERROR(INDEX(Movimientos!$D$2:$D$1993,MATCH(A954&amp;"ENTRADA",Movimientos!$R$2:$R$1993,0)),"-")</f>
        <v>-</v>
      </c>
      <c r="D954" s="2" t="str">
        <f>IFERROR(INDEX(Movimientos!$E$2:$E$1993,MATCH(A954&amp;"ENTRADA",Movimientos!$R$2:$R$1993,0)),"-")</f>
        <v>-</v>
      </c>
      <c r="E954" s="2" t="str">
        <f>IFERROR(INDEX(Movimientos!$F$2:$F$1993,MATCH(A954&amp;"ENTRADA",Movimientos!$R$2:$R$1993,0)),"-")</f>
        <v>-</v>
      </c>
      <c r="F954" s="2" t="str">
        <f>IFERROR(INDEX(Movimientos!$G$2:$G$1993,MATCH(A954&amp;"ENTRADA",Movimientos!$R$2:$R$1993,0)),"-")</f>
        <v>-</v>
      </c>
      <c r="G954" s="2" t="str">
        <f>IFERROR(INDEX(Movimientos!$L$2:$L$1993,MATCH(A954&amp;"ENTRADA",Movimientos!$R$2:$R$1993,0)),"-")</f>
        <v>-</v>
      </c>
      <c r="H954" s="17" t="str">
        <f>IFERROR(IF(INDEX(Movimientos!$M$2:$M$1993,MATCH(A954&amp;"ENTRADA",Movimientos!$R$2:$R$1993,0))=0,"S/D",INDEX(Movimientos!$M$2:$M$1993,MATCH(A954&amp;"ENTRADA",Movimientos!$R$2:$R$1993,0))),"S/D")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3295</v>
      </c>
      <c r="B955" s="2" t="str">
        <f>IFERROR(INDEX(Movimientos!$C$2:$C$1993,MATCH(A955&amp;"ENTRADA",Movimientos!$R$2:$R$1993,0)),"-")</f>
        <v>-</v>
      </c>
      <c r="C955" s="2" t="str">
        <f>IFERROR(INDEX(Movimientos!$D$2:$D$1993,MATCH(A955&amp;"ENTRADA",Movimientos!$R$2:$R$1993,0)),"-")</f>
        <v>-</v>
      </c>
      <c r="D955" s="2" t="str">
        <f>IFERROR(INDEX(Movimientos!$E$2:$E$1993,MATCH(A955&amp;"ENTRADA",Movimientos!$R$2:$R$1993,0)),"-")</f>
        <v>-</v>
      </c>
      <c r="E955" s="2" t="str">
        <f>IFERROR(INDEX(Movimientos!$F$2:$F$1993,MATCH(A955&amp;"ENTRADA",Movimientos!$R$2:$R$1993,0)),"-")</f>
        <v>-</v>
      </c>
      <c r="F955" s="2" t="str">
        <f>IFERROR(INDEX(Movimientos!$G$2:$G$1993,MATCH(A955&amp;"ENTRADA",Movimientos!$R$2:$R$1993,0)),"-")</f>
        <v>-</v>
      </c>
      <c r="G955" s="2" t="str">
        <f>IFERROR(INDEX(Movimientos!$L$2:$L$1993,MATCH(A955&amp;"ENTRADA",Movimientos!$R$2:$R$1993,0)),"-")</f>
        <v>-</v>
      </c>
      <c r="H955" s="17" t="str">
        <f>IFERROR(IF(INDEX(Movimientos!$M$2:$M$1993,MATCH(A955&amp;"ENTRADA",Movimientos!$R$2:$R$1993,0))=0,"S/D",INDEX(Movimientos!$M$2:$M$1993,MATCH(A955&amp;"ENTRADA",Movimientos!$R$2:$R$1993,0))),"S/D")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3296</v>
      </c>
      <c r="B956" s="2" t="str">
        <f>IFERROR(INDEX(Movimientos!$C$2:$C$1993,MATCH(A956&amp;"ENTRADA",Movimientos!$R$2:$R$1993,0)),"-")</f>
        <v>-</v>
      </c>
      <c r="C956" s="2" t="str">
        <f>IFERROR(INDEX(Movimientos!$D$2:$D$1993,MATCH(A956&amp;"ENTRADA",Movimientos!$R$2:$R$1993,0)),"-")</f>
        <v>-</v>
      </c>
      <c r="D956" s="2" t="str">
        <f>IFERROR(INDEX(Movimientos!$E$2:$E$1993,MATCH(A956&amp;"ENTRADA",Movimientos!$R$2:$R$1993,0)),"-")</f>
        <v>-</v>
      </c>
      <c r="E956" s="2" t="str">
        <f>IFERROR(INDEX(Movimientos!$F$2:$F$1993,MATCH(A956&amp;"ENTRADA",Movimientos!$R$2:$R$1993,0)),"-")</f>
        <v>-</v>
      </c>
      <c r="F956" s="2" t="str">
        <f>IFERROR(INDEX(Movimientos!$G$2:$G$1993,MATCH(A956&amp;"ENTRADA",Movimientos!$R$2:$R$1993,0)),"-")</f>
        <v>-</v>
      </c>
      <c r="G956" s="2" t="str">
        <f>IFERROR(INDEX(Movimientos!$L$2:$L$1993,MATCH(A956&amp;"ENTRADA",Movimientos!$R$2:$R$1993,0)),"-")</f>
        <v>-</v>
      </c>
      <c r="H956" s="17" t="str">
        <f>IFERROR(IF(INDEX(Movimientos!$M$2:$M$1993,MATCH(A956&amp;"ENTRADA",Movimientos!$R$2:$R$1993,0))=0,"S/D",INDEX(Movimientos!$M$2:$M$1993,MATCH(A956&amp;"ENTRADA",Movimientos!$R$2:$R$1993,0))),"S/D")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3297</v>
      </c>
      <c r="B957" s="2" t="str">
        <f>IFERROR(INDEX(Movimientos!$C$2:$C$1993,MATCH(A957&amp;"ENTRADA",Movimientos!$R$2:$R$1993,0)),"-")</f>
        <v>-</v>
      </c>
      <c r="C957" s="2" t="str">
        <f>IFERROR(INDEX(Movimientos!$D$2:$D$1993,MATCH(A957&amp;"ENTRADA",Movimientos!$R$2:$R$1993,0)),"-")</f>
        <v>-</v>
      </c>
      <c r="D957" s="2" t="str">
        <f>IFERROR(INDEX(Movimientos!$E$2:$E$1993,MATCH(A957&amp;"ENTRADA",Movimientos!$R$2:$R$1993,0)),"-")</f>
        <v>-</v>
      </c>
      <c r="E957" s="2" t="str">
        <f>IFERROR(INDEX(Movimientos!$F$2:$F$1993,MATCH(A957&amp;"ENTRADA",Movimientos!$R$2:$R$1993,0)),"-")</f>
        <v>-</v>
      </c>
      <c r="F957" s="2" t="str">
        <f>IFERROR(INDEX(Movimientos!$G$2:$G$1993,MATCH(A957&amp;"ENTRADA",Movimientos!$R$2:$R$1993,0)),"-")</f>
        <v>-</v>
      </c>
      <c r="G957" s="2" t="str">
        <f>IFERROR(INDEX(Movimientos!$L$2:$L$1993,MATCH(A957&amp;"ENTRADA",Movimientos!$R$2:$R$1993,0)),"-")</f>
        <v>-</v>
      </c>
      <c r="H957" s="17" t="str">
        <f>IFERROR(IF(INDEX(Movimientos!$M$2:$M$1993,MATCH(A957&amp;"ENTRADA",Movimientos!$R$2:$R$1993,0))=0,"S/D",INDEX(Movimientos!$M$2:$M$1993,MATCH(A957&amp;"ENTRADA",Movimientos!$R$2:$R$1993,0))),"S/D")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3298</v>
      </c>
      <c r="B958" s="2" t="str">
        <f>IFERROR(INDEX(Movimientos!$C$2:$C$1993,MATCH(A958&amp;"ENTRADA",Movimientos!$R$2:$R$1993,0)),"-")</f>
        <v>-</v>
      </c>
      <c r="C958" s="2" t="str">
        <f>IFERROR(INDEX(Movimientos!$D$2:$D$1993,MATCH(A958&amp;"ENTRADA",Movimientos!$R$2:$R$1993,0)),"-")</f>
        <v>-</v>
      </c>
      <c r="D958" s="2" t="str">
        <f>IFERROR(INDEX(Movimientos!$E$2:$E$1993,MATCH(A958&amp;"ENTRADA",Movimientos!$R$2:$R$1993,0)),"-")</f>
        <v>-</v>
      </c>
      <c r="E958" s="2" t="str">
        <f>IFERROR(INDEX(Movimientos!$F$2:$F$1993,MATCH(A958&amp;"ENTRADA",Movimientos!$R$2:$R$1993,0)),"-")</f>
        <v>-</v>
      </c>
      <c r="F958" s="2" t="str">
        <f>IFERROR(INDEX(Movimientos!$G$2:$G$1993,MATCH(A958&amp;"ENTRADA",Movimientos!$R$2:$R$1993,0)),"-")</f>
        <v>-</v>
      </c>
      <c r="G958" s="2" t="str">
        <f>IFERROR(INDEX(Movimientos!$L$2:$L$1993,MATCH(A958&amp;"ENTRADA",Movimientos!$R$2:$R$1993,0)),"-")</f>
        <v>-</v>
      </c>
      <c r="H958" s="17" t="str">
        <f>IFERROR(IF(INDEX(Movimientos!$M$2:$M$1993,MATCH(A958&amp;"ENTRADA",Movimientos!$R$2:$R$1993,0))=0,"S/D",INDEX(Movimientos!$M$2:$M$1993,MATCH(A958&amp;"ENTRADA",Movimientos!$R$2:$R$1993,0))),"S/D")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3299</v>
      </c>
      <c r="B959" s="2" t="str">
        <f>IFERROR(INDEX(Movimientos!$C$2:$C$1993,MATCH(A959&amp;"ENTRADA",Movimientos!$R$2:$R$1993,0)),"-")</f>
        <v>-</v>
      </c>
      <c r="C959" s="2" t="str">
        <f>IFERROR(INDEX(Movimientos!$D$2:$D$1993,MATCH(A959&amp;"ENTRADA",Movimientos!$R$2:$R$1993,0)),"-")</f>
        <v>-</v>
      </c>
      <c r="D959" s="2" t="str">
        <f>IFERROR(INDEX(Movimientos!$E$2:$E$1993,MATCH(A959&amp;"ENTRADA",Movimientos!$R$2:$R$1993,0)),"-")</f>
        <v>-</v>
      </c>
      <c r="E959" s="2" t="str">
        <f>IFERROR(INDEX(Movimientos!$F$2:$F$1993,MATCH(A959&amp;"ENTRADA",Movimientos!$R$2:$R$1993,0)),"-")</f>
        <v>-</v>
      </c>
      <c r="F959" s="2" t="str">
        <f>IFERROR(INDEX(Movimientos!$G$2:$G$1993,MATCH(A959&amp;"ENTRADA",Movimientos!$R$2:$R$1993,0)),"-")</f>
        <v>-</v>
      </c>
      <c r="G959" s="2" t="str">
        <f>IFERROR(INDEX(Movimientos!$L$2:$L$1993,MATCH(A959&amp;"ENTRADA",Movimientos!$R$2:$R$1993,0)),"-")</f>
        <v>-</v>
      </c>
      <c r="H959" s="17" t="str">
        <f>IFERROR(IF(INDEX(Movimientos!$M$2:$M$1993,MATCH(A959&amp;"ENTRADA",Movimientos!$R$2:$R$1993,0))=0,"S/D",INDEX(Movimientos!$M$2:$M$1993,MATCH(A959&amp;"ENTRADA",Movimientos!$R$2:$R$1993,0))),"S/D")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3300</v>
      </c>
      <c r="B960" s="2" t="str">
        <f>IFERROR(INDEX(Movimientos!$C$2:$C$1993,MATCH(A960&amp;"ENTRADA",Movimientos!$R$2:$R$1993,0)),"-")</f>
        <v>-</v>
      </c>
      <c r="C960" s="2" t="str">
        <f>IFERROR(INDEX(Movimientos!$D$2:$D$1993,MATCH(A960&amp;"ENTRADA",Movimientos!$R$2:$R$1993,0)),"-")</f>
        <v>-</v>
      </c>
      <c r="D960" s="2" t="str">
        <f>IFERROR(INDEX(Movimientos!$E$2:$E$1993,MATCH(A960&amp;"ENTRADA",Movimientos!$R$2:$R$1993,0)),"-")</f>
        <v>-</v>
      </c>
      <c r="E960" s="2" t="str">
        <f>IFERROR(INDEX(Movimientos!$F$2:$F$1993,MATCH(A960&amp;"ENTRADA",Movimientos!$R$2:$R$1993,0)),"-")</f>
        <v>-</v>
      </c>
      <c r="F960" s="2" t="str">
        <f>IFERROR(INDEX(Movimientos!$G$2:$G$1993,MATCH(A960&amp;"ENTRADA",Movimientos!$R$2:$R$1993,0)),"-")</f>
        <v>-</v>
      </c>
      <c r="G960" s="2" t="str">
        <f>IFERROR(INDEX(Movimientos!$L$2:$L$1993,MATCH(A960&amp;"ENTRADA",Movimientos!$R$2:$R$1993,0)),"-")</f>
        <v>-</v>
      </c>
      <c r="H960" s="17" t="str">
        <f>IFERROR(IF(INDEX(Movimientos!$M$2:$M$1993,MATCH(A960&amp;"ENTRADA",Movimientos!$R$2:$R$1993,0))=0,"S/D",INDEX(Movimientos!$M$2:$M$1993,MATCH(A960&amp;"ENTRADA",Movimientos!$R$2:$R$1993,0))),"S/D")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3301</v>
      </c>
      <c r="B961" s="2" t="str">
        <f>IFERROR(INDEX(Movimientos!$C$2:$C$1993,MATCH(A961&amp;"ENTRADA",Movimientos!$R$2:$R$1993,0)),"-")</f>
        <v>-</v>
      </c>
      <c r="C961" s="2" t="str">
        <f>IFERROR(INDEX(Movimientos!$D$2:$D$1993,MATCH(A961&amp;"ENTRADA",Movimientos!$R$2:$R$1993,0)),"-")</f>
        <v>-</v>
      </c>
      <c r="D961" s="2" t="str">
        <f>IFERROR(INDEX(Movimientos!$E$2:$E$1993,MATCH(A961&amp;"ENTRADA",Movimientos!$R$2:$R$1993,0)),"-")</f>
        <v>-</v>
      </c>
      <c r="E961" s="2" t="str">
        <f>IFERROR(INDEX(Movimientos!$F$2:$F$1993,MATCH(A961&amp;"ENTRADA",Movimientos!$R$2:$R$1993,0)),"-")</f>
        <v>-</v>
      </c>
      <c r="F961" s="2" t="str">
        <f>IFERROR(INDEX(Movimientos!$G$2:$G$1993,MATCH(A961&amp;"ENTRADA",Movimientos!$R$2:$R$1993,0)),"-")</f>
        <v>-</v>
      </c>
      <c r="G961" s="2" t="str">
        <f>IFERROR(INDEX(Movimientos!$L$2:$L$1993,MATCH(A961&amp;"ENTRADA",Movimientos!$R$2:$R$1993,0)),"-")</f>
        <v>-</v>
      </c>
      <c r="H961" s="17" t="str">
        <f>IFERROR(IF(INDEX(Movimientos!$M$2:$M$1993,MATCH(A961&amp;"ENTRADA",Movimientos!$R$2:$R$1993,0))=0,"S/D",INDEX(Movimientos!$M$2:$M$1993,MATCH(A961&amp;"ENTRADA",Movimientos!$R$2:$R$1993,0))),"S/D")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3302</v>
      </c>
      <c r="B962" s="2" t="str">
        <f>IFERROR(INDEX(Movimientos!$C$2:$C$1993,MATCH(A962&amp;"ENTRADA",Movimientos!$R$2:$R$1993,0)),"-")</f>
        <v>-</v>
      </c>
      <c r="C962" s="2" t="str">
        <f>IFERROR(INDEX(Movimientos!$D$2:$D$1993,MATCH(A962&amp;"ENTRADA",Movimientos!$R$2:$R$1993,0)),"-")</f>
        <v>-</v>
      </c>
      <c r="D962" s="2" t="str">
        <f>IFERROR(INDEX(Movimientos!$E$2:$E$1993,MATCH(A962&amp;"ENTRADA",Movimientos!$R$2:$R$1993,0)),"-")</f>
        <v>-</v>
      </c>
      <c r="E962" s="2" t="str">
        <f>IFERROR(INDEX(Movimientos!$F$2:$F$1993,MATCH(A962&amp;"ENTRADA",Movimientos!$R$2:$R$1993,0)),"-")</f>
        <v>-</v>
      </c>
      <c r="F962" s="2" t="str">
        <f>IFERROR(INDEX(Movimientos!$G$2:$G$1993,MATCH(A962&amp;"ENTRADA",Movimientos!$R$2:$R$1993,0)),"-")</f>
        <v>-</v>
      </c>
      <c r="G962" s="2" t="str">
        <f>IFERROR(INDEX(Movimientos!$L$2:$L$1993,MATCH(A962&amp;"ENTRADA",Movimientos!$R$2:$R$1993,0)),"-")</f>
        <v>-</v>
      </c>
      <c r="H962" s="17" t="str">
        <f>IFERROR(IF(INDEX(Movimientos!$M$2:$M$1993,MATCH(A962&amp;"ENTRADA",Movimientos!$R$2:$R$1993,0))=0,"S/D",INDEX(Movimientos!$M$2:$M$1993,MATCH(A962&amp;"ENTRADA",Movimientos!$R$2:$R$1993,0))),"S/D")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3303</v>
      </c>
      <c r="B963" s="2" t="str">
        <f>IFERROR(INDEX(Movimientos!$C$2:$C$1993,MATCH(A963&amp;"ENTRADA",Movimientos!$R$2:$R$1993,0)),"-")</f>
        <v>-</v>
      </c>
      <c r="C963" s="2" t="str">
        <f>IFERROR(INDEX(Movimientos!$D$2:$D$1993,MATCH(A963&amp;"ENTRADA",Movimientos!$R$2:$R$1993,0)),"-")</f>
        <v>-</v>
      </c>
      <c r="D963" s="2" t="str">
        <f>IFERROR(INDEX(Movimientos!$E$2:$E$1993,MATCH(A963&amp;"ENTRADA",Movimientos!$R$2:$R$1993,0)),"-")</f>
        <v>-</v>
      </c>
      <c r="E963" s="2" t="str">
        <f>IFERROR(INDEX(Movimientos!$F$2:$F$1993,MATCH(A963&amp;"ENTRADA",Movimientos!$R$2:$R$1993,0)),"-")</f>
        <v>-</v>
      </c>
      <c r="F963" s="2" t="str">
        <f>IFERROR(INDEX(Movimientos!$G$2:$G$1993,MATCH(A963&amp;"ENTRADA",Movimientos!$R$2:$R$1993,0)),"-")</f>
        <v>-</v>
      </c>
      <c r="G963" s="2" t="str">
        <f>IFERROR(INDEX(Movimientos!$L$2:$L$1993,MATCH(A963&amp;"ENTRADA",Movimientos!$R$2:$R$1993,0)),"-")</f>
        <v>-</v>
      </c>
      <c r="H963" s="17" t="str">
        <f>IFERROR(IF(INDEX(Movimientos!$M$2:$M$1993,MATCH(A963&amp;"ENTRADA",Movimientos!$R$2:$R$1993,0))=0,"S/D",INDEX(Movimientos!$M$2:$M$1993,MATCH(A963&amp;"ENTRADA",Movimientos!$R$2:$R$1993,0))),"S/D")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3304</v>
      </c>
      <c r="B964" s="2" t="str">
        <f>IFERROR(INDEX(Movimientos!$C$2:$C$1993,MATCH(A964&amp;"ENTRADA",Movimientos!$R$2:$R$1993,0)),"-")</f>
        <v>-</v>
      </c>
      <c r="C964" s="2" t="str">
        <f>IFERROR(INDEX(Movimientos!$D$2:$D$1993,MATCH(A964&amp;"ENTRADA",Movimientos!$R$2:$R$1993,0)),"-")</f>
        <v>-</v>
      </c>
      <c r="D964" s="2" t="str">
        <f>IFERROR(INDEX(Movimientos!$E$2:$E$1993,MATCH(A964&amp;"ENTRADA",Movimientos!$R$2:$R$1993,0)),"-")</f>
        <v>-</v>
      </c>
      <c r="E964" s="2" t="str">
        <f>IFERROR(INDEX(Movimientos!$F$2:$F$1993,MATCH(A964&amp;"ENTRADA",Movimientos!$R$2:$R$1993,0)),"-")</f>
        <v>-</v>
      </c>
      <c r="F964" s="2" t="str">
        <f>IFERROR(INDEX(Movimientos!$G$2:$G$1993,MATCH(A964&amp;"ENTRADA",Movimientos!$R$2:$R$1993,0)),"-")</f>
        <v>-</v>
      </c>
      <c r="G964" s="2" t="str">
        <f>IFERROR(INDEX(Movimientos!$L$2:$L$1993,MATCH(A964&amp;"ENTRADA",Movimientos!$R$2:$R$1993,0)),"-")</f>
        <v>-</v>
      </c>
      <c r="H964" s="17" t="str">
        <f>IFERROR(IF(INDEX(Movimientos!$M$2:$M$1993,MATCH(A964&amp;"ENTRADA",Movimientos!$R$2:$R$1993,0))=0,"S/D",INDEX(Movimientos!$M$2:$M$1993,MATCH(A964&amp;"ENTRADA",Movimientos!$R$2:$R$1993,0))),"S/D")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3305</v>
      </c>
      <c r="B965" s="2" t="str">
        <f>IFERROR(INDEX(Movimientos!$C$2:$C$1993,MATCH(A965&amp;"ENTRADA",Movimientos!$R$2:$R$1993,0)),"-")</f>
        <v>-</v>
      </c>
      <c r="C965" s="2" t="str">
        <f>IFERROR(INDEX(Movimientos!$D$2:$D$1993,MATCH(A965&amp;"ENTRADA",Movimientos!$R$2:$R$1993,0)),"-")</f>
        <v>-</v>
      </c>
      <c r="D965" s="2" t="str">
        <f>IFERROR(INDEX(Movimientos!$E$2:$E$1993,MATCH(A965&amp;"ENTRADA",Movimientos!$R$2:$R$1993,0)),"-")</f>
        <v>-</v>
      </c>
      <c r="E965" s="2" t="str">
        <f>IFERROR(INDEX(Movimientos!$F$2:$F$1993,MATCH(A965&amp;"ENTRADA",Movimientos!$R$2:$R$1993,0)),"-")</f>
        <v>-</v>
      </c>
      <c r="F965" s="2" t="str">
        <f>IFERROR(INDEX(Movimientos!$G$2:$G$1993,MATCH(A965&amp;"ENTRADA",Movimientos!$R$2:$R$1993,0)),"-")</f>
        <v>-</v>
      </c>
      <c r="G965" s="2" t="str">
        <f>IFERROR(INDEX(Movimientos!$L$2:$L$1993,MATCH(A965&amp;"ENTRADA",Movimientos!$R$2:$R$1993,0)),"-")</f>
        <v>-</v>
      </c>
      <c r="H965" s="17" t="str">
        <f>IFERROR(IF(INDEX(Movimientos!$M$2:$M$1993,MATCH(A965&amp;"ENTRADA",Movimientos!$R$2:$R$1993,0))=0,"S/D",INDEX(Movimientos!$M$2:$M$1993,MATCH(A965&amp;"ENTRADA",Movimientos!$R$2:$R$1993,0))),"S/D")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3306</v>
      </c>
      <c r="B966" s="2" t="str">
        <f>IFERROR(INDEX(Movimientos!$C$2:$C$1993,MATCH(A966&amp;"ENTRADA",Movimientos!$R$2:$R$1993,0)),"-")</f>
        <v>-</v>
      </c>
      <c r="C966" s="2" t="str">
        <f>IFERROR(INDEX(Movimientos!$D$2:$D$1993,MATCH(A966&amp;"ENTRADA",Movimientos!$R$2:$R$1993,0)),"-")</f>
        <v>-</v>
      </c>
      <c r="D966" s="2" t="str">
        <f>IFERROR(INDEX(Movimientos!$E$2:$E$1993,MATCH(A966&amp;"ENTRADA",Movimientos!$R$2:$R$1993,0)),"-")</f>
        <v>-</v>
      </c>
      <c r="E966" s="2" t="str">
        <f>IFERROR(INDEX(Movimientos!$F$2:$F$1993,MATCH(A966&amp;"ENTRADA",Movimientos!$R$2:$R$1993,0)),"-")</f>
        <v>-</v>
      </c>
      <c r="F966" s="2" t="str">
        <f>IFERROR(INDEX(Movimientos!$G$2:$G$1993,MATCH(A966&amp;"ENTRADA",Movimientos!$R$2:$R$1993,0)),"-")</f>
        <v>-</v>
      </c>
      <c r="G966" s="2" t="str">
        <f>IFERROR(INDEX(Movimientos!$L$2:$L$1993,MATCH(A966&amp;"ENTRADA",Movimientos!$R$2:$R$1993,0)),"-")</f>
        <v>-</v>
      </c>
      <c r="H966" s="17" t="str">
        <f>IFERROR(IF(INDEX(Movimientos!$M$2:$M$1993,MATCH(A966&amp;"ENTRADA",Movimientos!$R$2:$R$1993,0))=0,"S/D",INDEX(Movimientos!$M$2:$M$1993,MATCH(A966&amp;"ENTRADA",Movimientos!$R$2:$R$1993,0))),"S/D")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3307</v>
      </c>
      <c r="B967" s="2" t="str">
        <f>IFERROR(INDEX(Movimientos!$C$2:$C$1993,MATCH(A967&amp;"ENTRADA",Movimientos!$R$2:$R$1993,0)),"-")</f>
        <v>-</v>
      </c>
      <c r="C967" s="2" t="str">
        <f>IFERROR(INDEX(Movimientos!$D$2:$D$1993,MATCH(A967&amp;"ENTRADA",Movimientos!$R$2:$R$1993,0)),"-")</f>
        <v>-</v>
      </c>
      <c r="D967" s="2" t="str">
        <f>IFERROR(INDEX(Movimientos!$E$2:$E$1993,MATCH(A967&amp;"ENTRADA",Movimientos!$R$2:$R$1993,0)),"-")</f>
        <v>-</v>
      </c>
      <c r="E967" s="2" t="str">
        <f>IFERROR(INDEX(Movimientos!$F$2:$F$1993,MATCH(A967&amp;"ENTRADA",Movimientos!$R$2:$R$1993,0)),"-")</f>
        <v>-</v>
      </c>
      <c r="F967" s="2" t="str">
        <f>IFERROR(INDEX(Movimientos!$G$2:$G$1993,MATCH(A967&amp;"ENTRADA",Movimientos!$R$2:$R$1993,0)),"-")</f>
        <v>-</v>
      </c>
      <c r="G967" s="2" t="str">
        <f>IFERROR(INDEX(Movimientos!$L$2:$L$1993,MATCH(A967&amp;"ENTRADA",Movimientos!$R$2:$R$1993,0)),"-")</f>
        <v>-</v>
      </c>
      <c r="H967" s="17" t="str">
        <f>IFERROR(IF(INDEX(Movimientos!$M$2:$M$1993,MATCH(A967&amp;"ENTRADA",Movimientos!$R$2:$R$1993,0))=0,"S/D",INDEX(Movimientos!$M$2:$M$1993,MATCH(A967&amp;"ENTRADA",Movimientos!$R$2:$R$1993,0))),"S/D")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3308</v>
      </c>
      <c r="B968" s="2" t="str">
        <f>IFERROR(INDEX(Movimientos!$C$2:$C$1993,MATCH(A968&amp;"ENTRADA",Movimientos!$R$2:$R$1993,0)),"-")</f>
        <v>-</v>
      </c>
      <c r="C968" s="2" t="str">
        <f>IFERROR(INDEX(Movimientos!$D$2:$D$1993,MATCH(A968&amp;"ENTRADA",Movimientos!$R$2:$R$1993,0)),"-")</f>
        <v>-</v>
      </c>
      <c r="D968" s="2" t="str">
        <f>IFERROR(INDEX(Movimientos!$E$2:$E$1993,MATCH(A968&amp;"ENTRADA",Movimientos!$R$2:$R$1993,0)),"-")</f>
        <v>-</v>
      </c>
      <c r="E968" s="2" t="str">
        <f>IFERROR(INDEX(Movimientos!$F$2:$F$1993,MATCH(A968&amp;"ENTRADA",Movimientos!$R$2:$R$1993,0)),"-")</f>
        <v>-</v>
      </c>
      <c r="F968" s="2" t="str">
        <f>IFERROR(INDEX(Movimientos!$G$2:$G$1993,MATCH(A968&amp;"ENTRADA",Movimientos!$R$2:$R$1993,0)),"-")</f>
        <v>-</v>
      </c>
      <c r="G968" s="2" t="str">
        <f>IFERROR(INDEX(Movimientos!$L$2:$L$1993,MATCH(A968&amp;"ENTRADA",Movimientos!$R$2:$R$1993,0)),"-")</f>
        <v>-</v>
      </c>
      <c r="H968" s="17" t="str">
        <f>IFERROR(IF(INDEX(Movimientos!$M$2:$M$1993,MATCH(A968&amp;"ENTRADA",Movimientos!$R$2:$R$1993,0))=0,"S/D",INDEX(Movimientos!$M$2:$M$1993,MATCH(A968&amp;"ENTRADA",Movimientos!$R$2:$R$1993,0))),"S/D")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3309</v>
      </c>
      <c r="B969" s="2" t="str">
        <f>IFERROR(INDEX(Movimientos!$C$2:$C$1993,MATCH(A969&amp;"ENTRADA",Movimientos!$R$2:$R$1993,0)),"-")</f>
        <v>-</v>
      </c>
      <c r="C969" s="2" t="str">
        <f>IFERROR(INDEX(Movimientos!$D$2:$D$1993,MATCH(A969&amp;"ENTRADA",Movimientos!$R$2:$R$1993,0)),"-")</f>
        <v>-</v>
      </c>
      <c r="D969" s="2" t="str">
        <f>IFERROR(INDEX(Movimientos!$E$2:$E$1993,MATCH(A969&amp;"ENTRADA",Movimientos!$R$2:$R$1993,0)),"-")</f>
        <v>-</v>
      </c>
      <c r="E969" s="2" t="str">
        <f>IFERROR(INDEX(Movimientos!$F$2:$F$1993,MATCH(A969&amp;"ENTRADA",Movimientos!$R$2:$R$1993,0)),"-")</f>
        <v>-</v>
      </c>
      <c r="F969" s="2" t="str">
        <f>IFERROR(INDEX(Movimientos!$G$2:$G$1993,MATCH(A969&amp;"ENTRADA",Movimientos!$R$2:$R$1993,0)),"-")</f>
        <v>-</v>
      </c>
      <c r="G969" s="2" t="str">
        <f>IFERROR(INDEX(Movimientos!$L$2:$L$1993,MATCH(A969&amp;"ENTRADA",Movimientos!$R$2:$R$1993,0)),"-")</f>
        <v>-</v>
      </c>
      <c r="H969" s="17" t="str">
        <f>IFERROR(IF(INDEX(Movimientos!$M$2:$M$1993,MATCH(A969&amp;"ENTRADA",Movimientos!$R$2:$R$1993,0))=0,"S/D",INDEX(Movimientos!$M$2:$M$1993,MATCH(A969&amp;"ENTRADA",Movimientos!$R$2:$R$1993,0))),"S/D")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3310</v>
      </c>
      <c r="B970" s="2" t="str">
        <f>IFERROR(INDEX(Movimientos!$C$2:$C$1993,MATCH(A970&amp;"ENTRADA",Movimientos!$R$2:$R$1993,0)),"-")</f>
        <v>-</v>
      </c>
      <c r="C970" s="2" t="str">
        <f>IFERROR(INDEX(Movimientos!$D$2:$D$1993,MATCH(A970&amp;"ENTRADA",Movimientos!$R$2:$R$1993,0)),"-")</f>
        <v>-</v>
      </c>
      <c r="D970" s="2" t="str">
        <f>IFERROR(INDEX(Movimientos!$E$2:$E$1993,MATCH(A970&amp;"ENTRADA",Movimientos!$R$2:$R$1993,0)),"-")</f>
        <v>-</v>
      </c>
      <c r="E970" s="2" t="str">
        <f>IFERROR(INDEX(Movimientos!$F$2:$F$1993,MATCH(A970&amp;"ENTRADA",Movimientos!$R$2:$R$1993,0)),"-")</f>
        <v>-</v>
      </c>
      <c r="F970" s="2" t="str">
        <f>IFERROR(INDEX(Movimientos!$G$2:$G$1993,MATCH(A970&amp;"ENTRADA",Movimientos!$R$2:$R$1993,0)),"-")</f>
        <v>-</v>
      </c>
      <c r="G970" s="2" t="str">
        <f>IFERROR(INDEX(Movimientos!$L$2:$L$1993,MATCH(A970&amp;"ENTRADA",Movimientos!$R$2:$R$1993,0)),"-")</f>
        <v>-</v>
      </c>
      <c r="H970" s="17" t="str">
        <f>IFERROR(IF(INDEX(Movimientos!$M$2:$M$1993,MATCH(A970&amp;"ENTRADA",Movimientos!$R$2:$R$1993,0))=0,"S/D",INDEX(Movimientos!$M$2:$M$1993,MATCH(A970&amp;"ENTRADA",Movimientos!$R$2:$R$1993,0))),"S/D")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3311</v>
      </c>
      <c r="B971" s="2" t="str">
        <f>IFERROR(INDEX(Movimientos!$C$2:$C$1993,MATCH(A971&amp;"ENTRADA",Movimientos!$R$2:$R$1993,0)),"-")</f>
        <v>-</v>
      </c>
      <c r="C971" s="2" t="str">
        <f>IFERROR(INDEX(Movimientos!$D$2:$D$1993,MATCH(A971&amp;"ENTRADA",Movimientos!$R$2:$R$1993,0)),"-")</f>
        <v>-</v>
      </c>
      <c r="D971" s="2" t="str">
        <f>IFERROR(INDEX(Movimientos!$E$2:$E$1993,MATCH(A971&amp;"ENTRADA",Movimientos!$R$2:$R$1993,0)),"-")</f>
        <v>-</v>
      </c>
      <c r="E971" s="2" t="str">
        <f>IFERROR(INDEX(Movimientos!$F$2:$F$1993,MATCH(A971&amp;"ENTRADA",Movimientos!$R$2:$R$1993,0)),"-")</f>
        <v>-</v>
      </c>
      <c r="F971" s="2" t="str">
        <f>IFERROR(INDEX(Movimientos!$G$2:$G$1993,MATCH(A971&amp;"ENTRADA",Movimientos!$R$2:$R$1993,0)),"-")</f>
        <v>-</v>
      </c>
      <c r="G971" s="2" t="str">
        <f>IFERROR(INDEX(Movimientos!$L$2:$L$1993,MATCH(A971&amp;"ENTRADA",Movimientos!$R$2:$R$1993,0)),"-")</f>
        <v>-</v>
      </c>
      <c r="H971" s="17" t="str">
        <f>IFERROR(IF(INDEX(Movimientos!$M$2:$M$1993,MATCH(A971&amp;"ENTRADA",Movimientos!$R$2:$R$1993,0))=0,"S/D",INDEX(Movimientos!$M$2:$M$1993,MATCH(A971&amp;"ENTRADA",Movimientos!$R$2:$R$1993,0))),"S/D")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3312</v>
      </c>
      <c r="B972" s="2" t="str">
        <f>IFERROR(INDEX(Movimientos!$C$2:$C$1993,MATCH(A972&amp;"ENTRADA",Movimientos!$R$2:$R$1993,0)),"-")</f>
        <v>-</v>
      </c>
      <c r="C972" s="2" t="str">
        <f>IFERROR(INDEX(Movimientos!$D$2:$D$1993,MATCH(A972&amp;"ENTRADA",Movimientos!$R$2:$R$1993,0)),"-")</f>
        <v>-</v>
      </c>
      <c r="D972" s="2" t="str">
        <f>IFERROR(INDEX(Movimientos!$E$2:$E$1993,MATCH(A972&amp;"ENTRADA",Movimientos!$R$2:$R$1993,0)),"-")</f>
        <v>-</v>
      </c>
      <c r="E972" s="2" t="str">
        <f>IFERROR(INDEX(Movimientos!$F$2:$F$1993,MATCH(A972&amp;"ENTRADA",Movimientos!$R$2:$R$1993,0)),"-")</f>
        <v>-</v>
      </c>
      <c r="F972" s="2" t="str">
        <f>IFERROR(INDEX(Movimientos!$G$2:$G$1993,MATCH(A972&amp;"ENTRADA",Movimientos!$R$2:$R$1993,0)),"-")</f>
        <v>-</v>
      </c>
      <c r="G972" s="2" t="str">
        <f>IFERROR(INDEX(Movimientos!$L$2:$L$1993,MATCH(A972&amp;"ENTRADA",Movimientos!$R$2:$R$1993,0)),"-")</f>
        <v>-</v>
      </c>
      <c r="H972" s="17" t="str">
        <f>IFERROR(IF(INDEX(Movimientos!$M$2:$M$1993,MATCH(A972&amp;"ENTRADA",Movimientos!$R$2:$R$1993,0))=0,"S/D",INDEX(Movimientos!$M$2:$M$1993,MATCH(A972&amp;"ENTRADA",Movimientos!$R$2:$R$1993,0))),"S/D")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3313</v>
      </c>
      <c r="B973" s="2" t="str">
        <f>IFERROR(INDEX(Movimientos!$C$2:$C$1993,MATCH(A973&amp;"ENTRADA",Movimientos!$R$2:$R$1993,0)),"-")</f>
        <v>-</v>
      </c>
      <c r="C973" s="2" t="str">
        <f>IFERROR(INDEX(Movimientos!$D$2:$D$1993,MATCH(A973&amp;"ENTRADA",Movimientos!$R$2:$R$1993,0)),"-")</f>
        <v>-</v>
      </c>
      <c r="D973" s="2" t="str">
        <f>IFERROR(INDEX(Movimientos!$E$2:$E$1993,MATCH(A973&amp;"ENTRADA",Movimientos!$R$2:$R$1993,0)),"-")</f>
        <v>-</v>
      </c>
      <c r="E973" s="2" t="str">
        <f>IFERROR(INDEX(Movimientos!$F$2:$F$1993,MATCH(A973&amp;"ENTRADA",Movimientos!$R$2:$R$1993,0)),"-")</f>
        <v>-</v>
      </c>
      <c r="F973" s="2" t="str">
        <f>IFERROR(INDEX(Movimientos!$G$2:$G$1993,MATCH(A973&amp;"ENTRADA",Movimientos!$R$2:$R$1993,0)),"-")</f>
        <v>-</v>
      </c>
      <c r="G973" s="2" t="str">
        <f>IFERROR(INDEX(Movimientos!$L$2:$L$1993,MATCH(A973&amp;"ENTRADA",Movimientos!$R$2:$R$1993,0)),"-")</f>
        <v>-</v>
      </c>
      <c r="H973" s="17" t="str">
        <f>IFERROR(IF(INDEX(Movimientos!$M$2:$M$1993,MATCH(A973&amp;"ENTRADA",Movimientos!$R$2:$R$1993,0))=0,"S/D",INDEX(Movimientos!$M$2:$M$1993,MATCH(A973&amp;"ENTRADA",Movimientos!$R$2:$R$1993,0))),"S/D")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3314</v>
      </c>
      <c r="B974" s="2" t="str">
        <f>IFERROR(INDEX(Movimientos!$C$2:$C$1993,MATCH(A974&amp;"ENTRADA",Movimientos!$R$2:$R$1993,0)),"-")</f>
        <v>-</v>
      </c>
      <c r="C974" s="2" t="str">
        <f>IFERROR(INDEX(Movimientos!$D$2:$D$1993,MATCH(A974&amp;"ENTRADA",Movimientos!$R$2:$R$1993,0)),"-")</f>
        <v>-</v>
      </c>
      <c r="D974" s="2" t="str">
        <f>IFERROR(INDEX(Movimientos!$E$2:$E$1993,MATCH(A974&amp;"ENTRADA",Movimientos!$R$2:$R$1993,0)),"-")</f>
        <v>-</v>
      </c>
      <c r="E974" s="2" t="str">
        <f>IFERROR(INDEX(Movimientos!$F$2:$F$1993,MATCH(A974&amp;"ENTRADA",Movimientos!$R$2:$R$1993,0)),"-")</f>
        <v>-</v>
      </c>
      <c r="F974" s="2" t="str">
        <f>IFERROR(INDEX(Movimientos!$G$2:$G$1993,MATCH(A974&amp;"ENTRADA",Movimientos!$R$2:$R$1993,0)),"-")</f>
        <v>-</v>
      </c>
      <c r="G974" s="2" t="str">
        <f>IFERROR(INDEX(Movimientos!$L$2:$L$1993,MATCH(A974&amp;"ENTRADA",Movimientos!$R$2:$R$1993,0)),"-")</f>
        <v>-</v>
      </c>
      <c r="H974" s="17" t="str">
        <f>IFERROR(IF(INDEX(Movimientos!$M$2:$M$1993,MATCH(A974&amp;"ENTRADA",Movimientos!$R$2:$R$1993,0))=0,"S/D",INDEX(Movimientos!$M$2:$M$1993,MATCH(A974&amp;"ENTRADA",Movimientos!$R$2:$R$1993,0))),"S/D")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3315</v>
      </c>
      <c r="B975" s="2" t="str">
        <f>IFERROR(INDEX(Movimientos!$C$2:$C$1993,MATCH(A975&amp;"ENTRADA",Movimientos!$R$2:$R$1993,0)),"-")</f>
        <v>-</v>
      </c>
      <c r="C975" s="2" t="str">
        <f>IFERROR(INDEX(Movimientos!$D$2:$D$1993,MATCH(A975&amp;"ENTRADA",Movimientos!$R$2:$R$1993,0)),"-")</f>
        <v>-</v>
      </c>
      <c r="D975" s="2" t="str">
        <f>IFERROR(INDEX(Movimientos!$E$2:$E$1993,MATCH(A975&amp;"ENTRADA",Movimientos!$R$2:$R$1993,0)),"-")</f>
        <v>-</v>
      </c>
      <c r="E975" s="2" t="str">
        <f>IFERROR(INDEX(Movimientos!$F$2:$F$1993,MATCH(A975&amp;"ENTRADA",Movimientos!$R$2:$R$1993,0)),"-")</f>
        <v>-</v>
      </c>
      <c r="F975" s="2" t="str">
        <f>IFERROR(INDEX(Movimientos!$G$2:$G$1993,MATCH(A975&amp;"ENTRADA",Movimientos!$R$2:$R$1993,0)),"-")</f>
        <v>-</v>
      </c>
      <c r="G975" s="2" t="str">
        <f>IFERROR(INDEX(Movimientos!$L$2:$L$1993,MATCH(A975&amp;"ENTRADA",Movimientos!$R$2:$R$1993,0)),"-")</f>
        <v>-</v>
      </c>
      <c r="H975" s="17" t="str">
        <f>IFERROR(IF(INDEX(Movimientos!$M$2:$M$1993,MATCH(A975&amp;"ENTRADA",Movimientos!$R$2:$R$1993,0))=0,"S/D",INDEX(Movimientos!$M$2:$M$1993,MATCH(A975&amp;"ENTRADA",Movimientos!$R$2:$R$1993,0))),"S/D")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3316</v>
      </c>
      <c r="B976" s="2" t="str">
        <f>IFERROR(INDEX(Movimientos!$C$2:$C$1993,MATCH(A976&amp;"ENTRADA",Movimientos!$R$2:$R$1993,0)),"-")</f>
        <v>-</v>
      </c>
      <c r="C976" s="2" t="str">
        <f>IFERROR(INDEX(Movimientos!$D$2:$D$1993,MATCH(A976&amp;"ENTRADA",Movimientos!$R$2:$R$1993,0)),"-")</f>
        <v>-</v>
      </c>
      <c r="D976" s="2" t="str">
        <f>IFERROR(INDEX(Movimientos!$E$2:$E$1993,MATCH(A976&amp;"ENTRADA",Movimientos!$R$2:$R$1993,0)),"-")</f>
        <v>-</v>
      </c>
      <c r="E976" s="2" t="str">
        <f>IFERROR(INDEX(Movimientos!$F$2:$F$1993,MATCH(A976&amp;"ENTRADA",Movimientos!$R$2:$R$1993,0)),"-")</f>
        <v>-</v>
      </c>
      <c r="F976" s="2" t="str">
        <f>IFERROR(INDEX(Movimientos!$G$2:$G$1993,MATCH(A976&amp;"ENTRADA",Movimientos!$R$2:$R$1993,0)),"-")</f>
        <v>-</v>
      </c>
      <c r="G976" s="2" t="str">
        <f>IFERROR(INDEX(Movimientos!$L$2:$L$1993,MATCH(A976&amp;"ENTRADA",Movimientos!$R$2:$R$1993,0)),"-")</f>
        <v>-</v>
      </c>
      <c r="H976" s="17" t="str">
        <f>IFERROR(IF(INDEX(Movimientos!$M$2:$M$1993,MATCH(A976&amp;"ENTRADA",Movimientos!$R$2:$R$1993,0))=0,"S/D",INDEX(Movimientos!$M$2:$M$1993,MATCH(A976&amp;"ENTRADA",Movimientos!$R$2:$R$1993,0))),"S/D")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3317</v>
      </c>
      <c r="B977" s="2" t="str">
        <f>IFERROR(INDEX(Movimientos!$C$2:$C$1993,MATCH(A977&amp;"ENTRADA",Movimientos!$R$2:$R$1993,0)),"-")</f>
        <v>-</v>
      </c>
      <c r="C977" s="2" t="str">
        <f>IFERROR(INDEX(Movimientos!$D$2:$D$1993,MATCH(A977&amp;"ENTRADA",Movimientos!$R$2:$R$1993,0)),"-")</f>
        <v>-</v>
      </c>
      <c r="D977" s="2" t="str">
        <f>IFERROR(INDEX(Movimientos!$E$2:$E$1993,MATCH(A977&amp;"ENTRADA",Movimientos!$R$2:$R$1993,0)),"-")</f>
        <v>-</v>
      </c>
      <c r="E977" s="2" t="str">
        <f>IFERROR(INDEX(Movimientos!$F$2:$F$1993,MATCH(A977&amp;"ENTRADA",Movimientos!$R$2:$R$1993,0)),"-")</f>
        <v>-</v>
      </c>
      <c r="F977" s="2" t="str">
        <f>IFERROR(INDEX(Movimientos!$G$2:$G$1993,MATCH(A977&amp;"ENTRADA",Movimientos!$R$2:$R$1993,0)),"-")</f>
        <v>-</v>
      </c>
      <c r="G977" s="2" t="str">
        <f>IFERROR(INDEX(Movimientos!$L$2:$L$1993,MATCH(A977&amp;"ENTRADA",Movimientos!$R$2:$R$1993,0)),"-")</f>
        <v>-</v>
      </c>
      <c r="H977" s="17" t="str">
        <f>IFERROR(IF(INDEX(Movimientos!$M$2:$M$1993,MATCH(A977&amp;"ENTRADA",Movimientos!$R$2:$R$1993,0))=0,"S/D",INDEX(Movimientos!$M$2:$M$1993,MATCH(A977&amp;"ENTRADA",Movimientos!$R$2:$R$1993,0))),"S/D")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3318</v>
      </c>
      <c r="B978" s="2" t="str">
        <f>IFERROR(INDEX(Movimientos!$C$2:$C$1993,MATCH(A978&amp;"ENTRADA",Movimientos!$R$2:$R$1993,0)),"-")</f>
        <v>-</v>
      </c>
      <c r="C978" s="2" t="str">
        <f>IFERROR(INDEX(Movimientos!$D$2:$D$1993,MATCH(A978&amp;"ENTRADA",Movimientos!$R$2:$R$1993,0)),"-")</f>
        <v>-</v>
      </c>
      <c r="D978" s="2" t="str">
        <f>IFERROR(INDEX(Movimientos!$E$2:$E$1993,MATCH(A978&amp;"ENTRADA",Movimientos!$R$2:$R$1993,0)),"-")</f>
        <v>-</v>
      </c>
      <c r="E978" s="2" t="str">
        <f>IFERROR(INDEX(Movimientos!$F$2:$F$1993,MATCH(A978&amp;"ENTRADA",Movimientos!$R$2:$R$1993,0)),"-")</f>
        <v>-</v>
      </c>
      <c r="F978" s="2" t="str">
        <f>IFERROR(INDEX(Movimientos!$G$2:$G$1993,MATCH(A978&amp;"ENTRADA",Movimientos!$R$2:$R$1993,0)),"-")</f>
        <v>-</v>
      </c>
      <c r="G978" s="2" t="str">
        <f>IFERROR(INDEX(Movimientos!$L$2:$L$1993,MATCH(A978&amp;"ENTRADA",Movimientos!$R$2:$R$1993,0)),"-")</f>
        <v>-</v>
      </c>
      <c r="H978" s="17" t="str">
        <f>IFERROR(IF(INDEX(Movimientos!$M$2:$M$1993,MATCH(A978&amp;"ENTRADA",Movimientos!$R$2:$R$1993,0))=0,"S/D",INDEX(Movimientos!$M$2:$M$1993,MATCH(A978&amp;"ENTRADA",Movimientos!$R$2:$R$1993,0))),"S/D")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3319</v>
      </c>
      <c r="B979" s="2" t="str">
        <f>IFERROR(INDEX(Movimientos!$C$2:$C$1993,MATCH(A979&amp;"ENTRADA",Movimientos!$R$2:$R$1993,0)),"-")</f>
        <v>-</v>
      </c>
      <c r="C979" s="2" t="str">
        <f>IFERROR(INDEX(Movimientos!$D$2:$D$1993,MATCH(A979&amp;"ENTRADA",Movimientos!$R$2:$R$1993,0)),"-")</f>
        <v>-</v>
      </c>
      <c r="D979" s="2" t="str">
        <f>IFERROR(INDEX(Movimientos!$E$2:$E$1993,MATCH(A979&amp;"ENTRADA",Movimientos!$R$2:$R$1993,0)),"-")</f>
        <v>-</v>
      </c>
      <c r="E979" s="2" t="str">
        <f>IFERROR(INDEX(Movimientos!$F$2:$F$1993,MATCH(A979&amp;"ENTRADA",Movimientos!$R$2:$R$1993,0)),"-")</f>
        <v>-</v>
      </c>
      <c r="F979" s="2" t="str">
        <f>IFERROR(INDEX(Movimientos!$G$2:$G$1993,MATCH(A979&amp;"ENTRADA",Movimientos!$R$2:$R$1993,0)),"-")</f>
        <v>-</v>
      </c>
      <c r="G979" s="2" t="str">
        <f>IFERROR(INDEX(Movimientos!$L$2:$L$1993,MATCH(A979&amp;"ENTRADA",Movimientos!$R$2:$R$1993,0)),"-")</f>
        <v>-</v>
      </c>
      <c r="H979" s="17" t="str">
        <f>IFERROR(IF(INDEX(Movimientos!$M$2:$M$1993,MATCH(A979&amp;"ENTRADA",Movimientos!$R$2:$R$1993,0))=0,"S/D",INDEX(Movimientos!$M$2:$M$1993,MATCH(A979&amp;"ENTRADA",Movimientos!$R$2:$R$1993,0))),"S/D")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3320</v>
      </c>
      <c r="B980" s="2" t="str">
        <f>IFERROR(INDEX(Movimientos!$C$2:$C$1993,MATCH(A980&amp;"ENTRADA",Movimientos!$R$2:$R$1993,0)),"-")</f>
        <v>-</v>
      </c>
      <c r="C980" s="2" t="str">
        <f>IFERROR(INDEX(Movimientos!$D$2:$D$1993,MATCH(A980&amp;"ENTRADA",Movimientos!$R$2:$R$1993,0)),"-")</f>
        <v>-</v>
      </c>
      <c r="D980" s="2" t="str">
        <f>IFERROR(INDEX(Movimientos!$E$2:$E$1993,MATCH(A980&amp;"ENTRADA",Movimientos!$R$2:$R$1993,0)),"-")</f>
        <v>-</v>
      </c>
      <c r="E980" s="2" t="str">
        <f>IFERROR(INDEX(Movimientos!$F$2:$F$1993,MATCH(A980&amp;"ENTRADA",Movimientos!$R$2:$R$1993,0)),"-")</f>
        <v>-</v>
      </c>
      <c r="F980" s="2" t="str">
        <f>IFERROR(INDEX(Movimientos!$G$2:$G$1993,MATCH(A980&amp;"ENTRADA",Movimientos!$R$2:$R$1993,0)),"-")</f>
        <v>-</v>
      </c>
      <c r="G980" s="2" t="str">
        <f>IFERROR(INDEX(Movimientos!$L$2:$L$1993,MATCH(A980&amp;"ENTRADA",Movimientos!$R$2:$R$1993,0)),"-")</f>
        <v>-</v>
      </c>
      <c r="H980" s="17" t="str">
        <f>IFERROR(IF(INDEX(Movimientos!$M$2:$M$1993,MATCH(A980&amp;"ENTRADA",Movimientos!$R$2:$R$1993,0))=0,"S/D",INDEX(Movimientos!$M$2:$M$1993,MATCH(A980&amp;"ENTRADA",Movimientos!$R$2:$R$1993,0))),"S/D")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3321</v>
      </c>
      <c r="B981" s="2" t="str">
        <f>IFERROR(INDEX(Movimientos!$C$2:$C$1993,MATCH(A981&amp;"ENTRADA",Movimientos!$R$2:$R$1993,0)),"-")</f>
        <v>-</v>
      </c>
      <c r="C981" s="2" t="str">
        <f>IFERROR(INDEX(Movimientos!$D$2:$D$1993,MATCH(A981&amp;"ENTRADA",Movimientos!$R$2:$R$1993,0)),"-")</f>
        <v>-</v>
      </c>
      <c r="D981" s="2" t="str">
        <f>IFERROR(INDEX(Movimientos!$E$2:$E$1993,MATCH(A981&amp;"ENTRADA",Movimientos!$R$2:$R$1993,0)),"-")</f>
        <v>-</v>
      </c>
      <c r="E981" s="2" t="str">
        <f>IFERROR(INDEX(Movimientos!$F$2:$F$1993,MATCH(A981&amp;"ENTRADA",Movimientos!$R$2:$R$1993,0)),"-")</f>
        <v>-</v>
      </c>
      <c r="F981" s="2" t="str">
        <f>IFERROR(INDEX(Movimientos!$G$2:$G$1993,MATCH(A981&amp;"ENTRADA",Movimientos!$R$2:$R$1993,0)),"-")</f>
        <v>-</v>
      </c>
      <c r="G981" s="2" t="str">
        <f>IFERROR(INDEX(Movimientos!$L$2:$L$1993,MATCH(A981&amp;"ENTRADA",Movimientos!$R$2:$R$1993,0)),"-")</f>
        <v>-</v>
      </c>
      <c r="H981" s="17" t="str">
        <f>IFERROR(IF(INDEX(Movimientos!$M$2:$M$1993,MATCH(A981&amp;"ENTRADA",Movimientos!$R$2:$R$1993,0))=0,"S/D",INDEX(Movimientos!$M$2:$M$1993,MATCH(A981&amp;"ENTRADA",Movimientos!$R$2:$R$1993,0))),"S/D")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3322</v>
      </c>
      <c r="B982" s="2" t="str">
        <f>IFERROR(INDEX(Movimientos!$C$2:$C$1993,MATCH(A982&amp;"ENTRADA",Movimientos!$R$2:$R$1993,0)),"-")</f>
        <v>-</v>
      </c>
      <c r="C982" s="2" t="str">
        <f>IFERROR(INDEX(Movimientos!$D$2:$D$1993,MATCH(A982&amp;"ENTRADA",Movimientos!$R$2:$R$1993,0)),"-")</f>
        <v>-</v>
      </c>
      <c r="D982" s="2" t="str">
        <f>IFERROR(INDEX(Movimientos!$E$2:$E$1993,MATCH(A982&amp;"ENTRADA",Movimientos!$R$2:$R$1993,0)),"-")</f>
        <v>-</v>
      </c>
      <c r="E982" s="2" t="str">
        <f>IFERROR(INDEX(Movimientos!$F$2:$F$1993,MATCH(A982&amp;"ENTRADA",Movimientos!$R$2:$R$1993,0)),"-")</f>
        <v>-</v>
      </c>
      <c r="F982" s="2" t="str">
        <f>IFERROR(INDEX(Movimientos!$G$2:$G$1993,MATCH(A982&amp;"ENTRADA",Movimientos!$R$2:$R$1993,0)),"-")</f>
        <v>-</v>
      </c>
      <c r="G982" s="2" t="str">
        <f>IFERROR(INDEX(Movimientos!$L$2:$L$1993,MATCH(A982&amp;"ENTRADA",Movimientos!$R$2:$R$1993,0)),"-")</f>
        <v>-</v>
      </c>
      <c r="H982" s="17" t="str">
        <f>IFERROR(IF(INDEX(Movimientos!$M$2:$M$1993,MATCH(A982&amp;"ENTRADA",Movimientos!$R$2:$R$1993,0))=0,"S/D",INDEX(Movimientos!$M$2:$M$1993,MATCH(A982&amp;"ENTRADA",Movimientos!$R$2:$R$1993,0))),"S/D")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3323</v>
      </c>
      <c r="B983" s="2" t="str">
        <f>IFERROR(INDEX(Movimientos!$C$2:$C$1993,MATCH(A983&amp;"ENTRADA",Movimientos!$R$2:$R$1993,0)),"-")</f>
        <v>-</v>
      </c>
      <c r="C983" s="2" t="str">
        <f>IFERROR(INDEX(Movimientos!$D$2:$D$1993,MATCH(A983&amp;"ENTRADA",Movimientos!$R$2:$R$1993,0)),"-")</f>
        <v>-</v>
      </c>
      <c r="D983" s="2" t="str">
        <f>IFERROR(INDEX(Movimientos!$E$2:$E$1993,MATCH(A983&amp;"ENTRADA",Movimientos!$R$2:$R$1993,0)),"-")</f>
        <v>-</v>
      </c>
      <c r="E983" s="2" t="str">
        <f>IFERROR(INDEX(Movimientos!$F$2:$F$1993,MATCH(A983&amp;"ENTRADA",Movimientos!$R$2:$R$1993,0)),"-")</f>
        <v>-</v>
      </c>
      <c r="F983" s="2" t="str">
        <f>IFERROR(INDEX(Movimientos!$G$2:$G$1993,MATCH(A983&amp;"ENTRADA",Movimientos!$R$2:$R$1993,0)),"-")</f>
        <v>-</v>
      </c>
      <c r="G983" s="2" t="str">
        <f>IFERROR(INDEX(Movimientos!$L$2:$L$1993,MATCH(A983&amp;"ENTRADA",Movimientos!$R$2:$R$1993,0)),"-")</f>
        <v>-</v>
      </c>
      <c r="H983" s="17" t="str">
        <f>IFERROR(IF(INDEX(Movimientos!$M$2:$M$1993,MATCH(A983&amp;"ENTRADA",Movimientos!$R$2:$R$1993,0))=0,"S/D",INDEX(Movimientos!$M$2:$M$1993,MATCH(A983&amp;"ENTRADA",Movimientos!$R$2:$R$1993,0))),"S/D")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3324</v>
      </c>
      <c r="B984" s="2" t="str">
        <f>IFERROR(INDEX(Movimientos!$C$2:$C$1993,MATCH(A984&amp;"ENTRADA",Movimientos!$R$2:$R$1993,0)),"-")</f>
        <v>-</v>
      </c>
      <c r="C984" s="2" t="str">
        <f>IFERROR(INDEX(Movimientos!$D$2:$D$1993,MATCH(A984&amp;"ENTRADA",Movimientos!$R$2:$R$1993,0)),"-")</f>
        <v>-</v>
      </c>
      <c r="D984" s="2" t="str">
        <f>IFERROR(INDEX(Movimientos!$E$2:$E$1993,MATCH(A984&amp;"ENTRADA",Movimientos!$R$2:$R$1993,0)),"-")</f>
        <v>-</v>
      </c>
      <c r="E984" s="2" t="str">
        <f>IFERROR(INDEX(Movimientos!$F$2:$F$1993,MATCH(A984&amp;"ENTRADA",Movimientos!$R$2:$R$1993,0)),"-")</f>
        <v>-</v>
      </c>
      <c r="F984" s="2" t="str">
        <f>IFERROR(INDEX(Movimientos!$G$2:$G$1993,MATCH(A984&amp;"ENTRADA",Movimientos!$R$2:$R$1993,0)),"-")</f>
        <v>-</v>
      </c>
      <c r="G984" s="2" t="str">
        <f>IFERROR(INDEX(Movimientos!$L$2:$L$1993,MATCH(A984&amp;"ENTRADA",Movimientos!$R$2:$R$1993,0)),"-")</f>
        <v>-</v>
      </c>
      <c r="H984" s="17" t="str">
        <f>IFERROR(IF(INDEX(Movimientos!$M$2:$M$1993,MATCH(A984&amp;"ENTRADA",Movimientos!$R$2:$R$1993,0))=0,"S/D",INDEX(Movimientos!$M$2:$M$1993,MATCH(A984&amp;"ENTRADA",Movimientos!$R$2:$R$1993,0))),"S/D")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3325</v>
      </c>
      <c r="B985" s="2" t="str">
        <f>IFERROR(INDEX(Movimientos!$C$2:$C$1993,MATCH(A985&amp;"ENTRADA",Movimientos!$R$2:$R$1993,0)),"-")</f>
        <v>-</v>
      </c>
      <c r="C985" s="2" t="str">
        <f>IFERROR(INDEX(Movimientos!$D$2:$D$1993,MATCH(A985&amp;"ENTRADA",Movimientos!$R$2:$R$1993,0)),"-")</f>
        <v>-</v>
      </c>
      <c r="D985" s="2" t="str">
        <f>IFERROR(INDEX(Movimientos!$E$2:$E$1993,MATCH(A985&amp;"ENTRADA",Movimientos!$R$2:$R$1993,0)),"-")</f>
        <v>-</v>
      </c>
      <c r="E985" s="2" t="str">
        <f>IFERROR(INDEX(Movimientos!$F$2:$F$1993,MATCH(A985&amp;"ENTRADA",Movimientos!$R$2:$R$1993,0)),"-")</f>
        <v>-</v>
      </c>
      <c r="F985" s="2" t="str">
        <f>IFERROR(INDEX(Movimientos!$G$2:$G$1993,MATCH(A985&amp;"ENTRADA",Movimientos!$R$2:$R$1993,0)),"-")</f>
        <v>-</v>
      </c>
      <c r="G985" s="2" t="str">
        <f>IFERROR(INDEX(Movimientos!$L$2:$L$1993,MATCH(A985&amp;"ENTRADA",Movimientos!$R$2:$R$1993,0)),"-")</f>
        <v>-</v>
      </c>
      <c r="H985" s="17" t="str">
        <f>IFERROR(IF(INDEX(Movimientos!$M$2:$M$1993,MATCH(A985&amp;"ENTRADA",Movimientos!$R$2:$R$1993,0))=0,"S/D",INDEX(Movimientos!$M$2:$M$1993,MATCH(A985&amp;"ENTRADA",Movimientos!$R$2:$R$1993,0))),"S/D")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3326</v>
      </c>
      <c r="B986" s="2" t="str">
        <f>IFERROR(INDEX(Movimientos!$C$2:$C$1993,MATCH(A986&amp;"ENTRADA",Movimientos!$R$2:$R$1993,0)),"-")</f>
        <v>-</v>
      </c>
      <c r="C986" s="2" t="str">
        <f>IFERROR(INDEX(Movimientos!$D$2:$D$1993,MATCH(A986&amp;"ENTRADA",Movimientos!$R$2:$R$1993,0)),"-")</f>
        <v>-</v>
      </c>
      <c r="D986" s="2" t="str">
        <f>IFERROR(INDEX(Movimientos!$E$2:$E$1993,MATCH(A986&amp;"ENTRADA",Movimientos!$R$2:$R$1993,0)),"-")</f>
        <v>-</v>
      </c>
      <c r="E986" s="2" t="str">
        <f>IFERROR(INDEX(Movimientos!$F$2:$F$1993,MATCH(A986&amp;"ENTRADA",Movimientos!$R$2:$R$1993,0)),"-")</f>
        <v>-</v>
      </c>
      <c r="F986" s="2" t="str">
        <f>IFERROR(INDEX(Movimientos!$G$2:$G$1993,MATCH(A986&amp;"ENTRADA",Movimientos!$R$2:$R$1993,0)),"-")</f>
        <v>-</v>
      </c>
      <c r="G986" s="2" t="str">
        <f>IFERROR(INDEX(Movimientos!$L$2:$L$1993,MATCH(A986&amp;"ENTRADA",Movimientos!$R$2:$R$1993,0)),"-")</f>
        <v>-</v>
      </c>
      <c r="H986" s="17" t="str">
        <f>IFERROR(IF(INDEX(Movimientos!$M$2:$M$1993,MATCH(A986&amp;"ENTRADA",Movimientos!$R$2:$R$1993,0))=0,"S/D",INDEX(Movimientos!$M$2:$M$1993,MATCH(A986&amp;"ENTRADA",Movimientos!$R$2:$R$1993,0))),"S/D")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3327</v>
      </c>
      <c r="B987" s="2" t="str">
        <f>IFERROR(INDEX(Movimientos!$C$2:$C$1993,MATCH(A987&amp;"ENTRADA",Movimientos!$R$2:$R$1993,0)),"-")</f>
        <v>-</v>
      </c>
      <c r="C987" s="2" t="str">
        <f>IFERROR(INDEX(Movimientos!$D$2:$D$1993,MATCH(A987&amp;"ENTRADA",Movimientos!$R$2:$R$1993,0)),"-")</f>
        <v>-</v>
      </c>
      <c r="D987" s="2" t="str">
        <f>IFERROR(INDEX(Movimientos!$E$2:$E$1993,MATCH(A987&amp;"ENTRADA",Movimientos!$R$2:$R$1993,0)),"-")</f>
        <v>-</v>
      </c>
      <c r="E987" s="2" t="str">
        <f>IFERROR(INDEX(Movimientos!$F$2:$F$1993,MATCH(A987&amp;"ENTRADA",Movimientos!$R$2:$R$1993,0)),"-")</f>
        <v>-</v>
      </c>
      <c r="F987" s="2" t="str">
        <f>IFERROR(INDEX(Movimientos!$G$2:$G$1993,MATCH(A987&amp;"ENTRADA",Movimientos!$R$2:$R$1993,0)),"-")</f>
        <v>-</v>
      </c>
      <c r="G987" s="2" t="str">
        <f>IFERROR(INDEX(Movimientos!$L$2:$L$1993,MATCH(A987&amp;"ENTRADA",Movimientos!$R$2:$R$1993,0)),"-")</f>
        <v>-</v>
      </c>
      <c r="H987" s="17" t="str">
        <f>IFERROR(IF(INDEX(Movimientos!$M$2:$M$1993,MATCH(A987&amp;"ENTRADA",Movimientos!$R$2:$R$1993,0))=0,"S/D",INDEX(Movimientos!$M$2:$M$1993,MATCH(A987&amp;"ENTRADA",Movimientos!$R$2:$R$1993,0))),"S/D")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3328</v>
      </c>
      <c r="B988" s="2" t="str">
        <f>IFERROR(INDEX(Movimientos!$C$2:$C$1993,MATCH(A988&amp;"ENTRADA",Movimientos!$R$2:$R$1993,0)),"-")</f>
        <v>-</v>
      </c>
      <c r="C988" s="2" t="str">
        <f>IFERROR(INDEX(Movimientos!$D$2:$D$1993,MATCH(A988&amp;"ENTRADA",Movimientos!$R$2:$R$1993,0)),"-")</f>
        <v>-</v>
      </c>
      <c r="D988" s="2" t="str">
        <f>IFERROR(INDEX(Movimientos!$E$2:$E$1993,MATCH(A988&amp;"ENTRADA",Movimientos!$R$2:$R$1993,0)),"-")</f>
        <v>-</v>
      </c>
      <c r="E988" s="2" t="str">
        <f>IFERROR(INDEX(Movimientos!$F$2:$F$1993,MATCH(A988&amp;"ENTRADA",Movimientos!$R$2:$R$1993,0)),"-")</f>
        <v>-</v>
      </c>
      <c r="F988" s="2" t="str">
        <f>IFERROR(INDEX(Movimientos!$G$2:$G$1993,MATCH(A988&amp;"ENTRADA",Movimientos!$R$2:$R$1993,0)),"-")</f>
        <v>-</v>
      </c>
      <c r="G988" s="2" t="str">
        <f>IFERROR(INDEX(Movimientos!$L$2:$L$1993,MATCH(A988&amp;"ENTRADA",Movimientos!$R$2:$R$1993,0)),"-")</f>
        <v>-</v>
      </c>
      <c r="H988" s="17" t="str">
        <f>IFERROR(IF(INDEX(Movimientos!$M$2:$M$1993,MATCH(A988&amp;"ENTRADA",Movimientos!$R$2:$R$1993,0))=0,"S/D",INDEX(Movimientos!$M$2:$M$1993,MATCH(A988&amp;"ENTRADA",Movimientos!$R$2:$R$1993,0))),"S/D")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3329</v>
      </c>
      <c r="B989" s="2" t="str">
        <f>IFERROR(INDEX(Movimientos!$C$2:$C$1993,MATCH(A989&amp;"ENTRADA",Movimientos!$R$2:$R$1993,0)),"-")</f>
        <v>-</v>
      </c>
      <c r="C989" s="2" t="str">
        <f>IFERROR(INDEX(Movimientos!$D$2:$D$1993,MATCH(A989&amp;"ENTRADA",Movimientos!$R$2:$R$1993,0)),"-")</f>
        <v>-</v>
      </c>
      <c r="D989" s="2" t="str">
        <f>IFERROR(INDEX(Movimientos!$E$2:$E$1993,MATCH(A989&amp;"ENTRADA",Movimientos!$R$2:$R$1993,0)),"-")</f>
        <v>-</v>
      </c>
      <c r="E989" s="2" t="str">
        <f>IFERROR(INDEX(Movimientos!$F$2:$F$1993,MATCH(A989&amp;"ENTRADA",Movimientos!$R$2:$R$1993,0)),"-")</f>
        <v>-</v>
      </c>
      <c r="F989" s="2" t="str">
        <f>IFERROR(INDEX(Movimientos!$G$2:$G$1993,MATCH(A989&amp;"ENTRADA",Movimientos!$R$2:$R$1993,0)),"-")</f>
        <v>-</v>
      </c>
      <c r="G989" s="2" t="str">
        <f>IFERROR(INDEX(Movimientos!$L$2:$L$1993,MATCH(A989&amp;"ENTRADA",Movimientos!$R$2:$R$1993,0)),"-")</f>
        <v>-</v>
      </c>
      <c r="H989" s="17" t="str">
        <f>IFERROR(IF(INDEX(Movimientos!$M$2:$M$1993,MATCH(A989&amp;"ENTRADA",Movimientos!$R$2:$R$1993,0))=0,"S/D",INDEX(Movimientos!$M$2:$M$1993,MATCH(A989&amp;"ENTRADA",Movimientos!$R$2:$R$1993,0))),"S/D")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3330</v>
      </c>
      <c r="B990" s="2" t="str">
        <f>IFERROR(INDEX(Movimientos!$C$2:$C$1993,MATCH(A990&amp;"ENTRADA",Movimientos!$R$2:$R$1993,0)),"-")</f>
        <v>-</v>
      </c>
      <c r="C990" s="2" t="str">
        <f>IFERROR(INDEX(Movimientos!$D$2:$D$1993,MATCH(A990&amp;"ENTRADA",Movimientos!$R$2:$R$1993,0)),"-")</f>
        <v>-</v>
      </c>
      <c r="D990" s="2" t="str">
        <f>IFERROR(INDEX(Movimientos!$E$2:$E$1993,MATCH(A990&amp;"ENTRADA",Movimientos!$R$2:$R$1993,0)),"-")</f>
        <v>-</v>
      </c>
      <c r="E990" s="2" t="str">
        <f>IFERROR(INDEX(Movimientos!$F$2:$F$1993,MATCH(A990&amp;"ENTRADA",Movimientos!$R$2:$R$1993,0)),"-")</f>
        <v>-</v>
      </c>
      <c r="F990" s="2" t="str">
        <f>IFERROR(INDEX(Movimientos!$G$2:$G$1993,MATCH(A990&amp;"ENTRADA",Movimientos!$R$2:$R$1993,0)),"-")</f>
        <v>-</v>
      </c>
      <c r="G990" s="2" t="str">
        <f>IFERROR(INDEX(Movimientos!$L$2:$L$1993,MATCH(A990&amp;"ENTRADA",Movimientos!$R$2:$R$1993,0)),"-")</f>
        <v>-</v>
      </c>
      <c r="H990" s="17" t="str">
        <f>IFERROR(IF(INDEX(Movimientos!$M$2:$M$1993,MATCH(A990&amp;"ENTRADA",Movimientos!$R$2:$R$1993,0))=0,"S/D",INDEX(Movimientos!$M$2:$M$1993,MATCH(A990&amp;"ENTRADA",Movimientos!$R$2:$R$1993,0))),"S/D")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3331</v>
      </c>
      <c r="B991" s="2" t="str">
        <f>IFERROR(INDEX(Movimientos!$C$2:$C$1993,MATCH(A991&amp;"ENTRADA",Movimientos!$R$2:$R$1993,0)),"-")</f>
        <v>-</v>
      </c>
      <c r="C991" s="2" t="str">
        <f>IFERROR(INDEX(Movimientos!$D$2:$D$1993,MATCH(A991&amp;"ENTRADA",Movimientos!$R$2:$R$1993,0)),"-")</f>
        <v>-</v>
      </c>
      <c r="D991" s="2" t="str">
        <f>IFERROR(INDEX(Movimientos!$E$2:$E$1993,MATCH(A991&amp;"ENTRADA",Movimientos!$R$2:$R$1993,0)),"-")</f>
        <v>-</v>
      </c>
      <c r="E991" s="2" t="str">
        <f>IFERROR(INDEX(Movimientos!$F$2:$F$1993,MATCH(A991&amp;"ENTRADA",Movimientos!$R$2:$R$1993,0)),"-")</f>
        <v>-</v>
      </c>
      <c r="F991" s="2" t="str">
        <f>IFERROR(INDEX(Movimientos!$G$2:$G$1993,MATCH(A991&amp;"ENTRADA",Movimientos!$R$2:$R$1993,0)),"-")</f>
        <v>-</v>
      </c>
      <c r="G991" s="2" t="str">
        <f>IFERROR(INDEX(Movimientos!$L$2:$L$1993,MATCH(A991&amp;"ENTRADA",Movimientos!$R$2:$R$1993,0)),"-")</f>
        <v>-</v>
      </c>
      <c r="H991" s="17" t="str">
        <f>IFERROR(IF(INDEX(Movimientos!$M$2:$M$1993,MATCH(A991&amp;"ENTRADA",Movimientos!$R$2:$R$1993,0))=0,"S/D",INDEX(Movimientos!$M$2:$M$1993,MATCH(A991&amp;"ENTRADA",Movimientos!$R$2:$R$1993,0))),"S/D")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3332</v>
      </c>
      <c r="B992" s="2" t="str">
        <f>IFERROR(INDEX(Movimientos!$C$2:$C$1993,MATCH(A992&amp;"ENTRADA",Movimientos!$R$2:$R$1993,0)),"-")</f>
        <v>-</v>
      </c>
      <c r="C992" s="2" t="str">
        <f>IFERROR(INDEX(Movimientos!$D$2:$D$1993,MATCH(A992&amp;"ENTRADA",Movimientos!$R$2:$R$1993,0)),"-")</f>
        <v>-</v>
      </c>
      <c r="D992" s="2" t="str">
        <f>IFERROR(INDEX(Movimientos!$E$2:$E$1993,MATCH(A992&amp;"ENTRADA",Movimientos!$R$2:$R$1993,0)),"-")</f>
        <v>-</v>
      </c>
      <c r="E992" s="2" t="str">
        <f>IFERROR(INDEX(Movimientos!$F$2:$F$1993,MATCH(A992&amp;"ENTRADA",Movimientos!$R$2:$R$1993,0)),"-")</f>
        <v>-</v>
      </c>
      <c r="F992" s="2" t="str">
        <f>IFERROR(INDEX(Movimientos!$G$2:$G$1993,MATCH(A992&amp;"ENTRADA",Movimientos!$R$2:$R$1993,0)),"-")</f>
        <v>-</v>
      </c>
      <c r="G992" s="2" t="str">
        <f>IFERROR(INDEX(Movimientos!$L$2:$L$1993,MATCH(A992&amp;"ENTRADA",Movimientos!$R$2:$R$1993,0)),"-")</f>
        <v>-</v>
      </c>
      <c r="H992" s="17" t="str">
        <f>IFERROR(IF(INDEX(Movimientos!$M$2:$M$1993,MATCH(A992&amp;"ENTRADA",Movimientos!$R$2:$R$1993,0))=0,"S/D",INDEX(Movimientos!$M$2:$M$1993,MATCH(A992&amp;"ENTRADA",Movimientos!$R$2:$R$1993,0))),"S/D")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3333</v>
      </c>
      <c r="B993" s="2" t="str">
        <f>IFERROR(INDEX(Movimientos!$C$2:$C$1993,MATCH(A993&amp;"ENTRADA",Movimientos!$R$2:$R$1993,0)),"-")</f>
        <v>-</v>
      </c>
      <c r="C993" s="2" t="str">
        <f>IFERROR(INDEX(Movimientos!$D$2:$D$1993,MATCH(A993&amp;"ENTRADA",Movimientos!$R$2:$R$1993,0)),"-")</f>
        <v>-</v>
      </c>
      <c r="D993" s="2" t="str">
        <f>IFERROR(INDEX(Movimientos!$E$2:$E$1993,MATCH(A993&amp;"ENTRADA",Movimientos!$R$2:$R$1993,0)),"-")</f>
        <v>-</v>
      </c>
      <c r="E993" s="2" t="str">
        <f>IFERROR(INDEX(Movimientos!$F$2:$F$1993,MATCH(A993&amp;"ENTRADA",Movimientos!$R$2:$R$1993,0)),"-")</f>
        <v>-</v>
      </c>
      <c r="F993" s="2" t="str">
        <f>IFERROR(INDEX(Movimientos!$G$2:$G$1993,MATCH(A993&amp;"ENTRADA",Movimientos!$R$2:$R$1993,0)),"-")</f>
        <v>-</v>
      </c>
      <c r="G993" s="2" t="str">
        <f>IFERROR(INDEX(Movimientos!$L$2:$L$1993,MATCH(A993&amp;"ENTRADA",Movimientos!$R$2:$R$1993,0)),"-")</f>
        <v>-</v>
      </c>
      <c r="H993" s="17" t="str">
        <f>IFERROR(IF(INDEX(Movimientos!$M$2:$M$1993,MATCH(A993&amp;"ENTRADA",Movimientos!$R$2:$R$1993,0))=0,"S/D",INDEX(Movimientos!$M$2:$M$1993,MATCH(A993&amp;"ENTRADA",Movimientos!$R$2:$R$1993,0))),"S/D")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3334</v>
      </c>
      <c r="B994" s="2" t="str">
        <f>IFERROR(INDEX(Movimientos!$C$2:$C$1993,MATCH(A994&amp;"ENTRADA",Movimientos!$R$2:$R$1993,0)),"-")</f>
        <v>-</v>
      </c>
      <c r="C994" s="2" t="str">
        <f>IFERROR(INDEX(Movimientos!$D$2:$D$1993,MATCH(A994&amp;"ENTRADA",Movimientos!$R$2:$R$1993,0)),"-")</f>
        <v>-</v>
      </c>
      <c r="D994" s="2" t="str">
        <f>IFERROR(INDEX(Movimientos!$E$2:$E$1993,MATCH(A994&amp;"ENTRADA",Movimientos!$R$2:$R$1993,0)),"-")</f>
        <v>-</v>
      </c>
      <c r="E994" s="2" t="str">
        <f>IFERROR(INDEX(Movimientos!$F$2:$F$1993,MATCH(A994&amp;"ENTRADA",Movimientos!$R$2:$R$1993,0)),"-")</f>
        <v>-</v>
      </c>
      <c r="F994" s="2" t="str">
        <f>IFERROR(INDEX(Movimientos!$G$2:$G$1993,MATCH(A994&amp;"ENTRADA",Movimientos!$R$2:$R$1993,0)),"-")</f>
        <v>-</v>
      </c>
      <c r="G994" s="2" t="str">
        <f>IFERROR(INDEX(Movimientos!$L$2:$L$1993,MATCH(A994&amp;"ENTRADA",Movimientos!$R$2:$R$1993,0)),"-")</f>
        <v>-</v>
      </c>
      <c r="H994" s="17" t="str">
        <f>IFERROR(IF(INDEX(Movimientos!$M$2:$M$1993,MATCH(A994&amp;"ENTRADA",Movimientos!$R$2:$R$1993,0))=0,"S/D",INDEX(Movimientos!$M$2:$M$1993,MATCH(A994&amp;"ENTRADA",Movimientos!$R$2:$R$1993,0))),"S/D")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3335</v>
      </c>
      <c r="B995" s="2" t="str">
        <f>IFERROR(INDEX(Movimientos!$C$2:$C$1993,MATCH(A995&amp;"ENTRADA",Movimientos!$R$2:$R$1993,0)),"-")</f>
        <v>-</v>
      </c>
      <c r="C995" s="2" t="str">
        <f>IFERROR(INDEX(Movimientos!$D$2:$D$1993,MATCH(A995&amp;"ENTRADA",Movimientos!$R$2:$R$1993,0)),"-")</f>
        <v>-</v>
      </c>
      <c r="D995" s="2" t="str">
        <f>IFERROR(INDEX(Movimientos!$E$2:$E$1993,MATCH(A995&amp;"ENTRADA",Movimientos!$R$2:$R$1993,0)),"-")</f>
        <v>-</v>
      </c>
      <c r="E995" s="2" t="str">
        <f>IFERROR(INDEX(Movimientos!$F$2:$F$1993,MATCH(A995&amp;"ENTRADA",Movimientos!$R$2:$R$1993,0)),"-")</f>
        <v>-</v>
      </c>
      <c r="F995" s="2" t="str">
        <f>IFERROR(INDEX(Movimientos!$G$2:$G$1993,MATCH(A995&amp;"ENTRADA",Movimientos!$R$2:$R$1993,0)),"-")</f>
        <v>-</v>
      </c>
      <c r="G995" s="2" t="str">
        <f>IFERROR(INDEX(Movimientos!$L$2:$L$1993,MATCH(A995&amp;"ENTRADA",Movimientos!$R$2:$R$1993,0)),"-")</f>
        <v>-</v>
      </c>
      <c r="H995" s="17" t="str">
        <f>IFERROR(IF(INDEX(Movimientos!$M$2:$M$1993,MATCH(A995&amp;"ENTRADA",Movimientos!$R$2:$R$1993,0))=0,"S/D",INDEX(Movimientos!$M$2:$M$1993,MATCH(A995&amp;"ENTRADA",Movimientos!$R$2:$R$1993,0))),"S/D")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3336</v>
      </c>
      <c r="B996" s="2" t="str">
        <f>IFERROR(INDEX(Movimientos!$C$2:$C$1993,MATCH(A996&amp;"ENTRADA",Movimientos!$R$2:$R$1993,0)),"-")</f>
        <v>-</v>
      </c>
      <c r="C996" s="2" t="str">
        <f>IFERROR(INDEX(Movimientos!$D$2:$D$1993,MATCH(A996&amp;"ENTRADA",Movimientos!$R$2:$R$1993,0)),"-")</f>
        <v>-</v>
      </c>
      <c r="D996" s="2" t="str">
        <f>IFERROR(INDEX(Movimientos!$E$2:$E$1993,MATCH(A996&amp;"ENTRADA",Movimientos!$R$2:$R$1993,0)),"-")</f>
        <v>-</v>
      </c>
      <c r="E996" s="2" t="str">
        <f>IFERROR(INDEX(Movimientos!$F$2:$F$1993,MATCH(A996&amp;"ENTRADA",Movimientos!$R$2:$R$1993,0)),"-")</f>
        <v>-</v>
      </c>
      <c r="F996" s="2" t="str">
        <f>IFERROR(INDEX(Movimientos!$G$2:$G$1993,MATCH(A996&amp;"ENTRADA",Movimientos!$R$2:$R$1993,0)),"-")</f>
        <v>-</v>
      </c>
      <c r="G996" s="2" t="str">
        <f>IFERROR(INDEX(Movimientos!$L$2:$L$1993,MATCH(A996&amp;"ENTRADA",Movimientos!$R$2:$R$1993,0)),"-")</f>
        <v>-</v>
      </c>
      <c r="H996" s="17" t="str">
        <f>IFERROR(IF(INDEX(Movimientos!$M$2:$M$1993,MATCH(A996&amp;"ENTRADA",Movimientos!$R$2:$R$1993,0))=0,"S/D",INDEX(Movimientos!$M$2:$M$1993,MATCH(A996&amp;"ENTRADA",Movimientos!$R$2:$R$1993,0))),"S/D")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7" priority="5">
      <formula>K2="OK"</formula>
    </cfRule>
    <cfRule type="expression" dxfId="6" priority="6">
      <formula>K2="PRÓXIMO A VENCER"</formula>
    </cfRule>
    <cfRule type="expression" dxfId="5" priority="7">
      <formula>K2="SIN STOCK"</formula>
    </cfRule>
    <cfRule type="expression" dxfId="4" priority="8">
      <formula>K2="VENCIDO"</formula>
    </cfRule>
  </conditionalFormatting>
  <conditionalFormatting sqref="A59">
    <cfRule type="expression" dxfId="3" priority="1">
      <formula>$I59="ENTRADA"</formula>
    </cfRule>
    <cfRule type="expression" dxfId="2" priority="2">
      <formula>$I59="SALIDA"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89"/>
  <sheetViews>
    <sheetView showGridLines="0" topLeftCell="A81" workbookViewId="0">
      <selection activeCell="B89" sqref="B89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2395</v>
      </c>
      <c r="B1" s="23" t="s">
        <v>3337</v>
      </c>
      <c r="C1" s="23" t="s">
        <v>4</v>
      </c>
      <c r="D1" s="23" t="s">
        <v>5</v>
      </c>
      <c r="E1" s="23" t="s">
        <v>6</v>
      </c>
      <c r="F1" s="23" t="s">
        <v>3338</v>
      </c>
      <c r="G1" s="23" t="s">
        <v>11</v>
      </c>
      <c r="H1" s="23" t="s">
        <v>3339</v>
      </c>
    </row>
    <row r="2" spans="1:8">
      <c r="A2" t="s">
        <v>23</v>
      </c>
      <c r="B2" t="s">
        <v>24</v>
      </c>
      <c r="C2" s="24" t="s">
        <v>3340</v>
      </c>
      <c r="D2" s="24" t="s">
        <v>3341</v>
      </c>
      <c r="E2" s="24" t="s">
        <v>36</v>
      </c>
      <c r="F2" s="24" t="s">
        <v>28</v>
      </c>
      <c r="G2" s="24" t="s">
        <v>37</v>
      </c>
      <c r="H2" s="10" t="s">
        <v>213</v>
      </c>
    </row>
    <row r="3" spans="1:8">
      <c r="A3" t="s">
        <v>32</v>
      </c>
      <c r="B3" t="s">
        <v>105</v>
      </c>
      <c r="C3" s="24" t="s">
        <v>516</v>
      </c>
      <c r="D3" s="24" t="s">
        <v>1220</v>
      </c>
      <c r="E3" s="24" t="s">
        <v>72</v>
      </c>
      <c r="F3" s="24" t="s">
        <v>65</v>
      </c>
      <c r="G3" s="24" t="s">
        <v>29</v>
      </c>
      <c r="H3" s="10" t="s">
        <v>152</v>
      </c>
    </row>
    <row r="4" spans="1:8">
      <c r="A4" t="s">
        <v>40</v>
      </c>
      <c r="B4" t="s">
        <v>41</v>
      </c>
      <c r="C4" s="24" t="s">
        <v>34</v>
      </c>
      <c r="D4" s="24" t="s">
        <v>3342</v>
      </c>
      <c r="E4" s="24" t="s">
        <v>77</v>
      </c>
      <c r="G4" s="24" t="s">
        <v>3343</v>
      </c>
      <c r="H4" s="10" t="s">
        <v>66</v>
      </c>
    </row>
    <row r="5" spans="1:8">
      <c r="A5" t="s">
        <v>44</v>
      </c>
      <c r="B5" t="s">
        <v>63</v>
      </c>
      <c r="C5" s="24" t="s">
        <v>25</v>
      </c>
      <c r="D5" s="24" t="s">
        <v>3344</v>
      </c>
      <c r="E5" s="10" t="s">
        <v>27</v>
      </c>
      <c r="G5" s="24" t="s">
        <v>3345</v>
      </c>
      <c r="H5" s="10" t="s">
        <v>382</v>
      </c>
    </row>
    <row r="6" spans="1:8">
      <c r="A6" t="s">
        <v>50</v>
      </c>
      <c r="B6" t="s">
        <v>280</v>
      </c>
      <c r="C6" s="24" t="s">
        <v>493</v>
      </c>
      <c r="D6" s="24" t="s">
        <v>46</v>
      </c>
      <c r="E6" s="24" t="s">
        <v>83</v>
      </c>
      <c r="G6" s="24" t="s">
        <v>73</v>
      </c>
      <c r="H6" s="10" t="s">
        <v>237</v>
      </c>
    </row>
    <row r="7" spans="1:8">
      <c r="A7" t="s">
        <v>54</v>
      </c>
      <c r="B7" t="s">
        <v>55</v>
      </c>
      <c r="C7" s="24" t="s">
        <v>285</v>
      </c>
      <c r="D7" s="24" t="s">
        <v>35</v>
      </c>
      <c r="E7" s="24" t="s">
        <v>117</v>
      </c>
      <c r="G7" s="24" t="s">
        <v>633</v>
      </c>
      <c r="H7" t="s">
        <v>218</v>
      </c>
    </row>
    <row r="8" spans="1:8">
      <c r="A8" t="s">
        <v>59</v>
      </c>
      <c r="B8" t="s">
        <v>60</v>
      </c>
      <c r="C8" s="24" t="s">
        <v>132</v>
      </c>
      <c r="D8" s="24" t="s">
        <v>3346</v>
      </c>
      <c r="E8" s="24" t="s">
        <v>133</v>
      </c>
      <c r="G8" s="24" t="s">
        <v>56</v>
      </c>
      <c r="H8" t="s">
        <v>309</v>
      </c>
    </row>
    <row r="9" spans="1:8">
      <c r="A9" t="s">
        <v>75</v>
      </c>
      <c r="B9" t="s">
        <v>76</v>
      </c>
      <c r="C9" s="24" t="s">
        <v>70</v>
      </c>
      <c r="D9" s="24" t="s">
        <v>3347</v>
      </c>
      <c r="E9" s="24" t="s">
        <v>158</v>
      </c>
      <c r="G9" s="10" t="s">
        <v>3348</v>
      </c>
      <c r="H9" t="s">
        <v>311</v>
      </c>
    </row>
    <row r="10" spans="1:8">
      <c r="A10" t="s">
        <v>70</v>
      </c>
      <c r="B10" t="s">
        <v>71</v>
      </c>
      <c r="C10" s="24" t="s">
        <v>578</v>
      </c>
      <c r="D10" s="24" t="s">
        <v>427</v>
      </c>
      <c r="E10" s="24" t="s">
        <v>166</v>
      </c>
      <c r="H10" t="s">
        <v>331</v>
      </c>
    </row>
    <row r="11" spans="1:8">
      <c r="A11" t="s">
        <v>80</v>
      </c>
      <c r="B11" t="s">
        <v>81</v>
      </c>
      <c r="C11" s="24" t="s">
        <v>1135</v>
      </c>
      <c r="D11" s="24" t="s">
        <v>558</v>
      </c>
      <c r="E11" s="24" t="s">
        <v>180</v>
      </c>
      <c r="H11" t="s">
        <v>387</v>
      </c>
    </row>
    <row r="12" spans="1:8">
      <c r="A12" t="s">
        <v>86</v>
      </c>
      <c r="B12" t="s">
        <v>87</v>
      </c>
      <c r="C12" s="24" t="s">
        <v>3349</v>
      </c>
      <c r="D12" s="24" t="s">
        <v>26</v>
      </c>
      <c r="E12" t="s">
        <v>176</v>
      </c>
      <c r="H12" t="s">
        <v>590</v>
      </c>
    </row>
    <row r="13" spans="1:8">
      <c r="A13" t="s">
        <v>90</v>
      </c>
      <c r="B13" t="s">
        <v>91</v>
      </c>
      <c r="C13" s="24"/>
      <c r="D13" s="24" t="s">
        <v>3350</v>
      </c>
      <c r="E13" t="s">
        <v>3351</v>
      </c>
      <c r="H13" t="s">
        <v>1023</v>
      </c>
    </row>
    <row r="14" spans="1:8">
      <c r="A14" t="s">
        <v>112</v>
      </c>
      <c r="B14" t="s">
        <v>113</v>
      </c>
      <c r="C14" s="24"/>
      <c r="D14" s="24" t="s">
        <v>632</v>
      </c>
      <c r="E14" t="s">
        <v>3352</v>
      </c>
      <c r="H14" t="s">
        <v>1042</v>
      </c>
    </row>
    <row r="15" spans="1:8">
      <c r="A15" t="s">
        <v>108</v>
      </c>
      <c r="B15" t="s">
        <v>109</v>
      </c>
      <c r="C15" s="24"/>
      <c r="D15" s="24" t="s">
        <v>3353</v>
      </c>
      <c r="E15" t="s">
        <v>259</v>
      </c>
    </row>
    <row r="16" spans="1:8">
      <c r="A16" t="s">
        <v>115</v>
      </c>
      <c r="B16" t="s">
        <v>116</v>
      </c>
      <c r="D16" s="24" t="s">
        <v>3354</v>
      </c>
      <c r="E16" t="s">
        <v>301</v>
      </c>
    </row>
    <row r="17" spans="1:5">
      <c r="A17" t="s">
        <v>122</v>
      </c>
      <c r="B17" t="s">
        <v>123</v>
      </c>
      <c r="D17" t="s">
        <v>82</v>
      </c>
      <c r="E17" t="s">
        <v>773</v>
      </c>
    </row>
    <row r="18" spans="1:5">
      <c r="A18" t="s">
        <v>130</v>
      </c>
      <c r="B18" t="s">
        <v>131</v>
      </c>
      <c r="D18" t="s">
        <v>128</v>
      </c>
      <c r="E18" t="s">
        <v>779</v>
      </c>
    </row>
    <row r="19" spans="1:5">
      <c r="A19" t="s">
        <v>137</v>
      </c>
      <c r="B19" t="s">
        <v>138</v>
      </c>
      <c r="D19" t="s">
        <v>165</v>
      </c>
      <c r="E19" t="s">
        <v>1032</v>
      </c>
    </row>
    <row r="20" spans="1:5">
      <c r="A20" t="s">
        <v>141</v>
      </c>
      <c r="B20" t="s">
        <v>142</v>
      </c>
      <c r="D20" t="s">
        <v>170</v>
      </c>
      <c r="E20" t="s">
        <v>1224</v>
      </c>
    </row>
    <row r="21" spans="1:5">
      <c r="A21" t="s">
        <v>147</v>
      </c>
      <c r="B21" t="s">
        <v>148</v>
      </c>
      <c r="D21" t="s">
        <v>174</v>
      </c>
    </row>
    <row r="22" spans="1:5">
      <c r="A22" t="s">
        <v>156</v>
      </c>
      <c r="B22" t="s">
        <v>157</v>
      </c>
      <c r="D22" t="s">
        <v>184</v>
      </c>
    </row>
    <row r="23" spans="1:5">
      <c r="A23" t="s">
        <v>160</v>
      </c>
      <c r="B23" t="s">
        <v>161</v>
      </c>
      <c r="D23" t="s">
        <v>188</v>
      </c>
    </row>
    <row r="24" spans="1:5">
      <c r="A24" t="s">
        <v>164</v>
      </c>
      <c r="B24" t="s">
        <v>164</v>
      </c>
      <c r="D24" t="s">
        <v>192</v>
      </c>
    </row>
    <row r="25" spans="1:5">
      <c r="A25" t="s">
        <v>168</v>
      </c>
      <c r="B25" t="s">
        <v>169</v>
      </c>
      <c r="D25" t="s">
        <v>195</v>
      </c>
    </row>
    <row r="26" spans="1:5">
      <c r="A26" t="s">
        <v>172</v>
      </c>
      <c r="B26" t="s">
        <v>173</v>
      </c>
      <c r="D26" t="s">
        <v>258</v>
      </c>
    </row>
    <row r="27" spans="1:5">
      <c r="A27" t="s">
        <v>178</v>
      </c>
      <c r="B27" t="s">
        <v>179</v>
      </c>
      <c r="D27" t="s">
        <v>286</v>
      </c>
    </row>
    <row r="28" spans="1:5">
      <c r="A28" t="s">
        <v>182</v>
      </c>
      <c r="B28" t="s">
        <v>183</v>
      </c>
      <c r="D28" t="s">
        <v>3355</v>
      </c>
    </row>
    <row r="29" spans="1:5">
      <c r="A29" t="s">
        <v>186</v>
      </c>
      <c r="B29" t="s">
        <v>187</v>
      </c>
      <c r="D29" t="s">
        <v>3356</v>
      </c>
    </row>
    <row r="30" spans="1:5">
      <c r="A30" t="s">
        <v>190</v>
      </c>
      <c r="B30" t="s">
        <v>191</v>
      </c>
      <c r="D30" t="s">
        <v>1056</v>
      </c>
    </row>
    <row r="31" spans="1:5">
      <c r="A31" t="s">
        <v>194</v>
      </c>
      <c r="B31" t="s">
        <v>194</v>
      </c>
      <c r="D31" t="s">
        <v>1179</v>
      </c>
    </row>
    <row r="32" spans="1:5">
      <c r="A32" t="s">
        <v>228</v>
      </c>
      <c r="B32" t="s">
        <v>229</v>
      </c>
    </row>
    <row r="33" spans="1:2">
      <c r="A33" t="s">
        <v>231</v>
      </c>
      <c r="B33" t="s">
        <v>231</v>
      </c>
    </row>
    <row r="34" spans="1:2">
      <c r="A34" t="s">
        <v>126</v>
      </c>
      <c r="B34" t="s">
        <v>127</v>
      </c>
    </row>
    <row r="35" spans="1:2">
      <c r="A35" t="s">
        <v>245</v>
      </c>
      <c r="B35" t="s">
        <v>246</v>
      </c>
    </row>
    <row r="36" spans="1:2">
      <c r="A36" t="s">
        <v>249</v>
      </c>
      <c r="B36" t="s">
        <v>250</v>
      </c>
    </row>
    <row r="37" spans="1:2">
      <c r="A37" t="s">
        <v>256</v>
      </c>
      <c r="B37" t="s">
        <v>257</v>
      </c>
    </row>
    <row r="38" spans="1:2">
      <c r="A38" t="s">
        <v>261</v>
      </c>
      <c r="B38" t="s">
        <v>262</v>
      </c>
    </row>
    <row r="39" spans="1:2">
      <c r="A39" t="s">
        <v>264</v>
      </c>
      <c r="B39" t="s">
        <v>265</v>
      </c>
    </row>
    <row r="40" spans="1:2">
      <c r="A40" t="s">
        <v>267</v>
      </c>
      <c r="B40" t="s">
        <v>267</v>
      </c>
    </row>
    <row r="41" spans="1:2">
      <c r="A41" t="s">
        <v>283</v>
      </c>
      <c r="B41" t="s">
        <v>284</v>
      </c>
    </row>
    <row r="42" spans="1:2">
      <c r="A42" t="s">
        <v>299</v>
      </c>
      <c r="B42" t="s">
        <v>300</v>
      </c>
    </row>
    <row r="43" spans="1:2">
      <c r="A43" t="s">
        <v>304</v>
      </c>
      <c r="B43" t="s">
        <v>305</v>
      </c>
    </row>
    <row r="44" spans="1:2">
      <c r="A44" t="s">
        <v>3357</v>
      </c>
      <c r="B44" t="s">
        <v>426</v>
      </c>
    </row>
    <row r="45" spans="1:2">
      <c r="A45" t="s">
        <v>429</v>
      </c>
      <c r="B45" t="s">
        <v>430</v>
      </c>
    </row>
    <row r="46" spans="1:2">
      <c r="A46" s="48" t="s">
        <v>491</v>
      </c>
      <c r="B46" t="s">
        <v>492</v>
      </c>
    </row>
    <row r="47" spans="1:2">
      <c r="A47" t="s">
        <v>514</v>
      </c>
      <c r="B47" t="s">
        <v>515</v>
      </c>
    </row>
    <row r="48" spans="1:2">
      <c r="A48" t="s">
        <v>524</v>
      </c>
      <c r="B48" t="s">
        <v>525</v>
      </c>
    </row>
    <row r="49" spans="1:2">
      <c r="A49" t="s">
        <v>527</v>
      </c>
      <c r="B49" t="s">
        <v>528</v>
      </c>
    </row>
    <row r="50" spans="1:2">
      <c r="A50" t="s">
        <v>534</v>
      </c>
      <c r="B50" t="s">
        <v>535</v>
      </c>
    </row>
    <row r="51" spans="1:2">
      <c r="A51" t="s">
        <v>556</v>
      </c>
      <c r="B51" t="s">
        <v>557</v>
      </c>
    </row>
    <row r="52" spans="1:2">
      <c r="A52" t="s">
        <v>576</v>
      </c>
      <c r="B52" t="s">
        <v>577</v>
      </c>
    </row>
    <row r="53" spans="1:2">
      <c r="A53" t="s">
        <v>580</v>
      </c>
      <c r="B53" t="s">
        <v>631</v>
      </c>
    </row>
    <row r="54" spans="1:2">
      <c r="A54" t="s">
        <v>635</v>
      </c>
      <c r="B54" t="s">
        <v>721</v>
      </c>
    </row>
    <row r="55" spans="1:2">
      <c r="A55" t="s">
        <v>630</v>
      </c>
      <c r="B55" t="s">
        <v>753</v>
      </c>
    </row>
    <row r="56" spans="1:2">
      <c r="A56" t="s">
        <v>637</v>
      </c>
      <c r="B56" t="s">
        <v>760</v>
      </c>
    </row>
    <row r="57" spans="1:2">
      <c r="A57" t="s">
        <v>657</v>
      </c>
      <c r="B57" t="s">
        <v>763</v>
      </c>
    </row>
    <row r="58" spans="1:2">
      <c r="A58" t="s">
        <v>720</v>
      </c>
      <c r="B58" t="s">
        <v>766</v>
      </c>
    </row>
    <row r="59" spans="1:2">
      <c r="A59" t="s">
        <v>752</v>
      </c>
      <c r="B59" t="s">
        <v>769</v>
      </c>
    </row>
    <row r="60" spans="1:2">
      <c r="A60" t="s">
        <v>759</v>
      </c>
      <c r="B60" t="s">
        <v>772</v>
      </c>
    </row>
    <row r="61" spans="1:2">
      <c r="A61" t="s">
        <v>762</v>
      </c>
      <c r="B61" t="s">
        <v>778</v>
      </c>
    </row>
    <row r="62" spans="1:2">
      <c r="A62" t="s">
        <v>765</v>
      </c>
      <c r="B62" t="s">
        <v>782</v>
      </c>
    </row>
    <row r="63" spans="1:2">
      <c r="A63" t="s">
        <v>768</v>
      </c>
      <c r="B63" t="s">
        <v>785</v>
      </c>
    </row>
    <row r="64" spans="1:2">
      <c r="A64" t="s">
        <v>771</v>
      </c>
      <c r="B64" t="s">
        <v>788</v>
      </c>
    </row>
    <row r="65" spans="1:2">
      <c r="A65" t="s">
        <v>777</v>
      </c>
      <c r="B65" t="s">
        <v>791</v>
      </c>
    </row>
    <row r="66" spans="1:2">
      <c r="A66" t="s">
        <v>781</v>
      </c>
      <c r="B66" t="s">
        <v>3358</v>
      </c>
    </row>
    <row r="67" spans="1:2">
      <c r="A67" t="s">
        <v>784</v>
      </c>
      <c r="B67" t="s">
        <v>3358</v>
      </c>
    </row>
    <row r="68" spans="1:2">
      <c r="A68" t="s">
        <v>787</v>
      </c>
      <c r="B68" t="s">
        <v>935</v>
      </c>
    </row>
    <row r="69" spans="1:2">
      <c r="A69" t="s">
        <v>790</v>
      </c>
      <c r="B69" t="s">
        <v>942</v>
      </c>
    </row>
    <row r="70" spans="1:2">
      <c r="A70" t="s">
        <v>839</v>
      </c>
      <c r="B70" t="s">
        <v>945</v>
      </c>
    </row>
    <row r="71" spans="1:2">
      <c r="A71" t="s">
        <v>841</v>
      </c>
      <c r="B71" t="s">
        <v>952</v>
      </c>
    </row>
    <row r="72" spans="1:2">
      <c r="A72" t="s">
        <v>911</v>
      </c>
      <c r="B72" t="s">
        <v>991</v>
      </c>
    </row>
    <row r="73" spans="1:2">
      <c r="A73" t="s">
        <v>934</v>
      </c>
      <c r="B73" t="s">
        <v>1031</v>
      </c>
    </row>
    <row r="74" spans="1:2">
      <c r="A74" t="s">
        <v>3359</v>
      </c>
      <c r="B74" t="s">
        <v>1055</v>
      </c>
    </row>
    <row r="75" spans="1:2">
      <c r="A75" t="s">
        <v>944</v>
      </c>
      <c r="B75" t="s">
        <v>1059</v>
      </c>
    </row>
    <row r="76" spans="1:2">
      <c r="A76" t="s">
        <v>951</v>
      </c>
      <c r="B76" t="s">
        <v>1062</v>
      </c>
    </row>
    <row r="77" spans="1:2">
      <c r="A77" t="s">
        <v>990</v>
      </c>
      <c r="B77" t="s">
        <v>658</v>
      </c>
    </row>
    <row r="78" spans="1:2" ht="14.25" customHeight="1">
      <c r="A78" t="s">
        <v>1030</v>
      </c>
      <c r="B78" t="s">
        <v>3360</v>
      </c>
    </row>
    <row r="79" spans="1:2">
      <c r="A79" t="s">
        <v>1054</v>
      </c>
      <c r="B79" t="s">
        <v>1132</v>
      </c>
    </row>
    <row r="80" spans="1:2">
      <c r="A80" t="s">
        <v>1061</v>
      </c>
      <c r="B80" t="s">
        <v>1178</v>
      </c>
    </row>
    <row r="81" spans="1:2">
      <c r="A81" t="s">
        <v>1095</v>
      </c>
      <c r="B81" t="s">
        <v>1219</v>
      </c>
    </row>
    <row r="82" spans="1:2">
      <c r="A82" t="s">
        <v>1127</v>
      </c>
      <c r="B82" t="s">
        <v>3361</v>
      </c>
    </row>
    <row r="83" spans="1:2">
      <c r="A83" t="s">
        <v>1134</v>
      </c>
      <c r="B83" t="s">
        <v>1240</v>
      </c>
    </row>
    <row r="84" spans="1:2">
      <c r="A84" t="s">
        <v>1131</v>
      </c>
    </row>
    <row r="85" spans="1:2">
      <c r="A85" t="s">
        <v>1177</v>
      </c>
    </row>
    <row r="86" spans="1:2">
      <c r="A86" t="s">
        <v>1058</v>
      </c>
    </row>
    <row r="87" spans="1:2">
      <c r="A87" t="s">
        <v>1218</v>
      </c>
    </row>
    <row r="88" spans="1:2">
      <c r="A88" t="s">
        <v>1222</v>
      </c>
    </row>
    <row r="89" spans="1:2">
      <c r="A89" t="s">
        <v>1239</v>
      </c>
    </row>
  </sheetData>
  <conditionalFormatting sqref="A46">
    <cfRule type="expression" dxfId="1" priority="1">
      <formula>$I46="ENTRADA"</formula>
    </cfRule>
    <cfRule type="expression" dxfId="0" priority="2">
      <formula>$I46="SALIDA"</formula>
    </cfRule>
  </conditionalFormatting>
  <dataValidations count="1">
    <dataValidation type="list" allowBlank="1" sqref="A46" xr:uid="{76D66E8E-0FD7-4484-8B49-E44DD8183973}">
      <formula1>$A$2:$A$199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topLeftCell="A19" workbookViewId="0">
      <selection activeCell="B2" sqref="B2"/>
    </sheetView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3362</v>
      </c>
    </row>
    <row r="2" spans="1:2">
      <c r="B2" t="s">
        <v>3363</v>
      </c>
    </row>
    <row r="3" spans="1:2" ht="18" customHeight="1">
      <c r="A3" s="11" t="s">
        <v>3364</v>
      </c>
      <c r="B3" s="12"/>
    </row>
    <row r="4" spans="1:2" ht="30" customHeight="1">
      <c r="A4" s="25" t="s">
        <v>3365</v>
      </c>
      <c r="B4" s="26" t="s">
        <v>3366</v>
      </c>
    </row>
    <row r="5" spans="1:2" ht="30" customHeight="1">
      <c r="A5" s="25" t="s">
        <v>3367</v>
      </c>
      <c r="B5" s="26" t="s">
        <v>3368</v>
      </c>
    </row>
    <row r="6" spans="1:2" ht="30" customHeight="1">
      <c r="A6" s="25" t="s">
        <v>3369</v>
      </c>
      <c r="B6" s="26" t="s">
        <v>3370</v>
      </c>
    </row>
    <row r="7" spans="1:2" ht="18" customHeight="1">
      <c r="A7" s="27"/>
      <c r="B7" s="27"/>
    </row>
    <row r="8" spans="1:2" ht="18" customHeight="1">
      <c r="A8" s="11" t="s">
        <v>3371</v>
      </c>
      <c r="B8" s="12"/>
    </row>
    <row r="9" spans="1:2" ht="30" customHeight="1">
      <c r="A9" s="25" t="s">
        <v>3372</v>
      </c>
      <c r="B9" s="26" t="s">
        <v>3373</v>
      </c>
    </row>
    <row r="10" spans="1:2" ht="30" customHeight="1">
      <c r="A10" s="25" t="s">
        <v>3374</v>
      </c>
      <c r="B10" s="26" t="s">
        <v>3375</v>
      </c>
    </row>
    <row r="11" spans="1:2" ht="30" customHeight="1">
      <c r="A11" s="25" t="s">
        <v>3376</v>
      </c>
      <c r="B11" s="26" t="s">
        <v>3377</v>
      </c>
    </row>
    <row r="12" spans="1:2" ht="30" customHeight="1">
      <c r="A12" s="25" t="s">
        <v>3378</v>
      </c>
      <c r="B12" s="26" t="s">
        <v>3379</v>
      </c>
    </row>
    <row r="13" spans="1:2" ht="30" customHeight="1">
      <c r="A13" s="25" t="s">
        <v>3380</v>
      </c>
      <c r="B13" s="26" t="s">
        <v>3381</v>
      </c>
    </row>
    <row r="14" spans="1:2" ht="18" customHeight="1">
      <c r="A14" s="27"/>
      <c r="B14" s="27"/>
    </row>
    <row r="15" spans="1:2" ht="18" customHeight="1">
      <c r="A15" s="11" t="s">
        <v>3382</v>
      </c>
      <c r="B15" s="12"/>
    </row>
    <row r="16" spans="1:2" ht="30" customHeight="1">
      <c r="A16" s="25" t="s">
        <v>3383</v>
      </c>
      <c r="B16" s="26" t="s">
        <v>3384</v>
      </c>
    </row>
    <row r="17" spans="1:2" ht="18" customHeight="1">
      <c r="A17" s="27"/>
      <c r="B17" s="27"/>
    </row>
    <row r="18" spans="1:2" ht="18" customHeight="1">
      <c r="A18" s="11" t="s">
        <v>3385</v>
      </c>
      <c r="B18" s="12"/>
    </row>
    <row r="19" spans="1:2" ht="30" customHeight="1">
      <c r="A19" s="25" t="s">
        <v>3386</v>
      </c>
      <c r="B19" s="26" t="s">
        <v>3387</v>
      </c>
    </row>
    <row r="20" spans="1:2" ht="30" customHeight="1">
      <c r="A20" s="25" t="s">
        <v>3388</v>
      </c>
      <c r="B20" s="26" t="s">
        <v>3389</v>
      </c>
    </row>
    <row r="21" spans="1:2" ht="30" customHeight="1">
      <c r="A21" s="25" t="s">
        <v>3390</v>
      </c>
      <c r="B21" s="26" t="s">
        <v>3391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294339B-35B7-4743-B34B-97DDAED0EEF0}"/>
</file>

<file path=customXml/itemProps2.xml><?xml version="1.0" encoding="utf-8"?>
<ds:datastoreItem xmlns:ds="http://schemas.openxmlformats.org/officeDocument/2006/customXml" ds:itemID="{9F7B3009-C52E-4D66-81EE-EDC55AE40F61}"/>
</file>

<file path=customXml/itemProps3.xml><?xml version="1.0" encoding="utf-8"?>
<ds:datastoreItem xmlns:ds="http://schemas.openxmlformats.org/officeDocument/2006/customXml" ds:itemID="{2729620E-34FA-47C5-A97A-8372DD9A4CBE}"/>
</file>

<file path=customXml/itemProps4.xml><?xml version="1.0" encoding="utf-8"?>
<ds:datastoreItem xmlns:ds="http://schemas.openxmlformats.org/officeDocument/2006/customXml" ds:itemID="{FF06CDD4-6CD8-41B6-81B7-B8F8F77245D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2026-10-30T09:03:45Z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