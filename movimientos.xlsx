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30"/>
  <workbookPr/>
  <mc:AlternateContent xmlns:mc="http://schemas.openxmlformats.org/markup-compatibility/2006">
    <mc:Choice Requires="x15">
      <x15ac:absPath xmlns:x15ac="http://schemas.microsoft.com/office/spreadsheetml/2010/11/ac" url="C:\Users\Usuario\Desktop\"/>
    </mc:Choice>
  </mc:AlternateContent>
  <xr:revisionPtr revIDLastSave="0" documentId="8_{1DE9C888-2951-4CB4-8EC0-F71B01A30EB3}" xr6:coauthVersionLast="47" xr6:coauthVersionMax="47" xr10:uidLastSave="{00000000-0000-0000-0000-000000000000}"/>
  <bookViews>
    <workbookView xWindow="-120" yWindow="-120" windowWidth="20730" windowHeight="11040" activeTab="1" xr2:uid="{00000000-000D-0000-FFFF-FFFF00000000}"/>
  </bookViews>
  <sheets>
    <sheet name="Movimientos" sheetId="1" r:id="rId1"/>
    <sheet name="Stock_por_Lote" sheetId="2" r:id="rId2"/>
    <sheet name="Resumen_Producto" sheetId="3" r:id="rId3"/>
    <sheet name="Listas" sheetId="4" r:id="rId4"/>
    <sheet name="Instructivo" sheetId="5" r:id="rId5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T20" i="1" l="1"/>
  <c r="T21" i="1"/>
  <c r="T22" i="1"/>
  <c r="T23" i="1"/>
  <c r="T6" i="1"/>
  <c r="T7" i="1"/>
  <c r="T8" i="1"/>
  <c r="T9" i="1"/>
  <c r="T10" i="1"/>
  <c r="T11" i="1"/>
  <c r="T12" i="1"/>
  <c r="T13" i="1"/>
  <c r="T14" i="1"/>
  <c r="T15" i="1"/>
  <c r="T16" i="1"/>
  <c r="T17" i="1"/>
  <c r="T18" i="1"/>
  <c r="T19" i="1"/>
  <c r="T5" i="1"/>
  <c r="T24" i="1"/>
  <c r="T25" i="1"/>
  <c r="T26" i="1"/>
  <c r="T27" i="1"/>
  <c r="T28" i="1"/>
  <c r="T29" i="1"/>
  <c r="T30" i="1"/>
  <c r="T31" i="1"/>
  <c r="T32" i="1"/>
  <c r="T33" i="1"/>
  <c r="T34" i="1"/>
  <c r="T35" i="1"/>
  <c r="T36" i="1"/>
  <c r="T37" i="1"/>
  <c r="T38" i="1"/>
  <c r="T39" i="1"/>
  <c r="T40" i="1"/>
  <c r="T41" i="1"/>
  <c r="T42" i="1"/>
  <c r="T43" i="1"/>
  <c r="T44" i="1"/>
  <c r="T45" i="1"/>
  <c r="T46" i="1"/>
  <c r="T47" i="1"/>
  <c r="T48" i="1"/>
  <c r="T49" i="1"/>
  <c r="T50" i="1"/>
  <c r="T51" i="1"/>
  <c r="T52" i="1"/>
  <c r="T53" i="1"/>
  <c r="T54" i="1"/>
  <c r="T55" i="1"/>
  <c r="T56" i="1"/>
  <c r="T57" i="1"/>
  <c r="T58" i="1"/>
  <c r="T59" i="1"/>
  <c r="T60" i="1"/>
  <c r="T61" i="1"/>
  <c r="T62" i="1"/>
  <c r="T63" i="1"/>
  <c r="T64" i="1"/>
  <c r="T65" i="1"/>
  <c r="T66" i="1"/>
  <c r="T67" i="1"/>
  <c r="T68" i="1"/>
  <c r="T69" i="1"/>
  <c r="T70" i="1"/>
  <c r="T71" i="1"/>
  <c r="T72" i="1"/>
  <c r="T73" i="1"/>
  <c r="T74" i="1"/>
  <c r="T75" i="1"/>
  <c r="T76" i="1"/>
  <c r="T77" i="1"/>
  <c r="T78" i="1"/>
  <c r="T79" i="1"/>
  <c r="T80" i="1"/>
  <c r="T81" i="1"/>
  <c r="T82" i="1"/>
  <c r="T83" i="1"/>
  <c r="T84" i="1"/>
  <c r="T85" i="1"/>
  <c r="T86" i="1"/>
  <c r="T87" i="1"/>
  <c r="T88" i="1"/>
  <c r="T89" i="1"/>
  <c r="T90" i="1"/>
  <c r="T91" i="1"/>
  <c r="T92" i="1"/>
  <c r="T93" i="1"/>
  <c r="T94" i="1"/>
  <c r="T95" i="1"/>
  <c r="T96" i="1"/>
  <c r="T97" i="1"/>
  <c r="T98" i="1"/>
  <c r="T99" i="1"/>
  <c r="T100" i="1"/>
  <c r="T101" i="1"/>
  <c r="T102" i="1"/>
  <c r="T103" i="1"/>
  <c r="T104" i="1"/>
  <c r="T105" i="1"/>
  <c r="T106" i="1"/>
  <c r="T107" i="1"/>
  <c r="T108" i="1"/>
  <c r="T109" i="1"/>
  <c r="T110" i="1"/>
  <c r="T111" i="1"/>
  <c r="T112" i="1"/>
  <c r="T113" i="1"/>
  <c r="T114" i="1"/>
  <c r="T115" i="1"/>
  <c r="T116" i="1"/>
  <c r="T117" i="1"/>
  <c r="T118" i="1"/>
  <c r="T119" i="1"/>
  <c r="T120" i="1"/>
  <c r="T121" i="1"/>
  <c r="T122" i="1"/>
  <c r="T123" i="1"/>
  <c r="T124" i="1"/>
  <c r="T125" i="1"/>
  <c r="T126" i="1"/>
  <c r="T127" i="1"/>
  <c r="T128" i="1"/>
  <c r="T129" i="1"/>
  <c r="T130" i="1"/>
  <c r="T131" i="1"/>
  <c r="T132" i="1"/>
  <c r="T133" i="1"/>
  <c r="T134" i="1"/>
  <c r="T135" i="1"/>
  <c r="T136" i="1"/>
  <c r="T137" i="1"/>
  <c r="T138" i="1"/>
  <c r="T139" i="1"/>
  <c r="T140" i="1"/>
  <c r="T141" i="1"/>
  <c r="T142" i="1"/>
  <c r="T143" i="1"/>
  <c r="T144" i="1"/>
  <c r="T145" i="1"/>
  <c r="T146" i="1"/>
  <c r="T147" i="1"/>
  <c r="T148" i="1"/>
  <c r="T149" i="1"/>
  <c r="T150" i="1"/>
  <c r="T151" i="1"/>
  <c r="T152" i="1"/>
  <c r="T153" i="1"/>
  <c r="T154" i="1"/>
  <c r="T155" i="1"/>
  <c r="T156" i="1"/>
  <c r="T157" i="1"/>
  <c r="T158" i="1"/>
  <c r="T159" i="1"/>
  <c r="T160" i="1"/>
  <c r="T161" i="1"/>
  <c r="T162" i="1"/>
  <c r="T163" i="1"/>
  <c r="T164" i="1"/>
  <c r="T165" i="1"/>
  <c r="T166" i="1"/>
  <c r="T167" i="1"/>
  <c r="T168" i="1"/>
  <c r="T169" i="1"/>
  <c r="T170" i="1"/>
  <c r="T171" i="1"/>
  <c r="T172" i="1"/>
  <c r="T173" i="1"/>
  <c r="T174" i="1"/>
  <c r="T175" i="1"/>
  <c r="T176" i="1"/>
  <c r="T177" i="1"/>
  <c r="T178" i="1"/>
  <c r="T179" i="1"/>
  <c r="T180" i="1"/>
  <c r="T181" i="1"/>
  <c r="T182" i="1"/>
  <c r="T183" i="1"/>
  <c r="T184" i="1"/>
  <c r="T185" i="1"/>
  <c r="T186" i="1"/>
  <c r="T187" i="1"/>
  <c r="T188" i="1"/>
  <c r="T189" i="1"/>
  <c r="T190" i="1"/>
  <c r="T191" i="1"/>
  <c r="T192" i="1"/>
  <c r="T193" i="1"/>
  <c r="T194" i="1"/>
  <c r="T195" i="1"/>
  <c r="T196" i="1"/>
  <c r="T197" i="1"/>
  <c r="T198" i="1"/>
  <c r="T199" i="1"/>
  <c r="T200" i="1"/>
  <c r="T201" i="1"/>
  <c r="T202" i="1"/>
  <c r="T203" i="1"/>
  <c r="T204" i="1"/>
  <c r="T205" i="1"/>
  <c r="T206" i="1"/>
  <c r="T207" i="1"/>
  <c r="T208" i="1"/>
  <c r="T209" i="1"/>
  <c r="T210" i="1"/>
  <c r="T211" i="1"/>
  <c r="T212" i="1"/>
  <c r="T213" i="1"/>
  <c r="T214" i="1"/>
  <c r="T215" i="1"/>
  <c r="T216" i="1"/>
  <c r="T217" i="1"/>
  <c r="T218" i="1"/>
  <c r="T219" i="1"/>
  <c r="T220" i="1"/>
  <c r="T221" i="1"/>
  <c r="T222" i="1"/>
  <c r="T223" i="1"/>
  <c r="T224" i="1"/>
  <c r="T225" i="1"/>
  <c r="T226" i="1"/>
  <c r="T227" i="1"/>
  <c r="T228" i="1"/>
  <c r="T229" i="1"/>
  <c r="T230" i="1"/>
  <c r="T231" i="1"/>
  <c r="T232" i="1"/>
  <c r="T233" i="1"/>
  <c r="T234" i="1"/>
  <c r="T235" i="1"/>
  <c r="T236" i="1"/>
  <c r="T237" i="1"/>
  <c r="T238" i="1"/>
  <c r="T239" i="1"/>
  <c r="T240" i="1"/>
  <c r="T241" i="1"/>
  <c r="T242" i="1"/>
  <c r="T243" i="1"/>
  <c r="T244" i="1"/>
  <c r="T245" i="1"/>
  <c r="T246" i="1"/>
  <c r="T247" i="1"/>
  <c r="T248" i="1"/>
  <c r="T249" i="1"/>
  <c r="T250" i="1"/>
  <c r="T251" i="1"/>
  <c r="T252" i="1"/>
  <c r="T253" i="1"/>
  <c r="T254" i="1"/>
  <c r="T255" i="1"/>
  <c r="T256" i="1"/>
  <c r="T257" i="1"/>
  <c r="T258" i="1"/>
  <c r="T259" i="1"/>
  <c r="T260" i="1"/>
  <c r="T261" i="1"/>
  <c r="T262" i="1"/>
  <c r="T263" i="1"/>
  <c r="T264" i="1"/>
  <c r="T265" i="1"/>
  <c r="T266" i="1"/>
  <c r="T267" i="1"/>
  <c r="T268" i="1"/>
  <c r="T269" i="1"/>
  <c r="T270" i="1"/>
  <c r="T271" i="1"/>
  <c r="T272" i="1"/>
  <c r="T273" i="1"/>
  <c r="T274" i="1"/>
  <c r="T275" i="1"/>
  <c r="T276" i="1"/>
  <c r="T277" i="1"/>
  <c r="T278" i="1"/>
  <c r="T279" i="1"/>
  <c r="T280" i="1"/>
  <c r="T281" i="1"/>
  <c r="T282" i="1"/>
  <c r="T283" i="1"/>
  <c r="T284" i="1"/>
  <c r="T285" i="1"/>
  <c r="T286" i="1"/>
  <c r="T287" i="1"/>
  <c r="T288" i="1"/>
  <c r="T289" i="1"/>
  <c r="T290" i="1"/>
  <c r="T291" i="1"/>
  <c r="T292" i="1"/>
  <c r="T293" i="1"/>
  <c r="T294" i="1"/>
  <c r="T295" i="1"/>
  <c r="T296" i="1"/>
  <c r="T297" i="1"/>
  <c r="T298" i="1"/>
  <c r="T299" i="1"/>
  <c r="T300" i="1"/>
  <c r="T301" i="1"/>
  <c r="T302" i="1"/>
  <c r="T303" i="1"/>
  <c r="T304" i="1"/>
  <c r="T305" i="1"/>
  <c r="T306" i="1"/>
  <c r="T307" i="1"/>
  <c r="T308" i="1"/>
  <c r="T309" i="1"/>
  <c r="T310" i="1"/>
  <c r="T311" i="1"/>
  <c r="T312" i="1"/>
  <c r="T313" i="1"/>
  <c r="T314" i="1"/>
  <c r="T315" i="1"/>
  <c r="T316" i="1"/>
  <c r="T317" i="1"/>
  <c r="T318" i="1"/>
  <c r="T319" i="1"/>
  <c r="T320" i="1"/>
  <c r="T321" i="1"/>
  <c r="T322" i="1"/>
  <c r="T323" i="1"/>
  <c r="T324" i="1"/>
  <c r="T325" i="1"/>
  <c r="T326" i="1"/>
  <c r="T327" i="1"/>
  <c r="T328" i="1"/>
  <c r="T329" i="1"/>
  <c r="T330" i="1"/>
  <c r="T331" i="1"/>
  <c r="T332" i="1"/>
  <c r="T333" i="1"/>
  <c r="T334" i="1"/>
  <c r="T335" i="1"/>
  <c r="T336" i="1"/>
  <c r="T337" i="1"/>
  <c r="T338" i="1"/>
  <c r="T339" i="1"/>
  <c r="T340" i="1"/>
  <c r="T341" i="1"/>
  <c r="T342" i="1"/>
  <c r="T343" i="1"/>
  <c r="T344" i="1"/>
  <c r="T345" i="1"/>
  <c r="T346" i="1"/>
  <c r="T347" i="1"/>
  <c r="T348" i="1"/>
  <c r="T349" i="1"/>
  <c r="T350" i="1"/>
  <c r="T351" i="1"/>
  <c r="T352" i="1"/>
  <c r="T353" i="1"/>
  <c r="T354" i="1"/>
  <c r="T355" i="1"/>
  <c r="T356" i="1"/>
  <c r="T357" i="1"/>
  <c r="T358" i="1"/>
  <c r="T359" i="1"/>
  <c r="T360" i="1"/>
  <c r="T361" i="1"/>
  <c r="T362" i="1"/>
  <c r="T363" i="1"/>
  <c r="T364" i="1"/>
  <c r="T365" i="1"/>
  <c r="T366" i="1"/>
  <c r="T367" i="1"/>
  <c r="T368" i="1"/>
  <c r="T369" i="1"/>
  <c r="T370" i="1"/>
  <c r="T371" i="1"/>
  <c r="T372" i="1"/>
  <c r="T373" i="1"/>
  <c r="T374" i="1"/>
  <c r="T375" i="1"/>
  <c r="T376" i="1"/>
  <c r="T377" i="1"/>
  <c r="T378" i="1"/>
  <c r="T379" i="1"/>
  <c r="T380" i="1"/>
  <c r="T381" i="1"/>
  <c r="T382" i="1"/>
  <c r="T383" i="1"/>
  <c r="T384" i="1"/>
  <c r="T385" i="1"/>
  <c r="T386" i="1"/>
  <c r="T387" i="1"/>
  <c r="T388" i="1"/>
  <c r="T389" i="1"/>
  <c r="T390" i="1"/>
  <c r="T391" i="1"/>
  <c r="T392" i="1"/>
  <c r="T393" i="1"/>
  <c r="T394" i="1"/>
  <c r="T395" i="1"/>
  <c r="T396" i="1"/>
  <c r="T397" i="1"/>
  <c r="T398" i="1"/>
  <c r="T399" i="1"/>
  <c r="T400" i="1"/>
  <c r="T401" i="1"/>
  <c r="T402" i="1"/>
  <c r="T403" i="1"/>
  <c r="T404" i="1"/>
  <c r="T405" i="1"/>
  <c r="T406" i="1"/>
  <c r="T407" i="1"/>
  <c r="T408" i="1"/>
  <c r="T409" i="1"/>
  <c r="T410" i="1"/>
  <c r="T411" i="1"/>
  <c r="T412" i="1"/>
  <c r="T413" i="1"/>
  <c r="T414" i="1"/>
  <c r="T415" i="1"/>
  <c r="T416" i="1"/>
  <c r="T417" i="1"/>
  <c r="T418" i="1"/>
  <c r="T419" i="1"/>
  <c r="T420" i="1"/>
  <c r="T421" i="1"/>
  <c r="T422" i="1"/>
  <c r="T423" i="1"/>
  <c r="T424" i="1"/>
  <c r="T425" i="1"/>
  <c r="T426" i="1"/>
  <c r="T427" i="1"/>
  <c r="T428" i="1"/>
  <c r="T429" i="1"/>
  <c r="T430" i="1"/>
  <c r="T431" i="1"/>
  <c r="T432" i="1"/>
  <c r="T433" i="1"/>
  <c r="T434" i="1"/>
  <c r="T435" i="1"/>
  <c r="T436" i="1"/>
  <c r="T437" i="1"/>
  <c r="T438" i="1"/>
  <c r="T439" i="1"/>
  <c r="T440" i="1"/>
  <c r="T441" i="1"/>
  <c r="T442" i="1"/>
  <c r="T443" i="1"/>
  <c r="T444" i="1"/>
  <c r="T445" i="1"/>
  <c r="T446" i="1"/>
  <c r="T447" i="1"/>
  <c r="T448" i="1"/>
  <c r="T449" i="1"/>
  <c r="T450" i="1"/>
  <c r="T451" i="1"/>
  <c r="T452" i="1"/>
  <c r="T453" i="1"/>
  <c r="T454" i="1"/>
  <c r="T455" i="1"/>
  <c r="T456" i="1"/>
  <c r="T457" i="1"/>
  <c r="T458" i="1"/>
  <c r="T459" i="1"/>
  <c r="T460" i="1"/>
  <c r="T461" i="1"/>
  <c r="T462" i="1"/>
  <c r="T463" i="1"/>
  <c r="T464" i="1"/>
  <c r="T465" i="1"/>
  <c r="T466" i="1"/>
  <c r="T467" i="1"/>
  <c r="T468" i="1"/>
  <c r="T469" i="1"/>
  <c r="T470" i="1"/>
  <c r="T471" i="1"/>
  <c r="T472" i="1"/>
  <c r="T473" i="1"/>
  <c r="T474" i="1"/>
  <c r="T475" i="1"/>
  <c r="T476" i="1"/>
  <c r="T477" i="1"/>
  <c r="T478" i="1"/>
  <c r="T479" i="1"/>
  <c r="T480" i="1"/>
  <c r="T481" i="1"/>
  <c r="T482" i="1"/>
  <c r="T483" i="1"/>
  <c r="T484" i="1"/>
  <c r="T485" i="1"/>
  <c r="T486" i="1"/>
  <c r="T487" i="1"/>
  <c r="T488" i="1"/>
  <c r="T489" i="1"/>
  <c r="T490" i="1"/>
  <c r="T491" i="1"/>
  <c r="T492" i="1"/>
  <c r="T493" i="1"/>
  <c r="T494" i="1"/>
  <c r="T495" i="1"/>
  <c r="T496" i="1"/>
  <c r="T497" i="1"/>
  <c r="T498" i="1"/>
  <c r="T499" i="1"/>
  <c r="T500" i="1"/>
  <c r="T501" i="1"/>
  <c r="T502" i="1"/>
  <c r="T503" i="1"/>
  <c r="T504" i="1"/>
  <c r="T505" i="1"/>
  <c r="T506" i="1"/>
  <c r="T507" i="1"/>
  <c r="T508" i="1"/>
  <c r="T509" i="1"/>
  <c r="T510" i="1"/>
  <c r="T511" i="1"/>
  <c r="T512" i="1"/>
  <c r="T513" i="1"/>
  <c r="T514" i="1"/>
  <c r="T515" i="1"/>
  <c r="T516" i="1"/>
  <c r="T517" i="1"/>
  <c r="T518" i="1"/>
  <c r="T519" i="1"/>
  <c r="T520" i="1"/>
  <c r="T521" i="1"/>
  <c r="T522" i="1"/>
  <c r="T523" i="1"/>
  <c r="T524" i="1"/>
  <c r="T525" i="1"/>
  <c r="T526" i="1"/>
  <c r="T527" i="1"/>
  <c r="T528" i="1"/>
  <c r="T529" i="1"/>
  <c r="T530" i="1"/>
  <c r="T531" i="1"/>
  <c r="T532" i="1"/>
  <c r="T533" i="1"/>
  <c r="T534" i="1"/>
  <c r="T535" i="1"/>
  <c r="T536" i="1"/>
  <c r="T537" i="1"/>
  <c r="T538" i="1"/>
  <c r="T539" i="1"/>
  <c r="T540" i="1"/>
  <c r="T541" i="1"/>
  <c r="T542" i="1"/>
  <c r="T543" i="1"/>
  <c r="T544" i="1"/>
  <c r="T545" i="1"/>
  <c r="T546" i="1"/>
  <c r="T547" i="1"/>
  <c r="T548" i="1"/>
  <c r="T549" i="1"/>
  <c r="T550" i="1"/>
  <c r="T551" i="1"/>
  <c r="T552" i="1"/>
  <c r="T553" i="1"/>
  <c r="T554" i="1"/>
  <c r="T555" i="1"/>
  <c r="T556" i="1"/>
  <c r="T557" i="1"/>
  <c r="T558" i="1"/>
  <c r="T559" i="1"/>
  <c r="T560" i="1"/>
  <c r="T561" i="1"/>
  <c r="T562" i="1"/>
  <c r="T563" i="1"/>
  <c r="T564" i="1"/>
  <c r="T565" i="1"/>
  <c r="T566" i="1"/>
  <c r="T567" i="1"/>
  <c r="T568" i="1"/>
  <c r="T569" i="1"/>
  <c r="T570" i="1"/>
  <c r="T571" i="1"/>
  <c r="T572" i="1"/>
  <c r="T573" i="1"/>
  <c r="T574" i="1"/>
  <c r="T575" i="1"/>
  <c r="T576" i="1"/>
  <c r="T577" i="1"/>
  <c r="T578" i="1"/>
  <c r="T579" i="1"/>
  <c r="T580" i="1"/>
  <c r="T581" i="1"/>
  <c r="T582" i="1"/>
  <c r="T583" i="1"/>
  <c r="T584" i="1"/>
  <c r="T585" i="1"/>
  <c r="T586" i="1"/>
  <c r="T587" i="1"/>
  <c r="T588" i="1"/>
  <c r="T589" i="1"/>
  <c r="T590" i="1"/>
  <c r="T591" i="1"/>
  <c r="T592" i="1"/>
  <c r="T593" i="1"/>
  <c r="T594" i="1"/>
  <c r="T595" i="1"/>
  <c r="T596" i="1"/>
  <c r="T597" i="1"/>
  <c r="T598" i="1"/>
  <c r="T599" i="1"/>
  <c r="T600" i="1"/>
  <c r="T601" i="1"/>
  <c r="T602" i="1"/>
  <c r="T603" i="1"/>
  <c r="T604" i="1"/>
  <c r="T605" i="1"/>
  <c r="T606" i="1"/>
  <c r="T607" i="1"/>
  <c r="T608" i="1"/>
  <c r="T609" i="1"/>
  <c r="T610" i="1"/>
  <c r="T611" i="1"/>
  <c r="T612" i="1"/>
  <c r="T613" i="1"/>
  <c r="T614" i="1"/>
  <c r="T615" i="1"/>
  <c r="T616" i="1"/>
  <c r="T617" i="1"/>
  <c r="T618" i="1"/>
  <c r="T619" i="1"/>
  <c r="T620" i="1"/>
  <c r="T621" i="1"/>
  <c r="T622" i="1"/>
  <c r="T623" i="1"/>
  <c r="T624" i="1"/>
  <c r="T625" i="1"/>
  <c r="T626" i="1"/>
  <c r="T627" i="1"/>
  <c r="T628" i="1"/>
  <c r="T629" i="1"/>
  <c r="T630" i="1"/>
  <c r="T631" i="1"/>
  <c r="T632" i="1"/>
  <c r="T633" i="1"/>
  <c r="T634" i="1"/>
  <c r="T635" i="1"/>
  <c r="T636" i="1"/>
  <c r="T637" i="1"/>
  <c r="T638" i="1"/>
  <c r="T639" i="1"/>
  <c r="T640" i="1"/>
  <c r="T641" i="1"/>
  <c r="T642" i="1"/>
  <c r="T643" i="1"/>
  <c r="T644" i="1"/>
  <c r="T645" i="1"/>
  <c r="T646" i="1"/>
  <c r="T647" i="1"/>
  <c r="T648" i="1"/>
  <c r="T649" i="1"/>
  <c r="T650" i="1"/>
  <c r="T651" i="1"/>
  <c r="T652" i="1"/>
  <c r="T653" i="1"/>
  <c r="T654" i="1"/>
  <c r="T655" i="1"/>
  <c r="T656" i="1"/>
  <c r="T657" i="1"/>
  <c r="T658" i="1"/>
  <c r="T659" i="1"/>
  <c r="T660" i="1"/>
  <c r="T661" i="1"/>
  <c r="T662" i="1"/>
  <c r="T663" i="1"/>
  <c r="T664" i="1"/>
  <c r="T665" i="1"/>
  <c r="T666" i="1"/>
  <c r="T667" i="1"/>
  <c r="T668" i="1"/>
  <c r="T669" i="1"/>
  <c r="T670" i="1"/>
  <c r="T671" i="1"/>
  <c r="T672" i="1"/>
  <c r="T673" i="1"/>
  <c r="T674" i="1"/>
  <c r="T675" i="1"/>
  <c r="T676" i="1"/>
  <c r="T677" i="1"/>
  <c r="T678" i="1"/>
  <c r="T679" i="1"/>
  <c r="T680" i="1"/>
  <c r="T681" i="1"/>
  <c r="T682" i="1"/>
  <c r="T683" i="1"/>
  <c r="T684" i="1"/>
  <c r="T685" i="1"/>
  <c r="T686" i="1"/>
  <c r="T687" i="1"/>
  <c r="T688" i="1"/>
  <c r="T689" i="1"/>
  <c r="T690" i="1"/>
  <c r="T691" i="1"/>
  <c r="T692" i="1"/>
  <c r="T693" i="1"/>
  <c r="T694" i="1"/>
  <c r="T695" i="1"/>
  <c r="T696" i="1"/>
  <c r="T697" i="1"/>
  <c r="T698" i="1"/>
  <c r="T699" i="1"/>
  <c r="T700" i="1"/>
  <c r="T701" i="1"/>
  <c r="T702" i="1"/>
  <c r="T703" i="1"/>
  <c r="T704" i="1"/>
  <c r="T705" i="1"/>
  <c r="T706" i="1"/>
  <c r="T707" i="1"/>
  <c r="T708" i="1"/>
  <c r="T709" i="1"/>
  <c r="T710" i="1"/>
  <c r="T711" i="1"/>
  <c r="T712" i="1"/>
  <c r="T713" i="1"/>
  <c r="T714" i="1"/>
  <c r="T715" i="1"/>
  <c r="T716" i="1"/>
  <c r="T717" i="1"/>
  <c r="T718" i="1"/>
  <c r="T719" i="1"/>
  <c r="T720" i="1"/>
  <c r="T721" i="1"/>
  <c r="T722" i="1"/>
  <c r="T723" i="1"/>
  <c r="T724" i="1"/>
  <c r="T725" i="1"/>
  <c r="T726" i="1"/>
  <c r="T727" i="1"/>
  <c r="T728" i="1"/>
  <c r="T729" i="1"/>
  <c r="T730" i="1"/>
  <c r="T731" i="1"/>
  <c r="T732" i="1"/>
  <c r="T733" i="1"/>
  <c r="T734" i="1"/>
  <c r="T735" i="1"/>
  <c r="T736" i="1"/>
  <c r="T737" i="1"/>
  <c r="T738" i="1"/>
  <c r="T739" i="1"/>
  <c r="T740" i="1"/>
  <c r="T741" i="1"/>
  <c r="T742" i="1"/>
  <c r="T743" i="1"/>
  <c r="T744" i="1"/>
  <c r="T745" i="1"/>
  <c r="T746" i="1"/>
  <c r="T747" i="1"/>
  <c r="T748" i="1"/>
  <c r="T749" i="1"/>
  <c r="T750" i="1"/>
  <c r="T751" i="1"/>
  <c r="T752" i="1"/>
  <c r="T753" i="1"/>
  <c r="T754" i="1"/>
  <c r="T755" i="1"/>
  <c r="T756" i="1"/>
  <c r="T757" i="1"/>
  <c r="T758" i="1"/>
  <c r="T759" i="1"/>
  <c r="T760" i="1"/>
  <c r="T761" i="1"/>
  <c r="T762" i="1"/>
  <c r="T763" i="1"/>
  <c r="T764" i="1"/>
  <c r="T765" i="1"/>
  <c r="T766" i="1"/>
  <c r="T767" i="1"/>
  <c r="T768" i="1"/>
  <c r="T769" i="1"/>
  <c r="T770" i="1"/>
  <c r="T771" i="1"/>
  <c r="T772" i="1"/>
  <c r="T773" i="1"/>
  <c r="T774" i="1"/>
  <c r="T775" i="1"/>
  <c r="T776" i="1"/>
  <c r="T777" i="1"/>
  <c r="T778" i="1"/>
  <c r="T779" i="1"/>
  <c r="T780" i="1"/>
  <c r="T781" i="1"/>
  <c r="T782" i="1"/>
  <c r="T783" i="1"/>
  <c r="T784" i="1"/>
  <c r="T785" i="1"/>
  <c r="T786" i="1"/>
  <c r="T787" i="1"/>
  <c r="T788" i="1"/>
  <c r="T789" i="1"/>
  <c r="T790" i="1"/>
  <c r="T791" i="1"/>
  <c r="T792" i="1"/>
  <c r="T793" i="1"/>
  <c r="T794" i="1"/>
  <c r="T795" i="1"/>
  <c r="T796" i="1"/>
  <c r="T797" i="1"/>
  <c r="T798" i="1"/>
  <c r="T799" i="1"/>
  <c r="T800" i="1"/>
  <c r="T801" i="1"/>
  <c r="T802" i="1"/>
  <c r="T803" i="1"/>
  <c r="T804" i="1"/>
  <c r="T805" i="1"/>
  <c r="T806" i="1"/>
  <c r="T807" i="1"/>
  <c r="T808" i="1"/>
  <c r="T809" i="1"/>
  <c r="T810" i="1"/>
  <c r="T811" i="1"/>
  <c r="T812" i="1"/>
  <c r="T813" i="1"/>
  <c r="T814" i="1"/>
  <c r="T815" i="1"/>
  <c r="T816" i="1"/>
  <c r="T817" i="1"/>
  <c r="T818" i="1"/>
  <c r="T819" i="1"/>
  <c r="T820" i="1"/>
  <c r="T821" i="1"/>
  <c r="T822" i="1"/>
  <c r="T823" i="1"/>
  <c r="T824" i="1"/>
  <c r="T825" i="1"/>
  <c r="T826" i="1"/>
  <c r="T827" i="1"/>
  <c r="T828" i="1"/>
  <c r="T829" i="1"/>
  <c r="T830" i="1"/>
  <c r="T831" i="1"/>
  <c r="T832" i="1"/>
  <c r="T833" i="1"/>
  <c r="T834" i="1"/>
  <c r="T835" i="1"/>
  <c r="T836" i="1"/>
  <c r="T837" i="1"/>
  <c r="T838" i="1"/>
  <c r="T839" i="1"/>
  <c r="T840" i="1"/>
  <c r="T841" i="1"/>
  <c r="T842" i="1"/>
  <c r="T843" i="1"/>
  <c r="T844" i="1"/>
  <c r="T845" i="1"/>
  <c r="T846" i="1"/>
  <c r="T847" i="1"/>
  <c r="T848" i="1"/>
  <c r="T849" i="1"/>
  <c r="T850" i="1"/>
  <c r="T851" i="1"/>
  <c r="T852" i="1"/>
  <c r="T853" i="1"/>
  <c r="T854" i="1"/>
  <c r="T855" i="1"/>
  <c r="T856" i="1"/>
  <c r="T857" i="1"/>
  <c r="T858" i="1"/>
  <c r="T859" i="1"/>
  <c r="T860" i="1"/>
  <c r="T861" i="1"/>
  <c r="T862" i="1"/>
  <c r="T863" i="1"/>
  <c r="T864" i="1"/>
  <c r="T865" i="1"/>
  <c r="T866" i="1"/>
  <c r="T867" i="1"/>
  <c r="T868" i="1"/>
  <c r="T869" i="1"/>
  <c r="T870" i="1"/>
  <c r="T871" i="1"/>
  <c r="T872" i="1"/>
  <c r="T873" i="1"/>
  <c r="T874" i="1"/>
  <c r="T875" i="1"/>
  <c r="T876" i="1"/>
  <c r="T877" i="1"/>
  <c r="T878" i="1"/>
  <c r="T879" i="1"/>
  <c r="T880" i="1"/>
  <c r="T881" i="1"/>
  <c r="T882" i="1"/>
  <c r="T883" i="1"/>
  <c r="T884" i="1"/>
  <c r="T885" i="1"/>
  <c r="T886" i="1"/>
  <c r="T887" i="1"/>
  <c r="T888" i="1"/>
  <c r="T889" i="1"/>
  <c r="T890" i="1"/>
  <c r="T891" i="1"/>
  <c r="T892" i="1"/>
  <c r="T893" i="1"/>
  <c r="T894" i="1"/>
  <c r="T895" i="1"/>
  <c r="T896" i="1"/>
  <c r="T897" i="1"/>
  <c r="T898" i="1"/>
  <c r="T899" i="1"/>
  <c r="T900" i="1"/>
  <c r="T901" i="1"/>
  <c r="T902" i="1"/>
  <c r="T903" i="1"/>
  <c r="T904" i="1"/>
  <c r="T905" i="1"/>
  <c r="T906" i="1"/>
  <c r="T907" i="1"/>
  <c r="T908" i="1"/>
  <c r="T909" i="1"/>
  <c r="T910" i="1"/>
  <c r="T911" i="1"/>
  <c r="T912" i="1"/>
  <c r="T913" i="1"/>
  <c r="T914" i="1"/>
  <c r="T915" i="1"/>
  <c r="T916" i="1"/>
  <c r="T917" i="1"/>
  <c r="T918" i="1"/>
  <c r="T919" i="1"/>
  <c r="T920" i="1"/>
  <c r="T921" i="1"/>
  <c r="T922" i="1"/>
  <c r="T923" i="1"/>
  <c r="T924" i="1"/>
  <c r="T925" i="1"/>
  <c r="T926" i="1"/>
  <c r="T927" i="1"/>
  <c r="T928" i="1"/>
  <c r="T929" i="1"/>
  <c r="T930" i="1"/>
  <c r="T931" i="1"/>
  <c r="T932" i="1"/>
  <c r="T933" i="1"/>
  <c r="T934" i="1"/>
  <c r="T935" i="1"/>
  <c r="T936" i="1"/>
  <c r="T937" i="1"/>
  <c r="T938" i="1"/>
  <c r="T939" i="1"/>
  <c r="T940" i="1"/>
  <c r="T941" i="1"/>
  <c r="T942" i="1"/>
  <c r="T943" i="1"/>
  <c r="T944" i="1"/>
  <c r="T945" i="1"/>
  <c r="T946" i="1"/>
  <c r="T947" i="1"/>
  <c r="T948" i="1"/>
  <c r="T949" i="1"/>
  <c r="T950" i="1"/>
  <c r="T951" i="1"/>
  <c r="T952" i="1"/>
  <c r="T953" i="1"/>
  <c r="T954" i="1"/>
  <c r="T955" i="1"/>
  <c r="T956" i="1"/>
  <c r="T957" i="1"/>
  <c r="T958" i="1"/>
  <c r="T959" i="1"/>
  <c r="T960" i="1"/>
  <c r="T961" i="1"/>
  <c r="T962" i="1"/>
  <c r="T963" i="1"/>
  <c r="T964" i="1"/>
  <c r="T965" i="1"/>
  <c r="T966" i="1"/>
  <c r="T967" i="1"/>
  <c r="T968" i="1"/>
  <c r="T969" i="1"/>
  <c r="T970" i="1"/>
  <c r="T971" i="1"/>
  <c r="T972" i="1"/>
  <c r="T973" i="1"/>
  <c r="T974" i="1"/>
  <c r="T975" i="1"/>
  <c r="T976" i="1"/>
  <c r="T977" i="1"/>
  <c r="T978" i="1"/>
  <c r="T979" i="1"/>
  <c r="T980" i="1"/>
  <c r="T981" i="1"/>
  <c r="T982" i="1"/>
  <c r="T983" i="1"/>
  <c r="T984" i="1"/>
  <c r="T985" i="1"/>
  <c r="T986" i="1"/>
  <c r="T987" i="1"/>
  <c r="T988" i="1"/>
  <c r="T989" i="1"/>
  <c r="T990" i="1"/>
  <c r="T991" i="1"/>
  <c r="T992" i="1"/>
  <c r="T993" i="1"/>
  <c r="T994" i="1"/>
  <c r="T995" i="1"/>
  <c r="T996" i="1"/>
  <c r="T997" i="1"/>
  <c r="T998" i="1"/>
  <c r="T999" i="1"/>
  <c r="T1000" i="1"/>
  <c r="T1001" i="1"/>
  <c r="T1002" i="1"/>
  <c r="T1003" i="1"/>
  <c r="T1004" i="1"/>
  <c r="T1005" i="1"/>
  <c r="T1006" i="1"/>
  <c r="T1007" i="1"/>
  <c r="T1008" i="1"/>
  <c r="T1009" i="1"/>
  <c r="T1010" i="1"/>
  <c r="T1011" i="1"/>
  <c r="T1012" i="1"/>
  <c r="T1013" i="1"/>
  <c r="T1014" i="1"/>
  <c r="T1015" i="1"/>
  <c r="T1016" i="1"/>
  <c r="T1017" i="1"/>
  <c r="T1018" i="1"/>
  <c r="T1019" i="1"/>
  <c r="T1020" i="1"/>
  <c r="T1021" i="1"/>
  <c r="T1022" i="1"/>
  <c r="T1023" i="1"/>
  <c r="T1024" i="1"/>
  <c r="T1025" i="1"/>
  <c r="T1026" i="1"/>
  <c r="T1027" i="1"/>
  <c r="T1028" i="1"/>
  <c r="T1029" i="1"/>
  <c r="T1030" i="1"/>
  <c r="T1031" i="1"/>
  <c r="T1032" i="1"/>
  <c r="T1033" i="1"/>
  <c r="T1034" i="1"/>
  <c r="T1035" i="1"/>
  <c r="T1036" i="1"/>
  <c r="T1037" i="1"/>
  <c r="T1038" i="1"/>
  <c r="T1039" i="1"/>
  <c r="T1040" i="1"/>
  <c r="T1041" i="1"/>
  <c r="T1042" i="1"/>
  <c r="T1043" i="1"/>
  <c r="T1044" i="1"/>
  <c r="T1045" i="1"/>
  <c r="T1046" i="1"/>
  <c r="T1047" i="1"/>
  <c r="T1048" i="1"/>
  <c r="T1049" i="1"/>
  <c r="T1050" i="1"/>
  <c r="T1051" i="1"/>
  <c r="T1052" i="1"/>
  <c r="T1053" i="1"/>
  <c r="T1054" i="1"/>
  <c r="T1055" i="1"/>
  <c r="T1056" i="1"/>
  <c r="T1057" i="1"/>
  <c r="T1058" i="1"/>
  <c r="T1059" i="1"/>
  <c r="T1060" i="1"/>
  <c r="T1061" i="1"/>
  <c r="T1062" i="1"/>
  <c r="T1063" i="1"/>
  <c r="T1064" i="1"/>
  <c r="T1065" i="1"/>
  <c r="T1066" i="1"/>
  <c r="T1067" i="1"/>
  <c r="T1068" i="1"/>
  <c r="T1069" i="1"/>
  <c r="T1070" i="1"/>
  <c r="T1071" i="1"/>
  <c r="T1072" i="1"/>
  <c r="T1073" i="1"/>
  <c r="T1074" i="1"/>
  <c r="T1075" i="1"/>
  <c r="T1076" i="1"/>
  <c r="T1077" i="1"/>
  <c r="T1078" i="1"/>
  <c r="T1079" i="1"/>
  <c r="T1080" i="1"/>
  <c r="T1081" i="1"/>
  <c r="T1082" i="1"/>
  <c r="T1083" i="1"/>
  <c r="T1084" i="1"/>
  <c r="T1085" i="1"/>
  <c r="T1086" i="1"/>
  <c r="T1087" i="1"/>
  <c r="T1088" i="1"/>
  <c r="T1089" i="1"/>
  <c r="T1090" i="1"/>
  <c r="T1091" i="1"/>
  <c r="T1092" i="1"/>
  <c r="T1093" i="1"/>
  <c r="T1094" i="1"/>
  <c r="T1095" i="1"/>
  <c r="T1096" i="1"/>
  <c r="T1097" i="1"/>
  <c r="T1098" i="1"/>
  <c r="T1099" i="1"/>
  <c r="T1100" i="1"/>
  <c r="T1101" i="1"/>
  <c r="T1102" i="1"/>
  <c r="T1103" i="1"/>
  <c r="T1104" i="1"/>
  <c r="T1105" i="1"/>
  <c r="T1106" i="1"/>
  <c r="T1107" i="1"/>
  <c r="T1108" i="1"/>
  <c r="T1109" i="1"/>
  <c r="T1110" i="1"/>
  <c r="T1111" i="1"/>
  <c r="T1112" i="1"/>
  <c r="T1113" i="1"/>
  <c r="T1114" i="1"/>
  <c r="T1115" i="1"/>
  <c r="T1116" i="1"/>
  <c r="T1117" i="1"/>
  <c r="T1118" i="1"/>
  <c r="T1119" i="1"/>
  <c r="T1120" i="1"/>
  <c r="T1121" i="1"/>
  <c r="T1122" i="1"/>
  <c r="T1123" i="1"/>
  <c r="T1124" i="1"/>
  <c r="T1125" i="1"/>
  <c r="T1126" i="1"/>
  <c r="T1127" i="1"/>
  <c r="T1128" i="1"/>
  <c r="T1129" i="1"/>
  <c r="T1130" i="1"/>
  <c r="T1131" i="1"/>
  <c r="T1132" i="1"/>
  <c r="T1133" i="1"/>
  <c r="T1134" i="1"/>
  <c r="T1135" i="1"/>
  <c r="T1136" i="1"/>
  <c r="T1137" i="1"/>
  <c r="T1138" i="1"/>
  <c r="T1139" i="1"/>
  <c r="T1140" i="1"/>
  <c r="T1141" i="1"/>
  <c r="T1142" i="1"/>
  <c r="T1143" i="1"/>
  <c r="T1144" i="1"/>
  <c r="T1145" i="1"/>
  <c r="T1146" i="1"/>
  <c r="T1147" i="1"/>
  <c r="T1148" i="1"/>
  <c r="T1149" i="1"/>
  <c r="T1150" i="1"/>
  <c r="T1151" i="1"/>
  <c r="T1152" i="1"/>
  <c r="T1153" i="1"/>
  <c r="T1154" i="1"/>
  <c r="T1155" i="1"/>
  <c r="T1156" i="1"/>
  <c r="T1157" i="1"/>
  <c r="T1158" i="1"/>
  <c r="T1159" i="1"/>
  <c r="T1160" i="1"/>
  <c r="T1161" i="1"/>
  <c r="T1162" i="1"/>
  <c r="T1163" i="1"/>
  <c r="T1164" i="1"/>
  <c r="T1165" i="1"/>
  <c r="T1166" i="1"/>
  <c r="T1167" i="1"/>
  <c r="T1168" i="1"/>
  <c r="T1169" i="1"/>
  <c r="T1170" i="1"/>
  <c r="T1171" i="1"/>
  <c r="T1172" i="1"/>
  <c r="T1173" i="1"/>
  <c r="T1174" i="1"/>
  <c r="T1175" i="1"/>
  <c r="T1176" i="1"/>
  <c r="T1177" i="1"/>
  <c r="T1178" i="1"/>
  <c r="T1179" i="1"/>
  <c r="T1180" i="1"/>
  <c r="T1181" i="1"/>
  <c r="T1182" i="1"/>
  <c r="T1183" i="1"/>
  <c r="T1184" i="1"/>
  <c r="T1185" i="1"/>
  <c r="T1186" i="1"/>
  <c r="T1187" i="1"/>
  <c r="T1188" i="1"/>
  <c r="T1189" i="1"/>
  <c r="T1190" i="1"/>
  <c r="T1191" i="1"/>
  <c r="T1192" i="1"/>
  <c r="T1193" i="1"/>
  <c r="T1194" i="1"/>
  <c r="T1195" i="1"/>
  <c r="T1196" i="1"/>
  <c r="T1197" i="1"/>
  <c r="T1198" i="1"/>
  <c r="T1199" i="1"/>
  <c r="T1200" i="1"/>
  <c r="T1201" i="1"/>
  <c r="T1202" i="1"/>
  <c r="T1203" i="1"/>
  <c r="T1204" i="1"/>
  <c r="T1205" i="1"/>
  <c r="T1206" i="1"/>
  <c r="T1207" i="1"/>
  <c r="T1208" i="1"/>
  <c r="T1209" i="1"/>
  <c r="T1210" i="1"/>
  <c r="T1211" i="1"/>
  <c r="T1212" i="1"/>
  <c r="T1213" i="1"/>
  <c r="T1214" i="1"/>
  <c r="T1215" i="1"/>
  <c r="T1216" i="1"/>
  <c r="T1217" i="1"/>
  <c r="T1218" i="1"/>
  <c r="T1219" i="1"/>
  <c r="T1220" i="1"/>
  <c r="T1221" i="1"/>
  <c r="T1222" i="1"/>
  <c r="T1223" i="1"/>
  <c r="T1224" i="1"/>
  <c r="T1225" i="1"/>
  <c r="T1226" i="1"/>
  <c r="T1227" i="1"/>
  <c r="T1228" i="1"/>
  <c r="T1229" i="1"/>
  <c r="T1230" i="1"/>
  <c r="T1231" i="1"/>
  <c r="T1232" i="1"/>
  <c r="T1233" i="1"/>
  <c r="T1234" i="1"/>
  <c r="T1235" i="1"/>
  <c r="T1236" i="1"/>
  <c r="T1237" i="1"/>
  <c r="T1238" i="1"/>
  <c r="T1239" i="1"/>
  <c r="T1240" i="1"/>
  <c r="T1241" i="1"/>
  <c r="T1242" i="1"/>
  <c r="T1243" i="1"/>
  <c r="T1244" i="1"/>
  <c r="T1245" i="1"/>
  <c r="T1246" i="1"/>
  <c r="T1247" i="1"/>
  <c r="T1248" i="1"/>
  <c r="T1249" i="1"/>
  <c r="T1250" i="1"/>
  <c r="T1251" i="1"/>
  <c r="T1252" i="1"/>
  <c r="T1253" i="1"/>
  <c r="T1254" i="1"/>
  <c r="T1255" i="1"/>
  <c r="T1256" i="1"/>
  <c r="T1257" i="1"/>
  <c r="T1258" i="1"/>
  <c r="T1259" i="1"/>
  <c r="T1260" i="1"/>
  <c r="T1261" i="1"/>
  <c r="T1262" i="1"/>
  <c r="T1263" i="1"/>
  <c r="T1264" i="1"/>
  <c r="T1265" i="1"/>
  <c r="T1266" i="1"/>
  <c r="T1267" i="1"/>
  <c r="T1268" i="1"/>
  <c r="T1269" i="1"/>
  <c r="T1270" i="1"/>
  <c r="T1271" i="1"/>
  <c r="T1272" i="1"/>
  <c r="T1273" i="1"/>
  <c r="T1274" i="1"/>
  <c r="T1275" i="1"/>
  <c r="T1276" i="1"/>
  <c r="T1277" i="1"/>
  <c r="T1278" i="1"/>
  <c r="T1279" i="1"/>
  <c r="T1280" i="1"/>
  <c r="T1281" i="1"/>
  <c r="T1282" i="1"/>
  <c r="T1283" i="1"/>
  <c r="T1284" i="1"/>
  <c r="T1285" i="1"/>
  <c r="T1286" i="1"/>
  <c r="T1287" i="1"/>
  <c r="T1288" i="1"/>
  <c r="T1289" i="1"/>
  <c r="T1290" i="1"/>
  <c r="T1291" i="1"/>
  <c r="T1292" i="1"/>
  <c r="T1293" i="1"/>
  <c r="T1294" i="1"/>
  <c r="T1295" i="1"/>
  <c r="T1296" i="1"/>
  <c r="T1297" i="1"/>
  <c r="T1298" i="1"/>
  <c r="T1299" i="1"/>
  <c r="T1300" i="1"/>
  <c r="T1301" i="1"/>
  <c r="T1302" i="1"/>
  <c r="T1303" i="1"/>
  <c r="T1304" i="1"/>
  <c r="T1305" i="1"/>
  <c r="T1306" i="1"/>
  <c r="T1307" i="1"/>
  <c r="T1308" i="1"/>
  <c r="T1309" i="1"/>
  <c r="T1310" i="1"/>
  <c r="T1311" i="1"/>
  <c r="T1312" i="1"/>
  <c r="T1313" i="1"/>
  <c r="T1314" i="1"/>
  <c r="T1315" i="1"/>
  <c r="T1316" i="1"/>
  <c r="T1317" i="1"/>
  <c r="T1318" i="1"/>
  <c r="T1319" i="1"/>
  <c r="T1320" i="1"/>
  <c r="T1321" i="1"/>
  <c r="T1322" i="1"/>
  <c r="T1323" i="1"/>
  <c r="T1324" i="1"/>
  <c r="T1325" i="1"/>
  <c r="T1326" i="1"/>
  <c r="T1327" i="1"/>
  <c r="T1328" i="1"/>
  <c r="T1329" i="1"/>
  <c r="T1330" i="1"/>
  <c r="T1331" i="1"/>
  <c r="T1332" i="1"/>
  <c r="T1333" i="1"/>
  <c r="T1334" i="1"/>
  <c r="T1335" i="1"/>
  <c r="T1336" i="1"/>
  <c r="T1337" i="1"/>
  <c r="T1338" i="1"/>
  <c r="T1339" i="1"/>
  <c r="T1340" i="1"/>
  <c r="T1341" i="1"/>
  <c r="T1342" i="1"/>
  <c r="T1343" i="1"/>
  <c r="T1344" i="1"/>
  <c r="T1345" i="1"/>
  <c r="T1346" i="1"/>
  <c r="T1347" i="1"/>
  <c r="T1348" i="1"/>
  <c r="T1349" i="1"/>
  <c r="T1350" i="1"/>
  <c r="T1351" i="1"/>
  <c r="T1352" i="1"/>
  <c r="T1353" i="1"/>
  <c r="T1354" i="1"/>
  <c r="T1355" i="1"/>
  <c r="T1356" i="1"/>
  <c r="T1357" i="1"/>
  <c r="T1358" i="1"/>
  <c r="T1359" i="1"/>
  <c r="T1360" i="1"/>
  <c r="T1361" i="1"/>
  <c r="T1362" i="1"/>
  <c r="T1363" i="1"/>
  <c r="T1364" i="1"/>
  <c r="T1365" i="1"/>
  <c r="T1366" i="1"/>
  <c r="T1367" i="1"/>
  <c r="T1368" i="1"/>
  <c r="T1369" i="1"/>
  <c r="T1370" i="1"/>
  <c r="T1371" i="1"/>
  <c r="T1372" i="1"/>
  <c r="T1373" i="1"/>
  <c r="T1374" i="1"/>
  <c r="T1375" i="1"/>
  <c r="T1376" i="1"/>
  <c r="T1377" i="1"/>
  <c r="T1378" i="1"/>
  <c r="T1379" i="1"/>
  <c r="T1380" i="1"/>
  <c r="T1381" i="1"/>
  <c r="T1382" i="1"/>
  <c r="T1383" i="1"/>
  <c r="T1384" i="1"/>
  <c r="T1385" i="1"/>
  <c r="T1386" i="1"/>
  <c r="T1387" i="1"/>
  <c r="T1388" i="1"/>
  <c r="T1389" i="1"/>
  <c r="T1390" i="1"/>
  <c r="T1391" i="1"/>
  <c r="T1392" i="1"/>
  <c r="T1393" i="1"/>
  <c r="T1394" i="1"/>
  <c r="T1395" i="1"/>
  <c r="T1396" i="1"/>
  <c r="T1397" i="1"/>
  <c r="T1398" i="1"/>
  <c r="T1399" i="1"/>
  <c r="T1400" i="1"/>
  <c r="T1401" i="1"/>
  <c r="T1402" i="1"/>
  <c r="T1403" i="1"/>
  <c r="T1404" i="1"/>
  <c r="T1405" i="1"/>
  <c r="T1406" i="1"/>
  <c r="T1407" i="1"/>
  <c r="T1408" i="1"/>
  <c r="T1409" i="1"/>
  <c r="T1410" i="1"/>
  <c r="T1411" i="1"/>
  <c r="T1412" i="1"/>
  <c r="T1413" i="1"/>
  <c r="T1414" i="1"/>
  <c r="T1415" i="1"/>
  <c r="T1416" i="1"/>
  <c r="T1417" i="1"/>
  <c r="T1418" i="1"/>
  <c r="T1419" i="1"/>
  <c r="T1420" i="1"/>
  <c r="T1421" i="1"/>
  <c r="T1422" i="1"/>
  <c r="T1423" i="1"/>
  <c r="T1424" i="1"/>
  <c r="T1425" i="1"/>
  <c r="T1426" i="1"/>
  <c r="T1427" i="1"/>
  <c r="T1428" i="1"/>
  <c r="T1429" i="1"/>
  <c r="T1430" i="1"/>
  <c r="T1431" i="1"/>
  <c r="T1432" i="1"/>
  <c r="T1433" i="1"/>
  <c r="T1434" i="1"/>
  <c r="T1435" i="1"/>
  <c r="T1436" i="1"/>
  <c r="T1437" i="1"/>
  <c r="T1438" i="1"/>
  <c r="T1439" i="1"/>
  <c r="T1440" i="1"/>
  <c r="T1441" i="1"/>
  <c r="T1442" i="1"/>
  <c r="T1443" i="1"/>
  <c r="T1444" i="1"/>
  <c r="T1445" i="1"/>
  <c r="T1446" i="1"/>
  <c r="T1447" i="1"/>
  <c r="T1448" i="1"/>
  <c r="T1449" i="1"/>
  <c r="T1450" i="1"/>
  <c r="T1451" i="1"/>
  <c r="T1452" i="1"/>
  <c r="T1453" i="1"/>
  <c r="T1454" i="1"/>
  <c r="T1455" i="1"/>
  <c r="T1456" i="1"/>
  <c r="T1457" i="1"/>
  <c r="T1458" i="1"/>
  <c r="T1459" i="1"/>
  <c r="T1460" i="1"/>
  <c r="T1461" i="1"/>
  <c r="T1462" i="1"/>
  <c r="T1463" i="1"/>
  <c r="T1464" i="1"/>
  <c r="T1465" i="1"/>
  <c r="T1466" i="1"/>
  <c r="T1467" i="1"/>
  <c r="T1468" i="1"/>
  <c r="T1469" i="1"/>
  <c r="T1470" i="1"/>
  <c r="T1471" i="1"/>
  <c r="T1472" i="1"/>
  <c r="T1473" i="1"/>
  <c r="T1474" i="1"/>
  <c r="T1475" i="1"/>
  <c r="T1476" i="1"/>
  <c r="T1477" i="1"/>
  <c r="T1478" i="1"/>
  <c r="T1479" i="1"/>
  <c r="T1480" i="1"/>
  <c r="T1481" i="1"/>
  <c r="T1482" i="1"/>
  <c r="T1483" i="1"/>
  <c r="T1484" i="1"/>
  <c r="T1485" i="1"/>
  <c r="T1486" i="1"/>
  <c r="T1487" i="1"/>
  <c r="T1488" i="1"/>
  <c r="T1489" i="1"/>
  <c r="T1490" i="1"/>
  <c r="T1491" i="1"/>
  <c r="T1492" i="1"/>
  <c r="T1493" i="1"/>
  <c r="T1494" i="1"/>
  <c r="T1495" i="1"/>
  <c r="T1496" i="1"/>
  <c r="T1497" i="1"/>
  <c r="T1498" i="1"/>
  <c r="T1499" i="1"/>
  <c r="T1500" i="1"/>
  <c r="T1501" i="1"/>
  <c r="T1502" i="1"/>
  <c r="T1503" i="1"/>
  <c r="T1504" i="1"/>
  <c r="T1505" i="1"/>
  <c r="T1506" i="1"/>
  <c r="T1507" i="1"/>
  <c r="T1508" i="1"/>
  <c r="T1509" i="1"/>
  <c r="T1510" i="1"/>
  <c r="T1511" i="1"/>
  <c r="T1512" i="1"/>
  <c r="T1513" i="1"/>
  <c r="T1514" i="1"/>
  <c r="T1515" i="1"/>
  <c r="T1516" i="1"/>
  <c r="T1517" i="1"/>
  <c r="T1518" i="1"/>
  <c r="T1519" i="1"/>
  <c r="T1520" i="1"/>
  <c r="T1521" i="1"/>
  <c r="T1522" i="1"/>
  <c r="T1523" i="1"/>
  <c r="T1524" i="1"/>
  <c r="T1525" i="1"/>
  <c r="T1526" i="1"/>
  <c r="T1527" i="1"/>
  <c r="T1528" i="1"/>
  <c r="T1529" i="1"/>
  <c r="T1530" i="1"/>
  <c r="T1531" i="1"/>
  <c r="T1532" i="1"/>
  <c r="T1533" i="1"/>
  <c r="T1534" i="1"/>
  <c r="T1535" i="1"/>
  <c r="T1536" i="1"/>
  <c r="T1537" i="1"/>
  <c r="T1538" i="1"/>
  <c r="T1539" i="1"/>
  <c r="T1540" i="1"/>
  <c r="T1541" i="1"/>
  <c r="T1542" i="1"/>
  <c r="T1543" i="1"/>
  <c r="T1544" i="1"/>
  <c r="T1545" i="1"/>
  <c r="T1546" i="1"/>
  <c r="T1547" i="1"/>
  <c r="T1548" i="1"/>
  <c r="T1549" i="1"/>
  <c r="T1550" i="1"/>
  <c r="T1551" i="1"/>
  <c r="T1552" i="1"/>
  <c r="T1553" i="1"/>
  <c r="T1554" i="1"/>
  <c r="T1555" i="1"/>
  <c r="T1556" i="1"/>
  <c r="T1557" i="1"/>
  <c r="T1558" i="1"/>
  <c r="T1559" i="1"/>
  <c r="T1560" i="1"/>
  <c r="T1561" i="1"/>
  <c r="T1562" i="1"/>
  <c r="T1563" i="1"/>
  <c r="T1564" i="1"/>
  <c r="T1565" i="1"/>
  <c r="T1566" i="1"/>
  <c r="T1567" i="1"/>
  <c r="T1568" i="1"/>
  <c r="T1569" i="1"/>
  <c r="T1570" i="1"/>
  <c r="T1571" i="1"/>
  <c r="T1572" i="1"/>
  <c r="T1573" i="1"/>
  <c r="T1574" i="1"/>
  <c r="T1575" i="1"/>
  <c r="T1576" i="1"/>
  <c r="T1577" i="1"/>
  <c r="T1578" i="1"/>
  <c r="T1579" i="1"/>
  <c r="T1580" i="1"/>
  <c r="T1581" i="1"/>
  <c r="T1582" i="1"/>
  <c r="T1583" i="1"/>
  <c r="T1584" i="1"/>
  <c r="T1585" i="1"/>
  <c r="T1586" i="1"/>
  <c r="T1587" i="1"/>
  <c r="T1588" i="1"/>
  <c r="T1589" i="1"/>
  <c r="T1590" i="1"/>
  <c r="T1591" i="1"/>
  <c r="T1592" i="1"/>
  <c r="T1593" i="1"/>
  <c r="T1594" i="1"/>
  <c r="T1595" i="1"/>
  <c r="T1596" i="1"/>
  <c r="T1597" i="1"/>
  <c r="T1598" i="1"/>
  <c r="T1599" i="1"/>
  <c r="T1600" i="1"/>
  <c r="T1601" i="1"/>
  <c r="T1602" i="1"/>
  <c r="T1603" i="1"/>
  <c r="T1604" i="1"/>
  <c r="T1605" i="1"/>
  <c r="T1606" i="1"/>
  <c r="T1607" i="1"/>
  <c r="T1608" i="1"/>
  <c r="T1609" i="1"/>
  <c r="T1610" i="1"/>
  <c r="T1611" i="1"/>
  <c r="T1612" i="1"/>
  <c r="T1613" i="1"/>
  <c r="T1614" i="1"/>
  <c r="T1615" i="1"/>
  <c r="T1616" i="1"/>
  <c r="T1617" i="1"/>
  <c r="T1618" i="1"/>
  <c r="T1619" i="1"/>
  <c r="T1620" i="1"/>
  <c r="T1621" i="1"/>
  <c r="T1622" i="1"/>
  <c r="T1623" i="1"/>
  <c r="T1624" i="1"/>
  <c r="T1625" i="1"/>
  <c r="T1626" i="1"/>
  <c r="T1627" i="1"/>
  <c r="T1628" i="1"/>
  <c r="T1629" i="1"/>
  <c r="T1630" i="1"/>
  <c r="T1631" i="1"/>
  <c r="T1632" i="1"/>
  <c r="T1633" i="1"/>
  <c r="T1634" i="1"/>
  <c r="T1635" i="1"/>
  <c r="T1636" i="1"/>
  <c r="T1637" i="1"/>
  <c r="T1638" i="1"/>
  <c r="T1639" i="1"/>
  <c r="T1640" i="1"/>
  <c r="T1641" i="1"/>
  <c r="T1642" i="1"/>
  <c r="T1643" i="1"/>
  <c r="T1644" i="1"/>
  <c r="T1645" i="1"/>
  <c r="T1646" i="1"/>
  <c r="T1647" i="1"/>
  <c r="T1648" i="1"/>
  <c r="T1649" i="1"/>
  <c r="T1650" i="1"/>
  <c r="T1651" i="1"/>
  <c r="T1652" i="1"/>
  <c r="T1653" i="1"/>
  <c r="T1654" i="1"/>
  <c r="T1655" i="1"/>
  <c r="T1656" i="1"/>
  <c r="T1657" i="1"/>
  <c r="T1658" i="1"/>
  <c r="T1659" i="1"/>
  <c r="T1660" i="1"/>
  <c r="T1661" i="1"/>
  <c r="T1662" i="1"/>
  <c r="T1663" i="1"/>
  <c r="T1664" i="1"/>
  <c r="T1665" i="1"/>
  <c r="T1666" i="1"/>
  <c r="T1667" i="1"/>
  <c r="T1668" i="1"/>
  <c r="T1669" i="1"/>
  <c r="T1670" i="1"/>
  <c r="T1671" i="1"/>
  <c r="T1672" i="1"/>
  <c r="T1673" i="1"/>
  <c r="T1674" i="1"/>
  <c r="T1675" i="1"/>
  <c r="T1676" i="1"/>
  <c r="T1677" i="1"/>
  <c r="T1678" i="1"/>
  <c r="T1679" i="1"/>
  <c r="T1680" i="1"/>
  <c r="T1681" i="1"/>
  <c r="T1682" i="1"/>
  <c r="T1683" i="1"/>
  <c r="T1684" i="1"/>
  <c r="T1685" i="1"/>
  <c r="T1686" i="1"/>
  <c r="T1687" i="1"/>
  <c r="T1688" i="1"/>
  <c r="T1689" i="1"/>
  <c r="T1690" i="1"/>
  <c r="T1691" i="1"/>
  <c r="T1692" i="1"/>
  <c r="T1693" i="1"/>
  <c r="T1694" i="1"/>
  <c r="T1695" i="1"/>
  <c r="T1696" i="1"/>
  <c r="T1697" i="1"/>
  <c r="T1698" i="1"/>
  <c r="T1699" i="1"/>
  <c r="T1700" i="1"/>
  <c r="T1701" i="1"/>
  <c r="T1702" i="1"/>
  <c r="T1703" i="1"/>
  <c r="T1704" i="1"/>
  <c r="T1705" i="1"/>
  <c r="T1706" i="1"/>
  <c r="T1707" i="1"/>
  <c r="T1708" i="1"/>
  <c r="T1709" i="1"/>
  <c r="T1710" i="1"/>
  <c r="T1711" i="1"/>
  <c r="T1712" i="1"/>
  <c r="T1713" i="1"/>
  <c r="T1714" i="1"/>
  <c r="T1715" i="1"/>
  <c r="T1716" i="1"/>
  <c r="T1717" i="1"/>
  <c r="T1718" i="1"/>
  <c r="T1719" i="1"/>
  <c r="T1720" i="1"/>
  <c r="T1721" i="1"/>
  <c r="T1722" i="1"/>
  <c r="T1723" i="1"/>
  <c r="T1724" i="1"/>
  <c r="T1725" i="1"/>
  <c r="T1726" i="1"/>
  <c r="T1727" i="1"/>
  <c r="T1728" i="1"/>
  <c r="T1729" i="1"/>
  <c r="T1730" i="1"/>
  <c r="T1731" i="1"/>
  <c r="T1732" i="1"/>
  <c r="T1733" i="1"/>
  <c r="T1734" i="1"/>
  <c r="T1735" i="1"/>
  <c r="T1736" i="1"/>
  <c r="T1737" i="1"/>
  <c r="T1738" i="1"/>
  <c r="T1739" i="1"/>
  <c r="T1740" i="1"/>
  <c r="T1741" i="1"/>
  <c r="T1742" i="1"/>
  <c r="T1743" i="1"/>
  <c r="T1744" i="1"/>
  <c r="T1745" i="1"/>
  <c r="T1746" i="1"/>
  <c r="T1747" i="1"/>
  <c r="T1748" i="1"/>
  <c r="T1749" i="1"/>
  <c r="T1750" i="1"/>
  <c r="T1751" i="1"/>
  <c r="T1752" i="1"/>
  <c r="T1753" i="1"/>
  <c r="T1754" i="1"/>
  <c r="T1755" i="1"/>
  <c r="T1756" i="1"/>
  <c r="T1757" i="1"/>
  <c r="T1758" i="1"/>
  <c r="T1759" i="1"/>
  <c r="T1760" i="1"/>
  <c r="T1761" i="1"/>
  <c r="T1762" i="1"/>
  <c r="T1763" i="1"/>
  <c r="T1764" i="1"/>
  <c r="T1765" i="1"/>
  <c r="T1766" i="1"/>
  <c r="T1767" i="1"/>
  <c r="T1768" i="1"/>
  <c r="T1769" i="1"/>
  <c r="T1770" i="1"/>
  <c r="T1771" i="1"/>
  <c r="T1772" i="1"/>
  <c r="T1773" i="1"/>
  <c r="T1774" i="1"/>
  <c r="T1775" i="1"/>
  <c r="T1776" i="1"/>
  <c r="T1777" i="1"/>
  <c r="T1778" i="1"/>
  <c r="T1779" i="1"/>
  <c r="T1780" i="1"/>
  <c r="T1781" i="1"/>
  <c r="T1782" i="1"/>
  <c r="T1783" i="1"/>
  <c r="T1784" i="1"/>
  <c r="T1785" i="1"/>
  <c r="T1786" i="1"/>
  <c r="T1787" i="1"/>
  <c r="T1788" i="1"/>
  <c r="T1789" i="1"/>
  <c r="T1790" i="1"/>
  <c r="T1791" i="1"/>
  <c r="T1792" i="1"/>
  <c r="T1793" i="1"/>
  <c r="T1794" i="1"/>
  <c r="T1795" i="1"/>
  <c r="T1796" i="1"/>
  <c r="T1797" i="1"/>
  <c r="T1798" i="1"/>
  <c r="T1799" i="1"/>
  <c r="T1800" i="1"/>
  <c r="T1801" i="1"/>
  <c r="T1802" i="1"/>
  <c r="T1803" i="1"/>
  <c r="T1804" i="1"/>
  <c r="T1805" i="1"/>
  <c r="T1806" i="1"/>
  <c r="T1807" i="1"/>
  <c r="T1808" i="1"/>
  <c r="T1809" i="1"/>
  <c r="T1810" i="1"/>
  <c r="T1811" i="1"/>
  <c r="T1812" i="1"/>
  <c r="T1813" i="1"/>
  <c r="T1814" i="1"/>
  <c r="T1815" i="1"/>
  <c r="T1816" i="1"/>
  <c r="T1817" i="1"/>
  <c r="T1818" i="1"/>
  <c r="T1819" i="1"/>
  <c r="T1820" i="1"/>
  <c r="T1821" i="1"/>
  <c r="T1822" i="1"/>
  <c r="T1823" i="1"/>
  <c r="T1824" i="1"/>
  <c r="T1825" i="1"/>
  <c r="T1826" i="1"/>
  <c r="T1827" i="1"/>
  <c r="T1828" i="1"/>
  <c r="T1829" i="1"/>
  <c r="T1830" i="1"/>
  <c r="T1831" i="1"/>
  <c r="T1832" i="1"/>
  <c r="T1833" i="1"/>
  <c r="T1834" i="1"/>
  <c r="T1835" i="1"/>
  <c r="T1836" i="1"/>
  <c r="T1837" i="1"/>
  <c r="T1838" i="1"/>
  <c r="T1839" i="1"/>
  <c r="T1840" i="1"/>
  <c r="T1841" i="1"/>
  <c r="T1842" i="1"/>
  <c r="T1843" i="1"/>
  <c r="T1844" i="1"/>
  <c r="T1845" i="1"/>
  <c r="T1846" i="1"/>
  <c r="T1847" i="1"/>
  <c r="T1848" i="1"/>
  <c r="T1849" i="1"/>
  <c r="T1850" i="1"/>
  <c r="T1851" i="1"/>
  <c r="T1852" i="1"/>
  <c r="T1853" i="1"/>
  <c r="T1854" i="1"/>
  <c r="T1855" i="1"/>
  <c r="T1856" i="1"/>
  <c r="T1857" i="1"/>
  <c r="T1858" i="1"/>
  <c r="T1859" i="1"/>
  <c r="T1860" i="1"/>
  <c r="T1861" i="1"/>
  <c r="T1862" i="1"/>
  <c r="T1863" i="1"/>
  <c r="T1864" i="1"/>
  <c r="T1865" i="1"/>
  <c r="T1866" i="1"/>
  <c r="T1867" i="1"/>
  <c r="T1868" i="1"/>
  <c r="T1869" i="1"/>
  <c r="T1870" i="1"/>
  <c r="T1871" i="1"/>
  <c r="T1872" i="1"/>
  <c r="T1873" i="1"/>
  <c r="T1874" i="1"/>
  <c r="T1875" i="1"/>
  <c r="T1876" i="1"/>
  <c r="T1877" i="1"/>
  <c r="T1878" i="1"/>
  <c r="T1879" i="1"/>
  <c r="T1880" i="1"/>
  <c r="T1881" i="1"/>
  <c r="T1882" i="1"/>
  <c r="T1883" i="1"/>
  <c r="T1884" i="1"/>
  <c r="T1885" i="1"/>
  <c r="T1886" i="1"/>
  <c r="T1887" i="1"/>
  <c r="T1888" i="1"/>
  <c r="T1889" i="1"/>
  <c r="T1890" i="1"/>
  <c r="T1891" i="1"/>
  <c r="T1892" i="1"/>
  <c r="T1893" i="1"/>
  <c r="T1894" i="1"/>
  <c r="T1895" i="1"/>
  <c r="T1896" i="1"/>
  <c r="T1897" i="1"/>
  <c r="T1898" i="1"/>
  <c r="T1899" i="1"/>
  <c r="T1900" i="1"/>
  <c r="T1901" i="1"/>
  <c r="T1902" i="1"/>
  <c r="T1903" i="1"/>
  <c r="T1904" i="1"/>
  <c r="T1905" i="1"/>
  <c r="T1906" i="1"/>
  <c r="T1907" i="1"/>
  <c r="T1908" i="1"/>
  <c r="T1909" i="1"/>
  <c r="T1910" i="1"/>
  <c r="T1911" i="1"/>
  <c r="T1912" i="1"/>
  <c r="T1913" i="1"/>
  <c r="T1914" i="1"/>
  <c r="T1915" i="1"/>
  <c r="T1916" i="1"/>
  <c r="T1917" i="1"/>
  <c r="T1918" i="1"/>
  <c r="T1919" i="1"/>
  <c r="T1920" i="1"/>
  <c r="T1921" i="1"/>
  <c r="T1922" i="1"/>
  <c r="T1923" i="1"/>
  <c r="T1924" i="1"/>
  <c r="T1925" i="1"/>
  <c r="T1926" i="1"/>
  <c r="T1927" i="1"/>
  <c r="T1928" i="1"/>
  <c r="T1929" i="1"/>
  <c r="T1930" i="1"/>
  <c r="T1931" i="1"/>
  <c r="T1932" i="1"/>
  <c r="T1933" i="1"/>
  <c r="T1934" i="1"/>
  <c r="T1935" i="1"/>
  <c r="T1936" i="1"/>
  <c r="T1937" i="1"/>
  <c r="T1938" i="1"/>
  <c r="T1939" i="1"/>
  <c r="T1940" i="1"/>
  <c r="T1941" i="1"/>
  <c r="T1942" i="1"/>
  <c r="T1943" i="1"/>
  <c r="T1944" i="1"/>
  <c r="T1945" i="1"/>
  <c r="T1946" i="1"/>
  <c r="T1947" i="1"/>
  <c r="T1948" i="1"/>
  <c r="T1949" i="1"/>
  <c r="T1950" i="1"/>
  <c r="T1951" i="1"/>
  <c r="T1952" i="1"/>
  <c r="T1953" i="1"/>
  <c r="T1954" i="1"/>
  <c r="T1955" i="1"/>
  <c r="T1956" i="1"/>
  <c r="T1957" i="1"/>
  <c r="T1958" i="1"/>
  <c r="T1959" i="1"/>
  <c r="T1960" i="1"/>
  <c r="T1961" i="1"/>
  <c r="T1962" i="1"/>
  <c r="T1963" i="1"/>
  <c r="T1964" i="1"/>
  <c r="T1965" i="1"/>
  <c r="T1966" i="1"/>
  <c r="T1967" i="1"/>
  <c r="T1968" i="1"/>
  <c r="T1969" i="1"/>
  <c r="T1970" i="1"/>
  <c r="T1971" i="1"/>
  <c r="T1972" i="1"/>
  <c r="T1973" i="1"/>
  <c r="T1974" i="1"/>
  <c r="T1975" i="1"/>
  <c r="T1976" i="1"/>
  <c r="T1977" i="1"/>
  <c r="T1978" i="1"/>
  <c r="T1979" i="1"/>
  <c r="T1980" i="1"/>
  <c r="T1981" i="1"/>
  <c r="T1982" i="1"/>
  <c r="T1983" i="1"/>
  <c r="T1984" i="1"/>
  <c r="T1985" i="1"/>
  <c r="T1986" i="1"/>
  <c r="T1987" i="1"/>
  <c r="T1988" i="1"/>
  <c r="T1989" i="1"/>
  <c r="T1990" i="1"/>
  <c r="T1991" i="1"/>
  <c r="T1992" i="1"/>
  <c r="T1993" i="1"/>
  <c r="T1994" i="1"/>
  <c r="T1995" i="1"/>
  <c r="T1996" i="1"/>
  <c r="T1997" i="1"/>
  <c r="T1998" i="1"/>
  <c r="T1999" i="1"/>
  <c r="T2000" i="1"/>
  <c r="T2001" i="1"/>
  <c r="T2002" i="1"/>
  <c r="T2003" i="1"/>
  <c r="T2004" i="1"/>
  <c r="T2005" i="1"/>
  <c r="T2006" i="1"/>
  <c r="T2007" i="1"/>
  <c r="T2008" i="1"/>
  <c r="T2009" i="1"/>
  <c r="T2010" i="1"/>
  <c r="H12" i="1"/>
  <c r="H15" i="1"/>
  <c r="H16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H86" i="1"/>
  <c r="H87" i="1"/>
  <c r="H88" i="1"/>
  <c r="H89" i="1"/>
  <c r="H90" i="1"/>
  <c r="H91" i="1"/>
  <c r="H92" i="1"/>
  <c r="H93" i="1"/>
  <c r="H94" i="1"/>
  <c r="H95" i="1"/>
  <c r="H96" i="1"/>
  <c r="H97" i="1"/>
  <c r="H98" i="1"/>
  <c r="H99" i="1"/>
  <c r="H100" i="1"/>
  <c r="H101" i="1"/>
  <c r="H102" i="1"/>
  <c r="H103" i="1"/>
  <c r="H104" i="1"/>
  <c r="H105" i="1"/>
  <c r="H106" i="1"/>
  <c r="H107" i="1"/>
  <c r="H108" i="1"/>
  <c r="H109" i="1"/>
  <c r="H110" i="1"/>
  <c r="H111" i="1"/>
  <c r="H112" i="1"/>
  <c r="H113" i="1"/>
  <c r="H114" i="1"/>
  <c r="H115" i="1"/>
  <c r="H116" i="1"/>
  <c r="H117" i="1"/>
  <c r="H118" i="1"/>
  <c r="H119" i="1"/>
  <c r="H120" i="1"/>
  <c r="H121" i="1"/>
  <c r="H122" i="1"/>
  <c r="H123" i="1"/>
  <c r="H124" i="1"/>
  <c r="H125" i="1"/>
  <c r="H126" i="1"/>
  <c r="H127" i="1"/>
  <c r="H128" i="1"/>
  <c r="H129" i="1"/>
  <c r="H130" i="1"/>
  <c r="H131" i="1"/>
  <c r="H132" i="1"/>
  <c r="H133" i="1"/>
  <c r="H134" i="1"/>
  <c r="H135" i="1"/>
  <c r="H136" i="1"/>
  <c r="H137" i="1"/>
  <c r="H138" i="1"/>
  <c r="H139" i="1"/>
  <c r="H140" i="1"/>
  <c r="H141" i="1"/>
  <c r="H142" i="1"/>
  <c r="H143" i="1"/>
  <c r="H144" i="1"/>
  <c r="H145" i="1"/>
  <c r="H146" i="1"/>
  <c r="H147" i="1"/>
  <c r="H148" i="1"/>
  <c r="H149" i="1"/>
  <c r="H150" i="1"/>
  <c r="H151" i="1"/>
  <c r="H152" i="1"/>
  <c r="H153" i="1"/>
  <c r="H154" i="1"/>
  <c r="H155" i="1"/>
  <c r="H156" i="1"/>
  <c r="H157" i="1"/>
  <c r="H158" i="1"/>
  <c r="H159" i="1"/>
  <c r="H160" i="1"/>
  <c r="H161" i="1"/>
  <c r="H162" i="1"/>
  <c r="H163" i="1"/>
  <c r="H164" i="1"/>
  <c r="H165" i="1"/>
  <c r="H166" i="1"/>
  <c r="H167" i="1"/>
  <c r="H168" i="1"/>
  <c r="H169" i="1"/>
  <c r="H170" i="1"/>
  <c r="H171" i="1"/>
  <c r="H172" i="1"/>
  <c r="H173" i="1"/>
  <c r="H174" i="1"/>
  <c r="H175" i="1"/>
  <c r="H176" i="1"/>
  <c r="H177" i="1"/>
  <c r="H178" i="1"/>
  <c r="H179" i="1"/>
  <c r="H180" i="1"/>
  <c r="H181" i="1"/>
  <c r="H182" i="1"/>
  <c r="H183" i="1"/>
  <c r="H184" i="1"/>
  <c r="H185" i="1"/>
  <c r="H186" i="1"/>
  <c r="H187" i="1"/>
  <c r="H188" i="1"/>
  <c r="H189" i="1"/>
  <c r="H190" i="1"/>
  <c r="H191" i="1"/>
  <c r="H192" i="1"/>
  <c r="H193" i="1"/>
  <c r="H194" i="1"/>
  <c r="H195" i="1"/>
  <c r="H196" i="1"/>
  <c r="H197" i="1"/>
  <c r="H198" i="1"/>
  <c r="H199" i="1"/>
  <c r="H200" i="1"/>
  <c r="H201" i="1"/>
  <c r="H202" i="1"/>
  <c r="H203" i="1"/>
  <c r="H204" i="1"/>
  <c r="H205" i="1"/>
  <c r="H206" i="1"/>
  <c r="H207" i="1"/>
  <c r="H208" i="1"/>
  <c r="H209" i="1"/>
  <c r="H210" i="1"/>
  <c r="H211" i="1"/>
  <c r="H212" i="1"/>
  <c r="H213" i="1"/>
  <c r="H214" i="1"/>
  <c r="H215" i="1"/>
  <c r="H216" i="1"/>
  <c r="H217" i="1"/>
  <c r="H218" i="1"/>
  <c r="H219" i="1"/>
  <c r="H220" i="1"/>
  <c r="H221" i="1"/>
  <c r="H222" i="1"/>
  <c r="H223" i="1"/>
  <c r="H224" i="1"/>
  <c r="H225" i="1"/>
  <c r="H226" i="1"/>
  <c r="H227" i="1"/>
  <c r="H228" i="1"/>
  <c r="H229" i="1"/>
  <c r="H230" i="1"/>
  <c r="H231" i="1"/>
  <c r="H232" i="1"/>
  <c r="H233" i="1"/>
  <c r="H234" i="1"/>
  <c r="H235" i="1"/>
  <c r="H236" i="1"/>
  <c r="H237" i="1"/>
  <c r="H238" i="1"/>
  <c r="H239" i="1"/>
  <c r="H240" i="1"/>
  <c r="H241" i="1"/>
  <c r="H242" i="1"/>
  <c r="H243" i="1"/>
  <c r="H244" i="1"/>
  <c r="H245" i="1"/>
  <c r="H246" i="1"/>
  <c r="H247" i="1"/>
  <c r="H248" i="1"/>
  <c r="H249" i="1"/>
  <c r="H250" i="1"/>
  <c r="H251" i="1"/>
  <c r="H252" i="1"/>
  <c r="H253" i="1"/>
  <c r="H254" i="1"/>
  <c r="H255" i="1"/>
  <c r="H256" i="1"/>
  <c r="H257" i="1"/>
  <c r="H258" i="1"/>
  <c r="H259" i="1"/>
  <c r="H260" i="1"/>
  <c r="H261" i="1"/>
  <c r="H262" i="1"/>
  <c r="H263" i="1"/>
  <c r="H264" i="1"/>
  <c r="H265" i="1"/>
  <c r="H266" i="1"/>
  <c r="H267" i="1"/>
  <c r="H268" i="1"/>
  <c r="H269" i="1"/>
  <c r="H270" i="1"/>
  <c r="H271" i="1"/>
  <c r="H272" i="1"/>
  <c r="H273" i="1"/>
  <c r="H274" i="1"/>
  <c r="H275" i="1"/>
  <c r="H276" i="1"/>
  <c r="H277" i="1"/>
  <c r="H278" i="1"/>
  <c r="H279" i="1"/>
  <c r="H280" i="1"/>
  <c r="H281" i="1"/>
  <c r="H282" i="1"/>
  <c r="H283" i="1"/>
  <c r="H284" i="1"/>
  <c r="H285" i="1"/>
  <c r="H286" i="1"/>
  <c r="H287" i="1"/>
  <c r="H288" i="1"/>
  <c r="H289" i="1"/>
  <c r="H290" i="1"/>
  <c r="H291" i="1"/>
  <c r="H292" i="1"/>
  <c r="H293" i="1"/>
  <c r="H294" i="1"/>
  <c r="H295" i="1"/>
  <c r="H296" i="1"/>
  <c r="H297" i="1"/>
  <c r="H298" i="1"/>
  <c r="H299" i="1"/>
  <c r="H300" i="1"/>
  <c r="H301" i="1"/>
  <c r="H302" i="1"/>
  <c r="H303" i="1"/>
  <c r="H304" i="1"/>
  <c r="H305" i="1"/>
  <c r="H306" i="1"/>
  <c r="H307" i="1"/>
  <c r="H308" i="1"/>
  <c r="H309" i="1"/>
  <c r="H310" i="1"/>
  <c r="H311" i="1"/>
  <c r="H312" i="1"/>
  <c r="H313" i="1"/>
  <c r="H314" i="1"/>
  <c r="H315" i="1"/>
  <c r="H316" i="1"/>
  <c r="H317" i="1"/>
  <c r="H318" i="1"/>
  <c r="H319" i="1"/>
  <c r="H320" i="1"/>
  <c r="H321" i="1"/>
  <c r="H322" i="1"/>
  <c r="H323" i="1"/>
  <c r="H324" i="1"/>
  <c r="H325" i="1"/>
  <c r="H326" i="1"/>
  <c r="H327" i="1"/>
  <c r="H328" i="1"/>
  <c r="H329" i="1"/>
  <c r="H330" i="1"/>
  <c r="H331" i="1"/>
  <c r="H332" i="1"/>
  <c r="H333" i="1"/>
  <c r="H334" i="1"/>
  <c r="H335" i="1"/>
  <c r="H336" i="1"/>
  <c r="H337" i="1"/>
  <c r="H338" i="1"/>
  <c r="H339" i="1"/>
  <c r="H340" i="1"/>
  <c r="H341" i="1"/>
  <c r="H342" i="1"/>
  <c r="H343" i="1"/>
  <c r="H344" i="1"/>
  <c r="H345" i="1"/>
  <c r="H346" i="1"/>
  <c r="H347" i="1"/>
  <c r="H348" i="1"/>
  <c r="H349" i="1"/>
  <c r="H350" i="1"/>
  <c r="H351" i="1"/>
  <c r="H352" i="1"/>
  <c r="H353" i="1"/>
  <c r="H354" i="1"/>
  <c r="H355" i="1"/>
  <c r="H356" i="1"/>
  <c r="H357" i="1"/>
  <c r="H358" i="1"/>
  <c r="H359" i="1"/>
  <c r="H360" i="1"/>
  <c r="H361" i="1"/>
  <c r="H362" i="1"/>
  <c r="H363" i="1"/>
  <c r="H364" i="1"/>
  <c r="H365" i="1"/>
  <c r="H366" i="1"/>
  <c r="H367" i="1"/>
  <c r="H368" i="1"/>
  <c r="H369" i="1"/>
  <c r="H370" i="1"/>
  <c r="H371" i="1"/>
  <c r="H372" i="1"/>
  <c r="H373" i="1"/>
  <c r="H374" i="1"/>
  <c r="H375" i="1"/>
  <c r="H376" i="1"/>
  <c r="H377" i="1"/>
  <c r="H378" i="1"/>
  <c r="H379" i="1"/>
  <c r="H380" i="1"/>
  <c r="H381" i="1"/>
  <c r="H382" i="1"/>
  <c r="H383" i="1"/>
  <c r="H384" i="1"/>
  <c r="H385" i="1"/>
  <c r="H386" i="1"/>
  <c r="H387" i="1"/>
  <c r="H388" i="1"/>
  <c r="H389" i="1"/>
  <c r="H390" i="1"/>
  <c r="H391" i="1"/>
  <c r="H392" i="1"/>
  <c r="H393" i="1"/>
  <c r="H394" i="1"/>
  <c r="H395" i="1"/>
  <c r="H396" i="1"/>
  <c r="H397" i="1"/>
  <c r="H398" i="1"/>
  <c r="H399" i="1"/>
  <c r="H400" i="1"/>
  <c r="H401" i="1"/>
  <c r="H402" i="1"/>
  <c r="H403" i="1"/>
  <c r="H404" i="1"/>
  <c r="H405" i="1"/>
  <c r="H406" i="1"/>
  <c r="H407" i="1"/>
  <c r="H408" i="1"/>
  <c r="H409" i="1"/>
  <c r="H410" i="1"/>
  <c r="H411" i="1"/>
  <c r="H412" i="1"/>
  <c r="H413" i="1"/>
  <c r="H414" i="1"/>
  <c r="H415" i="1"/>
  <c r="H416" i="1"/>
  <c r="H417" i="1"/>
  <c r="H418" i="1"/>
  <c r="H419" i="1"/>
  <c r="H420" i="1"/>
  <c r="H421" i="1"/>
  <c r="H422" i="1"/>
  <c r="H423" i="1"/>
  <c r="H424" i="1"/>
  <c r="H425" i="1"/>
  <c r="H426" i="1"/>
  <c r="H427" i="1"/>
  <c r="H428" i="1"/>
  <c r="H429" i="1"/>
  <c r="H430" i="1"/>
  <c r="H431" i="1"/>
  <c r="H432" i="1"/>
  <c r="H433" i="1"/>
  <c r="H434" i="1"/>
  <c r="H435" i="1"/>
  <c r="H436" i="1"/>
  <c r="H437" i="1"/>
  <c r="H438" i="1"/>
  <c r="H439" i="1"/>
  <c r="H440" i="1"/>
  <c r="H441" i="1"/>
  <c r="H442" i="1"/>
  <c r="H443" i="1"/>
  <c r="H444" i="1"/>
  <c r="H445" i="1"/>
  <c r="H446" i="1"/>
  <c r="H447" i="1"/>
  <c r="H448" i="1"/>
  <c r="H449" i="1"/>
  <c r="H450" i="1"/>
  <c r="H451" i="1"/>
  <c r="H452" i="1"/>
  <c r="H453" i="1"/>
  <c r="H454" i="1"/>
  <c r="H455" i="1"/>
  <c r="H456" i="1"/>
  <c r="H457" i="1"/>
  <c r="H458" i="1"/>
  <c r="H459" i="1"/>
  <c r="H460" i="1"/>
  <c r="H461" i="1"/>
  <c r="H462" i="1"/>
  <c r="H463" i="1"/>
  <c r="H464" i="1"/>
  <c r="H465" i="1"/>
  <c r="H466" i="1"/>
  <c r="H467" i="1"/>
  <c r="H468" i="1"/>
  <c r="H469" i="1"/>
  <c r="H470" i="1"/>
  <c r="H471" i="1"/>
  <c r="H472" i="1"/>
  <c r="H473" i="1"/>
  <c r="H474" i="1"/>
  <c r="H475" i="1"/>
  <c r="H476" i="1"/>
  <c r="H477" i="1"/>
  <c r="H478" i="1"/>
  <c r="H479" i="1"/>
  <c r="H480" i="1"/>
  <c r="H481" i="1"/>
  <c r="H482" i="1"/>
  <c r="H483" i="1"/>
  <c r="H484" i="1"/>
  <c r="H485" i="1"/>
  <c r="H486" i="1"/>
  <c r="H487" i="1"/>
  <c r="H488" i="1"/>
  <c r="H489" i="1"/>
  <c r="H490" i="1"/>
  <c r="H491" i="1"/>
  <c r="H492" i="1"/>
  <c r="H493" i="1"/>
  <c r="H494" i="1"/>
  <c r="H495" i="1"/>
  <c r="H496" i="1"/>
  <c r="H497" i="1"/>
  <c r="H498" i="1"/>
  <c r="H499" i="1"/>
  <c r="H500" i="1"/>
  <c r="H501" i="1"/>
  <c r="H502" i="1"/>
  <c r="H6" i="1"/>
  <c r="H7" i="1"/>
  <c r="H8" i="1"/>
  <c r="H9" i="1"/>
  <c r="H10" i="1"/>
  <c r="H11" i="1"/>
  <c r="H5" i="1"/>
  <c r="T2" i="1"/>
  <c r="T3" i="1"/>
  <c r="H503" i="1"/>
  <c r="H504" i="1"/>
  <c r="H505" i="1"/>
  <c r="H506" i="1"/>
  <c r="H507" i="1"/>
  <c r="H508" i="1"/>
  <c r="H509" i="1"/>
  <c r="H510" i="1"/>
  <c r="H511" i="1"/>
  <c r="H512" i="1"/>
  <c r="H513" i="1"/>
  <c r="H514" i="1"/>
  <c r="H515" i="1"/>
  <c r="H516" i="1"/>
  <c r="H517" i="1"/>
  <c r="H518" i="1"/>
  <c r="H519" i="1"/>
  <c r="H520" i="1"/>
  <c r="H521" i="1"/>
  <c r="H522" i="1"/>
  <c r="H523" i="1"/>
  <c r="H524" i="1"/>
  <c r="H525" i="1"/>
  <c r="H526" i="1"/>
  <c r="H527" i="1"/>
  <c r="H528" i="1"/>
  <c r="H529" i="1"/>
  <c r="H530" i="1"/>
  <c r="H531" i="1"/>
  <c r="H532" i="1"/>
  <c r="H533" i="1"/>
  <c r="H534" i="1"/>
  <c r="H535" i="1"/>
  <c r="H536" i="1"/>
  <c r="H537" i="1"/>
  <c r="H538" i="1"/>
  <c r="H539" i="1"/>
  <c r="H540" i="1"/>
  <c r="H541" i="1"/>
  <c r="H542" i="1"/>
  <c r="H543" i="1"/>
  <c r="H544" i="1"/>
  <c r="H545" i="1"/>
  <c r="H546" i="1"/>
  <c r="H547" i="1"/>
  <c r="H548" i="1"/>
  <c r="H549" i="1"/>
  <c r="H550" i="1"/>
  <c r="H551" i="1"/>
  <c r="H552" i="1"/>
  <c r="H553" i="1"/>
  <c r="H554" i="1"/>
  <c r="H555" i="1"/>
  <c r="H556" i="1"/>
  <c r="H557" i="1"/>
  <c r="H558" i="1"/>
  <c r="H559" i="1"/>
  <c r="H560" i="1"/>
  <c r="H561" i="1"/>
  <c r="H562" i="1"/>
  <c r="H563" i="1"/>
  <c r="H564" i="1"/>
  <c r="H565" i="1"/>
  <c r="H566" i="1"/>
  <c r="H567" i="1"/>
  <c r="H568" i="1"/>
  <c r="H569" i="1"/>
  <c r="H570" i="1"/>
  <c r="H571" i="1"/>
  <c r="H572" i="1"/>
  <c r="H573" i="1"/>
  <c r="H574" i="1"/>
  <c r="H575" i="1"/>
  <c r="H576" i="1"/>
  <c r="H577" i="1"/>
  <c r="H578" i="1"/>
  <c r="H579" i="1"/>
  <c r="H580" i="1"/>
  <c r="H581" i="1"/>
  <c r="H582" i="1"/>
  <c r="H583" i="1"/>
  <c r="H584" i="1"/>
  <c r="H585" i="1"/>
  <c r="H586" i="1"/>
  <c r="H587" i="1"/>
  <c r="H588" i="1"/>
  <c r="H589" i="1"/>
  <c r="H590" i="1"/>
  <c r="H591" i="1"/>
  <c r="H592" i="1"/>
  <c r="H593" i="1"/>
  <c r="H594" i="1"/>
  <c r="H595" i="1"/>
  <c r="H596" i="1"/>
  <c r="H597" i="1"/>
  <c r="H598" i="1"/>
  <c r="H599" i="1"/>
  <c r="H600" i="1"/>
  <c r="H601" i="1"/>
  <c r="H602" i="1"/>
  <c r="H603" i="1"/>
  <c r="H604" i="1"/>
  <c r="H605" i="1"/>
  <c r="H606" i="1"/>
  <c r="H607" i="1"/>
  <c r="H608" i="1"/>
  <c r="H609" i="1"/>
  <c r="H610" i="1"/>
  <c r="H611" i="1"/>
  <c r="H612" i="1"/>
  <c r="H613" i="1"/>
  <c r="H614" i="1"/>
  <c r="H615" i="1"/>
  <c r="H616" i="1"/>
  <c r="H617" i="1"/>
  <c r="H618" i="1"/>
  <c r="H619" i="1"/>
  <c r="H620" i="1"/>
  <c r="H621" i="1"/>
  <c r="H622" i="1"/>
  <c r="H623" i="1"/>
  <c r="H624" i="1"/>
  <c r="H625" i="1"/>
  <c r="H626" i="1"/>
  <c r="H627" i="1"/>
  <c r="H628" i="1"/>
  <c r="H629" i="1"/>
  <c r="H630" i="1"/>
  <c r="H631" i="1"/>
  <c r="H632" i="1"/>
  <c r="H633" i="1"/>
  <c r="H634" i="1"/>
  <c r="H635" i="1"/>
  <c r="H636" i="1"/>
  <c r="H637" i="1"/>
  <c r="H638" i="1"/>
  <c r="H639" i="1"/>
  <c r="H640" i="1"/>
  <c r="H641" i="1"/>
  <c r="H642" i="1"/>
  <c r="H643" i="1"/>
  <c r="H644" i="1"/>
  <c r="H645" i="1"/>
  <c r="H646" i="1"/>
  <c r="H647" i="1"/>
  <c r="H648" i="1"/>
  <c r="H649" i="1"/>
  <c r="H650" i="1"/>
  <c r="H651" i="1"/>
  <c r="H652" i="1"/>
  <c r="H653" i="1"/>
  <c r="H654" i="1"/>
  <c r="H655" i="1"/>
  <c r="H656" i="1"/>
  <c r="H657" i="1"/>
  <c r="H658" i="1"/>
  <c r="H659" i="1"/>
  <c r="H660" i="1"/>
  <c r="H661" i="1"/>
  <c r="H662" i="1"/>
  <c r="H663" i="1"/>
  <c r="H664" i="1"/>
  <c r="H665" i="1"/>
  <c r="H666" i="1"/>
  <c r="H667" i="1"/>
  <c r="H668" i="1"/>
  <c r="H669" i="1"/>
  <c r="H670" i="1"/>
  <c r="H671" i="1"/>
  <c r="H672" i="1"/>
  <c r="H673" i="1"/>
  <c r="H674" i="1"/>
  <c r="H675" i="1"/>
  <c r="H676" i="1"/>
  <c r="H677" i="1"/>
  <c r="H678" i="1"/>
  <c r="H679" i="1"/>
  <c r="H680" i="1"/>
  <c r="H681" i="1"/>
  <c r="H682" i="1"/>
  <c r="H683" i="1"/>
  <c r="H684" i="1"/>
  <c r="H685" i="1"/>
  <c r="H686" i="1"/>
  <c r="H687" i="1"/>
  <c r="H688" i="1"/>
  <c r="H689" i="1"/>
  <c r="H690" i="1"/>
  <c r="H691" i="1"/>
  <c r="H692" i="1"/>
  <c r="H693" i="1"/>
  <c r="H694" i="1"/>
  <c r="H695" i="1"/>
  <c r="H696" i="1"/>
  <c r="H697" i="1"/>
  <c r="H698" i="1"/>
  <c r="H699" i="1"/>
  <c r="H700" i="1"/>
  <c r="H701" i="1"/>
  <c r="H702" i="1"/>
  <c r="H703" i="1"/>
  <c r="H704" i="1"/>
  <c r="H705" i="1"/>
  <c r="H706" i="1"/>
  <c r="H707" i="1"/>
  <c r="H708" i="1"/>
  <c r="H709" i="1"/>
  <c r="H710" i="1"/>
  <c r="H711" i="1"/>
  <c r="H712" i="1"/>
  <c r="H713" i="1"/>
  <c r="H714" i="1"/>
  <c r="H715" i="1"/>
  <c r="H716" i="1"/>
  <c r="H717" i="1"/>
  <c r="H718" i="1"/>
  <c r="H719" i="1"/>
  <c r="H720" i="1"/>
  <c r="H721" i="1"/>
  <c r="H722" i="1"/>
  <c r="H723" i="1"/>
  <c r="H724" i="1"/>
  <c r="H725" i="1"/>
  <c r="H726" i="1"/>
  <c r="H727" i="1"/>
  <c r="H728" i="1"/>
  <c r="H729" i="1"/>
  <c r="H730" i="1"/>
  <c r="H731" i="1"/>
  <c r="H732" i="1"/>
  <c r="H733" i="1"/>
  <c r="H734" i="1"/>
  <c r="H735" i="1"/>
  <c r="H736" i="1"/>
  <c r="H737" i="1"/>
  <c r="H738" i="1"/>
  <c r="H739" i="1"/>
  <c r="H740" i="1"/>
  <c r="H741" i="1"/>
  <c r="H742" i="1"/>
  <c r="H743" i="1"/>
  <c r="H744" i="1"/>
  <c r="H745" i="1"/>
  <c r="H746" i="1"/>
  <c r="H747" i="1"/>
  <c r="H748" i="1"/>
  <c r="H749" i="1"/>
  <c r="H750" i="1"/>
  <c r="H751" i="1"/>
  <c r="H752" i="1"/>
  <c r="H753" i="1"/>
  <c r="H754" i="1"/>
  <c r="H755" i="1"/>
  <c r="H756" i="1"/>
  <c r="H757" i="1"/>
  <c r="H758" i="1"/>
  <c r="H759" i="1"/>
  <c r="H760" i="1"/>
  <c r="H761" i="1"/>
  <c r="H762" i="1"/>
  <c r="H763" i="1"/>
  <c r="H764" i="1"/>
  <c r="H765" i="1"/>
  <c r="H766" i="1"/>
  <c r="H767" i="1"/>
  <c r="H768" i="1"/>
  <c r="H769" i="1"/>
  <c r="H770" i="1"/>
  <c r="H771" i="1"/>
  <c r="H772" i="1"/>
  <c r="H773" i="1"/>
  <c r="H774" i="1"/>
  <c r="H775" i="1"/>
  <c r="H776" i="1"/>
  <c r="H777" i="1"/>
  <c r="H778" i="1"/>
  <c r="H779" i="1"/>
  <c r="H780" i="1"/>
  <c r="H781" i="1"/>
  <c r="H782" i="1"/>
  <c r="H783" i="1"/>
  <c r="H784" i="1"/>
  <c r="H785" i="1"/>
  <c r="H786" i="1"/>
  <c r="H787" i="1"/>
  <c r="H788" i="1"/>
  <c r="H789" i="1"/>
  <c r="H790" i="1"/>
  <c r="H791" i="1"/>
  <c r="H792" i="1"/>
  <c r="H793" i="1"/>
  <c r="H794" i="1"/>
  <c r="H795" i="1"/>
  <c r="H796" i="1"/>
  <c r="H797" i="1"/>
  <c r="H798" i="1"/>
  <c r="H799" i="1"/>
  <c r="H800" i="1"/>
  <c r="H801" i="1"/>
  <c r="H802" i="1"/>
  <c r="H803" i="1"/>
  <c r="H804" i="1"/>
  <c r="H805" i="1"/>
  <c r="H806" i="1"/>
  <c r="H807" i="1"/>
  <c r="H808" i="1"/>
  <c r="H809" i="1"/>
  <c r="H810" i="1"/>
  <c r="H811" i="1"/>
  <c r="H812" i="1"/>
  <c r="H813" i="1"/>
  <c r="H814" i="1"/>
  <c r="H815" i="1"/>
  <c r="H816" i="1"/>
  <c r="H817" i="1"/>
  <c r="H818" i="1"/>
  <c r="H819" i="1"/>
  <c r="H820" i="1"/>
  <c r="H821" i="1"/>
  <c r="H822" i="1"/>
  <c r="H823" i="1"/>
  <c r="H824" i="1"/>
  <c r="H825" i="1"/>
  <c r="H826" i="1"/>
  <c r="H827" i="1"/>
  <c r="H828" i="1"/>
  <c r="H829" i="1"/>
  <c r="H830" i="1"/>
  <c r="H831" i="1"/>
  <c r="H832" i="1"/>
  <c r="H833" i="1"/>
  <c r="H834" i="1"/>
  <c r="H835" i="1"/>
  <c r="H836" i="1"/>
  <c r="H837" i="1"/>
  <c r="H838" i="1"/>
  <c r="H839" i="1"/>
  <c r="H840" i="1"/>
  <c r="H841" i="1"/>
  <c r="H842" i="1"/>
  <c r="H843" i="1"/>
  <c r="H844" i="1"/>
  <c r="H845" i="1"/>
  <c r="H846" i="1"/>
  <c r="H847" i="1"/>
  <c r="H848" i="1"/>
  <c r="H849" i="1"/>
  <c r="H850" i="1"/>
  <c r="H851" i="1"/>
  <c r="H852" i="1"/>
  <c r="H853" i="1"/>
  <c r="H854" i="1"/>
  <c r="H855" i="1"/>
  <c r="H856" i="1"/>
  <c r="H857" i="1"/>
  <c r="H858" i="1"/>
  <c r="H859" i="1"/>
  <c r="H860" i="1"/>
  <c r="H861" i="1"/>
  <c r="H862" i="1"/>
  <c r="H863" i="1"/>
  <c r="H864" i="1"/>
  <c r="H865" i="1"/>
  <c r="H866" i="1"/>
  <c r="H867" i="1"/>
  <c r="H868" i="1"/>
  <c r="H869" i="1"/>
  <c r="H870" i="1"/>
  <c r="H871" i="1"/>
  <c r="H872" i="1"/>
  <c r="H873" i="1"/>
  <c r="H874" i="1"/>
  <c r="H875" i="1"/>
  <c r="H876" i="1"/>
  <c r="H877" i="1"/>
  <c r="H878" i="1"/>
  <c r="H879" i="1"/>
  <c r="H880" i="1"/>
  <c r="H881" i="1"/>
  <c r="H882" i="1"/>
  <c r="H883" i="1"/>
  <c r="H884" i="1"/>
  <c r="H885" i="1"/>
  <c r="H886" i="1"/>
  <c r="H887" i="1"/>
  <c r="H888" i="1"/>
  <c r="H889" i="1"/>
  <c r="H890" i="1"/>
  <c r="H891" i="1"/>
  <c r="H892" i="1"/>
  <c r="H893" i="1"/>
  <c r="H894" i="1"/>
  <c r="H895" i="1"/>
  <c r="H896" i="1"/>
  <c r="H897" i="1"/>
  <c r="H898" i="1"/>
  <c r="H899" i="1"/>
  <c r="H900" i="1"/>
  <c r="H901" i="1"/>
  <c r="H902" i="1"/>
  <c r="H903" i="1"/>
  <c r="H904" i="1"/>
  <c r="H905" i="1"/>
  <c r="H906" i="1"/>
  <c r="H907" i="1"/>
  <c r="H908" i="1"/>
  <c r="H909" i="1"/>
  <c r="H910" i="1"/>
  <c r="H911" i="1"/>
  <c r="H912" i="1"/>
  <c r="H913" i="1"/>
  <c r="H914" i="1"/>
  <c r="H915" i="1"/>
  <c r="H916" i="1"/>
  <c r="H917" i="1"/>
  <c r="H918" i="1"/>
  <c r="H919" i="1"/>
  <c r="H920" i="1"/>
  <c r="H921" i="1"/>
  <c r="H922" i="1"/>
  <c r="H923" i="1"/>
  <c r="H924" i="1"/>
  <c r="H925" i="1"/>
  <c r="H926" i="1"/>
  <c r="H927" i="1"/>
  <c r="H928" i="1"/>
  <c r="H929" i="1"/>
  <c r="H930" i="1"/>
  <c r="H931" i="1"/>
  <c r="H932" i="1"/>
  <c r="H933" i="1"/>
  <c r="H934" i="1"/>
  <c r="H935" i="1"/>
  <c r="H936" i="1"/>
  <c r="H937" i="1"/>
  <c r="H938" i="1"/>
  <c r="H939" i="1"/>
  <c r="H940" i="1"/>
  <c r="H941" i="1"/>
  <c r="H942" i="1"/>
  <c r="H943" i="1"/>
  <c r="H944" i="1"/>
  <c r="H945" i="1"/>
  <c r="H946" i="1"/>
  <c r="H947" i="1"/>
  <c r="H948" i="1"/>
  <c r="H949" i="1"/>
  <c r="H950" i="1"/>
  <c r="H951" i="1"/>
  <c r="H952" i="1"/>
  <c r="H953" i="1"/>
  <c r="H954" i="1"/>
  <c r="H955" i="1"/>
  <c r="H956" i="1"/>
  <c r="H957" i="1"/>
  <c r="H958" i="1"/>
  <c r="H959" i="1"/>
  <c r="H960" i="1"/>
  <c r="H961" i="1"/>
  <c r="H962" i="1"/>
  <c r="H963" i="1"/>
  <c r="H964" i="1"/>
  <c r="H965" i="1"/>
  <c r="H966" i="1"/>
  <c r="H967" i="1"/>
  <c r="H968" i="1"/>
  <c r="H969" i="1"/>
  <c r="H970" i="1"/>
  <c r="H971" i="1"/>
  <c r="H972" i="1"/>
  <c r="H973" i="1"/>
  <c r="H974" i="1"/>
  <c r="H975" i="1"/>
  <c r="H976" i="1"/>
  <c r="H977" i="1"/>
  <c r="H978" i="1"/>
  <c r="H979" i="1"/>
  <c r="H980" i="1"/>
  <c r="H981" i="1"/>
  <c r="H982" i="1"/>
  <c r="H983" i="1"/>
  <c r="H984" i="1"/>
  <c r="H985" i="1"/>
  <c r="H986" i="1"/>
  <c r="H987" i="1"/>
  <c r="H988" i="1"/>
  <c r="H989" i="1"/>
  <c r="H990" i="1"/>
  <c r="H991" i="1"/>
  <c r="H992" i="1"/>
  <c r="H993" i="1"/>
  <c r="H994" i="1"/>
  <c r="H995" i="1"/>
  <c r="H996" i="1"/>
  <c r="H997" i="1"/>
  <c r="H998" i="1"/>
  <c r="H999" i="1"/>
  <c r="H1000" i="1"/>
  <c r="H1001" i="1"/>
  <c r="H1002" i="1"/>
  <c r="H1003" i="1"/>
  <c r="H1004" i="1"/>
  <c r="H1005" i="1"/>
  <c r="H1006" i="1"/>
  <c r="H1007" i="1"/>
  <c r="H1008" i="1"/>
  <c r="H1009" i="1"/>
  <c r="H1010" i="1"/>
  <c r="H1011" i="1"/>
  <c r="H1012" i="1"/>
  <c r="H1013" i="1"/>
  <c r="H1014" i="1"/>
  <c r="H1015" i="1"/>
  <c r="H1016" i="1"/>
  <c r="H1017" i="1"/>
  <c r="H1018" i="1"/>
  <c r="H1019" i="1"/>
  <c r="H1020" i="1"/>
  <c r="H1021" i="1"/>
  <c r="H1022" i="1"/>
  <c r="H1023" i="1"/>
  <c r="H1024" i="1"/>
  <c r="H1025" i="1"/>
  <c r="H1026" i="1"/>
  <c r="H1027" i="1"/>
  <c r="H1028" i="1"/>
  <c r="H1029" i="1"/>
  <c r="H1030" i="1"/>
  <c r="H1031" i="1"/>
  <c r="H1032" i="1"/>
  <c r="H1033" i="1"/>
  <c r="H1034" i="1"/>
  <c r="H1035" i="1"/>
  <c r="H1036" i="1"/>
  <c r="H1037" i="1"/>
  <c r="H1038" i="1"/>
  <c r="H1039" i="1"/>
  <c r="H1040" i="1"/>
  <c r="H1041" i="1"/>
  <c r="H1042" i="1"/>
  <c r="H1043" i="1"/>
  <c r="H1044" i="1"/>
  <c r="H1045" i="1"/>
  <c r="H1046" i="1"/>
  <c r="H1047" i="1"/>
  <c r="H1048" i="1"/>
  <c r="H1049" i="1"/>
  <c r="H1050" i="1"/>
  <c r="H1051" i="1"/>
  <c r="H1052" i="1"/>
  <c r="H1053" i="1"/>
  <c r="H1054" i="1"/>
  <c r="H1055" i="1"/>
  <c r="H1056" i="1"/>
  <c r="H1057" i="1"/>
  <c r="H1058" i="1"/>
  <c r="H1059" i="1"/>
  <c r="H1060" i="1"/>
  <c r="H1061" i="1"/>
  <c r="H1062" i="1"/>
  <c r="H1063" i="1"/>
  <c r="H1064" i="1"/>
  <c r="H1065" i="1"/>
  <c r="H1066" i="1"/>
  <c r="H1067" i="1"/>
  <c r="H1068" i="1"/>
  <c r="H1069" i="1"/>
  <c r="H1070" i="1"/>
  <c r="H1071" i="1"/>
  <c r="H1072" i="1"/>
  <c r="H1073" i="1"/>
  <c r="H1074" i="1"/>
  <c r="H1075" i="1"/>
  <c r="H1076" i="1"/>
  <c r="H1077" i="1"/>
  <c r="H1078" i="1"/>
  <c r="H1079" i="1"/>
  <c r="H1080" i="1"/>
  <c r="H1081" i="1"/>
  <c r="H1082" i="1"/>
  <c r="H1083" i="1"/>
  <c r="H1084" i="1"/>
  <c r="H1085" i="1"/>
  <c r="H1086" i="1"/>
  <c r="H1087" i="1"/>
  <c r="H1088" i="1"/>
  <c r="H1089" i="1"/>
  <c r="H1090" i="1"/>
  <c r="H1091" i="1"/>
  <c r="H1092" i="1"/>
  <c r="H1093" i="1"/>
  <c r="H1094" i="1"/>
  <c r="H1095" i="1"/>
  <c r="H1096" i="1"/>
  <c r="H1097" i="1"/>
  <c r="H1098" i="1"/>
  <c r="H1099" i="1"/>
  <c r="H1100" i="1"/>
  <c r="H1101" i="1"/>
  <c r="H1102" i="1"/>
  <c r="H1103" i="1"/>
  <c r="H1104" i="1"/>
  <c r="H1105" i="1"/>
  <c r="H1106" i="1"/>
  <c r="H1107" i="1"/>
  <c r="H1108" i="1"/>
  <c r="H1109" i="1"/>
  <c r="H1110" i="1"/>
  <c r="H1111" i="1"/>
  <c r="H1112" i="1"/>
  <c r="H1113" i="1"/>
  <c r="H1114" i="1"/>
  <c r="H1115" i="1"/>
  <c r="H1116" i="1"/>
  <c r="H1117" i="1"/>
  <c r="H1118" i="1"/>
  <c r="H1119" i="1"/>
  <c r="H1120" i="1"/>
  <c r="H1121" i="1"/>
  <c r="H1122" i="1"/>
  <c r="H1123" i="1"/>
  <c r="H1124" i="1"/>
  <c r="H1125" i="1"/>
  <c r="H1126" i="1"/>
  <c r="H1127" i="1"/>
  <c r="H1128" i="1"/>
  <c r="H1129" i="1"/>
  <c r="H1130" i="1"/>
  <c r="H1131" i="1"/>
  <c r="H1132" i="1"/>
  <c r="H1133" i="1"/>
  <c r="H1134" i="1"/>
  <c r="H1135" i="1"/>
  <c r="H1136" i="1"/>
  <c r="H1137" i="1"/>
  <c r="H1138" i="1"/>
  <c r="H1139" i="1"/>
  <c r="H1140" i="1"/>
  <c r="H1141" i="1"/>
  <c r="H1142" i="1"/>
  <c r="H1143" i="1"/>
  <c r="H1144" i="1"/>
  <c r="H1145" i="1"/>
  <c r="H1146" i="1"/>
  <c r="H1147" i="1"/>
  <c r="H1148" i="1"/>
  <c r="H1149" i="1"/>
  <c r="H1150" i="1"/>
  <c r="H1151" i="1"/>
  <c r="H1152" i="1"/>
  <c r="H1153" i="1"/>
  <c r="H1154" i="1"/>
  <c r="H1155" i="1"/>
  <c r="H1156" i="1"/>
  <c r="H1157" i="1"/>
  <c r="H1158" i="1"/>
  <c r="H1159" i="1"/>
  <c r="H1160" i="1"/>
  <c r="H1161" i="1"/>
  <c r="H1162" i="1"/>
  <c r="H1163" i="1"/>
  <c r="H1164" i="1"/>
  <c r="H1165" i="1"/>
  <c r="H1166" i="1"/>
  <c r="H1167" i="1"/>
  <c r="H1168" i="1"/>
  <c r="H1169" i="1"/>
  <c r="H1170" i="1"/>
  <c r="H1171" i="1"/>
  <c r="H1172" i="1"/>
  <c r="H1173" i="1"/>
  <c r="H1174" i="1"/>
  <c r="H1175" i="1"/>
  <c r="H1176" i="1"/>
  <c r="H1177" i="1"/>
  <c r="H1178" i="1"/>
  <c r="H1179" i="1"/>
  <c r="H1180" i="1"/>
  <c r="H1181" i="1"/>
  <c r="H1182" i="1"/>
  <c r="H1183" i="1"/>
  <c r="H1184" i="1"/>
  <c r="H1185" i="1"/>
  <c r="H1186" i="1"/>
  <c r="H1187" i="1"/>
  <c r="H1188" i="1"/>
  <c r="H1189" i="1"/>
  <c r="H1190" i="1"/>
  <c r="H1191" i="1"/>
  <c r="H1192" i="1"/>
  <c r="H1193" i="1"/>
  <c r="H1194" i="1"/>
  <c r="H1195" i="1"/>
  <c r="H1196" i="1"/>
  <c r="H1197" i="1"/>
  <c r="H1198" i="1"/>
  <c r="H1199" i="1"/>
  <c r="H1200" i="1"/>
  <c r="H1201" i="1"/>
  <c r="H1202" i="1"/>
  <c r="H1203" i="1"/>
  <c r="H1204" i="1"/>
  <c r="H1205" i="1"/>
  <c r="H1206" i="1"/>
  <c r="H1207" i="1"/>
  <c r="H1208" i="1"/>
  <c r="H1209" i="1"/>
  <c r="H1210" i="1"/>
  <c r="H1211" i="1"/>
  <c r="H1212" i="1"/>
  <c r="H1213" i="1"/>
  <c r="H1214" i="1"/>
  <c r="H1215" i="1"/>
  <c r="H1216" i="1"/>
  <c r="H1217" i="1"/>
  <c r="H1218" i="1"/>
  <c r="H1219" i="1"/>
  <c r="H1220" i="1"/>
  <c r="H1221" i="1"/>
  <c r="H1222" i="1"/>
  <c r="H1223" i="1"/>
  <c r="H1224" i="1"/>
  <c r="H1225" i="1"/>
  <c r="H1226" i="1"/>
  <c r="H1227" i="1"/>
  <c r="H1228" i="1"/>
  <c r="H1229" i="1"/>
  <c r="H1230" i="1"/>
  <c r="H1231" i="1"/>
  <c r="H1232" i="1"/>
  <c r="H1233" i="1"/>
  <c r="H1234" i="1"/>
  <c r="H1235" i="1"/>
  <c r="H1236" i="1"/>
  <c r="H1237" i="1"/>
  <c r="H1238" i="1"/>
  <c r="H1239" i="1"/>
  <c r="H1240" i="1"/>
  <c r="H1241" i="1"/>
  <c r="H1242" i="1"/>
  <c r="H1243" i="1"/>
  <c r="H1244" i="1"/>
  <c r="H1245" i="1"/>
  <c r="H1246" i="1"/>
  <c r="H1247" i="1"/>
  <c r="H1248" i="1"/>
  <c r="H1249" i="1"/>
  <c r="H1250" i="1"/>
  <c r="H1251" i="1"/>
  <c r="H1252" i="1"/>
  <c r="H1253" i="1"/>
  <c r="H1254" i="1"/>
  <c r="H1255" i="1"/>
  <c r="H1256" i="1"/>
  <c r="H1257" i="1"/>
  <c r="H1258" i="1"/>
  <c r="H1259" i="1"/>
  <c r="H1260" i="1"/>
  <c r="H1261" i="1"/>
  <c r="H1262" i="1"/>
  <c r="H1263" i="1"/>
  <c r="H1264" i="1"/>
  <c r="H1265" i="1"/>
  <c r="H1266" i="1"/>
  <c r="H1267" i="1"/>
  <c r="H1268" i="1"/>
  <c r="H1269" i="1"/>
  <c r="H1270" i="1"/>
  <c r="H1271" i="1"/>
  <c r="H1272" i="1"/>
  <c r="H1273" i="1"/>
  <c r="H1274" i="1"/>
  <c r="H1275" i="1"/>
  <c r="H1276" i="1"/>
  <c r="H1277" i="1"/>
  <c r="H1278" i="1"/>
  <c r="H1279" i="1"/>
  <c r="H1280" i="1"/>
  <c r="H1281" i="1"/>
  <c r="H1282" i="1"/>
  <c r="H1283" i="1"/>
  <c r="H1284" i="1"/>
  <c r="H1285" i="1"/>
  <c r="H1286" i="1"/>
  <c r="H1287" i="1"/>
  <c r="H1288" i="1"/>
  <c r="H1289" i="1"/>
  <c r="H1290" i="1"/>
  <c r="H1291" i="1"/>
  <c r="H1292" i="1"/>
  <c r="H1293" i="1"/>
  <c r="H1294" i="1"/>
  <c r="H1295" i="1"/>
  <c r="H1296" i="1"/>
  <c r="H1297" i="1"/>
  <c r="H1298" i="1"/>
  <c r="H1299" i="1"/>
  <c r="H1300" i="1"/>
  <c r="H1301" i="1"/>
  <c r="H1302" i="1"/>
  <c r="H1303" i="1"/>
  <c r="H1304" i="1"/>
  <c r="H1305" i="1"/>
  <c r="H1306" i="1"/>
  <c r="H1307" i="1"/>
  <c r="H1308" i="1"/>
  <c r="H1309" i="1"/>
  <c r="H1310" i="1"/>
  <c r="H1311" i="1"/>
  <c r="H1312" i="1"/>
  <c r="H1313" i="1"/>
  <c r="H1314" i="1"/>
  <c r="H1315" i="1"/>
  <c r="H1316" i="1"/>
  <c r="H1317" i="1"/>
  <c r="H1318" i="1"/>
  <c r="H1319" i="1"/>
  <c r="H1320" i="1"/>
  <c r="H1321" i="1"/>
  <c r="H1322" i="1"/>
  <c r="H1323" i="1"/>
  <c r="H1324" i="1"/>
  <c r="H1325" i="1"/>
  <c r="H1326" i="1"/>
  <c r="H1327" i="1"/>
  <c r="H1328" i="1"/>
  <c r="H1329" i="1"/>
  <c r="H1330" i="1"/>
  <c r="H1331" i="1"/>
  <c r="H1332" i="1"/>
  <c r="H1333" i="1"/>
  <c r="H1334" i="1"/>
  <c r="H1335" i="1"/>
  <c r="H1336" i="1"/>
  <c r="H1337" i="1"/>
  <c r="H1338" i="1"/>
  <c r="H1339" i="1"/>
  <c r="H1340" i="1"/>
  <c r="H1341" i="1"/>
  <c r="H1342" i="1"/>
  <c r="H1343" i="1"/>
  <c r="H1344" i="1"/>
  <c r="H1345" i="1"/>
  <c r="H1346" i="1"/>
  <c r="H1347" i="1"/>
  <c r="H1348" i="1"/>
  <c r="H1349" i="1"/>
  <c r="H1350" i="1"/>
  <c r="H1351" i="1"/>
  <c r="H1352" i="1"/>
  <c r="H1353" i="1"/>
  <c r="H1354" i="1"/>
  <c r="H1355" i="1"/>
  <c r="H1356" i="1"/>
  <c r="H1357" i="1"/>
  <c r="H1358" i="1"/>
  <c r="H1359" i="1"/>
  <c r="H1360" i="1"/>
  <c r="H1361" i="1"/>
  <c r="H1362" i="1"/>
  <c r="H1363" i="1"/>
  <c r="H1364" i="1"/>
  <c r="H1365" i="1"/>
  <c r="H1366" i="1"/>
  <c r="H1367" i="1"/>
  <c r="H1368" i="1"/>
  <c r="H1369" i="1"/>
  <c r="H1370" i="1"/>
  <c r="H1371" i="1"/>
  <c r="H1372" i="1"/>
  <c r="H1373" i="1"/>
  <c r="H1374" i="1"/>
  <c r="H1375" i="1"/>
  <c r="H1376" i="1"/>
  <c r="H1377" i="1"/>
  <c r="H1378" i="1"/>
  <c r="H1379" i="1"/>
  <c r="H1380" i="1"/>
  <c r="H1381" i="1"/>
  <c r="H1382" i="1"/>
  <c r="H1383" i="1"/>
  <c r="H1384" i="1"/>
  <c r="H1385" i="1"/>
  <c r="H1386" i="1"/>
  <c r="H1387" i="1"/>
  <c r="H1388" i="1"/>
  <c r="H1389" i="1"/>
  <c r="H1390" i="1"/>
  <c r="H1391" i="1"/>
  <c r="H1392" i="1"/>
  <c r="H1393" i="1"/>
  <c r="H1394" i="1"/>
  <c r="H1395" i="1"/>
  <c r="H1396" i="1"/>
  <c r="H1397" i="1"/>
  <c r="H1398" i="1"/>
  <c r="H1399" i="1"/>
  <c r="H1400" i="1"/>
  <c r="H1401" i="1"/>
  <c r="H1402" i="1"/>
  <c r="H1403" i="1"/>
  <c r="H1404" i="1"/>
  <c r="H1405" i="1"/>
  <c r="H1406" i="1"/>
  <c r="H1407" i="1"/>
  <c r="H1408" i="1"/>
  <c r="H1409" i="1"/>
  <c r="H1410" i="1"/>
  <c r="H1411" i="1"/>
  <c r="H1412" i="1"/>
  <c r="H1413" i="1"/>
  <c r="H1414" i="1"/>
  <c r="H1415" i="1"/>
  <c r="H1416" i="1"/>
  <c r="H1417" i="1"/>
  <c r="H1418" i="1"/>
  <c r="H1419" i="1"/>
  <c r="H1420" i="1"/>
  <c r="H1421" i="1"/>
  <c r="H1422" i="1"/>
  <c r="H1423" i="1"/>
  <c r="H1424" i="1"/>
  <c r="H1425" i="1"/>
  <c r="H1426" i="1"/>
  <c r="H1427" i="1"/>
  <c r="H1428" i="1"/>
  <c r="H1429" i="1"/>
  <c r="H1430" i="1"/>
  <c r="H1431" i="1"/>
  <c r="H1432" i="1"/>
  <c r="H1433" i="1"/>
  <c r="H1434" i="1"/>
  <c r="H1435" i="1"/>
  <c r="H1436" i="1"/>
  <c r="H1437" i="1"/>
  <c r="H1438" i="1"/>
  <c r="H1439" i="1"/>
  <c r="H1440" i="1"/>
  <c r="H1441" i="1"/>
  <c r="H1442" i="1"/>
  <c r="H1443" i="1"/>
  <c r="H1444" i="1"/>
  <c r="H1445" i="1"/>
  <c r="H1446" i="1"/>
  <c r="H1447" i="1"/>
  <c r="H1448" i="1"/>
  <c r="H1449" i="1"/>
  <c r="H1450" i="1"/>
  <c r="H1451" i="1"/>
  <c r="H1452" i="1"/>
  <c r="H1453" i="1"/>
  <c r="H1454" i="1"/>
  <c r="H1455" i="1"/>
  <c r="H1456" i="1"/>
  <c r="H1457" i="1"/>
  <c r="H1458" i="1"/>
  <c r="H1459" i="1"/>
  <c r="H1460" i="1"/>
  <c r="H1461" i="1"/>
  <c r="H1462" i="1"/>
  <c r="H1463" i="1"/>
  <c r="H1464" i="1"/>
  <c r="H1465" i="1"/>
  <c r="H1466" i="1"/>
  <c r="H1467" i="1"/>
  <c r="H1468" i="1"/>
  <c r="H1469" i="1"/>
  <c r="H1470" i="1"/>
  <c r="H1471" i="1"/>
  <c r="H1472" i="1"/>
  <c r="H1473" i="1"/>
  <c r="H1474" i="1"/>
  <c r="H1475" i="1"/>
  <c r="H1476" i="1"/>
  <c r="H1477" i="1"/>
  <c r="H1478" i="1"/>
  <c r="H1479" i="1"/>
  <c r="H1480" i="1"/>
  <c r="H1481" i="1"/>
  <c r="H1482" i="1"/>
  <c r="H1483" i="1"/>
  <c r="H1484" i="1"/>
  <c r="H1485" i="1"/>
  <c r="H1486" i="1"/>
  <c r="H1487" i="1"/>
  <c r="H1488" i="1"/>
  <c r="H1489" i="1"/>
  <c r="H1490" i="1"/>
  <c r="H1491" i="1"/>
  <c r="H1492" i="1"/>
  <c r="H1493" i="1"/>
  <c r="H1494" i="1"/>
  <c r="H1495" i="1"/>
  <c r="H1496" i="1"/>
  <c r="H1497" i="1"/>
  <c r="H1498" i="1"/>
  <c r="H1499" i="1"/>
  <c r="H1500" i="1"/>
  <c r="H1501" i="1"/>
  <c r="H1502" i="1"/>
  <c r="H1503" i="1"/>
  <c r="H1504" i="1"/>
  <c r="H1505" i="1"/>
  <c r="H1506" i="1"/>
  <c r="H1507" i="1"/>
  <c r="H1508" i="1"/>
  <c r="H1509" i="1"/>
  <c r="H1510" i="1"/>
  <c r="H1511" i="1"/>
  <c r="H1512" i="1"/>
  <c r="H1513" i="1"/>
  <c r="H1514" i="1"/>
  <c r="H1515" i="1"/>
  <c r="H1516" i="1"/>
  <c r="H1517" i="1"/>
  <c r="H1518" i="1"/>
  <c r="H1519" i="1"/>
  <c r="H1520" i="1"/>
  <c r="H1521" i="1"/>
  <c r="H1522" i="1"/>
  <c r="H1523" i="1"/>
  <c r="H1524" i="1"/>
  <c r="H1525" i="1"/>
  <c r="H1526" i="1"/>
  <c r="H1527" i="1"/>
  <c r="H1528" i="1"/>
  <c r="H1529" i="1"/>
  <c r="H1530" i="1"/>
  <c r="H1531" i="1"/>
  <c r="H1532" i="1"/>
  <c r="H1533" i="1"/>
  <c r="H1534" i="1"/>
  <c r="H1535" i="1"/>
  <c r="H1536" i="1"/>
  <c r="H1537" i="1"/>
  <c r="H1538" i="1"/>
  <c r="H1539" i="1"/>
  <c r="H1540" i="1"/>
  <c r="H1541" i="1"/>
  <c r="H1542" i="1"/>
  <c r="H1543" i="1"/>
  <c r="H1544" i="1"/>
  <c r="H1545" i="1"/>
  <c r="H1546" i="1"/>
  <c r="H1547" i="1"/>
  <c r="H1548" i="1"/>
  <c r="H1549" i="1"/>
  <c r="H1550" i="1"/>
  <c r="H1551" i="1"/>
  <c r="H1552" i="1"/>
  <c r="H1553" i="1"/>
  <c r="H1554" i="1"/>
  <c r="H1555" i="1"/>
  <c r="H1556" i="1"/>
  <c r="H1557" i="1"/>
  <c r="H1558" i="1"/>
  <c r="H1559" i="1"/>
  <c r="H1560" i="1"/>
  <c r="H1561" i="1"/>
  <c r="H1562" i="1"/>
  <c r="H1563" i="1"/>
  <c r="H1564" i="1"/>
  <c r="H1565" i="1"/>
  <c r="H1566" i="1"/>
  <c r="H1567" i="1"/>
  <c r="H1568" i="1"/>
  <c r="H1569" i="1"/>
  <c r="H1570" i="1"/>
  <c r="H1571" i="1"/>
  <c r="H1572" i="1"/>
  <c r="H1573" i="1"/>
  <c r="H1574" i="1"/>
  <c r="H1575" i="1"/>
  <c r="H1576" i="1"/>
  <c r="H1577" i="1"/>
  <c r="H1578" i="1"/>
  <c r="H1579" i="1"/>
  <c r="H1580" i="1"/>
  <c r="H1581" i="1"/>
  <c r="H1582" i="1"/>
  <c r="H1583" i="1"/>
  <c r="H1584" i="1"/>
  <c r="H1585" i="1"/>
  <c r="H1586" i="1"/>
  <c r="H1587" i="1"/>
  <c r="H1588" i="1"/>
  <c r="H1589" i="1"/>
  <c r="H1590" i="1"/>
  <c r="H1591" i="1"/>
  <c r="H1592" i="1"/>
  <c r="H1593" i="1"/>
  <c r="H1594" i="1"/>
  <c r="H1595" i="1"/>
  <c r="H1596" i="1"/>
  <c r="H1597" i="1"/>
  <c r="H1598" i="1"/>
  <c r="H1599" i="1"/>
  <c r="H1600" i="1"/>
  <c r="H1601" i="1"/>
  <c r="H1602" i="1"/>
  <c r="H1603" i="1"/>
  <c r="H1604" i="1"/>
  <c r="H1605" i="1"/>
  <c r="H1606" i="1"/>
  <c r="H1607" i="1"/>
  <c r="H1608" i="1"/>
  <c r="H1609" i="1"/>
  <c r="H1610" i="1"/>
  <c r="H1611" i="1"/>
  <c r="H1612" i="1"/>
  <c r="H1613" i="1"/>
  <c r="H1614" i="1"/>
  <c r="H1615" i="1"/>
  <c r="H1616" i="1"/>
  <c r="H1617" i="1"/>
  <c r="H1618" i="1"/>
  <c r="H1619" i="1"/>
  <c r="H1620" i="1"/>
  <c r="H1621" i="1"/>
  <c r="H1622" i="1"/>
  <c r="H1623" i="1"/>
  <c r="H1624" i="1"/>
  <c r="H1625" i="1"/>
  <c r="H1626" i="1"/>
  <c r="H1627" i="1"/>
  <c r="H1628" i="1"/>
  <c r="H1629" i="1"/>
  <c r="H1630" i="1"/>
  <c r="H1631" i="1"/>
  <c r="H1632" i="1"/>
  <c r="H1633" i="1"/>
  <c r="H1634" i="1"/>
  <c r="H1635" i="1"/>
  <c r="H1636" i="1"/>
  <c r="H1637" i="1"/>
  <c r="H1638" i="1"/>
  <c r="H1639" i="1"/>
  <c r="H1640" i="1"/>
  <c r="H1641" i="1"/>
  <c r="H1642" i="1"/>
  <c r="H1643" i="1"/>
  <c r="H1644" i="1"/>
  <c r="H1645" i="1"/>
  <c r="H1646" i="1"/>
  <c r="H1647" i="1"/>
  <c r="H1648" i="1"/>
  <c r="H1649" i="1"/>
  <c r="H1650" i="1"/>
  <c r="H1651" i="1"/>
  <c r="H1652" i="1"/>
  <c r="H1653" i="1"/>
  <c r="H1654" i="1"/>
  <c r="H1655" i="1"/>
  <c r="H1656" i="1"/>
  <c r="H1657" i="1"/>
  <c r="H1658" i="1"/>
  <c r="H1659" i="1"/>
  <c r="H1660" i="1"/>
  <c r="H1661" i="1"/>
  <c r="H1662" i="1"/>
  <c r="H1663" i="1"/>
  <c r="H1664" i="1"/>
  <c r="H1665" i="1"/>
  <c r="H1666" i="1"/>
  <c r="H1667" i="1"/>
  <c r="H1668" i="1"/>
  <c r="H1669" i="1"/>
  <c r="H1670" i="1"/>
  <c r="H1671" i="1"/>
  <c r="H1672" i="1"/>
  <c r="H1673" i="1"/>
  <c r="H1674" i="1"/>
  <c r="H1675" i="1"/>
  <c r="H1676" i="1"/>
  <c r="H1677" i="1"/>
  <c r="H1678" i="1"/>
  <c r="H1679" i="1"/>
  <c r="H1680" i="1"/>
  <c r="H1681" i="1"/>
  <c r="H1682" i="1"/>
  <c r="H1683" i="1"/>
  <c r="H1684" i="1"/>
  <c r="H1685" i="1"/>
  <c r="H1686" i="1"/>
  <c r="H1687" i="1"/>
  <c r="H1688" i="1"/>
  <c r="H1689" i="1"/>
  <c r="H1690" i="1"/>
  <c r="H1691" i="1"/>
  <c r="H1692" i="1"/>
  <c r="H1693" i="1"/>
  <c r="H1694" i="1"/>
  <c r="H1695" i="1"/>
  <c r="H1696" i="1"/>
  <c r="H1697" i="1"/>
  <c r="H1698" i="1"/>
  <c r="H1699" i="1"/>
  <c r="H1700" i="1"/>
  <c r="H1701" i="1"/>
  <c r="H1702" i="1"/>
  <c r="H1703" i="1"/>
  <c r="H1704" i="1"/>
  <c r="H1705" i="1"/>
  <c r="H1706" i="1"/>
  <c r="H1707" i="1"/>
  <c r="H1708" i="1"/>
  <c r="H1709" i="1"/>
  <c r="H1710" i="1"/>
  <c r="H1711" i="1"/>
  <c r="H1712" i="1"/>
  <c r="H1713" i="1"/>
  <c r="H1714" i="1"/>
  <c r="H1715" i="1"/>
  <c r="H1716" i="1"/>
  <c r="H1717" i="1"/>
  <c r="H1718" i="1"/>
  <c r="H1719" i="1"/>
  <c r="H1720" i="1"/>
  <c r="H1721" i="1"/>
  <c r="H1722" i="1"/>
  <c r="H1723" i="1"/>
  <c r="H1724" i="1"/>
  <c r="H1725" i="1"/>
  <c r="H1726" i="1"/>
  <c r="H1727" i="1"/>
  <c r="H1728" i="1"/>
  <c r="H1729" i="1"/>
  <c r="H1730" i="1"/>
  <c r="H1731" i="1"/>
  <c r="H1732" i="1"/>
  <c r="H1733" i="1"/>
  <c r="H1734" i="1"/>
  <c r="H1735" i="1"/>
  <c r="H1736" i="1"/>
  <c r="H1737" i="1"/>
  <c r="H1738" i="1"/>
  <c r="H1739" i="1"/>
  <c r="H1740" i="1"/>
  <c r="H1741" i="1"/>
  <c r="H1742" i="1"/>
  <c r="H1743" i="1"/>
  <c r="H1744" i="1"/>
  <c r="H1745" i="1"/>
  <c r="H1746" i="1"/>
  <c r="H1747" i="1"/>
  <c r="H1748" i="1"/>
  <c r="H1749" i="1"/>
  <c r="H1750" i="1"/>
  <c r="H1751" i="1"/>
  <c r="H1752" i="1"/>
  <c r="H1753" i="1"/>
  <c r="H1754" i="1"/>
  <c r="H1755" i="1"/>
  <c r="H1756" i="1"/>
  <c r="H1757" i="1"/>
  <c r="H1758" i="1"/>
  <c r="H1759" i="1"/>
  <c r="H1760" i="1"/>
  <c r="H1761" i="1"/>
  <c r="H1762" i="1"/>
  <c r="H1763" i="1"/>
  <c r="H1764" i="1"/>
  <c r="H1765" i="1"/>
  <c r="H1766" i="1"/>
  <c r="H1767" i="1"/>
  <c r="H1768" i="1"/>
  <c r="H1769" i="1"/>
  <c r="H1770" i="1"/>
  <c r="H1771" i="1"/>
  <c r="H1772" i="1"/>
  <c r="H1773" i="1"/>
  <c r="H1774" i="1"/>
  <c r="H1775" i="1"/>
  <c r="H1776" i="1"/>
  <c r="H1777" i="1"/>
  <c r="H1778" i="1"/>
  <c r="H1779" i="1"/>
  <c r="H1780" i="1"/>
  <c r="H1781" i="1"/>
  <c r="H1782" i="1"/>
  <c r="H1783" i="1"/>
  <c r="H1784" i="1"/>
  <c r="H1785" i="1"/>
  <c r="H1786" i="1"/>
  <c r="H1787" i="1"/>
  <c r="H1788" i="1"/>
  <c r="H1789" i="1"/>
  <c r="H1790" i="1"/>
  <c r="H1791" i="1"/>
  <c r="H1792" i="1"/>
  <c r="H1793" i="1"/>
  <c r="H1794" i="1"/>
  <c r="H1795" i="1"/>
  <c r="H1796" i="1"/>
  <c r="H1797" i="1"/>
  <c r="H1798" i="1"/>
  <c r="H1799" i="1"/>
  <c r="H1800" i="1"/>
  <c r="H1801" i="1"/>
  <c r="H1802" i="1"/>
  <c r="H1803" i="1"/>
  <c r="H1804" i="1"/>
  <c r="H1805" i="1"/>
  <c r="H1806" i="1"/>
  <c r="H1807" i="1"/>
  <c r="H1808" i="1"/>
  <c r="H1809" i="1"/>
  <c r="H1810" i="1"/>
  <c r="H1811" i="1"/>
  <c r="H1812" i="1"/>
  <c r="H1813" i="1"/>
  <c r="H1814" i="1"/>
  <c r="H1815" i="1"/>
  <c r="H1816" i="1"/>
  <c r="H1817" i="1"/>
  <c r="H1818" i="1"/>
  <c r="H1819" i="1"/>
  <c r="H1820" i="1"/>
  <c r="H1821" i="1"/>
  <c r="H1822" i="1"/>
  <c r="H1823" i="1"/>
  <c r="H1824" i="1"/>
  <c r="H1825" i="1"/>
  <c r="H1826" i="1"/>
  <c r="H1827" i="1"/>
  <c r="H1828" i="1"/>
  <c r="H1829" i="1"/>
  <c r="H1830" i="1"/>
  <c r="H1831" i="1"/>
  <c r="H1832" i="1"/>
  <c r="H1833" i="1"/>
  <c r="H1834" i="1"/>
  <c r="H1835" i="1"/>
  <c r="H1836" i="1"/>
  <c r="H1837" i="1"/>
  <c r="H1838" i="1"/>
  <c r="H1839" i="1"/>
  <c r="H1840" i="1"/>
  <c r="H1841" i="1"/>
  <c r="H1842" i="1"/>
  <c r="H1843" i="1"/>
  <c r="H1844" i="1"/>
  <c r="H1845" i="1"/>
  <c r="H1846" i="1"/>
  <c r="H1847" i="1"/>
  <c r="H1848" i="1"/>
  <c r="H1849" i="1"/>
  <c r="H1850" i="1"/>
  <c r="H1851" i="1"/>
  <c r="H1852" i="1"/>
  <c r="H1853" i="1"/>
  <c r="H1854" i="1"/>
  <c r="H1855" i="1"/>
  <c r="H1856" i="1"/>
  <c r="H1857" i="1"/>
  <c r="H1858" i="1"/>
  <c r="H1859" i="1"/>
  <c r="H1860" i="1"/>
  <c r="H1861" i="1"/>
  <c r="H1862" i="1"/>
  <c r="H1863" i="1"/>
  <c r="H1864" i="1"/>
  <c r="H1865" i="1"/>
  <c r="H1866" i="1"/>
  <c r="H1867" i="1"/>
  <c r="H1868" i="1"/>
  <c r="H1869" i="1"/>
  <c r="H1870" i="1"/>
  <c r="H1871" i="1"/>
  <c r="H1872" i="1"/>
  <c r="H1873" i="1"/>
  <c r="H1874" i="1"/>
  <c r="H1875" i="1"/>
  <c r="H1876" i="1"/>
  <c r="H1877" i="1"/>
  <c r="H1878" i="1"/>
  <c r="H1879" i="1"/>
  <c r="H1880" i="1"/>
  <c r="H1881" i="1"/>
  <c r="H1882" i="1"/>
  <c r="H1883" i="1"/>
  <c r="H1884" i="1"/>
  <c r="H1885" i="1"/>
  <c r="H1886" i="1"/>
  <c r="H1887" i="1"/>
  <c r="H1888" i="1"/>
  <c r="H1889" i="1"/>
  <c r="H1890" i="1"/>
  <c r="H1891" i="1"/>
  <c r="H1892" i="1"/>
  <c r="H1893" i="1"/>
  <c r="H1894" i="1"/>
  <c r="H1895" i="1"/>
  <c r="H1896" i="1"/>
  <c r="H1897" i="1"/>
  <c r="H1898" i="1"/>
  <c r="H1899" i="1"/>
  <c r="H1900" i="1"/>
  <c r="H1901" i="1"/>
  <c r="H1902" i="1"/>
  <c r="H1903" i="1"/>
  <c r="H1904" i="1"/>
  <c r="H1905" i="1"/>
  <c r="H1906" i="1"/>
  <c r="H1907" i="1"/>
  <c r="H1908" i="1"/>
  <c r="H1909" i="1"/>
  <c r="H1910" i="1"/>
  <c r="H1911" i="1"/>
  <c r="H1912" i="1"/>
  <c r="H1913" i="1"/>
  <c r="H1914" i="1"/>
  <c r="H1915" i="1"/>
  <c r="H1916" i="1"/>
  <c r="H1917" i="1"/>
  <c r="H1918" i="1"/>
  <c r="H1919" i="1"/>
  <c r="H1920" i="1"/>
  <c r="H1921" i="1"/>
  <c r="H1922" i="1"/>
  <c r="H1923" i="1"/>
  <c r="H1924" i="1"/>
  <c r="H1925" i="1"/>
  <c r="H1926" i="1"/>
  <c r="H1927" i="1"/>
  <c r="H1928" i="1"/>
  <c r="H1929" i="1"/>
  <c r="H1930" i="1"/>
  <c r="H1931" i="1"/>
  <c r="H1932" i="1"/>
  <c r="H1933" i="1"/>
  <c r="H1934" i="1"/>
  <c r="H1935" i="1"/>
  <c r="H1936" i="1"/>
  <c r="H1937" i="1"/>
  <c r="H1938" i="1"/>
  <c r="H1939" i="1"/>
  <c r="H1940" i="1"/>
  <c r="H1941" i="1"/>
  <c r="H1942" i="1"/>
  <c r="H1943" i="1"/>
  <c r="H1944" i="1"/>
  <c r="H1945" i="1"/>
  <c r="H1946" i="1"/>
  <c r="H1947" i="1"/>
  <c r="H1948" i="1"/>
  <c r="H1949" i="1"/>
  <c r="H1950" i="1"/>
  <c r="H1951" i="1"/>
  <c r="H1952" i="1"/>
  <c r="H1953" i="1"/>
  <c r="H1954" i="1"/>
  <c r="H1955" i="1"/>
  <c r="H1956" i="1"/>
  <c r="H1957" i="1"/>
  <c r="H1958" i="1"/>
  <c r="H1959" i="1"/>
  <c r="H1960" i="1"/>
  <c r="H1961" i="1"/>
  <c r="H1962" i="1"/>
  <c r="H1963" i="1"/>
  <c r="H1964" i="1"/>
  <c r="H1965" i="1"/>
  <c r="H1966" i="1"/>
  <c r="H1967" i="1"/>
  <c r="H1968" i="1"/>
  <c r="H1969" i="1"/>
  <c r="H1970" i="1"/>
  <c r="H1971" i="1"/>
  <c r="H1972" i="1"/>
  <c r="H1973" i="1"/>
  <c r="H1974" i="1"/>
  <c r="H1975" i="1"/>
  <c r="H1976" i="1"/>
  <c r="H1977" i="1"/>
  <c r="H1978" i="1"/>
  <c r="H1979" i="1"/>
  <c r="H1980" i="1"/>
  <c r="H1981" i="1"/>
  <c r="H1982" i="1"/>
  <c r="H1983" i="1"/>
  <c r="H1984" i="1"/>
  <c r="H1985" i="1"/>
  <c r="H1986" i="1"/>
  <c r="H1987" i="1"/>
  <c r="H1988" i="1"/>
  <c r="H1989" i="1"/>
  <c r="H1990" i="1"/>
  <c r="H1991" i="1"/>
  <c r="H1992" i="1"/>
  <c r="H1993" i="1"/>
  <c r="H1994" i="1"/>
  <c r="H1995" i="1"/>
  <c r="H1996" i="1"/>
  <c r="H1997" i="1"/>
  <c r="H1998" i="1"/>
  <c r="H1999" i="1"/>
  <c r="H2000" i="1"/>
  <c r="T2011" i="1"/>
  <c r="T2012" i="1"/>
  <c r="T2013" i="1"/>
  <c r="T2014" i="1"/>
  <c r="T2015" i="1"/>
  <c r="T2016" i="1"/>
  <c r="T2017" i="1"/>
  <c r="T2018" i="1"/>
  <c r="T2019" i="1"/>
  <c r="T2020" i="1"/>
  <c r="T2021" i="1"/>
  <c r="T2022" i="1"/>
  <c r="T2023" i="1"/>
  <c r="T2024" i="1"/>
  <c r="T2025" i="1"/>
  <c r="T2026" i="1"/>
  <c r="T2027" i="1"/>
  <c r="T2028" i="1"/>
  <c r="T2029" i="1"/>
  <c r="T2030" i="1"/>
  <c r="T2031" i="1"/>
  <c r="T2032" i="1"/>
  <c r="T2033" i="1"/>
  <c r="T2034" i="1"/>
  <c r="T2035" i="1"/>
  <c r="T2036" i="1"/>
  <c r="T2037" i="1"/>
  <c r="T2038" i="1"/>
  <c r="T2039" i="1"/>
  <c r="T2040" i="1"/>
  <c r="T2041" i="1"/>
  <c r="T2042" i="1"/>
  <c r="T2043" i="1"/>
  <c r="T2044" i="1"/>
  <c r="T2045" i="1"/>
  <c r="T2046" i="1"/>
  <c r="T2047" i="1"/>
  <c r="T2048" i="1"/>
  <c r="T2049" i="1"/>
  <c r="T2050" i="1"/>
  <c r="T2051" i="1"/>
  <c r="T2052" i="1"/>
  <c r="T2053" i="1"/>
  <c r="T2054" i="1"/>
  <c r="T2055" i="1"/>
  <c r="T2056" i="1"/>
  <c r="T2057" i="1"/>
  <c r="T2058" i="1"/>
  <c r="T2059" i="1"/>
  <c r="T2060" i="1"/>
  <c r="T2061" i="1"/>
  <c r="T2062" i="1"/>
  <c r="T2063" i="1"/>
  <c r="T2064" i="1"/>
  <c r="T2065" i="1"/>
  <c r="T2066" i="1"/>
  <c r="T2067" i="1"/>
  <c r="T2068" i="1"/>
  <c r="T2069" i="1"/>
  <c r="T2070" i="1"/>
  <c r="T2071" i="1"/>
  <c r="T2072" i="1"/>
  <c r="T2073" i="1"/>
  <c r="T2074" i="1"/>
  <c r="T2075" i="1"/>
  <c r="T2076" i="1"/>
  <c r="T2077" i="1"/>
  <c r="T2078" i="1"/>
  <c r="T2079" i="1"/>
  <c r="T2080" i="1"/>
  <c r="T2081" i="1"/>
  <c r="T2082" i="1"/>
  <c r="T2083" i="1"/>
  <c r="T2084" i="1"/>
  <c r="T2085" i="1"/>
  <c r="T2086" i="1"/>
  <c r="T2087" i="1"/>
  <c r="T2088" i="1"/>
  <c r="T2089" i="1"/>
  <c r="T2090" i="1"/>
  <c r="T2091" i="1"/>
  <c r="T2092" i="1"/>
  <c r="T2093" i="1"/>
  <c r="T2094" i="1"/>
  <c r="T2095" i="1"/>
  <c r="T2096" i="1"/>
  <c r="T2097" i="1"/>
  <c r="T2098" i="1"/>
  <c r="T2099" i="1"/>
  <c r="T2100" i="1"/>
  <c r="T2101" i="1"/>
  <c r="T2102" i="1"/>
  <c r="T2103" i="1"/>
  <c r="T2104" i="1"/>
  <c r="T2105" i="1"/>
  <c r="T2106" i="1"/>
  <c r="T2107" i="1"/>
  <c r="T2108" i="1"/>
  <c r="T2109" i="1"/>
  <c r="T2110" i="1"/>
  <c r="T2111" i="1"/>
  <c r="T2112" i="1"/>
  <c r="T2113" i="1"/>
  <c r="T2114" i="1"/>
  <c r="T2115" i="1"/>
  <c r="T2116" i="1"/>
  <c r="T2117" i="1"/>
  <c r="T2118" i="1"/>
  <c r="T2119" i="1"/>
  <c r="T2120" i="1"/>
  <c r="T2121" i="1"/>
  <c r="T2122" i="1"/>
  <c r="T2123" i="1"/>
  <c r="T2124" i="1"/>
  <c r="T2125" i="1"/>
  <c r="T2126" i="1"/>
  <c r="T2127" i="1"/>
  <c r="T2128" i="1"/>
  <c r="T2129" i="1"/>
  <c r="T2130" i="1"/>
  <c r="T2131" i="1"/>
  <c r="T2132" i="1"/>
  <c r="T2133" i="1"/>
  <c r="T2134" i="1"/>
  <c r="T2135" i="1"/>
  <c r="T2136" i="1"/>
  <c r="T2137" i="1"/>
  <c r="T2138" i="1"/>
  <c r="T2139" i="1"/>
  <c r="T2140" i="1"/>
  <c r="T2141" i="1"/>
  <c r="T2142" i="1"/>
  <c r="T2143" i="1"/>
  <c r="T2144" i="1"/>
  <c r="T2145" i="1"/>
  <c r="T2146" i="1"/>
  <c r="T2147" i="1"/>
  <c r="T2148" i="1"/>
  <c r="T2149" i="1"/>
  <c r="T2150" i="1"/>
  <c r="T2151" i="1"/>
  <c r="T2152" i="1"/>
  <c r="T2153" i="1"/>
  <c r="T2154" i="1"/>
  <c r="T2155" i="1"/>
  <c r="T2156" i="1"/>
  <c r="T2157" i="1"/>
  <c r="T2158" i="1"/>
  <c r="T2159" i="1"/>
  <c r="T2160" i="1"/>
  <c r="T2161" i="1"/>
  <c r="T2162" i="1"/>
  <c r="T2163" i="1"/>
  <c r="T2164" i="1"/>
  <c r="T2165" i="1"/>
  <c r="T2166" i="1"/>
  <c r="T2167" i="1"/>
  <c r="T2168" i="1"/>
  <c r="T2169" i="1"/>
  <c r="T2170" i="1"/>
  <c r="T2171" i="1"/>
  <c r="T2172" i="1"/>
  <c r="T2173" i="1"/>
  <c r="T2174" i="1"/>
  <c r="T2175" i="1"/>
  <c r="T2176" i="1"/>
  <c r="T2177" i="1"/>
  <c r="T2178" i="1"/>
  <c r="T2179" i="1"/>
  <c r="T2180" i="1"/>
  <c r="T2181" i="1"/>
  <c r="T2182" i="1"/>
  <c r="T2183" i="1"/>
  <c r="T2184" i="1"/>
  <c r="T2185" i="1"/>
  <c r="T2186" i="1"/>
  <c r="T2187" i="1"/>
  <c r="T2188" i="1"/>
  <c r="T2189" i="1"/>
  <c r="T2190" i="1"/>
  <c r="T2191" i="1"/>
  <c r="T2192" i="1"/>
  <c r="T2193" i="1"/>
  <c r="T2194" i="1"/>
  <c r="T2195" i="1"/>
  <c r="T2196" i="1"/>
  <c r="T2197" i="1"/>
  <c r="T2198" i="1"/>
  <c r="T2199" i="1"/>
  <c r="T2200" i="1"/>
  <c r="T2201" i="1"/>
  <c r="T2202" i="1"/>
  <c r="T2203" i="1"/>
  <c r="T2204" i="1"/>
  <c r="T2205" i="1"/>
  <c r="T2206" i="1"/>
  <c r="T2207" i="1"/>
  <c r="T2208" i="1"/>
  <c r="T2209" i="1"/>
  <c r="T2210" i="1"/>
  <c r="T2211" i="1"/>
  <c r="T2212" i="1"/>
  <c r="T2213" i="1"/>
  <c r="T2214" i="1"/>
  <c r="T2215" i="1"/>
  <c r="T2216" i="1"/>
  <c r="T2217" i="1"/>
  <c r="T2218" i="1"/>
  <c r="T2219" i="1"/>
  <c r="T2220" i="1"/>
  <c r="T2221" i="1"/>
  <c r="T2222" i="1"/>
  <c r="T2223" i="1"/>
  <c r="T2224" i="1"/>
  <c r="T2225" i="1"/>
  <c r="T2226" i="1"/>
  <c r="T2227" i="1"/>
  <c r="T2228" i="1"/>
  <c r="T2229" i="1"/>
  <c r="T2230" i="1"/>
  <c r="T2231" i="1"/>
  <c r="T2232" i="1"/>
  <c r="T2233" i="1"/>
  <c r="T2234" i="1"/>
  <c r="T2235" i="1"/>
  <c r="T2236" i="1"/>
  <c r="T2237" i="1"/>
  <c r="T2238" i="1"/>
  <c r="T2239" i="1"/>
  <c r="T2240" i="1"/>
  <c r="T2241" i="1"/>
  <c r="T2242" i="1"/>
  <c r="T2243" i="1"/>
  <c r="T2244" i="1"/>
  <c r="T2245" i="1"/>
  <c r="T2246" i="1"/>
  <c r="T2247" i="1"/>
  <c r="T2248" i="1"/>
  <c r="T2249" i="1"/>
  <c r="T2250" i="1"/>
  <c r="T2251" i="1"/>
  <c r="T2252" i="1"/>
  <c r="T2253" i="1"/>
  <c r="T2254" i="1"/>
  <c r="T2255" i="1"/>
  <c r="T2256" i="1"/>
  <c r="T2257" i="1"/>
  <c r="T2258" i="1"/>
  <c r="T2259" i="1"/>
  <c r="T2260" i="1"/>
  <c r="T2261" i="1"/>
  <c r="T2262" i="1"/>
  <c r="T2263" i="1"/>
  <c r="T2264" i="1"/>
  <c r="T2265" i="1"/>
  <c r="T2266" i="1"/>
  <c r="T2267" i="1"/>
  <c r="T2268" i="1"/>
  <c r="T2269" i="1"/>
  <c r="T2270" i="1"/>
  <c r="T2271" i="1"/>
  <c r="T2272" i="1"/>
  <c r="T2273" i="1"/>
  <c r="T2274" i="1"/>
  <c r="T2275" i="1"/>
  <c r="T2276" i="1"/>
  <c r="T2277" i="1"/>
  <c r="T2278" i="1"/>
  <c r="T2279" i="1"/>
  <c r="T2280" i="1"/>
  <c r="T2281" i="1"/>
  <c r="T2282" i="1"/>
  <c r="T2283" i="1"/>
  <c r="T2284" i="1"/>
  <c r="T2285" i="1"/>
  <c r="T2286" i="1"/>
  <c r="T2287" i="1"/>
  <c r="T2288" i="1"/>
  <c r="T2289" i="1"/>
  <c r="T2290" i="1"/>
  <c r="T2291" i="1"/>
  <c r="T2292" i="1"/>
  <c r="T2293" i="1"/>
  <c r="T2294" i="1"/>
  <c r="T2295" i="1"/>
  <c r="T2296" i="1"/>
  <c r="T2297" i="1"/>
  <c r="T2298" i="1"/>
  <c r="T2299" i="1"/>
  <c r="T2300" i="1"/>
  <c r="T2301" i="1"/>
  <c r="T2302" i="1"/>
  <c r="T2303" i="1"/>
  <c r="T2304" i="1"/>
  <c r="T2305" i="1"/>
  <c r="T2306" i="1"/>
  <c r="T2307" i="1"/>
  <c r="T2308" i="1"/>
  <c r="T2309" i="1"/>
  <c r="T2310" i="1"/>
  <c r="T2311" i="1"/>
  <c r="T2312" i="1"/>
  <c r="T2313" i="1"/>
  <c r="T2314" i="1"/>
  <c r="T2315" i="1"/>
  <c r="T2316" i="1"/>
  <c r="T2317" i="1"/>
  <c r="T2318" i="1"/>
  <c r="T2319" i="1"/>
  <c r="T2320" i="1"/>
  <c r="T2321" i="1"/>
  <c r="T2322" i="1"/>
  <c r="T2323" i="1"/>
  <c r="T2324" i="1"/>
  <c r="T2325" i="1"/>
  <c r="T2326" i="1"/>
  <c r="T2327" i="1"/>
  <c r="T2328" i="1"/>
  <c r="T2329" i="1"/>
  <c r="T2330" i="1"/>
  <c r="T2331" i="1"/>
  <c r="T2332" i="1"/>
  <c r="T2333" i="1"/>
  <c r="T2334" i="1"/>
  <c r="T2335" i="1"/>
  <c r="T2336" i="1"/>
  <c r="T2337" i="1"/>
  <c r="T2338" i="1"/>
  <c r="T2339" i="1"/>
  <c r="T2340" i="1"/>
  <c r="T2341" i="1"/>
  <c r="T2342" i="1"/>
  <c r="T2343" i="1"/>
  <c r="T2344" i="1"/>
  <c r="T2345" i="1"/>
  <c r="T2346" i="1"/>
  <c r="T2347" i="1"/>
  <c r="T2348" i="1"/>
  <c r="T2349" i="1"/>
  <c r="T2350" i="1"/>
  <c r="T2351" i="1"/>
  <c r="T2352" i="1"/>
  <c r="T2353" i="1"/>
  <c r="T2354" i="1"/>
  <c r="T2355" i="1"/>
  <c r="T2356" i="1"/>
  <c r="T2357" i="1"/>
  <c r="T2358" i="1"/>
  <c r="T2359" i="1"/>
  <c r="T2360" i="1"/>
  <c r="T2361" i="1"/>
  <c r="T2362" i="1"/>
  <c r="T2363" i="1"/>
  <c r="T2364" i="1"/>
  <c r="T2365" i="1"/>
  <c r="T2366" i="1"/>
  <c r="T2367" i="1"/>
  <c r="T2368" i="1"/>
  <c r="T2369" i="1"/>
  <c r="T2370" i="1"/>
  <c r="T2371" i="1"/>
  <c r="T2372" i="1"/>
  <c r="T2373" i="1"/>
  <c r="T2374" i="1"/>
  <c r="T2375" i="1"/>
  <c r="T2376" i="1"/>
  <c r="T2377" i="1"/>
  <c r="T2378" i="1"/>
  <c r="T2379" i="1"/>
  <c r="T2380" i="1"/>
  <c r="T2381" i="1"/>
  <c r="T2382" i="1"/>
  <c r="T2383" i="1"/>
  <c r="T2384" i="1"/>
  <c r="T2385" i="1"/>
  <c r="T2386" i="1"/>
  <c r="T2387" i="1"/>
  <c r="T2388" i="1"/>
  <c r="T2389" i="1"/>
  <c r="T2390" i="1"/>
  <c r="T2391" i="1"/>
  <c r="T2392" i="1"/>
  <c r="T2393" i="1"/>
  <c r="T2394" i="1"/>
  <c r="T2395" i="1"/>
  <c r="T2396" i="1"/>
  <c r="T2397" i="1"/>
  <c r="T2398" i="1"/>
  <c r="T2399" i="1"/>
  <c r="T2400" i="1"/>
  <c r="T2401" i="1"/>
  <c r="T2402" i="1"/>
  <c r="T2403" i="1"/>
  <c r="T2404" i="1"/>
  <c r="T2405" i="1"/>
  <c r="T2406" i="1"/>
  <c r="T2407" i="1"/>
  <c r="T2408" i="1"/>
  <c r="T2409" i="1"/>
  <c r="T2410" i="1"/>
  <c r="T2411" i="1"/>
  <c r="T2412" i="1"/>
  <c r="T2413" i="1"/>
  <c r="T2414" i="1"/>
  <c r="T2415" i="1"/>
  <c r="T2416" i="1"/>
  <c r="T2417" i="1"/>
  <c r="T2418" i="1"/>
  <c r="T2419" i="1"/>
  <c r="T2420" i="1"/>
  <c r="T2421" i="1"/>
  <c r="T2422" i="1"/>
  <c r="T2423" i="1"/>
  <c r="T2424" i="1"/>
  <c r="T2425" i="1"/>
  <c r="T2426" i="1"/>
  <c r="T2427" i="1"/>
  <c r="T2428" i="1"/>
  <c r="T2429" i="1"/>
  <c r="T2430" i="1"/>
  <c r="T2431" i="1"/>
  <c r="T2432" i="1"/>
  <c r="T2433" i="1"/>
  <c r="T2434" i="1"/>
  <c r="T2435" i="1"/>
  <c r="T2436" i="1"/>
  <c r="T2437" i="1"/>
  <c r="T2438" i="1"/>
  <c r="T2439" i="1"/>
  <c r="T2440" i="1"/>
  <c r="T2441" i="1"/>
  <c r="T2442" i="1"/>
  <c r="T2443" i="1"/>
  <c r="T2444" i="1"/>
  <c r="T2445" i="1"/>
  <c r="T2446" i="1"/>
  <c r="T2447" i="1"/>
  <c r="T2448" i="1"/>
  <c r="T2449" i="1"/>
  <c r="T2450" i="1"/>
  <c r="T2451" i="1"/>
  <c r="T2452" i="1"/>
  <c r="T2453" i="1"/>
  <c r="T2454" i="1"/>
  <c r="T2455" i="1"/>
  <c r="T2456" i="1"/>
  <c r="T2457" i="1"/>
  <c r="T2458" i="1"/>
  <c r="T2459" i="1"/>
  <c r="T2460" i="1"/>
  <c r="T2461" i="1"/>
  <c r="T2462" i="1"/>
  <c r="T2463" i="1"/>
  <c r="T2464" i="1"/>
  <c r="T2465" i="1"/>
  <c r="T2466" i="1"/>
  <c r="T2467" i="1"/>
  <c r="T2468" i="1"/>
  <c r="T2469" i="1"/>
  <c r="T2470" i="1"/>
  <c r="T2471" i="1"/>
  <c r="T2472" i="1"/>
  <c r="T2473" i="1"/>
  <c r="T2474" i="1"/>
  <c r="T2475" i="1"/>
  <c r="T2476" i="1"/>
  <c r="T2477" i="1"/>
  <c r="T2478" i="1"/>
  <c r="T2479" i="1"/>
  <c r="T2480" i="1"/>
  <c r="T2481" i="1"/>
  <c r="T2482" i="1"/>
  <c r="T2483" i="1"/>
  <c r="T2484" i="1"/>
  <c r="T2485" i="1"/>
  <c r="T2486" i="1"/>
  <c r="T2487" i="1"/>
  <c r="T2488" i="1"/>
  <c r="T2489" i="1"/>
  <c r="T2490" i="1"/>
  <c r="T2491" i="1"/>
  <c r="T2492" i="1"/>
  <c r="T2493" i="1"/>
  <c r="T2494" i="1"/>
  <c r="T2495" i="1"/>
  <c r="T2496" i="1"/>
  <c r="T2497" i="1"/>
  <c r="T2498" i="1"/>
  <c r="T2499" i="1"/>
  <c r="T2500" i="1"/>
  <c r="T2501" i="1"/>
  <c r="T2502" i="1"/>
  <c r="T2503" i="1"/>
  <c r="T2504" i="1"/>
  <c r="T2505" i="1"/>
  <c r="T2506" i="1"/>
  <c r="T2507" i="1"/>
  <c r="T2508" i="1"/>
  <c r="T2509" i="1"/>
  <c r="T2510" i="1"/>
  <c r="T2511" i="1"/>
  <c r="T2512" i="1"/>
  <c r="T2513" i="1"/>
  <c r="T2514" i="1"/>
  <c r="T2515" i="1"/>
  <c r="T2516" i="1"/>
  <c r="T2517" i="1"/>
  <c r="T2518" i="1"/>
  <c r="T2519" i="1"/>
  <c r="T2520" i="1"/>
  <c r="T2521" i="1"/>
  <c r="T2522" i="1"/>
  <c r="T2523" i="1"/>
  <c r="T2524" i="1"/>
  <c r="T2525" i="1"/>
  <c r="T2526" i="1"/>
  <c r="T2527" i="1"/>
  <c r="T2528" i="1"/>
  <c r="T2529" i="1"/>
  <c r="T2530" i="1"/>
  <c r="T2531" i="1"/>
  <c r="T2532" i="1"/>
  <c r="T2533" i="1"/>
  <c r="T2534" i="1"/>
  <c r="T2535" i="1"/>
  <c r="T2536" i="1"/>
  <c r="T2537" i="1"/>
  <c r="T2538" i="1"/>
  <c r="T2539" i="1"/>
  <c r="T2540" i="1"/>
  <c r="T2541" i="1"/>
  <c r="T2542" i="1"/>
  <c r="T2543" i="1"/>
  <c r="T2544" i="1"/>
  <c r="T2545" i="1"/>
  <c r="T2546" i="1"/>
  <c r="T2547" i="1"/>
  <c r="T2548" i="1"/>
  <c r="T2549" i="1"/>
  <c r="T2550" i="1"/>
  <c r="T2551" i="1"/>
  <c r="T2552" i="1"/>
  <c r="T2553" i="1"/>
  <c r="T2554" i="1"/>
  <c r="T2555" i="1"/>
  <c r="T2556" i="1"/>
  <c r="T2557" i="1"/>
  <c r="T2558" i="1"/>
  <c r="T2559" i="1"/>
  <c r="T2560" i="1"/>
  <c r="T2561" i="1"/>
  <c r="T2562" i="1"/>
  <c r="T2563" i="1"/>
  <c r="T2564" i="1"/>
  <c r="T2565" i="1"/>
  <c r="T2566" i="1"/>
  <c r="T2567" i="1"/>
  <c r="T2568" i="1"/>
  <c r="T2569" i="1"/>
  <c r="T2570" i="1"/>
  <c r="T2571" i="1"/>
  <c r="T2572" i="1"/>
  <c r="T2573" i="1"/>
  <c r="T2574" i="1"/>
  <c r="T2575" i="1"/>
  <c r="T2576" i="1"/>
  <c r="T2577" i="1"/>
  <c r="T2578" i="1"/>
  <c r="T2579" i="1"/>
  <c r="T2580" i="1"/>
  <c r="T2581" i="1"/>
  <c r="T2582" i="1"/>
  <c r="T2583" i="1"/>
  <c r="T2584" i="1"/>
  <c r="T2585" i="1"/>
  <c r="T2586" i="1"/>
  <c r="T2587" i="1"/>
  <c r="T2588" i="1"/>
  <c r="T2589" i="1"/>
  <c r="T2590" i="1"/>
  <c r="T2591" i="1"/>
  <c r="T2592" i="1"/>
  <c r="T2593" i="1"/>
  <c r="T2594" i="1"/>
  <c r="T2595" i="1"/>
  <c r="T2596" i="1"/>
  <c r="T2597" i="1"/>
  <c r="T2598" i="1"/>
  <c r="T2599" i="1"/>
  <c r="T2600" i="1"/>
  <c r="T2601" i="1"/>
  <c r="T2602" i="1"/>
  <c r="T2603" i="1"/>
  <c r="T2604" i="1"/>
  <c r="T2605" i="1"/>
  <c r="T2606" i="1"/>
  <c r="T2607" i="1"/>
  <c r="T2608" i="1"/>
  <c r="T2609" i="1"/>
  <c r="T2610" i="1"/>
  <c r="T2611" i="1"/>
  <c r="T2612" i="1"/>
  <c r="T2613" i="1"/>
  <c r="T2614" i="1"/>
  <c r="T2615" i="1"/>
  <c r="T2616" i="1"/>
  <c r="T2617" i="1"/>
  <c r="T2618" i="1"/>
  <c r="T2619" i="1"/>
  <c r="T2620" i="1"/>
  <c r="T2621" i="1"/>
  <c r="T2622" i="1"/>
  <c r="T2623" i="1"/>
  <c r="T2624" i="1"/>
  <c r="T2625" i="1"/>
  <c r="T2626" i="1"/>
  <c r="T2627" i="1"/>
  <c r="T2628" i="1"/>
  <c r="T2629" i="1"/>
  <c r="T2630" i="1"/>
  <c r="T2631" i="1"/>
  <c r="T2632" i="1"/>
  <c r="T2633" i="1"/>
  <c r="T2634" i="1"/>
  <c r="T2635" i="1"/>
  <c r="T2636" i="1"/>
  <c r="T2637" i="1"/>
  <c r="T2638" i="1"/>
  <c r="T2639" i="1"/>
  <c r="T2640" i="1"/>
  <c r="T2641" i="1"/>
  <c r="T2642" i="1"/>
  <c r="T2643" i="1"/>
  <c r="T2644" i="1"/>
  <c r="T2645" i="1"/>
  <c r="T2646" i="1"/>
  <c r="T2647" i="1"/>
  <c r="T2648" i="1"/>
  <c r="T2649" i="1"/>
  <c r="T2650" i="1"/>
  <c r="T2651" i="1"/>
  <c r="T2652" i="1"/>
  <c r="T2653" i="1"/>
  <c r="T2654" i="1"/>
  <c r="T2655" i="1"/>
  <c r="T2656" i="1"/>
  <c r="T2657" i="1"/>
  <c r="T2658" i="1"/>
  <c r="T2659" i="1"/>
  <c r="T2660" i="1"/>
  <c r="T2661" i="1"/>
  <c r="T2662" i="1"/>
  <c r="T2663" i="1"/>
  <c r="T2664" i="1"/>
  <c r="T2665" i="1"/>
  <c r="T2666" i="1"/>
  <c r="T2667" i="1"/>
  <c r="T2668" i="1"/>
  <c r="T2669" i="1"/>
  <c r="T2670" i="1"/>
  <c r="T2671" i="1"/>
  <c r="T2672" i="1"/>
  <c r="T2673" i="1"/>
  <c r="T2674" i="1"/>
  <c r="T2675" i="1"/>
  <c r="T2676" i="1"/>
  <c r="T2677" i="1"/>
  <c r="T2678" i="1"/>
  <c r="T2679" i="1"/>
  <c r="T2680" i="1"/>
  <c r="T2681" i="1"/>
  <c r="T2682" i="1"/>
  <c r="T2683" i="1"/>
  <c r="T2684" i="1"/>
  <c r="T2685" i="1"/>
  <c r="T2686" i="1"/>
  <c r="T2687" i="1"/>
  <c r="T2688" i="1"/>
  <c r="T2689" i="1"/>
  <c r="T2690" i="1"/>
  <c r="T2691" i="1"/>
  <c r="T2692" i="1"/>
  <c r="T2693" i="1"/>
  <c r="T2694" i="1"/>
  <c r="T2695" i="1"/>
  <c r="T2696" i="1"/>
  <c r="T2697" i="1"/>
  <c r="T2698" i="1"/>
  <c r="T2699" i="1"/>
  <c r="T2700" i="1"/>
  <c r="T2701" i="1"/>
  <c r="T2702" i="1"/>
  <c r="T2703" i="1"/>
  <c r="T2704" i="1"/>
  <c r="T2705" i="1"/>
  <c r="T2706" i="1"/>
  <c r="T2707" i="1"/>
  <c r="T2708" i="1"/>
  <c r="T2709" i="1"/>
  <c r="T2710" i="1"/>
  <c r="T2711" i="1"/>
  <c r="T2712" i="1"/>
  <c r="T2713" i="1"/>
  <c r="T2714" i="1"/>
  <c r="T2715" i="1"/>
  <c r="T2716" i="1"/>
  <c r="T2717" i="1"/>
  <c r="T2718" i="1"/>
  <c r="T2719" i="1"/>
  <c r="T2720" i="1"/>
  <c r="T2721" i="1"/>
  <c r="T2722" i="1"/>
  <c r="T2723" i="1"/>
  <c r="T2724" i="1"/>
  <c r="T2725" i="1"/>
  <c r="T2726" i="1"/>
  <c r="T2727" i="1"/>
  <c r="T2728" i="1"/>
  <c r="T2729" i="1"/>
  <c r="T2730" i="1"/>
  <c r="T2731" i="1"/>
  <c r="T2732" i="1"/>
  <c r="T2733" i="1"/>
  <c r="T2734" i="1"/>
  <c r="T2735" i="1"/>
  <c r="T2736" i="1"/>
  <c r="T2737" i="1"/>
  <c r="T2738" i="1"/>
  <c r="T2739" i="1"/>
  <c r="T2740" i="1"/>
  <c r="T2741" i="1"/>
  <c r="T2742" i="1"/>
  <c r="T2743" i="1"/>
  <c r="T2744" i="1"/>
  <c r="T2745" i="1"/>
  <c r="T2746" i="1"/>
  <c r="T2747" i="1"/>
  <c r="T2748" i="1"/>
  <c r="T2749" i="1"/>
  <c r="T2750" i="1"/>
  <c r="T2751" i="1"/>
  <c r="T2752" i="1"/>
  <c r="T2753" i="1"/>
  <c r="T2754" i="1"/>
  <c r="T2755" i="1"/>
  <c r="T2756" i="1"/>
  <c r="T2757" i="1"/>
  <c r="T2758" i="1"/>
  <c r="T2759" i="1"/>
  <c r="T2760" i="1"/>
  <c r="T2761" i="1"/>
  <c r="T2762" i="1"/>
  <c r="T2763" i="1"/>
  <c r="T2764" i="1"/>
  <c r="T2765" i="1"/>
  <c r="T2766" i="1"/>
  <c r="T2767" i="1"/>
  <c r="T2768" i="1"/>
  <c r="T2769" i="1"/>
  <c r="T2770" i="1"/>
  <c r="T2771" i="1"/>
  <c r="T2772" i="1"/>
  <c r="T2773" i="1"/>
  <c r="T2774" i="1"/>
  <c r="T2775" i="1"/>
  <c r="T2776" i="1"/>
  <c r="T2777" i="1"/>
  <c r="T2778" i="1"/>
  <c r="T2779" i="1"/>
  <c r="T2780" i="1"/>
  <c r="T2781" i="1"/>
  <c r="T2782" i="1"/>
  <c r="T2783" i="1"/>
  <c r="T2784" i="1"/>
  <c r="T2785" i="1"/>
  <c r="T2786" i="1"/>
  <c r="T2787" i="1"/>
  <c r="T2788" i="1"/>
  <c r="T2789" i="1"/>
  <c r="T2790" i="1"/>
  <c r="T2791" i="1"/>
  <c r="T2792" i="1"/>
  <c r="T2793" i="1"/>
  <c r="T2794" i="1"/>
  <c r="T2795" i="1"/>
  <c r="T2796" i="1"/>
  <c r="T2797" i="1"/>
  <c r="T2798" i="1"/>
  <c r="T2799" i="1"/>
  <c r="T2800" i="1"/>
  <c r="T2801" i="1"/>
  <c r="T2802" i="1"/>
  <c r="T2803" i="1"/>
  <c r="T2804" i="1"/>
  <c r="T2805" i="1"/>
  <c r="T2806" i="1"/>
  <c r="T2807" i="1"/>
  <c r="T2808" i="1"/>
  <c r="T2809" i="1"/>
  <c r="T2810" i="1"/>
  <c r="T2811" i="1"/>
  <c r="T2812" i="1"/>
  <c r="T2813" i="1"/>
  <c r="T2814" i="1"/>
  <c r="T2815" i="1"/>
  <c r="T2816" i="1"/>
  <c r="T2817" i="1"/>
  <c r="T2818" i="1"/>
  <c r="T2819" i="1"/>
  <c r="T2820" i="1"/>
  <c r="T2821" i="1"/>
  <c r="T2822" i="1"/>
  <c r="T2823" i="1"/>
  <c r="T2824" i="1"/>
  <c r="T2825" i="1"/>
  <c r="T2826" i="1"/>
  <c r="T2827" i="1"/>
  <c r="T2828" i="1"/>
  <c r="T2829" i="1"/>
  <c r="T2830" i="1"/>
  <c r="T2831" i="1"/>
  <c r="T2832" i="1"/>
  <c r="T2833" i="1"/>
  <c r="T2834" i="1"/>
  <c r="T2835" i="1"/>
  <c r="T2836" i="1"/>
  <c r="T2837" i="1"/>
  <c r="T2838" i="1"/>
  <c r="T2839" i="1"/>
  <c r="T2840" i="1"/>
  <c r="T2841" i="1"/>
  <c r="T2842" i="1"/>
  <c r="T2843" i="1"/>
  <c r="T2844" i="1"/>
  <c r="T2845" i="1"/>
  <c r="T2846" i="1"/>
  <c r="T2847" i="1"/>
  <c r="T2848" i="1"/>
  <c r="T2849" i="1"/>
  <c r="T2850" i="1"/>
  <c r="T2851" i="1"/>
  <c r="T2852" i="1"/>
  <c r="T2853" i="1"/>
  <c r="T2854" i="1"/>
  <c r="T2855" i="1"/>
  <c r="T2856" i="1"/>
  <c r="T2857" i="1"/>
  <c r="T2858" i="1"/>
  <c r="T2859" i="1"/>
  <c r="T2860" i="1"/>
  <c r="T2861" i="1"/>
  <c r="T2862" i="1"/>
  <c r="T2863" i="1"/>
  <c r="T2864" i="1"/>
  <c r="T2865" i="1"/>
  <c r="T2866" i="1"/>
  <c r="T2867" i="1"/>
  <c r="T2868" i="1"/>
  <c r="T2869" i="1"/>
  <c r="T2870" i="1"/>
  <c r="T2871" i="1"/>
  <c r="T2872" i="1"/>
  <c r="T2873" i="1"/>
  <c r="T2874" i="1"/>
  <c r="T2875" i="1"/>
  <c r="T2876" i="1"/>
  <c r="T2877" i="1"/>
  <c r="T2878" i="1"/>
  <c r="T2879" i="1"/>
  <c r="T2880" i="1"/>
  <c r="T2881" i="1"/>
  <c r="T2882" i="1"/>
  <c r="T2883" i="1"/>
  <c r="T2884" i="1"/>
  <c r="T2885" i="1"/>
  <c r="T2886" i="1"/>
  <c r="T2887" i="1"/>
  <c r="T2888" i="1"/>
  <c r="T2889" i="1"/>
  <c r="T2890" i="1"/>
  <c r="T2891" i="1"/>
  <c r="T2892" i="1"/>
  <c r="T2893" i="1"/>
  <c r="T2894" i="1"/>
  <c r="T2895" i="1"/>
  <c r="T2896" i="1"/>
  <c r="T2897" i="1"/>
  <c r="T2898" i="1"/>
  <c r="T2899" i="1"/>
  <c r="T2900" i="1"/>
  <c r="T2901" i="1"/>
  <c r="T2902" i="1"/>
  <c r="T2903" i="1"/>
  <c r="T2904" i="1"/>
  <c r="T2905" i="1"/>
  <c r="T2906" i="1"/>
  <c r="T2907" i="1"/>
  <c r="T2908" i="1"/>
  <c r="T2909" i="1"/>
  <c r="T2910" i="1"/>
  <c r="T2911" i="1"/>
  <c r="T2912" i="1"/>
  <c r="T2913" i="1"/>
  <c r="T2914" i="1"/>
  <c r="T2915" i="1"/>
  <c r="T2916" i="1"/>
  <c r="T2917" i="1"/>
  <c r="T2918" i="1"/>
  <c r="T2919" i="1"/>
  <c r="T2920" i="1"/>
  <c r="T2921" i="1"/>
  <c r="T2922" i="1"/>
  <c r="T2923" i="1"/>
  <c r="T2924" i="1"/>
  <c r="T2925" i="1"/>
  <c r="T2926" i="1"/>
  <c r="T2927" i="1"/>
  <c r="T2928" i="1"/>
  <c r="T2929" i="1"/>
  <c r="T2930" i="1"/>
  <c r="T2931" i="1"/>
  <c r="T2932" i="1"/>
  <c r="T2933" i="1"/>
  <c r="T2934" i="1"/>
  <c r="T2935" i="1"/>
  <c r="T2936" i="1"/>
  <c r="T2937" i="1"/>
  <c r="T2938" i="1"/>
  <c r="T2939" i="1"/>
  <c r="T2940" i="1"/>
  <c r="T2941" i="1"/>
  <c r="T2942" i="1"/>
  <c r="T2943" i="1"/>
  <c r="T2944" i="1"/>
  <c r="T2945" i="1"/>
  <c r="T2946" i="1"/>
  <c r="T2947" i="1"/>
  <c r="T2948" i="1"/>
  <c r="T2949" i="1"/>
  <c r="T2950" i="1"/>
  <c r="T2951" i="1"/>
  <c r="T2952" i="1"/>
  <c r="T2953" i="1"/>
  <c r="T2954" i="1"/>
  <c r="T2955" i="1"/>
  <c r="T2956" i="1"/>
  <c r="T2957" i="1"/>
  <c r="T2958" i="1"/>
  <c r="T2959" i="1"/>
  <c r="T2960" i="1"/>
  <c r="T2961" i="1"/>
  <c r="T2962" i="1"/>
  <c r="T2963" i="1"/>
  <c r="T2964" i="1"/>
  <c r="T2965" i="1"/>
  <c r="T2966" i="1"/>
  <c r="T2967" i="1"/>
  <c r="T2968" i="1"/>
  <c r="T2969" i="1"/>
  <c r="T2970" i="1"/>
  <c r="T2971" i="1"/>
  <c r="T2972" i="1"/>
  <c r="T2973" i="1"/>
  <c r="T2974" i="1"/>
  <c r="T2975" i="1"/>
  <c r="T2976" i="1"/>
  <c r="T2977" i="1"/>
  <c r="T2978" i="1"/>
  <c r="T2979" i="1"/>
  <c r="T2980" i="1"/>
  <c r="T2981" i="1"/>
  <c r="T2982" i="1"/>
  <c r="T2983" i="1"/>
  <c r="T2984" i="1"/>
  <c r="T2985" i="1"/>
  <c r="T2986" i="1"/>
  <c r="T2987" i="1"/>
  <c r="T2988" i="1"/>
  <c r="T2989" i="1"/>
  <c r="T2990" i="1"/>
  <c r="T2991" i="1"/>
  <c r="T2992" i="1"/>
  <c r="T2993" i="1"/>
  <c r="T2994" i="1"/>
  <c r="T2995" i="1"/>
  <c r="T2996" i="1"/>
  <c r="T2997" i="1"/>
  <c r="T2998" i="1"/>
  <c r="T2999" i="1"/>
  <c r="T3000" i="1"/>
  <c r="T3001" i="1"/>
  <c r="T3002" i="1"/>
  <c r="T3003" i="1"/>
  <c r="T3004" i="1"/>
  <c r="T3005" i="1"/>
  <c r="T3006" i="1"/>
  <c r="T3007" i="1"/>
  <c r="T3008" i="1"/>
  <c r="T3009" i="1"/>
  <c r="T3010" i="1"/>
  <c r="T3011" i="1"/>
  <c r="T3012" i="1"/>
  <c r="T3013" i="1"/>
  <c r="T3014" i="1"/>
  <c r="T3015" i="1"/>
  <c r="T3016" i="1"/>
  <c r="T3017" i="1"/>
  <c r="T3018" i="1"/>
  <c r="T3019" i="1"/>
  <c r="T3020" i="1"/>
  <c r="T3021" i="1"/>
  <c r="T3022" i="1"/>
  <c r="T3023" i="1"/>
  <c r="T3024" i="1"/>
  <c r="T3025" i="1"/>
  <c r="T3026" i="1"/>
  <c r="T3027" i="1"/>
  <c r="T3028" i="1"/>
  <c r="T3029" i="1"/>
  <c r="T3030" i="1"/>
  <c r="T3031" i="1"/>
  <c r="T3032" i="1"/>
  <c r="T3033" i="1"/>
  <c r="T3034" i="1"/>
  <c r="T3035" i="1"/>
  <c r="T3036" i="1"/>
  <c r="T3037" i="1"/>
  <c r="T3038" i="1"/>
  <c r="T3039" i="1"/>
  <c r="T3040" i="1"/>
  <c r="T3041" i="1"/>
  <c r="T3042" i="1"/>
  <c r="T3043" i="1"/>
  <c r="T3044" i="1"/>
  <c r="T3045" i="1"/>
  <c r="T3046" i="1"/>
  <c r="T3047" i="1"/>
  <c r="T3048" i="1"/>
  <c r="T3049" i="1"/>
  <c r="T3050" i="1"/>
  <c r="T3051" i="1"/>
  <c r="T3052" i="1"/>
  <c r="T3053" i="1"/>
  <c r="T3054" i="1"/>
  <c r="T3055" i="1"/>
  <c r="T3056" i="1"/>
  <c r="T3057" i="1"/>
  <c r="T3058" i="1"/>
  <c r="T3059" i="1"/>
  <c r="T3060" i="1"/>
  <c r="T3061" i="1"/>
  <c r="T3062" i="1"/>
  <c r="T3063" i="1"/>
  <c r="T3064" i="1"/>
  <c r="T3065" i="1"/>
  <c r="T3066" i="1"/>
  <c r="T3067" i="1"/>
  <c r="T3068" i="1"/>
  <c r="T3069" i="1"/>
  <c r="T3070" i="1"/>
  <c r="T3071" i="1"/>
  <c r="T3072" i="1"/>
  <c r="T3073" i="1"/>
  <c r="T3074" i="1"/>
  <c r="T3075" i="1"/>
  <c r="T3076" i="1"/>
  <c r="T3077" i="1"/>
  <c r="T3078" i="1"/>
  <c r="T3079" i="1"/>
  <c r="T3080" i="1"/>
  <c r="T3081" i="1"/>
  <c r="T3082" i="1"/>
  <c r="T3083" i="1"/>
  <c r="T3084" i="1"/>
  <c r="T3085" i="1"/>
  <c r="T3086" i="1"/>
  <c r="T3087" i="1"/>
  <c r="T3088" i="1"/>
  <c r="T3089" i="1"/>
  <c r="T3090" i="1"/>
  <c r="T3091" i="1"/>
  <c r="T3092" i="1"/>
  <c r="T3093" i="1"/>
  <c r="T3094" i="1"/>
  <c r="T3095" i="1"/>
  <c r="T3096" i="1"/>
  <c r="T3097" i="1"/>
  <c r="T3098" i="1"/>
  <c r="T3099" i="1"/>
  <c r="T3100" i="1"/>
  <c r="T3101" i="1"/>
  <c r="T3102" i="1"/>
  <c r="T3103" i="1"/>
  <c r="T3104" i="1"/>
  <c r="T3105" i="1"/>
  <c r="T3106" i="1"/>
  <c r="T3107" i="1"/>
  <c r="T3108" i="1"/>
  <c r="T3109" i="1"/>
  <c r="T3110" i="1"/>
  <c r="T3111" i="1"/>
  <c r="T3112" i="1"/>
  <c r="T3113" i="1"/>
  <c r="T3114" i="1"/>
  <c r="T3115" i="1"/>
  <c r="T3116" i="1"/>
  <c r="T3117" i="1"/>
  <c r="T3118" i="1"/>
  <c r="T3119" i="1"/>
  <c r="T3120" i="1"/>
  <c r="T3121" i="1"/>
  <c r="T3122" i="1"/>
  <c r="T3123" i="1"/>
  <c r="T3124" i="1"/>
  <c r="T3125" i="1"/>
  <c r="T3126" i="1"/>
  <c r="T3127" i="1"/>
  <c r="T3128" i="1"/>
  <c r="T3129" i="1"/>
  <c r="T3130" i="1"/>
  <c r="T3131" i="1"/>
  <c r="T3132" i="1"/>
  <c r="T3133" i="1"/>
  <c r="T3134" i="1"/>
  <c r="T3135" i="1"/>
  <c r="T3136" i="1"/>
  <c r="T3137" i="1"/>
  <c r="T3138" i="1"/>
  <c r="T3139" i="1"/>
  <c r="T3140" i="1"/>
  <c r="T3141" i="1"/>
  <c r="T3142" i="1"/>
  <c r="T3143" i="1"/>
  <c r="T3144" i="1"/>
  <c r="T3145" i="1"/>
  <c r="T3146" i="1"/>
  <c r="T3147" i="1"/>
  <c r="T3148" i="1"/>
  <c r="T3149" i="1"/>
  <c r="T3150" i="1"/>
  <c r="T3151" i="1"/>
  <c r="T3152" i="1"/>
  <c r="T3153" i="1"/>
  <c r="T3154" i="1"/>
  <c r="T3155" i="1"/>
  <c r="T3156" i="1"/>
  <c r="T3157" i="1"/>
  <c r="T3158" i="1"/>
  <c r="T3159" i="1"/>
  <c r="T3160" i="1"/>
  <c r="T3161" i="1"/>
  <c r="T3162" i="1"/>
  <c r="T3163" i="1"/>
  <c r="T3164" i="1"/>
  <c r="T3165" i="1"/>
  <c r="T3166" i="1"/>
  <c r="T3167" i="1"/>
  <c r="T3168" i="1"/>
  <c r="T3169" i="1"/>
  <c r="T3170" i="1"/>
  <c r="T3171" i="1"/>
  <c r="T3172" i="1"/>
  <c r="T3173" i="1"/>
  <c r="T3174" i="1"/>
  <c r="T3175" i="1"/>
  <c r="T3176" i="1"/>
  <c r="T3177" i="1"/>
  <c r="T3178" i="1"/>
  <c r="T3179" i="1"/>
  <c r="T3180" i="1"/>
  <c r="T3181" i="1"/>
  <c r="T3182" i="1"/>
  <c r="T3183" i="1"/>
  <c r="T3184" i="1"/>
  <c r="T3185" i="1"/>
  <c r="T3186" i="1"/>
  <c r="T3187" i="1"/>
  <c r="T3188" i="1"/>
  <c r="T3189" i="1"/>
  <c r="T3190" i="1"/>
  <c r="T3191" i="1"/>
  <c r="T3192" i="1"/>
  <c r="T3193" i="1"/>
  <c r="T3194" i="1"/>
  <c r="T3195" i="1"/>
  <c r="T3196" i="1"/>
  <c r="T3197" i="1"/>
  <c r="T3198" i="1"/>
  <c r="T3199" i="1"/>
  <c r="T3200" i="1"/>
  <c r="T3201" i="1"/>
  <c r="T3202" i="1"/>
  <c r="T3203" i="1"/>
  <c r="T3204" i="1"/>
  <c r="T3205" i="1"/>
  <c r="T3206" i="1"/>
  <c r="T3207" i="1"/>
  <c r="T3208" i="1"/>
  <c r="T3209" i="1"/>
  <c r="T3210" i="1"/>
  <c r="T3211" i="1"/>
  <c r="T3212" i="1"/>
  <c r="T3213" i="1"/>
  <c r="T3214" i="1"/>
  <c r="T3215" i="1"/>
  <c r="T3216" i="1"/>
  <c r="T3217" i="1"/>
  <c r="T3218" i="1"/>
  <c r="T3219" i="1"/>
  <c r="T3220" i="1"/>
  <c r="T3221" i="1"/>
  <c r="T3222" i="1"/>
  <c r="T3223" i="1"/>
  <c r="T3224" i="1"/>
  <c r="T3225" i="1"/>
  <c r="T3226" i="1"/>
  <c r="T3227" i="1"/>
  <c r="T3228" i="1"/>
  <c r="T3229" i="1"/>
  <c r="T3230" i="1"/>
  <c r="T3231" i="1"/>
  <c r="T3232" i="1"/>
  <c r="T3233" i="1"/>
  <c r="T3234" i="1"/>
  <c r="T3235" i="1"/>
  <c r="T3236" i="1"/>
  <c r="T3237" i="1"/>
  <c r="T3238" i="1"/>
  <c r="T3239" i="1"/>
  <c r="T3240" i="1"/>
  <c r="T3241" i="1"/>
  <c r="T3242" i="1"/>
  <c r="T3243" i="1"/>
  <c r="T3244" i="1"/>
  <c r="T3245" i="1"/>
  <c r="T3246" i="1"/>
  <c r="T3247" i="1"/>
  <c r="T3248" i="1"/>
  <c r="T3249" i="1"/>
  <c r="T3250" i="1"/>
  <c r="T3251" i="1"/>
  <c r="T3252" i="1"/>
  <c r="T3253" i="1"/>
  <c r="T3254" i="1"/>
  <c r="T3255" i="1"/>
  <c r="T3256" i="1"/>
  <c r="T3257" i="1"/>
  <c r="T3258" i="1"/>
  <c r="T3259" i="1"/>
  <c r="T3260" i="1"/>
  <c r="T3261" i="1"/>
  <c r="T3262" i="1"/>
  <c r="T3263" i="1"/>
  <c r="T3264" i="1"/>
  <c r="T3265" i="1"/>
  <c r="T3266" i="1"/>
  <c r="T3267" i="1"/>
  <c r="T3268" i="1"/>
  <c r="T3269" i="1"/>
  <c r="T3270" i="1"/>
  <c r="T3271" i="1"/>
  <c r="T3272" i="1"/>
  <c r="T3273" i="1"/>
  <c r="T3274" i="1"/>
  <c r="T3275" i="1"/>
  <c r="T3276" i="1"/>
  <c r="T3277" i="1"/>
  <c r="T3278" i="1"/>
  <c r="T3279" i="1"/>
  <c r="T3280" i="1"/>
  <c r="T3281" i="1"/>
  <c r="T3282" i="1"/>
  <c r="T3283" i="1"/>
  <c r="T3284" i="1"/>
  <c r="T3285" i="1"/>
  <c r="T3286" i="1"/>
  <c r="T3287" i="1"/>
  <c r="T3288" i="1"/>
  <c r="T3289" i="1"/>
  <c r="T3290" i="1"/>
  <c r="T3291" i="1"/>
  <c r="T3292" i="1"/>
  <c r="T3293" i="1"/>
  <c r="T3294" i="1"/>
  <c r="T3295" i="1"/>
  <c r="T3296" i="1"/>
  <c r="T3297" i="1"/>
  <c r="T3298" i="1"/>
  <c r="T3299" i="1"/>
  <c r="T3300" i="1"/>
  <c r="T3301" i="1"/>
  <c r="T3302" i="1"/>
  <c r="T3303" i="1"/>
  <c r="T3304" i="1"/>
  <c r="T3305" i="1"/>
  <c r="T3306" i="1"/>
  <c r="T3307" i="1"/>
  <c r="T3308" i="1"/>
  <c r="T3309" i="1"/>
  <c r="T3310" i="1"/>
  <c r="T3311" i="1"/>
  <c r="T3312" i="1"/>
  <c r="T3313" i="1"/>
  <c r="T3314" i="1"/>
  <c r="T3315" i="1"/>
  <c r="T3316" i="1"/>
  <c r="T3317" i="1"/>
  <c r="T3318" i="1"/>
  <c r="T3319" i="1"/>
  <c r="T3320" i="1"/>
  <c r="T3321" i="1"/>
  <c r="T3322" i="1"/>
  <c r="T3323" i="1"/>
  <c r="T3324" i="1"/>
  <c r="T3325" i="1"/>
  <c r="T3326" i="1"/>
  <c r="T3327" i="1"/>
  <c r="T3328" i="1"/>
  <c r="T3329" i="1"/>
  <c r="T3330" i="1"/>
  <c r="T3331" i="1"/>
  <c r="T3332" i="1"/>
  <c r="T3333" i="1"/>
  <c r="T3334" i="1"/>
  <c r="T3335" i="1"/>
  <c r="T3336" i="1"/>
  <c r="T3337" i="1"/>
  <c r="T3338" i="1"/>
  <c r="T3339" i="1"/>
  <c r="T3340" i="1"/>
  <c r="T3341" i="1"/>
  <c r="T3342" i="1"/>
  <c r="T3343" i="1"/>
  <c r="T3344" i="1"/>
  <c r="T3345" i="1"/>
  <c r="T3346" i="1"/>
  <c r="T3347" i="1"/>
  <c r="T3348" i="1"/>
  <c r="T3349" i="1"/>
  <c r="T3350" i="1"/>
  <c r="T3351" i="1"/>
  <c r="T3352" i="1"/>
  <c r="T3353" i="1"/>
  <c r="T3354" i="1"/>
  <c r="T3355" i="1"/>
  <c r="T3356" i="1"/>
  <c r="T3357" i="1"/>
  <c r="T3358" i="1"/>
  <c r="T3359" i="1"/>
  <c r="T3360" i="1"/>
  <c r="T3361" i="1"/>
  <c r="T3362" i="1"/>
  <c r="T3363" i="1"/>
  <c r="T3364" i="1"/>
  <c r="T3365" i="1"/>
  <c r="T3366" i="1"/>
  <c r="T3367" i="1"/>
  <c r="T3368" i="1"/>
  <c r="T3369" i="1"/>
  <c r="T3370" i="1"/>
  <c r="T3371" i="1"/>
  <c r="T3372" i="1"/>
  <c r="T3373" i="1"/>
  <c r="T3374" i="1"/>
  <c r="T3375" i="1"/>
  <c r="T3376" i="1"/>
  <c r="T3377" i="1"/>
  <c r="T3378" i="1"/>
  <c r="T3379" i="1"/>
  <c r="T3380" i="1"/>
  <c r="T3381" i="1"/>
  <c r="T3382" i="1"/>
  <c r="T3383" i="1"/>
  <c r="T3384" i="1"/>
  <c r="T3385" i="1"/>
  <c r="T3386" i="1"/>
  <c r="T3387" i="1"/>
  <c r="T3388" i="1"/>
  <c r="T3389" i="1"/>
  <c r="T3390" i="1"/>
  <c r="T3391" i="1"/>
  <c r="T3392" i="1"/>
  <c r="T3393" i="1"/>
  <c r="T3394" i="1"/>
  <c r="T3395" i="1"/>
  <c r="T3396" i="1"/>
  <c r="T3397" i="1"/>
  <c r="T3398" i="1"/>
  <c r="T3399" i="1"/>
  <c r="T3400" i="1"/>
  <c r="T3401" i="1"/>
  <c r="T3402" i="1"/>
  <c r="T3403" i="1"/>
  <c r="T3404" i="1"/>
  <c r="T3405" i="1"/>
  <c r="T3406" i="1"/>
  <c r="T3407" i="1"/>
  <c r="T3408" i="1"/>
  <c r="T3409" i="1"/>
  <c r="T3410" i="1"/>
  <c r="T3411" i="1"/>
  <c r="T3412" i="1"/>
  <c r="T3413" i="1"/>
  <c r="T3414" i="1"/>
  <c r="T3415" i="1"/>
  <c r="T3416" i="1"/>
  <c r="T3417" i="1"/>
  <c r="T3418" i="1"/>
  <c r="T3419" i="1"/>
  <c r="T3420" i="1"/>
  <c r="T3421" i="1"/>
  <c r="T3422" i="1"/>
  <c r="T3423" i="1"/>
  <c r="T3424" i="1"/>
  <c r="T3425" i="1"/>
  <c r="T3426" i="1"/>
  <c r="T3427" i="1"/>
  <c r="T3428" i="1"/>
  <c r="T3429" i="1"/>
  <c r="T3430" i="1"/>
  <c r="T3431" i="1"/>
  <c r="T3432" i="1"/>
  <c r="T3433" i="1"/>
  <c r="T3434" i="1"/>
  <c r="T3435" i="1"/>
  <c r="T3436" i="1"/>
  <c r="T3437" i="1"/>
  <c r="T3438" i="1"/>
  <c r="T3439" i="1"/>
  <c r="T3440" i="1"/>
  <c r="T3441" i="1"/>
  <c r="T3442" i="1"/>
  <c r="T3443" i="1"/>
  <c r="T3444" i="1"/>
  <c r="T3445" i="1"/>
  <c r="T3446" i="1"/>
  <c r="T3447" i="1"/>
  <c r="T3448" i="1"/>
  <c r="T3449" i="1"/>
  <c r="T3450" i="1"/>
  <c r="T3451" i="1"/>
  <c r="T3452" i="1"/>
  <c r="T3453" i="1"/>
  <c r="T3454" i="1"/>
  <c r="T3455" i="1"/>
  <c r="T3456" i="1"/>
  <c r="T3457" i="1"/>
  <c r="T3458" i="1"/>
  <c r="T3459" i="1"/>
  <c r="T3460" i="1"/>
  <c r="T3461" i="1"/>
  <c r="T3462" i="1"/>
  <c r="T3463" i="1"/>
  <c r="T3464" i="1"/>
  <c r="T3465" i="1"/>
  <c r="T3466" i="1"/>
  <c r="T3467" i="1"/>
  <c r="T3468" i="1"/>
  <c r="T3469" i="1"/>
  <c r="T3470" i="1"/>
  <c r="T3471" i="1"/>
  <c r="T3472" i="1"/>
  <c r="T3473" i="1"/>
  <c r="T3474" i="1"/>
  <c r="T3475" i="1"/>
  <c r="T3476" i="1"/>
  <c r="T3477" i="1"/>
  <c r="T3478" i="1"/>
  <c r="T3479" i="1"/>
  <c r="T3480" i="1"/>
  <c r="T3481" i="1"/>
  <c r="T3482" i="1"/>
  <c r="T3483" i="1"/>
  <c r="T3484" i="1"/>
  <c r="T3485" i="1"/>
  <c r="T3486" i="1"/>
  <c r="T3487" i="1"/>
  <c r="T3488" i="1"/>
  <c r="T3489" i="1"/>
  <c r="T3490" i="1"/>
  <c r="T3491" i="1"/>
  <c r="T3492" i="1"/>
  <c r="T3493" i="1"/>
  <c r="T3494" i="1"/>
  <c r="T3495" i="1"/>
  <c r="T3496" i="1"/>
  <c r="T3497" i="1"/>
  <c r="T3498" i="1"/>
  <c r="T3499" i="1"/>
  <c r="T3500" i="1"/>
  <c r="T3501" i="1"/>
  <c r="T3502" i="1"/>
  <c r="T3503" i="1"/>
  <c r="T3504" i="1"/>
  <c r="T3505" i="1"/>
  <c r="T3506" i="1"/>
  <c r="T3507" i="1"/>
  <c r="T3508" i="1"/>
  <c r="T3509" i="1"/>
  <c r="T3510" i="1"/>
  <c r="T3511" i="1"/>
  <c r="T3512" i="1"/>
  <c r="T3513" i="1"/>
  <c r="T3514" i="1"/>
  <c r="T3515" i="1"/>
  <c r="T3516" i="1"/>
  <c r="T3517" i="1"/>
  <c r="T3518" i="1"/>
  <c r="T3519" i="1"/>
  <c r="T3520" i="1"/>
  <c r="T3521" i="1"/>
  <c r="T3522" i="1"/>
  <c r="T3523" i="1"/>
  <c r="T3524" i="1"/>
  <c r="T3525" i="1"/>
  <c r="T3526" i="1"/>
  <c r="T3527" i="1"/>
  <c r="T3528" i="1"/>
  <c r="T3529" i="1"/>
  <c r="T3530" i="1"/>
  <c r="T3531" i="1"/>
  <c r="T3532" i="1"/>
  <c r="T3533" i="1"/>
  <c r="T3534" i="1"/>
  <c r="T3535" i="1"/>
  <c r="T3536" i="1"/>
  <c r="T3537" i="1"/>
  <c r="T3538" i="1"/>
  <c r="T3539" i="1"/>
  <c r="T3540" i="1"/>
  <c r="T3541" i="1"/>
  <c r="T3542" i="1"/>
  <c r="T3543" i="1"/>
  <c r="T3544" i="1"/>
  <c r="T3545" i="1"/>
  <c r="T3546" i="1"/>
  <c r="T3547" i="1"/>
  <c r="T3548" i="1"/>
  <c r="T3549" i="1"/>
  <c r="T3550" i="1"/>
  <c r="T3551" i="1"/>
  <c r="T3552" i="1"/>
  <c r="T3553" i="1"/>
  <c r="T3554" i="1"/>
  <c r="T3555" i="1"/>
  <c r="T3556" i="1"/>
  <c r="T3557" i="1"/>
  <c r="T3558" i="1"/>
  <c r="T3559" i="1"/>
  <c r="T3560" i="1"/>
  <c r="T3561" i="1"/>
  <c r="T3562" i="1"/>
  <c r="T3563" i="1"/>
  <c r="T3564" i="1"/>
  <c r="T3565" i="1"/>
  <c r="T3566" i="1"/>
  <c r="T3567" i="1"/>
  <c r="T3568" i="1"/>
  <c r="T3569" i="1"/>
  <c r="T3570" i="1"/>
  <c r="T3571" i="1"/>
  <c r="T3572" i="1"/>
  <c r="T3573" i="1"/>
  <c r="T3574" i="1"/>
  <c r="T3575" i="1"/>
  <c r="T3576" i="1"/>
  <c r="T3577" i="1"/>
  <c r="T3578" i="1"/>
  <c r="T3579" i="1"/>
  <c r="T3580" i="1"/>
  <c r="T3581" i="1"/>
  <c r="T3582" i="1"/>
  <c r="T3583" i="1"/>
  <c r="T3584" i="1"/>
  <c r="T3585" i="1"/>
  <c r="T3586" i="1"/>
  <c r="T3587" i="1"/>
  <c r="T3588" i="1"/>
  <c r="T3589" i="1"/>
  <c r="T3590" i="1"/>
  <c r="T3591" i="1"/>
  <c r="T3592" i="1"/>
  <c r="T3593" i="1"/>
  <c r="T3594" i="1"/>
  <c r="T3595" i="1"/>
  <c r="T3596" i="1"/>
  <c r="T3597" i="1"/>
  <c r="T3598" i="1"/>
  <c r="T3599" i="1"/>
  <c r="T3600" i="1"/>
  <c r="T3601" i="1"/>
  <c r="T3602" i="1"/>
  <c r="T3603" i="1"/>
  <c r="T3604" i="1"/>
  <c r="T3605" i="1"/>
  <c r="T3606" i="1"/>
  <c r="T3607" i="1"/>
  <c r="T3608" i="1"/>
  <c r="T3609" i="1"/>
  <c r="T3610" i="1"/>
  <c r="T3611" i="1"/>
  <c r="T3612" i="1"/>
  <c r="T3613" i="1"/>
  <c r="T3614" i="1"/>
  <c r="T3615" i="1"/>
  <c r="T3616" i="1"/>
  <c r="T3617" i="1"/>
  <c r="T3618" i="1"/>
  <c r="T3619" i="1"/>
  <c r="T3620" i="1"/>
  <c r="T3621" i="1"/>
  <c r="T3622" i="1"/>
  <c r="T3623" i="1"/>
  <c r="T3624" i="1"/>
  <c r="T3625" i="1"/>
  <c r="T3626" i="1"/>
  <c r="T3627" i="1"/>
  <c r="T3628" i="1"/>
  <c r="T3629" i="1"/>
  <c r="T3630" i="1"/>
  <c r="T3631" i="1"/>
  <c r="T3632" i="1"/>
  <c r="T3633" i="1"/>
  <c r="T3634" i="1"/>
  <c r="T3635" i="1"/>
  <c r="T3636" i="1"/>
  <c r="T3637" i="1"/>
  <c r="T3638" i="1"/>
  <c r="T3639" i="1"/>
  <c r="T3640" i="1"/>
  <c r="T3641" i="1"/>
  <c r="T3642" i="1"/>
  <c r="T3643" i="1"/>
  <c r="T3644" i="1"/>
  <c r="T3645" i="1"/>
  <c r="T3646" i="1"/>
  <c r="T3647" i="1"/>
  <c r="T3648" i="1"/>
  <c r="T3649" i="1"/>
  <c r="T3650" i="1"/>
  <c r="T3651" i="1"/>
  <c r="T3652" i="1"/>
  <c r="T3653" i="1"/>
  <c r="T3654" i="1"/>
  <c r="T3655" i="1"/>
  <c r="T3656" i="1"/>
  <c r="T3657" i="1"/>
  <c r="T3658" i="1"/>
  <c r="T3659" i="1"/>
  <c r="T3660" i="1"/>
  <c r="T3661" i="1"/>
  <c r="T3662" i="1"/>
  <c r="T3663" i="1"/>
  <c r="T3664" i="1"/>
  <c r="T3665" i="1"/>
  <c r="T3666" i="1"/>
  <c r="T3667" i="1"/>
  <c r="T3668" i="1"/>
  <c r="T3669" i="1"/>
  <c r="T3670" i="1"/>
  <c r="T3671" i="1"/>
  <c r="T3672" i="1"/>
  <c r="T3673" i="1"/>
  <c r="T3674" i="1"/>
  <c r="T3675" i="1"/>
  <c r="T3676" i="1"/>
  <c r="T3677" i="1"/>
  <c r="T3678" i="1"/>
  <c r="T3679" i="1"/>
  <c r="T3680" i="1"/>
  <c r="T3681" i="1"/>
  <c r="T3682" i="1"/>
  <c r="T3683" i="1"/>
  <c r="T3684" i="1"/>
  <c r="T3685" i="1"/>
  <c r="T3686" i="1"/>
  <c r="T3687" i="1"/>
  <c r="T3688" i="1"/>
  <c r="T3689" i="1"/>
  <c r="T3690" i="1"/>
  <c r="T3691" i="1"/>
  <c r="T3692" i="1"/>
  <c r="T3693" i="1"/>
  <c r="T3694" i="1"/>
  <c r="T3695" i="1"/>
  <c r="T3696" i="1"/>
  <c r="T3697" i="1"/>
  <c r="T3698" i="1"/>
  <c r="T3699" i="1"/>
  <c r="T3700" i="1"/>
  <c r="T3701" i="1"/>
  <c r="T3702" i="1"/>
  <c r="T3703" i="1"/>
  <c r="T3704" i="1"/>
  <c r="T3705" i="1"/>
  <c r="T3706" i="1"/>
  <c r="T3707" i="1"/>
  <c r="T3708" i="1"/>
  <c r="T3709" i="1"/>
  <c r="T3710" i="1"/>
  <c r="T3711" i="1"/>
  <c r="T3712" i="1"/>
  <c r="T3713" i="1"/>
  <c r="T3714" i="1"/>
  <c r="T3715" i="1"/>
  <c r="T3716" i="1"/>
  <c r="T3717" i="1"/>
  <c r="T3718" i="1"/>
  <c r="T3719" i="1"/>
  <c r="T3720" i="1"/>
  <c r="T3721" i="1"/>
  <c r="T3722" i="1"/>
  <c r="T3723" i="1"/>
  <c r="T3724" i="1"/>
  <c r="T3725" i="1"/>
  <c r="T3726" i="1"/>
  <c r="T3727" i="1"/>
  <c r="T3728" i="1"/>
  <c r="T3729" i="1"/>
  <c r="T3730" i="1"/>
  <c r="T3731" i="1"/>
  <c r="T3732" i="1"/>
  <c r="T3733" i="1"/>
  <c r="T3734" i="1"/>
  <c r="T3735" i="1"/>
  <c r="T3736" i="1"/>
  <c r="T3737" i="1"/>
  <c r="T3738" i="1"/>
  <c r="T3739" i="1"/>
  <c r="T3740" i="1"/>
  <c r="T3741" i="1"/>
  <c r="T3742" i="1"/>
  <c r="T3743" i="1"/>
  <c r="T3744" i="1"/>
  <c r="T3745" i="1"/>
  <c r="T3746" i="1"/>
  <c r="T3747" i="1"/>
  <c r="T3748" i="1"/>
  <c r="T3749" i="1"/>
  <c r="T3750" i="1"/>
  <c r="T3751" i="1"/>
  <c r="T3752" i="1"/>
  <c r="T3753" i="1"/>
  <c r="T3754" i="1"/>
  <c r="T3755" i="1"/>
  <c r="T3756" i="1"/>
  <c r="T3757" i="1"/>
  <c r="T3758" i="1"/>
  <c r="T3759" i="1"/>
  <c r="T3760" i="1"/>
  <c r="T3761" i="1"/>
  <c r="T3762" i="1"/>
  <c r="T3763" i="1"/>
  <c r="T3764" i="1"/>
  <c r="T3765" i="1"/>
  <c r="T3766" i="1"/>
  <c r="T3767" i="1"/>
  <c r="T3768" i="1"/>
  <c r="T3769" i="1"/>
  <c r="T3770" i="1"/>
  <c r="T3771" i="1"/>
  <c r="T3772" i="1"/>
  <c r="T3773" i="1"/>
  <c r="T3774" i="1"/>
  <c r="T3775" i="1"/>
  <c r="T3776" i="1"/>
  <c r="T3777" i="1"/>
  <c r="T3778" i="1"/>
  <c r="T3779" i="1"/>
  <c r="T3780" i="1"/>
  <c r="T3781" i="1"/>
  <c r="T3782" i="1"/>
  <c r="T3783" i="1"/>
  <c r="T3784" i="1"/>
  <c r="T3785" i="1"/>
  <c r="T3786" i="1"/>
  <c r="T3787" i="1"/>
  <c r="T3788" i="1"/>
  <c r="T3789" i="1"/>
  <c r="T3790" i="1"/>
  <c r="T3791" i="1"/>
  <c r="T3792" i="1"/>
  <c r="T3793" i="1"/>
  <c r="T3794" i="1"/>
  <c r="T3795" i="1"/>
  <c r="T3796" i="1"/>
  <c r="T3797" i="1"/>
  <c r="T3798" i="1"/>
  <c r="T3799" i="1"/>
  <c r="T3800" i="1"/>
  <c r="T3801" i="1"/>
  <c r="T3802" i="1"/>
  <c r="T3803" i="1"/>
  <c r="T3804" i="1"/>
  <c r="T3805" i="1"/>
  <c r="T3806" i="1"/>
  <c r="T3807" i="1"/>
  <c r="T3808" i="1"/>
  <c r="T3809" i="1"/>
  <c r="T3810" i="1"/>
  <c r="T3811" i="1"/>
  <c r="T3812" i="1"/>
  <c r="T3813" i="1"/>
  <c r="T3814" i="1"/>
  <c r="T3815" i="1"/>
  <c r="T3816" i="1"/>
  <c r="T3817" i="1"/>
  <c r="T3818" i="1"/>
  <c r="T3819" i="1"/>
  <c r="T3820" i="1"/>
  <c r="T3821" i="1"/>
  <c r="T3822" i="1"/>
  <c r="T3823" i="1"/>
  <c r="T3824" i="1"/>
  <c r="T3825" i="1"/>
  <c r="T3826" i="1"/>
  <c r="T3827" i="1"/>
  <c r="T3828" i="1"/>
  <c r="T3829" i="1"/>
  <c r="T3830" i="1"/>
  <c r="T3831" i="1"/>
  <c r="T3832" i="1"/>
  <c r="T3833" i="1"/>
  <c r="T3834" i="1"/>
  <c r="T3835" i="1"/>
  <c r="T3836" i="1"/>
  <c r="T3837" i="1"/>
  <c r="T3838" i="1"/>
  <c r="T3839" i="1"/>
  <c r="T3840" i="1"/>
  <c r="T3841" i="1"/>
  <c r="T3842" i="1"/>
  <c r="T3843" i="1"/>
  <c r="T3844" i="1"/>
  <c r="T3845" i="1"/>
  <c r="T3846" i="1"/>
  <c r="T3847" i="1"/>
  <c r="T3848" i="1"/>
  <c r="T3849" i="1"/>
  <c r="T3850" i="1"/>
  <c r="T3851" i="1"/>
  <c r="T3852" i="1"/>
  <c r="T3853" i="1"/>
  <c r="T3854" i="1"/>
  <c r="T3855" i="1"/>
  <c r="T3856" i="1"/>
  <c r="T3857" i="1"/>
  <c r="T3858" i="1"/>
  <c r="T3859" i="1"/>
  <c r="T3860" i="1"/>
  <c r="T3861" i="1"/>
  <c r="T3862" i="1"/>
  <c r="T3863" i="1"/>
  <c r="T3864" i="1"/>
  <c r="T3865" i="1"/>
  <c r="T3866" i="1"/>
  <c r="T3867" i="1"/>
  <c r="T3868" i="1"/>
  <c r="T3869" i="1"/>
  <c r="T3870" i="1"/>
  <c r="T3871" i="1"/>
  <c r="T3872" i="1"/>
  <c r="T3873" i="1"/>
  <c r="T3874" i="1"/>
  <c r="T3875" i="1"/>
  <c r="T3876" i="1"/>
  <c r="T3877" i="1"/>
  <c r="T3878" i="1"/>
  <c r="T3879" i="1"/>
  <c r="T3880" i="1"/>
  <c r="T3881" i="1"/>
  <c r="T3882" i="1"/>
  <c r="T3883" i="1"/>
  <c r="T3884" i="1"/>
  <c r="T3885" i="1"/>
  <c r="T3886" i="1"/>
  <c r="T3887" i="1"/>
  <c r="T3888" i="1"/>
  <c r="T3889" i="1"/>
  <c r="T3890" i="1"/>
  <c r="T3891" i="1"/>
  <c r="T3892" i="1"/>
  <c r="T3893" i="1"/>
  <c r="T3894" i="1"/>
  <c r="T3895" i="1"/>
  <c r="T3896" i="1"/>
  <c r="T3897" i="1"/>
  <c r="T3898" i="1"/>
  <c r="T3899" i="1"/>
  <c r="T3900" i="1"/>
  <c r="T3901" i="1"/>
  <c r="T3902" i="1"/>
  <c r="T3903" i="1"/>
  <c r="T3904" i="1"/>
  <c r="T3905" i="1"/>
  <c r="T3906" i="1"/>
  <c r="T3907" i="1"/>
  <c r="T3908" i="1"/>
  <c r="T3909" i="1"/>
  <c r="T3910" i="1"/>
  <c r="T3911" i="1"/>
  <c r="T3912" i="1"/>
  <c r="T3913" i="1"/>
  <c r="T3914" i="1"/>
  <c r="T3915" i="1"/>
  <c r="T3916" i="1"/>
  <c r="T3917" i="1"/>
  <c r="T3918" i="1"/>
  <c r="T3919" i="1"/>
  <c r="T3920" i="1"/>
  <c r="T3921" i="1"/>
  <c r="T3922" i="1"/>
  <c r="T3923" i="1"/>
  <c r="T3924" i="1"/>
  <c r="T3925" i="1"/>
  <c r="T3926" i="1"/>
  <c r="T3927" i="1"/>
  <c r="T3928" i="1"/>
  <c r="T3929" i="1"/>
  <c r="T3930" i="1"/>
  <c r="T3931" i="1"/>
  <c r="T3932" i="1"/>
  <c r="T3933" i="1"/>
  <c r="T3934" i="1"/>
  <c r="T3935" i="1"/>
  <c r="T3936" i="1"/>
  <c r="T3937" i="1"/>
  <c r="T3938" i="1"/>
  <c r="T3939" i="1"/>
  <c r="T3940" i="1"/>
  <c r="T3941" i="1"/>
  <c r="T3942" i="1"/>
  <c r="T3943" i="1"/>
  <c r="T3944" i="1"/>
  <c r="T3945" i="1"/>
  <c r="T3946" i="1"/>
  <c r="T3947" i="1"/>
  <c r="T3948" i="1"/>
  <c r="T3949" i="1"/>
  <c r="T3950" i="1"/>
  <c r="T3951" i="1"/>
  <c r="T3952" i="1"/>
  <c r="T3953" i="1"/>
  <c r="T3954" i="1"/>
  <c r="T3955" i="1"/>
  <c r="T3956" i="1"/>
  <c r="T3957" i="1"/>
  <c r="T3958" i="1"/>
  <c r="T3959" i="1"/>
  <c r="T3960" i="1"/>
  <c r="T3961" i="1"/>
  <c r="T3962" i="1"/>
  <c r="T3963" i="1"/>
  <c r="T3964" i="1"/>
  <c r="T3965" i="1"/>
  <c r="T3966" i="1"/>
  <c r="T3967" i="1"/>
  <c r="T3968" i="1"/>
  <c r="T3969" i="1"/>
  <c r="T3970" i="1"/>
  <c r="T3971" i="1"/>
  <c r="T3972" i="1"/>
  <c r="T3973" i="1"/>
  <c r="T3974" i="1"/>
  <c r="T3975" i="1"/>
  <c r="T3976" i="1"/>
  <c r="T3977" i="1"/>
  <c r="T3978" i="1"/>
  <c r="T3979" i="1"/>
  <c r="T3980" i="1"/>
  <c r="T3981" i="1"/>
  <c r="T3982" i="1"/>
  <c r="T3983" i="1"/>
  <c r="T3984" i="1"/>
  <c r="T3985" i="1"/>
  <c r="T3986" i="1"/>
  <c r="T3987" i="1"/>
  <c r="T3988" i="1"/>
  <c r="T3989" i="1"/>
  <c r="T3990" i="1"/>
  <c r="T3991" i="1"/>
  <c r="T3992" i="1"/>
  <c r="T3993" i="1"/>
  <c r="T3994" i="1"/>
  <c r="T3995" i="1"/>
  <c r="T3996" i="1"/>
  <c r="T3997" i="1"/>
  <c r="T3998" i="1"/>
  <c r="T3999" i="1"/>
  <c r="T4000" i="1"/>
  <c r="T4001" i="1"/>
  <c r="T4002" i="1"/>
  <c r="T4003" i="1"/>
  <c r="T4004" i="1"/>
  <c r="T4005" i="1"/>
  <c r="T4006" i="1"/>
  <c r="T4007" i="1"/>
  <c r="T4008" i="1"/>
  <c r="T4009" i="1"/>
  <c r="T4010" i="1"/>
  <c r="T4011" i="1"/>
  <c r="T4012" i="1"/>
  <c r="T4013" i="1"/>
  <c r="T4014" i="1"/>
  <c r="T4015" i="1"/>
  <c r="T4016" i="1"/>
  <c r="T4017" i="1"/>
  <c r="T4018" i="1"/>
  <c r="T4019" i="1"/>
  <c r="T4020" i="1"/>
  <c r="T4021" i="1"/>
  <c r="T4022" i="1"/>
  <c r="T4023" i="1"/>
  <c r="T4024" i="1"/>
  <c r="T4025" i="1"/>
  <c r="T4026" i="1"/>
  <c r="T4027" i="1"/>
  <c r="T4028" i="1"/>
  <c r="T4029" i="1"/>
  <c r="T4030" i="1"/>
  <c r="T4031" i="1"/>
  <c r="T4032" i="1"/>
  <c r="T4033" i="1"/>
  <c r="T4034" i="1"/>
  <c r="T4035" i="1"/>
  <c r="T4036" i="1"/>
  <c r="T4037" i="1"/>
  <c r="T4038" i="1"/>
  <c r="T4039" i="1"/>
  <c r="T4040" i="1"/>
  <c r="T4041" i="1"/>
  <c r="T4042" i="1"/>
  <c r="T4043" i="1"/>
  <c r="T4044" i="1"/>
  <c r="T4045" i="1"/>
  <c r="T4046" i="1"/>
  <c r="T4047" i="1"/>
  <c r="T4048" i="1"/>
  <c r="T4049" i="1"/>
  <c r="T4050" i="1"/>
  <c r="T4051" i="1"/>
  <c r="T4052" i="1"/>
  <c r="T4053" i="1"/>
  <c r="T4054" i="1"/>
  <c r="T4055" i="1"/>
  <c r="T4056" i="1"/>
  <c r="T4057" i="1"/>
  <c r="T4058" i="1"/>
  <c r="T4059" i="1"/>
  <c r="T4060" i="1"/>
  <c r="T4061" i="1"/>
  <c r="T4062" i="1"/>
  <c r="T4063" i="1"/>
  <c r="T4064" i="1"/>
  <c r="T4065" i="1"/>
  <c r="T4066" i="1"/>
  <c r="T4067" i="1"/>
  <c r="T4068" i="1"/>
  <c r="T4069" i="1"/>
  <c r="T4070" i="1"/>
  <c r="T4071" i="1"/>
  <c r="T4072" i="1"/>
  <c r="T4073" i="1"/>
  <c r="T4074" i="1"/>
  <c r="T4075" i="1"/>
  <c r="T4076" i="1"/>
  <c r="T4077" i="1"/>
  <c r="T4078" i="1"/>
  <c r="T4079" i="1"/>
  <c r="T4080" i="1"/>
  <c r="T4081" i="1"/>
  <c r="T4082" i="1"/>
  <c r="T4083" i="1"/>
  <c r="T4084" i="1"/>
  <c r="T4085" i="1"/>
  <c r="T4086" i="1"/>
  <c r="T4087" i="1"/>
  <c r="T4088" i="1"/>
  <c r="T4089" i="1"/>
  <c r="T4090" i="1"/>
  <c r="T4091" i="1"/>
  <c r="T4092" i="1"/>
  <c r="T4093" i="1"/>
  <c r="T4094" i="1"/>
  <c r="T4095" i="1"/>
  <c r="T4096" i="1"/>
  <c r="T4097" i="1"/>
  <c r="T4098" i="1"/>
  <c r="T4099" i="1"/>
  <c r="T4100" i="1"/>
  <c r="T4101" i="1"/>
  <c r="T4102" i="1"/>
  <c r="T4103" i="1"/>
  <c r="T4104" i="1"/>
  <c r="T4105" i="1"/>
  <c r="T4106" i="1"/>
  <c r="T4107" i="1"/>
  <c r="T4108" i="1"/>
  <c r="T4109" i="1"/>
  <c r="T4110" i="1"/>
  <c r="T4111" i="1"/>
  <c r="T4112" i="1"/>
  <c r="T4113" i="1"/>
  <c r="T4114" i="1"/>
  <c r="T4115" i="1"/>
  <c r="T4116" i="1"/>
  <c r="T4117" i="1"/>
  <c r="T4118" i="1"/>
  <c r="T4119" i="1"/>
  <c r="T4120" i="1"/>
  <c r="T4121" i="1"/>
  <c r="T4122" i="1"/>
  <c r="T4123" i="1"/>
  <c r="T4124" i="1"/>
  <c r="T4125" i="1"/>
  <c r="T4126" i="1"/>
  <c r="T4127" i="1"/>
  <c r="T4128" i="1"/>
  <c r="T4129" i="1"/>
  <c r="T4130" i="1"/>
  <c r="T4131" i="1"/>
  <c r="T4132" i="1"/>
  <c r="T4133" i="1"/>
  <c r="T4134" i="1"/>
  <c r="T4135" i="1"/>
  <c r="T4136" i="1"/>
  <c r="T4137" i="1"/>
  <c r="T4138" i="1"/>
  <c r="T4139" i="1"/>
  <c r="T4140" i="1"/>
  <c r="T4141" i="1"/>
  <c r="T4142" i="1"/>
  <c r="T4143" i="1"/>
  <c r="T4144" i="1"/>
  <c r="T4145" i="1"/>
  <c r="T4146" i="1"/>
  <c r="T4147" i="1"/>
  <c r="T4148" i="1"/>
  <c r="T4149" i="1"/>
  <c r="T4150" i="1"/>
  <c r="T4151" i="1"/>
  <c r="T4152" i="1"/>
  <c r="T4153" i="1"/>
  <c r="T4154" i="1"/>
  <c r="T4155" i="1"/>
  <c r="T4156" i="1"/>
  <c r="T4157" i="1"/>
  <c r="T4158" i="1"/>
  <c r="T4159" i="1"/>
  <c r="T4160" i="1"/>
  <c r="T4161" i="1"/>
  <c r="T4162" i="1"/>
  <c r="T4163" i="1"/>
  <c r="T4164" i="1"/>
  <c r="T4165" i="1"/>
  <c r="T4166" i="1"/>
  <c r="T4167" i="1"/>
  <c r="T4168" i="1"/>
  <c r="T4169" i="1"/>
  <c r="T4170" i="1"/>
  <c r="T4171" i="1"/>
  <c r="T4172" i="1"/>
  <c r="T4173" i="1"/>
  <c r="T4174" i="1"/>
  <c r="T4175" i="1"/>
  <c r="T4176" i="1"/>
  <c r="T4177" i="1"/>
  <c r="T4178" i="1"/>
  <c r="T4179" i="1"/>
  <c r="T4180" i="1"/>
  <c r="T4181" i="1"/>
  <c r="T4182" i="1"/>
  <c r="T4183" i="1"/>
  <c r="T4184" i="1"/>
  <c r="T4185" i="1"/>
  <c r="T4186" i="1"/>
  <c r="T4187" i="1"/>
  <c r="T4188" i="1"/>
  <c r="T4189" i="1"/>
  <c r="T4190" i="1"/>
  <c r="T4191" i="1"/>
  <c r="T4192" i="1"/>
  <c r="T4193" i="1"/>
  <c r="T4194" i="1"/>
  <c r="T4195" i="1"/>
  <c r="T4196" i="1"/>
  <c r="T4197" i="1"/>
  <c r="T4198" i="1"/>
  <c r="T4199" i="1"/>
  <c r="T4200" i="1"/>
  <c r="T4201" i="1"/>
  <c r="T4202" i="1"/>
  <c r="T4203" i="1"/>
  <c r="T4204" i="1"/>
  <c r="T4205" i="1"/>
  <c r="T4206" i="1"/>
  <c r="T4207" i="1"/>
  <c r="T4208" i="1"/>
  <c r="T4209" i="1"/>
  <c r="T4210" i="1"/>
  <c r="T4211" i="1"/>
  <c r="T4212" i="1"/>
  <c r="T4213" i="1"/>
  <c r="T4214" i="1"/>
  <c r="T4215" i="1"/>
  <c r="T4216" i="1"/>
  <c r="T4217" i="1"/>
  <c r="T4218" i="1"/>
  <c r="T4219" i="1"/>
  <c r="T4220" i="1"/>
  <c r="T4221" i="1"/>
  <c r="T4222" i="1"/>
  <c r="T4223" i="1"/>
  <c r="T4224" i="1"/>
  <c r="T4225" i="1"/>
  <c r="T4226" i="1"/>
  <c r="T4227" i="1"/>
  <c r="T4228" i="1"/>
  <c r="T4229" i="1"/>
  <c r="T4230" i="1"/>
  <c r="T4231" i="1"/>
  <c r="T4232" i="1"/>
  <c r="T4233" i="1"/>
  <c r="T4234" i="1"/>
  <c r="T4235" i="1"/>
  <c r="T4236" i="1"/>
  <c r="T4237" i="1"/>
  <c r="T4238" i="1"/>
  <c r="T4239" i="1"/>
  <c r="T4240" i="1"/>
  <c r="T4241" i="1"/>
  <c r="T4242" i="1"/>
  <c r="T4243" i="1"/>
  <c r="T4244" i="1"/>
  <c r="T4245" i="1"/>
  <c r="T4246" i="1"/>
  <c r="T4247" i="1"/>
  <c r="T4248" i="1"/>
  <c r="T4249" i="1"/>
  <c r="T4250" i="1"/>
  <c r="T4251" i="1"/>
  <c r="T4252" i="1"/>
  <c r="T4253" i="1"/>
  <c r="T4254" i="1"/>
  <c r="T4255" i="1"/>
  <c r="T4256" i="1"/>
  <c r="T4257" i="1"/>
  <c r="T4258" i="1"/>
  <c r="T4259" i="1"/>
  <c r="T4260" i="1"/>
  <c r="T4261" i="1"/>
  <c r="T4262" i="1"/>
  <c r="T4263" i="1"/>
  <c r="T4264" i="1"/>
  <c r="T4265" i="1"/>
  <c r="T4266" i="1"/>
  <c r="T4267" i="1"/>
  <c r="T4268" i="1"/>
  <c r="T4269" i="1"/>
  <c r="T4270" i="1"/>
  <c r="T4271" i="1"/>
  <c r="T4272" i="1"/>
  <c r="T4273" i="1"/>
  <c r="T4274" i="1"/>
  <c r="T4275" i="1"/>
  <c r="T4276" i="1"/>
  <c r="T4277" i="1"/>
  <c r="T4278" i="1"/>
  <c r="T4279" i="1"/>
  <c r="T4280" i="1"/>
  <c r="T4281" i="1"/>
  <c r="T4282" i="1"/>
  <c r="T4283" i="1"/>
  <c r="T4284" i="1"/>
  <c r="T4285" i="1"/>
  <c r="T4286" i="1"/>
  <c r="T4287" i="1"/>
  <c r="T4288" i="1"/>
  <c r="T4289" i="1"/>
  <c r="T4290" i="1"/>
  <c r="T4291" i="1"/>
  <c r="T4292" i="1"/>
  <c r="T4293" i="1"/>
  <c r="T4294" i="1"/>
  <c r="T4295" i="1"/>
  <c r="T4296" i="1"/>
  <c r="T4297" i="1"/>
  <c r="T4298" i="1"/>
  <c r="T4299" i="1"/>
  <c r="T4300" i="1"/>
  <c r="T4301" i="1"/>
  <c r="T4302" i="1"/>
  <c r="T4303" i="1"/>
  <c r="T4304" i="1"/>
  <c r="T4305" i="1"/>
  <c r="T4306" i="1"/>
  <c r="T4307" i="1"/>
  <c r="T4308" i="1"/>
  <c r="T4309" i="1"/>
  <c r="T4310" i="1"/>
  <c r="T4311" i="1"/>
  <c r="T4312" i="1"/>
  <c r="T4313" i="1"/>
  <c r="T4314" i="1"/>
  <c r="T4315" i="1"/>
  <c r="T4316" i="1"/>
  <c r="T4317" i="1"/>
  <c r="T4318" i="1"/>
  <c r="T4319" i="1"/>
  <c r="T4320" i="1"/>
  <c r="T4321" i="1"/>
  <c r="T4322" i="1"/>
  <c r="T4323" i="1"/>
  <c r="T4324" i="1"/>
  <c r="T4325" i="1"/>
  <c r="T4326" i="1"/>
  <c r="T4327" i="1"/>
  <c r="T4328" i="1"/>
  <c r="T4329" i="1"/>
  <c r="T4330" i="1"/>
  <c r="T4331" i="1"/>
  <c r="T4332" i="1"/>
  <c r="T4333" i="1"/>
  <c r="T4334" i="1"/>
  <c r="T4335" i="1"/>
  <c r="T4336" i="1"/>
  <c r="T4337" i="1"/>
  <c r="T4338" i="1"/>
  <c r="T4339" i="1"/>
  <c r="T4340" i="1"/>
  <c r="T4341" i="1"/>
  <c r="T4342" i="1"/>
  <c r="T4343" i="1"/>
  <c r="T4344" i="1"/>
  <c r="T4345" i="1"/>
  <c r="T4346" i="1"/>
  <c r="T4347" i="1"/>
  <c r="T4348" i="1"/>
  <c r="T4349" i="1"/>
  <c r="T4350" i="1"/>
  <c r="T4351" i="1"/>
  <c r="T4352" i="1"/>
  <c r="T4353" i="1"/>
  <c r="T4354" i="1"/>
  <c r="T4355" i="1"/>
  <c r="T4356" i="1"/>
  <c r="T4357" i="1"/>
  <c r="T4358" i="1"/>
  <c r="T4359" i="1"/>
  <c r="T4360" i="1"/>
  <c r="T4361" i="1"/>
  <c r="T4362" i="1"/>
  <c r="T4363" i="1"/>
  <c r="T4364" i="1"/>
  <c r="T4365" i="1"/>
  <c r="T4366" i="1"/>
  <c r="T4367" i="1"/>
  <c r="T4368" i="1"/>
  <c r="T4369" i="1"/>
  <c r="T4370" i="1"/>
  <c r="T4371" i="1"/>
  <c r="T4372" i="1"/>
  <c r="T4373" i="1"/>
  <c r="T4374" i="1"/>
  <c r="T4375" i="1"/>
  <c r="T4376" i="1"/>
  <c r="T4377" i="1"/>
  <c r="T4378" i="1"/>
  <c r="T4379" i="1"/>
  <c r="T4380" i="1"/>
  <c r="T4381" i="1"/>
  <c r="T4382" i="1"/>
  <c r="T4383" i="1"/>
  <c r="T4384" i="1"/>
  <c r="T4385" i="1"/>
  <c r="T4386" i="1"/>
  <c r="T4387" i="1"/>
  <c r="T4388" i="1"/>
  <c r="T4389" i="1"/>
  <c r="T4390" i="1"/>
  <c r="T4391" i="1"/>
  <c r="T4392" i="1"/>
  <c r="T4393" i="1"/>
  <c r="T4394" i="1"/>
  <c r="T4395" i="1"/>
  <c r="T4396" i="1"/>
  <c r="T4397" i="1"/>
  <c r="T4398" i="1"/>
  <c r="T4399" i="1"/>
  <c r="T4400" i="1"/>
  <c r="T4401" i="1"/>
  <c r="T4402" i="1"/>
  <c r="T4403" i="1"/>
  <c r="T4404" i="1"/>
  <c r="T4405" i="1"/>
  <c r="T4406" i="1"/>
  <c r="T4407" i="1"/>
  <c r="T4408" i="1"/>
  <c r="T4409" i="1"/>
  <c r="T4410" i="1"/>
  <c r="T4411" i="1"/>
  <c r="T4412" i="1"/>
  <c r="T4413" i="1"/>
  <c r="T4414" i="1"/>
  <c r="T4415" i="1"/>
  <c r="T4416" i="1"/>
  <c r="T4417" i="1"/>
  <c r="T4418" i="1"/>
  <c r="T4419" i="1"/>
  <c r="T4420" i="1"/>
  <c r="T4421" i="1"/>
  <c r="T4422" i="1"/>
  <c r="T4423" i="1"/>
  <c r="T4424" i="1"/>
  <c r="T4425" i="1"/>
  <c r="T4426" i="1"/>
  <c r="T4427" i="1"/>
  <c r="T4428" i="1"/>
  <c r="T4429" i="1"/>
  <c r="T4430" i="1"/>
  <c r="T4431" i="1"/>
  <c r="T4432" i="1"/>
  <c r="T4433" i="1"/>
  <c r="T4434" i="1"/>
  <c r="T4435" i="1"/>
  <c r="T4436" i="1"/>
  <c r="T4437" i="1"/>
  <c r="T4438" i="1"/>
  <c r="T4439" i="1"/>
  <c r="T4440" i="1"/>
  <c r="T4441" i="1"/>
  <c r="T4442" i="1"/>
  <c r="T4443" i="1"/>
  <c r="T4444" i="1"/>
  <c r="T4445" i="1"/>
  <c r="T4446" i="1"/>
  <c r="T4447" i="1"/>
  <c r="T4448" i="1"/>
  <c r="T4449" i="1"/>
  <c r="T4450" i="1"/>
  <c r="T4451" i="1"/>
  <c r="T4452" i="1"/>
  <c r="T4453" i="1"/>
  <c r="T4454" i="1"/>
  <c r="T4455" i="1"/>
  <c r="T4456" i="1"/>
  <c r="T4457" i="1"/>
  <c r="T4458" i="1"/>
  <c r="T4459" i="1"/>
  <c r="T4460" i="1"/>
  <c r="T4461" i="1"/>
  <c r="T4462" i="1"/>
  <c r="T4463" i="1"/>
  <c r="T4464" i="1"/>
  <c r="T4465" i="1"/>
  <c r="T4466" i="1"/>
  <c r="T4467" i="1"/>
  <c r="T4468" i="1"/>
  <c r="T4469" i="1"/>
  <c r="T4470" i="1"/>
  <c r="T4471" i="1"/>
  <c r="T4472" i="1"/>
  <c r="T4473" i="1"/>
  <c r="T4474" i="1"/>
  <c r="T4475" i="1"/>
  <c r="T4476" i="1"/>
  <c r="T4477" i="1"/>
  <c r="T4478" i="1"/>
  <c r="T4479" i="1"/>
  <c r="T4480" i="1"/>
  <c r="T4481" i="1"/>
  <c r="T4482" i="1"/>
  <c r="T4483" i="1"/>
  <c r="T4484" i="1"/>
  <c r="T4485" i="1"/>
  <c r="T4486" i="1"/>
  <c r="T4487" i="1"/>
  <c r="T4488" i="1"/>
  <c r="T4489" i="1"/>
  <c r="T4490" i="1"/>
  <c r="T4491" i="1"/>
  <c r="T4492" i="1"/>
  <c r="T4493" i="1"/>
  <c r="T4494" i="1"/>
  <c r="T4495" i="1"/>
  <c r="T4496" i="1"/>
  <c r="T4497" i="1"/>
  <c r="T4498" i="1"/>
  <c r="T4499" i="1"/>
  <c r="T4500" i="1"/>
  <c r="T4501" i="1"/>
  <c r="T4502" i="1"/>
  <c r="T4503" i="1"/>
  <c r="T4504" i="1"/>
  <c r="T4505" i="1"/>
  <c r="T4506" i="1"/>
  <c r="T4507" i="1"/>
  <c r="T4508" i="1"/>
  <c r="T4509" i="1"/>
  <c r="T4510" i="1"/>
  <c r="T4511" i="1"/>
  <c r="T4512" i="1"/>
  <c r="T4513" i="1"/>
  <c r="T4514" i="1"/>
  <c r="T4515" i="1"/>
  <c r="T4516" i="1"/>
  <c r="T4517" i="1"/>
  <c r="T4518" i="1"/>
  <c r="T4519" i="1"/>
  <c r="T4520" i="1"/>
  <c r="T4521" i="1"/>
  <c r="T4522" i="1"/>
  <c r="T4523" i="1"/>
  <c r="T4524" i="1"/>
  <c r="T4525" i="1"/>
  <c r="T4526" i="1"/>
  <c r="T4527" i="1"/>
  <c r="T4528" i="1"/>
  <c r="T4529" i="1"/>
  <c r="T4530" i="1"/>
  <c r="T4531" i="1"/>
  <c r="T4532" i="1"/>
  <c r="T4533" i="1"/>
  <c r="T4534" i="1"/>
  <c r="T4535" i="1"/>
  <c r="T4536" i="1"/>
  <c r="T4537" i="1"/>
  <c r="T4538" i="1"/>
  <c r="T4539" i="1"/>
  <c r="T4540" i="1"/>
  <c r="T4541" i="1"/>
  <c r="T4542" i="1"/>
  <c r="T4543" i="1"/>
  <c r="T4544" i="1"/>
  <c r="T4545" i="1"/>
  <c r="T4546" i="1"/>
  <c r="T4547" i="1"/>
  <c r="T4548" i="1"/>
  <c r="T4549" i="1"/>
  <c r="T4550" i="1"/>
  <c r="T4551" i="1"/>
  <c r="T4552" i="1"/>
  <c r="T4553" i="1"/>
  <c r="T4554" i="1"/>
  <c r="T4555" i="1"/>
  <c r="T4556" i="1"/>
  <c r="T4557" i="1"/>
  <c r="T4558" i="1"/>
  <c r="T4559" i="1"/>
  <c r="T4560" i="1"/>
  <c r="T4561" i="1"/>
  <c r="T4562" i="1"/>
  <c r="T4563" i="1"/>
  <c r="T4564" i="1"/>
  <c r="T4565" i="1"/>
  <c r="T4566" i="1"/>
  <c r="T4567" i="1"/>
  <c r="T4568" i="1"/>
  <c r="T4569" i="1"/>
  <c r="T4570" i="1"/>
  <c r="T4571" i="1"/>
  <c r="T4572" i="1"/>
  <c r="T4573" i="1"/>
  <c r="T4574" i="1"/>
  <c r="T4575" i="1"/>
  <c r="T4576" i="1"/>
  <c r="T4577" i="1"/>
  <c r="T4578" i="1"/>
  <c r="T4579" i="1"/>
  <c r="T4580" i="1"/>
  <c r="T4581" i="1"/>
  <c r="T4582" i="1"/>
  <c r="T4583" i="1"/>
  <c r="T4584" i="1"/>
  <c r="T4585" i="1"/>
  <c r="T4586" i="1"/>
  <c r="T4587" i="1"/>
  <c r="T4588" i="1"/>
  <c r="T4589" i="1"/>
  <c r="T4590" i="1"/>
  <c r="T4591" i="1"/>
  <c r="T4592" i="1"/>
  <c r="T4593" i="1"/>
  <c r="T4594" i="1"/>
  <c r="T4595" i="1"/>
  <c r="T4596" i="1"/>
  <c r="T4597" i="1"/>
  <c r="T4598" i="1"/>
  <c r="T4599" i="1"/>
  <c r="T4600" i="1"/>
  <c r="T4601" i="1"/>
  <c r="T4602" i="1"/>
  <c r="T4603" i="1"/>
  <c r="T4604" i="1"/>
  <c r="T4605" i="1"/>
  <c r="T4606" i="1"/>
  <c r="T4607" i="1"/>
  <c r="T4608" i="1"/>
  <c r="T4609" i="1"/>
  <c r="T4610" i="1"/>
  <c r="T4611" i="1"/>
  <c r="T4612" i="1"/>
  <c r="T4613" i="1"/>
  <c r="T4614" i="1"/>
  <c r="T4615" i="1"/>
  <c r="T4616" i="1"/>
  <c r="T4617" i="1"/>
  <c r="T4618" i="1"/>
  <c r="T4619" i="1"/>
  <c r="T4620" i="1"/>
  <c r="T4621" i="1"/>
  <c r="T4622" i="1"/>
  <c r="T4623" i="1"/>
  <c r="T4624" i="1"/>
  <c r="T4625" i="1"/>
  <c r="T4626" i="1"/>
  <c r="T4627" i="1"/>
  <c r="T4628" i="1"/>
  <c r="T4629" i="1"/>
  <c r="T4630" i="1"/>
  <c r="T4631" i="1"/>
  <c r="T4632" i="1"/>
  <c r="T4633" i="1"/>
  <c r="T4634" i="1"/>
  <c r="T4635" i="1"/>
  <c r="T4636" i="1"/>
  <c r="T4637" i="1"/>
  <c r="T4638" i="1"/>
  <c r="T4639" i="1"/>
  <c r="T4640" i="1"/>
  <c r="T4641" i="1"/>
  <c r="T4642" i="1"/>
  <c r="T4643" i="1"/>
  <c r="T4644" i="1"/>
  <c r="T4645" i="1"/>
  <c r="T4646" i="1"/>
  <c r="T4647" i="1"/>
  <c r="T4648" i="1"/>
  <c r="T4649" i="1"/>
  <c r="T4650" i="1"/>
  <c r="T4651" i="1"/>
  <c r="T4652" i="1"/>
  <c r="T4653" i="1"/>
  <c r="T4654" i="1"/>
  <c r="T4655" i="1"/>
  <c r="T4656" i="1"/>
  <c r="T4657" i="1"/>
  <c r="T4658" i="1"/>
  <c r="T4659" i="1"/>
  <c r="T4660" i="1"/>
  <c r="T4661" i="1"/>
  <c r="T4662" i="1"/>
  <c r="T4663" i="1"/>
  <c r="T4664" i="1"/>
  <c r="T4665" i="1"/>
  <c r="T4666" i="1"/>
  <c r="T4667" i="1"/>
  <c r="T4668" i="1"/>
  <c r="T4669" i="1"/>
  <c r="T4670" i="1"/>
  <c r="T4671" i="1"/>
  <c r="T4672" i="1"/>
  <c r="T4673" i="1"/>
  <c r="T4674" i="1"/>
  <c r="T4675" i="1"/>
  <c r="T4676" i="1"/>
  <c r="T4677" i="1"/>
  <c r="T4678" i="1"/>
  <c r="T4679" i="1"/>
  <c r="T4680" i="1"/>
  <c r="T4681" i="1"/>
  <c r="T4682" i="1"/>
  <c r="T4683" i="1"/>
  <c r="T4684" i="1"/>
  <c r="T4685" i="1"/>
  <c r="T4686" i="1"/>
  <c r="T4687" i="1"/>
  <c r="T4688" i="1"/>
  <c r="T4689" i="1"/>
  <c r="T4690" i="1"/>
  <c r="T4691" i="1"/>
  <c r="T4692" i="1"/>
  <c r="T4693" i="1"/>
  <c r="T4694" i="1"/>
  <c r="T4695" i="1"/>
  <c r="T4696" i="1"/>
  <c r="T4697" i="1"/>
  <c r="T4698" i="1"/>
  <c r="T4699" i="1"/>
  <c r="T4700" i="1"/>
  <c r="T4701" i="1"/>
  <c r="T4702" i="1"/>
  <c r="T4703" i="1"/>
  <c r="T4704" i="1"/>
  <c r="T4705" i="1"/>
  <c r="T4706" i="1"/>
  <c r="T4707" i="1"/>
  <c r="T4708" i="1"/>
  <c r="T4709" i="1"/>
  <c r="T4710" i="1"/>
  <c r="T4711" i="1"/>
  <c r="T4712" i="1"/>
  <c r="T4713" i="1"/>
  <c r="T4714" i="1"/>
  <c r="T4715" i="1"/>
  <c r="T4716" i="1"/>
  <c r="T4717" i="1"/>
  <c r="T4718" i="1"/>
  <c r="T4719" i="1"/>
  <c r="T4720" i="1"/>
  <c r="T4721" i="1"/>
  <c r="T4722" i="1"/>
  <c r="T4723" i="1"/>
  <c r="T4724" i="1"/>
  <c r="T4725" i="1"/>
  <c r="T4726" i="1"/>
  <c r="T4727" i="1"/>
  <c r="T4728" i="1"/>
  <c r="T4729" i="1"/>
  <c r="T4730" i="1"/>
  <c r="T4731" i="1"/>
  <c r="T4732" i="1"/>
  <c r="T4733" i="1"/>
  <c r="T4734" i="1"/>
  <c r="T4735" i="1"/>
  <c r="T4736" i="1"/>
  <c r="T4737" i="1"/>
  <c r="T4738" i="1"/>
  <c r="T4739" i="1"/>
  <c r="T4740" i="1"/>
  <c r="T4741" i="1"/>
  <c r="T4742" i="1"/>
  <c r="T4743" i="1"/>
  <c r="T4744" i="1"/>
  <c r="T4745" i="1"/>
  <c r="T4746" i="1"/>
  <c r="T4747" i="1"/>
  <c r="T4748" i="1"/>
  <c r="T4749" i="1"/>
  <c r="T4750" i="1"/>
  <c r="T4751" i="1"/>
  <c r="T4752" i="1"/>
  <c r="T4753" i="1"/>
  <c r="T4754" i="1"/>
  <c r="T4755" i="1"/>
  <c r="T4756" i="1"/>
  <c r="T4757" i="1"/>
  <c r="T4758" i="1"/>
  <c r="T4759" i="1"/>
  <c r="T4760" i="1"/>
  <c r="T4761" i="1"/>
  <c r="T4762" i="1"/>
  <c r="T4763" i="1"/>
  <c r="T4764" i="1"/>
  <c r="T4765" i="1"/>
  <c r="T4766" i="1"/>
  <c r="T4767" i="1"/>
  <c r="T4768" i="1"/>
  <c r="T4769" i="1"/>
  <c r="T4770" i="1"/>
  <c r="T4771" i="1"/>
  <c r="T4772" i="1"/>
  <c r="T4773" i="1"/>
  <c r="T4774" i="1"/>
  <c r="T4775" i="1"/>
  <c r="T4776" i="1"/>
  <c r="T4777" i="1"/>
  <c r="T4778" i="1"/>
  <c r="T4779" i="1"/>
  <c r="T4780" i="1"/>
  <c r="T4781" i="1"/>
  <c r="T4782" i="1"/>
  <c r="T4783" i="1"/>
  <c r="T4784" i="1"/>
  <c r="T4785" i="1"/>
  <c r="T4786" i="1"/>
  <c r="T4787" i="1"/>
  <c r="T4788" i="1"/>
  <c r="T4789" i="1"/>
  <c r="T4790" i="1"/>
  <c r="T4791" i="1"/>
  <c r="T4792" i="1"/>
  <c r="T4793" i="1"/>
  <c r="T4794" i="1"/>
  <c r="T4795" i="1"/>
  <c r="T4796" i="1"/>
  <c r="T4797" i="1"/>
  <c r="T4798" i="1"/>
  <c r="T4799" i="1"/>
  <c r="T4800" i="1"/>
  <c r="T4801" i="1"/>
  <c r="T4802" i="1"/>
  <c r="T4803" i="1"/>
  <c r="T4804" i="1"/>
  <c r="T4805" i="1"/>
  <c r="T4806" i="1"/>
  <c r="T4807" i="1"/>
  <c r="T4808" i="1"/>
  <c r="T4809" i="1"/>
  <c r="T4810" i="1"/>
  <c r="T4811" i="1"/>
  <c r="T4812" i="1"/>
  <c r="T4813" i="1"/>
  <c r="T4814" i="1"/>
  <c r="T4815" i="1"/>
  <c r="T4816" i="1"/>
  <c r="T4817" i="1"/>
  <c r="T4818" i="1"/>
  <c r="T4819" i="1"/>
  <c r="T4820" i="1"/>
  <c r="T4821" i="1"/>
  <c r="T4822" i="1"/>
  <c r="T4823" i="1"/>
  <c r="T4824" i="1"/>
  <c r="T4825" i="1"/>
  <c r="T4826" i="1"/>
  <c r="T4827" i="1"/>
  <c r="T4828" i="1"/>
  <c r="T4829" i="1"/>
  <c r="T4830" i="1"/>
  <c r="T4831" i="1"/>
  <c r="T4832" i="1"/>
  <c r="T4833" i="1"/>
  <c r="T4834" i="1"/>
  <c r="T4835" i="1"/>
  <c r="T4836" i="1"/>
  <c r="T4837" i="1"/>
  <c r="T4838" i="1"/>
  <c r="T4839" i="1"/>
  <c r="T4840" i="1"/>
  <c r="T4841" i="1"/>
  <c r="T4842" i="1"/>
  <c r="T4843" i="1"/>
  <c r="T4844" i="1"/>
  <c r="T4845" i="1"/>
  <c r="T4846" i="1"/>
  <c r="T4847" i="1"/>
  <c r="T4848" i="1"/>
  <c r="T4849" i="1"/>
  <c r="T4850" i="1"/>
  <c r="T4851" i="1"/>
  <c r="T4852" i="1"/>
  <c r="T4853" i="1"/>
  <c r="T4854" i="1"/>
  <c r="T4855" i="1"/>
  <c r="T4856" i="1"/>
  <c r="T4857" i="1"/>
  <c r="T4858" i="1"/>
  <c r="T4859" i="1"/>
  <c r="T4860" i="1"/>
  <c r="T4861" i="1"/>
  <c r="T4862" i="1"/>
  <c r="T4863" i="1"/>
  <c r="T4864" i="1"/>
  <c r="T4865" i="1"/>
  <c r="T4866" i="1"/>
  <c r="T4867" i="1"/>
  <c r="T4868" i="1"/>
  <c r="T4869" i="1"/>
  <c r="T4870" i="1"/>
  <c r="T4871" i="1"/>
  <c r="T4872" i="1"/>
  <c r="T4873" i="1"/>
  <c r="T4874" i="1"/>
  <c r="T4875" i="1"/>
  <c r="T4876" i="1"/>
  <c r="T4877" i="1"/>
  <c r="T4878" i="1"/>
  <c r="T4879" i="1"/>
  <c r="T4880" i="1"/>
  <c r="T4881" i="1"/>
  <c r="T4882" i="1"/>
  <c r="T4883" i="1"/>
  <c r="T4884" i="1"/>
  <c r="T4885" i="1"/>
  <c r="T4886" i="1"/>
  <c r="T4887" i="1"/>
  <c r="T4888" i="1"/>
  <c r="T4889" i="1"/>
  <c r="T4890" i="1"/>
  <c r="T4891" i="1"/>
  <c r="T4892" i="1"/>
  <c r="T4893" i="1"/>
  <c r="T4894" i="1"/>
  <c r="T4895" i="1"/>
  <c r="T4896" i="1"/>
  <c r="T4897" i="1"/>
  <c r="T4898" i="1"/>
  <c r="T4899" i="1"/>
  <c r="T4900" i="1"/>
  <c r="T4901" i="1"/>
  <c r="T4902" i="1"/>
  <c r="T4903" i="1"/>
  <c r="T4904" i="1"/>
  <c r="T4905" i="1"/>
  <c r="T4906" i="1"/>
  <c r="T4907" i="1"/>
  <c r="T4908" i="1"/>
  <c r="T4909" i="1"/>
  <c r="T4910" i="1"/>
  <c r="T4911" i="1"/>
  <c r="T4912" i="1"/>
  <c r="T4913" i="1"/>
  <c r="T4914" i="1"/>
  <c r="T4915" i="1"/>
  <c r="T4916" i="1"/>
  <c r="T4917" i="1"/>
  <c r="T4918" i="1"/>
  <c r="T4919" i="1"/>
  <c r="T4920" i="1"/>
  <c r="T4921" i="1"/>
  <c r="T4922" i="1"/>
  <c r="T4923" i="1"/>
  <c r="T4924" i="1"/>
  <c r="T4925" i="1"/>
  <c r="T4926" i="1"/>
  <c r="T4927" i="1"/>
  <c r="T4928" i="1"/>
  <c r="T4929" i="1"/>
  <c r="T4930" i="1"/>
  <c r="T4931" i="1"/>
  <c r="T4932" i="1"/>
  <c r="T4933" i="1"/>
  <c r="T4934" i="1"/>
  <c r="T4935" i="1"/>
  <c r="T4936" i="1"/>
  <c r="T4937" i="1"/>
  <c r="T4938" i="1"/>
  <c r="T4939" i="1"/>
  <c r="T4940" i="1"/>
  <c r="T4941" i="1"/>
  <c r="T4942" i="1"/>
  <c r="T4943" i="1"/>
  <c r="T4944" i="1"/>
  <c r="T4945" i="1"/>
  <c r="T4946" i="1"/>
  <c r="T4947" i="1"/>
  <c r="T4948" i="1"/>
  <c r="T4949" i="1"/>
  <c r="T4950" i="1"/>
  <c r="T4951" i="1"/>
  <c r="T4952" i="1"/>
  <c r="T4953" i="1"/>
  <c r="T4954" i="1"/>
  <c r="T4955" i="1"/>
  <c r="T4956" i="1"/>
  <c r="T4957" i="1"/>
  <c r="T4958" i="1"/>
  <c r="T4959" i="1"/>
  <c r="T4960" i="1"/>
  <c r="T4961" i="1"/>
  <c r="T4962" i="1"/>
  <c r="T4963" i="1"/>
  <c r="T4964" i="1"/>
  <c r="T4965" i="1"/>
  <c r="T4966" i="1"/>
  <c r="T4967" i="1"/>
  <c r="T4968" i="1"/>
  <c r="T4969" i="1"/>
  <c r="T4970" i="1"/>
  <c r="T4971" i="1"/>
  <c r="T4972" i="1"/>
  <c r="T4973" i="1"/>
  <c r="T4974" i="1"/>
  <c r="T4975" i="1"/>
  <c r="T4976" i="1"/>
  <c r="T4977" i="1"/>
  <c r="T4978" i="1"/>
  <c r="T4979" i="1"/>
  <c r="T4980" i="1"/>
  <c r="T4981" i="1"/>
  <c r="T4982" i="1"/>
  <c r="T4983" i="1"/>
  <c r="T4984" i="1"/>
  <c r="T4985" i="1"/>
  <c r="T4986" i="1"/>
  <c r="T4987" i="1"/>
  <c r="T4988" i="1"/>
  <c r="T4989" i="1"/>
  <c r="T4990" i="1"/>
  <c r="T4991" i="1"/>
  <c r="T4992" i="1"/>
  <c r="T4993" i="1"/>
  <c r="T4994" i="1"/>
  <c r="T4995" i="1"/>
  <c r="T4996" i="1"/>
  <c r="T4997" i="1"/>
  <c r="T4998" i="1"/>
  <c r="T4999" i="1"/>
  <c r="T5000" i="1"/>
  <c r="T5001" i="1"/>
  <c r="T5002" i="1"/>
  <c r="T5003" i="1"/>
  <c r="T5004" i="1"/>
  <c r="T5005" i="1"/>
  <c r="T5006" i="1"/>
  <c r="T5007" i="1"/>
  <c r="T5008" i="1"/>
  <c r="T5009" i="1"/>
  <c r="T5010" i="1"/>
  <c r="T5011" i="1"/>
  <c r="T5012" i="1"/>
  <c r="T5013" i="1"/>
  <c r="T5014" i="1"/>
  <c r="T5015" i="1"/>
  <c r="T5016" i="1"/>
  <c r="T5017" i="1"/>
  <c r="T5018" i="1"/>
  <c r="T5019" i="1"/>
  <c r="T5020" i="1"/>
  <c r="T5021" i="1"/>
  <c r="T5022" i="1"/>
  <c r="T5023" i="1"/>
  <c r="T5024" i="1"/>
  <c r="T5025" i="1"/>
  <c r="T5026" i="1"/>
  <c r="T5027" i="1"/>
  <c r="T5028" i="1"/>
  <c r="T5029" i="1"/>
  <c r="T5030" i="1"/>
  <c r="T5031" i="1"/>
  <c r="T5032" i="1"/>
  <c r="T5033" i="1"/>
  <c r="T5034" i="1"/>
  <c r="T5035" i="1"/>
  <c r="T5036" i="1"/>
  <c r="T5037" i="1"/>
  <c r="T5038" i="1"/>
  <c r="T5039" i="1"/>
  <c r="T5040" i="1"/>
  <c r="T5041" i="1"/>
  <c r="T5042" i="1"/>
  <c r="T5043" i="1"/>
  <c r="T5044" i="1"/>
  <c r="T5045" i="1"/>
  <c r="T5046" i="1"/>
  <c r="T5047" i="1"/>
  <c r="T5048" i="1"/>
  <c r="T5049" i="1"/>
  <c r="T5050" i="1"/>
  <c r="T5051" i="1"/>
  <c r="T5052" i="1"/>
  <c r="T5053" i="1"/>
  <c r="T5054" i="1"/>
  <c r="T5055" i="1"/>
  <c r="T5056" i="1"/>
  <c r="T5057" i="1"/>
  <c r="T5058" i="1"/>
  <c r="T5059" i="1"/>
  <c r="T5060" i="1"/>
  <c r="T5061" i="1"/>
  <c r="T5062" i="1"/>
  <c r="T5063" i="1"/>
  <c r="T5064" i="1"/>
  <c r="T5065" i="1"/>
  <c r="T5066" i="1"/>
  <c r="T5067" i="1"/>
  <c r="T5068" i="1"/>
  <c r="T5069" i="1"/>
  <c r="T5070" i="1"/>
  <c r="T5071" i="1"/>
  <c r="T5072" i="1"/>
  <c r="T5073" i="1"/>
  <c r="T5074" i="1"/>
  <c r="T5075" i="1"/>
  <c r="T5076" i="1"/>
  <c r="T5077" i="1"/>
  <c r="T5078" i="1"/>
  <c r="T5079" i="1"/>
  <c r="T5080" i="1"/>
  <c r="T5081" i="1"/>
  <c r="T5082" i="1"/>
  <c r="T5083" i="1"/>
  <c r="T5084" i="1"/>
  <c r="T5085" i="1"/>
  <c r="T5086" i="1"/>
  <c r="T5087" i="1"/>
  <c r="T5088" i="1"/>
  <c r="T5089" i="1"/>
  <c r="T5090" i="1"/>
  <c r="T5091" i="1"/>
  <c r="T5092" i="1"/>
  <c r="T5093" i="1"/>
  <c r="T5094" i="1"/>
  <c r="T5095" i="1"/>
  <c r="T5096" i="1"/>
  <c r="T5097" i="1"/>
  <c r="T5098" i="1"/>
  <c r="T5099" i="1"/>
  <c r="T5100" i="1"/>
  <c r="T5101" i="1"/>
  <c r="T5102" i="1"/>
  <c r="T5103" i="1"/>
  <c r="T5104" i="1"/>
  <c r="T5105" i="1"/>
  <c r="T5106" i="1"/>
  <c r="T5107" i="1"/>
  <c r="T5108" i="1"/>
  <c r="T5109" i="1"/>
  <c r="T5110" i="1"/>
  <c r="T5111" i="1"/>
  <c r="T5112" i="1"/>
  <c r="T5113" i="1"/>
  <c r="T5114" i="1"/>
  <c r="T5115" i="1"/>
  <c r="T5116" i="1"/>
  <c r="T5117" i="1"/>
  <c r="T5118" i="1"/>
  <c r="T5119" i="1"/>
  <c r="T5120" i="1"/>
  <c r="T5121" i="1"/>
  <c r="T5122" i="1"/>
  <c r="T5123" i="1"/>
  <c r="T5124" i="1"/>
  <c r="T5125" i="1"/>
  <c r="T5126" i="1"/>
  <c r="T5127" i="1"/>
  <c r="T5128" i="1"/>
  <c r="T5129" i="1"/>
  <c r="T5130" i="1"/>
  <c r="T5131" i="1"/>
  <c r="T5132" i="1"/>
  <c r="T5133" i="1"/>
  <c r="T5134" i="1"/>
  <c r="T5135" i="1"/>
  <c r="T5136" i="1"/>
  <c r="T5137" i="1"/>
  <c r="T5138" i="1"/>
  <c r="T5139" i="1"/>
  <c r="T5140" i="1"/>
  <c r="T5141" i="1"/>
  <c r="T5142" i="1"/>
  <c r="T5143" i="1"/>
  <c r="T5144" i="1"/>
  <c r="T5145" i="1"/>
  <c r="T5146" i="1"/>
  <c r="T5147" i="1"/>
  <c r="T5148" i="1"/>
  <c r="T5149" i="1"/>
  <c r="T5150" i="1"/>
  <c r="T5151" i="1"/>
  <c r="T5152" i="1"/>
  <c r="T5153" i="1"/>
  <c r="T5154" i="1"/>
  <c r="T5155" i="1"/>
  <c r="T5156" i="1"/>
  <c r="T5157" i="1"/>
  <c r="T5158" i="1"/>
  <c r="T5159" i="1"/>
  <c r="T5160" i="1"/>
  <c r="T5161" i="1"/>
  <c r="T5162" i="1"/>
  <c r="T5163" i="1"/>
  <c r="T5164" i="1"/>
  <c r="T5165" i="1"/>
  <c r="T5166" i="1"/>
  <c r="T5167" i="1"/>
  <c r="T5168" i="1"/>
  <c r="T5169" i="1"/>
  <c r="T5170" i="1"/>
  <c r="T5171" i="1"/>
  <c r="T5172" i="1"/>
  <c r="T5173" i="1"/>
  <c r="T5174" i="1"/>
  <c r="T5175" i="1"/>
  <c r="T5176" i="1"/>
  <c r="T5177" i="1"/>
  <c r="T5178" i="1"/>
  <c r="T5179" i="1"/>
  <c r="T5180" i="1"/>
  <c r="T5181" i="1"/>
  <c r="T5182" i="1"/>
  <c r="T5183" i="1"/>
  <c r="T5184" i="1"/>
  <c r="T5185" i="1"/>
  <c r="T5186" i="1"/>
  <c r="T5187" i="1"/>
  <c r="T5188" i="1"/>
  <c r="T5189" i="1"/>
  <c r="T5190" i="1"/>
  <c r="T5191" i="1"/>
  <c r="T5192" i="1"/>
  <c r="T5193" i="1"/>
  <c r="T5194" i="1"/>
  <c r="T5195" i="1"/>
  <c r="T5196" i="1"/>
  <c r="T5197" i="1"/>
  <c r="T5198" i="1"/>
  <c r="T5199" i="1"/>
  <c r="T5200" i="1"/>
  <c r="T5201" i="1"/>
  <c r="T5202" i="1"/>
  <c r="T5203" i="1"/>
  <c r="T5204" i="1"/>
  <c r="T5205" i="1"/>
  <c r="T5206" i="1"/>
  <c r="T5207" i="1"/>
  <c r="T5208" i="1"/>
  <c r="T5209" i="1"/>
  <c r="T5210" i="1"/>
  <c r="T5211" i="1"/>
  <c r="T5212" i="1"/>
  <c r="T5213" i="1"/>
  <c r="T5214" i="1"/>
  <c r="T5215" i="1"/>
  <c r="T5216" i="1"/>
  <c r="T5217" i="1"/>
  <c r="T5218" i="1"/>
  <c r="T5219" i="1"/>
  <c r="T5220" i="1"/>
  <c r="T5221" i="1"/>
  <c r="T5222" i="1"/>
  <c r="T5223" i="1"/>
  <c r="T5224" i="1"/>
  <c r="T5225" i="1"/>
  <c r="T5226" i="1"/>
  <c r="T5227" i="1"/>
  <c r="T5228" i="1"/>
  <c r="T5229" i="1"/>
  <c r="T5230" i="1"/>
  <c r="T5231" i="1"/>
  <c r="T5232" i="1"/>
  <c r="T5233" i="1"/>
  <c r="T5234" i="1"/>
  <c r="T5235" i="1"/>
  <c r="T5236" i="1"/>
  <c r="T5237" i="1"/>
  <c r="T5238" i="1"/>
  <c r="T5239" i="1"/>
  <c r="T5240" i="1"/>
  <c r="T5241" i="1"/>
  <c r="T5242" i="1"/>
  <c r="T5243" i="1"/>
  <c r="T5244" i="1"/>
  <c r="T5245" i="1"/>
  <c r="T5246" i="1"/>
  <c r="T5247" i="1"/>
  <c r="T5248" i="1"/>
  <c r="T5249" i="1"/>
  <c r="T5250" i="1"/>
  <c r="T5251" i="1"/>
  <c r="T5252" i="1"/>
  <c r="T5253" i="1"/>
  <c r="T5254" i="1"/>
  <c r="T5255" i="1"/>
  <c r="T5256" i="1"/>
  <c r="T5257" i="1"/>
  <c r="T5258" i="1"/>
  <c r="T5259" i="1"/>
  <c r="T5260" i="1"/>
  <c r="T5261" i="1"/>
  <c r="T5262" i="1"/>
  <c r="T5263" i="1"/>
  <c r="T5264" i="1"/>
  <c r="T5265" i="1"/>
  <c r="T5266" i="1"/>
  <c r="T5267" i="1"/>
  <c r="T5268" i="1"/>
  <c r="T5269" i="1"/>
  <c r="T5270" i="1"/>
  <c r="T5271" i="1"/>
  <c r="T5272" i="1"/>
  <c r="T5273" i="1"/>
  <c r="T5274" i="1"/>
  <c r="T5275" i="1"/>
  <c r="T5276" i="1"/>
  <c r="T5277" i="1"/>
  <c r="T5278" i="1"/>
  <c r="T5279" i="1"/>
  <c r="T5280" i="1"/>
  <c r="T5281" i="1"/>
  <c r="T5282" i="1"/>
  <c r="T5283" i="1"/>
  <c r="T5284" i="1"/>
  <c r="T5285" i="1"/>
  <c r="T5286" i="1"/>
  <c r="T5287" i="1"/>
  <c r="T5288" i="1"/>
  <c r="T5289" i="1"/>
  <c r="T5290" i="1"/>
  <c r="T5291" i="1"/>
  <c r="T5292" i="1"/>
  <c r="T5293" i="1"/>
  <c r="T5294" i="1"/>
  <c r="T5295" i="1"/>
  <c r="T5296" i="1"/>
  <c r="T5297" i="1"/>
  <c r="T5298" i="1"/>
  <c r="T5299" i="1"/>
  <c r="T5300" i="1"/>
  <c r="T5301" i="1"/>
  <c r="T5302" i="1"/>
  <c r="T5303" i="1"/>
  <c r="T5304" i="1"/>
  <c r="T5305" i="1"/>
  <c r="T5306" i="1"/>
  <c r="T5307" i="1"/>
  <c r="T5308" i="1"/>
  <c r="T5309" i="1"/>
  <c r="T5310" i="1"/>
  <c r="T5311" i="1"/>
  <c r="T5312" i="1"/>
  <c r="T5313" i="1"/>
  <c r="T5314" i="1"/>
  <c r="T5315" i="1"/>
  <c r="T5316" i="1"/>
  <c r="T5317" i="1"/>
  <c r="T5318" i="1"/>
  <c r="T5319" i="1"/>
  <c r="T5320" i="1"/>
  <c r="T5321" i="1"/>
  <c r="T5322" i="1"/>
  <c r="T5323" i="1"/>
  <c r="T5324" i="1"/>
  <c r="T5325" i="1"/>
  <c r="T5326" i="1"/>
  <c r="T5327" i="1"/>
  <c r="T5328" i="1"/>
  <c r="T5329" i="1"/>
  <c r="T5330" i="1"/>
  <c r="T5331" i="1"/>
  <c r="T5332" i="1"/>
  <c r="T5333" i="1"/>
  <c r="T5334" i="1"/>
  <c r="T5335" i="1"/>
  <c r="T5336" i="1"/>
  <c r="T5337" i="1"/>
  <c r="T5338" i="1"/>
  <c r="T5339" i="1"/>
  <c r="T5340" i="1"/>
  <c r="T5341" i="1"/>
  <c r="T5342" i="1"/>
  <c r="T5343" i="1"/>
  <c r="T5344" i="1"/>
  <c r="T5345" i="1"/>
  <c r="T5346" i="1"/>
  <c r="T5347" i="1"/>
  <c r="T5348" i="1"/>
  <c r="T5349" i="1"/>
  <c r="T5350" i="1"/>
  <c r="T5351" i="1"/>
  <c r="T5352" i="1"/>
  <c r="T5353" i="1"/>
  <c r="T5354" i="1"/>
  <c r="T5355" i="1"/>
  <c r="T5356" i="1"/>
  <c r="T5357" i="1"/>
  <c r="T5358" i="1"/>
  <c r="T5359" i="1"/>
  <c r="T5360" i="1"/>
  <c r="T5361" i="1"/>
  <c r="T5362" i="1"/>
  <c r="T5363" i="1"/>
  <c r="T5364" i="1"/>
  <c r="T5365" i="1"/>
  <c r="T5366" i="1"/>
  <c r="T5367" i="1"/>
  <c r="T5368" i="1"/>
  <c r="T5369" i="1"/>
  <c r="T5370" i="1"/>
  <c r="T5371" i="1"/>
  <c r="T5372" i="1"/>
  <c r="T5373" i="1"/>
  <c r="T5374" i="1"/>
  <c r="T5375" i="1"/>
  <c r="T5376" i="1"/>
  <c r="T5377" i="1"/>
  <c r="T5378" i="1"/>
  <c r="T5379" i="1"/>
  <c r="T5380" i="1"/>
  <c r="T5381" i="1"/>
  <c r="T5382" i="1"/>
  <c r="T5383" i="1"/>
  <c r="T5384" i="1"/>
  <c r="T5385" i="1"/>
  <c r="T5386" i="1"/>
  <c r="T5387" i="1"/>
  <c r="T5388" i="1"/>
  <c r="T5389" i="1"/>
  <c r="T5390" i="1"/>
  <c r="T5391" i="1"/>
  <c r="T5392" i="1"/>
  <c r="T5393" i="1"/>
  <c r="T5394" i="1"/>
  <c r="T5395" i="1"/>
  <c r="T5396" i="1"/>
  <c r="T5397" i="1"/>
  <c r="T5398" i="1"/>
  <c r="T5399" i="1"/>
  <c r="T5400" i="1"/>
  <c r="T5401" i="1"/>
  <c r="T5402" i="1"/>
  <c r="T5403" i="1"/>
  <c r="T5404" i="1"/>
  <c r="T5405" i="1"/>
  <c r="T5406" i="1"/>
  <c r="T5407" i="1"/>
  <c r="T5408" i="1"/>
  <c r="T5409" i="1"/>
  <c r="T5410" i="1"/>
  <c r="T5411" i="1"/>
  <c r="T5412" i="1"/>
  <c r="T5413" i="1"/>
  <c r="T5414" i="1"/>
  <c r="T5415" i="1"/>
  <c r="T5416" i="1"/>
  <c r="T5417" i="1"/>
  <c r="T5418" i="1"/>
  <c r="T5419" i="1"/>
  <c r="T5420" i="1"/>
  <c r="T5421" i="1"/>
  <c r="T5422" i="1"/>
  <c r="T5423" i="1"/>
  <c r="T5424" i="1"/>
  <c r="T5425" i="1"/>
  <c r="T5426" i="1"/>
  <c r="T5427" i="1"/>
  <c r="T5428" i="1"/>
  <c r="T5429" i="1"/>
  <c r="T5430" i="1"/>
  <c r="T5431" i="1"/>
  <c r="T5432" i="1"/>
  <c r="T5433" i="1"/>
  <c r="T5434" i="1"/>
  <c r="T5435" i="1"/>
  <c r="T5436" i="1"/>
  <c r="T5437" i="1"/>
  <c r="T5438" i="1"/>
  <c r="T5439" i="1"/>
  <c r="T5440" i="1"/>
  <c r="T5441" i="1"/>
  <c r="T5442" i="1"/>
  <c r="T5443" i="1"/>
  <c r="T5444" i="1"/>
  <c r="T5445" i="1"/>
  <c r="T5446" i="1"/>
  <c r="T5447" i="1"/>
  <c r="T5448" i="1"/>
  <c r="T5449" i="1"/>
  <c r="T5450" i="1"/>
  <c r="T5451" i="1"/>
  <c r="T5452" i="1"/>
  <c r="T5453" i="1"/>
  <c r="T5454" i="1"/>
  <c r="T5455" i="1"/>
  <c r="T5456" i="1"/>
  <c r="T5457" i="1"/>
  <c r="T5458" i="1"/>
  <c r="T5459" i="1"/>
  <c r="T5460" i="1"/>
  <c r="T5461" i="1"/>
  <c r="T5462" i="1"/>
  <c r="T5463" i="1"/>
  <c r="T5464" i="1"/>
  <c r="T5465" i="1"/>
  <c r="T5466" i="1"/>
  <c r="T5467" i="1"/>
  <c r="T5468" i="1"/>
  <c r="T5469" i="1"/>
  <c r="T5470" i="1"/>
  <c r="T5471" i="1"/>
  <c r="T5472" i="1"/>
  <c r="T5473" i="1"/>
  <c r="T5474" i="1"/>
  <c r="T5475" i="1"/>
  <c r="T5476" i="1"/>
  <c r="T5477" i="1"/>
  <c r="T5478" i="1"/>
  <c r="T5479" i="1"/>
  <c r="T5480" i="1"/>
  <c r="T5481" i="1"/>
  <c r="T5482" i="1"/>
  <c r="T5483" i="1"/>
  <c r="T5484" i="1"/>
  <c r="T5485" i="1"/>
  <c r="T5486" i="1"/>
  <c r="T5487" i="1"/>
  <c r="T5488" i="1"/>
  <c r="T5489" i="1"/>
  <c r="T5490" i="1"/>
  <c r="T5491" i="1"/>
  <c r="T5492" i="1"/>
  <c r="T5493" i="1"/>
  <c r="T5494" i="1"/>
  <c r="T5495" i="1"/>
  <c r="T5496" i="1"/>
  <c r="T5497" i="1"/>
  <c r="T5498" i="1"/>
  <c r="T5499" i="1"/>
  <c r="T5500" i="1"/>
  <c r="T5501" i="1"/>
  <c r="T5502" i="1"/>
  <c r="T5503" i="1"/>
  <c r="T5504" i="1"/>
  <c r="T5505" i="1"/>
  <c r="T5506" i="1"/>
  <c r="T5507" i="1"/>
  <c r="T5508" i="1"/>
  <c r="T5509" i="1"/>
  <c r="T5510" i="1"/>
  <c r="T5511" i="1"/>
  <c r="T5512" i="1"/>
  <c r="T5513" i="1"/>
  <c r="T5514" i="1"/>
  <c r="T5515" i="1"/>
  <c r="T5516" i="1"/>
  <c r="T5517" i="1"/>
  <c r="T5518" i="1"/>
  <c r="T5519" i="1"/>
  <c r="T5520" i="1"/>
  <c r="T5521" i="1"/>
  <c r="T5522" i="1"/>
  <c r="T5523" i="1"/>
  <c r="T5524" i="1"/>
  <c r="T5525" i="1"/>
  <c r="T5526" i="1"/>
  <c r="T5527" i="1"/>
  <c r="T5528" i="1"/>
  <c r="T5529" i="1"/>
  <c r="T5530" i="1"/>
  <c r="T5531" i="1"/>
  <c r="T5532" i="1"/>
  <c r="T5533" i="1"/>
  <c r="T5534" i="1"/>
  <c r="T5535" i="1"/>
  <c r="T5536" i="1"/>
  <c r="T5537" i="1"/>
  <c r="T5538" i="1"/>
  <c r="T5539" i="1"/>
  <c r="T5540" i="1"/>
  <c r="T5541" i="1"/>
  <c r="T5542" i="1"/>
  <c r="T5543" i="1"/>
  <c r="T5544" i="1"/>
  <c r="T5545" i="1"/>
  <c r="T5546" i="1"/>
  <c r="T5547" i="1"/>
  <c r="T5548" i="1"/>
  <c r="T5549" i="1"/>
  <c r="T5550" i="1"/>
  <c r="T5551" i="1"/>
  <c r="T5552" i="1"/>
  <c r="T5553" i="1"/>
  <c r="T5554" i="1"/>
  <c r="T5555" i="1"/>
  <c r="T5556" i="1"/>
  <c r="T5557" i="1"/>
  <c r="T5558" i="1"/>
  <c r="T5559" i="1"/>
  <c r="T5560" i="1"/>
  <c r="T5561" i="1"/>
  <c r="T5562" i="1"/>
  <c r="T5563" i="1"/>
  <c r="T5564" i="1"/>
  <c r="T5565" i="1"/>
  <c r="T5566" i="1"/>
  <c r="T5567" i="1"/>
  <c r="T5568" i="1"/>
  <c r="T5569" i="1"/>
  <c r="T5570" i="1"/>
  <c r="T5571" i="1"/>
  <c r="T5572" i="1"/>
  <c r="T5573" i="1"/>
  <c r="T5574" i="1"/>
  <c r="T5575" i="1"/>
  <c r="T5576" i="1"/>
  <c r="T5577" i="1"/>
  <c r="T5578" i="1"/>
  <c r="T5579" i="1"/>
  <c r="T5580" i="1"/>
  <c r="T5581" i="1"/>
  <c r="T5582" i="1"/>
  <c r="T5583" i="1"/>
  <c r="T5584" i="1"/>
  <c r="T5585" i="1"/>
  <c r="T5586" i="1"/>
  <c r="T5587" i="1"/>
  <c r="T5588" i="1"/>
  <c r="T5589" i="1"/>
  <c r="T5590" i="1"/>
  <c r="T5591" i="1"/>
  <c r="T5592" i="1"/>
  <c r="T5593" i="1"/>
  <c r="T5594" i="1"/>
  <c r="T5595" i="1"/>
  <c r="T5596" i="1"/>
  <c r="T5597" i="1"/>
  <c r="T5598" i="1"/>
  <c r="T5599" i="1"/>
  <c r="T5600" i="1"/>
  <c r="T5601" i="1"/>
  <c r="T5602" i="1"/>
  <c r="T5603" i="1"/>
  <c r="T5604" i="1"/>
  <c r="T5605" i="1"/>
  <c r="T5606" i="1"/>
  <c r="T5607" i="1"/>
  <c r="T5608" i="1"/>
  <c r="T5609" i="1"/>
  <c r="T5610" i="1"/>
  <c r="T5611" i="1"/>
  <c r="T5612" i="1"/>
  <c r="T5613" i="1"/>
  <c r="T5614" i="1"/>
  <c r="T5615" i="1"/>
  <c r="T5616" i="1"/>
  <c r="T5617" i="1"/>
  <c r="T5618" i="1"/>
  <c r="T5619" i="1"/>
  <c r="T5620" i="1"/>
  <c r="T5621" i="1"/>
  <c r="T5622" i="1"/>
  <c r="T5623" i="1"/>
  <c r="T5624" i="1"/>
  <c r="T5625" i="1"/>
  <c r="T5626" i="1"/>
  <c r="T5627" i="1"/>
  <c r="T5628" i="1"/>
  <c r="T5629" i="1"/>
  <c r="T5630" i="1"/>
  <c r="T5631" i="1"/>
  <c r="T5632" i="1"/>
  <c r="T5633" i="1"/>
  <c r="T5634" i="1"/>
  <c r="T5635" i="1"/>
  <c r="T5636" i="1"/>
  <c r="T5637" i="1"/>
  <c r="T5638" i="1"/>
  <c r="T5639" i="1"/>
  <c r="T5640" i="1"/>
  <c r="T5641" i="1"/>
  <c r="T5642" i="1"/>
  <c r="T5643" i="1"/>
  <c r="T5644" i="1"/>
  <c r="T5645" i="1"/>
  <c r="T5646" i="1"/>
  <c r="T5647" i="1"/>
  <c r="T5648" i="1"/>
  <c r="T5649" i="1"/>
  <c r="T5650" i="1"/>
  <c r="T5651" i="1"/>
  <c r="T5652" i="1"/>
  <c r="T5653" i="1"/>
  <c r="T5654" i="1"/>
  <c r="T5655" i="1"/>
  <c r="T5656" i="1"/>
  <c r="T5657" i="1"/>
  <c r="T5658" i="1"/>
  <c r="T5659" i="1"/>
  <c r="T5660" i="1"/>
  <c r="T5661" i="1"/>
  <c r="T5662" i="1"/>
  <c r="T5663" i="1"/>
  <c r="T5664" i="1"/>
  <c r="T5665" i="1"/>
  <c r="T5666" i="1"/>
  <c r="T5667" i="1"/>
  <c r="T5668" i="1"/>
  <c r="T5669" i="1"/>
  <c r="T5670" i="1"/>
  <c r="T5671" i="1"/>
  <c r="T5672" i="1"/>
  <c r="T5673" i="1"/>
  <c r="T5674" i="1"/>
  <c r="T5675" i="1"/>
  <c r="T5676" i="1"/>
  <c r="T5677" i="1"/>
  <c r="T5678" i="1"/>
  <c r="T5679" i="1"/>
  <c r="T5680" i="1"/>
  <c r="T5681" i="1"/>
  <c r="T5682" i="1"/>
  <c r="T5683" i="1"/>
  <c r="T5684" i="1"/>
  <c r="T5685" i="1"/>
  <c r="T5686" i="1"/>
  <c r="T5687" i="1"/>
  <c r="T5688" i="1"/>
  <c r="T5689" i="1"/>
  <c r="T5690" i="1"/>
  <c r="T5691" i="1"/>
  <c r="T5692" i="1"/>
  <c r="T5693" i="1"/>
  <c r="T5694" i="1"/>
  <c r="T5695" i="1"/>
  <c r="T5696" i="1"/>
  <c r="T5697" i="1"/>
  <c r="T5698" i="1"/>
  <c r="T5699" i="1"/>
  <c r="T5700" i="1"/>
  <c r="T5701" i="1"/>
  <c r="T5702" i="1"/>
  <c r="T5703" i="1"/>
  <c r="T5704" i="1"/>
  <c r="T5705" i="1"/>
  <c r="T5706" i="1"/>
  <c r="T5707" i="1"/>
  <c r="T5708" i="1"/>
  <c r="T5709" i="1"/>
  <c r="T5710" i="1"/>
  <c r="T5711" i="1"/>
  <c r="T5712" i="1"/>
  <c r="T5713" i="1"/>
  <c r="T5714" i="1"/>
  <c r="T5715" i="1"/>
  <c r="T5716" i="1"/>
  <c r="T5717" i="1"/>
  <c r="T5718" i="1"/>
  <c r="T5719" i="1"/>
  <c r="T5720" i="1"/>
  <c r="T5721" i="1"/>
  <c r="T5722" i="1"/>
  <c r="T5723" i="1"/>
  <c r="T5724" i="1"/>
  <c r="T5725" i="1"/>
  <c r="T5726" i="1"/>
  <c r="T5727" i="1"/>
  <c r="T5728" i="1"/>
  <c r="T5729" i="1"/>
  <c r="T5730" i="1"/>
  <c r="T5731" i="1"/>
  <c r="T5732" i="1"/>
  <c r="T5733" i="1"/>
  <c r="T5734" i="1"/>
  <c r="T5735" i="1"/>
  <c r="T5736" i="1"/>
  <c r="T5737" i="1"/>
  <c r="T5738" i="1"/>
  <c r="T5739" i="1"/>
  <c r="T5740" i="1"/>
  <c r="T5741" i="1"/>
  <c r="T5742" i="1"/>
  <c r="T5743" i="1"/>
  <c r="T5744" i="1"/>
  <c r="T5745" i="1"/>
  <c r="T5746" i="1"/>
  <c r="T5747" i="1"/>
  <c r="T5748" i="1"/>
  <c r="T5749" i="1"/>
  <c r="T5750" i="1"/>
  <c r="T5751" i="1"/>
  <c r="T5752" i="1"/>
  <c r="T5753" i="1"/>
  <c r="T5754" i="1"/>
  <c r="T5755" i="1"/>
  <c r="T5756" i="1"/>
  <c r="T5757" i="1"/>
  <c r="T5758" i="1"/>
  <c r="T5759" i="1"/>
  <c r="T5760" i="1"/>
  <c r="T5761" i="1"/>
  <c r="T5762" i="1"/>
  <c r="T5763" i="1"/>
  <c r="T5764" i="1"/>
  <c r="T5765" i="1"/>
  <c r="T5766" i="1"/>
  <c r="T5767" i="1"/>
  <c r="T5768" i="1"/>
  <c r="T5769" i="1"/>
  <c r="T5770" i="1"/>
  <c r="T5771" i="1"/>
  <c r="T5772" i="1"/>
  <c r="T5773" i="1"/>
  <c r="T5774" i="1"/>
  <c r="T5775" i="1"/>
  <c r="T5776" i="1"/>
  <c r="T5777" i="1"/>
  <c r="T5778" i="1"/>
  <c r="T5779" i="1"/>
  <c r="T5780" i="1"/>
  <c r="T5781" i="1"/>
  <c r="T5782" i="1"/>
  <c r="T5783" i="1"/>
  <c r="T5784" i="1"/>
  <c r="T5785" i="1"/>
  <c r="T5786" i="1"/>
  <c r="T5787" i="1"/>
  <c r="T5788" i="1"/>
  <c r="T5789" i="1"/>
  <c r="T5790" i="1"/>
  <c r="T5791" i="1"/>
  <c r="T5792" i="1"/>
  <c r="T5793" i="1"/>
  <c r="T5794" i="1"/>
  <c r="T5795" i="1"/>
  <c r="T5796" i="1"/>
  <c r="T5797" i="1"/>
  <c r="T5798" i="1"/>
  <c r="T5799" i="1"/>
  <c r="T5800" i="1"/>
  <c r="T5801" i="1"/>
  <c r="T5802" i="1"/>
  <c r="T5803" i="1"/>
  <c r="T5804" i="1"/>
  <c r="T5805" i="1"/>
  <c r="T5806" i="1"/>
  <c r="T5807" i="1"/>
  <c r="T5808" i="1"/>
  <c r="T5809" i="1"/>
  <c r="T5810" i="1"/>
  <c r="T5811" i="1"/>
  <c r="T5812" i="1"/>
  <c r="T5813" i="1"/>
  <c r="T5814" i="1"/>
  <c r="T5815" i="1"/>
  <c r="T5816" i="1"/>
  <c r="T5817" i="1"/>
  <c r="T5818" i="1"/>
  <c r="T5819" i="1"/>
  <c r="T5820" i="1"/>
  <c r="T5821" i="1"/>
  <c r="T5822" i="1"/>
  <c r="T5823" i="1"/>
  <c r="T5824" i="1"/>
  <c r="T5825" i="1"/>
  <c r="T5826" i="1"/>
  <c r="T5827" i="1"/>
  <c r="T5828" i="1"/>
  <c r="T5829" i="1"/>
  <c r="T5830" i="1"/>
  <c r="T5831" i="1"/>
  <c r="T5832" i="1"/>
  <c r="T5833" i="1"/>
  <c r="T5834" i="1"/>
  <c r="T5835" i="1"/>
  <c r="T5836" i="1"/>
  <c r="T5837" i="1"/>
  <c r="T5838" i="1"/>
  <c r="T5839" i="1"/>
  <c r="T5840" i="1"/>
  <c r="T5841" i="1"/>
  <c r="T5842" i="1"/>
  <c r="T5843" i="1"/>
  <c r="T5844" i="1"/>
  <c r="T5845" i="1"/>
  <c r="T5846" i="1"/>
  <c r="T5847" i="1"/>
  <c r="T5848" i="1"/>
  <c r="T5849" i="1"/>
  <c r="T5850" i="1"/>
  <c r="T5851" i="1"/>
  <c r="T5852" i="1"/>
  <c r="T5853" i="1"/>
  <c r="T5854" i="1"/>
  <c r="T5855" i="1"/>
  <c r="T5856" i="1"/>
  <c r="T5857" i="1"/>
  <c r="T5858" i="1"/>
  <c r="T5859" i="1"/>
  <c r="T5860" i="1"/>
  <c r="T5861" i="1"/>
  <c r="T5862" i="1"/>
  <c r="T5863" i="1"/>
  <c r="T5864" i="1"/>
  <c r="T5865" i="1"/>
  <c r="T5866" i="1"/>
  <c r="T5867" i="1"/>
  <c r="T5868" i="1"/>
  <c r="T5869" i="1"/>
  <c r="T5870" i="1"/>
  <c r="T5871" i="1"/>
  <c r="T5872" i="1"/>
  <c r="T5873" i="1"/>
  <c r="T5874" i="1"/>
  <c r="T5875" i="1"/>
  <c r="T5876" i="1"/>
  <c r="T5877" i="1"/>
  <c r="T5878" i="1"/>
  <c r="T5879" i="1"/>
  <c r="T5880" i="1"/>
  <c r="T5881" i="1"/>
  <c r="T5882" i="1"/>
  <c r="T5883" i="1"/>
  <c r="T5884" i="1"/>
  <c r="T5885" i="1"/>
  <c r="T5886" i="1"/>
  <c r="T5887" i="1"/>
  <c r="T5888" i="1"/>
  <c r="T5889" i="1"/>
  <c r="T5890" i="1"/>
  <c r="T5891" i="1"/>
  <c r="T5892" i="1"/>
  <c r="T5893" i="1"/>
  <c r="T5894" i="1"/>
  <c r="T5895" i="1"/>
  <c r="T5896" i="1"/>
  <c r="T5897" i="1"/>
  <c r="T5898" i="1"/>
  <c r="T5899" i="1"/>
  <c r="T5900" i="1"/>
  <c r="T5901" i="1"/>
  <c r="T5902" i="1"/>
  <c r="T5903" i="1"/>
  <c r="T5904" i="1"/>
  <c r="T5905" i="1"/>
  <c r="T5906" i="1"/>
  <c r="T5907" i="1"/>
  <c r="T5908" i="1"/>
  <c r="T5909" i="1"/>
  <c r="T5910" i="1"/>
  <c r="T5911" i="1"/>
  <c r="T5912" i="1"/>
  <c r="T5913" i="1"/>
  <c r="T5914" i="1"/>
  <c r="T5915" i="1"/>
  <c r="T5916" i="1"/>
  <c r="T5917" i="1"/>
  <c r="T5918" i="1"/>
  <c r="T5919" i="1"/>
  <c r="T5920" i="1"/>
  <c r="T5921" i="1"/>
  <c r="T5922" i="1"/>
  <c r="T5923" i="1"/>
  <c r="T5924" i="1"/>
  <c r="T5925" i="1"/>
  <c r="T5926" i="1"/>
  <c r="T5927" i="1"/>
  <c r="T5928" i="1"/>
  <c r="T5929" i="1"/>
  <c r="T5930" i="1"/>
  <c r="T5931" i="1"/>
  <c r="T5932" i="1"/>
  <c r="T5933" i="1"/>
  <c r="T5934" i="1"/>
  <c r="T5935" i="1"/>
  <c r="T5936" i="1"/>
  <c r="T5937" i="1"/>
  <c r="T5938" i="1"/>
  <c r="T5939" i="1"/>
  <c r="T5940" i="1"/>
  <c r="T5941" i="1"/>
  <c r="T5942" i="1"/>
  <c r="T5943" i="1"/>
  <c r="T5944" i="1"/>
  <c r="T5945" i="1"/>
  <c r="T5946" i="1"/>
  <c r="T5947" i="1"/>
  <c r="T5948" i="1"/>
  <c r="T5949" i="1"/>
  <c r="T5950" i="1"/>
  <c r="T5951" i="1"/>
  <c r="T5952" i="1"/>
  <c r="T5953" i="1"/>
  <c r="T5954" i="1"/>
  <c r="T5955" i="1"/>
  <c r="T5956" i="1"/>
  <c r="T5957" i="1"/>
  <c r="T5958" i="1"/>
  <c r="T5959" i="1"/>
  <c r="T5960" i="1"/>
  <c r="T5961" i="1"/>
  <c r="T5962" i="1"/>
  <c r="T5963" i="1"/>
  <c r="T5964" i="1"/>
  <c r="T5965" i="1"/>
  <c r="T5966" i="1"/>
  <c r="T5967" i="1"/>
  <c r="T5968" i="1"/>
  <c r="T5969" i="1"/>
  <c r="T5970" i="1"/>
  <c r="T5971" i="1"/>
  <c r="T5972" i="1"/>
  <c r="T5973" i="1"/>
  <c r="T5974" i="1"/>
  <c r="T5975" i="1"/>
  <c r="T5976" i="1"/>
  <c r="T5977" i="1"/>
  <c r="T5978" i="1"/>
  <c r="T5979" i="1"/>
  <c r="T5980" i="1"/>
  <c r="T5981" i="1"/>
  <c r="T5982" i="1"/>
  <c r="T5983" i="1"/>
  <c r="T5984" i="1"/>
  <c r="T5985" i="1"/>
  <c r="T5986" i="1"/>
  <c r="T5987" i="1"/>
  <c r="T5988" i="1"/>
  <c r="T5989" i="1"/>
  <c r="T5990" i="1"/>
  <c r="T5991" i="1"/>
  <c r="T5992" i="1"/>
  <c r="T5993" i="1"/>
  <c r="T5994" i="1"/>
  <c r="T5995" i="1"/>
  <c r="T5996" i="1"/>
  <c r="T5997" i="1"/>
  <c r="T5998" i="1"/>
  <c r="T5999" i="1"/>
  <c r="T6000" i="1"/>
  <c r="T6001" i="1"/>
  <c r="T6002" i="1"/>
  <c r="T6003" i="1"/>
  <c r="T6004" i="1"/>
  <c r="T6005" i="1"/>
  <c r="T6006" i="1"/>
  <c r="T6007" i="1"/>
  <c r="T6008" i="1"/>
  <c r="T6009" i="1"/>
  <c r="T6010" i="1"/>
  <c r="T6011" i="1"/>
  <c r="T6012" i="1"/>
  <c r="T6013" i="1"/>
  <c r="T6014" i="1"/>
  <c r="T6015" i="1"/>
  <c r="T6016" i="1"/>
  <c r="T6017" i="1"/>
  <c r="T6018" i="1"/>
  <c r="T6019" i="1"/>
  <c r="T6020" i="1"/>
  <c r="T6021" i="1"/>
  <c r="T6022" i="1"/>
  <c r="T6023" i="1"/>
  <c r="T6024" i="1"/>
  <c r="T6025" i="1"/>
  <c r="T6026" i="1"/>
  <c r="T6027" i="1"/>
  <c r="T6028" i="1"/>
  <c r="T6029" i="1"/>
  <c r="T6030" i="1"/>
  <c r="T6031" i="1"/>
  <c r="T6032" i="1"/>
  <c r="T6033" i="1"/>
  <c r="T6034" i="1"/>
  <c r="T6035" i="1"/>
  <c r="T6036" i="1"/>
  <c r="T6037" i="1"/>
  <c r="T6038" i="1"/>
  <c r="T6039" i="1"/>
  <c r="T6040" i="1"/>
  <c r="T6041" i="1"/>
  <c r="T6042" i="1"/>
  <c r="T6043" i="1"/>
  <c r="T6044" i="1"/>
  <c r="T6045" i="1"/>
  <c r="T6046" i="1"/>
  <c r="T6047" i="1"/>
  <c r="T6048" i="1"/>
  <c r="T6049" i="1"/>
  <c r="T6050" i="1"/>
  <c r="T6051" i="1"/>
  <c r="T6052" i="1"/>
  <c r="T6053" i="1"/>
  <c r="T6054" i="1"/>
  <c r="T6055" i="1"/>
  <c r="T6056" i="1"/>
  <c r="T6057" i="1"/>
  <c r="T6058" i="1"/>
  <c r="T6059" i="1"/>
  <c r="T6060" i="1"/>
  <c r="T6061" i="1"/>
  <c r="T6062" i="1"/>
  <c r="T6063" i="1"/>
  <c r="T6064" i="1"/>
  <c r="T6065" i="1"/>
  <c r="T6066" i="1"/>
  <c r="T6067" i="1"/>
  <c r="T6068" i="1"/>
  <c r="T6069" i="1"/>
  <c r="T6070" i="1"/>
  <c r="T6071" i="1"/>
  <c r="T6072" i="1"/>
  <c r="T6073" i="1"/>
  <c r="T6074" i="1"/>
  <c r="T6075" i="1"/>
  <c r="T6076" i="1"/>
  <c r="T6077" i="1"/>
  <c r="T6078" i="1"/>
  <c r="T6079" i="1"/>
  <c r="T6080" i="1"/>
  <c r="T6081" i="1"/>
  <c r="T6082" i="1"/>
  <c r="T6083" i="1"/>
  <c r="T6084" i="1"/>
  <c r="T6085" i="1"/>
  <c r="T6086" i="1"/>
  <c r="T6087" i="1"/>
  <c r="T6088" i="1"/>
  <c r="T6089" i="1"/>
  <c r="T6090" i="1"/>
  <c r="T6091" i="1"/>
  <c r="T6092" i="1"/>
  <c r="T6093" i="1"/>
  <c r="T6094" i="1"/>
  <c r="T6095" i="1"/>
  <c r="T6096" i="1"/>
  <c r="T6097" i="1"/>
  <c r="T6098" i="1"/>
  <c r="T6099" i="1"/>
  <c r="T6100" i="1"/>
  <c r="T6101" i="1"/>
  <c r="T6102" i="1"/>
  <c r="T6103" i="1"/>
  <c r="T6104" i="1"/>
  <c r="T6105" i="1"/>
  <c r="T6106" i="1"/>
  <c r="T6107" i="1"/>
  <c r="T6108" i="1"/>
  <c r="T6109" i="1"/>
  <c r="T6110" i="1"/>
  <c r="T6111" i="1"/>
  <c r="T6112" i="1"/>
  <c r="T6113" i="1"/>
  <c r="T6114" i="1"/>
  <c r="T6115" i="1"/>
  <c r="T6116" i="1"/>
  <c r="T6117" i="1"/>
  <c r="T6118" i="1"/>
  <c r="T6119" i="1"/>
  <c r="T6120" i="1"/>
  <c r="T6121" i="1"/>
  <c r="T6122" i="1"/>
  <c r="T6123" i="1"/>
  <c r="T6124" i="1"/>
  <c r="T6125" i="1"/>
  <c r="T6126" i="1"/>
  <c r="T6127" i="1"/>
  <c r="T6128" i="1"/>
  <c r="T6129" i="1"/>
  <c r="T6130" i="1"/>
  <c r="T6131" i="1"/>
  <c r="T6132" i="1"/>
  <c r="T6133" i="1"/>
  <c r="T6134" i="1"/>
  <c r="T6135" i="1"/>
  <c r="T6136" i="1"/>
  <c r="T6137" i="1"/>
  <c r="T6138" i="1"/>
  <c r="T6139" i="1"/>
  <c r="T6140" i="1"/>
  <c r="T6141" i="1"/>
  <c r="T6142" i="1"/>
  <c r="T6143" i="1"/>
  <c r="T6144" i="1"/>
  <c r="T6145" i="1"/>
  <c r="T6146" i="1"/>
  <c r="T6147" i="1"/>
  <c r="T6148" i="1"/>
  <c r="T6149" i="1"/>
  <c r="T6150" i="1"/>
  <c r="T6151" i="1"/>
  <c r="T6152" i="1"/>
  <c r="T6153" i="1"/>
  <c r="T6154" i="1"/>
  <c r="T6155" i="1"/>
  <c r="T6156" i="1"/>
  <c r="T6157" i="1"/>
  <c r="T6158" i="1"/>
  <c r="T6159" i="1"/>
  <c r="T6160" i="1"/>
  <c r="T6161" i="1"/>
  <c r="T6162" i="1"/>
  <c r="T6163" i="1"/>
  <c r="T6164" i="1"/>
  <c r="T6165" i="1"/>
  <c r="T6166" i="1"/>
  <c r="T6167" i="1"/>
  <c r="T6168" i="1"/>
  <c r="T6169" i="1"/>
  <c r="T6170" i="1"/>
  <c r="T6171" i="1"/>
  <c r="T6172" i="1"/>
  <c r="T6173" i="1"/>
  <c r="T6174" i="1"/>
  <c r="T6175" i="1"/>
  <c r="T6176" i="1"/>
  <c r="T6177" i="1"/>
  <c r="T6178" i="1"/>
  <c r="T6179" i="1"/>
  <c r="T6180" i="1"/>
  <c r="T6181" i="1"/>
  <c r="T6182" i="1"/>
  <c r="T6183" i="1"/>
  <c r="T6184" i="1"/>
  <c r="T6185" i="1"/>
  <c r="T6186" i="1"/>
  <c r="T6187" i="1"/>
  <c r="T6188" i="1"/>
  <c r="T6189" i="1"/>
  <c r="T6190" i="1"/>
  <c r="T6191" i="1"/>
  <c r="T6192" i="1"/>
  <c r="T6193" i="1"/>
  <c r="T6194" i="1"/>
  <c r="T6195" i="1"/>
  <c r="T6196" i="1"/>
  <c r="T6197" i="1"/>
  <c r="T6198" i="1"/>
  <c r="T6199" i="1"/>
  <c r="T6200" i="1"/>
  <c r="T6201" i="1"/>
  <c r="T6202" i="1"/>
  <c r="T6203" i="1"/>
  <c r="T6204" i="1"/>
  <c r="T6205" i="1"/>
  <c r="T6206" i="1"/>
  <c r="T6207" i="1"/>
  <c r="T6208" i="1"/>
  <c r="T6209" i="1"/>
  <c r="T6210" i="1"/>
  <c r="T6211" i="1"/>
  <c r="T6212" i="1"/>
  <c r="T6213" i="1"/>
  <c r="T6214" i="1"/>
  <c r="T6215" i="1"/>
  <c r="T6216" i="1"/>
  <c r="T6217" i="1"/>
  <c r="T6218" i="1"/>
  <c r="T6219" i="1"/>
  <c r="T6220" i="1"/>
  <c r="T6221" i="1"/>
  <c r="T6222" i="1"/>
  <c r="T6223" i="1"/>
  <c r="T6224" i="1"/>
  <c r="T6225" i="1"/>
  <c r="T6226" i="1"/>
  <c r="T6227" i="1"/>
  <c r="T6228" i="1"/>
  <c r="T6229" i="1"/>
  <c r="T6230" i="1"/>
  <c r="T6231" i="1"/>
  <c r="T6232" i="1"/>
  <c r="T6233" i="1"/>
  <c r="T6234" i="1"/>
  <c r="T6235" i="1"/>
  <c r="T6236" i="1"/>
  <c r="T6237" i="1"/>
  <c r="T6238" i="1"/>
  <c r="T6239" i="1"/>
  <c r="T6240" i="1"/>
  <c r="T6241" i="1"/>
  <c r="T6242" i="1"/>
  <c r="T6243" i="1"/>
  <c r="T6244" i="1"/>
  <c r="T6245" i="1"/>
  <c r="T6246" i="1"/>
  <c r="T6247" i="1"/>
  <c r="T6248" i="1"/>
  <c r="T6249" i="1"/>
  <c r="T6250" i="1"/>
  <c r="T6251" i="1"/>
  <c r="T6252" i="1"/>
  <c r="T6253" i="1"/>
  <c r="T6254" i="1"/>
  <c r="T6255" i="1"/>
  <c r="T6256" i="1"/>
  <c r="T6257" i="1"/>
  <c r="T6258" i="1"/>
  <c r="T6259" i="1"/>
  <c r="T6260" i="1"/>
  <c r="T6261" i="1"/>
  <c r="T6262" i="1"/>
  <c r="T6263" i="1"/>
  <c r="T6264" i="1"/>
  <c r="T6265" i="1"/>
  <c r="T6266" i="1"/>
  <c r="T6267" i="1"/>
  <c r="T6268" i="1"/>
  <c r="T6269" i="1"/>
  <c r="T6270" i="1"/>
  <c r="T6271" i="1"/>
  <c r="T6272" i="1"/>
  <c r="T6273" i="1"/>
  <c r="T6274" i="1"/>
  <c r="T6275" i="1"/>
  <c r="T6276" i="1"/>
  <c r="T6277" i="1"/>
  <c r="T6278" i="1"/>
  <c r="T6279" i="1"/>
  <c r="T6280" i="1"/>
  <c r="T6281" i="1"/>
  <c r="T6282" i="1"/>
  <c r="T6283" i="1"/>
  <c r="T6284" i="1"/>
  <c r="T6285" i="1"/>
  <c r="T6286" i="1"/>
  <c r="T6287" i="1"/>
  <c r="T6288" i="1"/>
  <c r="T6289" i="1"/>
  <c r="T6290" i="1"/>
  <c r="T6291" i="1"/>
  <c r="T6292" i="1"/>
  <c r="T6293" i="1"/>
  <c r="T6294" i="1"/>
  <c r="T6295" i="1"/>
  <c r="T6296" i="1"/>
  <c r="T6297" i="1"/>
  <c r="T6298" i="1"/>
  <c r="T6299" i="1"/>
  <c r="T6300" i="1"/>
  <c r="T6301" i="1"/>
  <c r="T6302" i="1"/>
  <c r="T6303" i="1"/>
  <c r="T6304" i="1"/>
  <c r="T6305" i="1"/>
  <c r="T6306" i="1"/>
  <c r="T6307" i="1"/>
  <c r="T6308" i="1"/>
  <c r="T6309" i="1"/>
  <c r="T6310" i="1"/>
  <c r="T6311" i="1"/>
  <c r="T6312" i="1"/>
  <c r="T6313" i="1"/>
  <c r="T6314" i="1"/>
  <c r="T6315" i="1"/>
  <c r="T6316" i="1"/>
  <c r="T6317" i="1"/>
  <c r="T6318" i="1"/>
  <c r="T6319" i="1"/>
  <c r="T6320" i="1"/>
  <c r="T6321" i="1"/>
  <c r="T6322" i="1"/>
  <c r="T6323" i="1"/>
  <c r="T6324" i="1"/>
  <c r="T6325" i="1"/>
  <c r="T6326" i="1"/>
  <c r="T6327" i="1"/>
  <c r="T6328" i="1"/>
  <c r="T6329" i="1"/>
  <c r="T6330" i="1"/>
  <c r="T6331" i="1"/>
  <c r="T6332" i="1"/>
  <c r="T6333" i="1"/>
  <c r="T6334" i="1"/>
  <c r="T6335" i="1"/>
  <c r="T6336" i="1"/>
  <c r="T6337" i="1"/>
  <c r="T6338" i="1"/>
  <c r="T6339" i="1"/>
  <c r="T6340" i="1"/>
  <c r="T6341" i="1"/>
  <c r="T6342" i="1"/>
  <c r="T6343" i="1"/>
  <c r="T6344" i="1"/>
  <c r="T6345" i="1"/>
  <c r="T6346" i="1"/>
  <c r="T6347" i="1"/>
  <c r="T6348" i="1"/>
  <c r="T6349" i="1"/>
  <c r="T6350" i="1"/>
  <c r="T6351" i="1"/>
  <c r="T6352" i="1"/>
  <c r="T6353" i="1"/>
  <c r="T6354" i="1"/>
  <c r="T6355" i="1"/>
  <c r="T6356" i="1"/>
  <c r="T6357" i="1"/>
  <c r="T6358" i="1"/>
  <c r="T6359" i="1"/>
  <c r="T6360" i="1"/>
  <c r="T6361" i="1"/>
  <c r="T6362" i="1"/>
  <c r="T6363" i="1"/>
  <c r="T6364" i="1"/>
  <c r="T6365" i="1"/>
  <c r="T6366" i="1"/>
  <c r="T6367" i="1"/>
  <c r="T6368" i="1"/>
  <c r="T6369" i="1"/>
  <c r="T6370" i="1"/>
  <c r="T6371" i="1"/>
  <c r="T6372" i="1"/>
  <c r="T6373" i="1"/>
  <c r="T6374" i="1"/>
  <c r="T6375" i="1"/>
  <c r="T6376" i="1"/>
  <c r="T6377" i="1"/>
  <c r="T6378" i="1"/>
  <c r="T6379" i="1"/>
  <c r="T6380" i="1"/>
  <c r="T6381" i="1"/>
  <c r="T6382" i="1"/>
  <c r="T6383" i="1"/>
  <c r="T6384" i="1"/>
  <c r="T6385" i="1"/>
  <c r="T6386" i="1"/>
  <c r="T6387" i="1"/>
  <c r="T6388" i="1"/>
  <c r="T6389" i="1"/>
  <c r="T6390" i="1"/>
  <c r="T6391" i="1"/>
  <c r="T6392" i="1"/>
  <c r="T6393" i="1"/>
  <c r="T6394" i="1"/>
  <c r="T6395" i="1"/>
  <c r="T6396" i="1"/>
  <c r="T6397" i="1"/>
  <c r="T6398" i="1"/>
  <c r="T6399" i="1"/>
  <c r="T6400" i="1"/>
  <c r="T6401" i="1"/>
  <c r="T6402" i="1"/>
  <c r="T6403" i="1"/>
  <c r="T6404" i="1"/>
  <c r="T6405" i="1"/>
  <c r="T6406" i="1"/>
  <c r="T6407" i="1"/>
  <c r="T6408" i="1"/>
  <c r="T6409" i="1"/>
  <c r="T6410" i="1"/>
  <c r="T6411" i="1"/>
  <c r="T6412" i="1"/>
  <c r="T6413" i="1"/>
  <c r="T6414" i="1"/>
  <c r="T6415" i="1"/>
  <c r="T6416" i="1"/>
  <c r="T6417" i="1"/>
  <c r="T6418" i="1"/>
  <c r="T6419" i="1"/>
  <c r="T6420" i="1"/>
  <c r="T6421" i="1"/>
  <c r="T6422" i="1"/>
  <c r="T6423" i="1"/>
  <c r="T6424" i="1"/>
  <c r="T6425" i="1"/>
  <c r="T6426" i="1"/>
  <c r="T6427" i="1"/>
  <c r="T6428" i="1"/>
  <c r="T6429" i="1"/>
  <c r="T6430" i="1"/>
  <c r="T6431" i="1"/>
  <c r="T6432" i="1"/>
  <c r="T6433" i="1"/>
  <c r="T6434" i="1"/>
  <c r="T6435" i="1"/>
  <c r="T6436" i="1"/>
  <c r="T6437" i="1"/>
  <c r="T6438" i="1"/>
  <c r="T6439" i="1"/>
  <c r="T6440" i="1"/>
  <c r="T6441" i="1"/>
  <c r="T6442" i="1"/>
  <c r="T6443" i="1"/>
  <c r="T6444" i="1"/>
  <c r="T6445" i="1"/>
  <c r="T6446" i="1"/>
  <c r="T6447" i="1"/>
  <c r="T6448" i="1"/>
  <c r="T6449" i="1"/>
  <c r="T6450" i="1"/>
  <c r="T6451" i="1"/>
  <c r="T6452" i="1"/>
  <c r="T6453" i="1"/>
  <c r="T6454" i="1"/>
  <c r="T6455" i="1"/>
  <c r="T6456" i="1"/>
  <c r="T6457" i="1"/>
  <c r="T6458" i="1"/>
  <c r="T6459" i="1"/>
  <c r="T6460" i="1"/>
  <c r="T6461" i="1"/>
  <c r="T6462" i="1"/>
  <c r="T6463" i="1"/>
  <c r="T6464" i="1"/>
  <c r="T6465" i="1"/>
  <c r="T6466" i="1"/>
  <c r="T6467" i="1"/>
  <c r="T6468" i="1"/>
  <c r="T6469" i="1"/>
  <c r="T6470" i="1"/>
  <c r="T6471" i="1"/>
  <c r="T6472" i="1"/>
  <c r="T6473" i="1"/>
  <c r="T6474" i="1"/>
  <c r="T6475" i="1"/>
  <c r="T6476" i="1"/>
  <c r="T6477" i="1"/>
  <c r="T6478" i="1"/>
  <c r="T6479" i="1"/>
  <c r="T6480" i="1"/>
  <c r="T6481" i="1"/>
  <c r="T6482" i="1"/>
  <c r="T6483" i="1"/>
  <c r="T6484" i="1"/>
  <c r="T6485" i="1"/>
  <c r="T6486" i="1"/>
  <c r="T6487" i="1"/>
  <c r="T6488" i="1"/>
  <c r="T6489" i="1"/>
  <c r="T6490" i="1"/>
  <c r="T6491" i="1"/>
  <c r="T6492" i="1"/>
  <c r="T6493" i="1"/>
  <c r="T6494" i="1"/>
  <c r="T6495" i="1"/>
  <c r="T6496" i="1"/>
  <c r="T6497" i="1"/>
  <c r="T6498" i="1"/>
  <c r="T6499" i="1"/>
  <c r="T6500" i="1"/>
  <c r="T6501" i="1"/>
  <c r="T6502" i="1"/>
  <c r="T6503" i="1"/>
  <c r="T6504" i="1"/>
  <c r="T6505" i="1"/>
  <c r="T6506" i="1"/>
  <c r="T6507" i="1"/>
  <c r="T6508" i="1"/>
  <c r="T6509" i="1"/>
  <c r="T6510" i="1"/>
  <c r="T6511" i="1"/>
  <c r="T6512" i="1"/>
  <c r="T6513" i="1"/>
  <c r="T6514" i="1"/>
  <c r="T6515" i="1"/>
  <c r="T6516" i="1"/>
  <c r="T6517" i="1"/>
  <c r="T6518" i="1"/>
  <c r="T6519" i="1"/>
  <c r="T6520" i="1"/>
  <c r="T6521" i="1"/>
  <c r="T6522" i="1"/>
  <c r="T6523" i="1"/>
  <c r="T6524" i="1"/>
  <c r="T6525" i="1"/>
  <c r="T6526" i="1"/>
  <c r="T6527" i="1"/>
  <c r="T6528" i="1"/>
  <c r="T6529" i="1"/>
  <c r="T6530" i="1"/>
  <c r="T6531" i="1"/>
  <c r="T6532" i="1"/>
  <c r="T6533" i="1"/>
  <c r="T6534" i="1"/>
  <c r="T6535" i="1"/>
  <c r="T6536" i="1"/>
  <c r="T6537" i="1"/>
  <c r="T6538" i="1"/>
  <c r="T6539" i="1"/>
  <c r="T6540" i="1"/>
  <c r="T6541" i="1"/>
  <c r="T6542" i="1"/>
  <c r="T6543" i="1"/>
  <c r="T6544" i="1"/>
  <c r="T6545" i="1"/>
  <c r="T6546" i="1"/>
  <c r="T6547" i="1"/>
  <c r="T6548" i="1"/>
  <c r="T6549" i="1"/>
  <c r="T6550" i="1"/>
  <c r="T6551" i="1"/>
  <c r="T6552" i="1"/>
  <c r="T6553" i="1"/>
  <c r="T6554" i="1"/>
  <c r="T6555" i="1"/>
  <c r="T6556" i="1"/>
  <c r="T6557" i="1"/>
  <c r="T6558" i="1"/>
  <c r="T6559" i="1"/>
  <c r="T6560" i="1"/>
  <c r="T6561" i="1"/>
  <c r="T6562" i="1"/>
  <c r="T6563" i="1"/>
  <c r="T6564" i="1"/>
  <c r="T6565" i="1"/>
  <c r="T6566" i="1"/>
  <c r="T6567" i="1"/>
  <c r="T6568" i="1"/>
  <c r="T6569" i="1"/>
  <c r="T6570" i="1"/>
  <c r="T6571" i="1"/>
  <c r="T6572" i="1"/>
  <c r="T6573" i="1"/>
  <c r="T6574" i="1"/>
  <c r="T6575" i="1"/>
  <c r="T6576" i="1"/>
  <c r="T6577" i="1"/>
  <c r="T6578" i="1"/>
  <c r="T6579" i="1"/>
  <c r="T6580" i="1"/>
  <c r="T6581" i="1"/>
  <c r="T6582" i="1"/>
  <c r="T6583" i="1"/>
  <c r="T6584" i="1"/>
  <c r="T6585" i="1"/>
  <c r="T6586" i="1"/>
  <c r="T6587" i="1"/>
  <c r="T6588" i="1"/>
  <c r="T6589" i="1"/>
  <c r="T6590" i="1"/>
  <c r="T6591" i="1"/>
  <c r="T6592" i="1"/>
  <c r="T6593" i="1"/>
  <c r="T6594" i="1"/>
  <c r="T6595" i="1"/>
  <c r="T6596" i="1"/>
  <c r="T6597" i="1"/>
  <c r="T6598" i="1"/>
  <c r="T6599" i="1"/>
  <c r="T6600" i="1"/>
  <c r="T6601" i="1"/>
  <c r="T6602" i="1"/>
  <c r="T6603" i="1"/>
  <c r="T6604" i="1"/>
  <c r="T6605" i="1"/>
  <c r="T6606" i="1"/>
  <c r="T6607" i="1"/>
  <c r="T6608" i="1"/>
  <c r="T6609" i="1"/>
  <c r="T6610" i="1"/>
  <c r="T6611" i="1"/>
  <c r="T6612" i="1"/>
  <c r="T6613" i="1"/>
  <c r="T6614" i="1"/>
  <c r="T6615" i="1"/>
  <c r="T6616" i="1"/>
  <c r="T6617" i="1"/>
  <c r="T6618" i="1"/>
  <c r="T6619" i="1"/>
  <c r="T6620" i="1"/>
  <c r="T6621" i="1"/>
  <c r="T6622" i="1"/>
  <c r="T6623" i="1"/>
  <c r="T6624" i="1"/>
  <c r="T6625" i="1"/>
  <c r="T6626" i="1"/>
  <c r="T6627" i="1"/>
  <c r="T6628" i="1"/>
  <c r="T6629" i="1"/>
  <c r="T6630" i="1"/>
  <c r="T6631" i="1"/>
  <c r="T6632" i="1"/>
  <c r="T6633" i="1"/>
  <c r="T6634" i="1"/>
  <c r="T6635" i="1"/>
  <c r="T6636" i="1"/>
  <c r="T6637" i="1"/>
  <c r="T6638" i="1"/>
  <c r="T6639" i="1"/>
  <c r="T6640" i="1"/>
  <c r="T6641" i="1"/>
  <c r="T6642" i="1"/>
  <c r="T6643" i="1"/>
  <c r="T6644" i="1"/>
  <c r="T6645" i="1"/>
  <c r="T6646" i="1"/>
  <c r="T6647" i="1"/>
  <c r="T6648" i="1"/>
  <c r="T6649" i="1"/>
  <c r="T6650" i="1"/>
  <c r="T6651" i="1"/>
  <c r="T6652" i="1"/>
  <c r="T6653" i="1"/>
  <c r="T6654" i="1"/>
  <c r="T6655" i="1"/>
  <c r="T6656" i="1"/>
  <c r="T6657" i="1"/>
  <c r="T6658" i="1"/>
  <c r="T6659" i="1"/>
  <c r="T6660" i="1"/>
  <c r="T6661" i="1"/>
  <c r="T6662" i="1"/>
  <c r="T6663" i="1"/>
  <c r="T6664" i="1"/>
  <c r="T6665" i="1"/>
  <c r="T6666" i="1"/>
  <c r="T6667" i="1"/>
  <c r="T6668" i="1"/>
  <c r="T6669" i="1"/>
  <c r="T6670" i="1"/>
  <c r="T6671" i="1"/>
  <c r="T6672" i="1"/>
  <c r="T6673" i="1"/>
  <c r="T6674" i="1"/>
  <c r="T6675" i="1"/>
  <c r="T6676" i="1"/>
  <c r="T6677" i="1"/>
  <c r="T6678" i="1"/>
  <c r="T6679" i="1"/>
  <c r="T6680" i="1"/>
  <c r="T6681" i="1"/>
  <c r="T6682" i="1"/>
  <c r="T6683" i="1"/>
  <c r="T6684" i="1"/>
  <c r="T6685" i="1"/>
  <c r="T6686" i="1"/>
  <c r="T6687" i="1"/>
  <c r="T6688" i="1"/>
  <c r="T6689" i="1"/>
  <c r="T6690" i="1"/>
  <c r="T6691" i="1"/>
  <c r="T6692" i="1"/>
  <c r="T6693" i="1"/>
  <c r="T6694" i="1"/>
  <c r="T6695" i="1"/>
  <c r="T6696" i="1"/>
  <c r="T6697" i="1"/>
  <c r="T6698" i="1"/>
  <c r="T6699" i="1"/>
  <c r="T6700" i="1"/>
  <c r="T6701" i="1"/>
  <c r="T6702" i="1"/>
  <c r="T6703" i="1"/>
  <c r="T6704" i="1"/>
  <c r="T6705" i="1"/>
  <c r="T6706" i="1"/>
  <c r="T6707" i="1"/>
  <c r="T6708" i="1"/>
  <c r="T6709" i="1"/>
  <c r="T6710" i="1"/>
  <c r="T6711" i="1"/>
  <c r="T6712" i="1"/>
  <c r="T6713" i="1"/>
  <c r="T6714" i="1"/>
  <c r="T6715" i="1"/>
  <c r="T6716" i="1"/>
  <c r="T6717" i="1"/>
  <c r="T6718" i="1"/>
  <c r="T6719" i="1"/>
  <c r="T6720" i="1"/>
  <c r="T6721" i="1"/>
  <c r="T6722" i="1"/>
  <c r="T6723" i="1"/>
  <c r="T6724" i="1"/>
  <c r="T6725" i="1"/>
  <c r="T6726" i="1"/>
  <c r="T6727" i="1"/>
  <c r="T6728" i="1"/>
  <c r="T6729" i="1"/>
  <c r="T6730" i="1"/>
  <c r="T6731" i="1"/>
  <c r="T6732" i="1"/>
  <c r="T6733" i="1"/>
  <c r="T6734" i="1"/>
  <c r="T6735" i="1"/>
  <c r="T6736" i="1"/>
  <c r="T6737" i="1"/>
  <c r="T6738" i="1"/>
  <c r="T6739" i="1"/>
  <c r="T6740" i="1"/>
  <c r="T6741" i="1"/>
  <c r="T6742" i="1"/>
  <c r="T6743" i="1"/>
  <c r="T6744" i="1"/>
  <c r="T6745" i="1"/>
  <c r="T6746" i="1"/>
  <c r="T6747" i="1"/>
  <c r="T6748" i="1"/>
  <c r="T6749" i="1"/>
  <c r="T6750" i="1"/>
  <c r="T6751" i="1"/>
  <c r="T6752" i="1"/>
  <c r="T6753" i="1"/>
  <c r="T6754" i="1"/>
  <c r="T6755" i="1"/>
  <c r="T6756" i="1"/>
  <c r="T6757" i="1"/>
  <c r="T6758" i="1"/>
  <c r="T6759" i="1"/>
  <c r="T6760" i="1"/>
  <c r="T6761" i="1"/>
  <c r="T6762" i="1"/>
  <c r="T6763" i="1"/>
  <c r="T6764" i="1"/>
  <c r="T6765" i="1"/>
  <c r="T6766" i="1"/>
  <c r="T6767" i="1"/>
  <c r="T6768" i="1"/>
  <c r="T6769" i="1"/>
  <c r="T6770" i="1"/>
  <c r="T6771" i="1"/>
  <c r="T6772" i="1"/>
  <c r="T6773" i="1"/>
  <c r="T6774" i="1"/>
  <c r="T6775" i="1"/>
  <c r="T6776" i="1"/>
  <c r="T6777" i="1"/>
  <c r="T6778" i="1"/>
  <c r="T6779" i="1"/>
  <c r="T6780" i="1"/>
  <c r="T6781" i="1"/>
  <c r="T6782" i="1"/>
  <c r="T6783" i="1"/>
  <c r="T6784" i="1"/>
  <c r="T6785" i="1"/>
  <c r="T6786" i="1"/>
  <c r="T6787" i="1"/>
  <c r="T6788" i="1"/>
  <c r="T6789" i="1"/>
  <c r="T6790" i="1"/>
  <c r="T6791" i="1"/>
  <c r="T6792" i="1"/>
  <c r="T6793" i="1"/>
  <c r="T6794" i="1"/>
  <c r="T6795" i="1"/>
  <c r="T6796" i="1"/>
  <c r="T6797" i="1"/>
  <c r="T6798" i="1"/>
  <c r="T6799" i="1"/>
  <c r="T6800" i="1"/>
  <c r="T6801" i="1"/>
  <c r="T6802" i="1"/>
  <c r="T6803" i="1"/>
  <c r="T6804" i="1"/>
  <c r="T6805" i="1"/>
  <c r="T6806" i="1"/>
  <c r="T6807" i="1"/>
  <c r="T6808" i="1"/>
  <c r="T6809" i="1"/>
  <c r="T6810" i="1"/>
  <c r="T6811" i="1"/>
  <c r="T6812" i="1"/>
  <c r="T6813" i="1"/>
  <c r="T6814" i="1"/>
  <c r="T6815" i="1"/>
  <c r="T6816" i="1"/>
  <c r="T6817" i="1"/>
  <c r="T6818" i="1"/>
  <c r="T6819" i="1"/>
  <c r="T6820" i="1"/>
  <c r="T6821" i="1"/>
  <c r="T6822" i="1"/>
  <c r="T6823" i="1"/>
  <c r="T6824" i="1"/>
  <c r="T6825" i="1"/>
  <c r="T6826" i="1"/>
  <c r="T6827" i="1"/>
  <c r="T6828" i="1"/>
  <c r="T6829" i="1"/>
  <c r="T6830" i="1"/>
  <c r="T6831" i="1"/>
  <c r="T6832" i="1"/>
  <c r="T6833" i="1"/>
  <c r="T6834" i="1"/>
  <c r="T6835" i="1"/>
  <c r="T6836" i="1"/>
  <c r="T6837" i="1"/>
  <c r="T6838" i="1"/>
  <c r="T6839" i="1"/>
  <c r="T6840" i="1"/>
  <c r="T6841" i="1"/>
  <c r="T6842" i="1"/>
  <c r="T6843" i="1"/>
  <c r="T6844" i="1"/>
  <c r="T6845" i="1"/>
  <c r="T6846" i="1"/>
  <c r="T6847" i="1"/>
  <c r="T6848" i="1"/>
  <c r="T6849" i="1"/>
  <c r="T6850" i="1"/>
  <c r="T6851" i="1"/>
  <c r="T6852" i="1"/>
  <c r="T6853" i="1"/>
  <c r="T6854" i="1"/>
  <c r="T6855" i="1"/>
  <c r="T6856" i="1"/>
  <c r="T6857" i="1"/>
  <c r="T6858" i="1"/>
  <c r="T6859" i="1"/>
  <c r="T6860" i="1"/>
  <c r="T6861" i="1"/>
  <c r="T6862" i="1"/>
  <c r="T6863" i="1"/>
  <c r="T6864" i="1"/>
  <c r="T6865" i="1"/>
  <c r="T6866" i="1"/>
  <c r="T6867" i="1"/>
  <c r="T6868" i="1"/>
  <c r="T6869" i="1"/>
  <c r="T6870" i="1"/>
  <c r="T6871" i="1"/>
  <c r="T6872" i="1"/>
  <c r="T6873" i="1"/>
  <c r="T6874" i="1"/>
  <c r="T6875" i="1"/>
  <c r="T6876" i="1"/>
  <c r="T6877" i="1"/>
  <c r="T6878" i="1"/>
  <c r="T6879" i="1"/>
  <c r="T6880" i="1"/>
  <c r="T6881" i="1"/>
  <c r="T6882" i="1"/>
  <c r="T6883" i="1"/>
  <c r="T6884" i="1"/>
  <c r="T6885" i="1"/>
  <c r="T6886" i="1"/>
  <c r="T6887" i="1"/>
  <c r="T6888" i="1"/>
  <c r="T6889" i="1"/>
  <c r="T6890" i="1"/>
  <c r="T6891" i="1"/>
  <c r="T6892" i="1"/>
  <c r="T6893" i="1"/>
  <c r="T6894" i="1"/>
  <c r="T6895" i="1"/>
  <c r="T6896" i="1"/>
  <c r="T6897" i="1"/>
  <c r="T6898" i="1"/>
  <c r="T6899" i="1"/>
  <c r="T6900" i="1"/>
  <c r="T6901" i="1"/>
  <c r="T6902" i="1"/>
  <c r="T6903" i="1"/>
  <c r="T6904" i="1"/>
  <c r="T6905" i="1"/>
  <c r="T6906" i="1"/>
  <c r="T6907" i="1"/>
  <c r="T6908" i="1"/>
  <c r="T6909" i="1"/>
  <c r="T6910" i="1"/>
  <c r="T6911" i="1"/>
  <c r="T6912" i="1"/>
  <c r="T6913" i="1"/>
  <c r="T6914" i="1"/>
  <c r="T6915" i="1"/>
  <c r="T6916" i="1"/>
  <c r="T6917" i="1"/>
  <c r="T6918" i="1"/>
  <c r="T6919" i="1"/>
  <c r="T6920" i="1"/>
  <c r="T6921" i="1"/>
  <c r="T6922" i="1"/>
  <c r="T6923" i="1"/>
  <c r="T6924" i="1"/>
  <c r="T6925" i="1"/>
  <c r="T6926" i="1"/>
  <c r="T6927" i="1"/>
  <c r="T6928" i="1"/>
  <c r="T6929" i="1"/>
  <c r="T6930" i="1"/>
  <c r="T6931" i="1"/>
  <c r="T6932" i="1"/>
  <c r="T6933" i="1"/>
  <c r="T6934" i="1"/>
  <c r="T6935" i="1"/>
  <c r="T6936" i="1"/>
  <c r="T6937" i="1"/>
  <c r="T6938" i="1"/>
  <c r="T6939" i="1"/>
  <c r="T6940" i="1"/>
  <c r="T6941" i="1"/>
  <c r="T6942" i="1"/>
  <c r="T6943" i="1"/>
  <c r="T6944" i="1"/>
  <c r="T6945" i="1"/>
  <c r="T6946" i="1"/>
  <c r="T6947" i="1"/>
  <c r="T6948" i="1"/>
  <c r="T6949" i="1"/>
  <c r="T6950" i="1"/>
  <c r="T6951" i="1"/>
  <c r="T6952" i="1"/>
  <c r="T6953" i="1"/>
  <c r="T6954" i="1"/>
  <c r="T6955" i="1"/>
  <c r="T6956" i="1"/>
  <c r="T6957" i="1"/>
  <c r="T6958" i="1"/>
  <c r="T6959" i="1"/>
  <c r="T6960" i="1"/>
  <c r="T6961" i="1"/>
  <c r="T6962" i="1"/>
  <c r="T6963" i="1"/>
  <c r="T6964" i="1"/>
  <c r="T6965" i="1"/>
  <c r="T6966" i="1"/>
  <c r="T6967" i="1"/>
  <c r="T6968" i="1"/>
  <c r="T6969" i="1"/>
  <c r="T6970" i="1"/>
  <c r="T6971" i="1"/>
  <c r="T6972" i="1"/>
  <c r="T6973" i="1"/>
  <c r="T6974" i="1"/>
  <c r="T6975" i="1"/>
  <c r="T6976" i="1"/>
  <c r="T6977" i="1"/>
  <c r="T6978" i="1"/>
  <c r="T6979" i="1"/>
  <c r="T6980" i="1"/>
  <c r="T6981" i="1"/>
  <c r="T6982" i="1"/>
  <c r="T6983" i="1"/>
  <c r="T6984" i="1"/>
  <c r="T6985" i="1"/>
  <c r="T6986" i="1"/>
  <c r="T6987" i="1"/>
  <c r="T6988" i="1"/>
  <c r="T6989" i="1"/>
  <c r="T6990" i="1"/>
  <c r="T6991" i="1"/>
  <c r="T6992" i="1"/>
  <c r="T6993" i="1"/>
  <c r="T6994" i="1"/>
  <c r="T6995" i="1"/>
  <c r="T6996" i="1"/>
  <c r="T6997" i="1"/>
  <c r="T6998" i="1"/>
  <c r="T6999" i="1"/>
  <c r="T7000" i="1"/>
  <c r="T7001" i="1"/>
  <c r="T7002" i="1"/>
  <c r="T7003" i="1"/>
  <c r="T7004" i="1"/>
  <c r="T7005" i="1"/>
  <c r="T7006" i="1"/>
  <c r="T7007" i="1"/>
  <c r="T7008" i="1"/>
  <c r="T7009" i="1"/>
  <c r="T7010" i="1"/>
  <c r="T7011" i="1"/>
  <c r="T7012" i="1"/>
  <c r="T7013" i="1"/>
  <c r="T7014" i="1"/>
  <c r="T7015" i="1"/>
  <c r="T7016" i="1"/>
  <c r="T7017" i="1"/>
  <c r="T7018" i="1"/>
  <c r="T7019" i="1"/>
  <c r="T7020" i="1"/>
  <c r="T7021" i="1"/>
  <c r="T7022" i="1"/>
  <c r="T7023" i="1"/>
  <c r="T7024" i="1"/>
  <c r="T7025" i="1"/>
  <c r="T7026" i="1"/>
  <c r="T7027" i="1"/>
  <c r="T7028" i="1"/>
  <c r="T7029" i="1"/>
  <c r="T7030" i="1"/>
  <c r="T7031" i="1"/>
  <c r="T7032" i="1"/>
  <c r="T7033" i="1"/>
  <c r="T7034" i="1"/>
  <c r="T7035" i="1"/>
  <c r="T7036" i="1"/>
  <c r="T7037" i="1"/>
  <c r="T7038" i="1"/>
  <c r="T7039" i="1"/>
  <c r="T7040" i="1"/>
  <c r="T7041" i="1"/>
  <c r="T7042" i="1"/>
  <c r="T7043" i="1"/>
  <c r="T7044" i="1"/>
  <c r="T7045" i="1"/>
  <c r="T7046" i="1"/>
  <c r="T7047" i="1"/>
  <c r="T7048" i="1"/>
  <c r="T7049" i="1"/>
  <c r="T7050" i="1"/>
  <c r="T7051" i="1"/>
  <c r="T7052" i="1"/>
  <c r="T7053" i="1"/>
  <c r="T7054" i="1"/>
  <c r="T7055" i="1"/>
  <c r="T7056" i="1"/>
  <c r="T7057" i="1"/>
  <c r="T7058" i="1"/>
  <c r="T7059" i="1"/>
  <c r="T7060" i="1"/>
  <c r="T7061" i="1"/>
  <c r="T7062" i="1"/>
  <c r="T7063" i="1"/>
  <c r="T7064" i="1"/>
  <c r="T7065" i="1"/>
  <c r="T7066" i="1"/>
  <c r="T7067" i="1"/>
  <c r="T7068" i="1"/>
  <c r="T7069" i="1"/>
  <c r="T7070" i="1"/>
  <c r="T7071" i="1"/>
  <c r="T7072" i="1"/>
  <c r="T7073" i="1"/>
  <c r="T7074" i="1"/>
  <c r="T7075" i="1"/>
  <c r="T7076" i="1"/>
  <c r="T7077" i="1"/>
  <c r="T7078" i="1"/>
  <c r="T7079" i="1"/>
  <c r="T7080" i="1"/>
  <c r="T7081" i="1"/>
  <c r="T7082" i="1"/>
  <c r="T7083" i="1"/>
  <c r="T7084" i="1"/>
  <c r="T7085" i="1"/>
  <c r="T7086" i="1"/>
  <c r="T7087" i="1"/>
  <c r="T7088" i="1"/>
  <c r="T7089" i="1"/>
  <c r="T7090" i="1"/>
  <c r="T7091" i="1"/>
  <c r="T7092" i="1"/>
  <c r="T7093" i="1"/>
  <c r="T7094" i="1"/>
  <c r="T7095" i="1"/>
  <c r="T7096" i="1"/>
  <c r="T7097" i="1"/>
  <c r="T7098" i="1"/>
  <c r="T7099" i="1"/>
  <c r="T7100" i="1"/>
  <c r="T7101" i="1"/>
  <c r="T7102" i="1"/>
  <c r="T7103" i="1"/>
  <c r="T7104" i="1"/>
  <c r="T7105" i="1"/>
  <c r="T7106" i="1"/>
  <c r="T7107" i="1"/>
  <c r="T7108" i="1"/>
  <c r="T7109" i="1"/>
  <c r="T7110" i="1"/>
  <c r="T7111" i="1"/>
  <c r="T7112" i="1"/>
  <c r="T7113" i="1"/>
  <c r="T7114" i="1"/>
  <c r="T7115" i="1"/>
  <c r="T7116" i="1"/>
  <c r="T7117" i="1"/>
  <c r="T7118" i="1"/>
  <c r="T7119" i="1"/>
  <c r="T7120" i="1"/>
  <c r="T7121" i="1"/>
  <c r="T7122" i="1"/>
  <c r="T7123" i="1"/>
  <c r="T7124" i="1"/>
  <c r="T7125" i="1"/>
  <c r="T7126" i="1"/>
  <c r="T7127" i="1"/>
  <c r="T7128" i="1"/>
  <c r="T7129" i="1"/>
  <c r="T7130" i="1"/>
  <c r="T7131" i="1"/>
  <c r="T7132" i="1"/>
  <c r="T7133" i="1"/>
  <c r="T7134" i="1"/>
  <c r="T7135" i="1"/>
  <c r="T7136" i="1"/>
  <c r="T7137" i="1"/>
  <c r="T7138" i="1"/>
  <c r="T7139" i="1"/>
  <c r="T7140" i="1"/>
  <c r="T7141" i="1"/>
  <c r="T7142" i="1"/>
  <c r="T7143" i="1"/>
  <c r="T7144" i="1"/>
  <c r="T7145" i="1"/>
  <c r="T7146" i="1"/>
  <c r="T7147" i="1"/>
  <c r="T7148" i="1"/>
  <c r="T7149" i="1"/>
  <c r="T7150" i="1"/>
  <c r="T7151" i="1"/>
  <c r="T7152" i="1"/>
  <c r="T7153" i="1"/>
  <c r="T7154" i="1"/>
  <c r="T7155" i="1"/>
  <c r="T7156" i="1"/>
  <c r="T7157" i="1"/>
  <c r="T7158" i="1"/>
  <c r="T7159" i="1"/>
  <c r="T7160" i="1"/>
  <c r="T7161" i="1"/>
  <c r="T7162" i="1"/>
  <c r="T7163" i="1"/>
  <c r="T7164" i="1"/>
  <c r="T7165" i="1"/>
  <c r="T7166" i="1"/>
  <c r="T7167" i="1"/>
  <c r="T7168" i="1"/>
  <c r="T7169" i="1"/>
  <c r="T7170" i="1"/>
  <c r="T7171" i="1"/>
  <c r="T7172" i="1"/>
  <c r="T7173" i="1"/>
  <c r="T7174" i="1"/>
  <c r="T7175" i="1"/>
  <c r="T7176" i="1"/>
  <c r="T7177" i="1"/>
  <c r="T7178" i="1"/>
  <c r="T7179" i="1"/>
  <c r="T7180" i="1"/>
  <c r="T7181" i="1"/>
  <c r="T7182" i="1"/>
  <c r="T7183" i="1"/>
  <c r="T7184" i="1"/>
  <c r="T7185" i="1"/>
  <c r="T7186" i="1"/>
  <c r="T7187" i="1"/>
  <c r="T7188" i="1"/>
  <c r="T7189" i="1"/>
  <c r="T7190" i="1"/>
  <c r="T7191" i="1"/>
  <c r="T7192" i="1"/>
  <c r="T7193" i="1"/>
  <c r="T7194" i="1"/>
  <c r="T7195" i="1"/>
  <c r="T7196" i="1"/>
  <c r="T7197" i="1"/>
  <c r="T7198" i="1"/>
  <c r="T7199" i="1"/>
  <c r="T7200" i="1"/>
  <c r="T7201" i="1"/>
  <c r="T7202" i="1"/>
  <c r="T7203" i="1"/>
  <c r="T7204" i="1"/>
  <c r="T7205" i="1"/>
  <c r="T7206" i="1"/>
  <c r="T7207" i="1"/>
  <c r="T7208" i="1"/>
  <c r="T7209" i="1"/>
  <c r="T7210" i="1"/>
  <c r="T7211" i="1"/>
  <c r="T7212" i="1"/>
  <c r="T7213" i="1"/>
  <c r="T7214" i="1"/>
  <c r="T7215" i="1"/>
  <c r="T7216" i="1"/>
  <c r="T7217" i="1"/>
  <c r="T7218" i="1"/>
  <c r="T7219" i="1"/>
  <c r="T7220" i="1"/>
  <c r="T7221" i="1"/>
  <c r="T7222" i="1"/>
  <c r="T7223" i="1"/>
  <c r="T7224" i="1"/>
  <c r="T7225" i="1"/>
  <c r="T7226" i="1"/>
  <c r="T7227" i="1"/>
  <c r="T7228" i="1"/>
  <c r="T7229" i="1"/>
  <c r="T7230" i="1"/>
  <c r="T7231" i="1"/>
  <c r="T7232" i="1"/>
  <c r="T7233" i="1"/>
  <c r="T7234" i="1"/>
  <c r="T7235" i="1"/>
  <c r="T7236" i="1"/>
  <c r="T7237" i="1"/>
  <c r="T7238" i="1"/>
  <c r="T7239" i="1"/>
  <c r="T7240" i="1"/>
  <c r="T7241" i="1"/>
  <c r="T7242" i="1"/>
  <c r="T7243" i="1"/>
  <c r="T7244" i="1"/>
  <c r="T7245" i="1"/>
  <c r="T7246" i="1"/>
  <c r="T7247" i="1"/>
  <c r="T7248" i="1"/>
  <c r="T7249" i="1"/>
  <c r="T7250" i="1"/>
  <c r="T7251" i="1"/>
  <c r="T7252" i="1"/>
  <c r="T7253" i="1"/>
  <c r="T7254" i="1"/>
  <c r="T7255" i="1"/>
  <c r="T7256" i="1"/>
  <c r="T7257" i="1"/>
  <c r="T7258" i="1"/>
  <c r="T7259" i="1"/>
  <c r="T7260" i="1"/>
  <c r="T7261" i="1"/>
  <c r="T7262" i="1"/>
  <c r="T7263" i="1"/>
  <c r="T7264" i="1"/>
  <c r="T7265" i="1"/>
  <c r="T7266" i="1"/>
  <c r="T7267" i="1"/>
  <c r="T7268" i="1"/>
  <c r="T7269" i="1"/>
  <c r="T7270" i="1"/>
  <c r="T7271" i="1"/>
  <c r="T7272" i="1"/>
  <c r="T7273" i="1"/>
  <c r="T7274" i="1"/>
  <c r="T7275" i="1"/>
  <c r="T7276" i="1"/>
  <c r="T7277" i="1"/>
  <c r="T7278" i="1"/>
  <c r="T7279" i="1"/>
  <c r="T7280" i="1"/>
  <c r="T7281" i="1"/>
  <c r="T7282" i="1"/>
  <c r="T7283" i="1"/>
  <c r="T7284" i="1"/>
  <c r="T7285" i="1"/>
  <c r="T7286" i="1"/>
  <c r="T7287" i="1"/>
  <c r="T7288" i="1"/>
  <c r="T7289" i="1"/>
  <c r="T7290" i="1"/>
  <c r="T7291" i="1"/>
  <c r="T7292" i="1"/>
  <c r="T7293" i="1"/>
  <c r="T7294" i="1"/>
  <c r="T7295" i="1"/>
  <c r="T7296" i="1"/>
  <c r="T7297" i="1"/>
  <c r="T7298" i="1"/>
  <c r="T7299" i="1"/>
  <c r="T7300" i="1"/>
  <c r="T7301" i="1"/>
  <c r="T7302" i="1"/>
  <c r="T7303" i="1"/>
  <c r="T7304" i="1"/>
  <c r="T7305" i="1"/>
  <c r="T7306" i="1"/>
  <c r="T7307" i="1"/>
  <c r="T7308" i="1"/>
  <c r="T7309" i="1"/>
  <c r="T7310" i="1"/>
  <c r="T7311" i="1"/>
  <c r="T7312" i="1"/>
  <c r="T7313" i="1"/>
  <c r="T7314" i="1"/>
  <c r="T7315" i="1"/>
  <c r="T7316" i="1"/>
  <c r="T7317" i="1"/>
  <c r="T7318" i="1"/>
  <c r="T7319" i="1"/>
  <c r="T7320" i="1"/>
  <c r="T7321" i="1"/>
  <c r="T7322" i="1"/>
  <c r="T7323" i="1"/>
  <c r="T7324" i="1"/>
  <c r="T7325" i="1"/>
  <c r="T7326" i="1"/>
  <c r="T7327" i="1"/>
  <c r="T7328" i="1"/>
  <c r="T7329" i="1"/>
  <c r="T7330" i="1"/>
  <c r="T7331" i="1"/>
  <c r="T7332" i="1"/>
  <c r="T7333" i="1"/>
  <c r="T7334" i="1"/>
  <c r="T7335" i="1"/>
  <c r="T7336" i="1"/>
  <c r="T7337" i="1"/>
  <c r="T7338" i="1"/>
  <c r="T7339" i="1"/>
  <c r="T7340" i="1"/>
  <c r="T7341" i="1"/>
  <c r="T7342" i="1"/>
  <c r="T7343" i="1"/>
  <c r="T7344" i="1"/>
  <c r="T7345" i="1"/>
  <c r="T7346" i="1"/>
  <c r="T7347" i="1"/>
  <c r="T7348" i="1"/>
  <c r="T7349" i="1"/>
  <c r="T7350" i="1"/>
  <c r="T7351" i="1"/>
  <c r="T7352" i="1"/>
  <c r="T7353" i="1"/>
  <c r="T7354" i="1"/>
  <c r="T7355" i="1"/>
  <c r="T7356" i="1"/>
  <c r="T7357" i="1"/>
  <c r="T7358" i="1"/>
  <c r="T7359" i="1"/>
  <c r="T7360" i="1"/>
  <c r="T7361" i="1"/>
  <c r="T7362" i="1"/>
  <c r="T7363" i="1"/>
  <c r="T7364" i="1"/>
  <c r="T7365" i="1"/>
  <c r="T7366" i="1"/>
  <c r="T7367" i="1"/>
  <c r="T7368" i="1"/>
  <c r="T7369" i="1"/>
  <c r="T7370" i="1"/>
  <c r="T7371" i="1"/>
  <c r="T7372" i="1"/>
  <c r="T7373" i="1"/>
  <c r="T7374" i="1"/>
  <c r="T7375" i="1"/>
  <c r="T7376" i="1"/>
  <c r="T7377" i="1"/>
  <c r="T7378" i="1"/>
  <c r="T7379" i="1"/>
  <c r="T7380" i="1"/>
  <c r="T7381" i="1"/>
  <c r="T7382" i="1"/>
  <c r="T7383" i="1"/>
  <c r="T7384" i="1"/>
  <c r="T7385" i="1"/>
  <c r="T7386" i="1"/>
  <c r="T7387" i="1"/>
  <c r="T7388" i="1"/>
  <c r="T7389" i="1"/>
  <c r="T7390" i="1"/>
  <c r="T7391" i="1"/>
  <c r="T7392" i="1"/>
  <c r="T7393" i="1"/>
  <c r="T7394" i="1"/>
  <c r="T7395" i="1"/>
  <c r="T7396" i="1"/>
  <c r="T7397" i="1"/>
  <c r="T7398" i="1"/>
  <c r="T7399" i="1"/>
  <c r="T7400" i="1"/>
  <c r="T7401" i="1"/>
  <c r="T7402" i="1"/>
  <c r="T7403" i="1"/>
  <c r="T7404" i="1"/>
  <c r="T7405" i="1"/>
  <c r="T7406" i="1"/>
  <c r="T7407" i="1"/>
  <c r="T7408" i="1"/>
  <c r="T7409" i="1"/>
  <c r="T7410" i="1"/>
  <c r="T7411" i="1"/>
  <c r="T7412" i="1"/>
  <c r="T7413" i="1"/>
  <c r="T7414" i="1"/>
  <c r="T7415" i="1"/>
  <c r="T7416" i="1"/>
  <c r="T7417" i="1"/>
  <c r="T7418" i="1"/>
  <c r="T7419" i="1"/>
  <c r="T7420" i="1"/>
  <c r="T7421" i="1"/>
  <c r="T7422" i="1"/>
  <c r="T7423" i="1"/>
  <c r="T7424" i="1"/>
  <c r="T7425" i="1"/>
  <c r="T7426" i="1"/>
  <c r="T7427" i="1"/>
  <c r="T7428" i="1"/>
  <c r="T7429" i="1"/>
  <c r="T7430" i="1"/>
  <c r="T7431" i="1"/>
  <c r="T7432" i="1"/>
  <c r="T7433" i="1"/>
  <c r="T7434" i="1"/>
  <c r="T7435" i="1"/>
  <c r="T7436" i="1"/>
  <c r="T7437" i="1"/>
  <c r="T7438" i="1"/>
  <c r="T7439" i="1"/>
  <c r="T7440" i="1"/>
  <c r="T7441" i="1"/>
  <c r="T7442" i="1"/>
  <c r="T7443" i="1"/>
  <c r="T7444" i="1"/>
  <c r="T7445" i="1"/>
  <c r="T7446" i="1"/>
  <c r="T7447" i="1"/>
  <c r="T7448" i="1"/>
  <c r="T7449" i="1"/>
  <c r="T7450" i="1"/>
  <c r="T7451" i="1"/>
  <c r="T7452" i="1"/>
  <c r="T7453" i="1"/>
  <c r="T7454" i="1"/>
  <c r="T7455" i="1"/>
  <c r="T7456" i="1"/>
  <c r="T7457" i="1"/>
  <c r="T7458" i="1"/>
  <c r="T7459" i="1"/>
  <c r="T7460" i="1"/>
  <c r="T7461" i="1"/>
  <c r="T7462" i="1"/>
  <c r="T7463" i="1"/>
  <c r="T7464" i="1"/>
  <c r="T7465" i="1"/>
  <c r="T7466" i="1"/>
  <c r="T7467" i="1"/>
  <c r="T7468" i="1"/>
  <c r="T7469" i="1"/>
  <c r="T7470" i="1"/>
  <c r="T7471" i="1"/>
  <c r="T7472" i="1"/>
  <c r="T7473" i="1"/>
  <c r="T7474" i="1"/>
  <c r="T7475" i="1"/>
  <c r="T7476" i="1"/>
  <c r="T7477" i="1"/>
  <c r="T7478" i="1"/>
  <c r="T7479" i="1"/>
  <c r="T7480" i="1"/>
  <c r="T7481" i="1"/>
  <c r="T7482" i="1"/>
  <c r="T7483" i="1"/>
  <c r="T7484" i="1"/>
  <c r="T7485" i="1"/>
  <c r="T7486" i="1"/>
  <c r="T7487" i="1"/>
  <c r="T7488" i="1"/>
  <c r="T7489" i="1"/>
  <c r="T7490" i="1"/>
  <c r="T7491" i="1"/>
  <c r="T7492" i="1"/>
  <c r="T7493" i="1"/>
  <c r="T7494" i="1"/>
  <c r="T7495" i="1"/>
  <c r="T7496" i="1"/>
  <c r="T7497" i="1"/>
  <c r="T7498" i="1"/>
  <c r="T7499" i="1"/>
  <c r="T7500" i="1"/>
  <c r="T7501" i="1"/>
  <c r="T7502" i="1"/>
  <c r="T7503" i="1"/>
  <c r="T7504" i="1"/>
  <c r="T7505" i="1"/>
  <c r="T7506" i="1"/>
  <c r="T7507" i="1"/>
  <c r="T7508" i="1"/>
  <c r="T7509" i="1"/>
  <c r="T7510" i="1"/>
  <c r="T7511" i="1"/>
  <c r="T7512" i="1"/>
  <c r="T7513" i="1"/>
  <c r="T7514" i="1"/>
  <c r="T7515" i="1"/>
  <c r="T7516" i="1"/>
  <c r="T7517" i="1"/>
  <c r="T7518" i="1"/>
  <c r="T7519" i="1"/>
  <c r="T7520" i="1"/>
  <c r="T7521" i="1"/>
  <c r="T7522" i="1"/>
  <c r="T7523" i="1"/>
  <c r="T7524" i="1"/>
  <c r="T7525" i="1"/>
  <c r="T7526" i="1"/>
  <c r="T7527" i="1"/>
  <c r="T7528" i="1"/>
  <c r="T7529" i="1"/>
  <c r="T7530" i="1"/>
  <c r="T7531" i="1"/>
  <c r="T7532" i="1"/>
  <c r="T7533" i="1"/>
  <c r="T7534" i="1"/>
  <c r="T7535" i="1"/>
  <c r="T7536" i="1"/>
  <c r="T7537" i="1"/>
  <c r="T7538" i="1"/>
  <c r="T7539" i="1"/>
  <c r="T7540" i="1"/>
  <c r="T7541" i="1"/>
  <c r="T7542" i="1"/>
  <c r="T7543" i="1"/>
  <c r="T7544" i="1"/>
  <c r="T7545" i="1"/>
  <c r="T7546" i="1"/>
  <c r="T7547" i="1"/>
  <c r="T7548" i="1"/>
  <c r="T7549" i="1"/>
  <c r="T7550" i="1"/>
  <c r="T7551" i="1"/>
  <c r="T7552" i="1"/>
  <c r="T7553" i="1"/>
  <c r="T7554" i="1"/>
  <c r="T7555" i="1"/>
  <c r="T7556" i="1"/>
  <c r="T7557" i="1"/>
  <c r="T7558" i="1"/>
  <c r="T7559" i="1"/>
  <c r="T7560" i="1"/>
  <c r="T7561" i="1"/>
  <c r="T7562" i="1"/>
  <c r="T7563" i="1"/>
  <c r="T7564" i="1"/>
  <c r="T7565" i="1"/>
  <c r="T7566" i="1"/>
  <c r="T7567" i="1"/>
  <c r="T7568" i="1"/>
  <c r="T7569" i="1"/>
  <c r="T7570" i="1"/>
  <c r="T7571" i="1"/>
  <c r="T7572" i="1"/>
  <c r="T7573" i="1"/>
  <c r="T7574" i="1"/>
  <c r="T7575" i="1"/>
  <c r="T7576" i="1"/>
  <c r="T7577" i="1"/>
  <c r="T7578" i="1"/>
  <c r="T7579" i="1"/>
  <c r="T7580" i="1"/>
  <c r="T7581" i="1"/>
  <c r="T7582" i="1"/>
  <c r="T7583" i="1"/>
  <c r="T7584" i="1"/>
  <c r="T7585" i="1"/>
  <c r="T7586" i="1"/>
  <c r="T7587" i="1"/>
  <c r="T7588" i="1"/>
  <c r="T7589" i="1"/>
  <c r="T7590" i="1"/>
  <c r="T7591" i="1"/>
  <c r="T7592" i="1"/>
  <c r="T7593" i="1"/>
  <c r="T7594" i="1"/>
  <c r="T7595" i="1"/>
  <c r="T7596" i="1"/>
  <c r="T7597" i="1"/>
  <c r="T7598" i="1"/>
  <c r="T7599" i="1"/>
  <c r="T7600" i="1"/>
  <c r="T7601" i="1"/>
  <c r="T7602" i="1"/>
  <c r="T7603" i="1"/>
  <c r="T7604" i="1"/>
  <c r="T7605" i="1"/>
  <c r="T7606" i="1"/>
  <c r="T7607" i="1"/>
  <c r="T7608" i="1"/>
  <c r="T7609" i="1"/>
  <c r="T7610" i="1"/>
  <c r="T7611" i="1"/>
  <c r="T7612" i="1"/>
  <c r="T7613" i="1"/>
  <c r="T7614" i="1"/>
  <c r="T7615" i="1"/>
  <c r="T7616" i="1"/>
  <c r="T7617" i="1"/>
  <c r="T7618" i="1"/>
  <c r="T7619" i="1"/>
  <c r="T7620" i="1"/>
  <c r="T7621" i="1"/>
  <c r="T7622" i="1"/>
  <c r="T7623" i="1"/>
  <c r="T7624" i="1"/>
  <c r="T7625" i="1"/>
  <c r="T7626" i="1"/>
  <c r="T7627" i="1"/>
  <c r="T7628" i="1"/>
  <c r="T7629" i="1"/>
  <c r="T7630" i="1"/>
  <c r="T7631" i="1"/>
  <c r="T7632" i="1"/>
  <c r="T7633" i="1"/>
  <c r="T7634" i="1"/>
  <c r="T7635" i="1"/>
  <c r="T7636" i="1"/>
  <c r="T7637" i="1"/>
  <c r="T7638" i="1"/>
  <c r="T7639" i="1"/>
  <c r="T7640" i="1"/>
  <c r="T7641" i="1"/>
  <c r="T7642" i="1"/>
  <c r="T7643" i="1"/>
  <c r="T7644" i="1"/>
  <c r="T7645" i="1"/>
  <c r="T7646" i="1"/>
  <c r="T7647" i="1"/>
  <c r="T7648" i="1"/>
  <c r="T7649" i="1"/>
  <c r="T7650" i="1"/>
  <c r="T7651" i="1"/>
  <c r="T7652" i="1"/>
  <c r="T7653" i="1"/>
  <c r="T7654" i="1"/>
  <c r="T7655" i="1"/>
  <c r="T7656" i="1"/>
  <c r="T7657" i="1"/>
  <c r="T7658" i="1"/>
  <c r="T7659" i="1"/>
  <c r="T7660" i="1"/>
  <c r="T7661" i="1"/>
  <c r="T7662" i="1"/>
  <c r="T7663" i="1"/>
  <c r="T7664" i="1"/>
  <c r="T7665" i="1"/>
  <c r="T7666" i="1"/>
  <c r="T7667" i="1"/>
  <c r="T7668" i="1"/>
  <c r="T7669" i="1"/>
  <c r="T7670" i="1"/>
  <c r="T7671" i="1"/>
  <c r="T7672" i="1"/>
  <c r="T7673" i="1"/>
  <c r="T7674" i="1"/>
  <c r="T7675" i="1"/>
  <c r="T7676" i="1"/>
  <c r="T7677" i="1"/>
  <c r="T7678" i="1"/>
  <c r="T7679" i="1"/>
  <c r="T7680" i="1"/>
  <c r="T7681" i="1"/>
  <c r="T7682" i="1"/>
  <c r="T7683" i="1"/>
  <c r="T7684" i="1"/>
  <c r="T7685" i="1"/>
  <c r="T7686" i="1"/>
  <c r="T7687" i="1"/>
  <c r="T7688" i="1"/>
  <c r="T7689" i="1"/>
  <c r="T7690" i="1"/>
  <c r="T7691" i="1"/>
  <c r="T7692" i="1"/>
  <c r="T7693" i="1"/>
  <c r="T7694" i="1"/>
  <c r="T7695" i="1"/>
  <c r="T7696" i="1"/>
  <c r="T7697" i="1"/>
  <c r="T7698" i="1"/>
  <c r="T7699" i="1"/>
  <c r="T7700" i="1"/>
  <c r="T7701" i="1"/>
  <c r="T7702" i="1"/>
  <c r="T7703" i="1"/>
  <c r="T7704" i="1"/>
  <c r="T7705" i="1"/>
  <c r="T7706" i="1"/>
  <c r="T7707" i="1"/>
  <c r="T7708" i="1"/>
  <c r="T7709" i="1"/>
  <c r="T7710" i="1"/>
  <c r="T7711" i="1"/>
  <c r="T7712" i="1"/>
  <c r="T7713" i="1"/>
  <c r="T7714" i="1"/>
  <c r="T7715" i="1"/>
  <c r="T7716" i="1"/>
  <c r="T7717" i="1"/>
  <c r="T7718" i="1"/>
  <c r="T7719" i="1"/>
  <c r="T7720" i="1"/>
  <c r="T7721" i="1"/>
  <c r="T7722" i="1"/>
  <c r="T7723" i="1"/>
  <c r="T7724" i="1"/>
  <c r="T7725" i="1"/>
  <c r="T7726" i="1"/>
  <c r="T7727" i="1"/>
  <c r="T7728" i="1"/>
  <c r="T7729" i="1"/>
  <c r="T7730" i="1"/>
  <c r="T7731" i="1"/>
  <c r="T7732" i="1"/>
  <c r="T7733" i="1"/>
  <c r="T7734" i="1"/>
  <c r="T7735" i="1"/>
  <c r="T7736" i="1"/>
  <c r="T7737" i="1"/>
  <c r="T7738" i="1"/>
  <c r="T7739" i="1"/>
  <c r="T7740" i="1"/>
  <c r="T7741" i="1"/>
  <c r="T7742" i="1"/>
  <c r="T7743" i="1"/>
  <c r="T7744" i="1"/>
  <c r="T7745" i="1"/>
  <c r="T7746" i="1"/>
  <c r="T7747" i="1"/>
  <c r="T7748" i="1"/>
  <c r="T7749" i="1"/>
  <c r="T7750" i="1"/>
  <c r="T7751" i="1"/>
  <c r="T7752" i="1"/>
  <c r="T7753" i="1"/>
  <c r="T7754" i="1"/>
  <c r="T7755" i="1"/>
  <c r="T7756" i="1"/>
  <c r="T7757" i="1"/>
  <c r="T7758" i="1"/>
  <c r="T7759" i="1"/>
  <c r="T7760" i="1"/>
  <c r="T7761" i="1"/>
  <c r="T7762" i="1"/>
  <c r="T7763" i="1"/>
  <c r="T7764" i="1"/>
  <c r="T7765" i="1"/>
  <c r="T7766" i="1"/>
  <c r="T7767" i="1"/>
  <c r="T7768" i="1"/>
  <c r="T7769" i="1"/>
  <c r="T7770" i="1"/>
  <c r="T7771" i="1"/>
  <c r="T7772" i="1"/>
  <c r="T7773" i="1"/>
  <c r="T7774" i="1"/>
  <c r="T7775" i="1"/>
  <c r="T7776" i="1"/>
  <c r="T7777" i="1"/>
  <c r="T7778" i="1"/>
  <c r="T7779" i="1"/>
  <c r="T7780" i="1"/>
  <c r="T7781" i="1"/>
  <c r="T7782" i="1"/>
  <c r="T7783" i="1"/>
  <c r="T7784" i="1"/>
  <c r="T7785" i="1"/>
  <c r="T7786" i="1"/>
  <c r="T7787" i="1"/>
  <c r="T7788" i="1"/>
  <c r="T7789" i="1"/>
  <c r="T7790" i="1"/>
  <c r="T7791" i="1"/>
  <c r="T7792" i="1"/>
  <c r="T7793" i="1"/>
  <c r="T7794" i="1"/>
  <c r="T7795" i="1"/>
  <c r="T7796" i="1"/>
  <c r="T7797" i="1"/>
  <c r="T7798" i="1"/>
  <c r="T7799" i="1"/>
  <c r="T7800" i="1"/>
  <c r="T7801" i="1"/>
  <c r="T7802" i="1"/>
  <c r="T7803" i="1"/>
  <c r="T7804" i="1"/>
  <c r="T7805" i="1"/>
  <c r="T7806" i="1"/>
  <c r="T7807" i="1"/>
  <c r="T7808" i="1"/>
  <c r="T7809" i="1"/>
  <c r="T7810" i="1"/>
  <c r="T7811" i="1"/>
  <c r="T7812" i="1"/>
  <c r="T7813" i="1"/>
  <c r="T7814" i="1"/>
  <c r="T7815" i="1"/>
  <c r="T7816" i="1"/>
  <c r="T7817" i="1"/>
  <c r="T7818" i="1"/>
  <c r="T7819" i="1"/>
  <c r="T7820" i="1"/>
  <c r="T7821" i="1"/>
  <c r="T7822" i="1"/>
  <c r="T7823" i="1"/>
  <c r="T7824" i="1"/>
  <c r="T7825" i="1"/>
  <c r="T7826" i="1"/>
  <c r="T7827" i="1"/>
  <c r="T7828" i="1"/>
  <c r="T7829" i="1"/>
  <c r="T7830" i="1"/>
  <c r="T7831" i="1"/>
  <c r="T7832" i="1"/>
  <c r="T7833" i="1"/>
  <c r="T7834" i="1"/>
  <c r="T7835" i="1"/>
  <c r="T7836" i="1"/>
  <c r="T7837" i="1"/>
  <c r="T7838" i="1"/>
  <c r="T7839" i="1"/>
  <c r="T7840" i="1"/>
  <c r="T7841" i="1"/>
  <c r="T7842" i="1"/>
  <c r="T7843" i="1"/>
  <c r="T7844" i="1"/>
  <c r="T7845" i="1"/>
  <c r="T7846" i="1"/>
  <c r="T7847" i="1"/>
  <c r="T7848" i="1"/>
  <c r="T7849" i="1"/>
  <c r="T7850" i="1"/>
  <c r="T7851" i="1"/>
  <c r="T7852" i="1"/>
  <c r="T7853" i="1"/>
  <c r="T7854" i="1"/>
  <c r="T7855" i="1"/>
  <c r="T7856" i="1"/>
  <c r="T7857" i="1"/>
  <c r="T7858" i="1"/>
  <c r="T7859" i="1"/>
  <c r="T7860" i="1"/>
  <c r="T7861" i="1"/>
  <c r="T7862" i="1"/>
  <c r="T7863" i="1"/>
  <c r="T7864" i="1"/>
  <c r="T7865" i="1"/>
  <c r="T7866" i="1"/>
  <c r="T7867" i="1"/>
  <c r="T7868" i="1"/>
  <c r="T7869" i="1"/>
  <c r="T7870" i="1"/>
  <c r="T7871" i="1"/>
  <c r="T7872" i="1"/>
  <c r="T7873" i="1"/>
  <c r="T7874" i="1"/>
  <c r="T7875" i="1"/>
  <c r="T7876" i="1"/>
  <c r="T7877" i="1"/>
  <c r="T7878" i="1"/>
  <c r="T7879" i="1"/>
  <c r="T7880" i="1"/>
  <c r="T7881" i="1"/>
  <c r="T7882" i="1"/>
  <c r="T7883" i="1"/>
  <c r="T7884" i="1"/>
  <c r="T7885" i="1"/>
  <c r="T7886" i="1"/>
  <c r="T7887" i="1"/>
  <c r="T7888" i="1"/>
  <c r="T7889" i="1"/>
  <c r="T7890" i="1"/>
  <c r="T7891" i="1"/>
  <c r="T7892" i="1"/>
  <c r="T7893" i="1"/>
  <c r="T7894" i="1"/>
  <c r="T7895" i="1"/>
  <c r="T7896" i="1"/>
  <c r="T7897" i="1"/>
  <c r="T7898" i="1"/>
  <c r="T7899" i="1"/>
  <c r="T7900" i="1"/>
  <c r="T7901" i="1"/>
  <c r="T7902" i="1"/>
  <c r="T7903" i="1"/>
  <c r="T7904" i="1"/>
  <c r="T7905" i="1"/>
  <c r="T7906" i="1"/>
  <c r="T7907" i="1"/>
  <c r="T7908" i="1"/>
  <c r="T7909" i="1"/>
  <c r="T7910" i="1"/>
  <c r="T7911" i="1"/>
  <c r="T7912" i="1"/>
  <c r="T7913" i="1"/>
  <c r="T7914" i="1"/>
  <c r="T7915" i="1"/>
  <c r="T7916" i="1"/>
  <c r="T7917" i="1"/>
  <c r="T7918" i="1"/>
  <c r="T7919" i="1"/>
  <c r="T7920" i="1"/>
  <c r="T7921" i="1"/>
  <c r="T7922" i="1"/>
  <c r="T7923" i="1"/>
  <c r="T7924" i="1"/>
  <c r="T7925" i="1"/>
  <c r="T7926" i="1"/>
  <c r="T7927" i="1"/>
  <c r="T7928" i="1"/>
  <c r="T7929" i="1"/>
  <c r="T7930" i="1"/>
  <c r="T7931" i="1"/>
  <c r="T7932" i="1"/>
  <c r="T7933" i="1"/>
  <c r="T7934" i="1"/>
  <c r="T7935" i="1"/>
  <c r="T7936" i="1"/>
  <c r="T7937" i="1"/>
  <c r="T7938" i="1"/>
  <c r="T7939" i="1"/>
  <c r="T7940" i="1"/>
  <c r="T7941" i="1"/>
  <c r="T7942" i="1"/>
  <c r="T7943" i="1"/>
  <c r="T7944" i="1"/>
  <c r="T7945" i="1"/>
  <c r="T7946" i="1"/>
  <c r="T7947" i="1"/>
  <c r="T7948" i="1"/>
  <c r="T7949" i="1"/>
  <c r="T7950" i="1"/>
  <c r="T7951" i="1"/>
  <c r="T7952" i="1"/>
  <c r="T7953" i="1"/>
  <c r="T7954" i="1"/>
  <c r="T7955" i="1"/>
  <c r="T7956" i="1"/>
  <c r="T7957" i="1"/>
  <c r="T7958" i="1"/>
  <c r="T7959" i="1"/>
  <c r="T7960" i="1"/>
  <c r="T7961" i="1"/>
  <c r="T7962" i="1"/>
  <c r="T7963" i="1"/>
  <c r="T7964" i="1"/>
  <c r="T7965" i="1"/>
  <c r="T7966" i="1"/>
  <c r="T7967" i="1"/>
  <c r="T7968" i="1"/>
  <c r="T7969" i="1"/>
  <c r="T7970" i="1"/>
  <c r="T7971" i="1"/>
  <c r="T7972" i="1"/>
  <c r="T7973" i="1"/>
  <c r="T7974" i="1"/>
  <c r="T7975" i="1"/>
  <c r="T7976" i="1"/>
  <c r="T7977" i="1"/>
  <c r="T7978" i="1"/>
  <c r="T7979" i="1"/>
  <c r="T7980" i="1"/>
  <c r="T7981" i="1"/>
  <c r="T7982" i="1"/>
  <c r="T7983" i="1"/>
  <c r="T7984" i="1"/>
  <c r="T7985" i="1"/>
  <c r="T7986" i="1"/>
  <c r="T7987" i="1"/>
  <c r="T7988" i="1"/>
  <c r="T7989" i="1"/>
  <c r="T7990" i="1"/>
  <c r="T7991" i="1"/>
  <c r="T7992" i="1"/>
  <c r="T7993" i="1"/>
  <c r="T7994" i="1"/>
  <c r="T7995" i="1"/>
  <c r="T7996" i="1"/>
  <c r="T7997" i="1"/>
  <c r="T7998" i="1"/>
  <c r="T7999" i="1"/>
  <c r="T8000" i="1"/>
  <c r="T8001" i="1"/>
  <c r="T8002" i="1"/>
  <c r="T8003" i="1"/>
  <c r="T8004" i="1"/>
  <c r="T8005" i="1"/>
  <c r="T8006" i="1"/>
  <c r="T8007" i="1"/>
  <c r="T8008" i="1"/>
  <c r="T8009" i="1"/>
  <c r="T8010" i="1"/>
  <c r="T8011" i="1"/>
  <c r="T8012" i="1"/>
  <c r="T8013" i="1"/>
  <c r="T8014" i="1"/>
  <c r="T8015" i="1"/>
  <c r="T8016" i="1"/>
  <c r="T8017" i="1"/>
  <c r="T8018" i="1"/>
  <c r="T8019" i="1"/>
  <c r="T8020" i="1"/>
  <c r="T8021" i="1"/>
  <c r="T8022" i="1"/>
  <c r="T8023" i="1"/>
  <c r="T8024" i="1"/>
  <c r="T8025" i="1"/>
  <c r="T8026" i="1"/>
  <c r="T8027" i="1"/>
  <c r="T8028" i="1"/>
  <c r="T8029" i="1"/>
  <c r="T8030" i="1"/>
  <c r="T8031" i="1"/>
  <c r="T8032" i="1"/>
  <c r="T8033" i="1"/>
  <c r="T8034" i="1"/>
  <c r="T8035" i="1"/>
  <c r="T8036" i="1"/>
  <c r="T8037" i="1"/>
  <c r="T8038" i="1"/>
  <c r="T8039" i="1"/>
  <c r="T8040" i="1"/>
  <c r="T8041" i="1"/>
  <c r="T8042" i="1"/>
  <c r="T8043" i="1"/>
  <c r="T8044" i="1"/>
  <c r="T8045" i="1"/>
  <c r="T8046" i="1"/>
  <c r="T8047" i="1"/>
  <c r="T8048" i="1"/>
  <c r="T8049" i="1"/>
  <c r="T8050" i="1"/>
  <c r="T8051" i="1"/>
  <c r="T8052" i="1"/>
  <c r="T8053" i="1"/>
  <c r="T8054" i="1"/>
  <c r="T8055" i="1"/>
  <c r="T8056" i="1"/>
  <c r="T8057" i="1"/>
  <c r="T8058" i="1"/>
  <c r="T8059" i="1"/>
  <c r="T8060" i="1"/>
  <c r="T8061" i="1"/>
  <c r="T8062" i="1"/>
  <c r="T8063" i="1"/>
  <c r="T8064" i="1"/>
  <c r="T8065" i="1"/>
  <c r="T8066" i="1"/>
  <c r="T8067" i="1"/>
  <c r="T8068" i="1"/>
  <c r="T8069" i="1"/>
  <c r="T8070" i="1"/>
  <c r="T8071" i="1"/>
  <c r="T8072" i="1"/>
  <c r="T8073" i="1"/>
  <c r="T8074" i="1"/>
  <c r="T8075" i="1"/>
  <c r="T8076" i="1"/>
  <c r="T8077" i="1"/>
  <c r="T8078" i="1"/>
  <c r="T8079" i="1"/>
  <c r="T8080" i="1"/>
  <c r="T8081" i="1"/>
  <c r="T8082" i="1"/>
  <c r="T8083" i="1"/>
  <c r="T8084" i="1"/>
  <c r="T8085" i="1"/>
  <c r="T8086" i="1"/>
  <c r="T8087" i="1"/>
  <c r="T8088" i="1"/>
  <c r="T8089" i="1"/>
  <c r="T8090" i="1"/>
  <c r="T8091" i="1"/>
  <c r="T8092" i="1"/>
  <c r="T8093" i="1"/>
  <c r="T8094" i="1"/>
  <c r="T8095" i="1"/>
  <c r="T8096" i="1"/>
  <c r="T8097" i="1"/>
  <c r="T8098" i="1"/>
  <c r="T8099" i="1"/>
  <c r="T8100" i="1"/>
  <c r="T8101" i="1"/>
  <c r="T8102" i="1"/>
  <c r="T8103" i="1"/>
  <c r="T8104" i="1"/>
  <c r="T8105" i="1"/>
  <c r="T8106" i="1"/>
  <c r="T8107" i="1"/>
  <c r="T8108" i="1"/>
  <c r="T8109" i="1"/>
  <c r="T8110" i="1"/>
  <c r="T8111" i="1"/>
  <c r="T8112" i="1"/>
  <c r="T8113" i="1"/>
  <c r="T8114" i="1"/>
  <c r="T8115" i="1"/>
  <c r="T8116" i="1"/>
  <c r="T8117" i="1"/>
  <c r="T8118" i="1"/>
  <c r="T8119" i="1"/>
  <c r="T8120" i="1"/>
  <c r="T8121" i="1"/>
  <c r="T8122" i="1"/>
  <c r="T8123" i="1"/>
  <c r="T8124" i="1"/>
  <c r="T8125" i="1"/>
  <c r="T8126" i="1"/>
  <c r="T8127" i="1"/>
  <c r="T8128" i="1"/>
  <c r="T8129" i="1"/>
  <c r="T8130" i="1"/>
  <c r="T8131" i="1"/>
  <c r="T8132" i="1"/>
  <c r="T8133" i="1"/>
  <c r="T8134" i="1"/>
  <c r="T8135" i="1"/>
  <c r="T8136" i="1"/>
  <c r="T8137" i="1"/>
  <c r="T8138" i="1"/>
  <c r="T8139" i="1"/>
  <c r="T8140" i="1"/>
  <c r="T8141" i="1"/>
  <c r="T8142" i="1"/>
  <c r="T8143" i="1"/>
  <c r="T8144" i="1"/>
  <c r="T8145" i="1"/>
  <c r="T8146" i="1"/>
  <c r="T8147" i="1"/>
  <c r="T8148" i="1"/>
  <c r="T8149" i="1"/>
  <c r="T8150" i="1"/>
  <c r="T8151" i="1"/>
  <c r="T8152" i="1"/>
  <c r="T8153" i="1"/>
  <c r="T8154" i="1"/>
  <c r="T8155" i="1"/>
  <c r="T8156" i="1"/>
  <c r="T8157" i="1"/>
  <c r="T8158" i="1"/>
  <c r="T8159" i="1"/>
  <c r="T8160" i="1"/>
  <c r="T8161" i="1"/>
  <c r="T8162" i="1"/>
  <c r="T8163" i="1"/>
  <c r="T8164" i="1"/>
  <c r="T8165" i="1"/>
  <c r="T8166" i="1"/>
  <c r="T8167" i="1"/>
  <c r="T8168" i="1"/>
  <c r="T8169" i="1"/>
  <c r="T8170" i="1"/>
  <c r="T8171" i="1"/>
  <c r="T8172" i="1"/>
  <c r="T8173" i="1"/>
  <c r="T8174" i="1"/>
  <c r="T8175" i="1"/>
  <c r="T8176" i="1"/>
  <c r="T8177" i="1"/>
  <c r="T8178" i="1"/>
  <c r="T8179" i="1"/>
  <c r="T8180" i="1"/>
  <c r="T8181" i="1"/>
  <c r="T8182" i="1"/>
  <c r="T8183" i="1"/>
  <c r="T8184" i="1"/>
  <c r="T8185" i="1"/>
  <c r="T8186" i="1"/>
  <c r="T8187" i="1"/>
  <c r="T8188" i="1"/>
  <c r="T8189" i="1"/>
  <c r="T8190" i="1"/>
  <c r="T8191" i="1"/>
  <c r="T8192" i="1"/>
  <c r="T8193" i="1"/>
  <c r="T8194" i="1"/>
  <c r="T8195" i="1"/>
  <c r="T8196" i="1"/>
  <c r="T8197" i="1"/>
  <c r="T8198" i="1"/>
  <c r="T8199" i="1"/>
  <c r="T8200" i="1"/>
  <c r="T8201" i="1"/>
  <c r="T8202" i="1"/>
  <c r="T8203" i="1"/>
  <c r="T8204" i="1"/>
  <c r="T8205" i="1"/>
  <c r="T8206" i="1"/>
  <c r="T8207" i="1"/>
  <c r="T8208" i="1"/>
  <c r="T8209" i="1"/>
  <c r="T8210" i="1"/>
  <c r="T8211" i="1"/>
  <c r="T8212" i="1"/>
  <c r="T8213" i="1"/>
  <c r="T8214" i="1"/>
  <c r="T8215" i="1"/>
  <c r="T8216" i="1"/>
  <c r="T8217" i="1"/>
  <c r="T8218" i="1"/>
  <c r="T8219" i="1"/>
  <c r="T8220" i="1"/>
  <c r="T8221" i="1"/>
  <c r="T8222" i="1"/>
  <c r="T8223" i="1"/>
  <c r="T8224" i="1"/>
  <c r="T8225" i="1"/>
  <c r="T8226" i="1"/>
  <c r="T8227" i="1"/>
  <c r="T8228" i="1"/>
  <c r="T8229" i="1"/>
  <c r="T8230" i="1"/>
  <c r="T8231" i="1"/>
  <c r="T8232" i="1"/>
  <c r="T8233" i="1"/>
  <c r="T8234" i="1"/>
  <c r="T8235" i="1"/>
  <c r="T8236" i="1"/>
  <c r="T8237" i="1"/>
  <c r="T8238" i="1"/>
  <c r="T8239" i="1"/>
  <c r="T8240" i="1"/>
  <c r="T8241" i="1"/>
  <c r="T8242" i="1"/>
  <c r="T8243" i="1"/>
  <c r="T8244" i="1"/>
  <c r="T8245" i="1"/>
  <c r="T8246" i="1"/>
  <c r="T8247" i="1"/>
  <c r="T8248" i="1"/>
  <c r="T8249" i="1"/>
  <c r="T8250" i="1"/>
  <c r="T8251" i="1"/>
  <c r="T8252" i="1"/>
  <c r="T8253" i="1"/>
  <c r="T8254" i="1"/>
  <c r="T8255" i="1"/>
  <c r="T8256" i="1"/>
  <c r="T8257" i="1"/>
  <c r="T8258" i="1"/>
  <c r="T8259" i="1"/>
  <c r="T8260" i="1"/>
  <c r="T8261" i="1"/>
  <c r="T8262" i="1"/>
  <c r="T8263" i="1"/>
  <c r="T8264" i="1"/>
  <c r="T8265" i="1"/>
  <c r="T8266" i="1"/>
  <c r="T8267" i="1"/>
  <c r="T8268" i="1"/>
  <c r="T8269" i="1"/>
  <c r="T8270" i="1"/>
  <c r="T8271" i="1"/>
  <c r="T8272" i="1"/>
  <c r="T8273" i="1"/>
  <c r="T8274" i="1"/>
  <c r="T8275" i="1"/>
  <c r="T8276" i="1"/>
  <c r="T8277" i="1"/>
  <c r="T8278" i="1"/>
  <c r="T8279" i="1"/>
  <c r="T8280" i="1"/>
  <c r="T8281" i="1"/>
  <c r="T8282" i="1"/>
  <c r="T8283" i="1"/>
  <c r="T8284" i="1"/>
  <c r="T8285" i="1"/>
  <c r="T8286" i="1"/>
  <c r="T8287" i="1"/>
  <c r="T8288" i="1"/>
  <c r="T8289" i="1"/>
  <c r="T8290" i="1"/>
  <c r="T8291" i="1"/>
  <c r="T8292" i="1"/>
  <c r="T8293" i="1"/>
  <c r="T8294" i="1"/>
  <c r="T8295" i="1"/>
  <c r="T8296" i="1"/>
  <c r="T8297" i="1"/>
  <c r="T8298" i="1"/>
  <c r="T8299" i="1"/>
  <c r="T8300" i="1"/>
  <c r="T8301" i="1"/>
  <c r="T8302" i="1"/>
  <c r="T8303" i="1"/>
  <c r="T8304" i="1"/>
  <c r="T8305" i="1"/>
  <c r="T8306" i="1"/>
  <c r="T8307" i="1"/>
  <c r="T8308" i="1"/>
  <c r="T8309" i="1"/>
  <c r="T8310" i="1"/>
  <c r="T8311" i="1"/>
  <c r="T8312" i="1"/>
  <c r="T8313" i="1"/>
  <c r="T8314" i="1"/>
  <c r="T8315" i="1"/>
  <c r="T8316" i="1"/>
  <c r="T8317" i="1"/>
  <c r="T8318" i="1"/>
  <c r="T8319" i="1"/>
  <c r="T8320" i="1"/>
  <c r="T8321" i="1"/>
  <c r="T8322" i="1"/>
  <c r="T8323" i="1"/>
  <c r="T8324" i="1"/>
  <c r="T8325" i="1"/>
  <c r="T8326" i="1"/>
  <c r="T8327" i="1"/>
  <c r="T8328" i="1"/>
  <c r="T8329" i="1"/>
  <c r="T8330" i="1"/>
  <c r="T8331" i="1"/>
  <c r="T8332" i="1"/>
  <c r="T8333" i="1"/>
  <c r="T8334" i="1"/>
  <c r="T8335" i="1"/>
  <c r="T8336" i="1"/>
  <c r="T8337" i="1"/>
  <c r="T8338" i="1"/>
  <c r="T8339" i="1"/>
  <c r="T8340" i="1"/>
  <c r="T8341" i="1"/>
  <c r="T8342" i="1"/>
  <c r="T8343" i="1"/>
  <c r="T8344" i="1"/>
  <c r="T8345" i="1"/>
  <c r="T8346" i="1"/>
  <c r="T8347" i="1"/>
  <c r="T8348" i="1"/>
  <c r="T8349" i="1"/>
  <c r="T8350" i="1"/>
  <c r="T8351" i="1"/>
  <c r="T8352" i="1"/>
  <c r="T8353" i="1"/>
  <c r="T8354" i="1"/>
  <c r="T8355" i="1"/>
  <c r="T8356" i="1"/>
  <c r="T8357" i="1"/>
  <c r="T8358" i="1"/>
  <c r="T8359" i="1"/>
  <c r="T8360" i="1"/>
  <c r="T8361" i="1"/>
  <c r="T8362" i="1"/>
  <c r="T8363" i="1"/>
  <c r="T8364" i="1"/>
  <c r="T8365" i="1"/>
  <c r="T8366" i="1"/>
  <c r="T8367" i="1"/>
  <c r="T8368" i="1"/>
  <c r="T8369" i="1"/>
  <c r="T8370" i="1"/>
  <c r="T8371" i="1"/>
  <c r="T8372" i="1"/>
  <c r="T8373" i="1"/>
  <c r="T8374" i="1"/>
  <c r="T8375" i="1"/>
  <c r="T8376" i="1"/>
  <c r="T8377" i="1"/>
  <c r="T8378" i="1"/>
  <c r="T8379" i="1"/>
  <c r="T8380" i="1"/>
  <c r="T8381" i="1"/>
  <c r="T8382" i="1"/>
  <c r="T8383" i="1"/>
  <c r="T8384" i="1"/>
  <c r="T8385" i="1"/>
  <c r="T8386" i="1"/>
  <c r="T8387" i="1"/>
  <c r="T8388" i="1"/>
  <c r="T8389" i="1"/>
  <c r="T8390" i="1"/>
  <c r="T8391" i="1"/>
  <c r="T8392" i="1"/>
  <c r="T8393" i="1"/>
  <c r="T8394" i="1"/>
  <c r="T8395" i="1"/>
  <c r="T8396" i="1"/>
  <c r="T8397" i="1"/>
  <c r="T8398" i="1"/>
  <c r="T8399" i="1"/>
  <c r="T8400" i="1"/>
  <c r="T8401" i="1"/>
  <c r="T8402" i="1"/>
  <c r="T8403" i="1"/>
  <c r="T8404" i="1"/>
  <c r="T8405" i="1"/>
  <c r="T8406" i="1"/>
  <c r="T8407" i="1"/>
  <c r="T8408" i="1"/>
  <c r="T8409" i="1"/>
  <c r="T8410" i="1"/>
  <c r="T8411" i="1"/>
  <c r="T8412" i="1"/>
  <c r="T8413" i="1"/>
  <c r="T8414" i="1"/>
  <c r="T8415" i="1"/>
  <c r="T8416" i="1"/>
  <c r="T8417" i="1"/>
  <c r="T8418" i="1"/>
  <c r="T8419" i="1"/>
  <c r="T8420" i="1"/>
  <c r="T8421" i="1"/>
  <c r="T8422" i="1"/>
  <c r="T8423" i="1"/>
  <c r="T8424" i="1"/>
  <c r="T8425" i="1"/>
  <c r="T8426" i="1"/>
  <c r="T8427" i="1"/>
  <c r="T8428" i="1"/>
  <c r="T8429" i="1"/>
  <c r="T8430" i="1"/>
  <c r="T8431" i="1"/>
  <c r="T8432" i="1"/>
  <c r="T8433" i="1"/>
  <c r="T8434" i="1"/>
  <c r="T8435" i="1"/>
  <c r="T8436" i="1"/>
  <c r="T8437" i="1"/>
  <c r="T8438" i="1"/>
  <c r="T8439" i="1"/>
  <c r="T8440" i="1"/>
  <c r="T8441" i="1"/>
  <c r="T8442" i="1"/>
  <c r="T8443" i="1"/>
  <c r="T8444" i="1"/>
  <c r="T8445" i="1"/>
  <c r="T8446" i="1"/>
  <c r="T8447" i="1"/>
  <c r="T8448" i="1"/>
  <c r="T8449" i="1"/>
  <c r="T8450" i="1"/>
  <c r="T8451" i="1"/>
  <c r="T8452" i="1"/>
  <c r="T8453" i="1"/>
  <c r="T8454" i="1"/>
  <c r="T8455" i="1"/>
  <c r="T8456" i="1"/>
  <c r="T8457" i="1"/>
  <c r="T8458" i="1"/>
  <c r="T8459" i="1"/>
  <c r="T8460" i="1"/>
  <c r="T8461" i="1"/>
  <c r="T8462" i="1"/>
  <c r="T8463" i="1"/>
  <c r="T8464" i="1"/>
  <c r="T8465" i="1"/>
  <c r="T8466" i="1"/>
  <c r="T8467" i="1"/>
  <c r="T8468" i="1"/>
  <c r="T8469" i="1"/>
  <c r="T8470" i="1"/>
  <c r="T8471" i="1"/>
  <c r="T8472" i="1"/>
  <c r="T8473" i="1"/>
  <c r="T8474" i="1"/>
  <c r="T8475" i="1"/>
  <c r="T8476" i="1"/>
  <c r="T8477" i="1"/>
  <c r="T8478" i="1"/>
  <c r="T8479" i="1"/>
  <c r="T8480" i="1"/>
  <c r="T8481" i="1"/>
  <c r="T8482" i="1"/>
  <c r="T8483" i="1"/>
  <c r="T8484" i="1"/>
  <c r="T8485" i="1"/>
  <c r="T8486" i="1"/>
  <c r="T8487" i="1"/>
  <c r="T8488" i="1"/>
  <c r="T8489" i="1"/>
  <c r="T8490" i="1"/>
  <c r="T8491" i="1"/>
  <c r="T8492" i="1"/>
  <c r="T8493" i="1"/>
  <c r="T8494" i="1"/>
  <c r="T8495" i="1"/>
  <c r="T8496" i="1"/>
  <c r="T8497" i="1"/>
  <c r="T8498" i="1"/>
  <c r="T8499" i="1"/>
  <c r="T8500" i="1"/>
  <c r="T8501" i="1"/>
  <c r="T8502" i="1"/>
  <c r="T8503" i="1"/>
  <c r="T8504" i="1"/>
  <c r="T8505" i="1"/>
  <c r="T8506" i="1"/>
  <c r="T8507" i="1"/>
  <c r="T8508" i="1"/>
  <c r="T8509" i="1"/>
  <c r="T8510" i="1"/>
  <c r="T8511" i="1"/>
  <c r="T8512" i="1"/>
  <c r="T8513" i="1"/>
  <c r="T8514" i="1"/>
  <c r="T8515" i="1"/>
  <c r="T8516" i="1"/>
  <c r="T8517" i="1"/>
  <c r="T8518" i="1"/>
  <c r="T8519" i="1"/>
  <c r="T8520" i="1"/>
  <c r="T8521" i="1"/>
  <c r="T8522" i="1"/>
  <c r="T8523" i="1"/>
  <c r="T8524" i="1"/>
  <c r="T8525" i="1"/>
  <c r="T8526" i="1"/>
  <c r="T8527" i="1"/>
  <c r="T8528" i="1"/>
  <c r="T8529" i="1"/>
  <c r="T8530" i="1"/>
  <c r="T8531" i="1"/>
  <c r="T8532" i="1"/>
  <c r="T8533" i="1"/>
  <c r="T8534" i="1"/>
  <c r="T8535" i="1"/>
  <c r="T8536" i="1"/>
  <c r="T8537" i="1"/>
  <c r="T8538" i="1"/>
  <c r="T8539" i="1"/>
  <c r="T8540" i="1"/>
  <c r="T8541" i="1"/>
  <c r="T8542" i="1"/>
  <c r="T8543" i="1"/>
  <c r="T8544" i="1"/>
  <c r="T8545" i="1"/>
  <c r="T8546" i="1"/>
  <c r="T8547" i="1"/>
  <c r="T8548" i="1"/>
  <c r="T8549" i="1"/>
  <c r="T8550" i="1"/>
  <c r="T8551" i="1"/>
  <c r="T8552" i="1"/>
  <c r="T8553" i="1"/>
  <c r="T8554" i="1"/>
  <c r="T8555" i="1"/>
  <c r="T8556" i="1"/>
  <c r="T8557" i="1"/>
  <c r="T8558" i="1"/>
  <c r="T8559" i="1"/>
  <c r="T8560" i="1"/>
  <c r="T8561" i="1"/>
  <c r="T8562" i="1"/>
  <c r="T8563" i="1"/>
  <c r="T8564" i="1"/>
  <c r="T8565" i="1"/>
  <c r="T8566" i="1"/>
  <c r="T8567" i="1"/>
  <c r="T8568" i="1"/>
  <c r="T8569" i="1"/>
  <c r="T8570" i="1"/>
  <c r="T8571" i="1"/>
  <c r="T8572" i="1"/>
  <c r="T8573" i="1"/>
  <c r="T8574" i="1"/>
  <c r="T8575" i="1"/>
  <c r="T8576" i="1"/>
  <c r="T8577" i="1"/>
  <c r="T8578" i="1"/>
  <c r="T8579" i="1"/>
  <c r="T8580" i="1"/>
  <c r="T8581" i="1"/>
  <c r="T8582" i="1"/>
  <c r="T8583" i="1"/>
  <c r="T8584" i="1"/>
  <c r="T8585" i="1"/>
  <c r="T8586" i="1"/>
  <c r="T8587" i="1"/>
  <c r="T8588" i="1"/>
  <c r="T8589" i="1"/>
  <c r="T8590" i="1"/>
  <c r="T8591" i="1"/>
  <c r="T8592" i="1"/>
  <c r="T8593" i="1"/>
  <c r="T8594" i="1"/>
  <c r="T8595" i="1"/>
  <c r="T8596" i="1"/>
  <c r="T8597" i="1"/>
  <c r="T8598" i="1"/>
  <c r="T8599" i="1"/>
  <c r="T8600" i="1"/>
  <c r="T8601" i="1"/>
  <c r="T8602" i="1"/>
  <c r="T8603" i="1"/>
  <c r="T8604" i="1"/>
  <c r="T8605" i="1"/>
  <c r="T8606" i="1"/>
  <c r="T8607" i="1"/>
  <c r="T8608" i="1"/>
  <c r="T8609" i="1"/>
  <c r="T8610" i="1"/>
  <c r="T8611" i="1"/>
  <c r="T8612" i="1"/>
  <c r="T8613" i="1"/>
  <c r="T8614" i="1"/>
  <c r="T8615" i="1"/>
  <c r="T8616" i="1"/>
  <c r="T8617" i="1"/>
  <c r="T8618" i="1"/>
  <c r="T8619" i="1"/>
  <c r="T8620" i="1"/>
  <c r="T8621" i="1"/>
  <c r="T8622" i="1"/>
  <c r="T8623" i="1"/>
  <c r="T8624" i="1"/>
  <c r="T8625" i="1"/>
  <c r="T8626" i="1"/>
  <c r="T8627" i="1"/>
  <c r="T8628" i="1"/>
  <c r="T8629" i="1"/>
  <c r="T8630" i="1"/>
  <c r="T8631" i="1"/>
  <c r="T8632" i="1"/>
  <c r="T8633" i="1"/>
  <c r="T8634" i="1"/>
  <c r="T8635" i="1"/>
  <c r="T8636" i="1"/>
  <c r="T8637" i="1"/>
  <c r="T8638" i="1"/>
  <c r="T8639" i="1"/>
  <c r="T8640" i="1"/>
  <c r="T8641" i="1"/>
  <c r="T8642" i="1"/>
  <c r="T8643" i="1"/>
  <c r="T8644" i="1"/>
  <c r="T8645" i="1"/>
  <c r="T8646" i="1"/>
  <c r="T8647" i="1"/>
  <c r="T8648" i="1"/>
  <c r="T8649" i="1"/>
  <c r="T8650" i="1"/>
  <c r="T8651" i="1"/>
  <c r="T8652" i="1"/>
  <c r="T8653" i="1"/>
  <c r="T8654" i="1"/>
  <c r="T8655" i="1"/>
  <c r="T8656" i="1"/>
  <c r="T8657" i="1"/>
  <c r="T8658" i="1"/>
  <c r="T8659" i="1"/>
  <c r="T8660" i="1"/>
  <c r="T8661" i="1"/>
  <c r="T8662" i="1"/>
  <c r="T8663" i="1"/>
  <c r="T8664" i="1"/>
  <c r="T8665" i="1"/>
  <c r="T8666" i="1"/>
  <c r="T8667" i="1"/>
  <c r="T8668" i="1"/>
  <c r="T8669" i="1"/>
  <c r="T8670" i="1"/>
  <c r="T8671" i="1"/>
  <c r="T8672" i="1"/>
  <c r="T8673" i="1"/>
  <c r="T8674" i="1"/>
  <c r="T8675" i="1"/>
  <c r="T8676" i="1"/>
  <c r="T8677" i="1"/>
  <c r="T8678" i="1"/>
  <c r="T8679" i="1"/>
  <c r="T8680" i="1"/>
  <c r="T8681" i="1"/>
  <c r="T8682" i="1"/>
  <c r="T8683" i="1"/>
  <c r="T8684" i="1"/>
  <c r="T8685" i="1"/>
  <c r="T8686" i="1"/>
  <c r="T8687" i="1"/>
  <c r="T8688" i="1"/>
  <c r="T8689" i="1"/>
  <c r="T8690" i="1"/>
  <c r="T8691" i="1"/>
  <c r="T8692" i="1"/>
  <c r="T8693" i="1"/>
  <c r="T8694" i="1"/>
  <c r="T8695" i="1"/>
  <c r="T8696" i="1"/>
  <c r="T8697" i="1"/>
  <c r="T8698" i="1"/>
  <c r="T8699" i="1"/>
  <c r="T8700" i="1"/>
  <c r="T8701" i="1"/>
  <c r="T8702" i="1"/>
  <c r="T8703" i="1"/>
  <c r="T8704" i="1"/>
  <c r="T8705" i="1"/>
  <c r="T8706" i="1"/>
  <c r="T8707" i="1"/>
  <c r="T8708" i="1"/>
  <c r="T8709" i="1"/>
  <c r="T8710" i="1"/>
  <c r="T8711" i="1"/>
  <c r="T8712" i="1"/>
  <c r="T8713" i="1"/>
  <c r="T8714" i="1"/>
  <c r="T8715" i="1"/>
  <c r="T8716" i="1"/>
  <c r="T8717" i="1"/>
  <c r="T8718" i="1"/>
  <c r="T8719" i="1"/>
  <c r="T8720" i="1"/>
  <c r="T8721" i="1"/>
  <c r="T8722" i="1"/>
  <c r="T8723" i="1"/>
  <c r="T8724" i="1"/>
  <c r="T8725" i="1"/>
  <c r="T8726" i="1"/>
  <c r="T8727" i="1"/>
  <c r="T8728" i="1"/>
  <c r="T8729" i="1"/>
  <c r="T8730" i="1"/>
  <c r="T8731" i="1"/>
  <c r="T8732" i="1"/>
  <c r="T8733" i="1"/>
  <c r="T8734" i="1"/>
  <c r="T8735" i="1"/>
  <c r="T8736" i="1"/>
  <c r="T8737" i="1"/>
  <c r="T8738" i="1"/>
  <c r="T8739" i="1"/>
  <c r="T8740" i="1"/>
  <c r="T8741" i="1"/>
  <c r="T8742" i="1"/>
  <c r="T8743" i="1"/>
  <c r="T8744" i="1"/>
  <c r="T8745" i="1"/>
  <c r="T8746" i="1"/>
  <c r="T8747" i="1"/>
  <c r="T8748" i="1"/>
  <c r="T8749" i="1"/>
  <c r="T8750" i="1"/>
  <c r="T8751" i="1"/>
  <c r="T8752" i="1"/>
  <c r="T8753" i="1"/>
  <c r="T8754" i="1"/>
  <c r="T8755" i="1"/>
  <c r="T8756" i="1"/>
  <c r="T8757" i="1"/>
  <c r="T8758" i="1"/>
  <c r="T8759" i="1"/>
  <c r="T8760" i="1"/>
  <c r="T8761" i="1"/>
  <c r="T8762" i="1"/>
  <c r="T8763" i="1"/>
  <c r="T8764" i="1"/>
  <c r="T8765" i="1"/>
  <c r="T8766" i="1"/>
  <c r="T8767" i="1"/>
  <c r="T8768" i="1"/>
  <c r="T8769" i="1"/>
  <c r="T8770" i="1"/>
  <c r="T8771" i="1"/>
  <c r="T8772" i="1"/>
  <c r="T8773" i="1"/>
  <c r="T8774" i="1"/>
  <c r="T8775" i="1"/>
  <c r="T8776" i="1"/>
  <c r="T8777" i="1"/>
  <c r="T8778" i="1"/>
  <c r="T8779" i="1"/>
  <c r="T8780" i="1"/>
  <c r="T8781" i="1"/>
  <c r="T8782" i="1"/>
  <c r="T8783" i="1"/>
  <c r="T8784" i="1"/>
  <c r="T8785" i="1"/>
  <c r="T8786" i="1"/>
  <c r="T8787" i="1"/>
  <c r="T8788" i="1"/>
  <c r="T8789" i="1"/>
  <c r="T8790" i="1"/>
  <c r="T8791" i="1"/>
  <c r="T8792" i="1"/>
  <c r="T8793" i="1"/>
  <c r="T8794" i="1"/>
  <c r="T8795" i="1"/>
  <c r="T8796" i="1"/>
  <c r="T8797" i="1"/>
  <c r="T8798" i="1"/>
  <c r="T8799" i="1"/>
  <c r="T8800" i="1"/>
  <c r="T8801" i="1"/>
  <c r="T8802" i="1"/>
  <c r="T8803" i="1"/>
  <c r="T8804" i="1"/>
  <c r="T8805" i="1"/>
  <c r="T8806" i="1"/>
  <c r="T8807" i="1"/>
  <c r="T8808" i="1"/>
  <c r="T8809" i="1"/>
  <c r="T8810" i="1"/>
  <c r="T8811" i="1"/>
  <c r="T8812" i="1"/>
  <c r="T8813" i="1"/>
  <c r="T8814" i="1"/>
  <c r="T8815" i="1"/>
  <c r="T8816" i="1"/>
  <c r="T8817" i="1"/>
  <c r="T8818" i="1"/>
  <c r="T8819" i="1"/>
  <c r="T8820" i="1"/>
  <c r="T8821" i="1"/>
  <c r="T8822" i="1"/>
  <c r="T8823" i="1"/>
  <c r="T8824" i="1"/>
  <c r="T8825" i="1"/>
  <c r="T8826" i="1"/>
  <c r="T8827" i="1"/>
  <c r="T8828" i="1"/>
  <c r="T8829" i="1"/>
  <c r="T8830" i="1"/>
  <c r="T8831" i="1"/>
  <c r="T8832" i="1"/>
  <c r="T8833" i="1"/>
  <c r="T8834" i="1"/>
  <c r="T8835" i="1"/>
  <c r="T8836" i="1"/>
  <c r="T8837" i="1"/>
  <c r="T8838" i="1"/>
  <c r="T8839" i="1"/>
  <c r="T8840" i="1"/>
  <c r="T8841" i="1"/>
  <c r="T8842" i="1"/>
  <c r="T8843" i="1"/>
  <c r="T8844" i="1"/>
  <c r="T8845" i="1"/>
  <c r="T8846" i="1"/>
  <c r="T8847" i="1"/>
  <c r="T8848" i="1"/>
  <c r="T8849" i="1"/>
  <c r="T8850" i="1"/>
  <c r="T8851" i="1"/>
  <c r="T8852" i="1"/>
  <c r="T8853" i="1"/>
  <c r="T8854" i="1"/>
  <c r="T8855" i="1"/>
  <c r="T8856" i="1"/>
  <c r="T8857" i="1"/>
  <c r="T8858" i="1"/>
  <c r="T8859" i="1"/>
  <c r="T8860" i="1"/>
  <c r="T8861" i="1"/>
  <c r="T8862" i="1"/>
  <c r="T8863" i="1"/>
  <c r="T8864" i="1"/>
  <c r="T8865" i="1"/>
  <c r="T8866" i="1"/>
  <c r="T8867" i="1"/>
  <c r="T8868" i="1"/>
  <c r="T8869" i="1"/>
  <c r="T8870" i="1"/>
  <c r="T8871" i="1"/>
  <c r="T8872" i="1"/>
  <c r="T8873" i="1"/>
  <c r="T8874" i="1"/>
  <c r="T8875" i="1"/>
  <c r="T8876" i="1"/>
  <c r="T8877" i="1"/>
  <c r="T8878" i="1"/>
  <c r="T8879" i="1"/>
  <c r="T8880" i="1"/>
  <c r="T8881" i="1"/>
  <c r="T8882" i="1"/>
  <c r="T8883" i="1"/>
  <c r="T8884" i="1"/>
  <c r="T8885" i="1"/>
  <c r="T8886" i="1"/>
  <c r="T8887" i="1"/>
  <c r="T8888" i="1"/>
  <c r="T8889" i="1"/>
  <c r="T8890" i="1"/>
  <c r="T8891" i="1"/>
  <c r="T8892" i="1"/>
  <c r="T8893" i="1"/>
  <c r="T8894" i="1"/>
  <c r="T8895" i="1"/>
  <c r="T8896" i="1"/>
  <c r="T8897" i="1"/>
  <c r="T8898" i="1"/>
  <c r="T8899" i="1"/>
  <c r="T8900" i="1"/>
  <c r="T8901" i="1"/>
  <c r="T8902" i="1"/>
  <c r="T8903" i="1"/>
  <c r="T8904" i="1"/>
  <c r="T8905" i="1"/>
  <c r="T8906" i="1"/>
  <c r="T8907" i="1"/>
  <c r="T8908" i="1"/>
  <c r="T8909" i="1"/>
  <c r="T8910" i="1"/>
  <c r="T8911" i="1"/>
  <c r="T8912" i="1"/>
  <c r="T8913" i="1"/>
  <c r="T8914" i="1"/>
  <c r="T8915" i="1"/>
  <c r="T8916" i="1"/>
  <c r="T8917" i="1"/>
  <c r="T8918" i="1"/>
  <c r="T8919" i="1"/>
  <c r="T8920" i="1"/>
  <c r="T8921" i="1"/>
  <c r="T8922" i="1"/>
  <c r="T8923" i="1"/>
  <c r="T8924" i="1"/>
  <c r="T8925" i="1"/>
  <c r="T8926" i="1"/>
  <c r="T8927" i="1"/>
  <c r="T8928" i="1"/>
  <c r="T8929" i="1"/>
  <c r="T8930" i="1"/>
  <c r="T8931" i="1"/>
  <c r="T8932" i="1"/>
  <c r="T8933" i="1"/>
  <c r="T8934" i="1"/>
  <c r="T8935" i="1"/>
  <c r="T8936" i="1"/>
  <c r="T8937" i="1"/>
  <c r="T8938" i="1"/>
  <c r="T8939" i="1"/>
  <c r="T8940" i="1"/>
  <c r="T8941" i="1"/>
  <c r="T8942" i="1"/>
  <c r="T8943" i="1"/>
  <c r="T8944" i="1"/>
  <c r="T8945" i="1"/>
  <c r="T8946" i="1"/>
  <c r="T8947" i="1"/>
  <c r="T8948" i="1"/>
  <c r="T8949" i="1"/>
  <c r="T8950" i="1"/>
  <c r="T8951" i="1"/>
  <c r="T8952" i="1"/>
  <c r="T8953" i="1"/>
  <c r="T8954" i="1"/>
  <c r="T8955" i="1"/>
  <c r="T8956" i="1"/>
  <c r="T8957" i="1"/>
  <c r="T8958" i="1"/>
  <c r="T8959" i="1"/>
  <c r="T8960" i="1"/>
  <c r="T8961" i="1"/>
  <c r="T8962" i="1"/>
  <c r="T8963" i="1"/>
  <c r="T8964" i="1"/>
  <c r="T8965" i="1"/>
  <c r="T8966" i="1"/>
  <c r="T8967" i="1"/>
  <c r="T8968" i="1"/>
  <c r="T8969" i="1"/>
  <c r="T8970" i="1"/>
  <c r="T8971" i="1"/>
  <c r="T8972" i="1"/>
  <c r="T8973" i="1"/>
  <c r="T8974" i="1"/>
  <c r="T8975" i="1"/>
  <c r="T8976" i="1"/>
  <c r="T8977" i="1"/>
  <c r="T8978" i="1"/>
  <c r="T8979" i="1"/>
  <c r="T8980" i="1"/>
  <c r="T8981" i="1"/>
  <c r="T8982" i="1"/>
  <c r="T8983" i="1"/>
  <c r="T8984" i="1"/>
  <c r="T8985" i="1"/>
  <c r="T8986" i="1"/>
  <c r="T8987" i="1"/>
  <c r="T8988" i="1"/>
  <c r="T8989" i="1"/>
  <c r="T8990" i="1"/>
  <c r="T8991" i="1"/>
  <c r="T8992" i="1"/>
  <c r="T8993" i="1"/>
  <c r="T8994" i="1"/>
  <c r="T8995" i="1"/>
  <c r="T8996" i="1"/>
  <c r="T8997" i="1"/>
  <c r="T8998" i="1"/>
  <c r="T8999" i="1"/>
  <c r="T9000" i="1"/>
  <c r="T9001" i="1"/>
  <c r="T9002" i="1"/>
  <c r="T9003" i="1"/>
  <c r="T9004" i="1"/>
  <c r="T9005" i="1"/>
  <c r="T9006" i="1"/>
  <c r="T9007" i="1"/>
  <c r="T9008" i="1"/>
  <c r="T9009" i="1"/>
  <c r="T9010" i="1"/>
  <c r="T9011" i="1"/>
  <c r="T9012" i="1"/>
  <c r="T9013" i="1"/>
  <c r="T9014" i="1"/>
  <c r="T9015" i="1"/>
  <c r="T9016" i="1"/>
  <c r="T9017" i="1"/>
  <c r="T9018" i="1"/>
  <c r="T9019" i="1"/>
  <c r="T9020" i="1"/>
  <c r="T9021" i="1"/>
  <c r="T9022" i="1"/>
  <c r="T9023" i="1"/>
  <c r="T9024" i="1"/>
  <c r="T9025" i="1"/>
  <c r="T9026" i="1"/>
  <c r="T9027" i="1"/>
  <c r="T9028" i="1"/>
  <c r="T9029" i="1"/>
  <c r="T9030" i="1"/>
  <c r="T9031" i="1"/>
  <c r="T9032" i="1"/>
  <c r="T9033" i="1"/>
  <c r="T9034" i="1"/>
  <c r="T9035" i="1"/>
  <c r="T9036" i="1"/>
  <c r="T9037" i="1"/>
  <c r="T9038" i="1"/>
  <c r="T9039" i="1"/>
  <c r="T9040" i="1"/>
  <c r="T9041" i="1"/>
  <c r="T9042" i="1"/>
  <c r="T9043" i="1"/>
  <c r="T9044" i="1"/>
  <c r="T9045" i="1"/>
  <c r="T9046" i="1"/>
  <c r="T9047" i="1"/>
  <c r="T9048" i="1"/>
  <c r="T9049" i="1"/>
  <c r="T9050" i="1"/>
  <c r="T9051" i="1"/>
  <c r="T9052" i="1"/>
  <c r="T9053" i="1"/>
  <c r="T9054" i="1"/>
  <c r="T9055" i="1"/>
  <c r="T9056" i="1"/>
  <c r="T9057" i="1"/>
  <c r="T9058" i="1"/>
  <c r="T9059" i="1"/>
  <c r="T9060" i="1"/>
  <c r="T9061" i="1"/>
  <c r="T9062" i="1"/>
  <c r="T9063" i="1"/>
  <c r="T9064" i="1"/>
  <c r="T9065" i="1"/>
  <c r="T9066" i="1"/>
  <c r="T9067" i="1"/>
  <c r="T9068" i="1"/>
  <c r="T9069" i="1"/>
  <c r="T9070" i="1"/>
  <c r="T9071" i="1"/>
  <c r="T9072" i="1"/>
  <c r="T9073" i="1"/>
  <c r="T9074" i="1"/>
  <c r="T9075" i="1"/>
  <c r="T9076" i="1"/>
  <c r="T9077" i="1"/>
  <c r="T9078" i="1"/>
  <c r="T9079" i="1"/>
  <c r="T9080" i="1"/>
  <c r="T9081" i="1"/>
  <c r="T9082" i="1"/>
  <c r="T9083" i="1"/>
  <c r="T9084" i="1"/>
  <c r="T9085" i="1"/>
  <c r="T9086" i="1"/>
  <c r="T9087" i="1"/>
  <c r="T9088" i="1"/>
  <c r="T9089" i="1"/>
  <c r="T9090" i="1"/>
  <c r="T9091" i="1"/>
  <c r="T9092" i="1"/>
  <c r="T9093" i="1"/>
  <c r="T9094" i="1"/>
  <c r="T9095" i="1"/>
  <c r="T9096" i="1"/>
  <c r="T9097" i="1"/>
  <c r="T9098" i="1"/>
  <c r="T9099" i="1"/>
  <c r="T9100" i="1"/>
  <c r="T9101" i="1"/>
  <c r="T9102" i="1"/>
  <c r="T9103" i="1"/>
  <c r="T9104" i="1"/>
  <c r="T9105" i="1"/>
  <c r="T9106" i="1"/>
  <c r="T9107" i="1"/>
  <c r="T9108" i="1"/>
  <c r="T9109" i="1"/>
  <c r="T9110" i="1"/>
  <c r="T9111" i="1"/>
  <c r="T9112" i="1"/>
  <c r="T9113" i="1"/>
  <c r="T9114" i="1"/>
  <c r="T9115" i="1"/>
  <c r="T9116" i="1"/>
  <c r="T9117" i="1"/>
  <c r="T9118" i="1"/>
  <c r="T9119" i="1"/>
  <c r="T9120" i="1"/>
  <c r="T9121" i="1"/>
  <c r="T9122" i="1"/>
  <c r="T9123" i="1"/>
  <c r="T9124" i="1"/>
  <c r="T9125" i="1"/>
  <c r="T9126" i="1"/>
  <c r="T9127" i="1"/>
  <c r="T9128" i="1"/>
  <c r="T9129" i="1"/>
  <c r="T9130" i="1"/>
  <c r="T9131" i="1"/>
  <c r="T9132" i="1"/>
  <c r="T9133" i="1"/>
  <c r="T9134" i="1"/>
  <c r="T9135" i="1"/>
  <c r="T9136" i="1"/>
  <c r="T9137" i="1"/>
  <c r="T9138" i="1"/>
  <c r="T9139" i="1"/>
  <c r="T9140" i="1"/>
  <c r="T9141" i="1"/>
  <c r="T9142" i="1"/>
  <c r="T9143" i="1"/>
  <c r="T9144" i="1"/>
  <c r="T9145" i="1"/>
  <c r="T9146" i="1"/>
  <c r="T9147" i="1"/>
  <c r="T9148" i="1"/>
  <c r="T9149" i="1"/>
  <c r="T9150" i="1"/>
  <c r="T9151" i="1"/>
  <c r="T9152" i="1"/>
  <c r="T9153" i="1"/>
  <c r="T9154" i="1"/>
  <c r="T9155" i="1"/>
  <c r="T9156" i="1"/>
  <c r="T9157" i="1"/>
  <c r="T9158" i="1"/>
  <c r="T9159" i="1"/>
  <c r="T9160" i="1"/>
  <c r="T9161" i="1"/>
  <c r="T9162" i="1"/>
  <c r="T9163" i="1"/>
  <c r="T9164" i="1"/>
  <c r="T9165" i="1"/>
  <c r="T9166" i="1"/>
  <c r="T9167" i="1"/>
  <c r="T9168" i="1"/>
  <c r="T9169" i="1"/>
  <c r="T9170" i="1"/>
  <c r="T9171" i="1"/>
  <c r="T9172" i="1"/>
  <c r="T9173" i="1"/>
  <c r="T9174" i="1"/>
  <c r="T9175" i="1"/>
  <c r="T9176" i="1"/>
  <c r="T9177" i="1"/>
  <c r="T9178" i="1"/>
  <c r="T9179" i="1"/>
  <c r="T9180" i="1"/>
  <c r="T9181" i="1"/>
  <c r="T9182" i="1"/>
  <c r="T9183" i="1"/>
  <c r="T9184" i="1"/>
  <c r="T9185" i="1"/>
  <c r="T9186" i="1"/>
  <c r="T9187" i="1"/>
  <c r="T9188" i="1"/>
  <c r="T9189" i="1"/>
  <c r="T9190" i="1"/>
  <c r="T9191" i="1"/>
  <c r="T9192" i="1"/>
  <c r="T9193" i="1"/>
  <c r="T9194" i="1"/>
  <c r="T9195" i="1"/>
  <c r="T9196" i="1"/>
  <c r="T9197" i="1"/>
  <c r="T9198" i="1"/>
  <c r="T9199" i="1"/>
  <c r="T9200" i="1"/>
  <c r="T9201" i="1"/>
  <c r="T9202" i="1"/>
  <c r="T9203" i="1"/>
  <c r="T9204" i="1"/>
  <c r="T9205" i="1"/>
  <c r="T9206" i="1"/>
  <c r="T9207" i="1"/>
  <c r="T9208" i="1"/>
  <c r="T9209" i="1"/>
  <c r="T9210" i="1"/>
  <c r="T9211" i="1"/>
  <c r="T9212" i="1"/>
  <c r="T9213" i="1"/>
  <c r="T9214" i="1"/>
  <c r="T9215" i="1"/>
  <c r="T9216" i="1"/>
  <c r="T9217" i="1"/>
  <c r="T9218" i="1"/>
  <c r="T9219" i="1"/>
  <c r="T9220" i="1"/>
  <c r="T9221" i="1"/>
  <c r="T9222" i="1"/>
  <c r="T9223" i="1"/>
  <c r="T9224" i="1"/>
  <c r="T9225" i="1"/>
  <c r="T9226" i="1"/>
  <c r="T9227" i="1"/>
  <c r="T9228" i="1"/>
  <c r="T9229" i="1"/>
  <c r="T9230" i="1"/>
  <c r="T9231" i="1"/>
  <c r="T9232" i="1"/>
  <c r="T9233" i="1"/>
  <c r="T9234" i="1"/>
  <c r="T9235" i="1"/>
  <c r="T9236" i="1"/>
  <c r="T9237" i="1"/>
  <c r="T9238" i="1"/>
  <c r="T9239" i="1"/>
  <c r="T9240" i="1"/>
  <c r="T9241" i="1"/>
  <c r="T9242" i="1"/>
  <c r="T9243" i="1"/>
  <c r="T9244" i="1"/>
  <c r="T9245" i="1"/>
  <c r="T9246" i="1"/>
  <c r="T9247" i="1"/>
  <c r="T9248" i="1"/>
  <c r="T9249" i="1"/>
  <c r="T9250" i="1"/>
  <c r="T9251" i="1"/>
  <c r="T9252" i="1"/>
  <c r="T9253" i="1"/>
  <c r="T9254" i="1"/>
  <c r="T9255" i="1"/>
  <c r="T9256" i="1"/>
  <c r="T9257" i="1"/>
  <c r="T9258" i="1"/>
  <c r="T9259" i="1"/>
  <c r="T9260" i="1"/>
  <c r="T9261" i="1"/>
  <c r="T9262" i="1"/>
  <c r="T9263" i="1"/>
  <c r="T9264" i="1"/>
  <c r="T9265" i="1"/>
  <c r="T9266" i="1"/>
  <c r="T9267" i="1"/>
  <c r="T9268" i="1"/>
  <c r="T9269" i="1"/>
  <c r="T9270" i="1"/>
  <c r="T9271" i="1"/>
  <c r="T9272" i="1"/>
  <c r="T9273" i="1"/>
  <c r="T9274" i="1"/>
  <c r="T9275" i="1"/>
  <c r="T9276" i="1"/>
  <c r="T9277" i="1"/>
  <c r="T9278" i="1"/>
  <c r="T9279" i="1"/>
  <c r="T9280" i="1"/>
  <c r="T9281" i="1"/>
  <c r="T9282" i="1"/>
  <c r="T9283" i="1"/>
  <c r="T9284" i="1"/>
  <c r="T9285" i="1"/>
  <c r="T9286" i="1"/>
  <c r="T9287" i="1"/>
  <c r="T9288" i="1"/>
  <c r="T9289" i="1"/>
  <c r="T9290" i="1"/>
  <c r="T9291" i="1"/>
  <c r="T9292" i="1"/>
  <c r="T9293" i="1"/>
  <c r="T9294" i="1"/>
  <c r="T9295" i="1"/>
  <c r="T9296" i="1"/>
  <c r="T9297" i="1"/>
  <c r="T9298" i="1"/>
  <c r="T9299" i="1"/>
  <c r="T9300" i="1"/>
  <c r="T9301" i="1"/>
  <c r="T9302" i="1"/>
  <c r="T9303" i="1"/>
  <c r="T9304" i="1"/>
  <c r="T9305" i="1"/>
  <c r="T9306" i="1"/>
  <c r="T9307" i="1"/>
  <c r="T9308" i="1"/>
  <c r="T9309" i="1"/>
  <c r="T9310" i="1"/>
  <c r="T9311" i="1"/>
  <c r="T9312" i="1"/>
  <c r="T9313" i="1"/>
  <c r="T9314" i="1"/>
  <c r="T9315" i="1"/>
  <c r="T9316" i="1"/>
  <c r="T9317" i="1"/>
  <c r="T9318" i="1"/>
  <c r="T9319" i="1"/>
  <c r="T9320" i="1"/>
  <c r="T9321" i="1"/>
  <c r="T9322" i="1"/>
  <c r="T9323" i="1"/>
  <c r="T9324" i="1"/>
  <c r="T9325" i="1"/>
  <c r="T9326" i="1"/>
  <c r="T9327" i="1"/>
  <c r="T9328" i="1"/>
  <c r="T9329" i="1"/>
  <c r="T9330" i="1"/>
  <c r="T9331" i="1"/>
  <c r="T9332" i="1"/>
  <c r="T9333" i="1"/>
  <c r="T9334" i="1"/>
  <c r="T9335" i="1"/>
  <c r="T9336" i="1"/>
  <c r="T9337" i="1"/>
  <c r="T9338" i="1"/>
  <c r="T9339" i="1"/>
  <c r="T9340" i="1"/>
  <c r="T9341" i="1"/>
  <c r="T9342" i="1"/>
  <c r="T9343" i="1"/>
  <c r="T9344" i="1"/>
  <c r="T9345" i="1"/>
  <c r="T9346" i="1"/>
  <c r="T9347" i="1"/>
  <c r="T9348" i="1"/>
  <c r="T9349" i="1"/>
  <c r="T9350" i="1"/>
  <c r="T9351" i="1"/>
  <c r="T9352" i="1"/>
  <c r="T9353" i="1"/>
  <c r="T9354" i="1"/>
  <c r="T9355" i="1"/>
  <c r="T9356" i="1"/>
  <c r="T9357" i="1"/>
  <c r="T9358" i="1"/>
  <c r="T9359" i="1"/>
  <c r="T9360" i="1"/>
  <c r="T9361" i="1"/>
  <c r="T9362" i="1"/>
  <c r="T9363" i="1"/>
  <c r="T9364" i="1"/>
  <c r="T9365" i="1"/>
  <c r="T9366" i="1"/>
  <c r="T9367" i="1"/>
  <c r="T9368" i="1"/>
  <c r="T9369" i="1"/>
  <c r="T9370" i="1"/>
  <c r="T9371" i="1"/>
  <c r="T9372" i="1"/>
  <c r="T9373" i="1"/>
  <c r="T9374" i="1"/>
  <c r="T9375" i="1"/>
  <c r="T9376" i="1"/>
  <c r="T9377" i="1"/>
  <c r="T9378" i="1"/>
  <c r="T9379" i="1"/>
  <c r="T9380" i="1"/>
  <c r="T9381" i="1"/>
  <c r="T9382" i="1"/>
  <c r="T9383" i="1"/>
  <c r="T9384" i="1"/>
  <c r="T9385" i="1"/>
  <c r="T9386" i="1"/>
  <c r="T9387" i="1"/>
  <c r="T9388" i="1"/>
  <c r="T9389" i="1"/>
  <c r="T9390" i="1"/>
  <c r="T9391" i="1"/>
  <c r="T9392" i="1"/>
  <c r="T9393" i="1"/>
  <c r="T9394" i="1"/>
  <c r="T9395" i="1"/>
  <c r="T9396" i="1"/>
  <c r="T9397" i="1"/>
  <c r="T9398" i="1"/>
  <c r="T9399" i="1"/>
  <c r="T9400" i="1"/>
  <c r="T9401" i="1"/>
  <c r="T9402" i="1"/>
  <c r="T9403" i="1"/>
  <c r="T9404" i="1"/>
  <c r="T9405" i="1"/>
  <c r="T9406" i="1"/>
  <c r="T9407" i="1"/>
  <c r="T9408" i="1"/>
  <c r="T9409" i="1"/>
  <c r="T9410" i="1"/>
  <c r="T9411" i="1"/>
  <c r="T9412" i="1"/>
  <c r="T9413" i="1"/>
  <c r="T9414" i="1"/>
  <c r="T9415" i="1"/>
  <c r="T9416" i="1"/>
  <c r="T9417" i="1"/>
  <c r="T9418" i="1"/>
  <c r="T9419" i="1"/>
  <c r="T9420" i="1"/>
  <c r="T9421" i="1"/>
  <c r="T9422" i="1"/>
  <c r="T9423" i="1"/>
  <c r="T9424" i="1"/>
  <c r="T9425" i="1"/>
  <c r="T9426" i="1"/>
  <c r="T9427" i="1"/>
  <c r="T9428" i="1"/>
  <c r="T9429" i="1"/>
  <c r="T9430" i="1"/>
  <c r="T9431" i="1"/>
  <c r="T9432" i="1"/>
  <c r="T9433" i="1"/>
  <c r="T9434" i="1"/>
  <c r="T9435" i="1"/>
  <c r="T9436" i="1"/>
  <c r="T9437" i="1"/>
  <c r="T9438" i="1"/>
  <c r="T9439" i="1"/>
  <c r="T9440" i="1"/>
  <c r="T9441" i="1"/>
  <c r="T9442" i="1"/>
  <c r="T9443" i="1"/>
  <c r="T9444" i="1"/>
  <c r="T9445" i="1"/>
  <c r="T9446" i="1"/>
  <c r="T9447" i="1"/>
  <c r="T9448" i="1"/>
  <c r="T9449" i="1"/>
  <c r="T9450" i="1"/>
  <c r="T9451" i="1"/>
  <c r="T9452" i="1"/>
  <c r="T9453" i="1"/>
  <c r="T9454" i="1"/>
  <c r="T9455" i="1"/>
  <c r="T9456" i="1"/>
  <c r="T9457" i="1"/>
  <c r="T9458" i="1"/>
  <c r="T9459" i="1"/>
  <c r="T9460" i="1"/>
  <c r="T9461" i="1"/>
  <c r="T9462" i="1"/>
  <c r="T9463" i="1"/>
  <c r="T9464" i="1"/>
  <c r="T9465" i="1"/>
  <c r="T9466" i="1"/>
  <c r="T9467" i="1"/>
  <c r="T9468" i="1"/>
  <c r="T9469" i="1"/>
  <c r="T9470" i="1"/>
  <c r="T9471" i="1"/>
  <c r="T9472" i="1"/>
  <c r="T9473" i="1"/>
  <c r="T9474" i="1"/>
  <c r="T9475" i="1"/>
  <c r="T9476" i="1"/>
  <c r="T9477" i="1"/>
  <c r="T9478" i="1"/>
  <c r="T9479" i="1"/>
  <c r="T9480" i="1"/>
  <c r="T9481" i="1"/>
  <c r="T9482" i="1"/>
  <c r="T9483" i="1"/>
  <c r="T9484" i="1"/>
  <c r="T9485" i="1"/>
  <c r="T9486" i="1"/>
  <c r="T9487" i="1"/>
  <c r="T9488" i="1"/>
  <c r="T9489" i="1"/>
  <c r="T9490" i="1"/>
  <c r="T9491" i="1"/>
  <c r="T9492" i="1"/>
  <c r="T9493" i="1"/>
  <c r="T9494" i="1"/>
  <c r="T9495" i="1"/>
  <c r="T9496" i="1"/>
  <c r="T9497" i="1"/>
  <c r="T9498" i="1"/>
  <c r="T9499" i="1"/>
  <c r="T9500" i="1"/>
  <c r="T9501" i="1"/>
  <c r="T9502" i="1"/>
  <c r="T9503" i="1"/>
  <c r="T9504" i="1"/>
  <c r="T9505" i="1"/>
  <c r="T9506" i="1"/>
  <c r="T9507" i="1"/>
  <c r="T9508" i="1"/>
  <c r="T9509" i="1"/>
  <c r="T9510" i="1"/>
  <c r="T9511" i="1"/>
  <c r="T9512" i="1"/>
  <c r="T9513" i="1"/>
  <c r="T9514" i="1"/>
  <c r="T9515" i="1"/>
  <c r="T9516" i="1"/>
  <c r="T9517" i="1"/>
  <c r="T9518" i="1"/>
  <c r="T9519" i="1"/>
  <c r="T9520" i="1"/>
  <c r="T9521" i="1"/>
  <c r="T9522" i="1"/>
  <c r="T9523" i="1"/>
  <c r="T9524" i="1"/>
  <c r="T9525" i="1"/>
  <c r="T9526" i="1"/>
  <c r="T9527" i="1"/>
  <c r="T9528" i="1"/>
  <c r="T9529" i="1"/>
  <c r="T9530" i="1"/>
  <c r="T9531" i="1"/>
  <c r="T9532" i="1"/>
  <c r="T9533" i="1"/>
  <c r="T9534" i="1"/>
  <c r="T9535" i="1"/>
  <c r="T9536" i="1"/>
  <c r="T9537" i="1"/>
  <c r="T9538" i="1"/>
  <c r="T9539" i="1"/>
  <c r="T9540" i="1"/>
  <c r="T9541" i="1"/>
  <c r="T9542" i="1"/>
  <c r="T9543" i="1"/>
  <c r="T9544" i="1"/>
  <c r="T9545" i="1"/>
  <c r="T9546" i="1"/>
  <c r="T9547" i="1"/>
  <c r="T9548" i="1"/>
  <c r="T9549" i="1"/>
  <c r="T9550" i="1"/>
  <c r="T9551" i="1"/>
  <c r="T9552" i="1"/>
  <c r="T9553" i="1"/>
  <c r="T9554" i="1"/>
  <c r="T9555" i="1"/>
  <c r="T9556" i="1"/>
  <c r="T9557" i="1"/>
  <c r="T9558" i="1"/>
  <c r="T9559" i="1"/>
  <c r="T9560" i="1"/>
  <c r="T9561" i="1"/>
  <c r="T9562" i="1"/>
  <c r="T9563" i="1"/>
  <c r="T9564" i="1"/>
  <c r="T9565" i="1"/>
  <c r="T9566" i="1"/>
  <c r="T9567" i="1"/>
  <c r="T9568" i="1"/>
  <c r="T9569" i="1"/>
  <c r="T9570" i="1"/>
  <c r="T9571" i="1"/>
  <c r="T9572" i="1"/>
  <c r="T9573" i="1"/>
  <c r="T9574" i="1"/>
  <c r="T9575" i="1"/>
  <c r="T9576" i="1"/>
  <c r="T9577" i="1"/>
  <c r="T9578" i="1"/>
  <c r="T9579" i="1"/>
  <c r="T9580" i="1"/>
  <c r="T9581" i="1"/>
  <c r="T9582" i="1"/>
  <c r="T9583" i="1"/>
  <c r="T9584" i="1"/>
  <c r="T9585" i="1"/>
  <c r="T9586" i="1"/>
  <c r="T9587" i="1"/>
  <c r="T9588" i="1"/>
  <c r="T9589" i="1"/>
  <c r="T9590" i="1"/>
  <c r="T9591" i="1"/>
  <c r="T9592" i="1"/>
  <c r="T9593" i="1"/>
  <c r="T9594" i="1"/>
  <c r="T9595" i="1"/>
  <c r="T9596" i="1"/>
  <c r="T9597" i="1"/>
  <c r="T9598" i="1"/>
  <c r="T9599" i="1"/>
  <c r="T9600" i="1"/>
  <c r="T9601" i="1"/>
  <c r="T9602" i="1"/>
  <c r="T9603" i="1"/>
  <c r="T9604" i="1"/>
  <c r="T9605" i="1"/>
  <c r="T9606" i="1"/>
  <c r="T9607" i="1"/>
  <c r="T9608" i="1"/>
  <c r="T9609" i="1"/>
  <c r="T9610" i="1"/>
  <c r="T9611" i="1"/>
  <c r="T9612" i="1"/>
  <c r="T9613" i="1"/>
  <c r="T9614" i="1"/>
  <c r="T9615" i="1"/>
  <c r="T9616" i="1"/>
  <c r="T9617" i="1"/>
  <c r="T9618" i="1"/>
  <c r="T9619" i="1"/>
  <c r="T9620" i="1"/>
  <c r="T9621" i="1"/>
  <c r="T9622" i="1"/>
  <c r="T9623" i="1"/>
  <c r="T9624" i="1"/>
  <c r="T9625" i="1"/>
  <c r="T9626" i="1"/>
  <c r="T9627" i="1"/>
  <c r="T9628" i="1"/>
  <c r="T9629" i="1"/>
  <c r="T9630" i="1"/>
  <c r="T9631" i="1"/>
  <c r="T9632" i="1"/>
  <c r="T9633" i="1"/>
  <c r="T9634" i="1"/>
  <c r="T9635" i="1"/>
  <c r="T9636" i="1"/>
  <c r="T9637" i="1"/>
  <c r="T9638" i="1"/>
  <c r="T9639" i="1"/>
  <c r="T9640" i="1"/>
  <c r="T9641" i="1"/>
  <c r="T9642" i="1"/>
  <c r="T9643" i="1"/>
  <c r="T9644" i="1"/>
  <c r="T9645" i="1"/>
  <c r="T9646" i="1"/>
  <c r="T9647" i="1"/>
  <c r="T9648" i="1"/>
  <c r="T9649" i="1"/>
  <c r="T9650" i="1"/>
  <c r="T9651" i="1"/>
  <c r="T9652" i="1"/>
  <c r="T9653" i="1"/>
  <c r="T9654" i="1"/>
  <c r="T9655" i="1"/>
  <c r="T9656" i="1"/>
  <c r="T9657" i="1"/>
  <c r="T9658" i="1"/>
  <c r="T9659" i="1"/>
  <c r="T9660" i="1"/>
  <c r="T9661" i="1"/>
  <c r="T9662" i="1"/>
  <c r="T9663" i="1"/>
  <c r="T9664" i="1"/>
  <c r="T9665" i="1"/>
  <c r="T9666" i="1"/>
  <c r="T9667" i="1"/>
  <c r="T9668" i="1"/>
  <c r="T9669" i="1"/>
  <c r="T9670" i="1"/>
  <c r="T9671" i="1"/>
  <c r="T9672" i="1"/>
  <c r="T9673" i="1"/>
  <c r="T9674" i="1"/>
  <c r="T9675" i="1"/>
  <c r="T9676" i="1"/>
  <c r="T9677" i="1"/>
  <c r="T9678" i="1"/>
  <c r="T9679" i="1"/>
  <c r="T9680" i="1"/>
  <c r="T9681" i="1"/>
  <c r="T9682" i="1"/>
  <c r="T9683" i="1"/>
  <c r="T9684" i="1"/>
  <c r="T9685" i="1"/>
  <c r="T9686" i="1"/>
  <c r="T9687" i="1"/>
  <c r="T9688" i="1"/>
  <c r="T9689" i="1"/>
  <c r="T9690" i="1"/>
  <c r="T9691" i="1"/>
  <c r="T9692" i="1"/>
  <c r="T9693" i="1"/>
  <c r="T9694" i="1"/>
  <c r="T9695" i="1"/>
  <c r="T9696" i="1"/>
  <c r="T9697" i="1"/>
  <c r="T9698" i="1"/>
  <c r="T9699" i="1"/>
  <c r="T9700" i="1"/>
  <c r="T9701" i="1"/>
  <c r="T9702" i="1"/>
  <c r="T9703" i="1"/>
  <c r="T9704" i="1"/>
  <c r="T9705" i="1"/>
  <c r="T9706" i="1"/>
  <c r="T9707" i="1"/>
  <c r="T9708" i="1"/>
  <c r="T9709" i="1"/>
  <c r="T9710" i="1"/>
  <c r="T9711" i="1"/>
  <c r="T9712" i="1"/>
  <c r="T9713" i="1"/>
  <c r="T9714" i="1"/>
  <c r="T9715" i="1"/>
  <c r="T9716" i="1"/>
  <c r="T9717" i="1"/>
  <c r="T9718" i="1"/>
  <c r="T9719" i="1"/>
  <c r="T9720" i="1"/>
  <c r="T9721" i="1"/>
  <c r="T9722" i="1"/>
  <c r="T9723" i="1"/>
  <c r="T9724" i="1"/>
  <c r="T9725" i="1"/>
  <c r="T9726" i="1"/>
  <c r="T9727" i="1"/>
  <c r="T9728" i="1"/>
  <c r="T9729" i="1"/>
  <c r="T9730" i="1"/>
  <c r="T9731" i="1"/>
  <c r="T9732" i="1"/>
  <c r="T9733" i="1"/>
  <c r="T9734" i="1"/>
  <c r="T9735" i="1"/>
  <c r="T9736" i="1"/>
  <c r="T9737" i="1"/>
  <c r="T9738" i="1"/>
  <c r="T9739" i="1"/>
  <c r="T9740" i="1"/>
  <c r="T9741" i="1"/>
  <c r="T9742" i="1"/>
  <c r="T9743" i="1"/>
  <c r="T9744" i="1"/>
  <c r="T9745" i="1"/>
  <c r="T9746" i="1"/>
  <c r="T9747" i="1"/>
  <c r="T9748" i="1"/>
  <c r="T9749" i="1"/>
  <c r="T9750" i="1"/>
  <c r="T9751" i="1"/>
  <c r="T9752" i="1"/>
  <c r="T9753" i="1"/>
  <c r="T9754" i="1"/>
  <c r="T9755" i="1"/>
  <c r="T9756" i="1"/>
  <c r="T9757" i="1"/>
  <c r="T9758" i="1"/>
  <c r="T9759" i="1"/>
  <c r="T9760" i="1"/>
  <c r="T9761" i="1"/>
  <c r="T9762" i="1"/>
  <c r="T9763" i="1"/>
  <c r="T9764" i="1"/>
  <c r="T9765" i="1"/>
  <c r="T9766" i="1"/>
  <c r="T9767" i="1"/>
  <c r="T9768" i="1"/>
  <c r="T9769" i="1"/>
  <c r="T9770" i="1"/>
  <c r="T9771" i="1"/>
  <c r="T9772" i="1"/>
  <c r="T9773" i="1"/>
  <c r="T9774" i="1"/>
  <c r="T9775" i="1"/>
  <c r="T9776" i="1"/>
  <c r="T9777" i="1"/>
  <c r="T9778" i="1"/>
  <c r="T9779" i="1"/>
  <c r="T9780" i="1"/>
  <c r="T9781" i="1"/>
  <c r="T9782" i="1"/>
  <c r="T9783" i="1"/>
  <c r="T9784" i="1"/>
  <c r="T9785" i="1"/>
  <c r="T9786" i="1"/>
  <c r="T9787" i="1"/>
  <c r="T9788" i="1"/>
  <c r="T9789" i="1"/>
  <c r="T9790" i="1"/>
  <c r="T9791" i="1"/>
  <c r="T9792" i="1"/>
  <c r="T9793" i="1"/>
  <c r="T9794" i="1"/>
  <c r="T9795" i="1"/>
  <c r="T9796" i="1"/>
  <c r="T9797" i="1"/>
  <c r="T9798" i="1"/>
  <c r="T9799" i="1"/>
  <c r="T9800" i="1"/>
  <c r="T9801" i="1"/>
  <c r="T9802" i="1"/>
  <c r="T9803" i="1"/>
  <c r="T9804" i="1"/>
  <c r="T9805" i="1"/>
  <c r="T9806" i="1"/>
  <c r="T9807" i="1"/>
  <c r="T9808" i="1"/>
  <c r="T9809" i="1"/>
  <c r="T9810" i="1"/>
  <c r="T9811" i="1"/>
  <c r="T9812" i="1"/>
  <c r="T9813" i="1"/>
  <c r="T9814" i="1"/>
  <c r="T9815" i="1"/>
  <c r="T9816" i="1"/>
  <c r="T9817" i="1"/>
  <c r="T9818" i="1"/>
  <c r="T9819" i="1"/>
  <c r="T9820" i="1"/>
  <c r="T9821" i="1"/>
  <c r="T9822" i="1"/>
  <c r="T9823" i="1"/>
  <c r="T9824" i="1"/>
  <c r="T9825" i="1"/>
  <c r="T9826" i="1"/>
  <c r="T9827" i="1"/>
  <c r="T9828" i="1"/>
  <c r="T9829" i="1"/>
  <c r="T9830" i="1"/>
  <c r="T9831" i="1"/>
  <c r="T9832" i="1"/>
  <c r="T9833" i="1"/>
  <c r="T9834" i="1"/>
  <c r="T9835" i="1"/>
  <c r="T9836" i="1"/>
  <c r="T9837" i="1"/>
  <c r="T9838" i="1"/>
  <c r="T9839" i="1"/>
  <c r="T9840" i="1"/>
  <c r="T9841" i="1"/>
  <c r="T9842" i="1"/>
  <c r="T9843" i="1"/>
  <c r="T9844" i="1"/>
  <c r="T9845" i="1"/>
  <c r="T9846" i="1"/>
  <c r="T9847" i="1"/>
  <c r="T9848" i="1"/>
  <c r="T9849" i="1"/>
  <c r="T9850" i="1"/>
  <c r="T9851" i="1"/>
  <c r="T9852" i="1"/>
  <c r="T9853" i="1"/>
  <c r="T9854" i="1"/>
  <c r="T9855" i="1"/>
  <c r="T9856" i="1"/>
  <c r="T9857" i="1"/>
  <c r="T9858" i="1"/>
  <c r="T9859" i="1"/>
  <c r="T9860" i="1"/>
  <c r="T9861" i="1"/>
  <c r="T9862" i="1"/>
  <c r="T9863" i="1"/>
  <c r="T9864" i="1"/>
  <c r="T9865" i="1"/>
  <c r="T9866" i="1"/>
  <c r="T9867" i="1"/>
  <c r="T9868" i="1"/>
  <c r="T9869" i="1"/>
  <c r="T9870" i="1"/>
  <c r="T9871" i="1"/>
  <c r="T9872" i="1"/>
  <c r="T9873" i="1"/>
  <c r="T9874" i="1"/>
  <c r="T9875" i="1"/>
  <c r="T9876" i="1"/>
  <c r="T9877" i="1"/>
  <c r="T9878" i="1"/>
  <c r="T9879" i="1"/>
  <c r="T9880" i="1"/>
  <c r="T9881" i="1"/>
  <c r="T9882" i="1"/>
  <c r="T9883" i="1"/>
  <c r="T9884" i="1"/>
  <c r="T9885" i="1"/>
  <c r="T9886" i="1"/>
  <c r="T9887" i="1"/>
  <c r="T9888" i="1"/>
  <c r="T9889" i="1"/>
  <c r="T9890" i="1"/>
  <c r="T9891" i="1"/>
  <c r="T9892" i="1"/>
  <c r="T9893" i="1"/>
  <c r="T9894" i="1"/>
  <c r="T9895" i="1"/>
  <c r="T9896" i="1"/>
  <c r="T9897" i="1"/>
  <c r="T9898" i="1"/>
  <c r="T9899" i="1"/>
  <c r="T9900" i="1"/>
  <c r="T9901" i="1"/>
  <c r="T9902" i="1"/>
  <c r="T9903" i="1"/>
  <c r="T9904" i="1"/>
  <c r="T9905" i="1"/>
  <c r="T9906" i="1"/>
  <c r="T9907" i="1"/>
  <c r="T9908" i="1"/>
  <c r="T9909" i="1"/>
  <c r="T9910" i="1"/>
  <c r="T9911" i="1"/>
  <c r="T9912" i="1"/>
  <c r="T9913" i="1"/>
  <c r="T9914" i="1"/>
  <c r="T9915" i="1"/>
  <c r="T9916" i="1"/>
  <c r="T9917" i="1"/>
  <c r="T9918" i="1"/>
  <c r="T9919" i="1"/>
  <c r="T9920" i="1"/>
  <c r="T9921" i="1"/>
  <c r="T9922" i="1"/>
  <c r="T9923" i="1"/>
  <c r="T9924" i="1"/>
  <c r="T9925" i="1"/>
  <c r="T9926" i="1"/>
  <c r="T9927" i="1"/>
  <c r="T9928" i="1"/>
  <c r="T9929" i="1"/>
  <c r="T9930" i="1"/>
  <c r="T9931" i="1"/>
  <c r="T9932" i="1"/>
  <c r="T9933" i="1"/>
  <c r="T9934" i="1"/>
  <c r="T9935" i="1"/>
  <c r="T9936" i="1"/>
  <c r="T9937" i="1"/>
  <c r="T9938" i="1"/>
  <c r="T9939" i="1"/>
  <c r="T9940" i="1"/>
  <c r="T9941" i="1"/>
  <c r="T9942" i="1"/>
  <c r="T9943" i="1"/>
  <c r="T9944" i="1"/>
  <c r="T9945" i="1"/>
  <c r="T9946" i="1"/>
  <c r="T9947" i="1"/>
  <c r="T9948" i="1"/>
  <c r="T9949" i="1"/>
  <c r="T9950" i="1"/>
  <c r="T9951" i="1"/>
  <c r="T9952" i="1"/>
  <c r="T9953" i="1"/>
  <c r="T9954" i="1"/>
  <c r="T9955" i="1"/>
  <c r="T9956" i="1"/>
  <c r="T9957" i="1"/>
  <c r="T9958" i="1"/>
  <c r="T9959" i="1"/>
  <c r="T9960" i="1"/>
  <c r="T9961" i="1"/>
  <c r="T9962" i="1"/>
  <c r="T9963" i="1"/>
  <c r="T9964" i="1"/>
  <c r="T9965" i="1"/>
  <c r="T9966" i="1"/>
  <c r="T9967" i="1"/>
  <c r="T9968" i="1"/>
  <c r="T9969" i="1"/>
  <c r="T9970" i="1"/>
  <c r="T9971" i="1"/>
  <c r="T9972" i="1"/>
  <c r="T9973" i="1"/>
  <c r="T9974" i="1"/>
  <c r="T9975" i="1"/>
  <c r="T9976" i="1"/>
  <c r="T9977" i="1"/>
  <c r="T9978" i="1"/>
  <c r="T9979" i="1"/>
  <c r="T9980" i="1"/>
  <c r="T9981" i="1"/>
  <c r="T9982" i="1"/>
  <c r="T9983" i="1"/>
  <c r="T9984" i="1"/>
  <c r="T9985" i="1"/>
  <c r="T9986" i="1"/>
  <c r="T9987" i="1"/>
  <c r="T9988" i="1"/>
  <c r="T9989" i="1"/>
  <c r="T9990" i="1"/>
  <c r="T9991" i="1"/>
  <c r="T9992" i="1"/>
  <c r="T9993" i="1"/>
  <c r="T9994" i="1"/>
  <c r="T9995" i="1"/>
  <c r="T9996" i="1"/>
  <c r="T9997" i="1"/>
  <c r="T9998" i="1"/>
  <c r="T9999" i="1"/>
  <c r="T10000" i="1"/>
  <c r="T10001" i="1"/>
  <c r="T10002" i="1"/>
  <c r="T10003" i="1"/>
  <c r="T10004" i="1"/>
  <c r="T10005" i="1"/>
  <c r="T10006" i="1"/>
  <c r="T10007" i="1"/>
  <c r="T10008" i="1"/>
  <c r="T10009" i="1"/>
  <c r="T10010" i="1"/>
  <c r="T10011" i="1"/>
  <c r="T10012" i="1"/>
  <c r="T10013" i="1"/>
  <c r="T10014" i="1"/>
  <c r="T10015" i="1"/>
  <c r="T10016" i="1"/>
  <c r="T10017" i="1"/>
  <c r="T10018" i="1"/>
  <c r="T10019" i="1"/>
  <c r="T10020" i="1"/>
  <c r="T10021" i="1"/>
  <c r="T10022" i="1"/>
  <c r="T10023" i="1"/>
  <c r="T10024" i="1"/>
  <c r="T10025" i="1"/>
  <c r="T10026" i="1"/>
  <c r="T10027" i="1"/>
  <c r="T10028" i="1"/>
  <c r="T10029" i="1"/>
  <c r="T10030" i="1"/>
  <c r="T10031" i="1"/>
  <c r="T10032" i="1"/>
  <c r="T10033" i="1"/>
  <c r="T10034" i="1"/>
  <c r="T10035" i="1"/>
  <c r="T10036" i="1"/>
  <c r="T10037" i="1"/>
  <c r="T10038" i="1"/>
  <c r="T10039" i="1"/>
  <c r="T10040" i="1"/>
  <c r="T10041" i="1"/>
  <c r="T10042" i="1"/>
  <c r="T10043" i="1"/>
  <c r="T10044" i="1"/>
  <c r="T10045" i="1"/>
  <c r="T10046" i="1"/>
  <c r="T10047" i="1"/>
  <c r="T10048" i="1"/>
  <c r="T10049" i="1"/>
  <c r="T10050" i="1"/>
  <c r="T10051" i="1"/>
  <c r="T10052" i="1"/>
  <c r="T10053" i="1"/>
  <c r="T10054" i="1"/>
  <c r="T10055" i="1"/>
  <c r="T10056" i="1"/>
  <c r="T10057" i="1"/>
  <c r="T10058" i="1"/>
  <c r="T10059" i="1"/>
  <c r="T10060" i="1"/>
  <c r="T10061" i="1"/>
  <c r="T10062" i="1"/>
  <c r="T10063" i="1"/>
  <c r="T10064" i="1"/>
  <c r="T10065" i="1"/>
  <c r="T10066" i="1"/>
  <c r="T10067" i="1"/>
  <c r="T10068" i="1"/>
  <c r="T10069" i="1"/>
  <c r="T10070" i="1"/>
  <c r="T10071" i="1"/>
  <c r="T10072" i="1"/>
  <c r="T10073" i="1"/>
  <c r="T10074" i="1"/>
  <c r="T10075" i="1"/>
  <c r="T10076" i="1"/>
  <c r="T10077" i="1"/>
  <c r="T10078" i="1"/>
  <c r="T10079" i="1"/>
  <c r="T10080" i="1"/>
  <c r="T10081" i="1"/>
  <c r="T10082" i="1"/>
  <c r="T10083" i="1"/>
  <c r="T10084" i="1"/>
  <c r="T10085" i="1"/>
  <c r="T10086" i="1"/>
  <c r="T10087" i="1"/>
  <c r="T10088" i="1"/>
  <c r="T10089" i="1"/>
  <c r="T10090" i="1"/>
  <c r="T10091" i="1"/>
  <c r="T10092" i="1"/>
  <c r="T10093" i="1"/>
  <c r="T10094" i="1"/>
  <c r="T10095" i="1"/>
  <c r="T10096" i="1"/>
  <c r="T10097" i="1"/>
  <c r="T10098" i="1"/>
  <c r="T10099" i="1"/>
  <c r="T10100" i="1"/>
  <c r="T10101" i="1"/>
  <c r="T10102" i="1"/>
  <c r="T10103" i="1"/>
  <c r="T10104" i="1"/>
  <c r="T10105" i="1"/>
  <c r="T10106" i="1"/>
  <c r="T10107" i="1"/>
  <c r="T10108" i="1"/>
  <c r="T10109" i="1"/>
  <c r="T10110" i="1"/>
  <c r="T10111" i="1"/>
  <c r="T10112" i="1"/>
  <c r="T10113" i="1"/>
  <c r="T10114" i="1"/>
  <c r="T10115" i="1"/>
  <c r="T10116" i="1"/>
  <c r="T10117" i="1"/>
  <c r="T10118" i="1"/>
  <c r="T10119" i="1"/>
  <c r="T10120" i="1"/>
  <c r="T10121" i="1"/>
  <c r="T10122" i="1"/>
  <c r="T10123" i="1"/>
  <c r="T10124" i="1"/>
  <c r="T10125" i="1"/>
  <c r="T10126" i="1"/>
  <c r="T10127" i="1"/>
  <c r="T10128" i="1"/>
  <c r="T10129" i="1"/>
  <c r="T10130" i="1"/>
  <c r="T10131" i="1"/>
  <c r="T10132" i="1"/>
  <c r="T10133" i="1"/>
  <c r="T10134" i="1"/>
  <c r="T10135" i="1"/>
  <c r="T10136" i="1"/>
  <c r="T10137" i="1"/>
  <c r="T10138" i="1"/>
  <c r="T10139" i="1"/>
  <c r="T10140" i="1"/>
  <c r="T10141" i="1"/>
  <c r="T10142" i="1"/>
  <c r="T10143" i="1"/>
  <c r="T10144" i="1"/>
  <c r="T10145" i="1"/>
  <c r="T10146" i="1"/>
  <c r="T10147" i="1"/>
  <c r="T10148" i="1"/>
  <c r="T10149" i="1"/>
  <c r="T10150" i="1"/>
  <c r="T10151" i="1"/>
  <c r="T10152" i="1"/>
  <c r="T10153" i="1"/>
  <c r="T10154" i="1"/>
  <c r="T10155" i="1"/>
  <c r="T10156" i="1"/>
  <c r="T10157" i="1"/>
  <c r="T10158" i="1"/>
  <c r="T10159" i="1"/>
  <c r="T10160" i="1"/>
  <c r="T10161" i="1"/>
  <c r="T10162" i="1"/>
  <c r="T10163" i="1"/>
  <c r="T10164" i="1"/>
  <c r="T10165" i="1"/>
  <c r="T10166" i="1"/>
  <c r="T10167" i="1"/>
  <c r="T10168" i="1"/>
  <c r="T10169" i="1"/>
  <c r="T10170" i="1"/>
  <c r="T10171" i="1"/>
  <c r="T10172" i="1"/>
  <c r="T10173" i="1"/>
  <c r="T10174" i="1"/>
  <c r="T10175" i="1"/>
  <c r="T10176" i="1"/>
  <c r="T10177" i="1"/>
  <c r="T10178" i="1"/>
  <c r="T10179" i="1"/>
  <c r="T10180" i="1"/>
  <c r="T10181" i="1"/>
  <c r="T10182" i="1"/>
  <c r="T10183" i="1"/>
  <c r="T10184" i="1"/>
  <c r="T10185" i="1"/>
  <c r="T10186" i="1"/>
  <c r="T10187" i="1"/>
  <c r="T10188" i="1"/>
  <c r="T10189" i="1"/>
  <c r="T10190" i="1"/>
  <c r="T10191" i="1"/>
  <c r="T10192" i="1"/>
  <c r="T10193" i="1"/>
  <c r="T10194" i="1"/>
  <c r="T10195" i="1"/>
  <c r="T10196" i="1"/>
  <c r="T10197" i="1"/>
  <c r="T10198" i="1"/>
  <c r="T10199" i="1"/>
  <c r="T10200" i="1"/>
  <c r="T10201" i="1"/>
  <c r="T10202" i="1"/>
  <c r="T10203" i="1"/>
  <c r="T10204" i="1"/>
  <c r="T10205" i="1"/>
  <c r="T10206" i="1"/>
  <c r="T10207" i="1"/>
  <c r="T10208" i="1"/>
  <c r="T10209" i="1"/>
  <c r="T10210" i="1"/>
  <c r="T10211" i="1"/>
  <c r="T10212" i="1"/>
  <c r="T10213" i="1"/>
  <c r="T10214" i="1"/>
  <c r="T10215" i="1"/>
  <c r="T10216" i="1"/>
  <c r="T10217" i="1"/>
  <c r="T10218" i="1"/>
  <c r="T10219" i="1"/>
  <c r="T10220" i="1"/>
  <c r="T10221" i="1"/>
  <c r="T10222" i="1"/>
  <c r="T10223" i="1"/>
  <c r="T10224" i="1"/>
  <c r="T10225" i="1"/>
  <c r="T10226" i="1"/>
  <c r="T10227" i="1"/>
  <c r="T10228" i="1"/>
  <c r="T10229" i="1"/>
  <c r="T10230" i="1"/>
  <c r="T10231" i="1"/>
  <c r="T10232" i="1"/>
  <c r="T10233" i="1"/>
  <c r="T10234" i="1"/>
  <c r="T10235" i="1"/>
  <c r="T10236" i="1"/>
  <c r="T10237" i="1"/>
  <c r="T10238" i="1"/>
  <c r="T10239" i="1"/>
  <c r="T10240" i="1"/>
  <c r="T10241" i="1"/>
  <c r="T10242" i="1"/>
  <c r="T10243" i="1"/>
  <c r="T10244" i="1"/>
  <c r="T10245" i="1"/>
  <c r="T10246" i="1"/>
  <c r="T10247" i="1"/>
  <c r="T10248" i="1"/>
  <c r="T10249" i="1"/>
  <c r="T10250" i="1"/>
  <c r="T10251" i="1"/>
  <c r="T10252" i="1"/>
  <c r="T10253" i="1"/>
  <c r="T10254" i="1"/>
  <c r="T10255" i="1"/>
  <c r="T10256" i="1"/>
  <c r="T10257" i="1"/>
  <c r="T10258" i="1"/>
  <c r="T10259" i="1"/>
  <c r="T10260" i="1"/>
  <c r="T10261" i="1"/>
  <c r="T10262" i="1"/>
  <c r="T10263" i="1"/>
  <c r="T10264" i="1"/>
  <c r="T10265" i="1"/>
  <c r="T10266" i="1"/>
  <c r="T10267" i="1"/>
  <c r="T10268" i="1"/>
  <c r="T10269" i="1"/>
  <c r="T10270" i="1"/>
  <c r="T10271" i="1"/>
  <c r="T10272" i="1"/>
  <c r="T10273" i="1"/>
  <c r="T10274" i="1"/>
  <c r="T10275" i="1"/>
  <c r="T10276" i="1"/>
  <c r="T10277" i="1"/>
  <c r="T10278" i="1"/>
  <c r="T10279" i="1"/>
  <c r="T10280" i="1"/>
  <c r="T10281" i="1"/>
  <c r="T10282" i="1"/>
  <c r="T10283" i="1"/>
  <c r="T10284" i="1"/>
  <c r="T10285" i="1"/>
  <c r="T10286" i="1"/>
  <c r="T10287" i="1"/>
  <c r="T10288" i="1"/>
  <c r="T10289" i="1"/>
  <c r="T10290" i="1"/>
  <c r="T10291" i="1"/>
  <c r="T10292" i="1"/>
  <c r="T10293" i="1"/>
  <c r="T10294" i="1"/>
  <c r="T10295" i="1"/>
  <c r="T10296" i="1"/>
  <c r="T10297" i="1"/>
  <c r="T10298" i="1"/>
  <c r="T10299" i="1"/>
  <c r="T10300" i="1"/>
  <c r="T10301" i="1"/>
  <c r="T10302" i="1"/>
  <c r="T10303" i="1"/>
  <c r="T10304" i="1"/>
  <c r="T10305" i="1"/>
  <c r="T10306" i="1"/>
  <c r="T10307" i="1"/>
  <c r="T10308" i="1"/>
  <c r="T10309" i="1"/>
  <c r="T10310" i="1"/>
  <c r="T10311" i="1"/>
  <c r="T10312" i="1"/>
  <c r="T10313" i="1"/>
  <c r="T10314" i="1"/>
  <c r="T10315" i="1"/>
  <c r="T10316" i="1"/>
  <c r="T10317" i="1"/>
  <c r="T10318" i="1"/>
  <c r="T10319" i="1"/>
  <c r="T10320" i="1"/>
  <c r="T10321" i="1"/>
  <c r="T10322" i="1"/>
  <c r="T10323" i="1"/>
  <c r="T10324" i="1"/>
  <c r="T10325" i="1"/>
  <c r="T10326" i="1"/>
  <c r="T10327" i="1"/>
  <c r="T10328" i="1"/>
  <c r="T10329" i="1"/>
  <c r="T10330" i="1"/>
  <c r="T10331" i="1"/>
  <c r="T10332" i="1"/>
  <c r="T10333" i="1"/>
  <c r="T10334" i="1"/>
  <c r="T10335" i="1"/>
  <c r="T10336" i="1"/>
  <c r="T10337" i="1"/>
  <c r="T10338" i="1"/>
  <c r="T10339" i="1"/>
  <c r="T10340" i="1"/>
  <c r="T10341" i="1"/>
  <c r="T10342" i="1"/>
  <c r="T10343" i="1"/>
  <c r="T10344" i="1"/>
  <c r="T10345" i="1"/>
  <c r="T10346" i="1"/>
  <c r="T10347" i="1"/>
  <c r="T10348" i="1"/>
  <c r="T10349" i="1"/>
  <c r="T10350" i="1"/>
  <c r="T10351" i="1"/>
  <c r="T10352" i="1"/>
  <c r="T10353" i="1"/>
  <c r="T10354" i="1"/>
  <c r="T10355" i="1"/>
  <c r="T10356" i="1"/>
  <c r="T10357" i="1"/>
  <c r="T10358" i="1"/>
  <c r="T10359" i="1"/>
  <c r="T10360" i="1"/>
  <c r="T10361" i="1"/>
  <c r="T10362" i="1"/>
  <c r="T10363" i="1"/>
  <c r="T10364" i="1"/>
  <c r="T10365" i="1"/>
  <c r="T10366" i="1"/>
  <c r="T10367" i="1"/>
  <c r="T10368" i="1"/>
  <c r="T10369" i="1"/>
  <c r="T10370" i="1"/>
  <c r="T10371" i="1"/>
  <c r="T10372" i="1"/>
  <c r="T10373" i="1"/>
  <c r="T10374" i="1"/>
  <c r="T10375" i="1"/>
  <c r="T10376" i="1"/>
  <c r="T10377" i="1"/>
  <c r="T10378" i="1"/>
  <c r="T10379" i="1"/>
  <c r="T10380" i="1"/>
  <c r="T10381" i="1"/>
  <c r="T10382" i="1"/>
  <c r="T10383" i="1"/>
  <c r="T10384" i="1"/>
  <c r="T10385" i="1"/>
  <c r="T10386" i="1"/>
  <c r="T10387" i="1"/>
  <c r="T10388" i="1"/>
  <c r="T10389" i="1"/>
  <c r="T10390" i="1"/>
  <c r="T10391" i="1"/>
  <c r="T10392" i="1"/>
  <c r="T10393" i="1"/>
  <c r="T10394" i="1"/>
  <c r="T10395" i="1"/>
  <c r="T10396" i="1"/>
  <c r="T10397" i="1"/>
  <c r="T10398" i="1"/>
  <c r="T10399" i="1"/>
  <c r="T10400" i="1"/>
  <c r="T10401" i="1"/>
  <c r="T10402" i="1"/>
  <c r="T10403" i="1"/>
  <c r="T10404" i="1"/>
  <c r="T10405" i="1"/>
  <c r="T10406" i="1"/>
  <c r="T10407" i="1"/>
  <c r="T10408" i="1"/>
  <c r="T10409" i="1"/>
  <c r="T10410" i="1"/>
  <c r="T10411" i="1"/>
  <c r="T10412" i="1"/>
  <c r="T10413" i="1"/>
  <c r="T10414" i="1"/>
  <c r="T10415" i="1"/>
  <c r="T10416" i="1"/>
  <c r="T10417" i="1"/>
  <c r="T10418" i="1"/>
  <c r="T10419" i="1"/>
  <c r="T10420" i="1"/>
  <c r="T10421" i="1"/>
  <c r="T10422" i="1"/>
  <c r="T10423" i="1"/>
  <c r="T10424" i="1"/>
  <c r="T10425" i="1"/>
  <c r="T10426" i="1"/>
  <c r="T10427" i="1"/>
  <c r="T10428" i="1"/>
  <c r="T10429" i="1"/>
  <c r="T10430" i="1"/>
  <c r="T10431" i="1"/>
  <c r="T10432" i="1"/>
  <c r="T10433" i="1"/>
  <c r="T10434" i="1"/>
  <c r="T10435" i="1"/>
  <c r="T10436" i="1"/>
  <c r="T10437" i="1"/>
  <c r="T10438" i="1"/>
  <c r="T10439" i="1"/>
  <c r="T10440" i="1"/>
  <c r="T10441" i="1"/>
  <c r="T10442" i="1"/>
  <c r="T10443" i="1"/>
  <c r="T10444" i="1"/>
  <c r="T10445" i="1"/>
  <c r="T10446" i="1"/>
  <c r="T10447" i="1"/>
  <c r="T10448" i="1"/>
  <c r="T10449" i="1"/>
  <c r="T10450" i="1"/>
  <c r="T10451" i="1"/>
  <c r="T10452" i="1"/>
  <c r="T10453" i="1"/>
  <c r="T10454" i="1"/>
  <c r="T10455" i="1"/>
  <c r="T10456" i="1"/>
  <c r="T10457" i="1"/>
  <c r="T10458" i="1"/>
  <c r="T10459" i="1"/>
  <c r="T10460" i="1"/>
  <c r="T10461" i="1"/>
  <c r="T10462" i="1"/>
  <c r="T10463" i="1"/>
  <c r="T10464" i="1"/>
  <c r="T10465" i="1"/>
  <c r="T10466" i="1"/>
  <c r="T10467" i="1"/>
  <c r="T10468" i="1"/>
  <c r="T10469" i="1"/>
  <c r="T10470" i="1"/>
  <c r="T10471" i="1"/>
  <c r="T10472" i="1"/>
  <c r="T10473" i="1"/>
  <c r="T10474" i="1"/>
  <c r="T10475" i="1"/>
  <c r="T10476" i="1"/>
  <c r="T10477" i="1"/>
  <c r="T10478" i="1"/>
  <c r="T10479" i="1"/>
  <c r="T10480" i="1"/>
  <c r="T10481" i="1"/>
  <c r="T10482" i="1"/>
  <c r="T10483" i="1"/>
  <c r="T10484" i="1"/>
  <c r="T10485" i="1"/>
  <c r="T10486" i="1"/>
  <c r="T10487" i="1"/>
  <c r="T10488" i="1"/>
  <c r="T10489" i="1"/>
  <c r="T10490" i="1"/>
  <c r="T10491" i="1"/>
  <c r="T10492" i="1"/>
  <c r="T10493" i="1"/>
  <c r="T10494" i="1"/>
  <c r="T10495" i="1"/>
  <c r="T10496" i="1"/>
  <c r="T10497" i="1"/>
  <c r="T10498" i="1"/>
  <c r="T10499" i="1"/>
  <c r="T10500" i="1"/>
  <c r="T10501" i="1"/>
  <c r="T10502" i="1"/>
  <c r="T10503" i="1"/>
  <c r="T10504" i="1"/>
  <c r="T10505" i="1"/>
  <c r="T10506" i="1"/>
  <c r="T10507" i="1"/>
  <c r="T10508" i="1"/>
  <c r="T10509" i="1"/>
  <c r="T10510" i="1"/>
  <c r="T10511" i="1"/>
  <c r="T10512" i="1"/>
  <c r="T10513" i="1"/>
  <c r="T10514" i="1"/>
  <c r="T10515" i="1"/>
  <c r="T10516" i="1"/>
  <c r="T10517" i="1"/>
  <c r="T10518" i="1"/>
  <c r="T10519" i="1"/>
  <c r="T10520" i="1"/>
  <c r="T10521" i="1"/>
  <c r="T10522" i="1"/>
  <c r="T10523" i="1"/>
  <c r="T10524" i="1"/>
  <c r="T10525" i="1"/>
  <c r="T10526" i="1"/>
  <c r="T10527" i="1"/>
  <c r="T10528" i="1"/>
  <c r="T10529" i="1"/>
  <c r="T10530" i="1"/>
  <c r="T10531" i="1"/>
  <c r="T10532" i="1"/>
  <c r="T10533" i="1"/>
  <c r="T10534" i="1"/>
  <c r="T10535" i="1"/>
  <c r="T10536" i="1"/>
  <c r="T10537" i="1"/>
  <c r="T10538" i="1"/>
  <c r="T10539" i="1"/>
  <c r="T10540" i="1"/>
  <c r="T10541" i="1"/>
  <c r="T10542" i="1"/>
  <c r="T10543" i="1"/>
  <c r="T10544" i="1"/>
  <c r="T10545" i="1"/>
  <c r="T10546" i="1"/>
  <c r="T10547" i="1"/>
  <c r="T10548" i="1"/>
  <c r="T10549" i="1"/>
  <c r="T10550" i="1"/>
  <c r="T10551" i="1"/>
  <c r="T10552" i="1"/>
  <c r="T10553" i="1"/>
  <c r="T10554" i="1"/>
  <c r="T10555" i="1"/>
  <c r="T10556" i="1"/>
  <c r="T10557" i="1"/>
  <c r="T10558" i="1"/>
  <c r="T10559" i="1"/>
  <c r="T10560" i="1"/>
  <c r="T10561" i="1"/>
  <c r="T10562" i="1"/>
  <c r="T10563" i="1"/>
  <c r="T10564" i="1"/>
  <c r="T10565" i="1"/>
  <c r="T10566" i="1"/>
  <c r="T10567" i="1"/>
  <c r="T10568" i="1"/>
  <c r="T10569" i="1"/>
  <c r="T10570" i="1"/>
  <c r="T10571" i="1"/>
  <c r="T10572" i="1"/>
  <c r="T10573" i="1"/>
  <c r="T10574" i="1"/>
  <c r="T10575" i="1"/>
  <c r="T10576" i="1"/>
  <c r="T10577" i="1"/>
  <c r="T10578" i="1"/>
  <c r="T10579" i="1"/>
  <c r="T10580" i="1"/>
  <c r="T10581" i="1"/>
  <c r="T10582" i="1"/>
  <c r="T10583" i="1"/>
  <c r="T10584" i="1"/>
  <c r="T10585" i="1"/>
  <c r="T10586" i="1"/>
  <c r="T10587" i="1"/>
  <c r="T10588" i="1"/>
  <c r="T10589" i="1"/>
  <c r="T10590" i="1"/>
  <c r="T10591" i="1"/>
  <c r="T10592" i="1"/>
  <c r="T10593" i="1"/>
  <c r="T10594" i="1"/>
  <c r="T10595" i="1"/>
  <c r="T10596" i="1"/>
  <c r="T10597" i="1"/>
  <c r="T10598" i="1"/>
  <c r="T10599" i="1"/>
  <c r="T10600" i="1"/>
  <c r="T10601" i="1"/>
  <c r="T10602" i="1"/>
  <c r="T10603" i="1"/>
  <c r="T10604" i="1"/>
  <c r="T10605" i="1"/>
  <c r="T10606" i="1"/>
  <c r="T10607" i="1"/>
  <c r="T10608" i="1"/>
  <c r="T10609" i="1"/>
  <c r="T10610" i="1"/>
  <c r="T10611" i="1"/>
  <c r="T10612" i="1"/>
  <c r="T10613" i="1"/>
  <c r="T10614" i="1"/>
  <c r="T10615" i="1"/>
  <c r="T10616" i="1"/>
  <c r="T10617" i="1"/>
  <c r="T10618" i="1"/>
  <c r="T10619" i="1"/>
  <c r="T10620" i="1"/>
  <c r="T10621" i="1"/>
  <c r="T10622" i="1"/>
  <c r="T10623" i="1"/>
  <c r="T10624" i="1"/>
  <c r="T10625" i="1"/>
  <c r="T10626" i="1"/>
  <c r="T10627" i="1"/>
  <c r="T10628" i="1"/>
  <c r="T10629" i="1"/>
  <c r="T10630" i="1"/>
  <c r="T10631" i="1"/>
  <c r="T10632" i="1"/>
  <c r="T10633" i="1"/>
  <c r="T10634" i="1"/>
  <c r="T10635" i="1"/>
  <c r="T10636" i="1"/>
  <c r="T10637" i="1"/>
  <c r="T10638" i="1"/>
  <c r="T10639" i="1"/>
  <c r="T10640" i="1"/>
  <c r="T10641" i="1"/>
  <c r="T10642" i="1"/>
  <c r="T10643" i="1"/>
  <c r="T10644" i="1"/>
  <c r="T10645" i="1"/>
  <c r="T10646" i="1"/>
  <c r="T10647" i="1"/>
  <c r="T10648" i="1"/>
  <c r="T10649" i="1"/>
  <c r="T10650" i="1"/>
  <c r="T10651" i="1"/>
  <c r="T10652" i="1"/>
  <c r="T10653" i="1"/>
  <c r="T10654" i="1"/>
  <c r="T10655" i="1"/>
  <c r="T10656" i="1"/>
  <c r="T10657" i="1"/>
  <c r="T10658" i="1"/>
  <c r="T10659" i="1"/>
  <c r="T10660" i="1"/>
  <c r="T10661" i="1"/>
  <c r="T10662" i="1"/>
  <c r="T10663" i="1"/>
  <c r="T10664" i="1"/>
  <c r="T10665" i="1"/>
  <c r="T10666" i="1"/>
  <c r="T10667" i="1"/>
  <c r="T10668" i="1"/>
  <c r="T10669" i="1"/>
  <c r="T10670" i="1"/>
  <c r="T10671" i="1"/>
  <c r="T10672" i="1"/>
  <c r="T10673" i="1"/>
  <c r="T10674" i="1"/>
  <c r="T10675" i="1"/>
  <c r="T10676" i="1"/>
  <c r="T10677" i="1"/>
  <c r="T10678" i="1"/>
  <c r="T10679" i="1"/>
  <c r="T10680" i="1"/>
  <c r="T10681" i="1"/>
  <c r="T10682" i="1"/>
  <c r="T10683" i="1"/>
  <c r="T10684" i="1"/>
  <c r="T10685" i="1"/>
  <c r="T10686" i="1"/>
  <c r="T10687" i="1"/>
  <c r="T10688" i="1"/>
  <c r="T10689" i="1"/>
  <c r="T10690" i="1"/>
  <c r="T10691" i="1"/>
  <c r="T10692" i="1"/>
  <c r="T10693" i="1"/>
  <c r="T10694" i="1"/>
  <c r="T10695" i="1"/>
  <c r="T10696" i="1"/>
  <c r="T10697" i="1"/>
  <c r="T10698" i="1"/>
  <c r="T10699" i="1"/>
  <c r="T10700" i="1"/>
  <c r="T10701" i="1"/>
  <c r="T10702" i="1"/>
  <c r="T10703" i="1"/>
  <c r="T10704" i="1"/>
  <c r="T10705" i="1"/>
  <c r="T10706" i="1"/>
  <c r="T10707" i="1"/>
  <c r="T10708" i="1"/>
  <c r="T10709" i="1"/>
  <c r="T10710" i="1"/>
  <c r="T10711" i="1"/>
  <c r="T10712" i="1"/>
  <c r="T10713" i="1"/>
  <c r="T10714" i="1"/>
  <c r="T10715" i="1"/>
  <c r="T10716" i="1"/>
  <c r="T10717" i="1"/>
  <c r="T10718" i="1"/>
  <c r="T10719" i="1"/>
  <c r="T10720" i="1"/>
  <c r="T10721" i="1"/>
  <c r="T10722" i="1"/>
  <c r="T10723" i="1"/>
  <c r="T10724" i="1"/>
  <c r="T10725" i="1"/>
  <c r="T10726" i="1"/>
  <c r="T10727" i="1"/>
  <c r="T10728" i="1"/>
  <c r="T10729" i="1"/>
  <c r="T10730" i="1"/>
  <c r="T10731" i="1"/>
  <c r="T10732" i="1"/>
  <c r="T10733" i="1"/>
  <c r="T10734" i="1"/>
  <c r="T10735" i="1"/>
  <c r="T10736" i="1"/>
  <c r="T10737" i="1"/>
  <c r="T10738" i="1"/>
  <c r="T10739" i="1"/>
  <c r="T10740" i="1"/>
  <c r="T10741" i="1"/>
  <c r="T10742" i="1"/>
  <c r="T10743" i="1"/>
  <c r="T10744" i="1"/>
  <c r="T10745" i="1"/>
  <c r="T10746" i="1"/>
  <c r="T10747" i="1"/>
  <c r="T10748" i="1"/>
  <c r="T10749" i="1"/>
  <c r="T10750" i="1"/>
  <c r="T10751" i="1"/>
  <c r="T10752" i="1"/>
  <c r="T10753" i="1"/>
  <c r="T10754" i="1"/>
  <c r="T10755" i="1"/>
  <c r="T10756" i="1"/>
  <c r="T10757" i="1"/>
  <c r="T10758" i="1"/>
  <c r="T10759" i="1"/>
  <c r="T10760" i="1"/>
  <c r="T10761" i="1"/>
  <c r="T10762" i="1"/>
  <c r="T10763" i="1"/>
  <c r="T10764" i="1"/>
  <c r="T10765" i="1"/>
  <c r="T10766" i="1"/>
  <c r="T10767" i="1"/>
  <c r="T10768" i="1"/>
  <c r="T10769" i="1"/>
  <c r="T10770" i="1"/>
  <c r="T10771" i="1"/>
  <c r="T10772" i="1"/>
  <c r="T10773" i="1"/>
  <c r="T10774" i="1"/>
  <c r="T10775" i="1"/>
  <c r="T10776" i="1"/>
  <c r="T10777" i="1"/>
  <c r="T10778" i="1"/>
  <c r="T10779" i="1"/>
  <c r="T10780" i="1"/>
  <c r="T10781" i="1"/>
  <c r="T10782" i="1"/>
  <c r="T10783" i="1"/>
  <c r="T10784" i="1"/>
  <c r="T10785" i="1"/>
  <c r="T10786" i="1"/>
  <c r="T10787" i="1"/>
  <c r="T10788" i="1"/>
  <c r="T10789" i="1"/>
  <c r="T10790" i="1"/>
  <c r="T10791" i="1"/>
  <c r="T10792" i="1"/>
  <c r="T10793" i="1"/>
  <c r="T10794" i="1"/>
  <c r="T10795" i="1"/>
  <c r="T10796" i="1"/>
  <c r="T10797" i="1"/>
  <c r="T10798" i="1"/>
  <c r="T10799" i="1"/>
  <c r="T10800" i="1"/>
  <c r="T10801" i="1"/>
  <c r="T10802" i="1"/>
  <c r="T10803" i="1"/>
  <c r="T10804" i="1"/>
  <c r="T10805" i="1"/>
  <c r="T10806" i="1"/>
  <c r="T10807" i="1"/>
  <c r="T10808" i="1"/>
  <c r="T10809" i="1"/>
  <c r="T10810" i="1"/>
  <c r="T10811" i="1"/>
  <c r="T10812" i="1"/>
  <c r="T10813" i="1"/>
  <c r="T10814" i="1"/>
  <c r="T10815" i="1"/>
  <c r="T10816" i="1"/>
  <c r="T10817" i="1"/>
  <c r="T10818" i="1"/>
  <c r="T10819" i="1"/>
  <c r="T10820" i="1"/>
  <c r="T10821" i="1"/>
  <c r="T10822" i="1"/>
  <c r="T10823" i="1"/>
  <c r="T10824" i="1"/>
  <c r="T10825" i="1"/>
  <c r="T10826" i="1"/>
  <c r="T10827" i="1"/>
  <c r="T10828" i="1"/>
  <c r="T10829" i="1"/>
  <c r="T10830" i="1"/>
  <c r="T10831" i="1"/>
  <c r="T10832" i="1"/>
  <c r="T10833" i="1"/>
  <c r="T10834" i="1"/>
  <c r="T10835" i="1"/>
  <c r="T10836" i="1"/>
  <c r="T10837" i="1"/>
  <c r="T10838" i="1"/>
  <c r="T10839" i="1"/>
  <c r="T10840" i="1"/>
  <c r="T10841" i="1"/>
  <c r="T10842" i="1"/>
  <c r="T10843" i="1"/>
  <c r="T10844" i="1"/>
  <c r="T10845" i="1"/>
  <c r="T10846" i="1"/>
  <c r="T10847" i="1"/>
  <c r="T10848" i="1"/>
  <c r="T10849" i="1"/>
  <c r="T10850" i="1"/>
  <c r="T10851" i="1"/>
  <c r="T10852" i="1"/>
  <c r="T10853" i="1"/>
  <c r="T10854" i="1"/>
  <c r="T10855" i="1"/>
  <c r="T10856" i="1"/>
  <c r="T10857" i="1"/>
  <c r="T10858" i="1"/>
  <c r="T10859" i="1"/>
  <c r="T10860" i="1"/>
  <c r="T10861" i="1"/>
  <c r="T10862" i="1"/>
  <c r="T10863" i="1"/>
  <c r="T10864" i="1"/>
  <c r="T10865" i="1"/>
  <c r="T10866" i="1"/>
  <c r="T10867" i="1"/>
  <c r="T10868" i="1"/>
  <c r="T10869" i="1"/>
  <c r="T10870" i="1"/>
  <c r="T10871" i="1"/>
  <c r="T10872" i="1"/>
  <c r="T10873" i="1"/>
  <c r="T10874" i="1"/>
  <c r="T10875" i="1"/>
  <c r="T10876" i="1"/>
  <c r="T10877" i="1"/>
  <c r="T10878" i="1"/>
  <c r="T10879" i="1"/>
  <c r="T10880" i="1"/>
  <c r="T10881" i="1"/>
  <c r="T10882" i="1"/>
  <c r="T10883" i="1"/>
  <c r="T10884" i="1"/>
  <c r="T10885" i="1"/>
  <c r="T10886" i="1"/>
  <c r="T10887" i="1"/>
  <c r="T10888" i="1"/>
  <c r="T10889" i="1"/>
  <c r="T10890" i="1"/>
  <c r="T10891" i="1"/>
  <c r="T10892" i="1"/>
  <c r="T10893" i="1"/>
  <c r="T10894" i="1"/>
  <c r="T10895" i="1"/>
  <c r="T10896" i="1"/>
  <c r="T10897" i="1"/>
  <c r="T10898" i="1"/>
  <c r="T10899" i="1"/>
  <c r="T10900" i="1"/>
  <c r="T10901" i="1"/>
  <c r="T10902" i="1"/>
  <c r="T10903" i="1"/>
  <c r="T10904" i="1"/>
  <c r="T10905" i="1"/>
  <c r="T10906" i="1"/>
  <c r="T10907" i="1"/>
  <c r="T10908" i="1"/>
  <c r="T10909" i="1"/>
  <c r="T10910" i="1"/>
  <c r="T10911" i="1"/>
  <c r="T10912" i="1"/>
  <c r="T10913" i="1"/>
  <c r="T10914" i="1"/>
  <c r="T10915" i="1"/>
  <c r="T10916" i="1"/>
  <c r="T10917" i="1"/>
  <c r="T10918" i="1"/>
  <c r="T10919" i="1"/>
  <c r="T10920" i="1"/>
  <c r="T10921" i="1"/>
  <c r="T10922" i="1"/>
  <c r="T10923" i="1"/>
  <c r="T10924" i="1"/>
  <c r="T10925" i="1"/>
  <c r="T10926" i="1"/>
  <c r="T10927" i="1"/>
  <c r="T10928" i="1"/>
  <c r="T10929" i="1"/>
  <c r="T10930" i="1"/>
  <c r="T10931" i="1"/>
  <c r="T10932" i="1"/>
  <c r="T10933" i="1"/>
  <c r="T10934" i="1"/>
  <c r="T10935" i="1"/>
  <c r="T10936" i="1"/>
  <c r="T10937" i="1"/>
  <c r="T10938" i="1"/>
  <c r="T10939" i="1"/>
  <c r="T10940" i="1"/>
  <c r="T10941" i="1"/>
  <c r="T10942" i="1"/>
  <c r="T10943" i="1"/>
  <c r="T10944" i="1"/>
  <c r="T10945" i="1"/>
  <c r="T10946" i="1"/>
  <c r="T10947" i="1"/>
  <c r="T10948" i="1"/>
  <c r="T10949" i="1"/>
  <c r="T10950" i="1"/>
  <c r="T10951" i="1"/>
  <c r="T10952" i="1"/>
  <c r="T10953" i="1"/>
  <c r="T10954" i="1"/>
  <c r="T10955" i="1"/>
  <c r="T10956" i="1"/>
  <c r="T10957" i="1"/>
  <c r="T10958" i="1"/>
  <c r="T10959" i="1"/>
  <c r="T10960" i="1"/>
  <c r="T10961" i="1"/>
  <c r="T10962" i="1"/>
  <c r="T10963" i="1"/>
  <c r="T10964" i="1"/>
  <c r="T10965" i="1"/>
  <c r="T10966" i="1"/>
  <c r="T10967" i="1"/>
  <c r="T10968" i="1"/>
  <c r="T10969" i="1"/>
  <c r="T10970" i="1"/>
  <c r="T10971" i="1"/>
  <c r="T10972" i="1"/>
  <c r="T10973" i="1"/>
  <c r="T10974" i="1"/>
  <c r="T10975" i="1"/>
  <c r="T10976" i="1"/>
  <c r="T10977" i="1"/>
  <c r="T10978" i="1"/>
  <c r="T10979" i="1"/>
  <c r="T10980" i="1"/>
  <c r="T10981" i="1"/>
  <c r="T10982" i="1"/>
  <c r="T10983" i="1"/>
  <c r="T10984" i="1"/>
  <c r="T10985" i="1"/>
  <c r="T10986" i="1"/>
  <c r="T10987" i="1"/>
  <c r="T10988" i="1"/>
  <c r="T10989" i="1"/>
  <c r="T10990" i="1"/>
  <c r="T10991" i="1"/>
  <c r="T10992" i="1"/>
  <c r="T10993" i="1"/>
  <c r="T10994" i="1"/>
  <c r="T10995" i="1"/>
  <c r="T10996" i="1"/>
  <c r="T10997" i="1"/>
  <c r="T10998" i="1"/>
  <c r="T10999" i="1"/>
  <c r="T11000" i="1"/>
  <c r="T11001" i="1"/>
  <c r="T11002" i="1"/>
  <c r="T11003" i="1"/>
  <c r="T11004" i="1"/>
  <c r="T11005" i="1"/>
  <c r="T11006" i="1"/>
  <c r="T11007" i="1"/>
  <c r="T11008" i="1"/>
  <c r="T11009" i="1"/>
  <c r="T11010" i="1"/>
  <c r="T11011" i="1"/>
  <c r="T11012" i="1"/>
  <c r="T11013" i="1"/>
  <c r="T11014" i="1"/>
  <c r="T11015" i="1"/>
  <c r="T11016" i="1"/>
  <c r="T11017" i="1"/>
  <c r="T11018" i="1"/>
  <c r="T11019" i="1"/>
  <c r="T11020" i="1"/>
  <c r="T11021" i="1"/>
  <c r="T11022" i="1"/>
  <c r="T11023" i="1"/>
  <c r="T11024" i="1"/>
  <c r="T11025" i="1"/>
  <c r="T11026" i="1"/>
  <c r="T11027" i="1"/>
  <c r="T11028" i="1"/>
  <c r="T11029" i="1"/>
  <c r="T11030" i="1"/>
  <c r="T11031" i="1"/>
  <c r="T11032" i="1"/>
  <c r="T11033" i="1"/>
  <c r="T11034" i="1"/>
  <c r="T11035" i="1"/>
  <c r="T11036" i="1"/>
  <c r="T11037" i="1"/>
  <c r="T11038" i="1"/>
  <c r="T11039" i="1"/>
  <c r="T11040" i="1"/>
  <c r="T11041" i="1"/>
  <c r="T11042" i="1"/>
  <c r="T11043" i="1"/>
  <c r="T11044" i="1"/>
  <c r="T11045" i="1"/>
  <c r="T11046" i="1"/>
  <c r="T11047" i="1"/>
  <c r="T11048" i="1"/>
  <c r="T11049" i="1"/>
  <c r="T11050" i="1"/>
  <c r="T11051" i="1"/>
  <c r="T11052" i="1"/>
  <c r="T11053" i="1"/>
  <c r="T11054" i="1"/>
  <c r="T11055" i="1"/>
  <c r="T11056" i="1"/>
  <c r="T11057" i="1"/>
  <c r="T11058" i="1"/>
  <c r="T11059" i="1"/>
  <c r="T11060" i="1"/>
  <c r="T11061" i="1"/>
  <c r="T11062" i="1"/>
  <c r="T11063" i="1"/>
  <c r="T11064" i="1"/>
  <c r="T11065" i="1"/>
  <c r="T11066" i="1"/>
  <c r="T11067" i="1"/>
  <c r="T11068" i="1"/>
  <c r="T11069" i="1"/>
  <c r="T11070" i="1"/>
  <c r="T11071" i="1"/>
  <c r="T11072" i="1"/>
  <c r="T11073" i="1"/>
  <c r="T11074" i="1"/>
  <c r="T11075" i="1"/>
  <c r="T11076" i="1"/>
  <c r="T11077" i="1"/>
  <c r="T11078" i="1"/>
  <c r="T11079" i="1"/>
  <c r="T11080" i="1"/>
  <c r="T11081" i="1"/>
  <c r="T11082" i="1"/>
  <c r="T11083" i="1"/>
  <c r="T11084" i="1"/>
  <c r="T11085" i="1"/>
  <c r="T11086" i="1"/>
  <c r="T11087" i="1"/>
  <c r="T11088" i="1"/>
  <c r="T11089" i="1"/>
  <c r="T11090" i="1"/>
  <c r="T11091" i="1"/>
  <c r="T11092" i="1"/>
  <c r="T11093" i="1"/>
  <c r="T11094" i="1"/>
  <c r="T11095" i="1"/>
  <c r="T11096" i="1"/>
  <c r="T11097" i="1"/>
  <c r="T11098" i="1"/>
  <c r="T11099" i="1"/>
  <c r="T11100" i="1"/>
  <c r="T11101" i="1"/>
  <c r="T11102" i="1"/>
  <c r="T11103" i="1"/>
  <c r="T11104" i="1"/>
  <c r="T11105" i="1"/>
  <c r="T11106" i="1"/>
  <c r="T11107" i="1"/>
  <c r="T11108" i="1"/>
  <c r="T11109" i="1"/>
  <c r="T11110" i="1"/>
  <c r="T11111" i="1"/>
  <c r="T11112" i="1"/>
  <c r="T11113" i="1"/>
  <c r="T11114" i="1"/>
  <c r="T11115" i="1"/>
  <c r="T11116" i="1"/>
  <c r="T11117" i="1"/>
  <c r="T11118" i="1"/>
  <c r="T11119" i="1"/>
  <c r="T11120" i="1"/>
  <c r="T11121" i="1"/>
  <c r="T11122" i="1"/>
  <c r="T11123" i="1"/>
  <c r="T11124" i="1"/>
  <c r="T11125" i="1"/>
  <c r="T11126" i="1"/>
  <c r="T11127" i="1"/>
  <c r="T11128" i="1"/>
  <c r="T11129" i="1"/>
  <c r="T11130" i="1"/>
  <c r="T11131" i="1"/>
  <c r="T11132" i="1"/>
  <c r="T11133" i="1"/>
  <c r="T11134" i="1"/>
  <c r="T11135" i="1"/>
  <c r="T11136" i="1"/>
  <c r="T11137" i="1"/>
  <c r="T11138" i="1"/>
  <c r="T11139" i="1"/>
  <c r="T11140" i="1"/>
  <c r="T11141" i="1"/>
  <c r="T11142" i="1"/>
  <c r="T11143" i="1"/>
  <c r="T11144" i="1"/>
  <c r="T11145" i="1"/>
  <c r="T11146" i="1"/>
  <c r="T11147" i="1"/>
  <c r="T11148" i="1"/>
  <c r="T11149" i="1"/>
  <c r="T11150" i="1"/>
  <c r="T11151" i="1"/>
  <c r="T11152" i="1"/>
  <c r="T11153" i="1"/>
  <c r="T11154" i="1"/>
  <c r="T11155" i="1"/>
  <c r="T11156" i="1"/>
  <c r="T11157" i="1"/>
  <c r="T11158" i="1"/>
  <c r="T11159" i="1"/>
  <c r="T11160" i="1"/>
  <c r="T11161" i="1"/>
  <c r="T11162" i="1"/>
  <c r="T11163" i="1"/>
  <c r="T11164" i="1"/>
  <c r="T11165" i="1"/>
  <c r="T11166" i="1"/>
  <c r="T11167" i="1"/>
  <c r="T11168" i="1"/>
  <c r="T11169" i="1"/>
  <c r="T11170" i="1"/>
  <c r="T11171" i="1"/>
  <c r="T11172" i="1"/>
  <c r="T11173" i="1"/>
  <c r="T11174" i="1"/>
  <c r="T11175" i="1"/>
  <c r="T11176" i="1"/>
  <c r="T11177" i="1"/>
  <c r="T11178" i="1"/>
  <c r="T11179" i="1"/>
  <c r="T11180" i="1"/>
  <c r="T11181" i="1"/>
  <c r="T11182" i="1"/>
  <c r="T11183" i="1"/>
  <c r="T11184" i="1"/>
  <c r="T11185" i="1"/>
  <c r="T11186" i="1"/>
  <c r="T11187" i="1"/>
  <c r="T11188" i="1"/>
  <c r="T11189" i="1"/>
  <c r="T11190" i="1"/>
  <c r="T11191" i="1"/>
  <c r="T11192" i="1"/>
  <c r="T11193" i="1"/>
  <c r="T11194" i="1"/>
  <c r="T11195" i="1"/>
  <c r="T11196" i="1"/>
  <c r="T11197" i="1"/>
  <c r="T11198" i="1"/>
  <c r="T11199" i="1"/>
  <c r="T11200" i="1"/>
  <c r="T11201" i="1"/>
  <c r="T11202" i="1"/>
  <c r="T11203" i="1"/>
  <c r="T11204" i="1"/>
  <c r="T11205" i="1"/>
  <c r="T11206" i="1"/>
  <c r="T11207" i="1"/>
  <c r="T11208" i="1"/>
  <c r="T11209" i="1"/>
  <c r="T11210" i="1"/>
  <c r="T11211" i="1"/>
  <c r="T11212" i="1"/>
  <c r="T11213" i="1"/>
  <c r="T11214" i="1"/>
  <c r="T11215" i="1"/>
  <c r="T11216" i="1"/>
  <c r="T11217" i="1"/>
  <c r="T11218" i="1"/>
  <c r="T11219" i="1"/>
  <c r="T11220" i="1"/>
  <c r="T11221" i="1"/>
  <c r="T11222" i="1"/>
  <c r="T11223" i="1"/>
  <c r="T11224" i="1"/>
  <c r="T11225" i="1"/>
  <c r="T11226" i="1"/>
  <c r="T11227" i="1"/>
  <c r="T11228" i="1"/>
  <c r="T11229" i="1"/>
  <c r="T11230" i="1"/>
  <c r="T11231" i="1"/>
  <c r="T11232" i="1"/>
  <c r="T11233" i="1"/>
  <c r="T11234" i="1"/>
  <c r="T11235" i="1"/>
  <c r="T11236" i="1"/>
  <c r="T11237" i="1"/>
  <c r="T11238" i="1"/>
  <c r="T11239" i="1"/>
  <c r="T11240" i="1"/>
  <c r="T11241" i="1"/>
  <c r="T11242" i="1"/>
  <c r="T11243" i="1"/>
  <c r="T11244" i="1"/>
  <c r="T11245" i="1"/>
  <c r="T11246" i="1"/>
  <c r="T11247" i="1"/>
  <c r="T11248" i="1"/>
  <c r="T11249" i="1"/>
  <c r="T11250" i="1"/>
  <c r="T11251" i="1"/>
  <c r="T11252" i="1"/>
  <c r="T11253" i="1"/>
  <c r="T11254" i="1"/>
  <c r="T11255" i="1"/>
  <c r="T11256" i="1"/>
  <c r="T11257" i="1"/>
  <c r="T11258" i="1"/>
  <c r="T11259" i="1"/>
  <c r="T11260" i="1"/>
  <c r="T11261" i="1"/>
  <c r="T11262" i="1"/>
  <c r="T11263" i="1"/>
  <c r="T11264" i="1"/>
  <c r="T11265" i="1"/>
  <c r="T11266" i="1"/>
  <c r="T11267" i="1"/>
  <c r="T11268" i="1"/>
  <c r="T11269" i="1"/>
  <c r="T11270" i="1"/>
  <c r="T11271" i="1"/>
  <c r="T11272" i="1"/>
  <c r="T11273" i="1"/>
  <c r="T11274" i="1"/>
  <c r="T11275" i="1"/>
  <c r="T11276" i="1"/>
  <c r="T11277" i="1"/>
  <c r="T11278" i="1"/>
  <c r="T11279" i="1"/>
  <c r="T11280" i="1"/>
  <c r="T11281" i="1"/>
  <c r="T11282" i="1"/>
  <c r="T11283" i="1"/>
  <c r="T11284" i="1"/>
  <c r="T11285" i="1"/>
  <c r="T11286" i="1"/>
  <c r="T11287" i="1"/>
  <c r="T11288" i="1"/>
  <c r="T11289" i="1"/>
  <c r="T11290" i="1"/>
  <c r="T11291" i="1"/>
  <c r="T11292" i="1"/>
  <c r="T11293" i="1"/>
  <c r="T11294" i="1"/>
  <c r="T11295" i="1"/>
  <c r="T11296" i="1"/>
  <c r="T11297" i="1"/>
  <c r="T11298" i="1"/>
  <c r="T11299" i="1"/>
  <c r="T11300" i="1"/>
  <c r="T11301" i="1"/>
  <c r="T11302" i="1"/>
  <c r="T11303" i="1"/>
  <c r="T11304" i="1"/>
  <c r="T11305" i="1"/>
  <c r="T11306" i="1"/>
  <c r="T11307" i="1"/>
  <c r="T11308" i="1"/>
  <c r="T11309" i="1"/>
  <c r="T11310" i="1"/>
  <c r="T11311" i="1"/>
  <c r="T11312" i="1"/>
  <c r="T11313" i="1"/>
  <c r="T11314" i="1"/>
  <c r="T11315" i="1"/>
  <c r="T11316" i="1"/>
  <c r="T11317" i="1"/>
  <c r="T11318" i="1"/>
  <c r="T11319" i="1"/>
  <c r="T11320" i="1"/>
  <c r="T11321" i="1"/>
  <c r="T11322" i="1"/>
  <c r="T11323" i="1"/>
  <c r="T11324" i="1"/>
  <c r="T11325" i="1"/>
  <c r="T11326" i="1"/>
  <c r="T11327" i="1"/>
  <c r="T11328" i="1"/>
  <c r="T11329" i="1"/>
  <c r="T11330" i="1"/>
  <c r="T11331" i="1"/>
  <c r="T11332" i="1"/>
  <c r="T11333" i="1"/>
  <c r="T11334" i="1"/>
  <c r="T11335" i="1"/>
  <c r="T11336" i="1"/>
  <c r="T11337" i="1"/>
  <c r="T11338" i="1"/>
  <c r="T11339" i="1"/>
  <c r="T11340" i="1"/>
  <c r="T11341" i="1"/>
  <c r="T11342" i="1"/>
  <c r="T11343" i="1"/>
  <c r="T11344" i="1"/>
  <c r="T11345" i="1"/>
  <c r="T11346" i="1"/>
  <c r="T11347" i="1"/>
  <c r="T11348" i="1"/>
  <c r="T11349" i="1"/>
  <c r="T11350" i="1"/>
  <c r="T11351" i="1"/>
  <c r="T11352" i="1"/>
  <c r="T11353" i="1"/>
  <c r="T11354" i="1"/>
  <c r="T11355" i="1"/>
  <c r="T11356" i="1"/>
  <c r="T11357" i="1"/>
  <c r="T11358" i="1"/>
  <c r="T11359" i="1"/>
  <c r="T11360" i="1"/>
  <c r="T11361" i="1"/>
  <c r="T11362" i="1"/>
  <c r="T11363" i="1"/>
  <c r="T11364" i="1"/>
  <c r="T11365" i="1"/>
  <c r="T11366" i="1"/>
  <c r="T11367" i="1"/>
  <c r="T11368" i="1"/>
  <c r="T11369" i="1"/>
  <c r="T11370" i="1"/>
  <c r="T11371" i="1"/>
  <c r="T11372" i="1"/>
  <c r="T11373" i="1"/>
  <c r="T11374" i="1"/>
  <c r="T11375" i="1"/>
  <c r="T11376" i="1"/>
  <c r="T11377" i="1"/>
  <c r="T11378" i="1"/>
  <c r="T11379" i="1"/>
  <c r="T11380" i="1"/>
  <c r="T11381" i="1"/>
  <c r="T11382" i="1"/>
  <c r="T11383" i="1"/>
  <c r="T11384" i="1"/>
  <c r="T11385" i="1"/>
  <c r="T11386" i="1"/>
  <c r="T11387" i="1"/>
  <c r="T11388" i="1"/>
  <c r="T11389" i="1"/>
  <c r="T11390" i="1"/>
  <c r="T11391" i="1"/>
  <c r="T11392" i="1"/>
  <c r="T11393" i="1"/>
  <c r="T11394" i="1"/>
  <c r="T11395" i="1"/>
  <c r="T11396" i="1"/>
  <c r="T11397" i="1"/>
  <c r="T11398" i="1"/>
  <c r="T11399" i="1"/>
  <c r="T11400" i="1"/>
  <c r="T11401" i="1"/>
  <c r="T11402" i="1"/>
  <c r="T11403" i="1"/>
  <c r="T11404" i="1"/>
  <c r="T11405" i="1"/>
  <c r="T11406" i="1"/>
  <c r="T11407" i="1"/>
  <c r="T11408" i="1"/>
  <c r="T11409" i="1"/>
  <c r="T11410" i="1"/>
  <c r="T11411" i="1"/>
  <c r="T11412" i="1"/>
  <c r="T11413" i="1"/>
  <c r="T11414" i="1"/>
  <c r="T11415" i="1"/>
  <c r="T11416" i="1"/>
  <c r="T11417" i="1"/>
  <c r="T11418" i="1"/>
  <c r="T11419" i="1"/>
  <c r="T11420" i="1"/>
  <c r="T11421" i="1"/>
  <c r="T11422" i="1"/>
  <c r="T11423" i="1"/>
  <c r="T11424" i="1"/>
  <c r="T11425" i="1"/>
  <c r="T11426" i="1"/>
  <c r="T11427" i="1"/>
  <c r="T11428" i="1"/>
  <c r="T11429" i="1"/>
  <c r="T11430" i="1"/>
  <c r="T11431" i="1"/>
  <c r="T11432" i="1"/>
  <c r="T11433" i="1"/>
  <c r="T11434" i="1"/>
  <c r="T11435" i="1"/>
  <c r="T11436" i="1"/>
  <c r="T11437" i="1"/>
  <c r="T11438" i="1"/>
  <c r="T11439" i="1"/>
  <c r="T11440" i="1"/>
  <c r="T11441" i="1"/>
  <c r="T11442" i="1"/>
  <c r="T11443" i="1"/>
  <c r="T11444" i="1"/>
  <c r="T11445" i="1"/>
  <c r="T11446" i="1"/>
  <c r="T11447" i="1"/>
  <c r="T11448" i="1"/>
  <c r="T11449" i="1"/>
  <c r="T11450" i="1"/>
  <c r="T11451" i="1"/>
  <c r="T11452" i="1"/>
  <c r="T11453" i="1"/>
  <c r="T11454" i="1"/>
  <c r="T11455" i="1"/>
  <c r="T11456" i="1"/>
  <c r="T11457" i="1"/>
  <c r="T11458" i="1"/>
  <c r="T11459" i="1"/>
  <c r="T11460" i="1"/>
  <c r="T11461" i="1"/>
  <c r="T11462" i="1"/>
  <c r="T11463" i="1"/>
  <c r="T11464" i="1"/>
  <c r="T11465" i="1"/>
  <c r="T11466" i="1"/>
  <c r="T11467" i="1"/>
  <c r="T11468" i="1"/>
  <c r="T11469" i="1"/>
  <c r="T11470" i="1"/>
  <c r="T11471" i="1"/>
  <c r="T11472" i="1"/>
  <c r="T11473" i="1"/>
  <c r="T11474" i="1"/>
  <c r="T11475" i="1"/>
  <c r="T11476" i="1"/>
  <c r="T11477" i="1"/>
  <c r="T11478" i="1"/>
  <c r="T11479" i="1"/>
  <c r="T11480" i="1"/>
  <c r="T11481" i="1"/>
  <c r="T11482" i="1"/>
  <c r="T11483" i="1"/>
  <c r="T11484" i="1"/>
  <c r="T11485" i="1"/>
  <c r="T11486" i="1"/>
  <c r="T11487" i="1"/>
  <c r="T11488" i="1"/>
  <c r="T11489" i="1"/>
  <c r="T11490" i="1"/>
  <c r="T11491" i="1"/>
  <c r="T11492" i="1"/>
  <c r="T11493" i="1"/>
  <c r="T11494" i="1"/>
  <c r="T11495" i="1"/>
  <c r="T11496" i="1"/>
  <c r="T11497" i="1"/>
  <c r="T11498" i="1"/>
  <c r="T11499" i="1"/>
  <c r="T11500" i="1"/>
  <c r="T11501" i="1"/>
  <c r="T11502" i="1"/>
  <c r="T11503" i="1"/>
  <c r="T11504" i="1"/>
  <c r="T11505" i="1"/>
  <c r="T11506" i="1"/>
  <c r="T11507" i="1"/>
  <c r="T11508" i="1"/>
  <c r="T11509" i="1"/>
  <c r="T11510" i="1"/>
  <c r="T11511" i="1"/>
  <c r="T11512" i="1"/>
  <c r="T11513" i="1"/>
  <c r="T11514" i="1"/>
  <c r="T11515" i="1"/>
  <c r="T11516" i="1"/>
  <c r="T11517" i="1"/>
  <c r="T11518" i="1"/>
  <c r="T11519" i="1"/>
  <c r="T11520" i="1"/>
  <c r="T11521" i="1"/>
  <c r="T11522" i="1"/>
  <c r="T11523" i="1"/>
  <c r="T11524" i="1"/>
  <c r="T11525" i="1"/>
  <c r="T11526" i="1"/>
  <c r="T11527" i="1"/>
  <c r="T11528" i="1"/>
  <c r="T11529" i="1"/>
  <c r="T11530" i="1"/>
  <c r="T11531" i="1"/>
  <c r="T11532" i="1"/>
  <c r="T11533" i="1"/>
  <c r="T11534" i="1"/>
  <c r="T11535" i="1"/>
  <c r="T11536" i="1"/>
  <c r="T11537" i="1"/>
  <c r="T11538" i="1"/>
  <c r="T11539" i="1"/>
  <c r="T11540" i="1"/>
  <c r="T11541" i="1"/>
  <c r="T11542" i="1"/>
  <c r="T11543" i="1"/>
  <c r="T11544" i="1"/>
  <c r="T11545" i="1"/>
  <c r="T11546" i="1"/>
  <c r="T11547" i="1"/>
  <c r="T11548" i="1"/>
  <c r="T11549" i="1"/>
  <c r="T11550" i="1"/>
  <c r="T11551" i="1"/>
  <c r="T11552" i="1"/>
  <c r="T11553" i="1"/>
  <c r="T11554" i="1"/>
  <c r="T11555" i="1"/>
  <c r="T11556" i="1"/>
  <c r="T11557" i="1"/>
  <c r="T11558" i="1"/>
  <c r="T11559" i="1"/>
  <c r="T11560" i="1"/>
  <c r="T11561" i="1"/>
  <c r="T11562" i="1"/>
  <c r="T11563" i="1"/>
  <c r="T11564" i="1"/>
  <c r="T11565" i="1"/>
  <c r="T11566" i="1"/>
  <c r="T11567" i="1"/>
  <c r="T11568" i="1"/>
  <c r="T11569" i="1"/>
  <c r="T11570" i="1"/>
  <c r="T11571" i="1"/>
  <c r="T11572" i="1"/>
  <c r="T11573" i="1"/>
  <c r="T11574" i="1"/>
  <c r="T11575" i="1"/>
  <c r="T11576" i="1"/>
  <c r="T11577" i="1"/>
  <c r="T11578" i="1"/>
  <c r="T11579" i="1"/>
  <c r="T11580" i="1"/>
  <c r="T11581" i="1"/>
  <c r="T11582" i="1"/>
  <c r="T11583" i="1"/>
  <c r="T11584" i="1"/>
  <c r="T11585" i="1"/>
  <c r="T11586" i="1"/>
  <c r="T11587" i="1"/>
  <c r="T11588" i="1"/>
  <c r="T11589" i="1"/>
  <c r="T11590" i="1"/>
  <c r="T11591" i="1"/>
  <c r="T11592" i="1"/>
  <c r="T11593" i="1"/>
  <c r="T11594" i="1"/>
  <c r="T11595" i="1"/>
  <c r="T11596" i="1"/>
  <c r="T11597" i="1"/>
  <c r="T11598" i="1"/>
  <c r="T11599" i="1"/>
  <c r="T11600" i="1"/>
  <c r="T11601" i="1"/>
  <c r="T11602" i="1"/>
  <c r="T11603" i="1"/>
  <c r="T11604" i="1"/>
  <c r="T11605" i="1"/>
  <c r="T11606" i="1"/>
  <c r="T11607" i="1"/>
  <c r="T11608" i="1"/>
  <c r="T11609" i="1"/>
  <c r="T11610" i="1"/>
  <c r="T11611" i="1"/>
  <c r="T11612" i="1"/>
  <c r="T11613" i="1"/>
  <c r="T11614" i="1"/>
  <c r="T11615" i="1"/>
  <c r="T11616" i="1"/>
  <c r="T11617" i="1"/>
  <c r="T11618" i="1"/>
  <c r="T11619" i="1"/>
  <c r="T11620" i="1"/>
  <c r="T11621" i="1"/>
  <c r="T11622" i="1"/>
  <c r="T11623" i="1"/>
  <c r="T11624" i="1"/>
  <c r="T11625" i="1"/>
  <c r="T11626" i="1"/>
  <c r="T11627" i="1"/>
  <c r="T11628" i="1"/>
  <c r="T11629" i="1"/>
  <c r="T11630" i="1"/>
  <c r="T11631" i="1"/>
  <c r="T11632" i="1"/>
  <c r="T11633" i="1"/>
  <c r="T11634" i="1"/>
  <c r="T11635" i="1"/>
  <c r="T11636" i="1"/>
  <c r="T11637" i="1"/>
  <c r="T11638" i="1"/>
  <c r="T11639" i="1"/>
  <c r="T11640" i="1"/>
  <c r="T11641" i="1"/>
  <c r="T11642" i="1"/>
  <c r="T11643" i="1"/>
  <c r="T11644" i="1"/>
  <c r="T11645" i="1"/>
  <c r="T11646" i="1"/>
  <c r="T11647" i="1"/>
  <c r="T11648" i="1"/>
  <c r="T11649" i="1"/>
  <c r="T11650" i="1"/>
  <c r="T11651" i="1"/>
  <c r="T11652" i="1"/>
  <c r="T11653" i="1"/>
  <c r="T11654" i="1"/>
  <c r="T11655" i="1"/>
  <c r="T11656" i="1"/>
  <c r="T11657" i="1"/>
  <c r="T11658" i="1"/>
  <c r="T11659" i="1"/>
  <c r="T11660" i="1"/>
  <c r="T11661" i="1"/>
  <c r="T11662" i="1"/>
  <c r="T11663" i="1"/>
  <c r="T11664" i="1"/>
  <c r="T11665" i="1"/>
  <c r="T11666" i="1"/>
  <c r="T11667" i="1"/>
  <c r="T11668" i="1"/>
  <c r="T11669" i="1"/>
  <c r="T11670" i="1"/>
  <c r="T11671" i="1"/>
  <c r="T11672" i="1"/>
  <c r="T11673" i="1"/>
  <c r="T11674" i="1"/>
  <c r="T11675" i="1"/>
  <c r="T11676" i="1"/>
  <c r="T11677" i="1"/>
  <c r="T11678" i="1"/>
  <c r="T11679" i="1"/>
  <c r="T11680" i="1"/>
  <c r="T11681" i="1"/>
  <c r="T11682" i="1"/>
  <c r="T11683" i="1"/>
  <c r="T11684" i="1"/>
  <c r="T11685" i="1"/>
  <c r="T11686" i="1"/>
  <c r="T11687" i="1"/>
  <c r="T11688" i="1"/>
  <c r="T11689" i="1"/>
  <c r="T11690" i="1"/>
  <c r="T11691" i="1"/>
  <c r="T11692" i="1"/>
  <c r="T11693" i="1"/>
  <c r="T11694" i="1"/>
  <c r="T11695" i="1"/>
  <c r="T11696" i="1"/>
  <c r="T11697" i="1"/>
  <c r="T11698" i="1"/>
  <c r="T11699" i="1"/>
  <c r="T11700" i="1"/>
  <c r="T11701" i="1"/>
  <c r="T11702" i="1"/>
  <c r="T11703" i="1"/>
  <c r="T11704" i="1"/>
  <c r="T11705" i="1"/>
  <c r="T11706" i="1"/>
  <c r="T11707" i="1"/>
  <c r="T11708" i="1"/>
  <c r="T11709" i="1"/>
  <c r="T11710" i="1"/>
  <c r="T11711" i="1"/>
  <c r="T11712" i="1"/>
  <c r="T11713" i="1"/>
  <c r="T11714" i="1"/>
  <c r="T11715" i="1"/>
  <c r="T11716" i="1"/>
  <c r="T11717" i="1"/>
  <c r="T11718" i="1"/>
  <c r="T11719" i="1"/>
  <c r="T11720" i="1"/>
  <c r="T11721" i="1"/>
  <c r="T11722" i="1"/>
  <c r="T11723" i="1"/>
  <c r="T11724" i="1"/>
  <c r="T11725" i="1"/>
  <c r="T11726" i="1"/>
  <c r="T11727" i="1"/>
  <c r="T11728" i="1"/>
  <c r="T11729" i="1"/>
  <c r="T11730" i="1"/>
  <c r="T11731" i="1"/>
  <c r="T11732" i="1"/>
  <c r="T11733" i="1"/>
  <c r="T11734" i="1"/>
  <c r="T11735" i="1"/>
  <c r="T11736" i="1"/>
  <c r="T11737" i="1"/>
  <c r="T11738" i="1"/>
  <c r="T11739" i="1"/>
  <c r="T11740" i="1"/>
  <c r="T11741" i="1"/>
  <c r="T11742" i="1"/>
  <c r="T11743" i="1"/>
  <c r="T11744" i="1"/>
  <c r="T11745" i="1"/>
  <c r="T11746" i="1"/>
  <c r="T11747" i="1"/>
  <c r="T11748" i="1"/>
  <c r="T11749" i="1"/>
  <c r="T11750" i="1"/>
  <c r="T11751" i="1"/>
  <c r="T11752" i="1"/>
  <c r="T11753" i="1"/>
  <c r="T11754" i="1"/>
  <c r="T11755" i="1"/>
  <c r="T11756" i="1"/>
  <c r="T11757" i="1"/>
  <c r="T11758" i="1"/>
  <c r="T11759" i="1"/>
  <c r="T11760" i="1"/>
  <c r="T11761" i="1"/>
  <c r="T11762" i="1"/>
  <c r="T11763" i="1"/>
  <c r="T11764" i="1"/>
  <c r="T11765" i="1"/>
  <c r="T11766" i="1"/>
  <c r="T11767" i="1"/>
  <c r="T11768" i="1"/>
  <c r="T11769" i="1"/>
  <c r="T11770" i="1"/>
  <c r="T11771" i="1"/>
  <c r="T11772" i="1"/>
  <c r="T11773" i="1"/>
  <c r="T11774" i="1"/>
  <c r="T11775" i="1"/>
  <c r="T11776" i="1"/>
  <c r="T11777" i="1"/>
  <c r="T11778" i="1"/>
  <c r="T11779" i="1"/>
  <c r="T11780" i="1"/>
  <c r="T11781" i="1"/>
  <c r="T11782" i="1"/>
  <c r="T11783" i="1"/>
  <c r="T11784" i="1"/>
  <c r="T11785" i="1"/>
  <c r="T11786" i="1"/>
  <c r="T11787" i="1"/>
  <c r="T11788" i="1"/>
  <c r="T11789" i="1"/>
  <c r="T11790" i="1"/>
  <c r="T11791" i="1"/>
  <c r="T11792" i="1"/>
  <c r="T11793" i="1"/>
  <c r="T11794" i="1"/>
  <c r="T11795" i="1"/>
  <c r="T11796" i="1"/>
  <c r="T11797" i="1"/>
  <c r="T11798" i="1"/>
  <c r="T11799" i="1"/>
  <c r="T11800" i="1"/>
  <c r="T11801" i="1"/>
  <c r="T11802" i="1"/>
  <c r="T11803" i="1"/>
  <c r="T11804" i="1"/>
  <c r="T11805" i="1"/>
  <c r="T11806" i="1"/>
  <c r="T11807" i="1"/>
  <c r="T11808" i="1"/>
  <c r="T11809" i="1"/>
  <c r="T11810" i="1"/>
  <c r="T11811" i="1"/>
  <c r="T11812" i="1"/>
  <c r="T11813" i="1"/>
  <c r="T11814" i="1"/>
  <c r="T11815" i="1"/>
  <c r="T11816" i="1"/>
  <c r="T11817" i="1"/>
  <c r="T11818" i="1"/>
  <c r="T11819" i="1"/>
  <c r="T11820" i="1"/>
  <c r="T11821" i="1"/>
  <c r="T11822" i="1"/>
  <c r="T11823" i="1"/>
  <c r="T11824" i="1"/>
  <c r="T11825" i="1"/>
  <c r="T11826" i="1"/>
  <c r="T11827" i="1"/>
  <c r="T11828" i="1"/>
  <c r="T11829" i="1"/>
  <c r="T11830" i="1"/>
  <c r="T11831" i="1"/>
  <c r="T11832" i="1"/>
  <c r="T11833" i="1"/>
  <c r="T11834" i="1"/>
  <c r="T11835" i="1"/>
  <c r="T11836" i="1"/>
  <c r="T11837" i="1"/>
  <c r="T11838" i="1"/>
  <c r="T11839" i="1"/>
  <c r="T11840" i="1"/>
  <c r="T11841" i="1"/>
  <c r="T11842" i="1"/>
  <c r="T11843" i="1"/>
  <c r="T11844" i="1"/>
  <c r="T11845" i="1"/>
  <c r="T11846" i="1"/>
  <c r="T11847" i="1"/>
  <c r="T11848" i="1"/>
  <c r="T11849" i="1"/>
  <c r="T11850" i="1"/>
  <c r="T11851" i="1"/>
  <c r="T11852" i="1"/>
  <c r="T11853" i="1"/>
  <c r="T11854" i="1"/>
  <c r="T11855" i="1"/>
  <c r="T11856" i="1"/>
  <c r="T11857" i="1"/>
  <c r="T11858" i="1"/>
  <c r="T11859" i="1"/>
  <c r="T11860" i="1"/>
  <c r="T11861" i="1"/>
  <c r="T11862" i="1"/>
  <c r="T11863" i="1"/>
  <c r="T11864" i="1"/>
  <c r="T11865" i="1"/>
  <c r="T11866" i="1"/>
  <c r="T11867" i="1"/>
  <c r="T11868" i="1"/>
  <c r="T11869" i="1"/>
  <c r="T11870" i="1"/>
  <c r="T11871" i="1"/>
  <c r="T11872" i="1"/>
  <c r="T11873" i="1"/>
  <c r="T11874" i="1"/>
  <c r="T11875" i="1"/>
  <c r="T11876" i="1"/>
  <c r="T11877" i="1"/>
  <c r="T11878" i="1"/>
  <c r="T11879" i="1"/>
  <c r="T11880" i="1"/>
  <c r="T11881" i="1"/>
  <c r="T11882" i="1"/>
  <c r="T11883" i="1"/>
  <c r="T11884" i="1"/>
  <c r="T11885" i="1"/>
  <c r="T11886" i="1"/>
  <c r="T11887" i="1"/>
  <c r="T11888" i="1"/>
  <c r="T11889" i="1"/>
  <c r="T11890" i="1"/>
  <c r="T11891" i="1"/>
  <c r="T11892" i="1"/>
  <c r="T11893" i="1"/>
  <c r="T11894" i="1"/>
  <c r="T11895" i="1"/>
  <c r="T11896" i="1"/>
  <c r="T11897" i="1"/>
  <c r="T11898" i="1"/>
  <c r="T11899" i="1"/>
  <c r="T11900" i="1"/>
  <c r="T11901" i="1"/>
  <c r="T11902" i="1"/>
  <c r="T11903" i="1"/>
  <c r="T11904" i="1"/>
  <c r="T11905" i="1"/>
  <c r="T11906" i="1"/>
  <c r="T11907" i="1"/>
  <c r="T11908" i="1"/>
  <c r="T11909" i="1"/>
  <c r="T11910" i="1"/>
  <c r="T11911" i="1"/>
  <c r="T11912" i="1"/>
  <c r="T11913" i="1"/>
  <c r="T11914" i="1"/>
  <c r="T11915" i="1"/>
  <c r="T11916" i="1"/>
  <c r="T11917" i="1"/>
  <c r="T11918" i="1"/>
  <c r="T11919" i="1"/>
  <c r="T11920" i="1"/>
  <c r="T11921" i="1"/>
  <c r="T11922" i="1"/>
  <c r="T11923" i="1"/>
  <c r="T11924" i="1"/>
  <c r="T11925" i="1"/>
  <c r="T11926" i="1"/>
  <c r="T11927" i="1"/>
  <c r="T11928" i="1"/>
  <c r="T11929" i="1"/>
  <c r="T11930" i="1"/>
  <c r="T11931" i="1"/>
  <c r="T11932" i="1"/>
  <c r="T11933" i="1"/>
  <c r="T11934" i="1"/>
  <c r="T11935" i="1"/>
  <c r="T11936" i="1"/>
  <c r="T11937" i="1"/>
  <c r="T11938" i="1"/>
  <c r="T11939" i="1"/>
  <c r="T11940" i="1"/>
  <c r="T11941" i="1"/>
  <c r="T11942" i="1"/>
  <c r="T11943" i="1"/>
  <c r="T11944" i="1"/>
  <c r="T11945" i="1"/>
  <c r="T11946" i="1"/>
  <c r="T11947" i="1"/>
  <c r="T11948" i="1"/>
  <c r="T11949" i="1"/>
  <c r="T11950" i="1"/>
  <c r="T11951" i="1"/>
  <c r="T11952" i="1"/>
  <c r="T11953" i="1"/>
  <c r="T11954" i="1"/>
  <c r="T11955" i="1"/>
  <c r="T11956" i="1"/>
  <c r="T11957" i="1"/>
  <c r="T11958" i="1"/>
  <c r="T11959" i="1"/>
  <c r="T11960" i="1"/>
  <c r="T11961" i="1"/>
  <c r="T11962" i="1"/>
  <c r="T11963" i="1"/>
  <c r="T11964" i="1"/>
  <c r="T11965" i="1"/>
  <c r="T11966" i="1"/>
  <c r="T11967" i="1"/>
  <c r="T11968" i="1"/>
  <c r="T11969" i="1"/>
  <c r="T11970" i="1"/>
  <c r="T11971" i="1"/>
  <c r="T11972" i="1"/>
  <c r="T11973" i="1"/>
  <c r="T11974" i="1"/>
  <c r="T11975" i="1"/>
  <c r="T11976" i="1"/>
  <c r="T11977" i="1"/>
  <c r="T11978" i="1"/>
  <c r="T11979" i="1"/>
  <c r="T11980" i="1"/>
  <c r="T11981" i="1"/>
  <c r="T11982" i="1"/>
  <c r="T11983" i="1"/>
  <c r="T11984" i="1"/>
  <c r="T11985" i="1"/>
  <c r="T11986" i="1"/>
  <c r="T11987" i="1"/>
  <c r="T11988" i="1"/>
  <c r="T11989" i="1"/>
  <c r="T11990" i="1"/>
  <c r="T11991" i="1"/>
  <c r="T11992" i="1"/>
  <c r="T11993" i="1"/>
  <c r="T11994" i="1"/>
  <c r="T11995" i="1"/>
  <c r="T11996" i="1"/>
  <c r="T11997" i="1"/>
  <c r="T11998" i="1"/>
  <c r="T11999" i="1"/>
  <c r="T12000" i="1"/>
  <c r="T12001" i="1"/>
  <c r="J13" i="2"/>
  <c r="J14" i="2"/>
  <c r="J15" i="2"/>
  <c r="J16" i="2"/>
  <c r="J17" i="2"/>
  <c r="J18" i="2"/>
  <c r="J19" i="2"/>
  <c r="J20" i="2"/>
  <c r="J21" i="2"/>
  <c r="J22" i="2"/>
  <c r="J23" i="2"/>
  <c r="J24" i="2"/>
  <c r="J25" i="2"/>
  <c r="J26" i="2"/>
  <c r="J27" i="2"/>
  <c r="J28" i="2"/>
  <c r="J29" i="2"/>
  <c r="J30" i="2"/>
  <c r="J31" i="2"/>
  <c r="J32" i="2"/>
  <c r="J33" i="2"/>
  <c r="J34" i="2"/>
  <c r="J35" i="2"/>
  <c r="J36" i="2"/>
  <c r="J37" i="2"/>
  <c r="J38" i="2"/>
  <c r="J39" i="2"/>
  <c r="J40" i="2"/>
  <c r="J41" i="2"/>
  <c r="J42" i="2"/>
  <c r="J43" i="2"/>
  <c r="J44" i="2"/>
  <c r="J45" i="2"/>
  <c r="J46" i="2"/>
  <c r="J47" i="2"/>
  <c r="J48" i="2"/>
  <c r="J49" i="2"/>
  <c r="J50" i="2"/>
  <c r="J51" i="2"/>
  <c r="J52" i="2"/>
  <c r="J53" i="2"/>
  <c r="J54" i="2"/>
  <c r="J55" i="2"/>
  <c r="J56" i="2"/>
  <c r="J57" i="2"/>
  <c r="J58" i="2"/>
  <c r="J59" i="2"/>
  <c r="J60" i="2"/>
  <c r="J61" i="2"/>
  <c r="J62" i="2"/>
  <c r="J63" i="2"/>
  <c r="J64" i="2"/>
  <c r="J65" i="2"/>
  <c r="J66" i="2"/>
  <c r="J67" i="2"/>
  <c r="J68" i="2"/>
  <c r="J69" i="2"/>
  <c r="J70" i="2"/>
  <c r="J71" i="2"/>
  <c r="J72" i="2"/>
  <c r="J73" i="2"/>
  <c r="J74" i="2"/>
  <c r="J75" i="2"/>
  <c r="J76" i="2"/>
  <c r="J77" i="2"/>
  <c r="J78" i="2"/>
  <c r="J79" i="2"/>
  <c r="J80" i="2"/>
  <c r="J81" i="2"/>
  <c r="J82" i="2"/>
  <c r="J83" i="2"/>
  <c r="J84" i="2"/>
  <c r="J85" i="2"/>
  <c r="J86" i="2"/>
  <c r="J87" i="2"/>
  <c r="J88" i="2"/>
  <c r="J89" i="2"/>
  <c r="J90" i="2"/>
  <c r="J91" i="2"/>
  <c r="J92" i="2"/>
  <c r="J93" i="2"/>
  <c r="J94" i="2"/>
  <c r="J95" i="2"/>
  <c r="J96" i="2"/>
  <c r="J97" i="2"/>
  <c r="J98" i="2"/>
  <c r="J99" i="2"/>
  <c r="J100" i="2"/>
  <c r="J101" i="2"/>
  <c r="J102" i="2"/>
  <c r="J103" i="2"/>
  <c r="J104" i="2"/>
  <c r="J105" i="2"/>
  <c r="J106" i="2"/>
  <c r="J107" i="2"/>
  <c r="J108" i="2"/>
  <c r="J109" i="2"/>
  <c r="J110" i="2"/>
  <c r="J111" i="2"/>
  <c r="J112" i="2"/>
  <c r="J113" i="2"/>
  <c r="J114" i="2"/>
  <c r="J115" i="2"/>
  <c r="J116" i="2"/>
  <c r="J117" i="2"/>
  <c r="J118" i="2"/>
  <c r="J119" i="2"/>
  <c r="J120" i="2"/>
  <c r="J121" i="2"/>
  <c r="J122" i="2"/>
  <c r="J123" i="2"/>
  <c r="J124" i="2"/>
  <c r="J125" i="2"/>
  <c r="J126" i="2"/>
  <c r="J127" i="2"/>
  <c r="J128" i="2"/>
  <c r="J129" i="2"/>
  <c r="J130" i="2"/>
  <c r="J131" i="2"/>
  <c r="J132" i="2"/>
  <c r="J133" i="2"/>
  <c r="J134" i="2"/>
  <c r="J135" i="2"/>
  <c r="J136" i="2"/>
  <c r="J137" i="2"/>
  <c r="J138" i="2"/>
  <c r="J139" i="2"/>
  <c r="J140" i="2"/>
  <c r="J141" i="2"/>
  <c r="J142" i="2"/>
  <c r="J143" i="2"/>
  <c r="J144" i="2"/>
  <c r="J145" i="2"/>
  <c r="J146" i="2"/>
  <c r="J147" i="2"/>
  <c r="J148" i="2"/>
  <c r="J149" i="2"/>
  <c r="J150" i="2"/>
  <c r="J151" i="2"/>
  <c r="J152" i="2"/>
  <c r="J153" i="2"/>
  <c r="J154" i="2"/>
  <c r="J155" i="2"/>
  <c r="J156" i="2"/>
  <c r="J157" i="2"/>
  <c r="J158" i="2"/>
  <c r="J159" i="2"/>
  <c r="J160" i="2"/>
  <c r="J161" i="2"/>
  <c r="J162" i="2"/>
  <c r="J163" i="2"/>
  <c r="J164" i="2"/>
  <c r="J165" i="2"/>
  <c r="J166" i="2"/>
  <c r="J167" i="2"/>
  <c r="J168" i="2"/>
  <c r="J169" i="2"/>
  <c r="J170" i="2"/>
  <c r="J171" i="2"/>
  <c r="J172" i="2"/>
  <c r="J173" i="2"/>
  <c r="J174" i="2"/>
  <c r="J175" i="2"/>
  <c r="J176" i="2"/>
  <c r="J177" i="2"/>
  <c r="J178" i="2"/>
  <c r="J179" i="2"/>
  <c r="J180" i="2"/>
  <c r="J181" i="2"/>
  <c r="J182" i="2"/>
  <c r="J183" i="2"/>
  <c r="J184" i="2"/>
  <c r="J185" i="2"/>
  <c r="J186" i="2"/>
  <c r="J187" i="2"/>
  <c r="J188" i="2"/>
  <c r="J189" i="2"/>
  <c r="J190" i="2"/>
  <c r="J191" i="2"/>
  <c r="J192" i="2"/>
  <c r="J193" i="2"/>
  <c r="J194" i="2"/>
  <c r="J195" i="2"/>
  <c r="J196" i="2"/>
  <c r="J197" i="2"/>
  <c r="J198" i="2"/>
  <c r="J199" i="2"/>
  <c r="J200" i="2"/>
  <c r="J201" i="2"/>
  <c r="J202" i="2"/>
  <c r="J203" i="2"/>
  <c r="J204" i="2"/>
  <c r="J205" i="2"/>
  <c r="J206" i="2"/>
  <c r="J207" i="2"/>
  <c r="J208" i="2"/>
  <c r="J209" i="2"/>
  <c r="J210" i="2"/>
  <c r="J211" i="2"/>
  <c r="J212" i="2"/>
  <c r="J213" i="2"/>
  <c r="J214" i="2"/>
  <c r="J215" i="2"/>
  <c r="J216" i="2"/>
  <c r="J217" i="2"/>
  <c r="J218" i="2"/>
  <c r="J219" i="2"/>
  <c r="J220" i="2"/>
  <c r="J221" i="2"/>
  <c r="J222" i="2"/>
  <c r="J223" i="2"/>
  <c r="J224" i="2"/>
  <c r="J225" i="2"/>
  <c r="J226" i="2"/>
  <c r="J227" i="2"/>
  <c r="J228" i="2"/>
  <c r="J229" i="2"/>
  <c r="J230" i="2"/>
  <c r="J231" i="2"/>
  <c r="J232" i="2"/>
  <c r="J233" i="2"/>
  <c r="J234" i="2"/>
  <c r="J235" i="2"/>
  <c r="J236" i="2"/>
  <c r="J237" i="2"/>
  <c r="J238" i="2"/>
  <c r="J239" i="2"/>
  <c r="J240" i="2"/>
  <c r="J241" i="2"/>
  <c r="J242" i="2"/>
  <c r="J243" i="2"/>
  <c r="J244" i="2"/>
  <c r="J245" i="2"/>
  <c r="J246" i="2"/>
  <c r="J247" i="2"/>
  <c r="J248" i="2"/>
  <c r="J249" i="2"/>
  <c r="J250" i="2"/>
  <c r="J251" i="2"/>
  <c r="J252" i="2"/>
  <c r="J253" i="2"/>
  <c r="J254" i="2"/>
  <c r="J255" i="2"/>
  <c r="J256" i="2"/>
  <c r="J257" i="2"/>
  <c r="J258" i="2"/>
  <c r="J259" i="2"/>
  <c r="J260" i="2"/>
  <c r="J261" i="2"/>
  <c r="J262" i="2"/>
  <c r="J263" i="2"/>
  <c r="J264" i="2"/>
  <c r="J265" i="2"/>
  <c r="J266" i="2"/>
  <c r="J267" i="2"/>
  <c r="J268" i="2"/>
  <c r="J269" i="2"/>
  <c r="J270" i="2"/>
  <c r="J271" i="2"/>
  <c r="J272" i="2"/>
  <c r="J273" i="2"/>
  <c r="J274" i="2"/>
  <c r="J275" i="2"/>
  <c r="J276" i="2"/>
  <c r="J277" i="2"/>
  <c r="J278" i="2"/>
  <c r="J279" i="2"/>
  <c r="J280" i="2"/>
  <c r="J281" i="2"/>
  <c r="J282" i="2"/>
  <c r="J283" i="2"/>
  <c r="J284" i="2"/>
  <c r="J285" i="2"/>
  <c r="J286" i="2"/>
  <c r="J287" i="2"/>
  <c r="J288" i="2"/>
  <c r="J289" i="2"/>
  <c r="J290" i="2"/>
  <c r="J291" i="2"/>
  <c r="J292" i="2"/>
  <c r="J293" i="2"/>
  <c r="J294" i="2"/>
  <c r="J295" i="2"/>
  <c r="J296" i="2"/>
  <c r="J297" i="2"/>
  <c r="J298" i="2"/>
  <c r="J299" i="2"/>
  <c r="J300" i="2"/>
  <c r="J301" i="2"/>
  <c r="J302" i="2"/>
  <c r="J303" i="2"/>
  <c r="J304" i="2"/>
  <c r="J305" i="2"/>
  <c r="J306" i="2"/>
  <c r="J307" i="2"/>
  <c r="J308" i="2"/>
  <c r="J309" i="2"/>
  <c r="J310" i="2"/>
  <c r="J311" i="2"/>
  <c r="J312" i="2"/>
  <c r="J313" i="2"/>
  <c r="J314" i="2"/>
  <c r="J315" i="2"/>
  <c r="J316" i="2"/>
  <c r="J317" i="2"/>
  <c r="J318" i="2"/>
  <c r="J319" i="2"/>
  <c r="J320" i="2"/>
  <c r="J321" i="2"/>
  <c r="J322" i="2"/>
  <c r="J323" i="2"/>
  <c r="J324" i="2"/>
  <c r="J325" i="2"/>
  <c r="J326" i="2"/>
  <c r="J327" i="2"/>
  <c r="J328" i="2"/>
  <c r="J329" i="2"/>
  <c r="J330" i="2"/>
  <c r="J331" i="2"/>
  <c r="J332" i="2"/>
  <c r="J333" i="2"/>
  <c r="J334" i="2"/>
  <c r="J335" i="2"/>
  <c r="J336" i="2"/>
  <c r="J337" i="2"/>
  <c r="J338" i="2"/>
  <c r="J339" i="2"/>
  <c r="J340" i="2"/>
  <c r="J341" i="2"/>
  <c r="J342" i="2"/>
  <c r="J343" i="2"/>
  <c r="J344" i="2"/>
  <c r="J345" i="2"/>
  <c r="J346" i="2"/>
  <c r="J347" i="2"/>
  <c r="J348" i="2"/>
  <c r="J349" i="2"/>
  <c r="J350" i="2"/>
  <c r="J351" i="2"/>
  <c r="J352" i="2"/>
  <c r="J353" i="2"/>
  <c r="J354" i="2"/>
  <c r="J355" i="2"/>
  <c r="J356" i="2"/>
  <c r="J357" i="2"/>
  <c r="J358" i="2"/>
  <c r="J359" i="2"/>
  <c r="J360" i="2"/>
  <c r="J361" i="2"/>
  <c r="J362" i="2"/>
  <c r="J363" i="2"/>
  <c r="J364" i="2"/>
  <c r="J365" i="2"/>
  <c r="J366" i="2"/>
  <c r="J367" i="2"/>
  <c r="J368" i="2"/>
  <c r="J369" i="2"/>
  <c r="J370" i="2"/>
  <c r="J371" i="2"/>
  <c r="J372" i="2"/>
  <c r="J373" i="2"/>
  <c r="J374" i="2"/>
  <c r="J375" i="2"/>
  <c r="J376" i="2"/>
  <c r="J377" i="2"/>
  <c r="J378" i="2"/>
  <c r="J379" i="2"/>
  <c r="J380" i="2"/>
  <c r="J381" i="2"/>
  <c r="J382" i="2"/>
  <c r="J383" i="2"/>
  <c r="J384" i="2"/>
  <c r="J385" i="2"/>
  <c r="J386" i="2"/>
  <c r="J387" i="2"/>
  <c r="J388" i="2"/>
  <c r="J389" i="2"/>
  <c r="J390" i="2"/>
  <c r="J391" i="2"/>
  <c r="J392" i="2"/>
  <c r="J393" i="2"/>
  <c r="J394" i="2"/>
  <c r="J395" i="2"/>
  <c r="J396" i="2"/>
  <c r="J397" i="2"/>
  <c r="J398" i="2"/>
  <c r="J399" i="2"/>
  <c r="J400" i="2"/>
  <c r="J401" i="2"/>
  <c r="J402" i="2"/>
  <c r="J403" i="2"/>
  <c r="J404" i="2"/>
  <c r="J405" i="2"/>
  <c r="J406" i="2"/>
  <c r="J407" i="2"/>
  <c r="J408" i="2"/>
  <c r="J409" i="2"/>
  <c r="J410" i="2"/>
  <c r="J411" i="2"/>
  <c r="J412" i="2"/>
  <c r="J413" i="2"/>
  <c r="J414" i="2"/>
  <c r="J415" i="2"/>
  <c r="J416" i="2"/>
  <c r="J417" i="2"/>
  <c r="J418" i="2"/>
  <c r="J419" i="2"/>
  <c r="J420" i="2"/>
  <c r="J421" i="2"/>
  <c r="J422" i="2"/>
  <c r="J423" i="2"/>
  <c r="J424" i="2"/>
  <c r="J425" i="2"/>
  <c r="J426" i="2"/>
  <c r="J427" i="2"/>
  <c r="J428" i="2"/>
  <c r="J429" i="2"/>
  <c r="J430" i="2"/>
  <c r="J431" i="2"/>
  <c r="J432" i="2"/>
  <c r="J433" i="2"/>
  <c r="J434" i="2"/>
  <c r="J435" i="2"/>
  <c r="J436" i="2"/>
  <c r="J437" i="2"/>
  <c r="J438" i="2"/>
  <c r="J439" i="2"/>
  <c r="J440" i="2"/>
  <c r="J441" i="2"/>
  <c r="J442" i="2"/>
  <c r="J443" i="2"/>
  <c r="J444" i="2"/>
  <c r="J445" i="2"/>
  <c r="J446" i="2"/>
  <c r="J447" i="2"/>
  <c r="J448" i="2"/>
  <c r="J449" i="2"/>
  <c r="J450" i="2"/>
  <c r="J451" i="2"/>
  <c r="J452" i="2"/>
  <c r="J453" i="2"/>
  <c r="J454" i="2"/>
  <c r="J455" i="2"/>
  <c r="J456" i="2"/>
  <c r="J457" i="2"/>
  <c r="J458" i="2"/>
  <c r="J459" i="2"/>
  <c r="J460" i="2"/>
  <c r="J461" i="2"/>
  <c r="J462" i="2"/>
  <c r="J463" i="2"/>
  <c r="J464" i="2"/>
  <c r="J465" i="2"/>
  <c r="J466" i="2"/>
  <c r="J467" i="2"/>
  <c r="J468" i="2"/>
  <c r="J469" i="2"/>
  <c r="J470" i="2"/>
  <c r="J471" i="2"/>
  <c r="J472" i="2"/>
  <c r="J473" i="2"/>
  <c r="J474" i="2"/>
  <c r="J475" i="2"/>
  <c r="J476" i="2"/>
  <c r="J477" i="2"/>
  <c r="J478" i="2"/>
  <c r="J479" i="2"/>
  <c r="J480" i="2"/>
  <c r="J481" i="2"/>
  <c r="J482" i="2"/>
  <c r="J483" i="2"/>
  <c r="J484" i="2"/>
  <c r="J485" i="2"/>
  <c r="J486" i="2"/>
  <c r="J487" i="2"/>
  <c r="J488" i="2"/>
  <c r="J489" i="2"/>
  <c r="J490" i="2"/>
  <c r="J491" i="2"/>
  <c r="J492" i="2"/>
  <c r="J493" i="2"/>
  <c r="J494" i="2"/>
  <c r="J495" i="2"/>
  <c r="J496" i="2"/>
  <c r="J497" i="2"/>
  <c r="J498" i="2"/>
  <c r="J499" i="2"/>
  <c r="J500" i="2"/>
  <c r="J501" i="2"/>
  <c r="J502" i="2"/>
  <c r="J503" i="2"/>
  <c r="J504" i="2"/>
  <c r="J505" i="2"/>
  <c r="J506" i="2"/>
  <c r="J507" i="2"/>
  <c r="J508" i="2"/>
  <c r="J509" i="2"/>
  <c r="J510" i="2"/>
  <c r="J511" i="2"/>
  <c r="J512" i="2"/>
  <c r="J513" i="2"/>
  <c r="J514" i="2"/>
  <c r="J515" i="2"/>
  <c r="J516" i="2"/>
  <c r="J517" i="2"/>
  <c r="J518" i="2"/>
  <c r="J519" i="2"/>
  <c r="J520" i="2"/>
  <c r="J521" i="2"/>
  <c r="J522" i="2"/>
  <c r="J523" i="2"/>
  <c r="J524" i="2"/>
  <c r="J525" i="2"/>
  <c r="J526" i="2"/>
  <c r="J527" i="2"/>
  <c r="J528" i="2"/>
  <c r="J529" i="2"/>
  <c r="J530" i="2"/>
  <c r="J531" i="2"/>
  <c r="J532" i="2"/>
  <c r="J533" i="2"/>
  <c r="J534" i="2"/>
  <c r="J535" i="2"/>
  <c r="J536" i="2"/>
  <c r="J537" i="2"/>
  <c r="J538" i="2"/>
  <c r="J539" i="2"/>
  <c r="J540" i="2"/>
  <c r="J541" i="2"/>
  <c r="J542" i="2"/>
  <c r="J543" i="2"/>
  <c r="J544" i="2"/>
  <c r="J545" i="2"/>
  <c r="J546" i="2"/>
  <c r="J547" i="2"/>
  <c r="J548" i="2"/>
  <c r="J549" i="2"/>
  <c r="J550" i="2"/>
  <c r="J551" i="2"/>
  <c r="J552" i="2"/>
  <c r="J553" i="2"/>
  <c r="J554" i="2"/>
  <c r="J555" i="2"/>
  <c r="J556" i="2"/>
  <c r="J557" i="2"/>
  <c r="J558" i="2"/>
  <c r="J559" i="2"/>
  <c r="J560" i="2"/>
  <c r="J561" i="2"/>
  <c r="J562" i="2"/>
  <c r="J563" i="2"/>
  <c r="J564" i="2"/>
  <c r="J565" i="2"/>
  <c r="J566" i="2"/>
  <c r="J567" i="2"/>
  <c r="J568" i="2"/>
  <c r="J569" i="2"/>
  <c r="J570" i="2"/>
  <c r="J571" i="2"/>
  <c r="J572" i="2"/>
  <c r="J573" i="2"/>
  <c r="J574" i="2"/>
  <c r="J575" i="2"/>
  <c r="J576" i="2"/>
  <c r="J577" i="2"/>
  <c r="J578" i="2"/>
  <c r="J579" i="2"/>
  <c r="J580" i="2"/>
  <c r="J581" i="2"/>
  <c r="J582" i="2"/>
  <c r="J583" i="2"/>
  <c r="J584" i="2"/>
  <c r="J585" i="2"/>
  <c r="J586" i="2"/>
  <c r="J587" i="2"/>
  <c r="J588" i="2"/>
  <c r="J589" i="2"/>
  <c r="J590" i="2"/>
  <c r="J591" i="2"/>
  <c r="J592" i="2"/>
  <c r="J593" i="2"/>
  <c r="J594" i="2"/>
  <c r="J595" i="2"/>
  <c r="J596" i="2"/>
  <c r="J597" i="2"/>
  <c r="J598" i="2"/>
  <c r="J599" i="2"/>
  <c r="J600" i="2"/>
  <c r="J601" i="2"/>
  <c r="J602" i="2"/>
  <c r="J603" i="2"/>
  <c r="J604" i="2"/>
  <c r="J605" i="2"/>
  <c r="J606" i="2"/>
  <c r="J607" i="2"/>
  <c r="J608" i="2"/>
  <c r="J609" i="2"/>
  <c r="J610" i="2"/>
  <c r="J611" i="2"/>
  <c r="J612" i="2"/>
  <c r="J613" i="2"/>
  <c r="J614" i="2"/>
  <c r="J615" i="2"/>
  <c r="J616" i="2"/>
  <c r="J617" i="2"/>
  <c r="J618" i="2"/>
  <c r="J619" i="2"/>
  <c r="J620" i="2"/>
  <c r="J621" i="2"/>
  <c r="J622" i="2"/>
  <c r="J623" i="2"/>
  <c r="J624" i="2"/>
  <c r="J625" i="2"/>
  <c r="J626" i="2"/>
  <c r="J627" i="2"/>
  <c r="J628" i="2"/>
  <c r="J629" i="2"/>
  <c r="J630" i="2"/>
  <c r="J631" i="2"/>
  <c r="J632" i="2"/>
  <c r="J633" i="2"/>
  <c r="J634" i="2"/>
  <c r="J635" i="2"/>
  <c r="J636" i="2"/>
  <c r="J637" i="2"/>
  <c r="J638" i="2"/>
  <c r="J639" i="2"/>
  <c r="J640" i="2"/>
  <c r="J641" i="2"/>
  <c r="J642" i="2"/>
  <c r="J643" i="2"/>
  <c r="J644" i="2"/>
  <c r="J645" i="2"/>
  <c r="J646" i="2"/>
  <c r="J647" i="2"/>
  <c r="J648" i="2"/>
  <c r="J649" i="2"/>
  <c r="J650" i="2"/>
  <c r="J651" i="2"/>
  <c r="J652" i="2"/>
  <c r="J653" i="2"/>
  <c r="J654" i="2"/>
  <c r="J655" i="2"/>
  <c r="J656" i="2"/>
  <c r="J657" i="2"/>
  <c r="J658" i="2"/>
  <c r="J659" i="2"/>
  <c r="J660" i="2"/>
  <c r="J661" i="2"/>
  <c r="J662" i="2"/>
  <c r="J663" i="2"/>
  <c r="J664" i="2"/>
  <c r="J665" i="2"/>
  <c r="J666" i="2"/>
  <c r="J667" i="2"/>
  <c r="J668" i="2"/>
  <c r="J669" i="2"/>
  <c r="J670" i="2"/>
  <c r="J671" i="2"/>
  <c r="J672" i="2"/>
  <c r="J673" i="2"/>
  <c r="J674" i="2"/>
  <c r="J675" i="2"/>
  <c r="J676" i="2"/>
  <c r="J677" i="2"/>
  <c r="J678" i="2"/>
  <c r="J679" i="2"/>
  <c r="J680" i="2"/>
  <c r="J681" i="2"/>
  <c r="J682" i="2"/>
  <c r="J683" i="2"/>
  <c r="J684" i="2"/>
  <c r="J685" i="2"/>
  <c r="J686" i="2"/>
  <c r="J687" i="2"/>
  <c r="J688" i="2"/>
  <c r="J689" i="2"/>
  <c r="J690" i="2"/>
  <c r="J691" i="2"/>
  <c r="J692" i="2"/>
  <c r="J693" i="2"/>
  <c r="J694" i="2"/>
  <c r="J695" i="2"/>
  <c r="J696" i="2"/>
  <c r="J697" i="2"/>
  <c r="J698" i="2"/>
  <c r="J699" i="2"/>
  <c r="J700" i="2"/>
  <c r="J701" i="2"/>
  <c r="J702" i="2"/>
  <c r="J703" i="2"/>
  <c r="J704" i="2"/>
  <c r="J705" i="2"/>
  <c r="J706" i="2"/>
  <c r="J707" i="2"/>
  <c r="J708" i="2"/>
  <c r="J709" i="2"/>
  <c r="J710" i="2"/>
  <c r="J711" i="2"/>
  <c r="J712" i="2"/>
  <c r="J713" i="2"/>
  <c r="J714" i="2"/>
  <c r="J715" i="2"/>
  <c r="J716" i="2"/>
  <c r="J717" i="2"/>
  <c r="J718" i="2"/>
  <c r="J719" i="2"/>
  <c r="J720" i="2"/>
  <c r="J721" i="2"/>
  <c r="J722" i="2"/>
  <c r="J723" i="2"/>
  <c r="J724" i="2"/>
  <c r="J725" i="2"/>
  <c r="J726" i="2"/>
  <c r="J727" i="2"/>
  <c r="J728" i="2"/>
  <c r="J729" i="2"/>
  <c r="J730" i="2"/>
  <c r="J731" i="2"/>
  <c r="J732" i="2"/>
  <c r="J733" i="2"/>
  <c r="J734" i="2"/>
  <c r="J735" i="2"/>
  <c r="J736" i="2"/>
  <c r="J737" i="2"/>
  <c r="J738" i="2"/>
  <c r="J739" i="2"/>
  <c r="J740" i="2"/>
  <c r="J741" i="2"/>
  <c r="J742" i="2"/>
  <c r="J743" i="2"/>
  <c r="J744" i="2"/>
  <c r="J745" i="2"/>
  <c r="J746" i="2"/>
  <c r="J747" i="2"/>
  <c r="J748" i="2"/>
  <c r="J749" i="2"/>
  <c r="J750" i="2"/>
  <c r="J751" i="2"/>
  <c r="J752" i="2"/>
  <c r="J753" i="2"/>
  <c r="J754" i="2"/>
  <c r="J755" i="2"/>
  <c r="J756" i="2"/>
  <c r="J757" i="2"/>
  <c r="J758" i="2"/>
  <c r="J759" i="2"/>
  <c r="J760" i="2"/>
  <c r="J761" i="2"/>
  <c r="J762" i="2"/>
  <c r="J763" i="2"/>
  <c r="J764" i="2"/>
  <c r="J765" i="2"/>
  <c r="J766" i="2"/>
  <c r="J767" i="2"/>
  <c r="J768" i="2"/>
  <c r="J769" i="2"/>
  <c r="J770" i="2"/>
  <c r="J771" i="2"/>
  <c r="J772" i="2"/>
  <c r="J773" i="2"/>
  <c r="J774" i="2"/>
  <c r="J775" i="2"/>
  <c r="J776" i="2"/>
  <c r="J777" i="2"/>
  <c r="J778" i="2"/>
  <c r="J779" i="2"/>
  <c r="J780" i="2"/>
  <c r="J781" i="2"/>
  <c r="J782" i="2"/>
  <c r="J783" i="2"/>
  <c r="J784" i="2"/>
  <c r="J785" i="2"/>
  <c r="J786" i="2"/>
  <c r="J787" i="2"/>
  <c r="J788" i="2"/>
  <c r="J789" i="2"/>
  <c r="J790" i="2"/>
  <c r="J791" i="2"/>
  <c r="J792" i="2"/>
  <c r="J793" i="2"/>
  <c r="J794" i="2"/>
  <c r="J795" i="2"/>
  <c r="J796" i="2"/>
  <c r="J797" i="2"/>
  <c r="J798" i="2"/>
  <c r="J799" i="2"/>
  <c r="J800" i="2"/>
  <c r="J801" i="2"/>
  <c r="J802" i="2"/>
  <c r="J803" i="2"/>
  <c r="J804" i="2"/>
  <c r="J805" i="2"/>
  <c r="J806" i="2"/>
  <c r="J807" i="2"/>
  <c r="J808" i="2"/>
  <c r="J809" i="2"/>
  <c r="J810" i="2"/>
  <c r="J811" i="2"/>
  <c r="J812" i="2"/>
  <c r="J813" i="2"/>
  <c r="J814" i="2"/>
  <c r="J815" i="2"/>
  <c r="J816" i="2"/>
  <c r="J817" i="2"/>
  <c r="J818" i="2"/>
  <c r="J819" i="2"/>
  <c r="J820" i="2"/>
  <c r="J821" i="2"/>
  <c r="J822" i="2"/>
  <c r="J823" i="2"/>
  <c r="J824" i="2"/>
  <c r="J825" i="2"/>
  <c r="J826" i="2"/>
  <c r="J827" i="2"/>
  <c r="J828" i="2"/>
  <c r="J829" i="2"/>
  <c r="J830" i="2"/>
  <c r="J831" i="2"/>
  <c r="J832" i="2"/>
  <c r="J833" i="2"/>
  <c r="J834" i="2"/>
  <c r="J835" i="2"/>
  <c r="J836" i="2"/>
  <c r="J837" i="2"/>
  <c r="J838" i="2"/>
  <c r="J839" i="2"/>
  <c r="J840" i="2"/>
  <c r="J841" i="2"/>
  <c r="J842" i="2"/>
  <c r="J843" i="2"/>
  <c r="J844" i="2"/>
  <c r="J845" i="2"/>
  <c r="J846" i="2"/>
  <c r="J847" i="2"/>
  <c r="J848" i="2"/>
  <c r="J849" i="2"/>
  <c r="J850" i="2"/>
  <c r="J851" i="2"/>
  <c r="J852" i="2"/>
  <c r="J853" i="2"/>
  <c r="J854" i="2"/>
  <c r="J855" i="2"/>
  <c r="J856" i="2"/>
  <c r="J857" i="2"/>
  <c r="J858" i="2"/>
  <c r="J859" i="2"/>
  <c r="J860" i="2"/>
  <c r="J861" i="2"/>
  <c r="J862" i="2"/>
  <c r="J863" i="2"/>
  <c r="J864" i="2"/>
  <c r="J865" i="2"/>
  <c r="J866" i="2"/>
  <c r="J867" i="2"/>
  <c r="J868" i="2"/>
  <c r="J869" i="2"/>
  <c r="J870" i="2"/>
  <c r="J871" i="2"/>
  <c r="J872" i="2"/>
  <c r="J873" i="2"/>
  <c r="J874" i="2"/>
  <c r="J875" i="2"/>
  <c r="J876" i="2"/>
  <c r="J877" i="2"/>
  <c r="J878" i="2"/>
  <c r="J879" i="2"/>
  <c r="J880" i="2"/>
  <c r="J881" i="2"/>
  <c r="J882" i="2"/>
  <c r="J883" i="2"/>
  <c r="J884" i="2"/>
  <c r="J885" i="2"/>
  <c r="J886" i="2"/>
  <c r="J887" i="2"/>
  <c r="J888" i="2"/>
  <c r="J889" i="2"/>
  <c r="J890" i="2"/>
  <c r="J891" i="2"/>
  <c r="J892" i="2"/>
  <c r="J893" i="2"/>
  <c r="J894" i="2"/>
  <c r="J895" i="2"/>
  <c r="J896" i="2"/>
  <c r="J897" i="2"/>
  <c r="J898" i="2"/>
  <c r="J899" i="2"/>
  <c r="J900" i="2"/>
  <c r="J901" i="2"/>
  <c r="J902" i="2"/>
  <c r="J903" i="2"/>
  <c r="J904" i="2"/>
  <c r="J905" i="2"/>
  <c r="J906" i="2"/>
  <c r="J907" i="2"/>
  <c r="J908" i="2"/>
  <c r="J909" i="2"/>
  <c r="J910" i="2"/>
  <c r="J911" i="2"/>
  <c r="J912" i="2"/>
  <c r="J913" i="2"/>
  <c r="J914" i="2"/>
  <c r="J915" i="2"/>
  <c r="J916" i="2"/>
  <c r="J917" i="2"/>
  <c r="J918" i="2"/>
  <c r="J919" i="2"/>
  <c r="J920" i="2"/>
  <c r="J921" i="2"/>
  <c r="J922" i="2"/>
  <c r="J923" i="2"/>
  <c r="J924" i="2"/>
  <c r="J925" i="2"/>
  <c r="J926" i="2"/>
  <c r="J927" i="2"/>
  <c r="J928" i="2"/>
  <c r="J929" i="2"/>
  <c r="J930" i="2"/>
  <c r="J931" i="2"/>
  <c r="J932" i="2"/>
  <c r="J933" i="2"/>
  <c r="J934" i="2"/>
  <c r="J935" i="2"/>
  <c r="J936" i="2"/>
  <c r="J937" i="2"/>
  <c r="J938" i="2"/>
  <c r="J939" i="2"/>
  <c r="J940" i="2"/>
  <c r="J941" i="2"/>
  <c r="J942" i="2"/>
  <c r="J943" i="2"/>
  <c r="J944" i="2"/>
  <c r="J945" i="2"/>
  <c r="J946" i="2"/>
  <c r="J947" i="2"/>
  <c r="J948" i="2"/>
  <c r="J949" i="2"/>
  <c r="J950" i="2"/>
  <c r="J951" i="2"/>
  <c r="J952" i="2"/>
  <c r="J953" i="2"/>
  <c r="J954" i="2"/>
  <c r="J955" i="2"/>
  <c r="J956" i="2"/>
  <c r="J957" i="2"/>
  <c r="J958" i="2"/>
  <c r="J959" i="2"/>
  <c r="J960" i="2"/>
  <c r="J961" i="2"/>
  <c r="J962" i="2"/>
  <c r="J963" i="2"/>
  <c r="J964" i="2"/>
  <c r="J965" i="2"/>
  <c r="J966" i="2"/>
  <c r="J967" i="2"/>
  <c r="J968" i="2"/>
  <c r="J969" i="2"/>
  <c r="J970" i="2"/>
  <c r="J971" i="2"/>
  <c r="J972" i="2"/>
  <c r="J973" i="2"/>
  <c r="J974" i="2"/>
  <c r="J975" i="2"/>
  <c r="J976" i="2"/>
  <c r="J977" i="2"/>
  <c r="J978" i="2"/>
  <c r="J979" i="2"/>
  <c r="J980" i="2"/>
  <c r="J981" i="2"/>
  <c r="J982" i="2"/>
  <c r="J983" i="2"/>
  <c r="J984" i="2"/>
  <c r="J985" i="2"/>
  <c r="J986" i="2"/>
  <c r="J987" i="2"/>
  <c r="J988" i="2"/>
  <c r="J989" i="2"/>
  <c r="J990" i="2"/>
  <c r="J991" i="2"/>
  <c r="J992" i="2"/>
  <c r="J993" i="2"/>
  <c r="J994" i="2"/>
  <c r="J995" i="2"/>
  <c r="J996" i="2"/>
  <c r="J997" i="2"/>
  <c r="J998" i="2"/>
  <c r="J999" i="2"/>
  <c r="J1000" i="2"/>
  <c r="J1001" i="2"/>
  <c r="J1002" i="2"/>
  <c r="H12" i="3"/>
  <c r="H13" i="3"/>
  <c r="H14" i="3"/>
  <c r="H15" i="3"/>
  <c r="H16" i="3"/>
  <c r="H17" i="3"/>
  <c r="H18" i="3"/>
  <c r="H19" i="3"/>
  <c r="H20" i="3"/>
  <c r="H21" i="3"/>
  <c r="H22" i="3"/>
  <c r="H23" i="3"/>
  <c r="H24" i="3"/>
  <c r="H25" i="3"/>
  <c r="H26" i="3"/>
  <c r="H27" i="3"/>
  <c r="H28" i="3"/>
  <c r="H29" i="3"/>
  <c r="H30" i="3"/>
  <c r="H31" i="3"/>
  <c r="H32" i="3"/>
  <c r="H33" i="3"/>
  <c r="H34" i="3"/>
  <c r="H35" i="3"/>
  <c r="H36" i="3"/>
  <c r="H37" i="3"/>
  <c r="H38" i="3"/>
  <c r="H39" i="3"/>
  <c r="H40" i="3"/>
  <c r="H41" i="3"/>
  <c r="H42" i="3"/>
  <c r="H43" i="3"/>
  <c r="H44" i="3"/>
  <c r="H45" i="3"/>
  <c r="H46" i="3"/>
  <c r="H47" i="3"/>
  <c r="H48" i="3"/>
  <c r="H49" i="3"/>
  <c r="H50" i="3"/>
  <c r="H51" i="3"/>
  <c r="H52" i="3"/>
  <c r="H53" i="3"/>
  <c r="H54" i="3"/>
  <c r="H55" i="3"/>
  <c r="G12" i="3"/>
  <c r="G13" i="3"/>
  <c r="G14" i="3"/>
  <c r="G15" i="3"/>
  <c r="G16" i="3"/>
  <c r="G17" i="3"/>
  <c r="G18" i="3"/>
  <c r="G19" i="3"/>
  <c r="G20" i="3"/>
  <c r="G21" i="3"/>
  <c r="G22" i="3"/>
  <c r="G23" i="3"/>
  <c r="G24" i="3"/>
  <c r="G25" i="3"/>
  <c r="G26" i="3"/>
  <c r="G27" i="3"/>
  <c r="G28" i="3"/>
  <c r="G29" i="3"/>
  <c r="G30" i="3"/>
  <c r="G31" i="3"/>
  <c r="G32" i="3"/>
  <c r="G33" i="3"/>
  <c r="G34" i="3"/>
  <c r="G35" i="3"/>
  <c r="G36" i="3"/>
  <c r="G37" i="3"/>
  <c r="G38" i="3"/>
  <c r="G39" i="3"/>
  <c r="G40" i="3"/>
  <c r="G41" i="3"/>
  <c r="G42" i="3"/>
  <c r="G43" i="3"/>
  <c r="G44" i="3"/>
  <c r="G45" i="3"/>
  <c r="G46" i="3"/>
  <c r="G47" i="3"/>
  <c r="G48" i="3"/>
  <c r="G49" i="3"/>
  <c r="G50" i="3"/>
  <c r="G51" i="3"/>
  <c r="G52" i="3"/>
  <c r="G53" i="3"/>
  <c r="G54" i="3"/>
  <c r="G55" i="3"/>
  <c r="F12" i="3"/>
  <c r="F13" i="3"/>
  <c r="F14" i="3"/>
  <c r="F15" i="3"/>
  <c r="F16" i="3"/>
  <c r="F17" i="3"/>
  <c r="F18" i="3"/>
  <c r="F19" i="3"/>
  <c r="F20" i="3"/>
  <c r="F21" i="3"/>
  <c r="F22" i="3"/>
  <c r="F23" i="3"/>
  <c r="F24" i="3"/>
  <c r="F25" i="3"/>
  <c r="F26" i="3"/>
  <c r="F27" i="3"/>
  <c r="F28" i="3"/>
  <c r="F29" i="3"/>
  <c r="F30" i="3"/>
  <c r="F31" i="3"/>
  <c r="F32" i="3"/>
  <c r="F33" i="3"/>
  <c r="F34" i="3"/>
  <c r="F35" i="3"/>
  <c r="F36" i="3"/>
  <c r="F37" i="3"/>
  <c r="F38" i="3"/>
  <c r="F39" i="3"/>
  <c r="F40" i="3"/>
  <c r="F41" i="3"/>
  <c r="F42" i="3"/>
  <c r="F43" i="3"/>
  <c r="F44" i="3"/>
  <c r="F45" i="3"/>
  <c r="F46" i="3"/>
  <c r="F47" i="3"/>
  <c r="F48" i="3"/>
  <c r="F49" i="3"/>
  <c r="F50" i="3"/>
  <c r="F51" i="3"/>
  <c r="F52" i="3"/>
  <c r="F53" i="3"/>
  <c r="F54" i="3"/>
  <c r="F55" i="3"/>
  <c r="E12" i="3"/>
  <c r="E13" i="3"/>
  <c r="E14" i="3"/>
  <c r="E15" i="3"/>
  <c r="E16" i="3"/>
  <c r="E17" i="3"/>
  <c r="E18" i="3"/>
  <c r="E19" i="3"/>
  <c r="E20" i="3"/>
  <c r="E21" i="3"/>
  <c r="E22" i="3"/>
  <c r="E23" i="3"/>
  <c r="E24" i="3"/>
  <c r="E25" i="3"/>
  <c r="E26" i="3"/>
  <c r="E27" i="3"/>
  <c r="E28" i="3"/>
  <c r="E29" i="3"/>
  <c r="E30" i="3"/>
  <c r="E31" i="3"/>
  <c r="E32" i="3"/>
  <c r="E33" i="3"/>
  <c r="E34" i="3"/>
  <c r="E35" i="3"/>
  <c r="E36" i="3"/>
  <c r="E37" i="3"/>
  <c r="E38" i="3"/>
  <c r="E39" i="3"/>
  <c r="E40" i="3"/>
  <c r="E41" i="3"/>
  <c r="E42" i="3"/>
  <c r="E43" i="3"/>
  <c r="E44" i="3"/>
  <c r="E45" i="3"/>
  <c r="E46" i="3"/>
  <c r="E47" i="3"/>
  <c r="E48" i="3"/>
  <c r="E49" i="3"/>
  <c r="E50" i="3"/>
  <c r="E51" i="3"/>
  <c r="E52" i="3"/>
  <c r="E53" i="3"/>
  <c r="D12" i="3"/>
  <c r="D13" i="3"/>
  <c r="D14" i="3"/>
  <c r="D15" i="3"/>
  <c r="D16" i="3"/>
  <c r="D17" i="3"/>
  <c r="D18" i="3"/>
  <c r="D19" i="3"/>
  <c r="D20" i="3"/>
  <c r="D21" i="3"/>
  <c r="D22" i="3"/>
  <c r="D23" i="3"/>
  <c r="D24" i="3"/>
  <c r="D25" i="3"/>
  <c r="D26" i="3"/>
  <c r="D27" i="3"/>
  <c r="D28" i="3"/>
  <c r="D29" i="3"/>
  <c r="D30" i="3"/>
  <c r="D31" i="3"/>
  <c r="D32" i="3"/>
  <c r="D33" i="3"/>
  <c r="D34" i="3"/>
  <c r="D35" i="3"/>
  <c r="D36" i="3"/>
  <c r="D37" i="3"/>
  <c r="D38" i="3"/>
  <c r="D39" i="3"/>
  <c r="D40" i="3"/>
  <c r="D41" i="3"/>
  <c r="D42" i="3"/>
  <c r="D43" i="3"/>
  <c r="D44" i="3"/>
  <c r="D45" i="3"/>
  <c r="D46" i="3"/>
  <c r="D47" i="3"/>
  <c r="D48" i="3"/>
  <c r="D49" i="3"/>
  <c r="D50" i="3"/>
  <c r="D51" i="3"/>
  <c r="D52" i="3"/>
  <c r="D53" i="3"/>
  <c r="C53" i="3"/>
  <c r="C12" i="3"/>
  <c r="C13" i="3"/>
  <c r="C14" i="3"/>
  <c r="C15" i="3"/>
  <c r="C16" i="3"/>
  <c r="C17" i="3"/>
  <c r="C18" i="3"/>
  <c r="C19" i="3"/>
  <c r="C20" i="3"/>
  <c r="C21" i="3"/>
  <c r="C22" i="3"/>
  <c r="C23" i="3"/>
  <c r="C24" i="3"/>
  <c r="C25" i="3"/>
  <c r="C26" i="3"/>
  <c r="C27" i="3"/>
  <c r="C28" i="3"/>
  <c r="C29" i="3"/>
  <c r="C30" i="3"/>
  <c r="C31" i="3"/>
  <c r="C32" i="3"/>
  <c r="C33" i="3"/>
  <c r="C34" i="3"/>
  <c r="C35" i="3"/>
  <c r="C36" i="3"/>
  <c r="C37" i="3"/>
  <c r="C38" i="3"/>
  <c r="C39" i="3"/>
  <c r="C40" i="3"/>
  <c r="C41" i="3"/>
  <c r="C42" i="3"/>
  <c r="C43" i="3"/>
  <c r="C44" i="3"/>
  <c r="C45" i="3"/>
  <c r="C46" i="3"/>
  <c r="C47" i="3"/>
  <c r="C48" i="3"/>
  <c r="C49" i="3"/>
  <c r="C50" i="3"/>
  <c r="C51" i="3"/>
  <c r="C52" i="3"/>
  <c r="B12" i="3"/>
  <c r="B13" i="3"/>
  <c r="B14" i="3"/>
  <c r="B15" i="3"/>
  <c r="B16" i="3"/>
  <c r="B17" i="3"/>
  <c r="B18" i="3"/>
  <c r="B19" i="3"/>
  <c r="B20" i="3"/>
  <c r="B21" i="3"/>
  <c r="B22" i="3"/>
  <c r="B23" i="3"/>
  <c r="B24" i="3"/>
  <c r="B25" i="3"/>
  <c r="B26" i="3"/>
  <c r="B27" i="3"/>
  <c r="B28" i="3"/>
  <c r="B29" i="3"/>
  <c r="B30" i="3"/>
  <c r="B31" i="3"/>
  <c r="B32" i="3"/>
  <c r="B33" i="3"/>
  <c r="B34" i="3"/>
  <c r="B35" i="3"/>
  <c r="B36" i="3"/>
  <c r="B37" i="3"/>
  <c r="B38" i="3"/>
  <c r="B39" i="3"/>
  <c r="B40" i="3"/>
  <c r="B41" i="3"/>
  <c r="B42" i="3"/>
  <c r="B43" i="3"/>
  <c r="B44" i="3"/>
  <c r="B45" i="3"/>
  <c r="B46" i="3"/>
  <c r="B47" i="3"/>
  <c r="B48" i="3"/>
  <c r="B49" i="3"/>
  <c r="B50" i="3"/>
  <c r="B51" i="3"/>
  <c r="B52" i="3"/>
  <c r="B53" i="3"/>
  <c r="S6" i="1"/>
  <c r="S7" i="1"/>
  <c r="S8" i="1"/>
  <c r="S9" i="1"/>
  <c r="S10" i="1"/>
  <c r="S11" i="1"/>
  <c r="S12" i="1"/>
  <c r="S13" i="1"/>
  <c r="S14" i="1"/>
  <c r="S15" i="1"/>
  <c r="S16" i="1"/>
  <c r="S17" i="1"/>
  <c r="S18" i="1"/>
  <c r="S19" i="1"/>
  <c r="S20" i="1"/>
  <c r="S21" i="1"/>
  <c r="S22" i="1"/>
  <c r="S23" i="1"/>
  <c r="S24" i="1"/>
  <c r="S25" i="1"/>
  <c r="S26" i="1"/>
  <c r="S27" i="1"/>
  <c r="S28" i="1"/>
  <c r="S29" i="1"/>
  <c r="S30" i="1"/>
  <c r="S31" i="1"/>
  <c r="S32" i="1"/>
  <c r="S33" i="1"/>
  <c r="S34" i="1"/>
  <c r="S35" i="1"/>
  <c r="S36" i="1"/>
  <c r="S37" i="1"/>
  <c r="S38" i="1"/>
  <c r="S39" i="1"/>
  <c r="S40" i="1"/>
  <c r="S41" i="1"/>
  <c r="S42" i="1"/>
  <c r="S43" i="1"/>
  <c r="S44" i="1"/>
  <c r="S45" i="1"/>
  <c r="S46" i="1"/>
  <c r="S47" i="1"/>
  <c r="S48" i="1"/>
  <c r="S49" i="1"/>
  <c r="S50" i="1"/>
  <c r="S51" i="1"/>
  <c r="S52" i="1"/>
  <c r="S53" i="1"/>
  <c r="S54" i="1"/>
  <c r="S55" i="1"/>
  <c r="S56" i="1"/>
  <c r="S57" i="1"/>
  <c r="S58" i="1"/>
  <c r="S59" i="1"/>
  <c r="S60" i="1"/>
  <c r="S61" i="1"/>
  <c r="S62" i="1"/>
  <c r="S63" i="1"/>
  <c r="S64" i="1"/>
  <c r="S65" i="1"/>
  <c r="S66" i="1"/>
  <c r="S67" i="1"/>
  <c r="S68" i="1"/>
  <c r="S69" i="1"/>
  <c r="S70" i="1"/>
  <c r="S71" i="1"/>
  <c r="S72" i="1"/>
  <c r="S73" i="1"/>
  <c r="S74" i="1"/>
  <c r="S75" i="1"/>
  <c r="S76" i="1"/>
  <c r="S77" i="1"/>
  <c r="S78" i="1"/>
  <c r="S79" i="1"/>
  <c r="S80" i="1"/>
  <c r="S81" i="1"/>
  <c r="S82" i="1"/>
  <c r="S83" i="1"/>
  <c r="S84" i="1"/>
  <c r="S85" i="1"/>
  <c r="S86" i="1"/>
  <c r="S87" i="1"/>
  <c r="S88" i="1"/>
  <c r="S89" i="1"/>
  <c r="S90" i="1"/>
  <c r="S91" i="1"/>
  <c r="S92" i="1"/>
  <c r="S93" i="1"/>
  <c r="S94" i="1"/>
  <c r="S95" i="1"/>
  <c r="S96" i="1"/>
  <c r="S97" i="1"/>
  <c r="S98" i="1"/>
  <c r="S99" i="1"/>
  <c r="S100" i="1"/>
  <c r="S101" i="1"/>
  <c r="S102" i="1"/>
  <c r="S103" i="1"/>
  <c r="S104" i="1"/>
  <c r="S105" i="1"/>
  <c r="S106" i="1"/>
  <c r="S107" i="1"/>
  <c r="S108" i="1"/>
  <c r="S109" i="1"/>
  <c r="S110" i="1"/>
  <c r="S111" i="1"/>
  <c r="S112" i="1"/>
  <c r="S113" i="1"/>
  <c r="S114" i="1"/>
  <c r="S115" i="1"/>
  <c r="S116" i="1"/>
  <c r="S117" i="1"/>
  <c r="S118" i="1"/>
  <c r="S119" i="1"/>
  <c r="S120" i="1"/>
  <c r="S121" i="1"/>
  <c r="S122" i="1"/>
  <c r="S123" i="1"/>
  <c r="S124" i="1"/>
  <c r="S125" i="1"/>
  <c r="S126" i="1"/>
  <c r="S127" i="1"/>
  <c r="S128" i="1"/>
  <c r="S129" i="1"/>
  <c r="S130" i="1"/>
  <c r="S131" i="1"/>
  <c r="S132" i="1"/>
  <c r="S133" i="1"/>
  <c r="S134" i="1"/>
  <c r="S135" i="1"/>
  <c r="S136" i="1"/>
  <c r="S137" i="1"/>
  <c r="S138" i="1"/>
  <c r="S139" i="1"/>
  <c r="S140" i="1"/>
  <c r="S141" i="1"/>
  <c r="S142" i="1"/>
  <c r="S143" i="1"/>
  <c r="S144" i="1"/>
  <c r="S145" i="1"/>
  <c r="S146" i="1"/>
  <c r="S147" i="1"/>
  <c r="S148" i="1"/>
  <c r="S149" i="1"/>
  <c r="S150" i="1"/>
  <c r="S151" i="1"/>
  <c r="S152" i="1"/>
  <c r="S153" i="1"/>
  <c r="S154" i="1"/>
  <c r="S155" i="1"/>
  <c r="S156" i="1"/>
  <c r="S157" i="1"/>
  <c r="S158" i="1"/>
  <c r="S159" i="1"/>
  <c r="S160" i="1"/>
  <c r="S161" i="1"/>
  <c r="S162" i="1"/>
  <c r="S163" i="1"/>
  <c r="S164" i="1"/>
  <c r="S165" i="1"/>
  <c r="S166" i="1"/>
  <c r="S167" i="1"/>
  <c r="S168" i="1"/>
  <c r="S169" i="1"/>
  <c r="S170" i="1"/>
  <c r="S171" i="1"/>
  <c r="S172" i="1"/>
  <c r="S173" i="1"/>
  <c r="S174" i="1"/>
  <c r="S175" i="1"/>
  <c r="S176" i="1"/>
  <c r="S177" i="1"/>
  <c r="S178" i="1"/>
  <c r="S179" i="1"/>
  <c r="S180" i="1"/>
  <c r="S181" i="1"/>
  <c r="S182" i="1"/>
  <c r="S183" i="1"/>
  <c r="S184" i="1"/>
  <c r="S185" i="1"/>
  <c r="S186" i="1"/>
  <c r="S187" i="1"/>
  <c r="S188" i="1"/>
  <c r="S189" i="1"/>
  <c r="S190" i="1"/>
  <c r="S191" i="1"/>
  <c r="S192" i="1"/>
  <c r="S193" i="1"/>
  <c r="S194" i="1"/>
  <c r="S195" i="1"/>
  <c r="S196" i="1"/>
  <c r="S197" i="1"/>
  <c r="S198" i="1"/>
  <c r="S199" i="1"/>
  <c r="S200" i="1"/>
  <c r="S201" i="1"/>
  <c r="S202" i="1"/>
  <c r="S203" i="1"/>
  <c r="S204" i="1"/>
  <c r="S5" i="1"/>
  <c r="R6" i="1"/>
  <c r="R7" i="1"/>
  <c r="R8" i="1"/>
  <c r="R9" i="1"/>
  <c r="R10" i="1"/>
  <c r="R11" i="1"/>
  <c r="R12" i="1"/>
  <c r="R13" i="1"/>
  <c r="R14" i="1"/>
  <c r="R15" i="1"/>
  <c r="R16" i="1"/>
  <c r="R17" i="1"/>
  <c r="R18" i="1"/>
  <c r="R19" i="1"/>
  <c r="R20" i="1"/>
  <c r="R21" i="1"/>
  <c r="R22" i="1"/>
  <c r="R23" i="1"/>
  <c r="R24" i="1"/>
  <c r="R25" i="1"/>
  <c r="R26" i="1"/>
  <c r="R27" i="1"/>
  <c r="R28" i="1"/>
  <c r="R29" i="1"/>
  <c r="R30" i="1"/>
  <c r="R31" i="1"/>
  <c r="R32" i="1"/>
  <c r="R33" i="1"/>
  <c r="R34" i="1"/>
  <c r="R35" i="1"/>
  <c r="R36" i="1"/>
  <c r="R37" i="1"/>
  <c r="R38" i="1"/>
  <c r="R39" i="1"/>
  <c r="R40" i="1"/>
  <c r="R41" i="1"/>
  <c r="R42" i="1"/>
  <c r="R43" i="1"/>
  <c r="R44" i="1"/>
  <c r="R45" i="1"/>
  <c r="R46" i="1"/>
  <c r="R47" i="1"/>
  <c r="R48" i="1"/>
  <c r="R49" i="1"/>
  <c r="R50" i="1"/>
  <c r="R51" i="1"/>
  <c r="R52" i="1"/>
  <c r="R53" i="1"/>
  <c r="R54" i="1"/>
  <c r="R55" i="1"/>
  <c r="R56" i="1"/>
  <c r="R57" i="1"/>
  <c r="R58" i="1"/>
  <c r="R59" i="1"/>
  <c r="R60" i="1"/>
  <c r="R61" i="1"/>
  <c r="R62" i="1"/>
  <c r="R63" i="1"/>
  <c r="R64" i="1"/>
  <c r="R65" i="1"/>
  <c r="R66" i="1"/>
  <c r="R67" i="1"/>
  <c r="R68" i="1"/>
  <c r="R69" i="1"/>
  <c r="R70" i="1"/>
  <c r="R71" i="1"/>
  <c r="R72" i="1"/>
  <c r="R73" i="1"/>
  <c r="R74" i="1"/>
  <c r="R75" i="1"/>
  <c r="R76" i="1"/>
  <c r="R77" i="1"/>
  <c r="R78" i="1"/>
  <c r="R79" i="1"/>
  <c r="R80" i="1"/>
  <c r="R81" i="1"/>
  <c r="R82" i="1"/>
  <c r="R83" i="1"/>
  <c r="R84" i="1"/>
  <c r="R85" i="1"/>
  <c r="R86" i="1"/>
  <c r="R87" i="1"/>
  <c r="R88" i="1"/>
  <c r="R89" i="1"/>
  <c r="R90" i="1"/>
  <c r="R91" i="1"/>
  <c r="R92" i="1"/>
  <c r="R93" i="1"/>
  <c r="R94" i="1"/>
  <c r="R95" i="1"/>
  <c r="R96" i="1"/>
  <c r="R97" i="1"/>
  <c r="R98" i="1"/>
  <c r="R99" i="1"/>
  <c r="R100" i="1"/>
  <c r="R101" i="1"/>
  <c r="R102" i="1"/>
  <c r="R103" i="1"/>
  <c r="R104" i="1"/>
  <c r="R105" i="1"/>
  <c r="R106" i="1"/>
  <c r="R107" i="1"/>
  <c r="R108" i="1"/>
  <c r="R109" i="1"/>
  <c r="R110" i="1"/>
  <c r="R111" i="1"/>
  <c r="R112" i="1"/>
  <c r="R113" i="1"/>
  <c r="R114" i="1"/>
  <c r="R115" i="1"/>
  <c r="R116" i="1"/>
  <c r="R117" i="1"/>
  <c r="R118" i="1"/>
  <c r="R119" i="1"/>
  <c r="R120" i="1"/>
  <c r="R121" i="1"/>
  <c r="R122" i="1"/>
  <c r="R123" i="1"/>
  <c r="R124" i="1"/>
  <c r="R125" i="1"/>
  <c r="R126" i="1"/>
  <c r="R127" i="1"/>
  <c r="R128" i="1"/>
  <c r="R129" i="1"/>
  <c r="R130" i="1"/>
  <c r="R131" i="1"/>
  <c r="R132" i="1"/>
  <c r="R133" i="1"/>
  <c r="R134" i="1"/>
  <c r="R135" i="1"/>
  <c r="R136" i="1"/>
  <c r="R137" i="1"/>
  <c r="R138" i="1"/>
  <c r="R139" i="1"/>
  <c r="R140" i="1"/>
  <c r="R141" i="1"/>
  <c r="R142" i="1"/>
  <c r="R143" i="1"/>
  <c r="R144" i="1"/>
  <c r="R145" i="1"/>
  <c r="R146" i="1"/>
  <c r="R147" i="1"/>
  <c r="R148" i="1"/>
  <c r="R149" i="1"/>
  <c r="R150" i="1"/>
  <c r="R151" i="1"/>
  <c r="R152" i="1"/>
  <c r="R153" i="1"/>
  <c r="R154" i="1"/>
  <c r="R155" i="1"/>
  <c r="R156" i="1"/>
  <c r="R157" i="1"/>
  <c r="R158" i="1"/>
  <c r="R159" i="1"/>
  <c r="R160" i="1"/>
  <c r="R161" i="1"/>
  <c r="R162" i="1"/>
  <c r="R163" i="1"/>
  <c r="R164" i="1"/>
  <c r="R165" i="1"/>
  <c r="R166" i="1"/>
  <c r="R167" i="1"/>
  <c r="R168" i="1"/>
  <c r="R169" i="1"/>
  <c r="R170" i="1"/>
  <c r="R171" i="1"/>
  <c r="R172" i="1"/>
  <c r="R173" i="1"/>
  <c r="R174" i="1"/>
  <c r="R175" i="1"/>
  <c r="R176" i="1"/>
  <c r="R177" i="1"/>
  <c r="R178" i="1"/>
  <c r="R179" i="1"/>
  <c r="R180" i="1"/>
  <c r="R181" i="1"/>
  <c r="R182" i="1"/>
  <c r="R183" i="1"/>
  <c r="R184" i="1"/>
  <c r="R185" i="1"/>
  <c r="R186" i="1"/>
  <c r="R187" i="1"/>
  <c r="R188" i="1"/>
  <c r="R189" i="1"/>
  <c r="R190" i="1"/>
  <c r="R191" i="1"/>
  <c r="R192" i="1"/>
  <c r="R193" i="1"/>
  <c r="R194" i="1"/>
  <c r="R195" i="1"/>
  <c r="R196" i="1"/>
  <c r="R197" i="1"/>
  <c r="R198" i="1"/>
  <c r="R199" i="1"/>
  <c r="R200" i="1"/>
  <c r="R201" i="1"/>
  <c r="R202" i="1"/>
  <c r="R203" i="1"/>
  <c r="R204" i="1"/>
  <c r="R5" i="1"/>
  <c r="K28" i="1"/>
  <c r="K27" i="1"/>
  <c r="K26" i="1"/>
  <c r="K25" i="1"/>
  <c r="K24" i="1"/>
  <c r="K23" i="1"/>
  <c r="K22" i="1"/>
  <c r="K21" i="1"/>
  <c r="K20" i="1"/>
  <c r="K19" i="1"/>
  <c r="K18" i="1"/>
  <c r="K17" i="1"/>
  <c r="K16" i="1"/>
  <c r="K15" i="1"/>
  <c r="K14" i="1"/>
  <c r="K13" i="1"/>
  <c r="K12" i="1"/>
  <c r="K11" i="1"/>
  <c r="K10" i="1"/>
  <c r="J8" i="2" s="1"/>
  <c r="K9" i="1"/>
  <c r="J7" i="2" s="1"/>
  <c r="K7" i="1"/>
  <c r="K6" i="1"/>
  <c r="K5" i="1"/>
  <c r="J4" i="2" l="1"/>
  <c r="J5" i="2"/>
  <c r="J6" i="2"/>
  <c r="E11" i="3"/>
  <c r="D11" i="3"/>
  <c r="C11" i="3"/>
  <c r="B11" i="3"/>
  <c r="J11" i="2"/>
  <c r="J12" i="2"/>
  <c r="G11" i="3"/>
  <c r="J9" i="2"/>
  <c r="B11" i="2"/>
  <c r="C11" i="2"/>
  <c r="D11" i="2"/>
  <c r="E11" i="2"/>
  <c r="F11" i="2"/>
  <c r="G11" i="2"/>
  <c r="H11" i="2"/>
  <c r="I11" i="2" s="1"/>
  <c r="B12" i="2"/>
  <c r="C12" i="2"/>
  <c r="D12" i="2"/>
  <c r="E12" i="2"/>
  <c r="F12" i="2"/>
  <c r="G12" i="2"/>
  <c r="H12" i="2"/>
  <c r="I12" i="2" s="1"/>
  <c r="B13" i="2"/>
  <c r="C13" i="2"/>
  <c r="D13" i="2"/>
  <c r="E13" i="2"/>
  <c r="F13" i="2"/>
  <c r="G13" i="2"/>
  <c r="H13" i="2"/>
  <c r="I13" i="2" s="1"/>
  <c r="B14" i="2"/>
  <c r="C14" i="2"/>
  <c r="D14" i="2"/>
  <c r="E14" i="2"/>
  <c r="F14" i="2"/>
  <c r="G14" i="2"/>
  <c r="H14" i="2"/>
  <c r="I14" i="2" s="1"/>
  <c r="B15" i="2"/>
  <c r="C15" i="2"/>
  <c r="D15" i="2"/>
  <c r="E15" i="2"/>
  <c r="F15" i="2"/>
  <c r="G15" i="2"/>
  <c r="H15" i="2"/>
  <c r="B16" i="2"/>
  <c r="C16" i="2"/>
  <c r="D16" i="2"/>
  <c r="E16" i="2"/>
  <c r="F16" i="2"/>
  <c r="G16" i="2"/>
  <c r="H16" i="2"/>
  <c r="B17" i="2"/>
  <c r="C17" i="2"/>
  <c r="D17" i="2"/>
  <c r="E17" i="2"/>
  <c r="F17" i="2"/>
  <c r="G17" i="2"/>
  <c r="H17" i="2"/>
  <c r="I17" i="2" s="1"/>
  <c r="B18" i="2"/>
  <c r="C18" i="2"/>
  <c r="D18" i="2"/>
  <c r="E18" i="2"/>
  <c r="F18" i="2"/>
  <c r="G18" i="2"/>
  <c r="H18" i="2"/>
  <c r="I18" i="2" s="1"/>
  <c r="B19" i="2"/>
  <c r="C19" i="2"/>
  <c r="D19" i="2"/>
  <c r="E19" i="2"/>
  <c r="F19" i="2"/>
  <c r="G19" i="2"/>
  <c r="H19" i="2"/>
  <c r="I19" i="2" s="1"/>
  <c r="B20" i="2"/>
  <c r="C20" i="2"/>
  <c r="D20" i="2"/>
  <c r="E20" i="2"/>
  <c r="F20" i="2"/>
  <c r="G20" i="2"/>
  <c r="H20" i="2"/>
  <c r="I20" i="2" s="1"/>
  <c r="B21" i="2"/>
  <c r="C21" i="2"/>
  <c r="D21" i="2"/>
  <c r="E21" i="2"/>
  <c r="F21" i="2"/>
  <c r="G21" i="2"/>
  <c r="H21" i="2"/>
  <c r="B22" i="2"/>
  <c r="C22" i="2"/>
  <c r="D22" i="2"/>
  <c r="E22" i="2"/>
  <c r="F22" i="2"/>
  <c r="G22" i="2"/>
  <c r="H22" i="2"/>
  <c r="B23" i="2"/>
  <c r="C23" i="2"/>
  <c r="D23" i="2"/>
  <c r="E23" i="2"/>
  <c r="F23" i="2"/>
  <c r="G23" i="2"/>
  <c r="H23" i="2"/>
  <c r="I23" i="2" s="1"/>
  <c r="B24" i="2"/>
  <c r="C24" i="2"/>
  <c r="D24" i="2"/>
  <c r="E24" i="2"/>
  <c r="F24" i="2"/>
  <c r="G24" i="2"/>
  <c r="H24" i="2"/>
  <c r="I24" i="2" s="1"/>
  <c r="B25" i="2"/>
  <c r="C25" i="2"/>
  <c r="D25" i="2"/>
  <c r="E25" i="2"/>
  <c r="F25" i="2"/>
  <c r="G25" i="2"/>
  <c r="H25" i="2"/>
  <c r="I25" i="2" s="1"/>
  <c r="B26" i="2"/>
  <c r="C26" i="2"/>
  <c r="D26" i="2"/>
  <c r="E26" i="2"/>
  <c r="F26" i="2"/>
  <c r="G26" i="2"/>
  <c r="H26" i="2"/>
  <c r="I26" i="2" s="1"/>
  <c r="B27" i="2"/>
  <c r="C27" i="2"/>
  <c r="D27" i="2"/>
  <c r="E27" i="2"/>
  <c r="F27" i="2"/>
  <c r="G27" i="2"/>
  <c r="H27" i="2"/>
  <c r="B28" i="2"/>
  <c r="C28" i="2"/>
  <c r="D28" i="2"/>
  <c r="E28" i="2"/>
  <c r="F28" i="2"/>
  <c r="G28" i="2"/>
  <c r="H28" i="2"/>
  <c r="B29" i="2"/>
  <c r="C29" i="2"/>
  <c r="D29" i="2"/>
  <c r="E29" i="2"/>
  <c r="F29" i="2"/>
  <c r="G29" i="2"/>
  <c r="H29" i="2"/>
  <c r="I29" i="2" s="1"/>
  <c r="B30" i="2"/>
  <c r="C30" i="2"/>
  <c r="D30" i="2"/>
  <c r="E30" i="2"/>
  <c r="F30" i="2"/>
  <c r="G30" i="2"/>
  <c r="H30" i="2"/>
  <c r="I30" i="2" s="1"/>
  <c r="B31" i="2"/>
  <c r="C31" i="2"/>
  <c r="D31" i="2"/>
  <c r="E31" i="2"/>
  <c r="F31" i="2"/>
  <c r="G31" i="2"/>
  <c r="H31" i="2"/>
  <c r="I31" i="2" s="1"/>
  <c r="B32" i="2"/>
  <c r="C32" i="2"/>
  <c r="D32" i="2"/>
  <c r="E32" i="2"/>
  <c r="F32" i="2"/>
  <c r="G32" i="2"/>
  <c r="H32" i="2"/>
  <c r="I32" i="2" s="1"/>
  <c r="B33" i="2"/>
  <c r="C33" i="2"/>
  <c r="D33" i="2"/>
  <c r="E33" i="2"/>
  <c r="F33" i="2"/>
  <c r="G33" i="2"/>
  <c r="H33" i="2"/>
  <c r="B34" i="2"/>
  <c r="C34" i="2"/>
  <c r="D34" i="2"/>
  <c r="E34" i="2"/>
  <c r="F34" i="2"/>
  <c r="G34" i="2"/>
  <c r="H34" i="2"/>
  <c r="B35" i="2"/>
  <c r="C35" i="2"/>
  <c r="D35" i="2"/>
  <c r="E35" i="2"/>
  <c r="F35" i="2"/>
  <c r="G35" i="2"/>
  <c r="H35" i="2"/>
  <c r="B36" i="2"/>
  <c r="C36" i="2"/>
  <c r="D36" i="2"/>
  <c r="E36" i="2"/>
  <c r="F36" i="2"/>
  <c r="G36" i="2"/>
  <c r="H36" i="2"/>
  <c r="B37" i="2"/>
  <c r="C37" i="2"/>
  <c r="D37" i="2"/>
  <c r="E37" i="2"/>
  <c r="F37" i="2"/>
  <c r="G37" i="2"/>
  <c r="H37" i="2"/>
  <c r="I37" i="2" s="1"/>
  <c r="B38" i="2"/>
  <c r="C38" i="2"/>
  <c r="D38" i="2"/>
  <c r="E38" i="2"/>
  <c r="F38" i="2"/>
  <c r="G38" i="2"/>
  <c r="H38" i="2"/>
  <c r="B39" i="2"/>
  <c r="C39" i="2"/>
  <c r="D39" i="2"/>
  <c r="E39" i="2"/>
  <c r="F39" i="2"/>
  <c r="G39" i="2"/>
  <c r="H39" i="2"/>
  <c r="B40" i="2"/>
  <c r="C40" i="2"/>
  <c r="D40" i="2"/>
  <c r="E40" i="2"/>
  <c r="F40" i="2"/>
  <c r="G40" i="2"/>
  <c r="H40" i="2"/>
  <c r="I40" i="2" s="1"/>
  <c r="B41" i="2"/>
  <c r="C41" i="2"/>
  <c r="D41" i="2"/>
  <c r="E41" i="2"/>
  <c r="F41" i="2"/>
  <c r="G41" i="2"/>
  <c r="H41" i="2"/>
  <c r="B42" i="2"/>
  <c r="C42" i="2"/>
  <c r="D42" i="2"/>
  <c r="E42" i="2"/>
  <c r="F42" i="2"/>
  <c r="G42" i="2"/>
  <c r="H42" i="2"/>
  <c r="B43" i="2"/>
  <c r="C43" i="2"/>
  <c r="D43" i="2"/>
  <c r="E43" i="2"/>
  <c r="F43" i="2"/>
  <c r="G43" i="2"/>
  <c r="H43" i="2"/>
  <c r="B44" i="2"/>
  <c r="C44" i="2"/>
  <c r="D44" i="2"/>
  <c r="E44" i="2"/>
  <c r="F44" i="2"/>
  <c r="G44" i="2"/>
  <c r="H44" i="2"/>
  <c r="B45" i="2"/>
  <c r="C45" i="2"/>
  <c r="D45" i="2"/>
  <c r="E45" i="2"/>
  <c r="F45" i="2"/>
  <c r="G45" i="2"/>
  <c r="H45" i="2"/>
  <c r="B46" i="2"/>
  <c r="C46" i="2"/>
  <c r="D46" i="2"/>
  <c r="E46" i="2"/>
  <c r="F46" i="2"/>
  <c r="G46" i="2"/>
  <c r="H46" i="2"/>
  <c r="I46" i="2" s="1"/>
  <c r="B47" i="2"/>
  <c r="C47" i="2"/>
  <c r="D47" i="2"/>
  <c r="E47" i="2"/>
  <c r="F47" i="2"/>
  <c r="G47" i="2"/>
  <c r="H47" i="2"/>
  <c r="B48" i="2"/>
  <c r="C48" i="2"/>
  <c r="D48" i="2"/>
  <c r="E48" i="2"/>
  <c r="F48" i="2"/>
  <c r="G48" i="2"/>
  <c r="H48" i="2"/>
  <c r="B49" i="2"/>
  <c r="C49" i="2"/>
  <c r="D49" i="2"/>
  <c r="E49" i="2"/>
  <c r="F49" i="2"/>
  <c r="G49" i="2"/>
  <c r="H49" i="2"/>
  <c r="B50" i="2"/>
  <c r="C50" i="2"/>
  <c r="D50" i="2"/>
  <c r="E50" i="2"/>
  <c r="F50" i="2"/>
  <c r="G50" i="2"/>
  <c r="H50" i="2"/>
  <c r="B51" i="2"/>
  <c r="C51" i="2"/>
  <c r="D51" i="2"/>
  <c r="E51" i="2"/>
  <c r="F51" i="2"/>
  <c r="G51" i="2"/>
  <c r="H51" i="2"/>
  <c r="B52" i="2"/>
  <c r="C52" i="2"/>
  <c r="D52" i="2"/>
  <c r="E52" i="2"/>
  <c r="F52" i="2"/>
  <c r="G52" i="2"/>
  <c r="H52" i="2"/>
  <c r="I52" i="2" s="1"/>
  <c r="B53" i="2"/>
  <c r="C53" i="2"/>
  <c r="D53" i="2"/>
  <c r="E53" i="2"/>
  <c r="F53" i="2"/>
  <c r="G53" i="2"/>
  <c r="H53" i="2"/>
  <c r="B54" i="2"/>
  <c r="C54" i="2"/>
  <c r="D54" i="2"/>
  <c r="E54" i="2"/>
  <c r="F54" i="2"/>
  <c r="G54" i="2"/>
  <c r="H54" i="2"/>
  <c r="B55" i="2"/>
  <c r="C55" i="2"/>
  <c r="D55" i="2"/>
  <c r="E55" i="2"/>
  <c r="F55" i="2"/>
  <c r="G55" i="2"/>
  <c r="H55" i="2"/>
  <c r="B56" i="2"/>
  <c r="C56" i="2"/>
  <c r="D56" i="2"/>
  <c r="E56" i="2"/>
  <c r="F56" i="2"/>
  <c r="G56" i="2"/>
  <c r="H56" i="2"/>
  <c r="B57" i="2"/>
  <c r="C57" i="2"/>
  <c r="D57" i="2"/>
  <c r="E57" i="2"/>
  <c r="F57" i="2"/>
  <c r="G57" i="2"/>
  <c r="H57" i="2"/>
  <c r="B58" i="2"/>
  <c r="C58" i="2"/>
  <c r="D58" i="2"/>
  <c r="E58" i="2"/>
  <c r="F58" i="2"/>
  <c r="G58" i="2"/>
  <c r="H58" i="2"/>
  <c r="B59" i="2"/>
  <c r="C59" i="2"/>
  <c r="D59" i="2"/>
  <c r="E59" i="2"/>
  <c r="F59" i="2"/>
  <c r="G59" i="2"/>
  <c r="H59" i="2"/>
  <c r="B60" i="2"/>
  <c r="C60" i="2"/>
  <c r="D60" i="2"/>
  <c r="E60" i="2"/>
  <c r="F60" i="2"/>
  <c r="G60" i="2"/>
  <c r="H60" i="2"/>
  <c r="B61" i="2"/>
  <c r="C61" i="2"/>
  <c r="D61" i="2"/>
  <c r="E61" i="2"/>
  <c r="F61" i="2"/>
  <c r="G61" i="2"/>
  <c r="H61" i="2"/>
  <c r="B62" i="2"/>
  <c r="C62" i="2"/>
  <c r="D62" i="2"/>
  <c r="E62" i="2"/>
  <c r="F62" i="2"/>
  <c r="G62" i="2"/>
  <c r="H62" i="2"/>
  <c r="B63" i="2"/>
  <c r="C63" i="2"/>
  <c r="D63" i="2"/>
  <c r="E63" i="2"/>
  <c r="F63" i="2"/>
  <c r="G63" i="2"/>
  <c r="H63" i="2"/>
  <c r="B64" i="2"/>
  <c r="C64" i="2"/>
  <c r="D64" i="2"/>
  <c r="E64" i="2"/>
  <c r="F64" i="2"/>
  <c r="G64" i="2"/>
  <c r="H64" i="2"/>
  <c r="I64" i="2" s="1"/>
  <c r="B65" i="2"/>
  <c r="C65" i="2"/>
  <c r="D65" i="2"/>
  <c r="E65" i="2"/>
  <c r="F65" i="2"/>
  <c r="G65" i="2"/>
  <c r="H65" i="2"/>
  <c r="B66" i="2"/>
  <c r="C66" i="2"/>
  <c r="D66" i="2"/>
  <c r="E66" i="2"/>
  <c r="F66" i="2"/>
  <c r="G66" i="2"/>
  <c r="H66" i="2"/>
  <c r="B67" i="2"/>
  <c r="C67" i="2"/>
  <c r="D67" i="2"/>
  <c r="E67" i="2"/>
  <c r="F67" i="2"/>
  <c r="G67" i="2"/>
  <c r="H67" i="2"/>
  <c r="B68" i="2"/>
  <c r="C68" i="2"/>
  <c r="D68" i="2"/>
  <c r="E68" i="2"/>
  <c r="F68" i="2"/>
  <c r="G68" i="2"/>
  <c r="H68" i="2"/>
  <c r="B69" i="2"/>
  <c r="C69" i="2"/>
  <c r="D69" i="2"/>
  <c r="E69" i="2"/>
  <c r="F69" i="2"/>
  <c r="G69" i="2"/>
  <c r="H69" i="2"/>
  <c r="B70" i="2"/>
  <c r="C70" i="2"/>
  <c r="D70" i="2"/>
  <c r="E70" i="2"/>
  <c r="F70" i="2"/>
  <c r="G70" i="2"/>
  <c r="H70" i="2"/>
  <c r="B71" i="2"/>
  <c r="C71" i="2"/>
  <c r="D71" i="2"/>
  <c r="E71" i="2"/>
  <c r="F71" i="2"/>
  <c r="G71" i="2"/>
  <c r="H71" i="2"/>
  <c r="B72" i="2"/>
  <c r="C72" i="2"/>
  <c r="D72" i="2"/>
  <c r="E72" i="2"/>
  <c r="F72" i="2"/>
  <c r="G72" i="2"/>
  <c r="H72" i="2"/>
  <c r="B73" i="2"/>
  <c r="C73" i="2"/>
  <c r="D73" i="2"/>
  <c r="E73" i="2"/>
  <c r="F73" i="2"/>
  <c r="G73" i="2"/>
  <c r="H73" i="2"/>
  <c r="B74" i="2"/>
  <c r="C74" i="2"/>
  <c r="D74" i="2"/>
  <c r="E74" i="2"/>
  <c r="F74" i="2"/>
  <c r="G74" i="2"/>
  <c r="H74" i="2"/>
  <c r="B75" i="2"/>
  <c r="C75" i="2"/>
  <c r="D75" i="2"/>
  <c r="E75" i="2"/>
  <c r="F75" i="2"/>
  <c r="G75" i="2"/>
  <c r="H75" i="2"/>
  <c r="B76" i="2"/>
  <c r="C76" i="2"/>
  <c r="D76" i="2"/>
  <c r="E76" i="2"/>
  <c r="F76" i="2"/>
  <c r="G76" i="2"/>
  <c r="H76" i="2"/>
  <c r="B77" i="2"/>
  <c r="C77" i="2"/>
  <c r="D77" i="2"/>
  <c r="E77" i="2"/>
  <c r="F77" i="2"/>
  <c r="G77" i="2"/>
  <c r="H77" i="2"/>
  <c r="B78" i="2"/>
  <c r="C78" i="2"/>
  <c r="D78" i="2"/>
  <c r="E78" i="2"/>
  <c r="F78" i="2"/>
  <c r="G78" i="2"/>
  <c r="H78" i="2"/>
  <c r="B79" i="2"/>
  <c r="C79" i="2"/>
  <c r="D79" i="2"/>
  <c r="E79" i="2"/>
  <c r="F79" i="2"/>
  <c r="G79" i="2"/>
  <c r="H79" i="2"/>
  <c r="B80" i="2"/>
  <c r="C80" i="2"/>
  <c r="D80" i="2"/>
  <c r="E80" i="2"/>
  <c r="F80" i="2"/>
  <c r="G80" i="2"/>
  <c r="H80" i="2"/>
  <c r="I80" i="2" s="1"/>
  <c r="B81" i="2"/>
  <c r="C81" i="2"/>
  <c r="D81" i="2"/>
  <c r="E81" i="2"/>
  <c r="F81" i="2"/>
  <c r="G81" i="2"/>
  <c r="H81" i="2"/>
  <c r="B82" i="2"/>
  <c r="C82" i="2"/>
  <c r="D82" i="2"/>
  <c r="E82" i="2"/>
  <c r="F82" i="2"/>
  <c r="G82" i="2"/>
  <c r="H82" i="2"/>
  <c r="B83" i="2"/>
  <c r="C83" i="2"/>
  <c r="D83" i="2"/>
  <c r="E83" i="2"/>
  <c r="F83" i="2"/>
  <c r="G83" i="2"/>
  <c r="H83" i="2"/>
  <c r="B84" i="2"/>
  <c r="C84" i="2"/>
  <c r="D84" i="2"/>
  <c r="E84" i="2"/>
  <c r="F84" i="2"/>
  <c r="G84" i="2"/>
  <c r="H84" i="2"/>
  <c r="B85" i="2"/>
  <c r="C85" i="2"/>
  <c r="D85" i="2"/>
  <c r="E85" i="2"/>
  <c r="F85" i="2"/>
  <c r="G85" i="2"/>
  <c r="H85" i="2"/>
  <c r="B86" i="2"/>
  <c r="C86" i="2"/>
  <c r="D86" i="2"/>
  <c r="E86" i="2"/>
  <c r="F86" i="2"/>
  <c r="G86" i="2"/>
  <c r="H86" i="2"/>
  <c r="B87" i="2"/>
  <c r="C87" i="2"/>
  <c r="D87" i="2"/>
  <c r="E87" i="2"/>
  <c r="F87" i="2"/>
  <c r="G87" i="2"/>
  <c r="H87" i="2"/>
  <c r="B88" i="2"/>
  <c r="C88" i="2"/>
  <c r="D88" i="2"/>
  <c r="E88" i="2"/>
  <c r="F88" i="2"/>
  <c r="G88" i="2"/>
  <c r="H88" i="2"/>
  <c r="B89" i="2"/>
  <c r="C89" i="2"/>
  <c r="D89" i="2"/>
  <c r="E89" i="2"/>
  <c r="F89" i="2"/>
  <c r="G89" i="2"/>
  <c r="H89" i="2"/>
  <c r="B90" i="2"/>
  <c r="C90" i="2"/>
  <c r="D90" i="2"/>
  <c r="E90" i="2"/>
  <c r="F90" i="2"/>
  <c r="G90" i="2"/>
  <c r="H90" i="2"/>
  <c r="B91" i="2"/>
  <c r="C91" i="2"/>
  <c r="D91" i="2"/>
  <c r="E91" i="2"/>
  <c r="F91" i="2"/>
  <c r="G91" i="2"/>
  <c r="H91" i="2"/>
  <c r="B92" i="2"/>
  <c r="C92" i="2"/>
  <c r="D92" i="2"/>
  <c r="E92" i="2"/>
  <c r="F92" i="2"/>
  <c r="G92" i="2"/>
  <c r="H92" i="2"/>
  <c r="B93" i="2"/>
  <c r="C93" i="2"/>
  <c r="D93" i="2"/>
  <c r="E93" i="2"/>
  <c r="F93" i="2"/>
  <c r="G93" i="2"/>
  <c r="H93" i="2"/>
  <c r="B94" i="2"/>
  <c r="C94" i="2"/>
  <c r="D94" i="2"/>
  <c r="E94" i="2"/>
  <c r="F94" i="2"/>
  <c r="G94" i="2"/>
  <c r="H94" i="2"/>
  <c r="B95" i="2"/>
  <c r="C95" i="2"/>
  <c r="D95" i="2"/>
  <c r="E95" i="2"/>
  <c r="F95" i="2"/>
  <c r="G95" i="2"/>
  <c r="H95" i="2"/>
  <c r="B96" i="2"/>
  <c r="C96" i="2"/>
  <c r="D96" i="2"/>
  <c r="E96" i="2"/>
  <c r="F96" i="2"/>
  <c r="G96" i="2"/>
  <c r="H96" i="2"/>
  <c r="B97" i="2"/>
  <c r="C97" i="2"/>
  <c r="D97" i="2"/>
  <c r="E97" i="2"/>
  <c r="F97" i="2"/>
  <c r="G97" i="2"/>
  <c r="H97" i="2"/>
  <c r="B98" i="2"/>
  <c r="C98" i="2"/>
  <c r="D98" i="2"/>
  <c r="E98" i="2"/>
  <c r="F98" i="2"/>
  <c r="G98" i="2"/>
  <c r="H98" i="2"/>
  <c r="I98" i="2" s="1"/>
  <c r="B99" i="2"/>
  <c r="C99" i="2"/>
  <c r="D99" i="2"/>
  <c r="E99" i="2"/>
  <c r="F99" i="2"/>
  <c r="G99" i="2"/>
  <c r="H99" i="2"/>
  <c r="B100" i="2"/>
  <c r="C100" i="2"/>
  <c r="D100" i="2"/>
  <c r="E100" i="2"/>
  <c r="F100" i="2"/>
  <c r="G100" i="2"/>
  <c r="H100" i="2"/>
  <c r="B101" i="2"/>
  <c r="C101" i="2"/>
  <c r="D101" i="2"/>
  <c r="E101" i="2"/>
  <c r="F101" i="2"/>
  <c r="G101" i="2"/>
  <c r="H101" i="2"/>
  <c r="B102" i="2"/>
  <c r="C102" i="2"/>
  <c r="D102" i="2"/>
  <c r="E102" i="2"/>
  <c r="F102" i="2"/>
  <c r="G102" i="2"/>
  <c r="H102" i="2"/>
  <c r="B103" i="2"/>
  <c r="C103" i="2"/>
  <c r="D103" i="2"/>
  <c r="E103" i="2"/>
  <c r="F103" i="2"/>
  <c r="G103" i="2"/>
  <c r="H103" i="2"/>
  <c r="B104" i="2"/>
  <c r="C104" i="2"/>
  <c r="D104" i="2"/>
  <c r="E104" i="2"/>
  <c r="F104" i="2"/>
  <c r="G104" i="2"/>
  <c r="H104" i="2"/>
  <c r="B105" i="2"/>
  <c r="C105" i="2"/>
  <c r="D105" i="2"/>
  <c r="E105" i="2"/>
  <c r="F105" i="2"/>
  <c r="G105" i="2"/>
  <c r="H105" i="2"/>
  <c r="K105" i="2" s="1"/>
  <c r="B106" i="2"/>
  <c r="C106" i="2"/>
  <c r="D106" i="2"/>
  <c r="E106" i="2"/>
  <c r="F106" i="2"/>
  <c r="G106" i="2"/>
  <c r="H106" i="2"/>
  <c r="B107" i="2"/>
  <c r="C107" i="2"/>
  <c r="D107" i="2"/>
  <c r="E107" i="2"/>
  <c r="F107" i="2"/>
  <c r="G107" i="2"/>
  <c r="H107" i="2"/>
  <c r="B108" i="2"/>
  <c r="C108" i="2"/>
  <c r="D108" i="2"/>
  <c r="E108" i="2"/>
  <c r="F108" i="2"/>
  <c r="G108" i="2"/>
  <c r="H108" i="2"/>
  <c r="B109" i="2"/>
  <c r="C109" i="2"/>
  <c r="D109" i="2"/>
  <c r="E109" i="2"/>
  <c r="F109" i="2"/>
  <c r="G109" i="2"/>
  <c r="H109" i="2"/>
  <c r="K109" i="2" s="1"/>
  <c r="B110" i="2"/>
  <c r="C110" i="2"/>
  <c r="D110" i="2"/>
  <c r="E110" i="2"/>
  <c r="F110" i="2"/>
  <c r="G110" i="2"/>
  <c r="H110" i="2"/>
  <c r="B111" i="2"/>
  <c r="C111" i="2"/>
  <c r="D111" i="2"/>
  <c r="E111" i="2"/>
  <c r="F111" i="2"/>
  <c r="G111" i="2"/>
  <c r="H111" i="2"/>
  <c r="B112" i="2"/>
  <c r="C112" i="2"/>
  <c r="D112" i="2"/>
  <c r="E112" i="2"/>
  <c r="F112" i="2"/>
  <c r="G112" i="2"/>
  <c r="H112" i="2"/>
  <c r="B113" i="2"/>
  <c r="C113" i="2"/>
  <c r="D113" i="2"/>
  <c r="E113" i="2"/>
  <c r="F113" i="2"/>
  <c r="G113" i="2"/>
  <c r="H113" i="2"/>
  <c r="B114" i="2"/>
  <c r="C114" i="2"/>
  <c r="D114" i="2"/>
  <c r="E114" i="2"/>
  <c r="F114" i="2"/>
  <c r="G114" i="2"/>
  <c r="H114" i="2"/>
  <c r="B115" i="2"/>
  <c r="C115" i="2"/>
  <c r="D115" i="2"/>
  <c r="E115" i="2"/>
  <c r="F115" i="2"/>
  <c r="G115" i="2"/>
  <c r="H115" i="2"/>
  <c r="B116" i="2"/>
  <c r="C116" i="2"/>
  <c r="D116" i="2"/>
  <c r="E116" i="2"/>
  <c r="F116" i="2"/>
  <c r="G116" i="2"/>
  <c r="H116" i="2"/>
  <c r="I116" i="2" s="1"/>
  <c r="B117" i="2"/>
  <c r="C117" i="2"/>
  <c r="D117" i="2"/>
  <c r="E117" i="2"/>
  <c r="F117" i="2"/>
  <c r="G117" i="2"/>
  <c r="H117" i="2"/>
  <c r="B118" i="2"/>
  <c r="C118" i="2"/>
  <c r="D118" i="2"/>
  <c r="E118" i="2"/>
  <c r="F118" i="2"/>
  <c r="G118" i="2"/>
  <c r="H118" i="2"/>
  <c r="B119" i="2"/>
  <c r="C119" i="2"/>
  <c r="D119" i="2"/>
  <c r="E119" i="2"/>
  <c r="F119" i="2"/>
  <c r="G119" i="2"/>
  <c r="H119" i="2"/>
  <c r="B120" i="2"/>
  <c r="C120" i="2"/>
  <c r="D120" i="2"/>
  <c r="E120" i="2"/>
  <c r="F120" i="2"/>
  <c r="G120" i="2"/>
  <c r="H120" i="2"/>
  <c r="B121" i="2"/>
  <c r="C121" i="2"/>
  <c r="D121" i="2"/>
  <c r="E121" i="2"/>
  <c r="F121" i="2"/>
  <c r="G121" i="2"/>
  <c r="H121" i="2"/>
  <c r="B122" i="2"/>
  <c r="C122" i="2"/>
  <c r="D122" i="2"/>
  <c r="E122" i="2"/>
  <c r="F122" i="2"/>
  <c r="G122" i="2"/>
  <c r="H122" i="2"/>
  <c r="B123" i="2"/>
  <c r="C123" i="2"/>
  <c r="D123" i="2"/>
  <c r="E123" i="2"/>
  <c r="F123" i="2"/>
  <c r="G123" i="2"/>
  <c r="H123" i="2"/>
  <c r="K123" i="2" s="1"/>
  <c r="B124" i="2"/>
  <c r="C124" i="2"/>
  <c r="D124" i="2"/>
  <c r="E124" i="2"/>
  <c r="F124" i="2"/>
  <c r="G124" i="2"/>
  <c r="H124" i="2"/>
  <c r="B125" i="2"/>
  <c r="C125" i="2"/>
  <c r="D125" i="2"/>
  <c r="E125" i="2"/>
  <c r="F125" i="2"/>
  <c r="G125" i="2"/>
  <c r="H125" i="2"/>
  <c r="B126" i="2"/>
  <c r="C126" i="2"/>
  <c r="D126" i="2"/>
  <c r="E126" i="2"/>
  <c r="F126" i="2"/>
  <c r="G126" i="2"/>
  <c r="H126" i="2"/>
  <c r="B127" i="2"/>
  <c r="C127" i="2"/>
  <c r="D127" i="2"/>
  <c r="E127" i="2"/>
  <c r="F127" i="2"/>
  <c r="G127" i="2"/>
  <c r="H127" i="2"/>
  <c r="K127" i="2" s="1"/>
  <c r="B128" i="2"/>
  <c r="C128" i="2"/>
  <c r="D128" i="2"/>
  <c r="E128" i="2"/>
  <c r="F128" i="2"/>
  <c r="G128" i="2"/>
  <c r="H128" i="2"/>
  <c r="B129" i="2"/>
  <c r="C129" i="2"/>
  <c r="D129" i="2"/>
  <c r="E129" i="2"/>
  <c r="F129" i="2"/>
  <c r="G129" i="2"/>
  <c r="H129" i="2"/>
  <c r="B130" i="2"/>
  <c r="C130" i="2"/>
  <c r="D130" i="2"/>
  <c r="E130" i="2"/>
  <c r="F130" i="2"/>
  <c r="G130" i="2"/>
  <c r="H130" i="2"/>
  <c r="B131" i="2"/>
  <c r="C131" i="2"/>
  <c r="D131" i="2"/>
  <c r="E131" i="2"/>
  <c r="F131" i="2"/>
  <c r="G131" i="2"/>
  <c r="H131" i="2"/>
  <c r="B132" i="2"/>
  <c r="C132" i="2"/>
  <c r="D132" i="2"/>
  <c r="E132" i="2"/>
  <c r="F132" i="2"/>
  <c r="G132" i="2"/>
  <c r="H132" i="2"/>
  <c r="B133" i="2"/>
  <c r="C133" i="2"/>
  <c r="D133" i="2"/>
  <c r="E133" i="2"/>
  <c r="F133" i="2"/>
  <c r="G133" i="2"/>
  <c r="H133" i="2"/>
  <c r="B134" i="2"/>
  <c r="C134" i="2"/>
  <c r="D134" i="2"/>
  <c r="E134" i="2"/>
  <c r="F134" i="2"/>
  <c r="G134" i="2"/>
  <c r="H134" i="2"/>
  <c r="I134" i="2" s="1"/>
  <c r="B135" i="2"/>
  <c r="C135" i="2"/>
  <c r="D135" i="2"/>
  <c r="E135" i="2"/>
  <c r="F135" i="2"/>
  <c r="G135" i="2"/>
  <c r="H135" i="2"/>
  <c r="B136" i="2"/>
  <c r="C136" i="2"/>
  <c r="D136" i="2"/>
  <c r="E136" i="2"/>
  <c r="F136" i="2"/>
  <c r="G136" i="2"/>
  <c r="H136" i="2"/>
  <c r="B137" i="2"/>
  <c r="C137" i="2"/>
  <c r="D137" i="2"/>
  <c r="E137" i="2"/>
  <c r="F137" i="2"/>
  <c r="G137" i="2"/>
  <c r="H137" i="2"/>
  <c r="B138" i="2"/>
  <c r="C138" i="2"/>
  <c r="D138" i="2"/>
  <c r="E138" i="2"/>
  <c r="F138" i="2"/>
  <c r="G138" i="2"/>
  <c r="H138" i="2"/>
  <c r="B139" i="2"/>
  <c r="C139" i="2"/>
  <c r="D139" i="2"/>
  <c r="E139" i="2"/>
  <c r="F139" i="2"/>
  <c r="G139" i="2"/>
  <c r="H139" i="2"/>
  <c r="B140" i="2"/>
  <c r="C140" i="2"/>
  <c r="D140" i="2"/>
  <c r="E140" i="2"/>
  <c r="F140" i="2"/>
  <c r="G140" i="2"/>
  <c r="H140" i="2"/>
  <c r="B141" i="2"/>
  <c r="C141" i="2"/>
  <c r="D141" i="2"/>
  <c r="E141" i="2"/>
  <c r="F141" i="2"/>
  <c r="G141" i="2"/>
  <c r="H141" i="2"/>
  <c r="K141" i="2" s="1"/>
  <c r="B142" i="2"/>
  <c r="C142" i="2"/>
  <c r="D142" i="2"/>
  <c r="E142" i="2"/>
  <c r="F142" i="2"/>
  <c r="G142" i="2"/>
  <c r="H142" i="2"/>
  <c r="B143" i="2"/>
  <c r="C143" i="2"/>
  <c r="D143" i="2"/>
  <c r="E143" i="2"/>
  <c r="F143" i="2"/>
  <c r="G143" i="2"/>
  <c r="H143" i="2"/>
  <c r="B144" i="2"/>
  <c r="C144" i="2"/>
  <c r="D144" i="2"/>
  <c r="E144" i="2"/>
  <c r="F144" i="2"/>
  <c r="G144" i="2"/>
  <c r="H144" i="2"/>
  <c r="B145" i="2"/>
  <c r="C145" i="2"/>
  <c r="D145" i="2"/>
  <c r="E145" i="2"/>
  <c r="F145" i="2"/>
  <c r="G145" i="2"/>
  <c r="H145" i="2"/>
  <c r="B146" i="2"/>
  <c r="C146" i="2"/>
  <c r="D146" i="2"/>
  <c r="E146" i="2"/>
  <c r="F146" i="2"/>
  <c r="G146" i="2"/>
  <c r="H146" i="2"/>
  <c r="B147" i="2"/>
  <c r="C147" i="2"/>
  <c r="D147" i="2"/>
  <c r="E147" i="2"/>
  <c r="F147" i="2"/>
  <c r="G147" i="2"/>
  <c r="H147" i="2"/>
  <c r="B148" i="2"/>
  <c r="C148" i="2"/>
  <c r="D148" i="2"/>
  <c r="E148" i="2"/>
  <c r="F148" i="2"/>
  <c r="G148" i="2"/>
  <c r="H148" i="2"/>
  <c r="B149" i="2"/>
  <c r="C149" i="2"/>
  <c r="D149" i="2"/>
  <c r="E149" i="2"/>
  <c r="F149" i="2"/>
  <c r="G149" i="2"/>
  <c r="H149" i="2"/>
  <c r="B150" i="2"/>
  <c r="C150" i="2"/>
  <c r="D150" i="2"/>
  <c r="E150" i="2"/>
  <c r="F150" i="2"/>
  <c r="G150" i="2"/>
  <c r="H150" i="2"/>
  <c r="B151" i="2"/>
  <c r="C151" i="2"/>
  <c r="D151" i="2"/>
  <c r="E151" i="2"/>
  <c r="F151" i="2"/>
  <c r="G151" i="2"/>
  <c r="H151" i="2"/>
  <c r="B152" i="2"/>
  <c r="C152" i="2"/>
  <c r="D152" i="2"/>
  <c r="E152" i="2"/>
  <c r="F152" i="2"/>
  <c r="G152" i="2"/>
  <c r="H152" i="2"/>
  <c r="I152" i="2" s="1"/>
  <c r="B153" i="2"/>
  <c r="C153" i="2"/>
  <c r="D153" i="2"/>
  <c r="E153" i="2"/>
  <c r="F153" i="2"/>
  <c r="G153" i="2"/>
  <c r="H153" i="2"/>
  <c r="B154" i="2"/>
  <c r="C154" i="2"/>
  <c r="D154" i="2"/>
  <c r="E154" i="2"/>
  <c r="F154" i="2"/>
  <c r="G154" i="2"/>
  <c r="H154" i="2"/>
  <c r="B155" i="2"/>
  <c r="C155" i="2"/>
  <c r="D155" i="2"/>
  <c r="E155" i="2"/>
  <c r="F155" i="2"/>
  <c r="G155" i="2"/>
  <c r="H155" i="2"/>
  <c r="B156" i="2"/>
  <c r="C156" i="2"/>
  <c r="D156" i="2"/>
  <c r="E156" i="2"/>
  <c r="F156" i="2"/>
  <c r="G156" i="2"/>
  <c r="H156" i="2"/>
  <c r="B157" i="2"/>
  <c r="C157" i="2"/>
  <c r="D157" i="2"/>
  <c r="E157" i="2"/>
  <c r="F157" i="2"/>
  <c r="G157" i="2"/>
  <c r="H157" i="2"/>
  <c r="B158" i="2"/>
  <c r="C158" i="2"/>
  <c r="D158" i="2"/>
  <c r="E158" i="2"/>
  <c r="F158" i="2"/>
  <c r="G158" i="2"/>
  <c r="H158" i="2"/>
  <c r="B159" i="2"/>
  <c r="C159" i="2"/>
  <c r="D159" i="2"/>
  <c r="E159" i="2"/>
  <c r="F159" i="2"/>
  <c r="G159" i="2"/>
  <c r="H159" i="2"/>
  <c r="K159" i="2" s="1"/>
  <c r="B160" i="2"/>
  <c r="C160" i="2"/>
  <c r="D160" i="2"/>
  <c r="E160" i="2"/>
  <c r="F160" i="2"/>
  <c r="G160" i="2"/>
  <c r="H160" i="2"/>
  <c r="B161" i="2"/>
  <c r="C161" i="2"/>
  <c r="D161" i="2"/>
  <c r="E161" i="2"/>
  <c r="F161" i="2"/>
  <c r="G161" i="2"/>
  <c r="H161" i="2"/>
  <c r="B162" i="2"/>
  <c r="C162" i="2"/>
  <c r="D162" i="2"/>
  <c r="E162" i="2"/>
  <c r="F162" i="2"/>
  <c r="G162" i="2"/>
  <c r="H162" i="2"/>
  <c r="B163" i="2"/>
  <c r="C163" i="2"/>
  <c r="D163" i="2"/>
  <c r="E163" i="2"/>
  <c r="F163" i="2"/>
  <c r="G163" i="2"/>
  <c r="H163" i="2"/>
  <c r="B164" i="2"/>
  <c r="C164" i="2"/>
  <c r="D164" i="2"/>
  <c r="E164" i="2"/>
  <c r="F164" i="2"/>
  <c r="G164" i="2"/>
  <c r="H164" i="2"/>
  <c r="B165" i="2"/>
  <c r="C165" i="2"/>
  <c r="D165" i="2"/>
  <c r="E165" i="2"/>
  <c r="F165" i="2"/>
  <c r="G165" i="2"/>
  <c r="H165" i="2"/>
  <c r="B166" i="2"/>
  <c r="C166" i="2"/>
  <c r="D166" i="2"/>
  <c r="E166" i="2"/>
  <c r="F166" i="2"/>
  <c r="G166" i="2"/>
  <c r="H166" i="2"/>
  <c r="B167" i="2"/>
  <c r="C167" i="2"/>
  <c r="D167" i="2"/>
  <c r="E167" i="2"/>
  <c r="F167" i="2"/>
  <c r="G167" i="2"/>
  <c r="H167" i="2"/>
  <c r="B168" i="2"/>
  <c r="C168" i="2"/>
  <c r="D168" i="2"/>
  <c r="E168" i="2"/>
  <c r="F168" i="2"/>
  <c r="G168" i="2"/>
  <c r="H168" i="2"/>
  <c r="B169" i="2"/>
  <c r="C169" i="2"/>
  <c r="D169" i="2"/>
  <c r="E169" i="2"/>
  <c r="F169" i="2"/>
  <c r="G169" i="2"/>
  <c r="H169" i="2"/>
  <c r="B170" i="2"/>
  <c r="C170" i="2"/>
  <c r="D170" i="2"/>
  <c r="E170" i="2"/>
  <c r="F170" i="2"/>
  <c r="G170" i="2"/>
  <c r="H170" i="2"/>
  <c r="I170" i="2" s="1"/>
  <c r="B171" i="2"/>
  <c r="C171" i="2"/>
  <c r="D171" i="2"/>
  <c r="E171" i="2"/>
  <c r="F171" i="2"/>
  <c r="G171" i="2"/>
  <c r="H171" i="2"/>
  <c r="B172" i="2"/>
  <c r="C172" i="2"/>
  <c r="D172" i="2"/>
  <c r="E172" i="2"/>
  <c r="F172" i="2"/>
  <c r="G172" i="2"/>
  <c r="H172" i="2"/>
  <c r="B173" i="2"/>
  <c r="C173" i="2"/>
  <c r="D173" i="2"/>
  <c r="E173" i="2"/>
  <c r="F173" i="2"/>
  <c r="G173" i="2"/>
  <c r="H173" i="2"/>
  <c r="B174" i="2"/>
  <c r="C174" i="2"/>
  <c r="D174" i="2"/>
  <c r="E174" i="2"/>
  <c r="F174" i="2"/>
  <c r="G174" i="2"/>
  <c r="H174" i="2"/>
  <c r="B175" i="2"/>
  <c r="C175" i="2"/>
  <c r="D175" i="2"/>
  <c r="E175" i="2"/>
  <c r="F175" i="2"/>
  <c r="G175" i="2"/>
  <c r="H175" i="2"/>
  <c r="B176" i="2"/>
  <c r="C176" i="2"/>
  <c r="D176" i="2"/>
  <c r="E176" i="2"/>
  <c r="F176" i="2"/>
  <c r="G176" i="2"/>
  <c r="H176" i="2"/>
  <c r="B177" i="2"/>
  <c r="C177" i="2"/>
  <c r="D177" i="2"/>
  <c r="E177" i="2"/>
  <c r="F177" i="2"/>
  <c r="G177" i="2"/>
  <c r="H177" i="2"/>
  <c r="K177" i="2" s="1"/>
  <c r="B178" i="2"/>
  <c r="C178" i="2"/>
  <c r="D178" i="2"/>
  <c r="E178" i="2"/>
  <c r="F178" i="2"/>
  <c r="G178" i="2"/>
  <c r="H178" i="2"/>
  <c r="B179" i="2"/>
  <c r="C179" i="2"/>
  <c r="D179" i="2"/>
  <c r="E179" i="2"/>
  <c r="F179" i="2"/>
  <c r="G179" i="2"/>
  <c r="H179" i="2"/>
  <c r="B180" i="2"/>
  <c r="C180" i="2"/>
  <c r="D180" i="2"/>
  <c r="E180" i="2"/>
  <c r="F180" i="2"/>
  <c r="G180" i="2"/>
  <c r="H180" i="2"/>
  <c r="B181" i="2"/>
  <c r="C181" i="2"/>
  <c r="D181" i="2"/>
  <c r="E181" i="2"/>
  <c r="F181" i="2"/>
  <c r="G181" i="2"/>
  <c r="H181" i="2"/>
  <c r="B182" i="2"/>
  <c r="C182" i="2"/>
  <c r="D182" i="2"/>
  <c r="E182" i="2"/>
  <c r="F182" i="2"/>
  <c r="G182" i="2"/>
  <c r="H182" i="2"/>
  <c r="B183" i="2"/>
  <c r="C183" i="2"/>
  <c r="D183" i="2"/>
  <c r="E183" i="2"/>
  <c r="F183" i="2"/>
  <c r="G183" i="2"/>
  <c r="H183" i="2"/>
  <c r="B184" i="2"/>
  <c r="C184" i="2"/>
  <c r="D184" i="2"/>
  <c r="E184" i="2"/>
  <c r="F184" i="2"/>
  <c r="G184" i="2"/>
  <c r="H184" i="2"/>
  <c r="B185" i="2"/>
  <c r="C185" i="2"/>
  <c r="D185" i="2"/>
  <c r="E185" i="2"/>
  <c r="F185" i="2"/>
  <c r="G185" i="2"/>
  <c r="H185" i="2"/>
  <c r="I185" i="2" s="1"/>
  <c r="B186" i="2"/>
  <c r="C186" i="2"/>
  <c r="D186" i="2"/>
  <c r="E186" i="2"/>
  <c r="F186" i="2"/>
  <c r="G186" i="2"/>
  <c r="H186" i="2"/>
  <c r="B187" i="2"/>
  <c r="C187" i="2"/>
  <c r="D187" i="2"/>
  <c r="E187" i="2"/>
  <c r="F187" i="2"/>
  <c r="G187" i="2"/>
  <c r="H187" i="2"/>
  <c r="B188" i="2"/>
  <c r="C188" i="2"/>
  <c r="D188" i="2"/>
  <c r="E188" i="2"/>
  <c r="F188" i="2"/>
  <c r="G188" i="2"/>
  <c r="H188" i="2"/>
  <c r="B189" i="2"/>
  <c r="C189" i="2"/>
  <c r="D189" i="2"/>
  <c r="E189" i="2"/>
  <c r="F189" i="2"/>
  <c r="G189" i="2"/>
  <c r="H189" i="2"/>
  <c r="B190" i="2"/>
  <c r="C190" i="2"/>
  <c r="D190" i="2"/>
  <c r="E190" i="2"/>
  <c r="F190" i="2"/>
  <c r="G190" i="2"/>
  <c r="H190" i="2"/>
  <c r="B191" i="2"/>
  <c r="C191" i="2"/>
  <c r="D191" i="2"/>
  <c r="E191" i="2"/>
  <c r="F191" i="2"/>
  <c r="G191" i="2"/>
  <c r="H191" i="2"/>
  <c r="B192" i="2"/>
  <c r="C192" i="2"/>
  <c r="D192" i="2"/>
  <c r="E192" i="2"/>
  <c r="F192" i="2"/>
  <c r="G192" i="2"/>
  <c r="H192" i="2"/>
  <c r="B193" i="2"/>
  <c r="C193" i="2"/>
  <c r="D193" i="2"/>
  <c r="E193" i="2"/>
  <c r="F193" i="2"/>
  <c r="G193" i="2"/>
  <c r="H193" i="2"/>
  <c r="B194" i="2"/>
  <c r="C194" i="2"/>
  <c r="D194" i="2"/>
  <c r="E194" i="2"/>
  <c r="F194" i="2"/>
  <c r="G194" i="2"/>
  <c r="H194" i="2"/>
  <c r="B195" i="2"/>
  <c r="C195" i="2"/>
  <c r="D195" i="2"/>
  <c r="E195" i="2"/>
  <c r="F195" i="2"/>
  <c r="G195" i="2"/>
  <c r="H195" i="2"/>
  <c r="B196" i="2"/>
  <c r="C196" i="2"/>
  <c r="D196" i="2"/>
  <c r="E196" i="2"/>
  <c r="F196" i="2"/>
  <c r="G196" i="2"/>
  <c r="H196" i="2"/>
  <c r="B197" i="2"/>
  <c r="C197" i="2"/>
  <c r="D197" i="2"/>
  <c r="E197" i="2"/>
  <c r="F197" i="2"/>
  <c r="G197" i="2"/>
  <c r="H197" i="2"/>
  <c r="I197" i="2" s="1"/>
  <c r="B198" i="2"/>
  <c r="C198" i="2"/>
  <c r="D198" i="2"/>
  <c r="E198" i="2"/>
  <c r="F198" i="2"/>
  <c r="G198" i="2"/>
  <c r="H198" i="2"/>
  <c r="B199" i="2"/>
  <c r="C199" i="2"/>
  <c r="D199" i="2"/>
  <c r="E199" i="2"/>
  <c r="F199" i="2"/>
  <c r="G199" i="2"/>
  <c r="H199" i="2"/>
  <c r="B200" i="2"/>
  <c r="C200" i="2"/>
  <c r="D200" i="2"/>
  <c r="E200" i="2"/>
  <c r="F200" i="2"/>
  <c r="G200" i="2"/>
  <c r="H200" i="2"/>
  <c r="B201" i="2"/>
  <c r="C201" i="2"/>
  <c r="D201" i="2"/>
  <c r="E201" i="2"/>
  <c r="F201" i="2"/>
  <c r="G201" i="2"/>
  <c r="H201" i="2"/>
  <c r="B202" i="2"/>
  <c r="C202" i="2"/>
  <c r="D202" i="2"/>
  <c r="E202" i="2"/>
  <c r="F202" i="2"/>
  <c r="G202" i="2"/>
  <c r="H202" i="2"/>
  <c r="B203" i="2"/>
  <c r="C203" i="2"/>
  <c r="D203" i="2"/>
  <c r="E203" i="2"/>
  <c r="F203" i="2"/>
  <c r="G203" i="2"/>
  <c r="H203" i="2"/>
  <c r="B204" i="2"/>
  <c r="C204" i="2"/>
  <c r="D204" i="2"/>
  <c r="E204" i="2"/>
  <c r="F204" i="2"/>
  <c r="G204" i="2"/>
  <c r="H204" i="2"/>
  <c r="B205" i="2"/>
  <c r="C205" i="2"/>
  <c r="D205" i="2"/>
  <c r="E205" i="2"/>
  <c r="F205" i="2"/>
  <c r="G205" i="2"/>
  <c r="H205" i="2"/>
  <c r="B206" i="2"/>
  <c r="C206" i="2"/>
  <c r="D206" i="2"/>
  <c r="E206" i="2"/>
  <c r="F206" i="2"/>
  <c r="G206" i="2"/>
  <c r="H206" i="2"/>
  <c r="B207" i="2"/>
  <c r="C207" i="2"/>
  <c r="D207" i="2"/>
  <c r="E207" i="2"/>
  <c r="F207" i="2"/>
  <c r="G207" i="2"/>
  <c r="H207" i="2"/>
  <c r="B208" i="2"/>
  <c r="C208" i="2"/>
  <c r="D208" i="2"/>
  <c r="E208" i="2"/>
  <c r="F208" i="2"/>
  <c r="G208" i="2"/>
  <c r="H208" i="2"/>
  <c r="B209" i="2"/>
  <c r="C209" i="2"/>
  <c r="D209" i="2"/>
  <c r="E209" i="2"/>
  <c r="F209" i="2"/>
  <c r="G209" i="2"/>
  <c r="H209" i="2"/>
  <c r="I209" i="2" s="1"/>
  <c r="B210" i="2"/>
  <c r="C210" i="2"/>
  <c r="D210" i="2"/>
  <c r="E210" i="2"/>
  <c r="F210" i="2"/>
  <c r="G210" i="2"/>
  <c r="H210" i="2"/>
  <c r="B211" i="2"/>
  <c r="C211" i="2"/>
  <c r="D211" i="2"/>
  <c r="E211" i="2"/>
  <c r="F211" i="2"/>
  <c r="G211" i="2"/>
  <c r="H211" i="2"/>
  <c r="B212" i="2"/>
  <c r="C212" i="2"/>
  <c r="D212" i="2"/>
  <c r="E212" i="2"/>
  <c r="F212" i="2"/>
  <c r="G212" i="2"/>
  <c r="H212" i="2"/>
  <c r="B213" i="2"/>
  <c r="C213" i="2"/>
  <c r="D213" i="2"/>
  <c r="E213" i="2"/>
  <c r="F213" i="2"/>
  <c r="G213" i="2"/>
  <c r="H213" i="2"/>
  <c r="B214" i="2"/>
  <c r="C214" i="2"/>
  <c r="D214" i="2"/>
  <c r="E214" i="2"/>
  <c r="F214" i="2"/>
  <c r="G214" i="2"/>
  <c r="H214" i="2"/>
  <c r="B215" i="2"/>
  <c r="C215" i="2"/>
  <c r="D215" i="2"/>
  <c r="E215" i="2"/>
  <c r="F215" i="2"/>
  <c r="G215" i="2"/>
  <c r="H215" i="2"/>
  <c r="B216" i="2"/>
  <c r="C216" i="2"/>
  <c r="D216" i="2"/>
  <c r="E216" i="2"/>
  <c r="F216" i="2"/>
  <c r="G216" i="2"/>
  <c r="H216" i="2"/>
  <c r="B217" i="2"/>
  <c r="C217" i="2"/>
  <c r="D217" i="2"/>
  <c r="E217" i="2"/>
  <c r="F217" i="2"/>
  <c r="G217" i="2"/>
  <c r="H217" i="2"/>
  <c r="K217" i="2" s="1"/>
  <c r="B218" i="2"/>
  <c r="C218" i="2"/>
  <c r="D218" i="2"/>
  <c r="E218" i="2"/>
  <c r="F218" i="2"/>
  <c r="G218" i="2"/>
  <c r="H218" i="2"/>
  <c r="B219" i="2"/>
  <c r="C219" i="2"/>
  <c r="D219" i="2"/>
  <c r="E219" i="2"/>
  <c r="F219" i="2"/>
  <c r="G219" i="2"/>
  <c r="H219" i="2"/>
  <c r="B220" i="2"/>
  <c r="C220" i="2"/>
  <c r="D220" i="2"/>
  <c r="E220" i="2"/>
  <c r="F220" i="2"/>
  <c r="G220" i="2"/>
  <c r="H220" i="2"/>
  <c r="B221" i="2"/>
  <c r="C221" i="2"/>
  <c r="D221" i="2"/>
  <c r="E221" i="2"/>
  <c r="F221" i="2"/>
  <c r="G221" i="2"/>
  <c r="H221" i="2"/>
  <c r="B222" i="2"/>
  <c r="C222" i="2"/>
  <c r="D222" i="2"/>
  <c r="E222" i="2"/>
  <c r="F222" i="2"/>
  <c r="G222" i="2"/>
  <c r="H222" i="2"/>
  <c r="B223" i="2"/>
  <c r="C223" i="2"/>
  <c r="D223" i="2"/>
  <c r="E223" i="2"/>
  <c r="F223" i="2"/>
  <c r="G223" i="2"/>
  <c r="H223" i="2"/>
  <c r="B224" i="2"/>
  <c r="C224" i="2"/>
  <c r="D224" i="2"/>
  <c r="E224" i="2"/>
  <c r="F224" i="2"/>
  <c r="G224" i="2"/>
  <c r="H224" i="2"/>
  <c r="B225" i="2"/>
  <c r="C225" i="2"/>
  <c r="D225" i="2"/>
  <c r="E225" i="2"/>
  <c r="F225" i="2"/>
  <c r="G225" i="2"/>
  <c r="H225" i="2"/>
  <c r="B226" i="2"/>
  <c r="C226" i="2"/>
  <c r="D226" i="2"/>
  <c r="E226" i="2"/>
  <c r="F226" i="2"/>
  <c r="G226" i="2"/>
  <c r="H226" i="2"/>
  <c r="B227" i="2"/>
  <c r="C227" i="2"/>
  <c r="D227" i="2"/>
  <c r="E227" i="2"/>
  <c r="F227" i="2"/>
  <c r="G227" i="2"/>
  <c r="H227" i="2"/>
  <c r="B228" i="2"/>
  <c r="C228" i="2"/>
  <c r="D228" i="2"/>
  <c r="E228" i="2"/>
  <c r="F228" i="2"/>
  <c r="G228" i="2"/>
  <c r="H228" i="2"/>
  <c r="I228" i="2" s="1"/>
  <c r="B229" i="2"/>
  <c r="C229" i="2"/>
  <c r="D229" i="2"/>
  <c r="E229" i="2"/>
  <c r="F229" i="2"/>
  <c r="G229" i="2"/>
  <c r="H229" i="2"/>
  <c r="B230" i="2"/>
  <c r="C230" i="2"/>
  <c r="D230" i="2"/>
  <c r="E230" i="2"/>
  <c r="F230" i="2"/>
  <c r="G230" i="2"/>
  <c r="H230" i="2"/>
  <c r="B231" i="2"/>
  <c r="C231" i="2"/>
  <c r="D231" i="2"/>
  <c r="E231" i="2"/>
  <c r="F231" i="2"/>
  <c r="G231" i="2"/>
  <c r="H231" i="2"/>
  <c r="B232" i="2"/>
  <c r="C232" i="2"/>
  <c r="D232" i="2"/>
  <c r="E232" i="2"/>
  <c r="F232" i="2"/>
  <c r="G232" i="2"/>
  <c r="H232" i="2"/>
  <c r="B233" i="2"/>
  <c r="C233" i="2"/>
  <c r="D233" i="2"/>
  <c r="E233" i="2"/>
  <c r="F233" i="2"/>
  <c r="G233" i="2"/>
  <c r="H233" i="2"/>
  <c r="B234" i="2"/>
  <c r="C234" i="2"/>
  <c r="D234" i="2"/>
  <c r="E234" i="2"/>
  <c r="F234" i="2"/>
  <c r="G234" i="2"/>
  <c r="H234" i="2"/>
  <c r="B235" i="2"/>
  <c r="C235" i="2"/>
  <c r="D235" i="2"/>
  <c r="E235" i="2"/>
  <c r="F235" i="2"/>
  <c r="G235" i="2"/>
  <c r="H235" i="2"/>
  <c r="B236" i="2"/>
  <c r="C236" i="2"/>
  <c r="D236" i="2"/>
  <c r="E236" i="2"/>
  <c r="F236" i="2"/>
  <c r="G236" i="2"/>
  <c r="H236" i="2"/>
  <c r="B237" i="2"/>
  <c r="C237" i="2"/>
  <c r="D237" i="2"/>
  <c r="E237" i="2"/>
  <c r="F237" i="2"/>
  <c r="G237" i="2"/>
  <c r="H237" i="2"/>
  <c r="B238" i="2"/>
  <c r="C238" i="2"/>
  <c r="D238" i="2"/>
  <c r="E238" i="2"/>
  <c r="F238" i="2"/>
  <c r="G238" i="2"/>
  <c r="H238" i="2"/>
  <c r="B239" i="2"/>
  <c r="C239" i="2"/>
  <c r="D239" i="2"/>
  <c r="E239" i="2"/>
  <c r="F239" i="2"/>
  <c r="G239" i="2"/>
  <c r="H239" i="2"/>
  <c r="B240" i="2"/>
  <c r="C240" i="2"/>
  <c r="D240" i="2"/>
  <c r="E240" i="2"/>
  <c r="F240" i="2"/>
  <c r="G240" i="2"/>
  <c r="H240" i="2"/>
  <c r="B241" i="2"/>
  <c r="C241" i="2"/>
  <c r="D241" i="2"/>
  <c r="E241" i="2"/>
  <c r="F241" i="2"/>
  <c r="G241" i="2"/>
  <c r="H241" i="2"/>
  <c r="B242" i="2"/>
  <c r="C242" i="2"/>
  <c r="D242" i="2"/>
  <c r="E242" i="2"/>
  <c r="F242" i="2"/>
  <c r="G242" i="2"/>
  <c r="H242" i="2"/>
  <c r="B243" i="2"/>
  <c r="C243" i="2"/>
  <c r="D243" i="2"/>
  <c r="E243" i="2"/>
  <c r="F243" i="2"/>
  <c r="G243" i="2"/>
  <c r="H243" i="2"/>
  <c r="B244" i="2"/>
  <c r="C244" i="2"/>
  <c r="D244" i="2"/>
  <c r="E244" i="2"/>
  <c r="F244" i="2"/>
  <c r="G244" i="2"/>
  <c r="H244" i="2"/>
  <c r="B245" i="2"/>
  <c r="C245" i="2"/>
  <c r="D245" i="2"/>
  <c r="E245" i="2"/>
  <c r="F245" i="2"/>
  <c r="G245" i="2"/>
  <c r="H245" i="2"/>
  <c r="B246" i="2"/>
  <c r="C246" i="2"/>
  <c r="D246" i="2"/>
  <c r="E246" i="2"/>
  <c r="F246" i="2"/>
  <c r="G246" i="2"/>
  <c r="H246" i="2"/>
  <c r="B247" i="2"/>
  <c r="C247" i="2"/>
  <c r="D247" i="2"/>
  <c r="E247" i="2"/>
  <c r="F247" i="2"/>
  <c r="G247" i="2"/>
  <c r="H247" i="2"/>
  <c r="B248" i="2"/>
  <c r="C248" i="2"/>
  <c r="D248" i="2"/>
  <c r="E248" i="2"/>
  <c r="F248" i="2"/>
  <c r="G248" i="2"/>
  <c r="H248" i="2"/>
  <c r="B249" i="2"/>
  <c r="C249" i="2"/>
  <c r="D249" i="2"/>
  <c r="E249" i="2"/>
  <c r="F249" i="2"/>
  <c r="G249" i="2"/>
  <c r="H249" i="2"/>
  <c r="B250" i="2"/>
  <c r="C250" i="2"/>
  <c r="D250" i="2"/>
  <c r="E250" i="2"/>
  <c r="F250" i="2"/>
  <c r="G250" i="2"/>
  <c r="H250" i="2"/>
  <c r="B251" i="2"/>
  <c r="C251" i="2"/>
  <c r="D251" i="2"/>
  <c r="E251" i="2"/>
  <c r="F251" i="2"/>
  <c r="G251" i="2"/>
  <c r="H251" i="2"/>
  <c r="B252" i="2"/>
  <c r="C252" i="2"/>
  <c r="D252" i="2"/>
  <c r="E252" i="2"/>
  <c r="F252" i="2"/>
  <c r="G252" i="2"/>
  <c r="H252" i="2"/>
  <c r="B253" i="2"/>
  <c r="C253" i="2"/>
  <c r="D253" i="2"/>
  <c r="E253" i="2"/>
  <c r="F253" i="2"/>
  <c r="G253" i="2"/>
  <c r="H253" i="2"/>
  <c r="K253" i="2" s="1"/>
  <c r="B254" i="2"/>
  <c r="C254" i="2"/>
  <c r="D254" i="2"/>
  <c r="E254" i="2"/>
  <c r="F254" i="2"/>
  <c r="G254" i="2"/>
  <c r="H254" i="2"/>
  <c r="B255" i="2"/>
  <c r="C255" i="2"/>
  <c r="D255" i="2"/>
  <c r="E255" i="2"/>
  <c r="F255" i="2"/>
  <c r="G255" i="2"/>
  <c r="H255" i="2"/>
  <c r="B256" i="2"/>
  <c r="C256" i="2"/>
  <c r="D256" i="2"/>
  <c r="E256" i="2"/>
  <c r="F256" i="2"/>
  <c r="G256" i="2"/>
  <c r="H256" i="2"/>
  <c r="B257" i="2"/>
  <c r="C257" i="2"/>
  <c r="D257" i="2"/>
  <c r="E257" i="2"/>
  <c r="F257" i="2"/>
  <c r="G257" i="2"/>
  <c r="H257" i="2"/>
  <c r="B258" i="2"/>
  <c r="C258" i="2"/>
  <c r="D258" i="2"/>
  <c r="E258" i="2"/>
  <c r="F258" i="2"/>
  <c r="G258" i="2"/>
  <c r="H258" i="2"/>
  <c r="B259" i="2"/>
  <c r="C259" i="2"/>
  <c r="D259" i="2"/>
  <c r="E259" i="2"/>
  <c r="F259" i="2"/>
  <c r="G259" i="2"/>
  <c r="H259" i="2"/>
  <c r="B260" i="2"/>
  <c r="C260" i="2"/>
  <c r="D260" i="2"/>
  <c r="E260" i="2"/>
  <c r="F260" i="2"/>
  <c r="G260" i="2"/>
  <c r="H260" i="2"/>
  <c r="B261" i="2"/>
  <c r="C261" i="2"/>
  <c r="D261" i="2"/>
  <c r="E261" i="2"/>
  <c r="F261" i="2"/>
  <c r="G261" i="2"/>
  <c r="H261" i="2"/>
  <c r="B262" i="2"/>
  <c r="C262" i="2"/>
  <c r="D262" i="2"/>
  <c r="E262" i="2"/>
  <c r="F262" i="2"/>
  <c r="G262" i="2"/>
  <c r="H262" i="2"/>
  <c r="K262" i="2" s="1"/>
  <c r="B263" i="2"/>
  <c r="C263" i="2"/>
  <c r="D263" i="2"/>
  <c r="E263" i="2"/>
  <c r="F263" i="2"/>
  <c r="G263" i="2"/>
  <c r="H263" i="2"/>
  <c r="B264" i="2"/>
  <c r="C264" i="2"/>
  <c r="D264" i="2"/>
  <c r="E264" i="2"/>
  <c r="F264" i="2"/>
  <c r="G264" i="2"/>
  <c r="H264" i="2"/>
  <c r="B265" i="2"/>
  <c r="C265" i="2"/>
  <c r="D265" i="2"/>
  <c r="E265" i="2"/>
  <c r="F265" i="2"/>
  <c r="G265" i="2"/>
  <c r="H265" i="2"/>
  <c r="B266" i="2"/>
  <c r="C266" i="2"/>
  <c r="D266" i="2"/>
  <c r="E266" i="2"/>
  <c r="F266" i="2"/>
  <c r="G266" i="2"/>
  <c r="H266" i="2"/>
  <c r="B267" i="2"/>
  <c r="C267" i="2"/>
  <c r="D267" i="2"/>
  <c r="E267" i="2"/>
  <c r="F267" i="2"/>
  <c r="G267" i="2"/>
  <c r="H267" i="2"/>
  <c r="B268" i="2"/>
  <c r="C268" i="2"/>
  <c r="D268" i="2"/>
  <c r="E268" i="2"/>
  <c r="F268" i="2"/>
  <c r="G268" i="2"/>
  <c r="H268" i="2"/>
  <c r="B269" i="2"/>
  <c r="C269" i="2"/>
  <c r="D269" i="2"/>
  <c r="E269" i="2"/>
  <c r="F269" i="2"/>
  <c r="G269" i="2"/>
  <c r="H269" i="2"/>
  <c r="B270" i="2"/>
  <c r="C270" i="2"/>
  <c r="D270" i="2"/>
  <c r="E270" i="2"/>
  <c r="F270" i="2"/>
  <c r="G270" i="2"/>
  <c r="H270" i="2"/>
  <c r="B271" i="2"/>
  <c r="C271" i="2"/>
  <c r="D271" i="2"/>
  <c r="E271" i="2"/>
  <c r="F271" i="2"/>
  <c r="G271" i="2"/>
  <c r="H271" i="2"/>
  <c r="B272" i="2"/>
  <c r="C272" i="2"/>
  <c r="D272" i="2"/>
  <c r="E272" i="2"/>
  <c r="F272" i="2"/>
  <c r="G272" i="2"/>
  <c r="H272" i="2"/>
  <c r="B273" i="2"/>
  <c r="C273" i="2"/>
  <c r="D273" i="2"/>
  <c r="E273" i="2"/>
  <c r="F273" i="2"/>
  <c r="G273" i="2"/>
  <c r="H273" i="2"/>
  <c r="B274" i="2"/>
  <c r="C274" i="2"/>
  <c r="D274" i="2"/>
  <c r="E274" i="2"/>
  <c r="F274" i="2"/>
  <c r="G274" i="2"/>
  <c r="H274" i="2"/>
  <c r="B275" i="2"/>
  <c r="C275" i="2"/>
  <c r="D275" i="2"/>
  <c r="E275" i="2"/>
  <c r="F275" i="2"/>
  <c r="G275" i="2"/>
  <c r="H275" i="2"/>
  <c r="B276" i="2"/>
  <c r="C276" i="2"/>
  <c r="D276" i="2"/>
  <c r="E276" i="2"/>
  <c r="F276" i="2"/>
  <c r="G276" i="2"/>
  <c r="H276" i="2"/>
  <c r="B277" i="2"/>
  <c r="C277" i="2"/>
  <c r="D277" i="2"/>
  <c r="E277" i="2"/>
  <c r="F277" i="2"/>
  <c r="G277" i="2"/>
  <c r="H277" i="2"/>
  <c r="B278" i="2"/>
  <c r="C278" i="2"/>
  <c r="D278" i="2"/>
  <c r="E278" i="2"/>
  <c r="F278" i="2"/>
  <c r="G278" i="2"/>
  <c r="H278" i="2"/>
  <c r="B279" i="2"/>
  <c r="C279" i="2"/>
  <c r="D279" i="2"/>
  <c r="E279" i="2"/>
  <c r="F279" i="2"/>
  <c r="G279" i="2"/>
  <c r="H279" i="2"/>
  <c r="B280" i="2"/>
  <c r="C280" i="2"/>
  <c r="D280" i="2"/>
  <c r="E280" i="2"/>
  <c r="F280" i="2"/>
  <c r="G280" i="2"/>
  <c r="H280" i="2"/>
  <c r="B281" i="2"/>
  <c r="C281" i="2"/>
  <c r="D281" i="2"/>
  <c r="E281" i="2"/>
  <c r="F281" i="2"/>
  <c r="G281" i="2"/>
  <c r="H281" i="2"/>
  <c r="B282" i="2"/>
  <c r="C282" i="2"/>
  <c r="D282" i="2"/>
  <c r="E282" i="2"/>
  <c r="F282" i="2"/>
  <c r="G282" i="2"/>
  <c r="H282" i="2"/>
  <c r="B283" i="2"/>
  <c r="C283" i="2"/>
  <c r="D283" i="2"/>
  <c r="E283" i="2"/>
  <c r="F283" i="2"/>
  <c r="G283" i="2"/>
  <c r="H283" i="2"/>
  <c r="I283" i="2" s="1"/>
  <c r="B284" i="2"/>
  <c r="C284" i="2"/>
  <c r="D284" i="2"/>
  <c r="E284" i="2"/>
  <c r="F284" i="2"/>
  <c r="G284" i="2"/>
  <c r="H284" i="2"/>
  <c r="B285" i="2"/>
  <c r="C285" i="2"/>
  <c r="D285" i="2"/>
  <c r="E285" i="2"/>
  <c r="F285" i="2"/>
  <c r="G285" i="2"/>
  <c r="H285" i="2"/>
  <c r="B286" i="2"/>
  <c r="C286" i="2"/>
  <c r="D286" i="2"/>
  <c r="E286" i="2"/>
  <c r="F286" i="2"/>
  <c r="G286" i="2"/>
  <c r="H286" i="2"/>
  <c r="B287" i="2"/>
  <c r="C287" i="2"/>
  <c r="D287" i="2"/>
  <c r="E287" i="2"/>
  <c r="F287" i="2"/>
  <c r="G287" i="2"/>
  <c r="H287" i="2"/>
  <c r="B288" i="2"/>
  <c r="C288" i="2"/>
  <c r="D288" i="2"/>
  <c r="E288" i="2"/>
  <c r="F288" i="2"/>
  <c r="G288" i="2"/>
  <c r="H288" i="2"/>
  <c r="B289" i="2"/>
  <c r="C289" i="2"/>
  <c r="D289" i="2"/>
  <c r="E289" i="2"/>
  <c r="F289" i="2"/>
  <c r="G289" i="2"/>
  <c r="H289" i="2"/>
  <c r="B290" i="2"/>
  <c r="C290" i="2"/>
  <c r="D290" i="2"/>
  <c r="E290" i="2"/>
  <c r="F290" i="2"/>
  <c r="G290" i="2"/>
  <c r="H290" i="2"/>
  <c r="B291" i="2"/>
  <c r="C291" i="2"/>
  <c r="D291" i="2"/>
  <c r="E291" i="2"/>
  <c r="F291" i="2"/>
  <c r="G291" i="2"/>
  <c r="H291" i="2"/>
  <c r="B292" i="2"/>
  <c r="C292" i="2"/>
  <c r="D292" i="2"/>
  <c r="E292" i="2"/>
  <c r="F292" i="2"/>
  <c r="G292" i="2"/>
  <c r="H292" i="2"/>
  <c r="B293" i="2"/>
  <c r="C293" i="2"/>
  <c r="D293" i="2"/>
  <c r="E293" i="2"/>
  <c r="F293" i="2"/>
  <c r="G293" i="2"/>
  <c r="H293" i="2"/>
  <c r="B294" i="2"/>
  <c r="C294" i="2"/>
  <c r="D294" i="2"/>
  <c r="E294" i="2"/>
  <c r="F294" i="2"/>
  <c r="G294" i="2"/>
  <c r="H294" i="2"/>
  <c r="B295" i="2"/>
  <c r="C295" i="2"/>
  <c r="D295" i="2"/>
  <c r="E295" i="2"/>
  <c r="F295" i="2"/>
  <c r="G295" i="2"/>
  <c r="H295" i="2"/>
  <c r="B296" i="2"/>
  <c r="C296" i="2"/>
  <c r="D296" i="2"/>
  <c r="E296" i="2"/>
  <c r="F296" i="2"/>
  <c r="G296" i="2"/>
  <c r="H296" i="2"/>
  <c r="B297" i="2"/>
  <c r="C297" i="2"/>
  <c r="D297" i="2"/>
  <c r="E297" i="2"/>
  <c r="F297" i="2"/>
  <c r="G297" i="2"/>
  <c r="H297" i="2"/>
  <c r="I297" i="2" s="1"/>
  <c r="B298" i="2"/>
  <c r="C298" i="2"/>
  <c r="D298" i="2"/>
  <c r="E298" i="2"/>
  <c r="F298" i="2"/>
  <c r="G298" i="2"/>
  <c r="H298" i="2"/>
  <c r="B299" i="2"/>
  <c r="C299" i="2"/>
  <c r="D299" i="2"/>
  <c r="E299" i="2"/>
  <c r="F299" i="2"/>
  <c r="G299" i="2"/>
  <c r="H299" i="2"/>
  <c r="B300" i="2"/>
  <c r="C300" i="2"/>
  <c r="D300" i="2"/>
  <c r="E300" i="2"/>
  <c r="F300" i="2"/>
  <c r="G300" i="2"/>
  <c r="H300" i="2"/>
  <c r="B301" i="2"/>
  <c r="C301" i="2"/>
  <c r="D301" i="2"/>
  <c r="E301" i="2"/>
  <c r="F301" i="2"/>
  <c r="G301" i="2"/>
  <c r="H301" i="2"/>
  <c r="B302" i="2"/>
  <c r="C302" i="2"/>
  <c r="D302" i="2"/>
  <c r="E302" i="2"/>
  <c r="F302" i="2"/>
  <c r="G302" i="2"/>
  <c r="H302" i="2"/>
  <c r="B303" i="2"/>
  <c r="C303" i="2"/>
  <c r="D303" i="2"/>
  <c r="E303" i="2"/>
  <c r="F303" i="2"/>
  <c r="G303" i="2"/>
  <c r="H303" i="2"/>
  <c r="B304" i="2"/>
  <c r="C304" i="2"/>
  <c r="D304" i="2"/>
  <c r="E304" i="2"/>
  <c r="F304" i="2"/>
  <c r="G304" i="2"/>
  <c r="H304" i="2"/>
  <c r="B305" i="2"/>
  <c r="C305" i="2"/>
  <c r="D305" i="2"/>
  <c r="E305" i="2"/>
  <c r="F305" i="2"/>
  <c r="G305" i="2"/>
  <c r="H305" i="2"/>
  <c r="B306" i="2"/>
  <c r="C306" i="2"/>
  <c r="D306" i="2"/>
  <c r="E306" i="2"/>
  <c r="F306" i="2"/>
  <c r="G306" i="2"/>
  <c r="H306" i="2"/>
  <c r="B307" i="2"/>
  <c r="C307" i="2"/>
  <c r="D307" i="2"/>
  <c r="E307" i="2"/>
  <c r="F307" i="2"/>
  <c r="G307" i="2"/>
  <c r="H307" i="2"/>
  <c r="B308" i="2"/>
  <c r="C308" i="2"/>
  <c r="D308" i="2"/>
  <c r="E308" i="2"/>
  <c r="F308" i="2"/>
  <c r="G308" i="2"/>
  <c r="H308" i="2"/>
  <c r="B309" i="2"/>
  <c r="C309" i="2"/>
  <c r="D309" i="2"/>
  <c r="E309" i="2"/>
  <c r="F309" i="2"/>
  <c r="G309" i="2"/>
  <c r="H309" i="2"/>
  <c r="B310" i="2"/>
  <c r="C310" i="2"/>
  <c r="D310" i="2"/>
  <c r="E310" i="2"/>
  <c r="F310" i="2"/>
  <c r="G310" i="2"/>
  <c r="H310" i="2"/>
  <c r="B311" i="2"/>
  <c r="C311" i="2"/>
  <c r="D311" i="2"/>
  <c r="E311" i="2"/>
  <c r="F311" i="2"/>
  <c r="G311" i="2"/>
  <c r="H311" i="2"/>
  <c r="B312" i="2"/>
  <c r="C312" i="2"/>
  <c r="D312" i="2"/>
  <c r="E312" i="2"/>
  <c r="F312" i="2"/>
  <c r="G312" i="2"/>
  <c r="H312" i="2"/>
  <c r="K312" i="2" s="1"/>
  <c r="B313" i="2"/>
  <c r="C313" i="2"/>
  <c r="D313" i="2"/>
  <c r="E313" i="2"/>
  <c r="F313" i="2"/>
  <c r="G313" i="2"/>
  <c r="H313" i="2"/>
  <c r="B314" i="2"/>
  <c r="C314" i="2"/>
  <c r="D314" i="2"/>
  <c r="E314" i="2"/>
  <c r="F314" i="2"/>
  <c r="G314" i="2"/>
  <c r="H314" i="2"/>
  <c r="B315" i="2"/>
  <c r="C315" i="2"/>
  <c r="D315" i="2"/>
  <c r="E315" i="2"/>
  <c r="F315" i="2"/>
  <c r="G315" i="2"/>
  <c r="H315" i="2"/>
  <c r="I315" i="2" s="1"/>
  <c r="B316" i="2"/>
  <c r="C316" i="2"/>
  <c r="D316" i="2"/>
  <c r="E316" i="2"/>
  <c r="F316" i="2"/>
  <c r="G316" i="2"/>
  <c r="H316" i="2"/>
  <c r="B317" i="2"/>
  <c r="C317" i="2"/>
  <c r="D317" i="2"/>
  <c r="E317" i="2"/>
  <c r="F317" i="2"/>
  <c r="G317" i="2"/>
  <c r="H317" i="2"/>
  <c r="B318" i="2"/>
  <c r="C318" i="2"/>
  <c r="D318" i="2"/>
  <c r="E318" i="2"/>
  <c r="F318" i="2"/>
  <c r="G318" i="2"/>
  <c r="H318" i="2"/>
  <c r="B319" i="2"/>
  <c r="C319" i="2"/>
  <c r="D319" i="2"/>
  <c r="E319" i="2"/>
  <c r="F319" i="2"/>
  <c r="G319" i="2"/>
  <c r="H319" i="2"/>
  <c r="B320" i="2"/>
  <c r="C320" i="2"/>
  <c r="D320" i="2"/>
  <c r="E320" i="2"/>
  <c r="F320" i="2"/>
  <c r="G320" i="2"/>
  <c r="H320" i="2"/>
  <c r="B321" i="2"/>
  <c r="C321" i="2"/>
  <c r="D321" i="2"/>
  <c r="E321" i="2"/>
  <c r="F321" i="2"/>
  <c r="G321" i="2"/>
  <c r="H321" i="2"/>
  <c r="B322" i="2"/>
  <c r="C322" i="2"/>
  <c r="D322" i="2"/>
  <c r="E322" i="2"/>
  <c r="F322" i="2"/>
  <c r="G322" i="2"/>
  <c r="H322" i="2"/>
  <c r="B323" i="2"/>
  <c r="C323" i="2"/>
  <c r="D323" i="2"/>
  <c r="E323" i="2"/>
  <c r="F323" i="2"/>
  <c r="G323" i="2"/>
  <c r="H323" i="2"/>
  <c r="B324" i="2"/>
  <c r="C324" i="2"/>
  <c r="D324" i="2"/>
  <c r="E324" i="2"/>
  <c r="F324" i="2"/>
  <c r="G324" i="2"/>
  <c r="H324" i="2"/>
  <c r="B325" i="2"/>
  <c r="C325" i="2"/>
  <c r="D325" i="2"/>
  <c r="E325" i="2"/>
  <c r="F325" i="2"/>
  <c r="G325" i="2"/>
  <c r="H325" i="2"/>
  <c r="B326" i="2"/>
  <c r="C326" i="2"/>
  <c r="D326" i="2"/>
  <c r="E326" i="2"/>
  <c r="F326" i="2"/>
  <c r="G326" i="2"/>
  <c r="H326" i="2"/>
  <c r="B327" i="2"/>
  <c r="C327" i="2"/>
  <c r="D327" i="2"/>
  <c r="E327" i="2"/>
  <c r="F327" i="2"/>
  <c r="G327" i="2"/>
  <c r="H327" i="2"/>
  <c r="I327" i="2" s="1"/>
  <c r="B328" i="2"/>
  <c r="C328" i="2"/>
  <c r="D328" i="2"/>
  <c r="E328" i="2"/>
  <c r="F328" i="2"/>
  <c r="G328" i="2"/>
  <c r="H328" i="2"/>
  <c r="B329" i="2"/>
  <c r="C329" i="2"/>
  <c r="D329" i="2"/>
  <c r="E329" i="2"/>
  <c r="F329" i="2"/>
  <c r="G329" i="2"/>
  <c r="H329" i="2"/>
  <c r="B330" i="2"/>
  <c r="C330" i="2"/>
  <c r="D330" i="2"/>
  <c r="E330" i="2"/>
  <c r="F330" i="2"/>
  <c r="G330" i="2"/>
  <c r="H330" i="2"/>
  <c r="K330" i="2" s="1"/>
  <c r="B331" i="2"/>
  <c r="C331" i="2"/>
  <c r="D331" i="2"/>
  <c r="E331" i="2"/>
  <c r="F331" i="2"/>
  <c r="G331" i="2"/>
  <c r="H331" i="2"/>
  <c r="B332" i="2"/>
  <c r="C332" i="2"/>
  <c r="D332" i="2"/>
  <c r="E332" i="2"/>
  <c r="F332" i="2"/>
  <c r="G332" i="2"/>
  <c r="H332" i="2"/>
  <c r="B333" i="2"/>
  <c r="C333" i="2"/>
  <c r="D333" i="2"/>
  <c r="E333" i="2"/>
  <c r="F333" i="2"/>
  <c r="G333" i="2"/>
  <c r="H333" i="2"/>
  <c r="I333" i="2" s="1"/>
  <c r="B334" i="2"/>
  <c r="C334" i="2"/>
  <c r="D334" i="2"/>
  <c r="E334" i="2"/>
  <c r="F334" i="2"/>
  <c r="G334" i="2"/>
  <c r="H334" i="2"/>
  <c r="B335" i="2"/>
  <c r="C335" i="2"/>
  <c r="D335" i="2"/>
  <c r="E335" i="2"/>
  <c r="F335" i="2"/>
  <c r="G335" i="2"/>
  <c r="H335" i="2"/>
  <c r="B336" i="2"/>
  <c r="C336" i="2"/>
  <c r="D336" i="2"/>
  <c r="E336" i="2"/>
  <c r="F336" i="2"/>
  <c r="G336" i="2"/>
  <c r="H336" i="2"/>
  <c r="B337" i="2"/>
  <c r="C337" i="2"/>
  <c r="D337" i="2"/>
  <c r="E337" i="2"/>
  <c r="F337" i="2"/>
  <c r="G337" i="2"/>
  <c r="H337" i="2"/>
  <c r="B338" i="2"/>
  <c r="C338" i="2"/>
  <c r="D338" i="2"/>
  <c r="E338" i="2"/>
  <c r="F338" i="2"/>
  <c r="G338" i="2"/>
  <c r="H338" i="2"/>
  <c r="B339" i="2"/>
  <c r="C339" i="2"/>
  <c r="D339" i="2"/>
  <c r="E339" i="2"/>
  <c r="F339" i="2"/>
  <c r="G339" i="2"/>
  <c r="H339" i="2"/>
  <c r="B340" i="2"/>
  <c r="C340" i="2"/>
  <c r="D340" i="2"/>
  <c r="E340" i="2"/>
  <c r="F340" i="2"/>
  <c r="G340" i="2"/>
  <c r="H340" i="2"/>
  <c r="B341" i="2"/>
  <c r="C341" i="2"/>
  <c r="D341" i="2"/>
  <c r="E341" i="2"/>
  <c r="F341" i="2"/>
  <c r="G341" i="2"/>
  <c r="H341" i="2"/>
  <c r="B342" i="2"/>
  <c r="C342" i="2"/>
  <c r="D342" i="2"/>
  <c r="E342" i="2"/>
  <c r="F342" i="2"/>
  <c r="G342" i="2"/>
  <c r="H342" i="2"/>
  <c r="B343" i="2"/>
  <c r="C343" i="2"/>
  <c r="D343" i="2"/>
  <c r="E343" i="2"/>
  <c r="F343" i="2"/>
  <c r="G343" i="2"/>
  <c r="H343" i="2"/>
  <c r="B344" i="2"/>
  <c r="C344" i="2"/>
  <c r="D344" i="2"/>
  <c r="E344" i="2"/>
  <c r="F344" i="2"/>
  <c r="G344" i="2"/>
  <c r="H344" i="2"/>
  <c r="B345" i="2"/>
  <c r="C345" i="2"/>
  <c r="D345" i="2"/>
  <c r="E345" i="2"/>
  <c r="F345" i="2"/>
  <c r="G345" i="2"/>
  <c r="H345" i="2"/>
  <c r="I345" i="2" s="1"/>
  <c r="B346" i="2"/>
  <c r="C346" i="2"/>
  <c r="D346" i="2"/>
  <c r="E346" i="2"/>
  <c r="F346" i="2"/>
  <c r="G346" i="2"/>
  <c r="H346" i="2"/>
  <c r="B347" i="2"/>
  <c r="C347" i="2"/>
  <c r="D347" i="2"/>
  <c r="E347" i="2"/>
  <c r="F347" i="2"/>
  <c r="G347" i="2"/>
  <c r="H347" i="2"/>
  <c r="B348" i="2"/>
  <c r="C348" i="2"/>
  <c r="D348" i="2"/>
  <c r="E348" i="2"/>
  <c r="F348" i="2"/>
  <c r="G348" i="2"/>
  <c r="H348" i="2"/>
  <c r="K348" i="2" s="1"/>
  <c r="B349" i="2"/>
  <c r="C349" i="2"/>
  <c r="D349" i="2"/>
  <c r="E349" i="2"/>
  <c r="F349" i="2"/>
  <c r="G349" i="2"/>
  <c r="H349" i="2"/>
  <c r="B350" i="2"/>
  <c r="C350" i="2"/>
  <c r="D350" i="2"/>
  <c r="E350" i="2"/>
  <c r="F350" i="2"/>
  <c r="G350" i="2"/>
  <c r="H350" i="2"/>
  <c r="K350" i="2" s="1"/>
  <c r="B351" i="2"/>
  <c r="C351" i="2"/>
  <c r="D351" i="2"/>
  <c r="E351" i="2"/>
  <c r="F351" i="2"/>
  <c r="G351" i="2"/>
  <c r="H351" i="2"/>
  <c r="B352" i="2"/>
  <c r="C352" i="2"/>
  <c r="D352" i="2"/>
  <c r="E352" i="2"/>
  <c r="F352" i="2"/>
  <c r="G352" i="2"/>
  <c r="H352" i="2"/>
  <c r="B353" i="2"/>
  <c r="C353" i="2"/>
  <c r="D353" i="2"/>
  <c r="E353" i="2"/>
  <c r="F353" i="2"/>
  <c r="G353" i="2"/>
  <c r="H353" i="2"/>
  <c r="B354" i="2"/>
  <c r="C354" i="2"/>
  <c r="D354" i="2"/>
  <c r="E354" i="2"/>
  <c r="F354" i="2"/>
  <c r="G354" i="2"/>
  <c r="H354" i="2"/>
  <c r="B355" i="2"/>
  <c r="C355" i="2"/>
  <c r="D355" i="2"/>
  <c r="E355" i="2"/>
  <c r="F355" i="2"/>
  <c r="G355" i="2"/>
  <c r="H355" i="2"/>
  <c r="B356" i="2"/>
  <c r="C356" i="2"/>
  <c r="D356" i="2"/>
  <c r="E356" i="2"/>
  <c r="F356" i="2"/>
  <c r="G356" i="2"/>
  <c r="H356" i="2"/>
  <c r="B357" i="2"/>
  <c r="C357" i="2"/>
  <c r="D357" i="2"/>
  <c r="E357" i="2"/>
  <c r="F357" i="2"/>
  <c r="G357" i="2"/>
  <c r="H357" i="2"/>
  <c r="B358" i="2"/>
  <c r="C358" i="2"/>
  <c r="D358" i="2"/>
  <c r="E358" i="2"/>
  <c r="F358" i="2"/>
  <c r="G358" i="2"/>
  <c r="H358" i="2"/>
  <c r="B359" i="2"/>
  <c r="C359" i="2"/>
  <c r="D359" i="2"/>
  <c r="E359" i="2"/>
  <c r="F359" i="2"/>
  <c r="G359" i="2"/>
  <c r="H359" i="2"/>
  <c r="B360" i="2"/>
  <c r="C360" i="2"/>
  <c r="D360" i="2"/>
  <c r="E360" i="2"/>
  <c r="F360" i="2"/>
  <c r="G360" i="2"/>
  <c r="H360" i="2"/>
  <c r="B361" i="2"/>
  <c r="C361" i="2"/>
  <c r="D361" i="2"/>
  <c r="E361" i="2"/>
  <c r="F361" i="2"/>
  <c r="G361" i="2"/>
  <c r="H361" i="2"/>
  <c r="B362" i="2"/>
  <c r="C362" i="2"/>
  <c r="D362" i="2"/>
  <c r="E362" i="2"/>
  <c r="F362" i="2"/>
  <c r="G362" i="2"/>
  <c r="H362" i="2"/>
  <c r="B363" i="2"/>
  <c r="C363" i="2"/>
  <c r="D363" i="2"/>
  <c r="E363" i="2"/>
  <c r="F363" i="2"/>
  <c r="G363" i="2"/>
  <c r="H363" i="2"/>
  <c r="I363" i="2" s="1"/>
  <c r="B364" i="2"/>
  <c r="C364" i="2"/>
  <c r="D364" i="2"/>
  <c r="E364" i="2"/>
  <c r="F364" i="2"/>
  <c r="G364" i="2"/>
  <c r="H364" i="2"/>
  <c r="B365" i="2"/>
  <c r="C365" i="2"/>
  <c r="D365" i="2"/>
  <c r="E365" i="2"/>
  <c r="F365" i="2"/>
  <c r="G365" i="2"/>
  <c r="H365" i="2"/>
  <c r="B366" i="2"/>
  <c r="C366" i="2"/>
  <c r="D366" i="2"/>
  <c r="E366" i="2"/>
  <c r="F366" i="2"/>
  <c r="G366" i="2"/>
  <c r="H366" i="2"/>
  <c r="K366" i="2" s="1"/>
  <c r="B367" i="2"/>
  <c r="C367" i="2"/>
  <c r="D367" i="2"/>
  <c r="E367" i="2"/>
  <c r="F367" i="2"/>
  <c r="G367" i="2"/>
  <c r="H367" i="2"/>
  <c r="B368" i="2"/>
  <c r="C368" i="2"/>
  <c r="D368" i="2"/>
  <c r="E368" i="2"/>
  <c r="F368" i="2"/>
  <c r="G368" i="2"/>
  <c r="H368" i="2"/>
  <c r="B369" i="2"/>
  <c r="C369" i="2"/>
  <c r="D369" i="2"/>
  <c r="E369" i="2"/>
  <c r="F369" i="2"/>
  <c r="G369" i="2"/>
  <c r="H369" i="2"/>
  <c r="B370" i="2"/>
  <c r="C370" i="2"/>
  <c r="D370" i="2"/>
  <c r="E370" i="2"/>
  <c r="F370" i="2"/>
  <c r="G370" i="2"/>
  <c r="H370" i="2"/>
  <c r="B371" i="2"/>
  <c r="C371" i="2"/>
  <c r="D371" i="2"/>
  <c r="E371" i="2"/>
  <c r="F371" i="2"/>
  <c r="G371" i="2"/>
  <c r="H371" i="2"/>
  <c r="B372" i="2"/>
  <c r="C372" i="2"/>
  <c r="D372" i="2"/>
  <c r="E372" i="2"/>
  <c r="F372" i="2"/>
  <c r="G372" i="2"/>
  <c r="H372" i="2"/>
  <c r="B373" i="2"/>
  <c r="C373" i="2"/>
  <c r="D373" i="2"/>
  <c r="E373" i="2"/>
  <c r="F373" i="2"/>
  <c r="G373" i="2"/>
  <c r="H373" i="2"/>
  <c r="I373" i="2" s="1"/>
  <c r="B374" i="2"/>
  <c r="C374" i="2"/>
  <c r="D374" i="2"/>
  <c r="E374" i="2"/>
  <c r="F374" i="2"/>
  <c r="G374" i="2"/>
  <c r="H374" i="2"/>
  <c r="B375" i="2"/>
  <c r="C375" i="2"/>
  <c r="D375" i="2"/>
  <c r="E375" i="2"/>
  <c r="F375" i="2"/>
  <c r="G375" i="2"/>
  <c r="H375" i="2"/>
  <c r="B376" i="2"/>
  <c r="C376" i="2"/>
  <c r="D376" i="2"/>
  <c r="E376" i="2"/>
  <c r="F376" i="2"/>
  <c r="G376" i="2"/>
  <c r="H376" i="2"/>
  <c r="K376" i="2" s="1"/>
  <c r="B377" i="2"/>
  <c r="C377" i="2"/>
  <c r="D377" i="2"/>
  <c r="E377" i="2"/>
  <c r="F377" i="2"/>
  <c r="G377" i="2"/>
  <c r="H377" i="2"/>
  <c r="B378" i="2"/>
  <c r="C378" i="2"/>
  <c r="D378" i="2"/>
  <c r="E378" i="2"/>
  <c r="F378" i="2"/>
  <c r="G378" i="2"/>
  <c r="H378" i="2"/>
  <c r="B379" i="2"/>
  <c r="C379" i="2"/>
  <c r="D379" i="2"/>
  <c r="E379" i="2"/>
  <c r="F379" i="2"/>
  <c r="G379" i="2"/>
  <c r="H379" i="2"/>
  <c r="B380" i="2"/>
  <c r="C380" i="2"/>
  <c r="D380" i="2"/>
  <c r="E380" i="2"/>
  <c r="F380" i="2"/>
  <c r="G380" i="2"/>
  <c r="H380" i="2"/>
  <c r="B381" i="2"/>
  <c r="C381" i="2"/>
  <c r="D381" i="2"/>
  <c r="E381" i="2"/>
  <c r="F381" i="2"/>
  <c r="G381" i="2"/>
  <c r="H381" i="2"/>
  <c r="I381" i="2" s="1"/>
  <c r="B382" i="2"/>
  <c r="C382" i="2"/>
  <c r="D382" i="2"/>
  <c r="E382" i="2"/>
  <c r="F382" i="2"/>
  <c r="G382" i="2"/>
  <c r="H382" i="2"/>
  <c r="B383" i="2"/>
  <c r="C383" i="2"/>
  <c r="D383" i="2"/>
  <c r="E383" i="2"/>
  <c r="F383" i="2"/>
  <c r="G383" i="2"/>
  <c r="H383" i="2"/>
  <c r="B384" i="2"/>
  <c r="C384" i="2"/>
  <c r="D384" i="2"/>
  <c r="E384" i="2"/>
  <c r="F384" i="2"/>
  <c r="G384" i="2"/>
  <c r="H384" i="2"/>
  <c r="K384" i="2" s="1"/>
  <c r="B385" i="2"/>
  <c r="C385" i="2"/>
  <c r="D385" i="2"/>
  <c r="E385" i="2"/>
  <c r="F385" i="2"/>
  <c r="G385" i="2"/>
  <c r="H385" i="2"/>
  <c r="B386" i="2"/>
  <c r="C386" i="2"/>
  <c r="D386" i="2"/>
  <c r="E386" i="2"/>
  <c r="F386" i="2"/>
  <c r="G386" i="2"/>
  <c r="H386" i="2"/>
  <c r="B387" i="2"/>
  <c r="C387" i="2"/>
  <c r="D387" i="2"/>
  <c r="E387" i="2"/>
  <c r="F387" i="2"/>
  <c r="G387" i="2"/>
  <c r="H387" i="2"/>
  <c r="B388" i="2"/>
  <c r="C388" i="2"/>
  <c r="D388" i="2"/>
  <c r="E388" i="2"/>
  <c r="F388" i="2"/>
  <c r="G388" i="2"/>
  <c r="H388" i="2"/>
  <c r="B389" i="2"/>
  <c r="C389" i="2"/>
  <c r="D389" i="2"/>
  <c r="E389" i="2"/>
  <c r="F389" i="2"/>
  <c r="G389" i="2"/>
  <c r="H389" i="2"/>
  <c r="B390" i="2"/>
  <c r="C390" i="2"/>
  <c r="D390" i="2"/>
  <c r="E390" i="2"/>
  <c r="F390" i="2"/>
  <c r="G390" i="2"/>
  <c r="H390" i="2"/>
  <c r="B391" i="2"/>
  <c r="C391" i="2"/>
  <c r="D391" i="2"/>
  <c r="E391" i="2"/>
  <c r="F391" i="2"/>
  <c r="G391" i="2"/>
  <c r="H391" i="2"/>
  <c r="B392" i="2"/>
  <c r="C392" i="2"/>
  <c r="D392" i="2"/>
  <c r="E392" i="2"/>
  <c r="F392" i="2"/>
  <c r="G392" i="2"/>
  <c r="H392" i="2"/>
  <c r="B393" i="2"/>
  <c r="C393" i="2"/>
  <c r="D393" i="2"/>
  <c r="E393" i="2"/>
  <c r="F393" i="2"/>
  <c r="G393" i="2"/>
  <c r="H393" i="2"/>
  <c r="B394" i="2"/>
  <c r="C394" i="2"/>
  <c r="D394" i="2"/>
  <c r="E394" i="2"/>
  <c r="F394" i="2"/>
  <c r="G394" i="2"/>
  <c r="H394" i="2"/>
  <c r="K394" i="2" s="1"/>
  <c r="B395" i="2"/>
  <c r="C395" i="2"/>
  <c r="D395" i="2"/>
  <c r="E395" i="2"/>
  <c r="F395" i="2"/>
  <c r="G395" i="2"/>
  <c r="H395" i="2"/>
  <c r="B396" i="2"/>
  <c r="C396" i="2"/>
  <c r="D396" i="2"/>
  <c r="E396" i="2"/>
  <c r="F396" i="2"/>
  <c r="G396" i="2"/>
  <c r="H396" i="2"/>
  <c r="B397" i="2"/>
  <c r="C397" i="2"/>
  <c r="D397" i="2"/>
  <c r="E397" i="2"/>
  <c r="F397" i="2"/>
  <c r="G397" i="2"/>
  <c r="H397" i="2"/>
  <c r="B398" i="2"/>
  <c r="C398" i="2"/>
  <c r="D398" i="2"/>
  <c r="E398" i="2"/>
  <c r="F398" i="2"/>
  <c r="G398" i="2"/>
  <c r="H398" i="2"/>
  <c r="B399" i="2"/>
  <c r="C399" i="2"/>
  <c r="D399" i="2"/>
  <c r="E399" i="2"/>
  <c r="F399" i="2"/>
  <c r="G399" i="2"/>
  <c r="H399" i="2"/>
  <c r="I399" i="2" s="1"/>
  <c r="B400" i="2"/>
  <c r="C400" i="2"/>
  <c r="D400" i="2"/>
  <c r="E400" i="2"/>
  <c r="F400" i="2"/>
  <c r="G400" i="2"/>
  <c r="H400" i="2"/>
  <c r="B401" i="2"/>
  <c r="C401" i="2"/>
  <c r="D401" i="2"/>
  <c r="E401" i="2"/>
  <c r="F401" i="2"/>
  <c r="G401" i="2"/>
  <c r="H401" i="2"/>
  <c r="B402" i="2"/>
  <c r="C402" i="2"/>
  <c r="D402" i="2"/>
  <c r="E402" i="2"/>
  <c r="F402" i="2"/>
  <c r="G402" i="2"/>
  <c r="H402" i="2"/>
  <c r="K402" i="2" s="1"/>
  <c r="B403" i="2"/>
  <c r="C403" i="2"/>
  <c r="D403" i="2"/>
  <c r="E403" i="2"/>
  <c r="F403" i="2"/>
  <c r="G403" i="2"/>
  <c r="H403" i="2"/>
  <c r="B404" i="2"/>
  <c r="C404" i="2"/>
  <c r="D404" i="2"/>
  <c r="E404" i="2"/>
  <c r="F404" i="2"/>
  <c r="G404" i="2"/>
  <c r="H404" i="2"/>
  <c r="B405" i="2"/>
  <c r="C405" i="2"/>
  <c r="D405" i="2"/>
  <c r="E405" i="2"/>
  <c r="F405" i="2"/>
  <c r="G405" i="2"/>
  <c r="H405" i="2"/>
  <c r="B406" i="2"/>
  <c r="C406" i="2"/>
  <c r="D406" i="2"/>
  <c r="E406" i="2"/>
  <c r="F406" i="2"/>
  <c r="G406" i="2"/>
  <c r="H406" i="2"/>
  <c r="B407" i="2"/>
  <c r="C407" i="2"/>
  <c r="D407" i="2"/>
  <c r="E407" i="2"/>
  <c r="F407" i="2"/>
  <c r="G407" i="2"/>
  <c r="H407" i="2"/>
  <c r="B408" i="2"/>
  <c r="C408" i="2"/>
  <c r="D408" i="2"/>
  <c r="E408" i="2"/>
  <c r="F408" i="2"/>
  <c r="G408" i="2"/>
  <c r="H408" i="2"/>
  <c r="B409" i="2"/>
  <c r="C409" i="2"/>
  <c r="D409" i="2"/>
  <c r="E409" i="2"/>
  <c r="F409" i="2"/>
  <c r="G409" i="2"/>
  <c r="H409" i="2"/>
  <c r="I409" i="2" s="1"/>
  <c r="B410" i="2"/>
  <c r="C410" i="2"/>
  <c r="D410" i="2"/>
  <c r="E410" i="2"/>
  <c r="F410" i="2"/>
  <c r="G410" i="2"/>
  <c r="H410" i="2"/>
  <c r="B411" i="2"/>
  <c r="C411" i="2"/>
  <c r="D411" i="2"/>
  <c r="E411" i="2"/>
  <c r="F411" i="2"/>
  <c r="G411" i="2"/>
  <c r="H411" i="2"/>
  <c r="B412" i="2"/>
  <c r="C412" i="2"/>
  <c r="D412" i="2"/>
  <c r="E412" i="2"/>
  <c r="F412" i="2"/>
  <c r="G412" i="2"/>
  <c r="H412" i="2"/>
  <c r="K412" i="2" s="1"/>
  <c r="B413" i="2"/>
  <c r="C413" i="2"/>
  <c r="D413" i="2"/>
  <c r="E413" i="2"/>
  <c r="F413" i="2"/>
  <c r="G413" i="2"/>
  <c r="H413" i="2"/>
  <c r="B414" i="2"/>
  <c r="C414" i="2"/>
  <c r="D414" i="2"/>
  <c r="E414" i="2"/>
  <c r="F414" i="2"/>
  <c r="G414" i="2"/>
  <c r="H414" i="2"/>
  <c r="I414" i="2" s="1"/>
  <c r="B415" i="2"/>
  <c r="C415" i="2"/>
  <c r="D415" i="2"/>
  <c r="E415" i="2"/>
  <c r="F415" i="2"/>
  <c r="G415" i="2"/>
  <c r="H415" i="2"/>
  <c r="B416" i="2"/>
  <c r="C416" i="2"/>
  <c r="D416" i="2"/>
  <c r="E416" i="2"/>
  <c r="F416" i="2"/>
  <c r="G416" i="2"/>
  <c r="H416" i="2"/>
  <c r="B417" i="2"/>
  <c r="C417" i="2"/>
  <c r="D417" i="2"/>
  <c r="E417" i="2"/>
  <c r="F417" i="2"/>
  <c r="G417" i="2"/>
  <c r="H417" i="2"/>
  <c r="B418" i="2"/>
  <c r="C418" i="2"/>
  <c r="D418" i="2"/>
  <c r="E418" i="2"/>
  <c r="F418" i="2"/>
  <c r="G418" i="2"/>
  <c r="H418" i="2"/>
  <c r="B419" i="2"/>
  <c r="C419" i="2"/>
  <c r="D419" i="2"/>
  <c r="E419" i="2"/>
  <c r="F419" i="2"/>
  <c r="G419" i="2"/>
  <c r="H419" i="2"/>
  <c r="B420" i="2"/>
  <c r="C420" i="2"/>
  <c r="D420" i="2"/>
  <c r="E420" i="2"/>
  <c r="F420" i="2"/>
  <c r="G420" i="2"/>
  <c r="H420" i="2"/>
  <c r="B421" i="2"/>
  <c r="C421" i="2"/>
  <c r="D421" i="2"/>
  <c r="E421" i="2"/>
  <c r="F421" i="2"/>
  <c r="G421" i="2"/>
  <c r="H421" i="2"/>
  <c r="B422" i="2"/>
  <c r="C422" i="2"/>
  <c r="D422" i="2"/>
  <c r="E422" i="2"/>
  <c r="F422" i="2"/>
  <c r="G422" i="2"/>
  <c r="H422" i="2"/>
  <c r="B423" i="2"/>
  <c r="C423" i="2"/>
  <c r="D423" i="2"/>
  <c r="E423" i="2"/>
  <c r="F423" i="2"/>
  <c r="G423" i="2"/>
  <c r="H423" i="2"/>
  <c r="I423" i="2" s="1"/>
  <c r="B424" i="2"/>
  <c r="C424" i="2"/>
  <c r="D424" i="2"/>
  <c r="E424" i="2"/>
  <c r="F424" i="2"/>
  <c r="G424" i="2"/>
  <c r="H424" i="2"/>
  <c r="B425" i="2"/>
  <c r="C425" i="2"/>
  <c r="D425" i="2"/>
  <c r="E425" i="2"/>
  <c r="F425" i="2"/>
  <c r="G425" i="2"/>
  <c r="H425" i="2"/>
  <c r="B426" i="2"/>
  <c r="C426" i="2"/>
  <c r="D426" i="2"/>
  <c r="E426" i="2"/>
  <c r="F426" i="2"/>
  <c r="G426" i="2"/>
  <c r="H426" i="2"/>
  <c r="B427" i="2"/>
  <c r="C427" i="2"/>
  <c r="D427" i="2"/>
  <c r="E427" i="2"/>
  <c r="F427" i="2"/>
  <c r="G427" i="2"/>
  <c r="H427" i="2"/>
  <c r="B428" i="2"/>
  <c r="C428" i="2"/>
  <c r="D428" i="2"/>
  <c r="E428" i="2"/>
  <c r="F428" i="2"/>
  <c r="G428" i="2"/>
  <c r="H428" i="2"/>
  <c r="B429" i="2"/>
  <c r="C429" i="2"/>
  <c r="D429" i="2"/>
  <c r="E429" i="2"/>
  <c r="F429" i="2"/>
  <c r="G429" i="2"/>
  <c r="H429" i="2"/>
  <c r="B430" i="2"/>
  <c r="C430" i="2"/>
  <c r="D430" i="2"/>
  <c r="E430" i="2"/>
  <c r="F430" i="2"/>
  <c r="G430" i="2"/>
  <c r="H430" i="2"/>
  <c r="K430" i="2" s="1"/>
  <c r="B431" i="2"/>
  <c r="C431" i="2"/>
  <c r="D431" i="2"/>
  <c r="E431" i="2"/>
  <c r="F431" i="2"/>
  <c r="G431" i="2"/>
  <c r="H431" i="2"/>
  <c r="B432" i="2"/>
  <c r="C432" i="2"/>
  <c r="D432" i="2"/>
  <c r="E432" i="2"/>
  <c r="F432" i="2"/>
  <c r="G432" i="2"/>
  <c r="H432" i="2"/>
  <c r="B433" i="2"/>
  <c r="C433" i="2"/>
  <c r="D433" i="2"/>
  <c r="E433" i="2"/>
  <c r="F433" i="2"/>
  <c r="G433" i="2"/>
  <c r="H433" i="2"/>
  <c r="B434" i="2"/>
  <c r="C434" i="2"/>
  <c r="D434" i="2"/>
  <c r="E434" i="2"/>
  <c r="F434" i="2"/>
  <c r="G434" i="2"/>
  <c r="H434" i="2"/>
  <c r="K434" i="2" s="1"/>
  <c r="B435" i="2"/>
  <c r="C435" i="2"/>
  <c r="D435" i="2"/>
  <c r="E435" i="2"/>
  <c r="F435" i="2"/>
  <c r="G435" i="2"/>
  <c r="H435" i="2"/>
  <c r="B436" i="2"/>
  <c r="C436" i="2"/>
  <c r="D436" i="2"/>
  <c r="E436" i="2"/>
  <c r="F436" i="2"/>
  <c r="G436" i="2"/>
  <c r="H436" i="2"/>
  <c r="B437" i="2"/>
  <c r="C437" i="2"/>
  <c r="D437" i="2"/>
  <c r="E437" i="2"/>
  <c r="F437" i="2"/>
  <c r="G437" i="2"/>
  <c r="H437" i="2"/>
  <c r="B438" i="2"/>
  <c r="C438" i="2"/>
  <c r="D438" i="2"/>
  <c r="E438" i="2"/>
  <c r="F438" i="2"/>
  <c r="G438" i="2"/>
  <c r="H438" i="2"/>
  <c r="B439" i="2"/>
  <c r="C439" i="2"/>
  <c r="D439" i="2"/>
  <c r="E439" i="2"/>
  <c r="F439" i="2"/>
  <c r="G439" i="2"/>
  <c r="H439" i="2"/>
  <c r="B440" i="2"/>
  <c r="C440" i="2"/>
  <c r="D440" i="2"/>
  <c r="E440" i="2"/>
  <c r="F440" i="2"/>
  <c r="G440" i="2"/>
  <c r="H440" i="2"/>
  <c r="B441" i="2"/>
  <c r="C441" i="2"/>
  <c r="D441" i="2"/>
  <c r="E441" i="2"/>
  <c r="F441" i="2"/>
  <c r="G441" i="2"/>
  <c r="H441" i="2"/>
  <c r="B442" i="2"/>
  <c r="C442" i="2"/>
  <c r="D442" i="2"/>
  <c r="E442" i="2"/>
  <c r="F442" i="2"/>
  <c r="G442" i="2"/>
  <c r="H442" i="2"/>
  <c r="K442" i="2" s="1"/>
  <c r="B443" i="2"/>
  <c r="C443" i="2"/>
  <c r="D443" i="2"/>
  <c r="E443" i="2"/>
  <c r="F443" i="2"/>
  <c r="G443" i="2"/>
  <c r="H443" i="2"/>
  <c r="B444" i="2"/>
  <c r="C444" i="2"/>
  <c r="D444" i="2"/>
  <c r="E444" i="2"/>
  <c r="F444" i="2"/>
  <c r="G444" i="2"/>
  <c r="H444" i="2"/>
  <c r="B445" i="2"/>
  <c r="C445" i="2"/>
  <c r="D445" i="2"/>
  <c r="E445" i="2"/>
  <c r="F445" i="2"/>
  <c r="G445" i="2"/>
  <c r="H445" i="2"/>
  <c r="B446" i="2"/>
  <c r="C446" i="2"/>
  <c r="D446" i="2"/>
  <c r="E446" i="2"/>
  <c r="F446" i="2"/>
  <c r="G446" i="2"/>
  <c r="H446" i="2"/>
  <c r="B447" i="2"/>
  <c r="C447" i="2"/>
  <c r="D447" i="2"/>
  <c r="E447" i="2"/>
  <c r="F447" i="2"/>
  <c r="G447" i="2"/>
  <c r="H447" i="2"/>
  <c r="B448" i="2"/>
  <c r="C448" i="2"/>
  <c r="D448" i="2"/>
  <c r="E448" i="2"/>
  <c r="F448" i="2"/>
  <c r="G448" i="2"/>
  <c r="H448" i="2"/>
  <c r="B449" i="2"/>
  <c r="C449" i="2"/>
  <c r="D449" i="2"/>
  <c r="E449" i="2"/>
  <c r="F449" i="2"/>
  <c r="G449" i="2"/>
  <c r="H449" i="2"/>
  <c r="B450" i="2"/>
  <c r="C450" i="2"/>
  <c r="D450" i="2"/>
  <c r="E450" i="2"/>
  <c r="F450" i="2"/>
  <c r="G450" i="2"/>
  <c r="H450" i="2"/>
  <c r="B451" i="2"/>
  <c r="C451" i="2"/>
  <c r="D451" i="2"/>
  <c r="E451" i="2"/>
  <c r="F451" i="2"/>
  <c r="G451" i="2"/>
  <c r="H451" i="2"/>
  <c r="B452" i="2"/>
  <c r="C452" i="2"/>
  <c r="D452" i="2"/>
  <c r="E452" i="2"/>
  <c r="F452" i="2"/>
  <c r="G452" i="2"/>
  <c r="H452" i="2"/>
  <c r="B453" i="2"/>
  <c r="C453" i="2"/>
  <c r="D453" i="2"/>
  <c r="E453" i="2"/>
  <c r="F453" i="2"/>
  <c r="G453" i="2"/>
  <c r="H453" i="2"/>
  <c r="B454" i="2"/>
  <c r="C454" i="2"/>
  <c r="D454" i="2"/>
  <c r="E454" i="2"/>
  <c r="F454" i="2"/>
  <c r="G454" i="2"/>
  <c r="H454" i="2"/>
  <c r="B455" i="2"/>
  <c r="C455" i="2"/>
  <c r="D455" i="2"/>
  <c r="E455" i="2"/>
  <c r="F455" i="2"/>
  <c r="G455" i="2"/>
  <c r="H455" i="2"/>
  <c r="I455" i="2" s="1"/>
  <c r="B456" i="2"/>
  <c r="C456" i="2"/>
  <c r="D456" i="2"/>
  <c r="E456" i="2"/>
  <c r="F456" i="2"/>
  <c r="G456" i="2"/>
  <c r="H456" i="2"/>
  <c r="B457" i="2"/>
  <c r="C457" i="2"/>
  <c r="D457" i="2"/>
  <c r="E457" i="2"/>
  <c r="F457" i="2"/>
  <c r="G457" i="2"/>
  <c r="H457" i="2"/>
  <c r="B458" i="2"/>
  <c r="C458" i="2"/>
  <c r="D458" i="2"/>
  <c r="E458" i="2"/>
  <c r="F458" i="2"/>
  <c r="G458" i="2"/>
  <c r="H458" i="2"/>
  <c r="B459" i="2"/>
  <c r="C459" i="2"/>
  <c r="D459" i="2"/>
  <c r="E459" i="2"/>
  <c r="F459" i="2"/>
  <c r="G459" i="2"/>
  <c r="H459" i="2"/>
  <c r="B460" i="2"/>
  <c r="C460" i="2"/>
  <c r="D460" i="2"/>
  <c r="E460" i="2"/>
  <c r="F460" i="2"/>
  <c r="G460" i="2"/>
  <c r="H460" i="2"/>
  <c r="K460" i="2" s="1"/>
  <c r="B461" i="2"/>
  <c r="C461" i="2"/>
  <c r="D461" i="2"/>
  <c r="E461" i="2"/>
  <c r="F461" i="2"/>
  <c r="G461" i="2"/>
  <c r="H461" i="2"/>
  <c r="B462" i="2"/>
  <c r="C462" i="2"/>
  <c r="D462" i="2"/>
  <c r="E462" i="2"/>
  <c r="F462" i="2"/>
  <c r="G462" i="2"/>
  <c r="H462" i="2"/>
  <c r="B463" i="2"/>
  <c r="C463" i="2"/>
  <c r="D463" i="2"/>
  <c r="E463" i="2"/>
  <c r="F463" i="2"/>
  <c r="G463" i="2"/>
  <c r="H463" i="2"/>
  <c r="B464" i="2"/>
  <c r="C464" i="2"/>
  <c r="D464" i="2"/>
  <c r="E464" i="2"/>
  <c r="F464" i="2"/>
  <c r="G464" i="2"/>
  <c r="H464" i="2"/>
  <c r="B465" i="2"/>
  <c r="C465" i="2"/>
  <c r="D465" i="2"/>
  <c r="E465" i="2"/>
  <c r="F465" i="2"/>
  <c r="G465" i="2"/>
  <c r="H465" i="2"/>
  <c r="B466" i="2"/>
  <c r="C466" i="2"/>
  <c r="D466" i="2"/>
  <c r="E466" i="2"/>
  <c r="F466" i="2"/>
  <c r="G466" i="2"/>
  <c r="H466" i="2"/>
  <c r="B467" i="2"/>
  <c r="C467" i="2"/>
  <c r="D467" i="2"/>
  <c r="E467" i="2"/>
  <c r="F467" i="2"/>
  <c r="G467" i="2"/>
  <c r="H467" i="2"/>
  <c r="I467" i="2" s="1"/>
  <c r="B468" i="2"/>
  <c r="C468" i="2"/>
  <c r="D468" i="2"/>
  <c r="E468" i="2"/>
  <c r="F468" i="2"/>
  <c r="G468" i="2"/>
  <c r="H468" i="2"/>
  <c r="B469" i="2"/>
  <c r="C469" i="2"/>
  <c r="D469" i="2"/>
  <c r="E469" i="2"/>
  <c r="F469" i="2"/>
  <c r="G469" i="2"/>
  <c r="H469" i="2"/>
  <c r="B470" i="2"/>
  <c r="C470" i="2"/>
  <c r="D470" i="2"/>
  <c r="E470" i="2"/>
  <c r="F470" i="2"/>
  <c r="G470" i="2"/>
  <c r="H470" i="2"/>
  <c r="B471" i="2"/>
  <c r="C471" i="2"/>
  <c r="D471" i="2"/>
  <c r="E471" i="2"/>
  <c r="F471" i="2"/>
  <c r="G471" i="2"/>
  <c r="H471" i="2"/>
  <c r="B472" i="2"/>
  <c r="C472" i="2"/>
  <c r="D472" i="2"/>
  <c r="E472" i="2"/>
  <c r="F472" i="2"/>
  <c r="G472" i="2"/>
  <c r="H472" i="2"/>
  <c r="K472" i="2" s="1"/>
  <c r="B473" i="2"/>
  <c r="C473" i="2"/>
  <c r="D473" i="2"/>
  <c r="E473" i="2"/>
  <c r="F473" i="2"/>
  <c r="G473" i="2"/>
  <c r="H473" i="2"/>
  <c r="B474" i="2"/>
  <c r="C474" i="2"/>
  <c r="D474" i="2"/>
  <c r="E474" i="2"/>
  <c r="F474" i="2"/>
  <c r="G474" i="2"/>
  <c r="H474" i="2"/>
  <c r="B475" i="2"/>
  <c r="C475" i="2"/>
  <c r="D475" i="2"/>
  <c r="E475" i="2"/>
  <c r="F475" i="2"/>
  <c r="G475" i="2"/>
  <c r="H475" i="2"/>
  <c r="B476" i="2"/>
  <c r="C476" i="2"/>
  <c r="D476" i="2"/>
  <c r="E476" i="2"/>
  <c r="F476" i="2"/>
  <c r="G476" i="2"/>
  <c r="H476" i="2"/>
  <c r="B477" i="2"/>
  <c r="C477" i="2"/>
  <c r="D477" i="2"/>
  <c r="E477" i="2"/>
  <c r="F477" i="2"/>
  <c r="G477" i="2"/>
  <c r="H477" i="2"/>
  <c r="B478" i="2"/>
  <c r="C478" i="2"/>
  <c r="D478" i="2"/>
  <c r="E478" i="2"/>
  <c r="F478" i="2"/>
  <c r="G478" i="2"/>
  <c r="H478" i="2"/>
  <c r="B479" i="2"/>
  <c r="C479" i="2"/>
  <c r="D479" i="2"/>
  <c r="E479" i="2"/>
  <c r="F479" i="2"/>
  <c r="G479" i="2"/>
  <c r="H479" i="2"/>
  <c r="I479" i="2" s="1"/>
  <c r="B480" i="2"/>
  <c r="C480" i="2"/>
  <c r="D480" i="2"/>
  <c r="E480" i="2"/>
  <c r="F480" i="2"/>
  <c r="G480" i="2"/>
  <c r="H480" i="2"/>
  <c r="B481" i="2"/>
  <c r="C481" i="2"/>
  <c r="D481" i="2"/>
  <c r="E481" i="2"/>
  <c r="F481" i="2"/>
  <c r="G481" i="2"/>
  <c r="H481" i="2"/>
  <c r="B482" i="2"/>
  <c r="C482" i="2"/>
  <c r="D482" i="2"/>
  <c r="E482" i="2"/>
  <c r="F482" i="2"/>
  <c r="G482" i="2"/>
  <c r="H482" i="2"/>
  <c r="B483" i="2"/>
  <c r="C483" i="2"/>
  <c r="D483" i="2"/>
  <c r="E483" i="2"/>
  <c r="F483" i="2"/>
  <c r="G483" i="2"/>
  <c r="H483" i="2"/>
  <c r="B484" i="2"/>
  <c r="C484" i="2"/>
  <c r="D484" i="2"/>
  <c r="E484" i="2"/>
  <c r="F484" i="2"/>
  <c r="G484" i="2"/>
  <c r="H484" i="2"/>
  <c r="K484" i="2" s="1"/>
  <c r="B485" i="2"/>
  <c r="C485" i="2"/>
  <c r="D485" i="2"/>
  <c r="E485" i="2"/>
  <c r="F485" i="2"/>
  <c r="G485" i="2"/>
  <c r="H485" i="2"/>
  <c r="B486" i="2"/>
  <c r="C486" i="2"/>
  <c r="D486" i="2"/>
  <c r="E486" i="2"/>
  <c r="F486" i="2"/>
  <c r="G486" i="2"/>
  <c r="H486" i="2"/>
  <c r="B487" i="2"/>
  <c r="C487" i="2"/>
  <c r="D487" i="2"/>
  <c r="E487" i="2"/>
  <c r="F487" i="2"/>
  <c r="G487" i="2"/>
  <c r="H487" i="2"/>
  <c r="B488" i="2"/>
  <c r="C488" i="2"/>
  <c r="D488" i="2"/>
  <c r="E488" i="2"/>
  <c r="F488" i="2"/>
  <c r="G488" i="2"/>
  <c r="H488" i="2"/>
  <c r="B489" i="2"/>
  <c r="C489" i="2"/>
  <c r="D489" i="2"/>
  <c r="E489" i="2"/>
  <c r="F489" i="2"/>
  <c r="G489" i="2"/>
  <c r="H489" i="2"/>
  <c r="B490" i="2"/>
  <c r="C490" i="2"/>
  <c r="D490" i="2"/>
  <c r="E490" i="2"/>
  <c r="F490" i="2"/>
  <c r="G490" i="2"/>
  <c r="H490" i="2"/>
  <c r="B491" i="2"/>
  <c r="C491" i="2"/>
  <c r="D491" i="2"/>
  <c r="E491" i="2"/>
  <c r="F491" i="2"/>
  <c r="G491" i="2"/>
  <c r="H491" i="2"/>
  <c r="I491" i="2" s="1"/>
  <c r="B492" i="2"/>
  <c r="C492" i="2"/>
  <c r="D492" i="2"/>
  <c r="E492" i="2"/>
  <c r="F492" i="2"/>
  <c r="G492" i="2"/>
  <c r="H492" i="2"/>
  <c r="B493" i="2"/>
  <c r="C493" i="2"/>
  <c r="D493" i="2"/>
  <c r="E493" i="2"/>
  <c r="F493" i="2"/>
  <c r="G493" i="2"/>
  <c r="H493" i="2"/>
  <c r="B494" i="2"/>
  <c r="C494" i="2"/>
  <c r="D494" i="2"/>
  <c r="E494" i="2"/>
  <c r="F494" i="2"/>
  <c r="G494" i="2"/>
  <c r="H494" i="2"/>
  <c r="B495" i="2"/>
  <c r="C495" i="2"/>
  <c r="D495" i="2"/>
  <c r="E495" i="2"/>
  <c r="F495" i="2"/>
  <c r="G495" i="2"/>
  <c r="H495" i="2"/>
  <c r="B496" i="2"/>
  <c r="C496" i="2"/>
  <c r="D496" i="2"/>
  <c r="E496" i="2"/>
  <c r="F496" i="2"/>
  <c r="G496" i="2"/>
  <c r="H496" i="2"/>
  <c r="K496" i="2" s="1"/>
  <c r="B497" i="2"/>
  <c r="C497" i="2"/>
  <c r="D497" i="2"/>
  <c r="E497" i="2"/>
  <c r="F497" i="2"/>
  <c r="G497" i="2"/>
  <c r="H497" i="2"/>
  <c r="B498" i="2"/>
  <c r="C498" i="2"/>
  <c r="D498" i="2"/>
  <c r="E498" i="2"/>
  <c r="F498" i="2"/>
  <c r="G498" i="2"/>
  <c r="H498" i="2"/>
  <c r="B499" i="2"/>
  <c r="C499" i="2"/>
  <c r="D499" i="2"/>
  <c r="E499" i="2"/>
  <c r="F499" i="2"/>
  <c r="G499" i="2"/>
  <c r="H499" i="2"/>
  <c r="B500" i="2"/>
  <c r="C500" i="2"/>
  <c r="D500" i="2"/>
  <c r="E500" i="2"/>
  <c r="F500" i="2"/>
  <c r="G500" i="2"/>
  <c r="H500" i="2"/>
  <c r="B501" i="2"/>
  <c r="C501" i="2"/>
  <c r="D501" i="2"/>
  <c r="E501" i="2"/>
  <c r="F501" i="2"/>
  <c r="G501" i="2"/>
  <c r="H501" i="2"/>
  <c r="I501" i="2" s="1"/>
  <c r="B502" i="2"/>
  <c r="C502" i="2"/>
  <c r="D502" i="2"/>
  <c r="E502" i="2"/>
  <c r="F502" i="2"/>
  <c r="G502" i="2"/>
  <c r="H502" i="2"/>
  <c r="B503" i="2"/>
  <c r="C503" i="2"/>
  <c r="D503" i="2"/>
  <c r="E503" i="2"/>
  <c r="F503" i="2"/>
  <c r="G503" i="2"/>
  <c r="H503" i="2"/>
  <c r="B504" i="2"/>
  <c r="C504" i="2"/>
  <c r="D504" i="2"/>
  <c r="E504" i="2"/>
  <c r="F504" i="2"/>
  <c r="G504" i="2"/>
  <c r="H504" i="2"/>
  <c r="B505" i="2"/>
  <c r="C505" i="2"/>
  <c r="D505" i="2"/>
  <c r="E505" i="2"/>
  <c r="F505" i="2"/>
  <c r="G505" i="2"/>
  <c r="H505" i="2"/>
  <c r="B506" i="2"/>
  <c r="C506" i="2"/>
  <c r="D506" i="2"/>
  <c r="E506" i="2"/>
  <c r="F506" i="2"/>
  <c r="G506" i="2"/>
  <c r="H506" i="2"/>
  <c r="B507" i="2"/>
  <c r="C507" i="2"/>
  <c r="D507" i="2"/>
  <c r="E507" i="2"/>
  <c r="F507" i="2"/>
  <c r="G507" i="2"/>
  <c r="H507" i="2"/>
  <c r="I507" i="2" s="1"/>
  <c r="B508" i="2"/>
  <c r="C508" i="2"/>
  <c r="D508" i="2"/>
  <c r="E508" i="2"/>
  <c r="F508" i="2"/>
  <c r="G508" i="2"/>
  <c r="H508" i="2"/>
  <c r="K508" i="2" s="1"/>
  <c r="B509" i="2"/>
  <c r="C509" i="2"/>
  <c r="D509" i="2"/>
  <c r="E509" i="2"/>
  <c r="F509" i="2"/>
  <c r="G509" i="2"/>
  <c r="H509" i="2"/>
  <c r="B510" i="2"/>
  <c r="C510" i="2"/>
  <c r="D510" i="2"/>
  <c r="E510" i="2"/>
  <c r="F510" i="2"/>
  <c r="G510" i="2"/>
  <c r="H510" i="2"/>
  <c r="B511" i="2"/>
  <c r="C511" i="2"/>
  <c r="D511" i="2"/>
  <c r="E511" i="2"/>
  <c r="F511" i="2"/>
  <c r="G511" i="2"/>
  <c r="H511" i="2"/>
  <c r="B512" i="2"/>
  <c r="C512" i="2"/>
  <c r="D512" i="2"/>
  <c r="E512" i="2"/>
  <c r="F512" i="2"/>
  <c r="G512" i="2"/>
  <c r="H512" i="2"/>
  <c r="B513" i="2"/>
  <c r="C513" i="2"/>
  <c r="D513" i="2"/>
  <c r="E513" i="2"/>
  <c r="F513" i="2"/>
  <c r="G513" i="2"/>
  <c r="H513" i="2"/>
  <c r="I513" i="2" s="1"/>
  <c r="B514" i="2"/>
  <c r="C514" i="2"/>
  <c r="D514" i="2"/>
  <c r="E514" i="2"/>
  <c r="F514" i="2"/>
  <c r="G514" i="2"/>
  <c r="H514" i="2"/>
  <c r="B515" i="2"/>
  <c r="C515" i="2"/>
  <c r="D515" i="2"/>
  <c r="E515" i="2"/>
  <c r="F515" i="2"/>
  <c r="G515" i="2"/>
  <c r="H515" i="2"/>
  <c r="B516" i="2"/>
  <c r="C516" i="2"/>
  <c r="D516" i="2"/>
  <c r="E516" i="2"/>
  <c r="F516" i="2"/>
  <c r="G516" i="2"/>
  <c r="H516" i="2"/>
  <c r="B517" i="2"/>
  <c r="C517" i="2"/>
  <c r="D517" i="2"/>
  <c r="E517" i="2"/>
  <c r="F517" i="2"/>
  <c r="G517" i="2"/>
  <c r="H517" i="2"/>
  <c r="B518" i="2"/>
  <c r="C518" i="2"/>
  <c r="D518" i="2"/>
  <c r="E518" i="2"/>
  <c r="F518" i="2"/>
  <c r="G518" i="2"/>
  <c r="H518" i="2"/>
  <c r="B519" i="2"/>
  <c r="C519" i="2"/>
  <c r="D519" i="2"/>
  <c r="E519" i="2"/>
  <c r="F519" i="2"/>
  <c r="G519" i="2"/>
  <c r="H519" i="2"/>
  <c r="I519" i="2" s="1"/>
  <c r="B520" i="2"/>
  <c r="C520" i="2"/>
  <c r="D520" i="2"/>
  <c r="E520" i="2"/>
  <c r="F520" i="2"/>
  <c r="G520" i="2"/>
  <c r="H520" i="2"/>
  <c r="K520" i="2" s="1"/>
  <c r="B521" i="2"/>
  <c r="C521" i="2"/>
  <c r="D521" i="2"/>
  <c r="E521" i="2"/>
  <c r="F521" i="2"/>
  <c r="G521" i="2"/>
  <c r="H521" i="2"/>
  <c r="B522" i="2"/>
  <c r="C522" i="2"/>
  <c r="D522" i="2"/>
  <c r="E522" i="2"/>
  <c r="F522" i="2"/>
  <c r="G522" i="2"/>
  <c r="H522" i="2"/>
  <c r="B523" i="2"/>
  <c r="C523" i="2"/>
  <c r="D523" i="2"/>
  <c r="E523" i="2"/>
  <c r="F523" i="2"/>
  <c r="G523" i="2"/>
  <c r="H523" i="2"/>
  <c r="I523" i="2" s="1"/>
  <c r="B524" i="2"/>
  <c r="C524" i="2"/>
  <c r="D524" i="2"/>
  <c r="E524" i="2"/>
  <c r="F524" i="2"/>
  <c r="G524" i="2"/>
  <c r="H524" i="2"/>
  <c r="B525" i="2"/>
  <c r="C525" i="2"/>
  <c r="D525" i="2"/>
  <c r="E525" i="2"/>
  <c r="F525" i="2"/>
  <c r="G525" i="2"/>
  <c r="H525" i="2"/>
  <c r="I525" i="2" s="1"/>
  <c r="B526" i="2"/>
  <c r="C526" i="2"/>
  <c r="D526" i="2"/>
  <c r="E526" i="2"/>
  <c r="F526" i="2"/>
  <c r="G526" i="2"/>
  <c r="H526" i="2"/>
  <c r="B527" i="2"/>
  <c r="C527" i="2"/>
  <c r="D527" i="2"/>
  <c r="E527" i="2"/>
  <c r="F527" i="2"/>
  <c r="G527" i="2"/>
  <c r="H527" i="2"/>
  <c r="I527" i="2" s="1"/>
  <c r="B528" i="2"/>
  <c r="C528" i="2"/>
  <c r="D528" i="2"/>
  <c r="E528" i="2"/>
  <c r="F528" i="2"/>
  <c r="G528" i="2"/>
  <c r="H528" i="2"/>
  <c r="B529" i="2"/>
  <c r="C529" i="2"/>
  <c r="D529" i="2"/>
  <c r="E529" i="2"/>
  <c r="F529" i="2"/>
  <c r="G529" i="2"/>
  <c r="H529" i="2"/>
  <c r="B530" i="2"/>
  <c r="C530" i="2"/>
  <c r="D530" i="2"/>
  <c r="E530" i="2"/>
  <c r="F530" i="2"/>
  <c r="G530" i="2"/>
  <c r="H530" i="2"/>
  <c r="B531" i="2"/>
  <c r="C531" i="2"/>
  <c r="D531" i="2"/>
  <c r="E531" i="2"/>
  <c r="F531" i="2"/>
  <c r="G531" i="2"/>
  <c r="H531" i="2"/>
  <c r="B532" i="2"/>
  <c r="C532" i="2"/>
  <c r="D532" i="2"/>
  <c r="E532" i="2"/>
  <c r="F532" i="2"/>
  <c r="G532" i="2"/>
  <c r="H532" i="2"/>
  <c r="B533" i="2"/>
  <c r="C533" i="2"/>
  <c r="D533" i="2"/>
  <c r="E533" i="2"/>
  <c r="F533" i="2"/>
  <c r="G533" i="2"/>
  <c r="H533" i="2"/>
  <c r="I533" i="2" s="1"/>
  <c r="B534" i="2"/>
  <c r="C534" i="2"/>
  <c r="D534" i="2"/>
  <c r="E534" i="2"/>
  <c r="F534" i="2"/>
  <c r="G534" i="2"/>
  <c r="H534" i="2"/>
  <c r="K534" i="2" s="1"/>
  <c r="B535" i="2"/>
  <c r="C535" i="2"/>
  <c r="D535" i="2"/>
  <c r="E535" i="2"/>
  <c r="F535" i="2"/>
  <c r="G535" i="2"/>
  <c r="H535" i="2"/>
  <c r="B536" i="2"/>
  <c r="C536" i="2"/>
  <c r="D536" i="2"/>
  <c r="E536" i="2"/>
  <c r="F536" i="2"/>
  <c r="G536" i="2"/>
  <c r="H536" i="2"/>
  <c r="B537" i="2"/>
  <c r="C537" i="2"/>
  <c r="D537" i="2"/>
  <c r="E537" i="2"/>
  <c r="F537" i="2"/>
  <c r="G537" i="2"/>
  <c r="H537" i="2"/>
  <c r="B538" i="2"/>
  <c r="C538" i="2"/>
  <c r="D538" i="2"/>
  <c r="E538" i="2"/>
  <c r="F538" i="2"/>
  <c r="G538" i="2"/>
  <c r="H538" i="2"/>
  <c r="K538" i="2" s="1"/>
  <c r="B539" i="2"/>
  <c r="C539" i="2"/>
  <c r="D539" i="2"/>
  <c r="E539" i="2"/>
  <c r="F539" i="2"/>
  <c r="G539" i="2"/>
  <c r="H539" i="2"/>
  <c r="I539" i="2" s="1"/>
  <c r="B540" i="2"/>
  <c r="C540" i="2"/>
  <c r="D540" i="2"/>
  <c r="E540" i="2"/>
  <c r="F540" i="2"/>
  <c r="G540" i="2"/>
  <c r="H540" i="2"/>
  <c r="B541" i="2"/>
  <c r="C541" i="2"/>
  <c r="D541" i="2"/>
  <c r="E541" i="2"/>
  <c r="F541" i="2"/>
  <c r="G541" i="2"/>
  <c r="H541" i="2"/>
  <c r="B542" i="2"/>
  <c r="C542" i="2"/>
  <c r="D542" i="2"/>
  <c r="E542" i="2"/>
  <c r="F542" i="2"/>
  <c r="G542" i="2"/>
  <c r="H542" i="2"/>
  <c r="I542" i="2" s="1"/>
  <c r="B543" i="2"/>
  <c r="C543" i="2"/>
  <c r="D543" i="2"/>
  <c r="E543" i="2"/>
  <c r="F543" i="2"/>
  <c r="G543" i="2"/>
  <c r="H543" i="2"/>
  <c r="B544" i="2"/>
  <c r="C544" i="2"/>
  <c r="D544" i="2"/>
  <c r="E544" i="2"/>
  <c r="F544" i="2"/>
  <c r="G544" i="2"/>
  <c r="H544" i="2"/>
  <c r="B545" i="2"/>
  <c r="C545" i="2"/>
  <c r="D545" i="2"/>
  <c r="E545" i="2"/>
  <c r="F545" i="2"/>
  <c r="G545" i="2"/>
  <c r="H545" i="2"/>
  <c r="B546" i="2"/>
  <c r="C546" i="2"/>
  <c r="D546" i="2"/>
  <c r="E546" i="2"/>
  <c r="F546" i="2"/>
  <c r="G546" i="2"/>
  <c r="H546" i="2"/>
  <c r="K546" i="2" s="1"/>
  <c r="B547" i="2"/>
  <c r="C547" i="2"/>
  <c r="D547" i="2"/>
  <c r="E547" i="2"/>
  <c r="F547" i="2"/>
  <c r="G547" i="2"/>
  <c r="H547" i="2"/>
  <c r="I547" i="2" s="1"/>
  <c r="B548" i="2"/>
  <c r="C548" i="2"/>
  <c r="D548" i="2"/>
  <c r="E548" i="2"/>
  <c r="F548" i="2"/>
  <c r="G548" i="2"/>
  <c r="H548" i="2"/>
  <c r="B549" i="2"/>
  <c r="C549" i="2"/>
  <c r="D549" i="2"/>
  <c r="E549" i="2"/>
  <c r="F549" i="2"/>
  <c r="G549" i="2"/>
  <c r="H549" i="2"/>
  <c r="B550" i="2"/>
  <c r="C550" i="2"/>
  <c r="D550" i="2"/>
  <c r="E550" i="2"/>
  <c r="F550" i="2"/>
  <c r="G550" i="2"/>
  <c r="H550" i="2"/>
  <c r="K550" i="2" s="1"/>
  <c r="B551" i="2"/>
  <c r="C551" i="2"/>
  <c r="D551" i="2"/>
  <c r="E551" i="2"/>
  <c r="F551" i="2"/>
  <c r="G551" i="2"/>
  <c r="H551" i="2"/>
  <c r="I551" i="2" s="1"/>
  <c r="B552" i="2"/>
  <c r="C552" i="2"/>
  <c r="D552" i="2"/>
  <c r="E552" i="2"/>
  <c r="F552" i="2"/>
  <c r="G552" i="2"/>
  <c r="H552" i="2"/>
  <c r="B553" i="2"/>
  <c r="C553" i="2"/>
  <c r="D553" i="2"/>
  <c r="E553" i="2"/>
  <c r="F553" i="2"/>
  <c r="G553" i="2"/>
  <c r="H553" i="2"/>
  <c r="B554" i="2"/>
  <c r="C554" i="2"/>
  <c r="D554" i="2"/>
  <c r="E554" i="2"/>
  <c r="F554" i="2"/>
  <c r="G554" i="2"/>
  <c r="H554" i="2"/>
  <c r="K554" i="2" s="1"/>
  <c r="B555" i="2"/>
  <c r="C555" i="2"/>
  <c r="D555" i="2"/>
  <c r="E555" i="2"/>
  <c r="F555" i="2"/>
  <c r="G555" i="2"/>
  <c r="H555" i="2"/>
  <c r="I555" i="2" s="1"/>
  <c r="B556" i="2"/>
  <c r="C556" i="2"/>
  <c r="D556" i="2"/>
  <c r="E556" i="2"/>
  <c r="F556" i="2"/>
  <c r="G556" i="2"/>
  <c r="H556" i="2"/>
  <c r="B557" i="2"/>
  <c r="C557" i="2"/>
  <c r="D557" i="2"/>
  <c r="E557" i="2"/>
  <c r="F557" i="2"/>
  <c r="G557" i="2"/>
  <c r="H557" i="2"/>
  <c r="B558" i="2"/>
  <c r="C558" i="2"/>
  <c r="D558" i="2"/>
  <c r="E558" i="2"/>
  <c r="F558" i="2"/>
  <c r="G558" i="2"/>
  <c r="H558" i="2"/>
  <c r="K558" i="2" s="1"/>
  <c r="B559" i="2"/>
  <c r="C559" i="2"/>
  <c r="D559" i="2"/>
  <c r="E559" i="2"/>
  <c r="F559" i="2"/>
  <c r="G559" i="2"/>
  <c r="H559" i="2"/>
  <c r="I559" i="2" s="1"/>
  <c r="B560" i="2"/>
  <c r="C560" i="2"/>
  <c r="D560" i="2"/>
  <c r="E560" i="2"/>
  <c r="F560" i="2"/>
  <c r="G560" i="2"/>
  <c r="H560" i="2"/>
  <c r="B561" i="2"/>
  <c r="C561" i="2"/>
  <c r="D561" i="2"/>
  <c r="E561" i="2"/>
  <c r="F561" i="2"/>
  <c r="G561" i="2"/>
  <c r="H561" i="2"/>
  <c r="B562" i="2"/>
  <c r="C562" i="2"/>
  <c r="D562" i="2"/>
  <c r="E562" i="2"/>
  <c r="F562" i="2"/>
  <c r="G562" i="2"/>
  <c r="H562" i="2"/>
  <c r="K562" i="2" s="1"/>
  <c r="B563" i="2"/>
  <c r="C563" i="2"/>
  <c r="D563" i="2"/>
  <c r="E563" i="2"/>
  <c r="F563" i="2"/>
  <c r="G563" i="2"/>
  <c r="H563" i="2"/>
  <c r="I563" i="2" s="1"/>
  <c r="B564" i="2"/>
  <c r="C564" i="2"/>
  <c r="D564" i="2"/>
  <c r="E564" i="2"/>
  <c r="F564" i="2"/>
  <c r="G564" i="2"/>
  <c r="H564" i="2"/>
  <c r="B565" i="2"/>
  <c r="C565" i="2"/>
  <c r="D565" i="2"/>
  <c r="E565" i="2"/>
  <c r="F565" i="2"/>
  <c r="G565" i="2"/>
  <c r="H565" i="2"/>
  <c r="B566" i="2"/>
  <c r="C566" i="2"/>
  <c r="D566" i="2"/>
  <c r="E566" i="2"/>
  <c r="F566" i="2"/>
  <c r="G566" i="2"/>
  <c r="H566" i="2"/>
  <c r="K566" i="2" s="1"/>
  <c r="B567" i="2"/>
  <c r="C567" i="2"/>
  <c r="D567" i="2"/>
  <c r="E567" i="2"/>
  <c r="F567" i="2"/>
  <c r="G567" i="2"/>
  <c r="H567" i="2"/>
  <c r="I567" i="2" s="1"/>
  <c r="B568" i="2"/>
  <c r="C568" i="2"/>
  <c r="D568" i="2"/>
  <c r="E568" i="2"/>
  <c r="F568" i="2"/>
  <c r="G568" i="2"/>
  <c r="H568" i="2"/>
  <c r="B569" i="2"/>
  <c r="C569" i="2"/>
  <c r="D569" i="2"/>
  <c r="E569" i="2"/>
  <c r="F569" i="2"/>
  <c r="G569" i="2"/>
  <c r="H569" i="2"/>
  <c r="B570" i="2"/>
  <c r="C570" i="2"/>
  <c r="D570" i="2"/>
  <c r="E570" i="2"/>
  <c r="F570" i="2"/>
  <c r="G570" i="2"/>
  <c r="H570" i="2"/>
  <c r="K570" i="2" s="1"/>
  <c r="B571" i="2"/>
  <c r="C571" i="2"/>
  <c r="D571" i="2"/>
  <c r="E571" i="2"/>
  <c r="F571" i="2"/>
  <c r="G571" i="2"/>
  <c r="H571" i="2"/>
  <c r="I571" i="2" s="1"/>
  <c r="B572" i="2"/>
  <c r="C572" i="2"/>
  <c r="D572" i="2"/>
  <c r="E572" i="2"/>
  <c r="F572" i="2"/>
  <c r="G572" i="2"/>
  <c r="H572" i="2"/>
  <c r="B573" i="2"/>
  <c r="C573" i="2"/>
  <c r="D573" i="2"/>
  <c r="E573" i="2"/>
  <c r="F573" i="2"/>
  <c r="G573" i="2"/>
  <c r="H573" i="2"/>
  <c r="B574" i="2"/>
  <c r="C574" i="2"/>
  <c r="D574" i="2"/>
  <c r="E574" i="2"/>
  <c r="F574" i="2"/>
  <c r="G574" i="2"/>
  <c r="H574" i="2"/>
  <c r="K574" i="2" s="1"/>
  <c r="B575" i="2"/>
  <c r="C575" i="2"/>
  <c r="D575" i="2"/>
  <c r="E575" i="2"/>
  <c r="F575" i="2"/>
  <c r="G575" i="2"/>
  <c r="H575" i="2"/>
  <c r="I575" i="2" s="1"/>
  <c r="B576" i="2"/>
  <c r="C576" i="2"/>
  <c r="D576" i="2"/>
  <c r="E576" i="2"/>
  <c r="F576" i="2"/>
  <c r="G576" i="2"/>
  <c r="H576" i="2"/>
  <c r="B577" i="2"/>
  <c r="C577" i="2"/>
  <c r="D577" i="2"/>
  <c r="E577" i="2"/>
  <c r="F577" i="2"/>
  <c r="G577" i="2"/>
  <c r="H577" i="2"/>
  <c r="B578" i="2"/>
  <c r="C578" i="2"/>
  <c r="D578" i="2"/>
  <c r="E578" i="2"/>
  <c r="F578" i="2"/>
  <c r="G578" i="2"/>
  <c r="H578" i="2"/>
  <c r="K578" i="2" s="1"/>
  <c r="B579" i="2"/>
  <c r="C579" i="2"/>
  <c r="D579" i="2"/>
  <c r="E579" i="2"/>
  <c r="F579" i="2"/>
  <c r="G579" i="2"/>
  <c r="H579" i="2"/>
  <c r="I579" i="2" s="1"/>
  <c r="B580" i="2"/>
  <c r="C580" i="2"/>
  <c r="D580" i="2"/>
  <c r="E580" i="2"/>
  <c r="F580" i="2"/>
  <c r="G580" i="2"/>
  <c r="H580" i="2"/>
  <c r="B581" i="2"/>
  <c r="C581" i="2"/>
  <c r="D581" i="2"/>
  <c r="E581" i="2"/>
  <c r="F581" i="2"/>
  <c r="G581" i="2"/>
  <c r="H581" i="2"/>
  <c r="B582" i="2"/>
  <c r="C582" i="2"/>
  <c r="D582" i="2"/>
  <c r="E582" i="2"/>
  <c r="F582" i="2"/>
  <c r="G582" i="2"/>
  <c r="H582" i="2"/>
  <c r="K582" i="2" s="1"/>
  <c r="B583" i="2"/>
  <c r="C583" i="2"/>
  <c r="D583" i="2"/>
  <c r="E583" i="2"/>
  <c r="F583" i="2"/>
  <c r="G583" i="2"/>
  <c r="H583" i="2"/>
  <c r="I583" i="2" s="1"/>
  <c r="B584" i="2"/>
  <c r="C584" i="2"/>
  <c r="D584" i="2"/>
  <c r="E584" i="2"/>
  <c r="F584" i="2"/>
  <c r="G584" i="2"/>
  <c r="H584" i="2"/>
  <c r="B585" i="2"/>
  <c r="C585" i="2"/>
  <c r="D585" i="2"/>
  <c r="E585" i="2"/>
  <c r="F585" i="2"/>
  <c r="G585" i="2"/>
  <c r="H585" i="2"/>
  <c r="B586" i="2"/>
  <c r="C586" i="2"/>
  <c r="D586" i="2"/>
  <c r="E586" i="2"/>
  <c r="F586" i="2"/>
  <c r="G586" i="2"/>
  <c r="H586" i="2"/>
  <c r="K586" i="2" s="1"/>
  <c r="B587" i="2"/>
  <c r="C587" i="2"/>
  <c r="D587" i="2"/>
  <c r="E587" i="2"/>
  <c r="F587" i="2"/>
  <c r="G587" i="2"/>
  <c r="H587" i="2"/>
  <c r="I587" i="2" s="1"/>
  <c r="B588" i="2"/>
  <c r="C588" i="2"/>
  <c r="D588" i="2"/>
  <c r="E588" i="2"/>
  <c r="F588" i="2"/>
  <c r="G588" i="2"/>
  <c r="H588" i="2"/>
  <c r="B589" i="2"/>
  <c r="C589" i="2"/>
  <c r="D589" i="2"/>
  <c r="E589" i="2"/>
  <c r="F589" i="2"/>
  <c r="G589" i="2"/>
  <c r="H589" i="2"/>
  <c r="B590" i="2"/>
  <c r="C590" i="2"/>
  <c r="D590" i="2"/>
  <c r="E590" i="2"/>
  <c r="F590" i="2"/>
  <c r="G590" i="2"/>
  <c r="H590" i="2"/>
  <c r="K590" i="2" s="1"/>
  <c r="B591" i="2"/>
  <c r="C591" i="2"/>
  <c r="D591" i="2"/>
  <c r="E591" i="2"/>
  <c r="F591" i="2"/>
  <c r="G591" i="2"/>
  <c r="H591" i="2"/>
  <c r="I591" i="2" s="1"/>
  <c r="B592" i="2"/>
  <c r="C592" i="2"/>
  <c r="D592" i="2"/>
  <c r="E592" i="2"/>
  <c r="F592" i="2"/>
  <c r="G592" i="2"/>
  <c r="H592" i="2"/>
  <c r="B593" i="2"/>
  <c r="C593" i="2"/>
  <c r="D593" i="2"/>
  <c r="E593" i="2"/>
  <c r="F593" i="2"/>
  <c r="G593" i="2"/>
  <c r="H593" i="2"/>
  <c r="B594" i="2"/>
  <c r="C594" i="2"/>
  <c r="D594" i="2"/>
  <c r="E594" i="2"/>
  <c r="F594" i="2"/>
  <c r="G594" i="2"/>
  <c r="H594" i="2"/>
  <c r="K594" i="2" s="1"/>
  <c r="B595" i="2"/>
  <c r="C595" i="2"/>
  <c r="D595" i="2"/>
  <c r="E595" i="2"/>
  <c r="F595" i="2"/>
  <c r="G595" i="2"/>
  <c r="H595" i="2"/>
  <c r="I595" i="2" s="1"/>
  <c r="B596" i="2"/>
  <c r="C596" i="2"/>
  <c r="D596" i="2"/>
  <c r="E596" i="2"/>
  <c r="F596" i="2"/>
  <c r="G596" i="2"/>
  <c r="H596" i="2"/>
  <c r="B597" i="2"/>
  <c r="C597" i="2"/>
  <c r="D597" i="2"/>
  <c r="E597" i="2"/>
  <c r="F597" i="2"/>
  <c r="G597" i="2"/>
  <c r="H597" i="2"/>
  <c r="B598" i="2"/>
  <c r="C598" i="2"/>
  <c r="D598" i="2"/>
  <c r="E598" i="2"/>
  <c r="F598" i="2"/>
  <c r="G598" i="2"/>
  <c r="H598" i="2"/>
  <c r="K598" i="2" s="1"/>
  <c r="B599" i="2"/>
  <c r="C599" i="2"/>
  <c r="D599" i="2"/>
  <c r="E599" i="2"/>
  <c r="F599" i="2"/>
  <c r="G599" i="2"/>
  <c r="H599" i="2"/>
  <c r="I599" i="2" s="1"/>
  <c r="B600" i="2"/>
  <c r="C600" i="2"/>
  <c r="D600" i="2"/>
  <c r="E600" i="2"/>
  <c r="F600" i="2"/>
  <c r="G600" i="2"/>
  <c r="H600" i="2"/>
  <c r="B601" i="2"/>
  <c r="C601" i="2"/>
  <c r="D601" i="2"/>
  <c r="E601" i="2"/>
  <c r="F601" i="2"/>
  <c r="G601" i="2"/>
  <c r="H601" i="2"/>
  <c r="B602" i="2"/>
  <c r="C602" i="2"/>
  <c r="D602" i="2"/>
  <c r="E602" i="2"/>
  <c r="F602" i="2"/>
  <c r="G602" i="2"/>
  <c r="H602" i="2"/>
  <c r="K602" i="2" s="1"/>
  <c r="B603" i="2"/>
  <c r="C603" i="2"/>
  <c r="D603" i="2"/>
  <c r="E603" i="2"/>
  <c r="F603" i="2"/>
  <c r="G603" i="2"/>
  <c r="H603" i="2"/>
  <c r="I603" i="2" s="1"/>
  <c r="B604" i="2"/>
  <c r="C604" i="2"/>
  <c r="D604" i="2"/>
  <c r="E604" i="2"/>
  <c r="F604" i="2"/>
  <c r="G604" i="2"/>
  <c r="H604" i="2"/>
  <c r="B605" i="2"/>
  <c r="C605" i="2"/>
  <c r="D605" i="2"/>
  <c r="E605" i="2"/>
  <c r="F605" i="2"/>
  <c r="G605" i="2"/>
  <c r="H605" i="2"/>
  <c r="B606" i="2"/>
  <c r="C606" i="2"/>
  <c r="D606" i="2"/>
  <c r="E606" i="2"/>
  <c r="F606" i="2"/>
  <c r="G606" i="2"/>
  <c r="H606" i="2"/>
  <c r="K606" i="2" s="1"/>
  <c r="B607" i="2"/>
  <c r="C607" i="2"/>
  <c r="D607" i="2"/>
  <c r="E607" i="2"/>
  <c r="F607" i="2"/>
  <c r="G607" i="2"/>
  <c r="H607" i="2"/>
  <c r="I607" i="2" s="1"/>
  <c r="B608" i="2"/>
  <c r="C608" i="2"/>
  <c r="D608" i="2"/>
  <c r="E608" i="2"/>
  <c r="F608" i="2"/>
  <c r="G608" i="2"/>
  <c r="H608" i="2"/>
  <c r="B609" i="2"/>
  <c r="C609" i="2"/>
  <c r="D609" i="2"/>
  <c r="E609" i="2"/>
  <c r="F609" i="2"/>
  <c r="G609" i="2"/>
  <c r="H609" i="2"/>
  <c r="B610" i="2"/>
  <c r="C610" i="2"/>
  <c r="D610" i="2"/>
  <c r="E610" i="2"/>
  <c r="F610" i="2"/>
  <c r="G610" i="2"/>
  <c r="H610" i="2"/>
  <c r="K610" i="2" s="1"/>
  <c r="B611" i="2"/>
  <c r="C611" i="2"/>
  <c r="D611" i="2"/>
  <c r="E611" i="2"/>
  <c r="F611" i="2"/>
  <c r="G611" i="2"/>
  <c r="H611" i="2"/>
  <c r="I611" i="2" s="1"/>
  <c r="B612" i="2"/>
  <c r="C612" i="2"/>
  <c r="D612" i="2"/>
  <c r="E612" i="2"/>
  <c r="F612" i="2"/>
  <c r="G612" i="2"/>
  <c r="H612" i="2"/>
  <c r="B613" i="2"/>
  <c r="C613" i="2"/>
  <c r="D613" i="2"/>
  <c r="E613" i="2"/>
  <c r="F613" i="2"/>
  <c r="G613" i="2"/>
  <c r="H613" i="2"/>
  <c r="I613" i="2" s="1"/>
  <c r="B614" i="2"/>
  <c r="C614" i="2"/>
  <c r="D614" i="2"/>
  <c r="E614" i="2"/>
  <c r="F614" i="2"/>
  <c r="G614" i="2"/>
  <c r="H614" i="2"/>
  <c r="K614" i="2" s="1"/>
  <c r="B615" i="2"/>
  <c r="C615" i="2"/>
  <c r="D615" i="2"/>
  <c r="E615" i="2"/>
  <c r="F615" i="2"/>
  <c r="G615" i="2"/>
  <c r="H615" i="2"/>
  <c r="B616" i="2"/>
  <c r="C616" i="2"/>
  <c r="D616" i="2"/>
  <c r="E616" i="2"/>
  <c r="F616" i="2"/>
  <c r="G616" i="2"/>
  <c r="H616" i="2"/>
  <c r="B617" i="2"/>
  <c r="C617" i="2"/>
  <c r="D617" i="2"/>
  <c r="E617" i="2"/>
  <c r="F617" i="2"/>
  <c r="G617" i="2"/>
  <c r="H617" i="2"/>
  <c r="I617" i="2" s="1"/>
  <c r="B618" i="2"/>
  <c r="C618" i="2"/>
  <c r="D618" i="2"/>
  <c r="E618" i="2"/>
  <c r="F618" i="2"/>
  <c r="G618" i="2"/>
  <c r="H618" i="2"/>
  <c r="K618" i="2" s="1"/>
  <c r="B619" i="2"/>
  <c r="C619" i="2"/>
  <c r="D619" i="2"/>
  <c r="E619" i="2"/>
  <c r="F619" i="2"/>
  <c r="G619" i="2"/>
  <c r="H619" i="2"/>
  <c r="B620" i="2"/>
  <c r="C620" i="2"/>
  <c r="D620" i="2"/>
  <c r="E620" i="2"/>
  <c r="F620" i="2"/>
  <c r="G620" i="2"/>
  <c r="H620" i="2"/>
  <c r="B621" i="2"/>
  <c r="C621" i="2"/>
  <c r="D621" i="2"/>
  <c r="E621" i="2"/>
  <c r="F621" i="2"/>
  <c r="G621" i="2"/>
  <c r="H621" i="2"/>
  <c r="I621" i="2" s="1"/>
  <c r="B622" i="2"/>
  <c r="C622" i="2"/>
  <c r="D622" i="2"/>
  <c r="E622" i="2"/>
  <c r="F622" i="2"/>
  <c r="G622" i="2"/>
  <c r="H622" i="2"/>
  <c r="K622" i="2" s="1"/>
  <c r="B623" i="2"/>
  <c r="C623" i="2"/>
  <c r="D623" i="2"/>
  <c r="E623" i="2"/>
  <c r="F623" i="2"/>
  <c r="G623" i="2"/>
  <c r="H623" i="2"/>
  <c r="B624" i="2"/>
  <c r="C624" i="2"/>
  <c r="D624" i="2"/>
  <c r="E624" i="2"/>
  <c r="F624" i="2"/>
  <c r="G624" i="2"/>
  <c r="H624" i="2"/>
  <c r="B625" i="2"/>
  <c r="C625" i="2"/>
  <c r="D625" i="2"/>
  <c r="E625" i="2"/>
  <c r="F625" i="2"/>
  <c r="G625" i="2"/>
  <c r="H625" i="2"/>
  <c r="I625" i="2" s="1"/>
  <c r="B626" i="2"/>
  <c r="C626" i="2"/>
  <c r="D626" i="2"/>
  <c r="E626" i="2"/>
  <c r="F626" i="2"/>
  <c r="G626" i="2"/>
  <c r="H626" i="2"/>
  <c r="B627" i="2"/>
  <c r="C627" i="2"/>
  <c r="D627" i="2"/>
  <c r="E627" i="2"/>
  <c r="F627" i="2"/>
  <c r="G627" i="2"/>
  <c r="H627" i="2"/>
  <c r="B628" i="2"/>
  <c r="C628" i="2"/>
  <c r="D628" i="2"/>
  <c r="E628" i="2"/>
  <c r="F628" i="2"/>
  <c r="G628" i="2"/>
  <c r="H628" i="2"/>
  <c r="B629" i="2"/>
  <c r="C629" i="2"/>
  <c r="D629" i="2"/>
  <c r="E629" i="2"/>
  <c r="F629" i="2"/>
  <c r="G629" i="2"/>
  <c r="H629" i="2"/>
  <c r="B630" i="2"/>
  <c r="C630" i="2"/>
  <c r="D630" i="2"/>
  <c r="E630" i="2"/>
  <c r="F630" i="2"/>
  <c r="G630" i="2"/>
  <c r="H630" i="2"/>
  <c r="I630" i="2" s="1"/>
  <c r="B631" i="2"/>
  <c r="C631" i="2"/>
  <c r="D631" i="2"/>
  <c r="E631" i="2"/>
  <c r="F631" i="2"/>
  <c r="G631" i="2"/>
  <c r="H631" i="2"/>
  <c r="B632" i="2"/>
  <c r="C632" i="2"/>
  <c r="D632" i="2"/>
  <c r="E632" i="2"/>
  <c r="F632" i="2"/>
  <c r="G632" i="2"/>
  <c r="H632" i="2"/>
  <c r="B633" i="2"/>
  <c r="C633" i="2"/>
  <c r="D633" i="2"/>
  <c r="E633" i="2"/>
  <c r="F633" i="2"/>
  <c r="G633" i="2"/>
  <c r="H633" i="2"/>
  <c r="B634" i="2"/>
  <c r="C634" i="2"/>
  <c r="D634" i="2"/>
  <c r="E634" i="2"/>
  <c r="F634" i="2"/>
  <c r="G634" i="2"/>
  <c r="H634" i="2"/>
  <c r="B635" i="2"/>
  <c r="C635" i="2"/>
  <c r="D635" i="2"/>
  <c r="E635" i="2"/>
  <c r="F635" i="2"/>
  <c r="G635" i="2"/>
  <c r="H635" i="2"/>
  <c r="I635" i="2" s="1"/>
  <c r="B636" i="2"/>
  <c r="C636" i="2"/>
  <c r="D636" i="2"/>
  <c r="E636" i="2"/>
  <c r="F636" i="2"/>
  <c r="G636" i="2"/>
  <c r="H636" i="2"/>
  <c r="B637" i="2"/>
  <c r="C637" i="2"/>
  <c r="D637" i="2"/>
  <c r="E637" i="2"/>
  <c r="F637" i="2"/>
  <c r="G637" i="2"/>
  <c r="H637" i="2"/>
  <c r="B638" i="2"/>
  <c r="C638" i="2"/>
  <c r="D638" i="2"/>
  <c r="E638" i="2"/>
  <c r="F638" i="2"/>
  <c r="G638" i="2"/>
  <c r="H638" i="2"/>
  <c r="B639" i="2"/>
  <c r="C639" i="2"/>
  <c r="D639" i="2"/>
  <c r="E639" i="2"/>
  <c r="F639" i="2"/>
  <c r="G639" i="2"/>
  <c r="H639" i="2"/>
  <c r="B640" i="2"/>
  <c r="C640" i="2"/>
  <c r="D640" i="2"/>
  <c r="E640" i="2"/>
  <c r="F640" i="2"/>
  <c r="G640" i="2"/>
  <c r="H640" i="2"/>
  <c r="I640" i="2" s="1"/>
  <c r="B641" i="2"/>
  <c r="C641" i="2"/>
  <c r="D641" i="2"/>
  <c r="E641" i="2"/>
  <c r="F641" i="2"/>
  <c r="G641" i="2"/>
  <c r="H641" i="2"/>
  <c r="B642" i="2"/>
  <c r="C642" i="2"/>
  <c r="D642" i="2"/>
  <c r="E642" i="2"/>
  <c r="F642" i="2"/>
  <c r="G642" i="2"/>
  <c r="H642" i="2"/>
  <c r="B643" i="2"/>
  <c r="C643" i="2"/>
  <c r="D643" i="2"/>
  <c r="E643" i="2"/>
  <c r="F643" i="2"/>
  <c r="G643" i="2"/>
  <c r="H643" i="2"/>
  <c r="B644" i="2"/>
  <c r="C644" i="2"/>
  <c r="D644" i="2"/>
  <c r="E644" i="2"/>
  <c r="F644" i="2"/>
  <c r="G644" i="2"/>
  <c r="H644" i="2"/>
  <c r="B645" i="2"/>
  <c r="C645" i="2"/>
  <c r="D645" i="2"/>
  <c r="E645" i="2"/>
  <c r="F645" i="2"/>
  <c r="G645" i="2"/>
  <c r="H645" i="2"/>
  <c r="I645" i="2" s="1"/>
  <c r="B646" i="2"/>
  <c r="C646" i="2"/>
  <c r="D646" i="2"/>
  <c r="E646" i="2"/>
  <c r="F646" i="2"/>
  <c r="G646" i="2"/>
  <c r="H646" i="2"/>
  <c r="B647" i="2"/>
  <c r="C647" i="2"/>
  <c r="D647" i="2"/>
  <c r="E647" i="2"/>
  <c r="F647" i="2"/>
  <c r="G647" i="2"/>
  <c r="H647" i="2"/>
  <c r="B648" i="2"/>
  <c r="C648" i="2"/>
  <c r="D648" i="2"/>
  <c r="E648" i="2"/>
  <c r="F648" i="2"/>
  <c r="G648" i="2"/>
  <c r="H648" i="2"/>
  <c r="B649" i="2"/>
  <c r="C649" i="2"/>
  <c r="D649" i="2"/>
  <c r="E649" i="2"/>
  <c r="F649" i="2"/>
  <c r="G649" i="2"/>
  <c r="H649" i="2"/>
  <c r="I649" i="2" s="1"/>
  <c r="B650" i="2"/>
  <c r="C650" i="2"/>
  <c r="D650" i="2"/>
  <c r="E650" i="2"/>
  <c r="F650" i="2"/>
  <c r="G650" i="2"/>
  <c r="H650" i="2"/>
  <c r="B651" i="2"/>
  <c r="C651" i="2"/>
  <c r="D651" i="2"/>
  <c r="E651" i="2"/>
  <c r="F651" i="2"/>
  <c r="G651" i="2"/>
  <c r="H651" i="2"/>
  <c r="B652" i="2"/>
  <c r="C652" i="2"/>
  <c r="D652" i="2"/>
  <c r="E652" i="2"/>
  <c r="F652" i="2"/>
  <c r="G652" i="2"/>
  <c r="H652" i="2"/>
  <c r="B653" i="2"/>
  <c r="C653" i="2"/>
  <c r="D653" i="2"/>
  <c r="E653" i="2"/>
  <c r="F653" i="2"/>
  <c r="G653" i="2"/>
  <c r="H653" i="2"/>
  <c r="B654" i="2"/>
  <c r="C654" i="2"/>
  <c r="D654" i="2"/>
  <c r="E654" i="2"/>
  <c r="F654" i="2"/>
  <c r="G654" i="2"/>
  <c r="H654" i="2"/>
  <c r="I654" i="2" s="1"/>
  <c r="B655" i="2"/>
  <c r="C655" i="2"/>
  <c r="D655" i="2"/>
  <c r="E655" i="2"/>
  <c r="F655" i="2"/>
  <c r="G655" i="2"/>
  <c r="H655" i="2"/>
  <c r="I655" i="2" s="1"/>
  <c r="B656" i="2"/>
  <c r="C656" i="2"/>
  <c r="D656" i="2"/>
  <c r="E656" i="2"/>
  <c r="F656" i="2"/>
  <c r="G656" i="2"/>
  <c r="H656" i="2"/>
  <c r="B657" i="2"/>
  <c r="C657" i="2"/>
  <c r="D657" i="2"/>
  <c r="E657" i="2"/>
  <c r="F657" i="2"/>
  <c r="G657" i="2"/>
  <c r="H657" i="2"/>
  <c r="K657" i="2" s="1"/>
  <c r="B658" i="2"/>
  <c r="C658" i="2"/>
  <c r="D658" i="2"/>
  <c r="E658" i="2"/>
  <c r="F658" i="2"/>
  <c r="G658" i="2"/>
  <c r="H658" i="2"/>
  <c r="B659" i="2"/>
  <c r="C659" i="2"/>
  <c r="D659" i="2"/>
  <c r="E659" i="2"/>
  <c r="F659" i="2"/>
  <c r="G659" i="2"/>
  <c r="H659" i="2"/>
  <c r="I659" i="2" s="1"/>
  <c r="B660" i="2"/>
  <c r="C660" i="2"/>
  <c r="D660" i="2"/>
  <c r="E660" i="2"/>
  <c r="F660" i="2"/>
  <c r="G660" i="2"/>
  <c r="H660" i="2"/>
  <c r="B661" i="2"/>
  <c r="C661" i="2"/>
  <c r="D661" i="2"/>
  <c r="E661" i="2"/>
  <c r="F661" i="2"/>
  <c r="G661" i="2"/>
  <c r="H661" i="2"/>
  <c r="B662" i="2"/>
  <c r="C662" i="2"/>
  <c r="D662" i="2"/>
  <c r="E662" i="2"/>
  <c r="F662" i="2"/>
  <c r="G662" i="2"/>
  <c r="H662" i="2"/>
  <c r="K662" i="2" s="1"/>
  <c r="B663" i="2"/>
  <c r="C663" i="2"/>
  <c r="D663" i="2"/>
  <c r="E663" i="2"/>
  <c r="F663" i="2"/>
  <c r="G663" i="2"/>
  <c r="H663" i="2"/>
  <c r="B664" i="2"/>
  <c r="C664" i="2"/>
  <c r="D664" i="2"/>
  <c r="E664" i="2"/>
  <c r="F664" i="2"/>
  <c r="G664" i="2"/>
  <c r="H664" i="2"/>
  <c r="I664" i="2" s="1"/>
  <c r="B665" i="2"/>
  <c r="C665" i="2"/>
  <c r="D665" i="2"/>
  <c r="E665" i="2"/>
  <c r="F665" i="2"/>
  <c r="G665" i="2"/>
  <c r="H665" i="2"/>
  <c r="B666" i="2"/>
  <c r="C666" i="2"/>
  <c r="D666" i="2"/>
  <c r="E666" i="2"/>
  <c r="F666" i="2"/>
  <c r="G666" i="2"/>
  <c r="H666" i="2"/>
  <c r="I666" i="2" s="1"/>
  <c r="B667" i="2"/>
  <c r="C667" i="2"/>
  <c r="D667" i="2"/>
  <c r="E667" i="2"/>
  <c r="F667" i="2"/>
  <c r="G667" i="2"/>
  <c r="H667" i="2"/>
  <c r="B668" i="2"/>
  <c r="C668" i="2"/>
  <c r="D668" i="2"/>
  <c r="E668" i="2"/>
  <c r="F668" i="2"/>
  <c r="G668" i="2"/>
  <c r="H668" i="2"/>
  <c r="K668" i="2" s="1"/>
  <c r="B669" i="2"/>
  <c r="C669" i="2"/>
  <c r="D669" i="2"/>
  <c r="E669" i="2"/>
  <c r="F669" i="2"/>
  <c r="G669" i="2"/>
  <c r="H669" i="2"/>
  <c r="B670" i="2"/>
  <c r="C670" i="2"/>
  <c r="D670" i="2"/>
  <c r="E670" i="2"/>
  <c r="F670" i="2"/>
  <c r="G670" i="2"/>
  <c r="H670" i="2"/>
  <c r="B671" i="2"/>
  <c r="C671" i="2"/>
  <c r="D671" i="2"/>
  <c r="E671" i="2"/>
  <c r="F671" i="2"/>
  <c r="G671" i="2"/>
  <c r="H671" i="2"/>
  <c r="I671" i="2" s="1"/>
  <c r="B672" i="2"/>
  <c r="C672" i="2"/>
  <c r="D672" i="2"/>
  <c r="E672" i="2"/>
  <c r="F672" i="2"/>
  <c r="G672" i="2"/>
  <c r="H672" i="2"/>
  <c r="B673" i="2"/>
  <c r="C673" i="2"/>
  <c r="D673" i="2"/>
  <c r="E673" i="2"/>
  <c r="F673" i="2"/>
  <c r="G673" i="2"/>
  <c r="H673" i="2"/>
  <c r="I673" i="2" s="1"/>
  <c r="B674" i="2"/>
  <c r="C674" i="2"/>
  <c r="D674" i="2"/>
  <c r="E674" i="2"/>
  <c r="F674" i="2"/>
  <c r="G674" i="2"/>
  <c r="H674" i="2"/>
  <c r="B675" i="2"/>
  <c r="C675" i="2"/>
  <c r="D675" i="2"/>
  <c r="E675" i="2"/>
  <c r="F675" i="2"/>
  <c r="G675" i="2"/>
  <c r="H675" i="2"/>
  <c r="B676" i="2"/>
  <c r="C676" i="2"/>
  <c r="D676" i="2"/>
  <c r="E676" i="2"/>
  <c r="F676" i="2"/>
  <c r="G676" i="2"/>
  <c r="H676" i="2"/>
  <c r="I676" i="2" s="1"/>
  <c r="B677" i="2"/>
  <c r="C677" i="2"/>
  <c r="D677" i="2"/>
  <c r="E677" i="2"/>
  <c r="F677" i="2"/>
  <c r="G677" i="2"/>
  <c r="H677" i="2"/>
  <c r="B678" i="2"/>
  <c r="C678" i="2"/>
  <c r="D678" i="2"/>
  <c r="E678" i="2"/>
  <c r="F678" i="2"/>
  <c r="G678" i="2"/>
  <c r="H678" i="2"/>
  <c r="K678" i="2" s="1"/>
  <c r="B679" i="2"/>
  <c r="C679" i="2"/>
  <c r="D679" i="2"/>
  <c r="E679" i="2"/>
  <c r="F679" i="2"/>
  <c r="G679" i="2"/>
  <c r="H679" i="2"/>
  <c r="B680" i="2"/>
  <c r="C680" i="2"/>
  <c r="D680" i="2"/>
  <c r="E680" i="2"/>
  <c r="F680" i="2"/>
  <c r="G680" i="2"/>
  <c r="H680" i="2"/>
  <c r="B681" i="2"/>
  <c r="C681" i="2"/>
  <c r="D681" i="2"/>
  <c r="E681" i="2"/>
  <c r="F681" i="2"/>
  <c r="G681" i="2"/>
  <c r="H681" i="2"/>
  <c r="I681" i="2" s="1"/>
  <c r="B682" i="2"/>
  <c r="C682" i="2"/>
  <c r="D682" i="2"/>
  <c r="E682" i="2"/>
  <c r="F682" i="2"/>
  <c r="G682" i="2"/>
  <c r="H682" i="2"/>
  <c r="B683" i="2"/>
  <c r="C683" i="2"/>
  <c r="D683" i="2"/>
  <c r="E683" i="2"/>
  <c r="F683" i="2"/>
  <c r="G683" i="2"/>
  <c r="H683" i="2"/>
  <c r="B684" i="2"/>
  <c r="C684" i="2"/>
  <c r="D684" i="2"/>
  <c r="E684" i="2"/>
  <c r="F684" i="2"/>
  <c r="G684" i="2"/>
  <c r="H684" i="2"/>
  <c r="I684" i="2" s="1"/>
  <c r="B685" i="2"/>
  <c r="C685" i="2"/>
  <c r="D685" i="2"/>
  <c r="E685" i="2"/>
  <c r="F685" i="2"/>
  <c r="G685" i="2"/>
  <c r="H685" i="2"/>
  <c r="B686" i="2"/>
  <c r="C686" i="2"/>
  <c r="D686" i="2"/>
  <c r="E686" i="2"/>
  <c r="F686" i="2"/>
  <c r="G686" i="2"/>
  <c r="H686" i="2"/>
  <c r="B687" i="2"/>
  <c r="C687" i="2"/>
  <c r="D687" i="2"/>
  <c r="E687" i="2"/>
  <c r="F687" i="2"/>
  <c r="G687" i="2"/>
  <c r="H687" i="2"/>
  <c r="I687" i="2" s="1"/>
  <c r="B688" i="2"/>
  <c r="C688" i="2"/>
  <c r="D688" i="2"/>
  <c r="E688" i="2"/>
  <c r="F688" i="2"/>
  <c r="G688" i="2"/>
  <c r="H688" i="2"/>
  <c r="B689" i="2"/>
  <c r="C689" i="2"/>
  <c r="D689" i="2"/>
  <c r="E689" i="2"/>
  <c r="F689" i="2"/>
  <c r="G689" i="2"/>
  <c r="H689" i="2"/>
  <c r="K689" i="2" s="1"/>
  <c r="B690" i="2"/>
  <c r="C690" i="2"/>
  <c r="D690" i="2"/>
  <c r="E690" i="2"/>
  <c r="F690" i="2"/>
  <c r="G690" i="2"/>
  <c r="H690" i="2"/>
  <c r="B691" i="2"/>
  <c r="C691" i="2"/>
  <c r="D691" i="2"/>
  <c r="E691" i="2"/>
  <c r="F691" i="2"/>
  <c r="G691" i="2"/>
  <c r="H691" i="2"/>
  <c r="I691" i="2" s="1"/>
  <c r="B692" i="2"/>
  <c r="C692" i="2"/>
  <c r="D692" i="2"/>
  <c r="E692" i="2"/>
  <c r="F692" i="2"/>
  <c r="G692" i="2"/>
  <c r="H692" i="2"/>
  <c r="B693" i="2"/>
  <c r="C693" i="2"/>
  <c r="D693" i="2"/>
  <c r="E693" i="2"/>
  <c r="F693" i="2"/>
  <c r="G693" i="2"/>
  <c r="H693" i="2"/>
  <c r="I693" i="2" s="1"/>
  <c r="B694" i="2"/>
  <c r="C694" i="2"/>
  <c r="D694" i="2"/>
  <c r="E694" i="2"/>
  <c r="F694" i="2"/>
  <c r="G694" i="2"/>
  <c r="H694" i="2"/>
  <c r="B695" i="2"/>
  <c r="C695" i="2"/>
  <c r="D695" i="2"/>
  <c r="E695" i="2"/>
  <c r="F695" i="2"/>
  <c r="G695" i="2"/>
  <c r="H695" i="2"/>
  <c r="B696" i="2"/>
  <c r="C696" i="2"/>
  <c r="D696" i="2"/>
  <c r="E696" i="2"/>
  <c r="F696" i="2"/>
  <c r="G696" i="2"/>
  <c r="H696" i="2"/>
  <c r="B697" i="2"/>
  <c r="C697" i="2"/>
  <c r="D697" i="2"/>
  <c r="E697" i="2"/>
  <c r="F697" i="2"/>
  <c r="G697" i="2"/>
  <c r="H697" i="2"/>
  <c r="I697" i="2" s="1"/>
  <c r="B698" i="2"/>
  <c r="C698" i="2"/>
  <c r="D698" i="2"/>
  <c r="E698" i="2"/>
  <c r="F698" i="2"/>
  <c r="G698" i="2"/>
  <c r="H698" i="2"/>
  <c r="B699" i="2"/>
  <c r="C699" i="2"/>
  <c r="D699" i="2"/>
  <c r="E699" i="2"/>
  <c r="F699" i="2"/>
  <c r="G699" i="2"/>
  <c r="H699" i="2"/>
  <c r="B700" i="2"/>
  <c r="C700" i="2"/>
  <c r="D700" i="2"/>
  <c r="E700" i="2"/>
  <c r="F700" i="2"/>
  <c r="G700" i="2"/>
  <c r="H700" i="2"/>
  <c r="B701" i="2"/>
  <c r="C701" i="2"/>
  <c r="D701" i="2"/>
  <c r="E701" i="2"/>
  <c r="F701" i="2"/>
  <c r="G701" i="2"/>
  <c r="H701" i="2"/>
  <c r="B702" i="2"/>
  <c r="C702" i="2"/>
  <c r="D702" i="2"/>
  <c r="E702" i="2"/>
  <c r="F702" i="2"/>
  <c r="G702" i="2"/>
  <c r="H702" i="2"/>
  <c r="I702" i="2" s="1"/>
  <c r="B703" i="2"/>
  <c r="C703" i="2"/>
  <c r="D703" i="2"/>
  <c r="E703" i="2"/>
  <c r="F703" i="2"/>
  <c r="G703" i="2"/>
  <c r="H703" i="2"/>
  <c r="B704" i="2"/>
  <c r="C704" i="2"/>
  <c r="D704" i="2"/>
  <c r="E704" i="2"/>
  <c r="F704" i="2"/>
  <c r="G704" i="2"/>
  <c r="H704" i="2"/>
  <c r="B705" i="2"/>
  <c r="C705" i="2"/>
  <c r="D705" i="2"/>
  <c r="E705" i="2"/>
  <c r="F705" i="2"/>
  <c r="G705" i="2"/>
  <c r="H705" i="2"/>
  <c r="B706" i="2"/>
  <c r="C706" i="2"/>
  <c r="D706" i="2"/>
  <c r="E706" i="2"/>
  <c r="F706" i="2"/>
  <c r="G706" i="2"/>
  <c r="H706" i="2"/>
  <c r="B707" i="2"/>
  <c r="C707" i="2"/>
  <c r="D707" i="2"/>
  <c r="E707" i="2"/>
  <c r="F707" i="2"/>
  <c r="G707" i="2"/>
  <c r="H707" i="2"/>
  <c r="K707" i="2" s="1"/>
  <c r="B708" i="2"/>
  <c r="C708" i="2"/>
  <c r="D708" i="2"/>
  <c r="E708" i="2"/>
  <c r="F708" i="2"/>
  <c r="G708" i="2"/>
  <c r="H708" i="2"/>
  <c r="B709" i="2"/>
  <c r="C709" i="2"/>
  <c r="D709" i="2"/>
  <c r="E709" i="2"/>
  <c r="F709" i="2"/>
  <c r="G709" i="2"/>
  <c r="H709" i="2"/>
  <c r="I709" i="2" s="1"/>
  <c r="B710" i="2"/>
  <c r="C710" i="2"/>
  <c r="D710" i="2"/>
  <c r="E710" i="2"/>
  <c r="F710" i="2"/>
  <c r="G710" i="2"/>
  <c r="H710" i="2"/>
  <c r="B711" i="2"/>
  <c r="C711" i="2"/>
  <c r="D711" i="2"/>
  <c r="E711" i="2"/>
  <c r="F711" i="2"/>
  <c r="G711" i="2"/>
  <c r="H711" i="2"/>
  <c r="B712" i="2"/>
  <c r="C712" i="2"/>
  <c r="D712" i="2"/>
  <c r="E712" i="2"/>
  <c r="F712" i="2"/>
  <c r="G712" i="2"/>
  <c r="H712" i="2"/>
  <c r="B713" i="2"/>
  <c r="C713" i="2"/>
  <c r="D713" i="2"/>
  <c r="E713" i="2"/>
  <c r="F713" i="2"/>
  <c r="G713" i="2"/>
  <c r="H713" i="2"/>
  <c r="B714" i="2"/>
  <c r="C714" i="2"/>
  <c r="D714" i="2"/>
  <c r="E714" i="2"/>
  <c r="F714" i="2"/>
  <c r="G714" i="2"/>
  <c r="H714" i="2"/>
  <c r="I714" i="2" s="1"/>
  <c r="B715" i="2"/>
  <c r="C715" i="2"/>
  <c r="D715" i="2"/>
  <c r="E715" i="2"/>
  <c r="F715" i="2"/>
  <c r="G715" i="2"/>
  <c r="H715" i="2"/>
  <c r="I715" i="2" s="1"/>
  <c r="B716" i="2"/>
  <c r="C716" i="2"/>
  <c r="D716" i="2"/>
  <c r="E716" i="2"/>
  <c r="F716" i="2"/>
  <c r="G716" i="2"/>
  <c r="H716" i="2"/>
  <c r="B717" i="2"/>
  <c r="C717" i="2"/>
  <c r="D717" i="2"/>
  <c r="E717" i="2"/>
  <c r="F717" i="2"/>
  <c r="G717" i="2"/>
  <c r="H717" i="2"/>
  <c r="B718" i="2"/>
  <c r="C718" i="2"/>
  <c r="D718" i="2"/>
  <c r="E718" i="2"/>
  <c r="F718" i="2"/>
  <c r="G718" i="2"/>
  <c r="H718" i="2"/>
  <c r="B719" i="2"/>
  <c r="C719" i="2"/>
  <c r="D719" i="2"/>
  <c r="E719" i="2"/>
  <c r="F719" i="2"/>
  <c r="G719" i="2"/>
  <c r="H719" i="2"/>
  <c r="B720" i="2"/>
  <c r="C720" i="2"/>
  <c r="D720" i="2"/>
  <c r="E720" i="2"/>
  <c r="F720" i="2"/>
  <c r="G720" i="2"/>
  <c r="H720" i="2"/>
  <c r="I720" i="2" s="1"/>
  <c r="B721" i="2"/>
  <c r="C721" i="2"/>
  <c r="D721" i="2"/>
  <c r="E721" i="2"/>
  <c r="F721" i="2"/>
  <c r="G721" i="2"/>
  <c r="H721" i="2"/>
  <c r="B722" i="2"/>
  <c r="C722" i="2"/>
  <c r="D722" i="2"/>
  <c r="E722" i="2"/>
  <c r="F722" i="2"/>
  <c r="G722" i="2"/>
  <c r="H722" i="2"/>
  <c r="B723" i="2"/>
  <c r="C723" i="2"/>
  <c r="D723" i="2"/>
  <c r="E723" i="2"/>
  <c r="F723" i="2"/>
  <c r="G723" i="2"/>
  <c r="H723" i="2"/>
  <c r="B724" i="2"/>
  <c r="C724" i="2"/>
  <c r="D724" i="2"/>
  <c r="E724" i="2"/>
  <c r="F724" i="2"/>
  <c r="G724" i="2"/>
  <c r="H724" i="2"/>
  <c r="B725" i="2"/>
  <c r="C725" i="2"/>
  <c r="D725" i="2"/>
  <c r="E725" i="2"/>
  <c r="F725" i="2"/>
  <c r="G725" i="2"/>
  <c r="H725" i="2"/>
  <c r="K725" i="2" s="1"/>
  <c r="B726" i="2"/>
  <c r="C726" i="2"/>
  <c r="D726" i="2"/>
  <c r="E726" i="2"/>
  <c r="F726" i="2"/>
  <c r="G726" i="2"/>
  <c r="H726" i="2"/>
  <c r="B727" i="2"/>
  <c r="C727" i="2"/>
  <c r="D727" i="2"/>
  <c r="E727" i="2"/>
  <c r="F727" i="2"/>
  <c r="G727" i="2"/>
  <c r="H727" i="2"/>
  <c r="I727" i="2" s="1"/>
  <c r="B728" i="2"/>
  <c r="C728" i="2"/>
  <c r="D728" i="2"/>
  <c r="E728" i="2"/>
  <c r="F728" i="2"/>
  <c r="G728" i="2"/>
  <c r="H728" i="2"/>
  <c r="B729" i="2"/>
  <c r="C729" i="2"/>
  <c r="D729" i="2"/>
  <c r="E729" i="2"/>
  <c r="F729" i="2"/>
  <c r="G729" i="2"/>
  <c r="H729" i="2"/>
  <c r="B730" i="2"/>
  <c r="C730" i="2"/>
  <c r="D730" i="2"/>
  <c r="E730" i="2"/>
  <c r="F730" i="2"/>
  <c r="G730" i="2"/>
  <c r="H730" i="2"/>
  <c r="B731" i="2"/>
  <c r="C731" i="2"/>
  <c r="D731" i="2"/>
  <c r="E731" i="2"/>
  <c r="F731" i="2"/>
  <c r="G731" i="2"/>
  <c r="H731" i="2"/>
  <c r="B732" i="2"/>
  <c r="C732" i="2"/>
  <c r="D732" i="2"/>
  <c r="E732" i="2"/>
  <c r="F732" i="2"/>
  <c r="G732" i="2"/>
  <c r="H732" i="2"/>
  <c r="I732" i="2" s="1"/>
  <c r="B733" i="2"/>
  <c r="C733" i="2"/>
  <c r="D733" i="2"/>
  <c r="E733" i="2"/>
  <c r="F733" i="2"/>
  <c r="G733" i="2"/>
  <c r="H733" i="2"/>
  <c r="B734" i="2"/>
  <c r="C734" i="2"/>
  <c r="D734" i="2"/>
  <c r="E734" i="2"/>
  <c r="F734" i="2"/>
  <c r="G734" i="2"/>
  <c r="H734" i="2"/>
  <c r="I734" i="2" s="1"/>
  <c r="B735" i="2"/>
  <c r="C735" i="2"/>
  <c r="D735" i="2"/>
  <c r="E735" i="2"/>
  <c r="F735" i="2"/>
  <c r="G735" i="2"/>
  <c r="H735" i="2"/>
  <c r="B736" i="2"/>
  <c r="C736" i="2"/>
  <c r="D736" i="2"/>
  <c r="E736" i="2"/>
  <c r="F736" i="2"/>
  <c r="G736" i="2"/>
  <c r="H736" i="2"/>
  <c r="B737" i="2"/>
  <c r="C737" i="2"/>
  <c r="D737" i="2"/>
  <c r="E737" i="2"/>
  <c r="F737" i="2"/>
  <c r="G737" i="2"/>
  <c r="H737" i="2"/>
  <c r="B738" i="2"/>
  <c r="C738" i="2"/>
  <c r="D738" i="2"/>
  <c r="E738" i="2"/>
  <c r="F738" i="2"/>
  <c r="G738" i="2"/>
  <c r="H738" i="2"/>
  <c r="I738" i="2" s="1"/>
  <c r="B739" i="2"/>
  <c r="C739" i="2"/>
  <c r="D739" i="2"/>
  <c r="E739" i="2"/>
  <c r="F739" i="2"/>
  <c r="G739" i="2"/>
  <c r="H739" i="2"/>
  <c r="I739" i="2" s="1"/>
  <c r="B740" i="2"/>
  <c r="C740" i="2"/>
  <c r="D740" i="2"/>
  <c r="E740" i="2"/>
  <c r="F740" i="2"/>
  <c r="G740" i="2"/>
  <c r="H740" i="2"/>
  <c r="B741" i="2"/>
  <c r="C741" i="2"/>
  <c r="D741" i="2"/>
  <c r="E741" i="2"/>
  <c r="F741" i="2"/>
  <c r="G741" i="2"/>
  <c r="H741" i="2"/>
  <c r="B742" i="2"/>
  <c r="C742" i="2"/>
  <c r="D742" i="2"/>
  <c r="E742" i="2"/>
  <c r="F742" i="2"/>
  <c r="G742" i="2"/>
  <c r="H742" i="2"/>
  <c r="B743" i="2"/>
  <c r="C743" i="2"/>
  <c r="D743" i="2"/>
  <c r="E743" i="2"/>
  <c r="F743" i="2"/>
  <c r="G743" i="2"/>
  <c r="H743" i="2"/>
  <c r="B744" i="2"/>
  <c r="C744" i="2"/>
  <c r="D744" i="2"/>
  <c r="E744" i="2"/>
  <c r="F744" i="2"/>
  <c r="G744" i="2"/>
  <c r="H744" i="2"/>
  <c r="I744" i="2" s="1"/>
  <c r="B745" i="2"/>
  <c r="C745" i="2"/>
  <c r="D745" i="2"/>
  <c r="E745" i="2"/>
  <c r="F745" i="2"/>
  <c r="G745" i="2"/>
  <c r="H745" i="2"/>
  <c r="B746" i="2"/>
  <c r="C746" i="2"/>
  <c r="D746" i="2"/>
  <c r="E746" i="2"/>
  <c r="F746" i="2"/>
  <c r="G746" i="2"/>
  <c r="H746" i="2"/>
  <c r="I746" i="2" s="1"/>
  <c r="B747" i="2"/>
  <c r="C747" i="2"/>
  <c r="D747" i="2"/>
  <c r="E747" i="2"/>
  <c r="F747" i="2"/>
  <c r="G747" i="2"/>
  <c r="H747" i="2"/>
  <c r="B748" i="2"/>
  <c r="C748" i="2"/>
  <c r="D748" i="2"/>
  <c r="E748" i="2"/>
  <c r="F748" i="2"/>
  <c r="G748" i="2"/>
  <c r="H748" i="2"/>
  <c r="B749" i="2"/>
  <c r="C749" i="2"/>
  <c r="D749" i="2"/>
  <c r="E749" i="2"/>
  <c r="F749" i="2"/>
  <c r="G749" i="2"/>
  <c r="H749" i="2"/>
  <c r="B750" i="2"/>
  <c r="C750" i="2"/>
  <c r="D750" i="2"/>
  <c r="E750" i="2"/>
  <c r="F750" i="2"/>
  <c r="G750" i="2"/>
  <c r="H750" i="2"/>
  <c r="I750" i="2" s="1"/>
  <c r="B751" i="2"/>
  <c r="C751" i="2"/>
  <c r="D751" i="2"/>
  <c r="E751" i="2"/>
  <c r="F751" i="2"/>
  <c r="G751" i="2"/>
  <c r="H751" i="2"/>
  <c r="I751" i="2" s="1"/>
  <c r="B752" i="2"/>
  <c r="C752" i="2"/>
  <c r="D752" i="2"/>
  <c r="E752" i="2"/>
  <c r="F752" i="2"/>
  <c r="G752" i="2"/>
  <c r="H752" i="2"/>
  <c r="B753" i="2"/>
  <c r="C753" i="2"/>
  <c r="D753" i="2"/>
  <c r="E753" i="2"/>
  <c r="F753" i="2"/>
  <c r="G753" i="2"/>
  <c r="H753" i="2"/>
  <c r="B754" i="2"/>
  <c r="C754" i="2"/>
  <c r="D754" i="2"/>
  <c r="E754" i="2"/>
  <c r="F754" i="2"/>
  <c r="G754" i="2"/>
  <c r="H754" i="2"/>
  <c r="B755" i="2"/>
  <c r="C755" i="2"/>
  <c r="D755" i="2"/>
  <c r="E755" i="2"/>
  <c r="F755" i="2"/>
  <c r="G755" i="2"/>
  <c r="H755" i="2"/>
  <c r="I755" i="2" s="1"/>
  <c r="B756" i="2"/>
  <c r="C756" i="2"/>
  <c r="D756" i="2"/>
  <c r="E756" i="2"/>
  <c r="F756" i="2"/>
  <c r="G756" i="2"/>
  <c r="H756" i="2"/>
  <c r="B757" i="2"/>
  <c r="C757" i="2"/>
  <c r="D757" i="2"/>
  <c r="E757" i="2"/>
  <c r="F757" i="2"/>
  <c r="G757" i="2"/>
  <c r="H757" i="2"/>
  <c r="I757" i="2" s="1"/>
  <c r="B758" i="2"/>
  <c r="C758" i="2"/>
  <c r="D758" i="2"/>
  <c r="E758" i="2"/>
  <c r="F758" i="2"/>
  <c r="G758" i="2"/>
  <c r="H758" i="2"/>
  <c r="B759" i="2"/>
  <c r="C759" i="2"/>
  <c r="D759" i="2"/>
  <c r="E759" i="2"/>
  <c r="F759" i="2"/>
  <c r="G759" i="2"/>
  <c r="H759" i="2"/>
  <c r="B760" i="2"/>
  <c r="C760" i="2"/>
  <c r="D760" i="2"/>
  <c r="E760" i="2"/>
  <c r="F760" i="2"/>
  <c r="G760" i="2"/>
  <c r="H760" i="2"/>
  <c r="B761" i="2"/>
  <c r="C761" i="2"/>
  <c r="D761" i="2"/>
  <c r="E761" i="2"/>
  <c r="F761" i="2"/>
  <c r="G761" i="2"/>
  <c r="H761" i="2"/>
  <c r="I761" i="2" s="1"/>
  <c r="B762" i="2"/>
  <c r="C762" i="2"/>
  <c r="D762" i="2"/>
  <c r="E762" i="2"/>
  <c r="F762" i="2"/>
  <c r="G762" i="2"/>
  <c r="H762" i="2"/>
  <c r="B763" i="2"/>
  <c r="C763" i="2"/>
  <c r="D763" i="2"/>
  <c r="E763" i="2"/>
  <c r="F763" i="2"/>
  <c r="G763" i="2"/>
  <c r="H763" i="2"/>
  <c r="B764" i="2"/>
  <c r="C764" i="2"/>
  <c r="D764" i="2"/>
  <c r="E764" i="2"/>
  <c r="F764" i="2"/>
  <c r="G764" i="2"/>
  <c r="H764" i="2"/>
  <c r="I764" i="2" s="1"/>
  <c r="B765" i="2"/>
  <c r="C765" i="2"/>
  <c r="D765" i="2"/>
  <c r="E765" i="2"/>
  <c r="F765" i="2"/>
  <c r="G765" i="2"/>
  <c r="H765" i="2"/>
  <c r="B766" i="2"/>
  <c r="C766" i="2"/>
  <c r="D766" i="2"/>
  <c r="E766" i="2"/>
  <c r="F766" i="2"/>
  <c r="G766" i="2"/>
  <c r="H766" i="2"/>
  <c r="K766" i="2" s="1"/>
  <c r="B767" i="2"/>
  <c r="C767" i="2"/>
  <c r="D767" i="2"/>
  <c r="E767" i="2"/>
  <c r="F767" i="2"/>
  <c r="G767" i="2"/>
  <c r="H767" i="2"/>
  <c r="B768" i="2"/>
  <c r="C768" i="2"/>
  <c r="D768" i="2"/>
  <c r="E768" i="2"/>
  <c r="F768" i="2"/>
  <c r="G768" i="2"/>
  <c r="H768" i="2"/>
  <c r="I768" i="2" s="1"/>
  <c r="B769" i="2"/>
  <c r="C769" i="2"/>
  <c r="D769" i="2"/>
  <c r="E769" i="2"/>
  <c r="F769" i="2"/>
  <c r="G769" i="2"/>
  <c r="H769" i="2"/>
  <c r="I769" i="2" s="1"/>
  <c r="B770" i="2"/>
  <c r="C770" i="2"/>
  <c r="D770" i="2"/>
  <c r="E770" i="2"/>
  <c r="F770" i="2"/>
  <c r="G770" i="2"/>
  <c r="H770" i="2"/>
  <c r="B771" i="2"/>
  <c r="C771" i="2"/>
  <c r="D771" i="2"/>
  <c r="E771" i="2"/>
  <c r="F771" i="2"/>
  <c r="G771" i="2"/>
  <c r="H771" i="2"/>
  <c r="B772" i="2"/>
  <c r="C772" i="2"/>
  <c r="D772" i="2"/>
  <c r="E772" i="2"/>
  <c r="F772" i="2"/>
  <c r="G772" i="2"/>
  <c r="H772" i="2"/>
  <c r="B773" i="2"/>
  <c r="C773" i="2"/>
  <c r="D773" i="2"/>
  <c r="E773" i="2"/>
  <c r="F773" i="2"/>
  <c r="G773" i="2"/>
  <c r="H773" i="2"/>
  <c r="I773" i="2" s="1"/>
  <c r="B774" i="2"/>
  <c r="C774" i="2"/>
  <c r="D774" i="2"/>
  <c r="E774" i="2"/>
  <c r="F774" i="2"/>
  <c r="G774" i="2"/>
  <c r="H774" i="2"/>
  <c r="B775" i="2"/>
  <c r="C775" i="2"/>
  <c r="D775" i="2"/>
  <c r="E775" i="2"/>
  <c r="F775" i="2"/>
  <c r="G775" i="2"/>
  <c r="H775" i="2"/>
  <c r="I775" i="2" s="1"/>
  <c r="B776" i="2"/>
  <c r="C776" i="2"/>
  <c r="D776" i="2"/>
  <c r="E776" i="2"/>
  <c r="F776" i="2"/>
  <c r="G776" i="2"/>
  <c r="H776" i="2"/>
  <c r="B777" i="2"/>
  <c r="C777" i="2"/>
  <c r="D777" i="2"/>
  <c r="E777" i="2"/>
  <c r="F777" i="2"/>
  <c r="G777" i="2"/>
  <c r="H777" i="2"/>
  <c r="I777" i="2" s="1"/>
  <c r="B778" i="2"/>
  <c r="C778" i="2"/>
  <c r="D778" i="2"/>
  <c r="E778" i="2"/>
  <c r="F778" i="2"/>
  <c r="G778" i="2"/>
  <c r="H778" i="2"/>
  <c r="B779" i="2"/>
  <c r="C779" i="2"/>
  <c r="D779" i="2"/>
  <c r="E779" i="2"/>
  <c r="F779" i="2"/>
  <c r="G779" i="2"/>
  <c r="H779" i="2"/>
  <c r="B780" i="2"/>
  <c r="C780" i="2"/>
  <c r="D780" i="2"/>
  <c r="E780" i="2"/>
  <c r="F780" i="2"/>
  <c r="G780" i="2"/>
  <c r="H780" i="2"/>
  <c r="I780" i="2" s="1"/>
  <c r="B781" i="2"/>
  <c r="C781" i="2"/>
  <c r="D781" i="2"/>
  <c r="E781" i="2"/>
  <c r="F781" i="2"/>
  <c r="G781" i="2"/>
  <c r="H781" i="2"/>
  <c r="B782" i="2"/>
  <c r="C782" i="2"/>
  <c r="D782" i="2"/>
  <c r="E782" i="2"/>
  <c r="F782" i="2"/>
  <c r="G782" i="2"/>
  <c r="H782" i="2"/>
  <c r="B783" i="2"/>
  <c r="C783" i="2"/>
  <c r="D783" i="2"/>
  <c r="E783" i="2"/>
  <c r="F783" i="2"/>
  <c r="G783" i="2"/>
  <c r="H783" i="2"/>
  <c r="I783" i="2" s="1"/>
  <c r="B784" i="2"/>
  <c r="C784" i="2"/>
  <c r="D784" i="2"/>
  <c r="E784" i="2"/>
  <c r="F784" i="2"/>
  <c r="G784" i="2"/>
  <c r="H784" i="2"/>
  <c r="B785" i="2"/>
  <c r="C785" i="2"/>
  <c r="D785" i="2"/>
  <c r="E785" i="2"/>
  <c r="F785" i="2"/>
  <c r="G785" i="2"/>
  <c r="H785" i="2"/>
  <c r="I785" i="2" s="1"/>
  <c r="B786" i="2"/>
  <c r="C786" i="2"/>
  <c r="D786" i="2"/>
  <c r="E786" i="2"/>
  <c r="F786" i="2"/>
  <c r="G786" i="2"/>
  <c r="H786" i="2"/>
  <c r="B787" i="2"/>
  <c r="C787" i="2"/>
  <c r="D787" i="2"/>
  <c r="E787" i="2"/>
  <c r="F787" i="2"/>
  <c r="G787" i="2"/>
  <c r="H787" i="2"/>
  <c r="B788" i="2"/>
  <c r="C788" i="2"/>
  <c r="D788" i="2"/>
  <c r="E788" i="2"/>
  <c r="F788" i="2"/>
  <c r="G788" i="2"/>
  <c r="H788" i="2"/>
  <c r="I788" i="2" s="1"/>
  <c r="B789" i="2"/>
  <c r="C789" i="2"/>
  <c r="D789" i="2"/>
  <c r="E789" i="2"/>
  <c r="F789" i="2"/>
  <c r="G789" i="2"/>
  <c r="H789" i="2"/>
  <c r="B790" i="2"/>
  <c r="C790" i="2"/>
  <c r="D790" i="2"/>
  <c r="E790" i="2"/>
  <c r="F790" i="2"/>
  <c r="G790" i="2"/>
  <c r="H790" i="2"/>
  <c r="B791" i="2"/>
  <c r="C791" i="2"/>
  <c r="D791" i="2"/>
  <c r="E791" i="2"/>
  <c r="F791" i="2"/>
  <c r="G791" i="2"/>
  <c r="H791" i="2"/>
  <c r="B792" i="2"/>
  <c r="C792" i="2"/>
  <c r="D792" i="2"/>
  <c r="E792" i="2"/>
  <c r="F792" i="2"/>
  <c r="G792" i="2"/>
  <c r="H792" i="2"/>
  <c r="B793" i="2"/>
  <c r="C793" i="2"/>
  <c r="D793" i="2"/>
  <c r="E793" i="2"/>
  <c r="F793" i="2"/>
  <c r="G793" i="2"/>
  <c r="H793" i="2"/>
  <c r="I793" i="2" s="1"/>
  <c r="B794" i="2"/>
  <c r="C794" i="2"/>
  <c r="D794" i="2"/>
  <c r="E794" i="2"/>
  <c r="F794" i="2"/>
  <c r="G794" i="2"/>
  <c r="H794" i="2"/>
  <c r="I794" i="2" s="1"/>
  <c r="B795" i="2"/>
  <c r="C795" i="2"/>
  <c r="D795" i="2"/>
  <c r="E795" i="2"/>
  <c r="F795" i="2"/>
  <c r="G795" i="2"/>
  <c r="H795" i="2"/>
  <c r="B796" i="2"/>
  <c r="C796" i="2"/>
  <c r="D796" i="2"/>
  <c r="E796" i="2"/>
  <c r="F796" i="2"/>
  <c r="G796" i="2"/>
  <c r="H796" i="2"/>
  <c r="K796" i="2" s="1"/>
  <c r="B797" i="2"/>
  <c r="C797" i="2"/>
  <c r="D797" i="2"/>
  <c r="E797" i="2"/>
  <c r="F797" i="2"/>
  <c r="G797" i="2"/>
  <c r="H797" i="2"/>
  <c r="B798" i="2"/>
  <c r="C798" i="2"/>
  <c r="D798" i="2"/>
  <c r="E798" i="2"/>
  <c r="F798" i="2"/>
  <c r="G798" i="2"/>
  <c r="H798" i="2"/>
  <c r="I798" i="2" s="1"/>
  <c r="B799" i="2"/>
  <c r="C799" i="2"/>
  <c r="D799" i="2"/>
  <c r="E799" i="2"/>
  <c r="F799" i="2"/>
  <c r="G799" i="2"/>
  <c r="H799" i="2"/>
  <c r="I799" i="2" s="1"/>
  <c r="B800" i="2"/>
  <c r="C800" i="2"/>
  <c r="D800" i="2"/>
  <c r="E800" i="2"/>
  <c r="F800" i="2"/>
  <c r="G800" i="2"/>
  <c r="H800" i="2"/>
  <c r="B801" i="2"/>
  <c r="C801" i="2"/>
  <c r="D801" i="2"/>
  <c r="E801" i="2"/>
  <c r="F801" i="2"/>
  <c r="G801" i="2"/>
  <c r="H801" i="2"/>
  <c r="I801" i="2" s="1"/>
  <c r="B802" i="2"/>
  <c r="C802" i="2"/>
  <c r="D802" i="2"/>
  <c r="E802" i="2"/>
  <c r="F802" i="2"/>
  <c r="G802" i="2"/>
  <c r="H802" i="2"/>
  <c r="B803" i="2"/>
  <c r="C803" i="2"/>
  <c r="D803" i="2"/>
  <c r="E803" i="2"/>
  <c r="F803" i="2"/>
  <c r="G803" i="2"/>
  <c r="H803" i="2"/>
  <c r="I803" i="2" s="1"/>
  <c r="B804" i="2"/>
  <c r="C804" i="2"/>
  <c r="D804" i="2"/>
  <c r="E804" i="2"/>
  <c r="F804" i="2"/>
  <c r="G804" i="2"/>
  <c r="H804" i="2"/>
  <c r="I804" i="2" s="1"/>
  <c r="B805" i="2"/>
  <c r="C805" i="2"/>
  <c r="D805" i="2"/>
  <c r="E805" i="2"/>
  <c r="F805" i="2"/>
  <c r="G805" i="2"/>
  <c r="H805" i="2"/>
  <c r="B806" i="2"/>
  <c r="C806" i="2"/>
  <c r="D806" i="2"/>
  <c r="E806" i="2"/>
  <c r="F806" i="2"/>
  <c r="G806" i="2"/>
  <c r="H806" i="2"/>
  <c r="I806" i="2" s="1"/>
  <c r="B807" i="2"/>
  <c r="C807" i="2"/>
  <c r="D807" i="2"/>
  <c r="E807" i="2"/>
  <c r="F807" i="2"/>
  <c r="G807" i="2"/>
  <c r="H807" i="2"/>
  <c r="B808" i="2"/>
  <c r="C808" i="2"/>
  <c r="D808" i="2"/>
  <c r="E808" i="2"/>
  <c r="F808" i="2"/>
  <c r="G808" i="2"/>
  <c r="H808" i="2"/>
  <c r="B809" i="2"/>
  <c r="C809" i="2"/>
  <c r="D809" i="2"/>
  <c r="E809" i="2"/>
  <c r="F809" i="2"/>
  <c r="G809" i="2"/>
  <c r="H809" i="2"/>
  <c r="I809" i="2" s="1"/>
  <c r="B810" i="2"/>
  <c r="C810" i="2"/>
  <c r="D810" i="2"/>
  <c r="E810" i="2"/>
  <c r="F810" i="2"/>
  <c r="G810" i="2"/>
  <c r="H810" i="2"/>
  <c r="B811" i="2"/>
  <c r="C811" i="2"/>
  <c r="D811" i="2"/>
  <c r="E811" i="2"/>
  <c r="F811" i="2"/>
  <c r="G811" i="2"/>
  <c r="H811" i="2"/>
  <c r="I811" i="2" s="1"/>
  <c r="B812" i="2"/>
  <c r="C812" i="2"/>
  <c r="D812" i="2"/>
  <c r="E812" i="2"/>
  <c r="F812" i="2"/>
  <c r="G812" i="2"/>
  <c r="H812" i="2"/>
  <c r="B813" i="2"/>
  <c r="C813" i="2"/>
  <c r="D813" i="2"/>
  <c r="E813" i="2"/>
  <c r="F813" i="2"/>
  <c r="G813" i="2"/>
  <c r="H813" i="2"/>
  <c r="I813" i="2" s="1"/>
  <c r="B814" i="2"/>
  <c r="C814" i="2"/>
  <c r="D814" i="2"/>
  <c r="E814" i="2"/>
  <c r="F814" i="2"/>
  <c r="G814" i="2"/>
  <c r="H814" i="2"/>
  <c r="B815" i="2"/>
  <c r="C815" i="2"/>
  <c r="D815" i="2"/>
  <c r="E815" i="2"/>
  <c r="F815" i="2"/>
  <c r="G815" i="2"/>
  <c r="H815" i="2"/>
  <c r="I815" i="2" s="1"/>
  <c r="B816" i="2"/>
  <c r="C816" i="2"/>
  <c r="D816" i="2"/>
  <c r="E816" i="2"/>
  <c r="F816" i="2"/>
  <c r="G816" i="2"/>
  <c r="H816" i="2"/>
  <c r="I816" i="2" s="1"/>
  <c r="B817" i="2"/>
  <c r="C817" i="2"/>
  <c r="D817" i="2"/>
  <c r="E817" i="2"/>
  <c r="F817" i="2"/>
  <c r="G817" i="2"/>
  <c r="H817" i="2"/>
  <c r="B818" i="2"/>
  <c r="C818" i="2"/>
  <c r="D818" i="2"/>
  <c r="E818" i="2"/>
  <c r="F818" i="2"/>
  <c r="G818" i="2"/>
  <c r="H818" i="2"/>
  <c r="B819" i="2"/>
  <c r="C819" i="2"/>
  <c r="D819" i="2"/>
  <c r="E819" i="2"/>
  <c r="F819" i="2"/>
  <c r="G819" i="2"/>
  <c r="H819" i="2"/>
  <c r="I819" i="2" s="1"/>
  <c r="B820" i="2"/>
  <c r="C820" i="2"/>
  <c r="D820" i="2"/>
  <c r="E820" i="2"/>
  <c r="F820" i="2"/>
  <c r="G820" i="2"/>
  <c r="H820" i="2"/>
  <c r="B821" i="2"/>
  <c r="C821" i="2"/>
  <c r="D821" i="2"/>
  <c r="E821" i="2"/>
  <c r="F821" i="2"/>
  <c r="G821" i="2"/>
  <c r="H821" i="2"/>
  <c r="I821" i="2" s="1"/>
  <c r="B822" i="2"/>
  <c r="C822" i="2"/>
  <c r="D822" i="2"/>
  <c r="E822" i="2"/>
  <c r="F822" i="2"/>
  <c r="G822" i="2"/>
  <c r="H822" i="2"/>
  <c r="B823" i="2"/>
  <c r="C823" i="2"/>
  <c r="D823" i="2"/>
  <c r="E823" i="2"/>
  <c r="F823" i="2"/>
  <c r="G823" i="2"/>
  <c r="H823" i="2"/>
  <c r="B824" i="2"/>
  <c r="C824" i="2"/>
  <c r="D824" i="2"/>
  <c r="E824" i="2"/>
  <c r="F824" i="2"/>
  <c r="G824" i="2"/>
  <c r="H824" i="2"/>
  <c r="I824" i="2" s="1"/>
  <c r="B825" i="2"/>
  <c r="C825" i="2"/>
  <c r="D825" i="2"/>
  <c r="E825" i="2"/>
  <c r="F825" i="2"/>
  <c r="G825" i="2"/>
  <c r="H825" i="2"/>
  <c r="B826" i="2"/>
  <c r="C826" i="2"/>
  <c r="D826" i="2"/>
  <c r="E826" i="2"/>
  <c r="F826" i="2"/>
  <c r="G826" i="2"/>
  <c r="H826" i="2"/>
  <c r="B827" i="2"/>
  <c r="C827" i="2"/>
  <c r="D827" i="2"/>
  <c r="E827" i="2"/>
  <c r="F827" i="2"/>
  <c r="G827" i="2"/>
  <c r="H827" i="2"/>
  <c r="B828" i="2"/>
  <c r="C828" i="2"/>
  <c r="D828" i="2"/>
  <c r="E828" i="2"/>
  <c r="F828" i="2"/>
  <c r="G828" i="2"/>
  <c r="H828" i="2"/>
  <c r="B829" i="2"/>
  <c r="C829" i="2"/>
  <c r="D829" i="2"/>
  <c r="E829" i="2"/>
  <c r="F829" i="2"/>
  <c r="G829" i="2"/>
  <c r="H829" i="2"/>
  <c r="I829" i="2" s="1"/>
  <c r="B830" i="2"/>
  <c r="C830" i="2"/>
  <c r="D830" i="2"/>
  <c r="E830" i="2"/>
  <c r="F830" i="2"/>
  <c r="G830" i="2"/>
  <c r="H830" i="2"/>
  <c r="I830" i="2" s="1"/>
  <c r="B831" i="2"/>
  <c r="C831" i="2"/>
  <c r="D831" i="2"/>
  <c r="E831" i="2"/>
  <c r="F831" i="2"/>
  <c r="G831" i="2"/>
  <c r="H831" i="2"/>
  <c r="B832" i="2"/>
  <c r="C832" i="2"/>
  <c r="D832" i="2"/>
  <c r="E832" i="2"/>
  <c r="F832" i="2"/>
  <c r="G832" i="2"/>
  <c r="H832" i="2"/>
  <c r="I832" i="2" s="1"/>
  <c r="B833" i="2"/>
  <c r="C833" i="2"/>
  <c r="D833" i="2"/>
  <c r="E833" i="2"/>
  <c r="F833" i="2"/>
  <c r="G833" i="2"/>
  <c r="H833" i="2"/>
  <c r="B834" i="2"/>
  <c r="C834" i="2"/>
  <c r="D834" i="2"/>
  <c r="E834" i="2"/>
  <c r="F834" i="2"/>
  <c r="G834" i="2"/>
  <c r="H834" i="2"/>
  <c r="B835" i="2"/>
  <c r="C835" i="2"/>
  <c r="D835" i="2"/>
  <c r="E835" i="2"/>
  <c r="F835" i="2"/>
  <c r="G835" i="2"/>
  <c r="H835" i="2"/>
  <c r="B836" i="2"/>
  <c r="C836" i="2"/>
  <c r="D836" i="2"/>
  <c r="E836" i="2"/>
  <c r="F836" i="2"/>
  <c r="G836" i="2"/>
  <c r="H836" i="2"/>
  <c r="B837" i="2"/>
  <c r="C837" i="2"/>
  <c r="D837" i="2"/>
  <c r="E837" i="2"/>
  <c r="F837" i="2"/>
  <c r="G837" i="2"/>
  <c r="H837" i="2"/>
  <c r="B838" i="2"/>
  <c r="C838" i="2"/>
  <c r="D838" i="2"/>
  <c r="E838" i="2"/>
  <c r="F838" i="2"/>
  <c r="G838" i="2"/>
  <c r="H838" i="2"/>
  <c r="I838" i="2" s="1"/>
  <c r="B839" i="2"/>
  <c r="C839" i="2"/>
  <c r="D839" i="2"/>
  <c r="E839" i="2"/>
  <c r="F839" i="2"/>
  <c r="G839" i="2"/>
  <c r="H839" i="2"/>
  <c r="B840" i="2"/>
  <c r="C840" i="2"/>
  <c r="D840" i="2"/>
  <c r="E840" i="2"/>
  <c r="F840" i="2"/>
  <c r="G840" i="2"/>
  <c r="H840" i="2"/>
  <c r="B841" i="2"/>
  <c r="C841" i="2"/>
  <c r="D841" i="2"/>
  <c r="E841" i="2"/>
  <c r="F841" i="2"/>
  <c r="G841" i="2"/>
  <c r="H841" i="2"/>
  <c r="B842" i="2"/>
  <c r="C842" i="2"/>
  <c r="D842" i="2"/>
  <c r="E842" i="2"/>
  <c r="F842" i="2"/>
  <c r="G842" i="2"/>
  <c r="H842" i="2"/>
  <c r="B843" i="2"/>
  <c r="C843" i="2"/>
  <c r="D843" i="2"/>
  <c r="E843" i="2"/>
  <c r="F843" i="2"/>
  <c r="G843" i="2"/>
  <c r="H843" i="2"/>
  <c r="B844" i="2"/>
  <c r="C844" i="2"/>
  <c r="D844" i="2"/>
  <c r="E844" i="2"/>
  <c r="F844" i="2"/>
  <c r="G844" i="2"/>
  <c r="H844" i="2"/>
  <c r="I844" i="2" s="1"/>
  <c r="B845" i="2"/>
  <c r="C845" i="2"/>
  <c r="D845" i="2"/>
  <c r="E845" i="2"/>
  <c r="F845" i="2"/>
  <c r="G845" i="2"/>
  <c r="H845" i="2"/>
  <c r="B846" i="2"/>
  <c r="C846" i="2"/>
  <c r="D846" i="2"/>
  <c r="E846" i="2"/>
  <c r="F846" i="2"/>
  <c r="G846" i="2"/>
  <c r="H846" i="2"/>
  <c r="B847" i="2"/>
  <c r="C847" i="2"/>
  <c r="D847" i="2"/>
  <c r="E847" i="2"/>
  <c r="F847" i="2"/>
  <c r="G847" i="2"/>
  <c r="H847" i="2"/>
  <c r="B848" i="2"/>
  <c r="C848" i="2"/>
  <c r="D848" i="2"/>
  <c r="E848" i="2"/>
  <c r="F848" i="2"/>
  <c r="G848" i="2"/>
  <c r="H848" i="2"/>
  <c r="B849" i="2"/>
  <c r="C849" i="2"/>
  <c r="D849" i="2"/>
  <c r="E849" i="2"/>
  <c r="F849" i="2"/>
  <c r="G849" i="2"/>
  <c r="H849" i="2"/>
  <c r="B850" i="2"/>
  <c r="C850" i="2"/>
  <c r="D850" i="2"/>
  <c r="E850" i="2"/>
  <c r="F850" i="2"/>
  <c r="G850" i="2"/>
  <c r="H850" i="2"/>
  <c r="I850" i="2" s="1"/>
  <c r="B851" i="2"/>
  <c r="C851" i="2"/>
  <c r="D851" i="2"/>
  <c r="E851" i="2"/>
  <c r="F851" i="2"/>
  <c r="G851" i="2"/>
  <c r="H851" i="2"/>
  <c r="B852" i="2"/>
  <c r="C852" i="2"/>
  <c r="D852" i="2"/>
  <c r="E852" i="2"/>
  <c r="F852" i="2"/>
  <c r="G852" i="2"/>
  <c r="H852" i="2"/>
  <c r="B853" i="2"/>
  <c r="C853" i="2"/>
  <c r="D853" i="2"/>
  <c r="E853" i="2"/>
  <c r="F853" i="2"/>
  <c r="G853" i="2"/>
  <c r="H853" i="2"/>
  <c r="B854" i="2"/>
  <c r="C854" i="2"/>
  <c r="D854" i="2"/>
  <c r="E854" i="2"/>
  <c r="F854" i="2"/>
  <c r="G854" i="2"/>
  <c r="H854" i="2"/>
  <c r="B855" i="2"/>
  <c r="C855" i="2"/>
  <c r="D855" i="2"/>
  <c r="E855" i="2"/>
  <c r="F855" i="2"/>
  <c r="G855" i="2"/>
  <c r="H855" i="2"/>
  <c r="B856" i="2"/>
  <c r="C856" i="2"/>
  <c r="D856" i="2"/>
  <c r="E856" i="2"/>
  <c r="F856" i="2"/>
  <c r="G856" i="2"/>
  <c r="H856" i="2"/>
  <c r="I856" i="2" s="1"/>
  <c r="B857" i="2"/>
  <c r="C857" i="2"/>
  <c r="D857" i="2"/>
  <c r="E857" i="2"/>
  <c r="F857" i="2"/>
  <c r="G857" i="2"/>
  <c r="H857" i="2"/>
  <c r="B858" i="2"/>
  <c r="C858" i="2"/>
  <c r="D858" i="2"/>
  <c r="E858" i="2"/>
  <c r="F858" i="2"/>
  <c r="G858" i="2"/>
  <c r="H858" i="2"/>
  <c r="B859" i="2"/>
  <c r="C859" i="2"/>
  <c r="D859" i="2"/>
  <c r="E859" i="2"/>
  <c r="F859" i="2"/>
  <c r="G859" i="2"/>
  <c r="H859" i="2"/>
  <c r="B860" i="2"/>
  <c r="C860" i="2"/>
  <c r="D860" i="2"/>
  <c r="E860" i="2"/>
  <c r="F860" i="2"/>
  <c r="G860" i="2"/>
  <c r="H860" i="2"/>
  <c r="B861" i="2"/>
  <c r="C861" i="2"/>
  <c r="D861" i="2"/>
  <c r="E861" i="2"/>
  <c r="F861" i="2"/>
  <c r="G861" i="2"/>
  <c r="H861" i="2"/>
  <c r="B862" i="2"/>
  <c r="C862" i="2"/>
  <c r="D862" i="2"/>
  <c r="E862" i="2"/>
  <c r="F862" i="2"/>
  <c r="G862" i="2"/>
  <c r="H862" i="2"/>
  <c r="I862" i="2" s="1"/>
  <c r="B863" i="2"/>
  <c r="C863" i="2"/>
  <c r="D863" i="2"/>
  <c r="E863" i="2"/>
  <c r="F863" i="2"/>
  <c r="G863" i="2"/>
  <c r="H863" i="2"/>
  <c r="B864" i="2"/>
  <c r="C864" i="2"/>
  <c r="D864" i="2"/>
  <c r="E864" i="2"/>
  <c r="F864" i="2"/>
  <c r="G864" i="2"/>
  <c r="H864" i="2"/>
  <c r="B865" i="2"/>
  <c r="C865" i="2"/>
  <c r="D865" i="2"/>
  <c r="E865" i="2"/>
  <c r="F865" i="2"/>
  <c r="G865" i="2"/>
  <c r="H865" i="2"/>
  <c r="B866" i="2"/>
  <c r="C866" i="2"/>
  <c r="D866" i="2"/>
  <c r="E866" i="2"/>
  <c r="F866" i="2"/>
  <c r="G866" i="2"/>
  <c r="H866" i="2"/>
  <c r="B867" i="2"/>
  <c r="C867" i="2"/>
  <c r="D867" i="2"/>
  <c r="E867" i="2"/>
  <c r="F867" i="2"/>
  <c r="G867" i="2"/>
  <c r="H867" i="2"/>
  <c r="B868" i="2"/>
  <c r="C868" i="2"/>
  <c r="D868" i="2"/>
  <c r="E868" i="2"/>
  <c r="F868" i="2"/>
  <c r="G868" i="2"/>
  <c r="H868" i="2"/>
  <c r="I868" i="2" s="1"/>
  <c r="B869" i="2"/>
  <c r="C869" i="2"/>
  <c r="D869" i="2"/>
  <c r="E869" i="2"/>
  <c r="F869" i="2"/>
  <c r="G869" i="2"/>
  <c r="H869" i="2"/>
  <c r="B870" i="2"/>
  <c r="C870" i="2"/>
  <c r="D870" i="2"/>
  <c r="E870" i="2"/>
  <c r="F870" i="2"/>
  <c r="G870" i="2"/>
  <c r="H870" i="2"/>
  <c r="B871" i="2"/>
  <c r="C871" i="2"/>
  <c r="D871" i="2"/>
  <c r="E871" i="2"/>
  <c r="F871" i="2"/>
  <c r="G871" i="2"/>
  <c r="H871" i="2"/>
  <c r="B872" i="2"/>
  <c r="C872" i="2"/>
  <c r="D872" i="2"/>
  <c r="E872" i="2"/>
  <c r="F872" i="2"/>
  <c r="G872" i="2"/>
  <c r="H872" i="2"/>
  <c r="B873" i="2"/>
  <c r="C873" i="2"/>
  <c r="D873" i="2"/>
  <c r="E873" i="2"/>
  <c r="F873" i="2"/>
  <c r="G873" i="2"/>
  <c r="H873" i="2"/>
  <c r="B874" i="2"/>
  <c r="C874" i="2"/>
  <c r="D874" i="2"/>
  <c r="E874" i="2"/>
  <c r="F874" i="2"/>
  <c r="G874" i="2"/>
  <c r="H874" i="2"/>
  <c r="I874" i="2" s="1"/>
  <c r="B875" i="2"/>
  <c r="C875" i="2"/>
  <c r="D875" i="2"/>
  <c r="E875" i="2"/>
  <c r="F875" i="2"/>
  <c r="G875" i="2"/>
  <c r="H875" i="2"/>
  <c r="B876" i="2"/>
  <c r="C876" i="2"/>
  <c r="D876" i="2"/>
  <c r="E876" i="2"/>
  <c r="F876" i="2"/>
  <c r="G876" i="2"/>
  <c r="H876" i="2"/>
  <c r="B877" i="2"/>
  <c r="C877" i="2"/>
  <c r="D877" i="2"/>
  <c r="E877" i="2"/>
  <c r="F877" i="2"/>
  <c r="G877" i="2"/>
  <c r="H877" i="2"/>
  <c r="B878" i="2"/>
  <c r="C878" i="2"/>
  <c r="D878" i="2"/>
  <c r="E878" i="2"/>
  <c r="F878" i="2"/>
  <c r="G878" i="2"/>
  <c r="H878" i="2"/>
  <c r="B879" i="2"/>
  <c r="C879" i="2"/>
  <c r="D879" i="2"/>
  <c r="E879" i="2"/>
  <c r="F879" i="2"/>
  <c r="G879" i="2"/>
  <c r="H879" i="2"/>
  <c r="B880" i="2"/>
  <c r="C880" i="2"/>
  <c r="D880" i="2"/>
  <c r="E880" i="2"/>
  <c r="F880" i="2"/>
  <c r="G880" i="2"/>
  <c r="H880" i="2"/>
  <c r="I880" i="2" s="1"/>
  <c r="B881" i="2"/>
  <c r="C881" i="2"/>
  <c r="D881" i="2"/>
  <c r="E881" i="2"/>
  <c r="F881" i="2"/>
  <c r="G881" i="2"/>
  <c r="H881" i="2"/>
  <c r="B882" i="2"/>
  <c r="C882" i="2"/>
  <c r="D882" i="2"/>
  <c r="E882" i="2"/>
  <c r="F882" i="2"/>
  <c r="G882" i="2"/>
  <c r="H882" i="2"/>
  <c r="B883" i="2"/>
  <c r="C883" i="2"/>
  <c r="D883" i="2"/>
  <c r="E883" i="2"/>
  <c r="F883" i="2"/>
  <c r="G883" i="2"/>
  <c r="H883" i="2"/>
  <c r="B884" i="2"/>
  <c r="C884" i="2"/>
  <c r="D884" i="2"/>
  <c r="E884" i="2"/>
  <c r="F884" i="2"/>
  <c r="G884" i="2"/>
  <c r="H884" i="2"/>
  <c r="B885" i="2"/>
  <c r="C885" i="2"/>
  <c r="D885" i="2"/>
  <c r="E885" i="2"/>
  <c r="F885" i="2"/>
  <c r="G885" i="2"/>
  <c r="H885" i="2"/>
  <c r="B886" i="2"/>
  <c r="C886" i="2"/>
  <c r="D886" i="2"/>
  <c r="E886" i="2"/>
  <c r="F886" i="2"/>
  <c r="G886" i="2"/>
  <c r="H886" i="2"/>
  <c r="I886" i="2" s="1"/>
  <c r="B887" i="2"/>
  <c r="C887" i="2"/>
  <c r="D887" i="2"/>
  <c r="E887" i="2"/>
  <c r="F887" i="2"/>
  <c r="G887" i="2"/>
  <c r="H887" i="2"/>
  <c r="B888" i="2"/>
  <c r="C888" i="2"/>
  <c r="D888" i="2"/>
  <c r="E888" i="2"/>
  <c r="F888" i="2"/>
  <c r="G888" i="2"/>
  <c r="H888" i="2"/>
  <c r="B889" i="2"/>
  <c r="C889" i="2"/>
  <c r="D889" i="2"/>
  <c r="E889" i="2"/>
  <c r="F889" i="2"/>
  <c r="G889" i="2"/>
  <c r="H889" i="2"/>
  <c r="B890" i="2"/>
  <c r="C890" i="2"/>
  <c r="D890" i="2"/>
  <c r="E890" i="2"/>
  <c r="F890" i="2"/>
  <c r="G890" i="2"/>
  <c r="H890" i="2"/>
  <c r="B891" i="2"/>
  <c r="C891" i="2"/>
  <c r="D891" i="2"/>
  <c r="E891" i="2"/>
  <c r="F891" i="2"/>
  <c r="G891" i="2"/>
  <c r="H891" i="2"/>
  <c r="B892" i="2"/>
  <c r="C892" i="2"/>
  <c r="D892" i="2"/>
  <c r="E892" i="2"/>
  <c r="F892" i="2"/>
  <c r="G892" i="2"/>
  <c r="H892" i="2"/>
  <c r="I892" i="2" s="1"/>
  <c r="B893" i="2"/>
  <c r="C893" i="2"/>
  <c r="D893" i="2"/>
  <c r="E893" i="2"/>
  <c r="F893" i="2"/>
  <c r="G893" i="2"/>
  <c r="H893" i="2"/>
  <c r="B894" i="2"/>
  <c r="C894" i="2"/>
  <c r="D894" i="2"/>
  <c r="E894" i="2"/>
  <c r="F894" i="2"/>
  <c r="G894" i="2"/>
  <c r="H894" i="2"/>
  <c r="B895" i="2"/>
  <c r="C895" i="2"/>
  <c r="D895" i="2"/>
  <c r="E895" i="2"/>
  <c r="F895" i="2"/>
  <c r="G895" i="2"/>
  <c r="H895" i="2"/>
  <c r="B896" i="2"/>
  <c r="C896" i="2"/>
  <c r="D896" i="2"/>
  <c r="E896" i="2"/>
  <c r="F896" i="2"/>
  <c r="G896" i="2"/>
  <c r="H896" i="2"/>
  <c r="B897" i="2"/>
  <c r="C897" i="2"/>
  <c r="D897" i="2"/>
  <c r="E897" i="2"/>
  <c r="F897" i="2"/>
  <c r="G897" i="2"/>
  <c r="H897" i="2"/>
  <c r="I897" i="2" s="1"/>
  <c r="B898" i="2"/>
  <c r="C898" i="2"/>
  <c r="D898" i="2"/>
  <c r="E898" i="2"/>
  <c r="F898" i="2"/>
  <c r="G898" i="2"/>
  <c r="H898" i="2"/>
  <c r="I898" i="2" s="1"/>
  <c r="B899" i="2"/>
  <c r="C899" i="2"/>
  <c r="D899" i="2"/>
  <c r="E899" i="2"/>
  <c r="F899" i="2"/>
  <c r="G899" i="2"/>
  <c r="H899" i="2"/>
  <c r="B900" i="2"/>
  <c r="C900" i="2"/>
  <c r="D900" i="2"/>
  <c r="E900" i="2"/>
  <c r="F900" i="2"/>
  <c r="G900" i="2"/>
  <c r="H900" i="2"/>
  <c r="B901" i="2"/>
  <c r="C901" i="2"/>
  <c r="D901" i="2"/>
  <c r="E901" i="2"/>
  <c r="F901" i="2"/>
  <c r="G901" i="2"/>
  <c r="H901" i="2"/>
  <c r="B902" i="2"/>
  <c r="C902" i="2"/>
  <c r="D902" i="2"/>
  <c r="E902" i="2"/>
  <c r="F902" i="2"/>
  <c r="G902" i="2"/>
  <c r="H902" i="2"/>
  <c r="B903" i="2"/>
  <c r="C903" i="2"/>
  <c r="D903" i="2"/>
  <c r="E903" i="2"/>
  <c r="F903" i="2"/>
  <c r="G903" i="2"/>
  <c r="H903" i="2"/>
  <c r="I903" i="2" s="1"/>
  <c r="B904" i="2"/>
  <c r="C904" i="2"/>
  <c r="D904" i="2"/>
  <c r="E904" i="2"/>
  <c r="F904" i="2"/>
  <c r="G904" i="2"/>
  <c r="H904" i="2"/>
  <c r="I904" i="2" s="1"/>
  <c r="B905" i="2"/>
  <c r="C905" i="2"/>
  <c r="D905" i="2"/>
  <c r="E905" i="2"/>
  <c r="F905" i="2"/>
  <c r="G905" i="2"/>
  <c r="H905" i="2"/>
  <c r="B906" i="2"/>
  <c r="C906" i="2"/>
  <c r="D906" i="2"/>
  <c r="E906" i="2"/>
  <c r="F906" i="2"/>
  <c r="G906" i="2"/>
  <c r="H906" i="2"/>
  <c r="B907" i="2"/>
  <c r="C907" i="2"/>
  <c r="D907" i="2"/>
  <c r="E907" i="2"/>
  <c r="F907" i="2"/>
  <c r="G907" i="2"/>
  <c r="H907" i="2"/>
  <c r="B908" i="2"/>
  <c r="C908" i="2"/>
  <c r="D908" i="2"/>
  <c r="E908" i="2"/>
  <c r="F908" i="2"/>
  <c r="G908" i="2"/>
  <c r="H908" i="2"/>
  <c r="B909" i="2"/>
  <c r="C909" i="2"/>
  <c r="D909" i="2"/>
  <c r="E909" i="2"/>
  <c r="F909" i="2"/>
  <c r="G909" i="2"/>
  <c r="H909" i="2"/>
  <c r="I909" i="2" s="1"/>
  <c r="B910" i="2"/>
  <c r="C910" i="2"/>
  <c r="D910" i="2"/>
  <c r="E910" i="2"/>
  <c r="F910" i="2"/>
  <c r="G910" i="2"/>
  <c r="H910" i="2"/>
  <c r="I910" i="2" s="1"/>
  <c r="B911" i="2"/>
  <c r="C911" i="2"/>
  <c r="D911" i="2"/>
  <c r="E911" i="2"/>
  <c r="F911" i="2"/>
  <c r="G911" i="2"/>
  <c r="H911" i="2"/>
  <c r="K911" i="2" s="1"/>
  <c r="B912" i="2"/>
  <c r="C912" i="2"/>
  <c r="D912" i="2"/>
  <c r="E912" i="2"/>
  <c r="F912" i="2"/>
  <c r="G912" i="2"/>
  <c r="H912" i="2"/>
  <c r="B913" i="2"/>
  <c r="C913" i="2"/>
  <c r="D913" i="2"/>
  <c r="E913" i="2"/>
  <c r="F913" i="2"/>
  <c r="G913" i="2"/>
  <c r="H913" i="2"/>
  <c r="B914" i="2"/>
  <c r="C914" i="2"/>
  <c r="D914" i="2"/>
  <c r="E914" i="2"/>
  <c r="F914" i="2"/>
  <c r="G914" i="2"/>
  <c r="H914" i="2"/>
  <c r="B915" i="2"/>
  <c r="C915" i="2"/>
  <c r="D915" i="2"/>
  <c r="E915" i="2"/>
  <c r="F915" i="2"/>
  <c r="G915" i="2"/>
  <c r="H915" i="2"/>
  <c r="I915" i="2" s="1"/>
  <c r="B916" i="2"/>
  <c r="C916" i="2"/>
  <c r="D916" i="2"/>
  <c r="E916" i="2"/>
  <c r="F916" i="2"/>
  <c r="G916" i="2"/>
  <c r="H916" i="2"/>
  <c r="I916" i="2" s="1"/>
  <c r="B917" i="2"/>
  <c r="C917" i="2"/>
  <c r="D917" i="2"/>
  <c r="E917" i="2"/>
  <c r="F917" i="2"/>
  <c r="G917" i="2"/>
  <c r="H917" i="2"/>
  <c r="K917" i="2" s="1"/>
  <c r="B918" i="2"/>
  <c r="C918" i="2"/>
  <c r="D918" i="2"/>
  <c r="E918" i="2"/>
  <c r="F918" i="2"/>
  <c r="G918" i="2"/>
  <c r="H918" i="2"/>
  <c r="B919" i="2"/>
  <c r="C919" i="2"/>
  <c r="D919" i="2"/>
  <c r="E919" i="2"/>
  <c r="F919" i="2"/>
  <c r="G919" i="2"/>
  <c r="H919" i="2"/>
  <c r="B920" i="2"/>
  <c r="C920" i="2"/>
  <c r="D920" i="2"/>
  <c r="E920" i="2"/>
  <c r="F920" i="2"/>
  <c r="G920" i="2"/>
  <c r="H920" i="2"/>
  <c r="B921" i="2"/>
  <c r="C921" i="2"/>
  <c r="D921" i="2"/>
  <c r="E921" i="2"/>
  <c r="F921" i="2"/>
  <c r="G921" i="2"/>
  <c r="H921" i="2"/>
  <c r="I921" i="2" s="1"/>
  <c r="B922" i="2"/>
  <c r="C922" i="2"/>
  <c r="D922" i="2"/>
  <c r="E922" i="2"/>
  <c r="F922" i="2"/>
  <c r="G922" i="2"/>
  <c r="H922" i="2"/>
  <c r="I922" i="2" s="1"/>
  <c r="B923" i="2"/>
  <c r="C923" i="2"/>
  <c r="D923" i="2"/>
  <c r="E923" i="2"/>
  <c r="F923" i="2"/>
  <c r="G923" i="2"/>
  <c r="H923" i="2"/>
  <c r="K923" i="2" s="1"/>
  <c r="B924" i="2"/>
  <c r="C924" i="2"/>
  <c r="D924" i="2"/>
  <c r="E924" i="2"/>
  <c r="F924" i="2"/>
  <c r="G924" i="2"/>
  <c r="H924" i="2"/>
  <c r="B925" i="2"/>
  <c r="C925" i="2"/>
  <c r="D925" i="2"/>
  <c r="E925" i="2"/>
  <c r="F925" i="2"/>
  <c r="G925" i="2"/>
  <c r="H925" i="2"/>
  <c r="B926" i="2"/>
  <c r="C926" i="2"/>
  <c r="D926" i="2"/>
  <c r="E926" i="2"/>
  <c r="F926" i="2"/>
  <c r="G926" i="2"/>
  <c r="H926" i="2"/>
  <c r="B927" i="2"/>
  <c r="C927" i="2"/>
  <c r="D927" i="2"/>
  <c r="E927" i="2"/>
  <c r="F927" i="2"/>
  <c r="G927" i="2"/>
  <c r="H927" i="2"/>
  <c r="I927" i="2" s="1"/>
  <c r="B928" i="2"/>
  <c r="C928" i="2"/>
  <c r="D928" i="2"/>
  <c r="E928" i="2"/>
  <c r="F928" i="2"/>
  <c r="G928" i="2"/>
  <c r="H928" i="2"/>
  <c r="I928" i="2" s="1"/>
  <c r="B929" i="2"/>
  <c r="C929" i="2"/>
  <c r="D929" i="2"/>
  <c r="E929" i="2"/>
  <c r="F929" i="2"/>
  <c r="G929" i="2"/>
  <c r="H929" i="2"/>
  <c r="K929" i="2" s="1"/>
  <c r="B930" i="2"/>
  <c r="C930" i="2"/>
  <c r="D930" i="2"/>
  <c r="E930" i="2"/>
  <c r="F930" i="2"/>
  <c r="G930" i="2"/>
  <c r="H930" i="2"/>
  <c r="B931" i="2"/>
  <c r="C931" i="2"/>
  <c r="D931" i="2"/>
  <c r="E931" i="2"/>
  <c r="F931" i="2"/>
  <c r="G931" i="2"/>
  <c r="H931" i="2"/>
  <c r="B932" i="2"/>
  <c r="C932" i="2"/>
  <c r="D932" i="2"/>
  <c r="E932" i="2"/>
  <c r="F932" i="2"/>
  <c r="G932" i="2"/>
  <c r="H932" i="2"/>
  <c r="B933" i="2"/>
  <c r="C933" i="2"/>
  <c r="D933" i="2"/>
  <c r="E933" i="2"/>
  <c r="F933" i="2"/>
  <c r="G933" i="2"/>
  <c r="H933" i="2"/>
  <c r="I933" i="2" s="1"/>
  <c r="B934" i="2"/>
  <c r="C934" i="2"/>
  <c r="D934" i="2"/>
  <c r="E934" i="2"/>
  <c r="F934" i="2"/>
  <c r="G934" i="2"/>
  <c r="H934" i="2"/>
  <c r="I934" i="2" s="1"/>
  <c r="B935" i="2"/>
  <c r="C935" i="2"/>
  <c r="D935" i="2"/>
  <c r="E935" i="2"/>
  <c r="F935" i="2"/>
  <c r="G935" i="2"/>
  <c r="H935" i="2"/>
  <c r="K935" i="2" s="1"/>
  <c r="B936" i="2"/>
  <c r="C936" i="2"/>
  <c r="D936" i="2"/>
  <c r="E936" i="2"/>
  <c r="F936" i="2"/>
  <c r="G936" i="2"/>
  <c r="H936" i="2"/>
  <c r="B937" i="2"/>
  <c r="C937" i="2"/>
  <c r="D937" i="2"/>
  <c r="E937" i="2"/>
  <c r="F937" i="2"/>
  <c r="G937" i="2"/>
  <c r="H937" i="2"/>
  <c r="B938" i="2"/>
  <c r="C938" i="2"/>
  <c r="D938" i="2"/>
  <c r="E938" i="2"/>
  <c r="F938" i="2"/>
  <c r="G938" i="2"/>
  <c r="H938" i="2"/>
  <c r="B939" i="2"/>
  <c r="C939" i="2"/>
  <c r="D939" i="2"/>
  <c r="E939" i="2"/>
  <c r="F939" i="2"/>
  <c r="G939" i="2"/>
  <c r="H939" i="2"/>
  <c r="I939" i="2" s="1"/>
  <c r="B940" i="2"/>
  <c r="C940" i="2"/>
  <c r="D940" i="2"/>
  <c r="E940" i="2"/>
  <c r="F940" i="2"/>
  <c r="G940" i="2"/>
  <c r="H940" i="2"/>
  <c r="I940" i="2" s="1"/>
  <c r="B941" i="2"/>
  <c r="C941" i="2"/>
  <c r="D941" i="2"/>
  <c r="E941" i="2"/>
  <c r="F941" i="2"/>
  <c r="G941" i="2"/>
  <c r="H941" i="2"/>
  <c r="K941" i="2" s="1"/>
  <c r="B942" i="2"/>
  <c r="C942" i="2"/>
  <c r="D942" i="2"/>
  <c r="E942" i="2"/>
  <c r="F942" i="2"/>
  <c r="G942" i="2"/>
  <c r="H942" i="2"/>
  <c r="B943" i="2"/>
  <c r="C943" i="2"/>
  <c r="D943" i="2"/>
  <c r="E943" i="2"/>
  <c r="F943" i="2"/>
  <c r="G943" i="2"/>
  <c r="H943" i="2"/>
  <c r="B944" i="2"/>
  <c r="C944" i="2"/>
  <c r="D944" i="2"/>
  <c r="E944" i="2"/>
  <c r="F944" i="2"/>
  <c r="G944" i="2"/>
  <c r="H944" i="2"/>
  <c r="B945" i="2"/>
  <c r="C945" i="2"/>
  <c r="D945" i="2"/>
  <c r="E945" i="2"/>
  <c r="F945" i="2"/>
  <c r="G945" i="2"/>
  <c r="H945" i="2"/>
  <c r="I945" i="2" s="1"/>
  <c r="B946" i="2"/>
  <c r="C946" i="2"/>
  <c r="D946" i="2"/>
  <c r="E946" i="2"/>
  <c r="F946" i="2"/>
  <c r="G946" i="2"/>
  <c r="H946" i="2"/>
  <c r="I946" i="2" s="1"/>
  <c r="B947" i="2"/>
  <c r="C947" i="2"/>
  <c r="D947" i="2"/>
  <c r="E947" i="2"/>
  <c r="F947" i="2"/>
  <c r="G947" i="2"/>
  <c r="H947" i="2"/>
  <c r="K947" i="2" s="1"/>
  <c r="B948" i="2"/>
  <c r="C948" i="2"/>
  <c r="D948" i="2"/>
  <c r="E948" i="2"/>
  <c r="F948" i="2"/>
  <c r="G948" i="2"/>
  <c r="H948" i="2"/>
  <c r="B949" i="2"/>
  <c r="C949" i="2"/>
  <c r="D949" i="2"/>
  <c r="E949" i="2"/>
  <c r="F949" i="2"/>
  <c r="G949" i="2"/>
  <c r="H949" i="2"/>
  <c r="B950" i="2"/>
  <c r="C950" i="2"/>
  <c r="D950" i="2"/>
  <c r="E950" i="2"/>
  <c r="F950" i="2"/>
  <c r="G950" i="2"/>
  <c r="H950" i="2"/>
  <c r="B951" i="2"/>
  <c r="C951" i="2"/>
  <c r="D951" i="2"/>
  <c r="E951" i="2"/>
  <c r="F951" i="2"/>
  <c r="G951" i="2"/>
  <c r="H951" i="2"/>
  <c r="I951" i="2" s="1"/>
  <c r="B952" i="2"/>
  <c r="C952" i="2"/>
  <c r="D952" i="2"/>
  <c r="E952" i="2"/>
  <c r="F952" i="2"/>
  <c r="G952" i="2"/>
  <c r="H952" i="2"/>
  <c r="I952" i="2" s="1"/>
  <c r="B953" i="2"/>
  <c r="C953" i="2"/>
  <c r="D953" i="2"/>
  <c r="E953" i="2"/>
  <c r="F953" i="2"/>
  <c r="G953" i="2"/>
  <c r="H953" i="2"/>
  <c r="B954" i="2"/>
  <c r="C954" i="2"/>
  <c r="D954" i="2"/>
  <c r="E954" i="2"/>
  <c r="F954" i="2"/>
  <c r="G954" i="2"/>
  <c r="H954" i="2"/>
  <c r="B955" i="2"/>
  <c r="C955" i="2"/>
  <c r="D955" i="2"/>
  <c r="E955" i="2"/>
  <c r="F955" i="2"/>
  <c r="G955" i="2"/>
  <c r="H955" i="2"/>
  <c r="B956" i="2"/>
  <c r="C956" i="2"/>
  <c r="D956" i="2"/>
  <c r="E956" i="2"/>
  <c r="F956" i="2"/>
  <c r="G956" i="2"/>
  <c r="H956" i="2"/>
  <c r="B957" i="2"/>
  <c r="C957" i="2"/>
  <c r="D957" i="2"/>
  <c r="E957" i="2"/>
  <c r="F957" i="2"/>
  <c r="G957" i="2"/>
  <c r="H957" i="2"/>
  <c r="I957" i="2" s="1"/>
  <c r="B958" i="2"/>
  <c r="C958" i="2"/>
  <c r="D958" i="2"/>
  <c r="E958" i="2"/>
  <c r="F958" i="2"/>
  <c r="G958" i="2"/>
  <c r="H958" i="2"/>
  <c r="I958" i="2" s="1"/>
  <c r="B959" i="2"/>
  <c r="C959" i="2"/>
  <c r="D959" i="2"/>
  <c r="E959" i="2"/>
  <c r="F959" i="2"/>
  <c r="G959" i="2"/>
  <c r="H959" i="2"/>
  <c r="B960" i="2"/>
  <c r="C960" i="2"/>
  <c r="D960" i="2"/>
  <c r="E960" i="2"/>
  <c r="F960" i="2"/>
  <c r="G960" i="2"/>
  <c r="H960" i="2"/>
  <c r="B961" i="2"/>
  <c r="C961" i="2"/>
  <c r="D961" i="2"/>
  <c r="E961" i="2"/>
  <c r="F961" i="2"/>
  <c r="G961" i="2"/>
  <c r="H961" i="2"/>
  <c r="B962" i="2"/>
  <c r="C962" i="2"/>
  <c r="D962" i="2"/>
  <c r="E962" i="2"/>
  <c r="F962" i="2"/>
  <c r="G962" i="2"/>
  <c r="H962" i="2"/>
  <c r="B963" i="2"/>
  <c r="C963" i="2"/>
  <c r="D963" i="2"/>
  <c r="E963" i="2"/>
  <c r="F963" i="2"/>
  <c r="G963" i="2"/>
  <c r="H963" i="2"/>
  <c r="I963" i="2" s="1"/>
  <c r="B964" i="2"/>
  <c r="C964" i="2"/>
  <c r="D964" i="2"/>
  <c r="E964" i="2"/>
  <c r="F964" i="2"/>
  <c r="G964" i="2"/>
  <c r="H964" i="2"/>
  <c r="I964" i="2" s="1"/>
  <c r="B965" i="2"/>
  <c r="C965" i="2"/>
  <c r="D965" i="2"/>
  <c r="E965" i="2"/>
  <c r="F965" i="2"/>
  <c r="G965" i="2"/>
  <c r="H965" i="2"/>
  <c r="B966" i="2"/>
  <c r="C966" i="2"/>
  <c r="D966" i="2"/>
  <c r="E966" i="2"/>
  <c r="F966" i="2"/>
  <c r="G966" i="2"/>
  <c r="H966" i="2"/>
  <c r="B967" i="2"/>
  <c r="C967" i="2"/>
  <c r="D967" i="2"/>
  <c r="E967" i="2"/>
  <c r="F967" i="2"/>
  <c r="G967" i="2"/>
  <c r="H967" i="2"/>
  <c r="B968" i="2"/>
  <c r="C968" i="2"/>
  <c r="D968" i="2"/>
  <c r="E968" i="2"/>
  <c r="F968" i="2"/>
  <c r="G968" i="2"/>
  <c r="H968" i="2"/>
  <c r="B969" i="2"/>
  <c r="C969" i="2"/>
  <c r="D969" i="2"/>
  <c r="E969" i="2"/>
  <c r="F969" i="2"/>
  <c r="G969" i="2"/>
  <c r="H969" i="2"/>
  <c r="I969" i="2" s="1"/>
  <c r="B970" i="2"/>
  <c r="C970" i="2"/>
  <c r="D970" i="2"/>
  <c r="E970" i="2"/>
  <c r="F970" i="2"/>
  <c r="G970" i="2"/>
  <c r="H970" i="2"/>
  <c r="I970" i="2" s="1"/>
  <c r="B971" i="2"/>
  <c r="C971" i="2"/>
  <c r="D971" i="2"/>
  <c r="E971" i="2"/>
  <c r="F971" i="2"/>
  <c r="G971" i="2"/>
  <c r="H971" i="2"/>
  <c r="B972" i="2"/>
  <c r="C972" i="2"/>
  <c r="D972" i="2"/>
  <c r="E972" i="2"/>
  <c r="F972" i="2"/>
  <c r="G972" i="2"/>
  <c r="H972" i="2"/>
  <c r="B973" i="2"/>
  <c r="C973" i="2"/>
  <c r="D973" i="2"/>
  <c r="E973" i="2"/>
  <c r="F973" i="2"/>
  <c r="G973" i="2"/>
  <c r="H973" i="2"/>
  <c r="B974" i="2"/>
  <c r="C974" i="2"/>
  <c r="D974" i="2"/>
  <c r="E974" i="2"/>
  <c r="F974" i="2"/>
  <c r="G974" i="2"/>
  <c r="H974" i="2"/>
  <c r="B975" i="2"/>
  <c r="C975" i="2"/>
  <c r="D975" i="2"/>
  <c r="E975" i="2"/>
  <c r="F975" i="2"/>
  <c r="G975" i="2"/>
  <c r="H975" i="2"/>
  <c r="I975" i="2" s="1"/>
  <c r="B976" i="2"/>
  <c r="C976" i="2"/>
  <c r="D976" i="2"/>
  <c r="E976" i="2"/>
  <c r="F976" i="2"/>
  <c r="G976" i="2"/>
  <c r="H976" i="2"/>
  <c r="I976" i="2" s="1"/>
  <c r="B977" i="2"/>
  <c r="C977" i="2"/>
  <c r="D977" i="2"/>
  <c r="E977" i="2"/>
  <c r="F977" i="2"/>
  <c r="G977" i="2"/>
  <c r="H977" i="2"/>
  <c r="B978" i="2"/>
  <c r="C978" i="2"/>
  <c r="D978" i="2"/>
  <c r="E978" i="2"/>
  <c r="F978" i="2"/>
  <c r="G978" i="2"/>
  <c r="H978" i="2"/>
  <c r="B979" i="2"/>
  <c r="C979" i="2"/>
  <c r="D979" i="2"/>
  <c r="E979" i="2"/>
  <c r="F979" i="2"/>
  <c r="G979" i="2"/>
  <c r="H979" i="2"/>
  <c r="B980" i="2"/>
  <c r="C980" i="2"/>
  <c r="D980" i="2"/>
  <c r="E980" i="2"/>
  <c r="F980" i="2"/>
  <c r="G980" i="2"/>
  <c r="H980" i="2"/>
  <c r="B981" i="2"/>
  <c r="C981" i="2"/>
  <c r="D981" i="2"/>
  <c r="E981" i="2"/>
  <c r="F981" i="2"/>
  <c r="G981" i="2"/>
  <c r="H981" i="2"/>
  <c r="I981" i="2" s="1"/>
  <c r="B982" i="2"/>
  <c r="C982" i="2"/>
  <c r="D982" i="2"/>
  <c r="E982" i="2"/>
  <c r="F982" i="2"/>
  <c r="G982" i="2"/>
  <c r="H982" i="2"/>
  <c r="I982" i="2" s="1"/>
  <c r="B983" i="2"/>
  <c r="C983" i="2"/>
  <c r="D983" i="2"/>
  <c r="E983" i="2"/>
  <c r="F983" i="2"/>
  <c r="G983" i="2"/>
  <c r="H983" i="2"/>
  <c r="B984" i="2"/>
  <c r="C984" i="2"/>
  <c r="D984" i="2"/>
  <c r="E984" i="2"/>
  <c r="F984" i="2"/>
  <c r="G984" i="2"/>
  <c r="H984" i="2"/>
  <c r="B985" i="2"/>
  <c r="C985" i="2"/>
  <c r="D985" i="2"/>
  <c r="E985" i="2"/>
  <c r="F985" i="2"/>
  <c r="G985" i="2"/>
  <c r="H985" i="2"/>
  <c r="B986" i="2"/>
  <c r="C986" i="2"/>
  <c r="D986" i="2"/>
  <c r="E986" i="2"/>
  <c r="F986" i="2"/>
  <c r="G986" i="2"/>
  <c r="H986" i="2"/>
  <c r="B987" i="2"/>
  <c r="C987" i="2"/>
  <c r="D987" i="2"/>
  <c r="E987" i="2"/>
  <c r="F987" i="2"/>
  <c r="G987" i="2"/>
  <c r="H987" i="2"/>
  <c r="I987" i="2" s="1"/>
  <c r="B988" i="2"/>
  <c r="C988" i="2"/>
  <c r="D988" i="2"/>
  <c r="E988" i="2"/>
  <c r="F988" i="2"/>
  <c r="G988" i="2"/>
  <c r="H988" i="2"/>
  <c r="I988" i="2" s="1"/>
  <c r="B989" i="2"/>
  <c r="C989" i="2"/>
  <c r="D989" i="2"/>
  <c r="E989" i="2"/>
  <c r="F989" i="2"/>
  <c r="G989" i="2"/>
  <c r="H989" i="2"/>
  <c r="B990" i="2"/>
  <c r="C990" i="2"/>
  <c r="D990" i="2"/>
  <c r="E990" i="2"/>
  <c r="F990" i="2"/>
  <c r="G990" i="2"/>
  <c r="H990" i="2"/>
  <c r="B991" i="2"/>
  <c r="C991" i="2"/>
  <c r="D991" i="2"/>
  <c r="E991" i="2"/>
  <c r="F991" i="2"/>
  <c r="G991" i="2"/>
  <c r="H991" i="2"/>
  <c r="B992" i="2"/>
  <c r="C992" i="2"/>
  <c r="D992" i="2"/>
  <c r="E992" i="2"/>
  <c r="F992" i="2"/>
  <c r="G992" i="2"/>
  <c r="H992" i="2"/>
  <c r="B993" i="2"/>
  <c r="C993" i="2"/>
  <c r="D993" i="2"/>
  <c r="E993" i="2"/>
  <c r="F993" i="2"/>
  <c r="G993" i="2"/>
  <c r="H993" i="2"/>
  <c r="I993" i="2" s="1"/>
  <c r="B994" i="2"/>
  <c r="C994" i="2"/>
  <c r="D994" i="2"/>
  <c r="E994" i="2"/>
  <c r="F994" i="2"/>
  <c r="G994" i="2"/>
  <c r="H994" i="2"/>
  <c r="I994" i="2" s="1"/>
  <c r="B995" i="2"/>
  <c r="C995" i="2"/>
  <c r="D995" i="2"/>
  <c r="E995" i="2"/>
  <c r="F995" i="2"/>
  <c r="G995" i="2"/>
  <c r="H995" i="2"/>
  <c r="B996" i="2"/>
  <c r="C996" i="2"/>
  <c r="D996" i="2"/>
  <c r="E996" i="2"/>
  <c r="F996" i="2"/>
  <c r="G996" i="2"/>
  <c r="H996" i="2"/>
  <c r="B997" i="2"/>
  <c r="C997" i="2"/>
  <c r="D997" i="2"/>
  <c r="E997" i="2"/>
  <c r="F997" i="2"/>
  <c r="G997" i="2"/>
  <c r="H997" i="2"/>
  <c r="B998" i="2"/>
  <c r="C998" i="2"/>
  <c r="D998" i="2"/>
  <c r="E998" i="2"/>
  <c r="F998" i="2"/>
  <c r="G998" i="2"/>
  <c r="H998" i="2"/>
  <c r="B999" i="2"/>
  <c r="C999" i="2"/>
  <c r="D999" i="2"/>
  <c r="E999" i="2"/>
  <c r="F999" i="2"/>
  <c r="G999" i="2"/>
  <c r="H999" i="2"/>
  <c r="I999" i="2" s="1"/>
  <c r="B1000" i="2"/>
  <c r="C1000" i="2"/>
  <c r="D1000" i="2"/>
  <c r="E1000" i="2"/>
  <c r="F1000" i="2"/>
  <c r="G1000" i="2"/>
  <c r="H1000" i="2"/>
  <c r="I1000" i="2" s="1"/>
  <c r="B1001" i="2"/>
  <c r="C1001" i="2"/>
  <c r="D1001" i="2"/>
  <c r="E1001" i="2"/>
  <c r="F1001" i="2"/>
  <c r="G1001" i="2"/>
  <c r="H1001" i="2"/>
  <c r="B1002" i="2"/>
  <c r="C1002" i="2"/>
  <c r="D1002" i="2"/>
  <c r="E1002" i="2"/>
  <c r="F1002" i="2"/>
  <c r="G1002" i="2"/>
  <c r="H1002" i="2"/>
  <c r="I729" i="2"/>
  <c r="K729" i="2"/>
  <c r="I711" i="2"/>
  <c r="K711" i="2"/>
  <c r="I704" i="2"/>
  <c r="K704" i="2"/>
  <c r="I700" i="2"/>
  <c r="K700" i="2"/>
  <c r="I686" i="2"/>
  <c r="K686" i="2"/>
  <c r="K628" i="2"/>
  <c r="I628" i="2"/>
  <c r="I405" i="2"/>
  <c r="K405" i="2"/>
  <c r="K214" i="2"/>
  <c r="I214" i="2"/>
  <c r="K189" i="2"/>
  <c r="I189" i="2"/>
  <c r="I179" i="2"/>
  <c r="K179" i="2"/>
  <c r="I176" i="2"/>
  <c r="K176" i="2"/>
  <c r="I150" i="2"/>
  <c r="K150" i="2"/>
  <c r="I124" i="2"/>
  <c r="K124" i="2"/>
  <c r="K121" i="2"/>
  <c r="I121" i="2"/>
  <c r="K111" i="2"/>
  <c r="I111" i="2"/>
  <c r="K85" i="2"/>
  <c r="I85" i="2"/>
  <c r="I68" i="2"/>
  <c r="K68" i="2"/>
  <c r="I16" i="2"/>
  <c r="K16" i="2"/>
  <c r="I947" i="2"/>
  <c r="I941" i="2"/>
  <c r="I935" i="2"/>
  <c r="I929" i="2"/>
  <c r="I923" i="2"/>
  <c r="I917" i="2"/>
  <c r="I911" i="2"/>
  <c r="K813" i="2"/>
  <c r="K777" i="2"/>
  <c r="K746" i="2"/>
  <c r="K734" i="2"/>
  <c r="I672" i="2"/>
  <c r="K672" i="2"/>
  <c r="K654" i="2"/>
  <c r="I639" i="2"/>
  <c r="K639" i="2"/>
  <c r="I615" i="2"/>
  <c r="K615" i="2"/>
  <c r="I509" i="2"/>
  <c r="K509" i="2"/>
  <c r="I271" i="2"/>
  <c r="K271" i="2"/>
  <c r="I741" i="2"/>
  <c r="K741" i="2"/>
  <c r="I722" i="2"/>
  <c r="K722" i="2"/>
  <c r="I718" i="2"/>
  <c r="K718" i="2"/>
  <c r="I682" i="2"/>
  <c r="K682" i="2"/>
  <c r="I543" i="2"/>
  <c r="K543" i="2"/>
  <c r="I419" i="2"/>
  <c r="K419" i="2"/>
  <c r="K829" i="2"/>
  <c r="K824" i="2"/>
  <c r="K803" i="2"/>
  <c r="K798" i="2"/>
  <c r="K793" i="2"/>
  <c r="K788" i="2"/>
  <c r="K768" i="2"/>
  <c r="K750" i="2"/>
  <c r="K738" i="2"/>
  <c r="I662" i="2"/>
  <c r="I646" i="2"/>
  <c r="K646" i="2"/>
  <c r="K282" i="2"/>
  <c r="I282" i="2"/>
  <c r="I771" i="2"/>
  <c r="K771" i="2"/>
  <c r="I753" i="2"/>
  <c r="K753" i="2"/>
  <c r="K819" i="2"/>
  <c r="K783" i="2"/>
  <c r="K764" i="2"/>
  <c r="K727" i="2"/>
  <c r="K709" i="2"/>
  <c r="K691" i="2"/>
  <c r="K673" i="2"/>
  <c r="K659" i="2"/>
  <c r="I636" i="2"/>
  <c r="K636" i="2"/>
  <c r="I450" i="2"/>
  <c r="K450" i="2"/>
  <c r="K244" i="2"/>
  <c r="I244" i="2"/>
  <c r="K211" i="2"/>
  <c r="I211" i="2"/>
  <c r="K183" i="2"/>
  <c r="I183" i="2"/>
  <c r="I167" i="2"/>
  <c r="K167" i="2"/>
  <c r="K830" i="2"/>
  <c r="K809" i="2"/>
  <c r="K804" i="2"/>
  <c r="K799" i="2"/>
  <c r="K794" i="2"/>
  <c r="K773" i="2"/>
  <c r="K769" i="2"/>
  <c r="I759" i="2"/>
  <c r="K759" i="2"/>
  <c r="K755" i="2"/>
  <c r="K751" i="2"/>
  <c r="I742" i="2"/>
  <c r="K742" i="2"/>
  <c r="K739" i="2"/>
  <c r="I730" i="2"/>
  <c r="K730" i="2"/>
  <c r="I723" i="2"/>
  <c r="K723" i="2"/>
  <c r="K720" i="2"/>
  <c r="I716" i="2"/>
  <c r="K716" i="2"/>
  <c r="I712" i="2"/>
  <c r="K712" i="2"/>
  <c r="I705" i="2"/>
  <c r="K705" i="2"/>
  <c r="K702" i="2"/>
  <c r="I698" i="2"/>
  <c r="K698" i="2"/>
  <c r="I694" i="2"/>
  <c r="K694" i="2"/>
  <c r="K684" i="2"/>
  <c r="K655" i="2"/>
  <c r="I619" i="2"/>
  <c r="K619" i="2"/>
  <c r="K454" i="2"/>
  <c r="I454" i="2"/>
  <c r="K815" i="2"/>
  <c r="I747" i="2"/>
  <c r="K747" i="2"/>
  <c r="I735" i="2"/>
  <c r="K735" i="2"/>
  <c r="K664" i="2"/>
  <c r="I651" i="2"/>
  <c r="K651" i="2"/>
  <c r="K528" i="2"/>
  <c r="I528" i="2"/>
  <c r="K510" i="2"/>
  <c r="I510" i="2"/>
  <c r="K999" i="2"/>
  <c r="K993" i="2"/>
  <c r="K987" i="2"/>
  <c r="K981" i="2"/>
  <c r="K975" i="2"/>
  <c r="K969" i="2"/>
  <c r="K963" i="2"/>
  <c r="K957" i="2"/>
  <c r="K951" i="2"/>
  <c r="K945" i="2"/>
  <c r="K939" i="2"/>
  <c r="K933" i="2"/>
  <c r="K927" i="2"/>
  <c r="K921" i="2"/>
  <c r="K915" i="2"/>
  <c r="K909" i="2"/>
  <c r="K903" i="2"/>
  <c r="K897" i="2"/>
  <c r="I677" i="2"/>
  <c r="K677" i="2"/>
  <c r="I667" i="2"/>
  <c r="K667" i="2"/>
  <c r="I623" i="2"/>
  <c r="K623" i="2"/>
  <c r="I670" i="2"/>
  <c r="K670" i="2"/>
  <c r="K821" i="2"/>
  <c r="K816" i="2"/>
  <c r="K811" i="2"/>
  <c r="K806" i="2"/>
  <c r="K785" i="2"/>
  <c r="K780" i="2"/>
  <c r="K775" i="2"/>
  <c r="I765" i="2"/>
  <c r="K765" i="2"/>
  <c r="K761" i="2"/>
  <c r="K757" i="2"/>
  <c r="K744" i="2"/>
  <c r="K732" i="2"/>
  <c r="I728" i="2"/>
  <c r="K728" i="2"/>
  <c r="I724" i="2"/>
  <c r="K724" i="2"/>
  <c r="I717" i="2"/>
  <c r="K717" i="2"/>
  <c r="K714" i="2"/>
  <c r="I710" i="2"/>
  <c r="K710" i="2"/>
  <c r="I706" i="2"/>
  <c r="K706" i="2"/>
  <c r="I699" i="2"/>
  <c r="K699" i="2"/>
  <c r="I692" i="2"/>
  <c r="K692" i="2"/>
  <c r="I688" i="2"/>
  <c r="K688" i="2"/>
  <c r="I660" i="2"/>
  <c r="K660" i="2"/>
  <c r="I627" i="2"/>
  <c r="K627" i="2"/>
  <c r="K404" i="2"/>
  <c r="I404" i="2"/>
  <c r="K1000" i="2"/>
  <c r="K994" i="2"/>
  <c r="K988" i="2"/>
  <c r="K982" i="2"/>
  <c r="K976" i="2"/>
  <c r="K970" i="2"/>
  <c r="K964" i="2"/>
  <c r="K958" i="2"/>
  <c r="K952" i="2"/>
  <c r="K946" i="2"/>
  <c r="K940" i="2"/>
  <c r="K934" i="2"/>
  <c r="K928" i="2"/>
  <c r="K922" i="2"/>
  <c r="K916" i="2"/>
  <c r="K910" i="2"/>
  <c r="K904" i="2"/>
  <c r="K898" i="2"/>
  <c r="K892" i="2"/>
  <c r="K886" i="2"/>
  <c r="K880" i="2"/>
  <c r="K874" i="2"/>
  <c r="K868" i="2"/>
  <c r="K862" i="2"/>
  <c r="K856" i="2"/>
  <c r="K850" i="2"/>
  <c r="K844" i="2"/>
  <c r="K838" i="2"/>
  <c r="K832" i="2"/>
  <c r="K801" i="2"/>
  <c r="I641" i="2"/>
  <c r="K641" i="2"/>
  <c r="I748" i="2"/>
  <c r="K748" i="2"/>
  <c r="I736" i="2"/>
  <c r="K736" i="2"/>
  <c r="I678" i="2"/>
  <c r="I668" i="2"/>
  <c r="I529" i="2"/>
  <c r="K529" i="2"/>
  <c r="K408" i="2"/>
  <c r="I408" i="2"/>
  <c r="I796" i="2"/>
  <c r="I766" i="2"/>
  <c r="I725" i="2"/>
  <c r="K715" i="2"/>
  <c r="I707" i="2"/>
  <c r="K697" i="2"/>
  <c r="I689" i="2"/>
  <c r="I675" i="2"/>
  <c r="K675" i="2"/>
  <c r="I665" i="2"/>
  <c r="K665" i="2"/>
  <c r="I657" i="2"/>
  <c r="K318" i="2"/>
  <c r="I318" i="2"/>
  <c r="K207" i="2"/>
  <c r="I207" i="2"/>
  <c r="K193" i="2"/>
  <c r="I193" i="2"/>
  <c r="K163" i="2"/>
  <c r="I163" i="2"/>
  <c r="I160" i="2"/>
  <c r="K160" i="2"/>
  <c r="K157" i="2"/>
  <c r="I157" i="2"/>
  <c r="K147" i="2"/>
  <c r="I147" i="2"/>
  <c r="K533" i="2"/>
  <c r="K491" i="2"/>
  <c r="K479" i="2"/>
  <c r="K467" i="2"/>
  <c r="K455" i="2"/>
  <c r="K409" i="2"/>
  <c r="K390" i="2"/>
  <c r="I390" i="2"/>
  <c r="I341" i="2"/>
  <c r="K341" i="2"/>
  <c r="K315" i="2"/>
  <c r="K283" i="2"/>
  <c r="K649" i="2"/>
  <c r="K625" i="2"/>
  <c r="I537" i="2"/>
  <c r="K537" i="2"/>
  <c r="K372" i="2"/>
  <c r="I372" i="2"/>
  <c r="I257" i="2"/>
  <c r="K257" i="2"/>
  <c r="K630" i="2"/>
  <c r="K621" i="2"/>
  <c r="K617" i="2"/>
  <c r="K613" i="2"/>
  <c r="I323" i="2"/>
  <c r="K323" i="2"/>
  <c r="K300" i="2"/>
  <c r="I300" i="2"/>
  <c r="I534" i="2"/>
  <c r="K523" i="2"/>
  <c r="I496" i="2"/>
  <c r="I484" i="2"/>
  <c r="I472" i="2"/>
  <c r="I460" i="2"/>
  <c r="K414" i="2"/>
  <c r="K373" i="2"/>
  <c r="I350" i="2"/>
  <c r="K297" i="2"/>
  <c r="I262" i="2"/>
  <c r="K241" i="2"/>
  <c r="I241" i="2"/>
  <c r="K693" i="2"/>
  <c r="K687" i="2"/>
  <c r="K681" i="2"/>
  <c r="K676" i="2"/>
  <c r="K671" i="2"/>
  <c r="K666" i="2"/>
  <c r="K645" i="2"/>
  <c r="K640" i="2"/>
  <c r="K635" i="2"/>
  <c r="I538" i="2"/>
  <c r="K527" i="2"/>
  <c r="I429" i="2"/>
  <c r="K429" i="2"/>
  <c r="I395" i="2"/>
  <c r="K395" i="2"/>
  <c r="K354" i="2"/>
  <c r="I354" i="2"/>
  <c r="I508" i="2"/>
  <c r="K418" i="2"/>
  <c r="I418" i="2"/>
  <c r="K270" i="2"/>
  <c r="I270" i="2"/>
  <c r="I622" i="2"/>
  <c r="I618" i="2"/>
  <c r="I614" i="2"/>
  <c r="I610" i="2"/>
  <c r="I606" i="2"/>
  <c r="I602" i="2"/>
  <c r="I598" i="2"/>
  <c r="I594" i="2"/>
  <c r="I590" i="2"/>
  <c r="I586" i="2"/>
  <c r="I582" i="2"/>
  <c r="I578" i="2"/>
  <c r="I574" i="2"/>
  <c r="I570" i="2"/>
  <c r="I566" i="2"/>
  <c r="I562" i="2"/>
  <c r="I558" i="2"/>
  <c r="I554" i="2"/>
  <c r="I550" i="2"/>
  <c r="I546" i="2"/>
  <c r="K539" i="2"/>
  <c r="I531" i="2"/>
  <c r="K531" i="2"/>
  <c r="I377" i="2"/>
  <c r="K377" i="2"/>
  <c r="I305" i="2"/>
  <c r="K305" i="2"/>
  <c r="I520" i="2"/>
  <c r="I434" i="2"/>
  <c r="I430" i="2"/>
  <c r="K336" i="2"/>
  <c r="I336" i="2"/>
  <c r="K274" i="2"/>
  <c r="I274" i="2"/>
  <c r="K611" i="2"/>
  <c r="K607" i="2"/>
  <c r="K603" i="2"/>
  <c r="K599" i="2"/>
  <c r="K595" i="2"/>
  <c r="K591" i="2"/>
  <c r="K587" i="2"/>
  <c r="K583" i="2"/>
  <c r="K579" i="2"/>
  <c r="K575" i="2"/>
  <c r="K571" i="2"/>
  <c r="K567" i="2"/>
  <c r="K563" i="2"/>
  <c r="K559" i="2"/>
  <c r="K555" i="2"/>
  <c r="K551" i="2"/>
  <c r="K547" i="2"/>
  <c r="I359" i="2"/>
  <c r="K359" i="2"/>
  <c r="K333" i="2"/>
  <c r="I279" i="2"/>
  <c r="K279" i="2"/>
  <c r="I267" i="2"/>
  <c r="K267" i="2"/>
  <c r="K223" i="2"/>
  <c r="I223" i="2"/>
  <c r="I89" i="2"/>
  <c r="K89" i="2"/>
  <c r="I174" i="2"/>
  <c r="K174" i="2"/>
  <c r="I125" i="2"/>
  <c r="K125" i="2"/>
  <c r="I122" i="2"/>
  <c r="K122" i="2"/>
  <c r="I96" i="2"/>
  <c r="K96" i="2"/>
  <c r="I86" i="2"/>
  <c r="K86" i="2"/>
  <c r="I264" i="2"/>
  <c r="K264" i="2"/>
  <c r="K259" i="2"/>
  <c r="I259" i="2"/>
  <c r="K201" i="2"/>
  <c r="I201" i="2"/>
  <c r="K187" i="2"/>
  <c r="I187" i="2"/>
  <c r="I161" i="2"/>
  <c r="K161" i="2"/>
  <c r="I158" i="2"/>
  <c r="K158" i="2"/>
  <c r="I106" i="2"/>
  <c r="K106" i="2"/>
  <c r="K103" i="2"/>
  <c r="I103" i="2"/>
  <c r="K93" i="2"/>
  <c r="I93" i="2"/>
  <c r="I56" i="2"/>
  <c r="K56" i="2"/>
  <c r="K542" i="2"/>
  <c r="I234" i="2"/>
  <c r="K234" i="2"/>
  <c r="I216" i="2"/>
  <c r="K216" i="2"/>
  <c r="K205" i="2"/>
  <c r="I205" i="2"/>
  <c r="I198" i="2"/>
  <c r="K198" i="2"/>
  <c r="I132" i="2"/>
  <c r="K132" i="2"/>
  <c r="I442" i="2"/>
  <c r="I402" i="2"/>
  <c r="I384" i="2"/>
  <c r="I366" i="2"/>
  <c r="I348" i="2"/>
  <c r="I330" i="2"/>
  <c r="I312" i="2"/>
  <c r="I168" i="2"/>
  <c r="K168" i="2"/>
  <c r="I142" i="2"/>
  <c r="K142" i="2"/>
  <c r="K139" i="2"/>
  <c r="I139" i="2"/>
  <c r="K129" i="2"/>
  <c r="I129" i="2"/>
  <c r="I70" i="2"/>
  <c r="K70" i="2"/>
  <c r="I50" i="2"/>
  <c r="K50" i="2"/>
  <c r="I34" i="2"/>
  <c r="K34" i="2"/>
  <c r="K525" i="2"/>
  <c r="K519" i="2"/>
  <c r="K513" i="2"/>
  <c r="K507" i="2"/>
  <c r="K501" i="2"/>
  <c r="I273" i="2"/>
  <c r="K273" i="2"/>
  <c r="K195" i="2"/>
  <c r="I195" i="2"/>
  <c r="K181" i="2"/>
  <c r="I181" i="2"/>
  <c r="I178" i="2"/>
  <c r="K178" i="2"/>
  <c r="K175" i="2"/>
  <c r="I175" i="2"/>
  <c r="K165" i="2"/>
  <c r="I165" i="2"/>
  <c r="K423" i="2"/>
  <c r="I412" i="2"/>
  <c r="K399" i="2"/>
  <c r="I394" i="2"/>
  <c r="K381" i="2"/>
  <c r="I376" i="2"/>
  <c r="K363" i="2"/>
  <c r="K345" i="2"/>
  <c r="K327" i="2"/>
  <c r="I252" i="2"/>
  <c r="K252" i="2"/>
  <c r="I156" i="2"/>
  <c r="K156" i="2"/>
  <c r="I107" i="2"/>
  <c r="K107" i="2"/>
  <c r="I104" i="2"/>
  <c r="K104" i="2"/>
  <c r="I44" i="2"/>
  <c r="K44" i="2"/>
  <c r="K235" i="2"/>
  <c r="I235" i="2"/>
  <c r="K199" i="2"/>
  <c r="I199" i="2"/>
  <c r="I54" i="2"/>
  <c r="K54" i="2"/>
  <c r="I210" i="2"/>
  <c r="K210" i="2"/>
  <c r="I143" i="2"/>
  <c r="K143" i="2"/>
  <c r="I140" i="2"/>
  <c r="K140" i="2"/>
  <c r="I114" i="2"/>
  <c r="K114" i="2"/>
  <c r="I88" i="2"/>
  <c r="K88" i="2"/>
  <c r="I78" i="2"/>
  <c r="K78" i="2"/>
  <c r="I71" i="2"/>
  <c r="K71" i="2"/>
  <c r="I186" i="2"/>
  <c r="K186" i="2"/>
  <c r="I53" i="2"/>
  <c r="K53" i="2"/>
  <c r="I36" i="2"/>
  <c r="K36" i="2"/>
  <c r="K64" i="2"/>
  <c r="I60" i="2"/>
  <c r="K60" i="2"/>
  <c r="K40" i="2"/>
  <c r="I47" i="2"/>
  <c r="K47" i="2"/>
  <c r="I204" i="2"/>
  <c r="K204" i="2"/>
  <c r="I192" i="2"/>
  <c r="K192" i="2"/>
  <c r="I180" i="2"/>
  <c r="K180" i="2"/>
  <c r="I173" i="2"/>
  <c r="K173" i="2"/>
  <c r="I162" i="2"/>
  <c r="K162" i="2"/>
  <c r="I155" i="2"/>
  <c r="K155" i="2"/>
  <c r="I144" i="2"/>
  <c r="K144" i="2"/>
  <c r="I137" i="2"/>
  <c r="K137" i="2"/>
  <c r="I126" i="2"/>
  <c r="K126" i="2"/>
  <c r="I119" i="2"/>
  <c r="K119" i="2"/>
  <c r="I108" i="2"/>
  <c r="K108" i="2"/>
  <c r="I101" i="2"/>
  <c r="K101" i="2"/>
  <c r="I90" i="2"/>
  <c r="K90" i="2"/>
  <c r="I83" i="2"/>
  <c r="K83" i="2"/>
  <c r="I72" i="2"/>
  <c r="K72" i="2"/>
  <c r="I65" i="2"/>
  <c r="K65" i="2"/>
  <c r="I41" i="2"/>
  <c r="K41" i="2"/>
  <c r="I253" i="2"/>
  <c r="K228" i="2"/>
  <c r="I217" i="2"/>
  <c r="K209" i="2"/>
  <c r="K197" i="2"/>
  <c r="K185" i="2"/>
  <c r="I177" i="2"/>
  <c r="K170" i="2"/>
  <c r="I159" i="2"/>
  <c r="K152" i="2"/>
  <c r="I141" i="2"/>
  <c r="K134" i="2"/>
  <c r="I123" i="2"/>
  <c r="K116" i="2"/>
  <c r="I105" i="2"/>
  <c r="K98" i="2"/>
  <c r="K80" i="2"/>
  <c r="K52" i="2"/>
  <c r="I48" i="2"/>
  <c r="K48" i="2"/>
  <c r="I62" i="2"/>
  <c r="K62" i="2"/>
  <c r="I38" i="2"/>
  <c r="K38" i="2"/>
  <c r="I35" i="2"/>
  <c r="K35" i="2"/>
  <c r="I127" i="2"/>
  <c r="I109" i="2"/>
  <c r="I59" i="2"/>
  <c r="K59" i="2"/>
  <c r="I149" i="2"/>
  <c r="K149" i="2"/>
  <c r="I138" i="2"/>
  <c r="K138" i="2"/>
  <c r="I131" i="2"/>
  <c r="K131" i="2"/>
  <c r="I120" i="2"/>
  <c r="K120" i="2"/>
  <c r="I113" i="2"/>
  <c r="K113" i="2"/>
  <c r="I102" i="2"/>
  <c r="K102" i="2"/>
  <c r="I95" i="2"/>
  <c r="K95" i="2"/>
  <c r="I84" i="2"/>
  <c r="K84" i="2"/>
  <c r="I77" i="2"/>
  <c r="K77" i="2"/>
  <c r="I66" i="2"/>
  <c r="K66" i="2"/>
  <c r="K46" i="2"/>
  <c r="I42" i="2"/>
  <c r="K42" i="2"/>
  <c r="K29" i="2"/>
  <c r="K23" i="2"/>
  <c r="K17" i="2"/>
  <c r="K11" i="2"/>
  <c r="K30" i="2"/>
  <c r="K24" i="2"/>
  <c r="K18" i="2"/>
  <c r="K12" i="2"/>
  <c r="K37" i="2"/>
  <c r="K31" i="2"/>
  <c r="K25" i="2"/>
  <c r="K19" i="2"/>
  <c r="K13" i="2"/>
  <c r="K32" i="2"/>
  <c r="K26" i="2"/>
  <c r="K20" i="2"/>
  <c r="K14" i="2"/>
  <c r="J10" i="2"/>
  <c r="C5" i="2"/>
  <c r="E9" i="2"/>
  <c r="F7" i="2"/>
  <c r="F5" i="2"/>
  <c r="F4" i="2"/>
  <c r="D10" i="2"/>
  <c r="E6" i="2"/>
  <c r="G10" i="2"/>
  <c r="D9" i="2"/>
  <c r="E5" i="2"/>
  <c r="G9" i="2"/>
  <c r="B7" i="2"/>
  <c r="D8" i="2"/>
  <c r="E4" i="2"/>
  <c r="G8" i="2"/>
  <c r="H10" i="2"/>
  <c r="I10" i="2" s="1"/>
  <c r="B6" i="2"/>
  <c r="C4" i="2"/>
  <c r="E7" i="2"/>
  <c r="D7" i="2"/>
  <c r="G7" i="2"/>
  <c r="H9" i="2"/>
  <c r="I9" i="2" s="1"/>
  <c r="B5" i="2"/>
  <c r="C10" i="2"/>
  <c r="D6" i="2"/>
  <c r="F10" i="2"/>
  <c r="G6" i="2"/>
  <c r="H8" i="2"/>
  <c r="I8" i="2" s="1"/>
  <c r="K8" i="2" s="1"/>
  <c r="B4" i="2"/>
  <c r="E8" i="2"/>
  <c r="C9" i="2"/>
  <c r="D5" i="2"/>
  <c r="F9" i="2"/>
  <c r="G5" i="2"/>
  <c r="H7" i="2"/>
  <c r="I7" i="2" s="1"/>
  <c r="K7" i="2" s="1"/>
  <c r="H6" i="2"/>
  <c r="I6" i="2" s="1"/>
  <c r="K6" i="2" s="1"/>
  <c r="H5" i="2"/>
  <c r="I5" i="2" s="1"/>
  <c r="K5" i="2" s="1"/>
  <c r="C8" i="2"/>
  <c r="D4" i="2"/>
  <c r="F8" i="2"/>
  <c r="G4" i="2"/>
  <c r="C7" i="2"/>
  <c r="C6" i="2"/>
  <c r="E10" i="2"/>
  <c r="F6" i="2"/>
  <c r="H4" i="2"/>
  <c r="I4" i="2" s="1"/>
  <c r="B10" i="2"/>
  <c r="B9" i="2"/>
  <c r="B8" i="2"/>
  <c r="G8" i="3"/>
  <c r="C8" i="3"/>
  <c r="B8" i="3"/>
  <c r="D8" i="3"/>
  <c r="E8" i="3"/>
  <c r="C10" i="3"/>
  <c r="B10" i="3"/>
  <c r="D10" i="3"/>
  <c r="E10" i="3"/>
  <c r="G10" i="3"/>
  <c r="G6" i="3"/>
  <c r="C6" i="3"/>
  <c r="B6" i="3"/>
  <c r="D6" i="3"/>
  <c r="E6" i="3"/>
  <c r="G7" i="3"/>
  <c r="C7" i="3"/>
  <c r="B7" i="3"/>
  <c r="D7" i="3"/>
  <c r="E7" i="3"/>
  <c r="C9" i="3"/>
  <c r="B9" i="3"/>
  <c r="D9" i="3"/>
  <c r="E9" i="3"/>
  <c r="G9" i="3"/>
  <c r="C5" i="3"/>
  <c r="B5" i="3"/>
  <c r="G5" i="3"/>
  <c r="E5" i="3"/>
  <c r="D5" i="3"/>
  <c r="D4" i="3"/>
  <c r="E4" i="3"/>
  <c r="C4" i="3"/>
  <c r="B4" i="3"/>
  <c r="G4" i="3"/>
  <c r="H11" i="3" l="1"/>
  <c r="F11" i="3"/>
  <c r="K1002" i="2"/>
  <c r="I1002" i="2"/>
  <c r="I1001" i="2"/>
  <c r="K1001" i="2"/>
  <c r="I998" i="2"/>
  <c r="K998" i="2"/>
  <c r="I997" i="2"/>
  <c r="K997" i="2"/>
  <c r="K996" i="2"/>
  <c r="I996" i="2"/>
  <c r="I995" i="2"/>
  <c r="K995" i="2"/>
  <c r="I992" i="2"/>
  <c r="K992" i="2"/>
  <c r="I991" i="2"/>
  <c r="K991" i="2"/>
  <c r="K990" i="2"/>
  <c r="I990" i="2"/>
  <c r="I989" i="2"/>
  <c r="K989" i="2"/>
  <c r="I986" i="2"/>
  <c r="K986" i="2"/>
  <c r="I985" i="2"/>
  <c r="K985" i="2"/>
  <c r="K984" i="2"/>
  <c r="I984" i="2"/>
  <c r="I983" i="2"/>
  <c r="K983" i="2"/>
  <c r="I980" i="2"/>
  <c r="K980" i="2"/>
  <c r="I979" i="2"/>
  <c r="K979" i="2"/>
  <c r="K978" i="2"/>
  <c r="I978" i="2"/>
  <c r="I977" i="2"/>
  <c r="K977" i="2"/>
  <c r="I974" i="2"/>
  <c r="K974" i="2"/>
  <c r="I973" i="2"/>
  <c r="K973" i="2"/>
  <c r="K972" i="2"/>
  <c r="I972" i="2"/>
  <c r="I971" i="2"/>
  <c r="K971" i="2"/>
  <c r="I968" i="2"/>
  <c r="K968" i="2"/>
  <c r="I967" i="2"/>
  <c r="K967" i="2"/>
  <c r="K966" i="2"/>
  <c r="I966" i="2"/>
  <c r="I965" i="2"/>
  <c r="K965" i="2"/>
  <c r="I962" i="2"/>
  <c r="K962" i="2"/>
  <c r="I961" i="2"/>
  <c r="K961" i="2"/>
  <c r="K960" i="2"/>
  <c r="I960" i="2"/>
  <c r="I959" i="2"/>
  <c r="K959" i="2"/>
  <c r="I956" i="2"/>
  <c r="K956" i="2"/>
  <c r="I955" i="2"/>
  <c r="K955" i="2"/>
  <c r="K954" i="2"/>
  <c r="I954" i="2"/>
  <c r="I953" i="2"/>
  <c r="K953" i="2"/>
  <c r="I950" i="2"/>
  <c r="K950" i="2"/>
  <c r="I949" i="2"/>
  <c r="K949" i="2"/>
  <c r="K948" i="2"/>
  <c r="I948" i="2"/>
  <c r="I944" i="2"/>
  <c r="K944" i="2"/>
  <c r="I943" i="2"/>
  <c r="K943" i="2"/>
  <c r="K942" i="2"/>
  <c r="I942" i="2"/>
  <c r="I938" i="2"/>
  <c r="K938" i="2"/>
  <c r="I937" i="2"/>
  <c r="K937" i="2"/>
  <c r="I936" i="2"/>
  <c r="K936" i="2"/>
  <c r="I932" i="2"/>
  <c r="K932" i="2"/>
  <c r="I931" i="2"/>
  <c r="K931" i="2"/>
  <c r="I930" i="2"/>
  <c r="K930" i="2"/>
  <c r="I926" i="2"/>
  <c r="K926" i="2"/>
  <c r="I925" i="2"/>
  <c r="K925" i="2"/>
  <c r="I924" i="2"/>
  <c r="K924" i="2"/>
  <c r="I920" i="2"/>
  <c r="K920" i="2"/>
  <c r="I919" i="2"/>
  <c r="K919" i="2"/>
  <c r="I918" i="2"/>
  <c r="K918" i="2"/>
  <c r="I914" i="2"/>
  <c r="K914" i="2"/>
  <c r="I913" i="2"/>
  <c r="K913" i="2"/>
  <c r="I912" i="2"/>
  <c r="K912" i="2"/>
  <c r="I908" i="2"/>
  <c r="K908" i="2"/>
  <c r="I907" i="2"/>
  <c r="K907" i="2"/>
  <c r="I906" i="2"/>
  <c r="K906" i="2"/>
  <c r="I905" i="2"/>
  <c r="K905" i="2"/>
  <c r="I902" i="2"/>
  <c r="K902" i="2"/>
  <c r="I901" i="2"/>
  <c r="K901" i="2"/>
  <c r="I900" i="2"/>
  <c r="K900" i="2"/>
  <c r="I899" i="2"/>
  <c r="K899" i="2"/>
  <c r="I896" i="2"/>
  <c r="K896" i="2"/>
  <c r="I895" i="2"/>
  <c r="K895" i="2"/>
  <c r="I894" i="2"/>
  <c r="K894" i="2"/>
  <c r="I893" i="2"/>
  <c r="K893" i="2"/>
  <c r="I891" i="2"/>
  <c r="K891" i="2"/>
  <c r="I890" i="2"/>
  <c r="K890" i="2"/>
  <c r="I889" i="2"/>
  <c r="K889" i="2"/>
  <c r="I888" i="2"/>
  <c r="K888" i="2"/>
  <c r="I887" i="2"/>
  <c r="K887" i="2"/>
  <c r="I885" i="2"/>
  <c r="K885" i="2"/>
  <c r="I884" i="2"/>
  <c r="K884" i="2"/>
  <c r="I883" i="2"/>
  <c r="K883" i="2"/>
  <c r="I882" i="2"/>
  <c r="K882" i="2"/>
  <c r="I881" i="2"/>
  <c r="K881" i="2"/>
  <c r="I879" i="2"/>
  <c r="K879" i="2"/>
  <c r="I878" i="2"/>
  <c r="K878" i="2"/>
  <c r="I877" i="2"/>
  <c r="K877" i="2"/>
  <c r="I876" i="2"/>
  <c r="K876" i="2"/>
  <c r="I875" i="2"/>
  <c r="K875" i="2"/>
  <c r="I873" i="2"/>
  <c r="K873" i="2"/>
  <c r="I872" i="2"/>
  <c r="K872" i="2"/>
  <c r="I871" i="2"/>
  <c r="K871" i="2"/>
  <c r="I870" i="2"/>
  <c r="K870" i="2"/>
  <c r="I869" i="2"/>
  <c r="K869" i="2"/>
  <c r="I867" i="2"/>
  <c r="K867" i="2"/>
  <c r="I866" i="2"/>
  <c r="K866" i="2"/>
  <c r="I865" i="2"/>
  <c r="K865" i="2"/>
  <c r="I864" i="2"/>
  <c r="K864" i="2"/>
  <c r="I863" i="2"/>
  <c r="K863" i="2"/>
  <c r="I861" i="2"/>
  <c r="K861" i="2"/>
  <c r="I860" i="2"/>
  <c r="K860" i="2"/>
  <c r="I859" i="2"/>
  <c r="K859" i="2"/>
  <c r="I858" i="2"/>
  <c r="K858" i="2"/>
  <c r="I857" i="2"/>
  <c r="K857" i="2"/>
  <c r="I855" i="2"/>
  <c r="K855" i="2"/>
  <c r="I854" i="2"/>
  <c r="K854" i="2"/>
  <c r="I853" i="2"/>
  <c r="K853" i="2"/>
  <c r="I852" i="2"/>
  <c r="K852" i="2"/>
  <c r="I851" i="2"/>
  <c r="K851" i="2"/>
  <c r="I849" i="2"/>
  <c r="K849" i="2"/>
  <c r="I848" i="2"/>
  <c r="K848" i="2"/>
  <c r="I847" i="2"/>
  <c r="K847" i="2"/>
  <c r="I846" i="2"/>
  <c r="K846" i="2"/>
  <c r="I845" i="2"/>
  <c r="K845" i="2"/>
  <c r="I843" i="2"/>
  <c r="K843" i="2"/>
  <c r="I842" i="2"/>
  <c r="K842" i="2"/>
  <c r="I841" i="2"/>
  <c r="K841" i="2"/>
  <c r="I840" i="2"/>
  <c r="K840" i="2"/>
  <c r="I839" i="2"/>
  <c r="K839" i="2"/>
  <c r="I837" i="2"/>
  <c r="K837" i="2"/>
  <c r="I836" i="2"/>
  <c r="K836" i="2"/>
  <c r="I835" i="2"/>
  <c r="K835" i="2"/>
  <c r="I834" i="2"/>
  <c r="K834" i="2"/>
  <c r="I833" i="2"/>
  <c r="K833" i="2"/>
  <c r="I831" i="2"/>
  <c r="K831" i="2"/>
  <c r="I828" i="2"/>
  <c r="K828" i="2"/>
  <c r="K827" i="2"/>
  <c r="I827" i="2"/>
  <c r="K826" i="2"/>
  <c r="I826" i="2"/>
  <c r="I825" i="2"/>
  <c r="K825" i="2"/>
  <c r="I823" i="2"/>
  <c r="K823" i="2"/>
  <c r="K822" i="2"/>
  <c r="I822" i="2"/>
  <c r="K820" i="2"/>
  <c r="I820" i="2"/>
  <c r="I818" i="2"/>
  <c r="K818" i="2"/>
  <c r="K817" i="2"/>
  <c r="I817" i="2"/>
  <c r="K814" i="2"/>
  <c r="I814" i="2"/>
  <c r="K812" i="2"/>
  <c r="I812" i="2"/>
  <c r="K810" i="2"/>
  <c r="I810" i="2"/>
  <c r="K808" i="2"/>
  <c r="I808" i="2"/>
  <c r="I807" i="2"/>
  <c r="K807" i="2"/>
  <c r="K805" i="2"/>
  <c r="I805" i="2"/>
  <c r="K802" i="2"/>
  <c r="I802" i="2"/>
  <c r="K800" i="2"/>
  <c r="I800" i="2"/>
  <c r="I797" i="2"/>
  <c r="K797" i="2"/>
  <c r="I795" i="2"/>
  <c r="K795" i="2"/>
  <c r="I792" i="2"/>
  <c r="K792" i="2"/>
  <c r="K791" i="2"/>
  <c r="I791" i="2"/>
  <c r="K790" i="2"/>
  <c r="I790" i="2"/>
  <c r="I789" i="2"/>
  <c r="K789" i="2"/>
  <c r="I787" i="2"/>
  <c r="K787" i="2"/>
  <c r="K786" i="2"/>
  <c r="I786" i="2"/>
  <c r="K784" i="2"/>
  <c r="I784" i="2"/>
  <c r="I782" i="2"/>
  <c r="K782" i="2"/>
  <c r="K781" i="2"/>
  <c r="I781" i="2"/>
  <c r="K779" i="2"/>
  <c r="I779" i="2"/>
  <c r="K778" i="2"/>
  <c r="I778" i="2"/>
  <c r="K776" i="2"/>
  <c r="I776" i="2"/>
  <c r="K774" i="2"/>
  <c r="I774" i="2"/>
  <c r="K772" i="2"/>
  <c r="I772" i="2"/>
  <c r="I770" i="2"/>
  <c r="K770" i="2"/>
  <c r="I767" i="2"/>
  <c r="K767" i="2"/>
  <c r="I763" i="2"/>
  <c r="K763" i="2"/>
  <c r="K762" i="2"/>
  <c r="I762" i="2"/>
  <c r="K760" i="2"/>
  <c r="I760" i="2"/>
  <c r="I758" i="2"/>
  <c r="K758" i="2"/>
  <c r="K756" i="2"/>
  <c r="I756" i="2"/>
  <c r="K754" i="2"/>
  <c r="I754" i="2"/>
  <c r="I752" i="2"/>
  <c r="K752" i="2"/>
  <c r="K749" i="2"/>
  <c r="I749" i="2"/>
  <c r="K745" i="2"/>
  <c r="I745" i="2"/>
  <c r="K743" i="2"/>
  <c r="I743" i="2"/>
  <c r="I740" i="2"/>
  <c r="K740" i="2"/>
  <c r="K737" i="2"/>
  <c r="I737" i="2"/>
  <c r="K733" i="2"/>
  <c r="I733" i="2"/>
  <c r="K731" i="2"/>
  <c r="I731" i="2"/>
  <c r="I726" i="2"/>
  <c r="K726" i="2"/>
  <c r="I721" i="2"/>
  <c r="K721" i="2"/>
  <c r="K719" i="2"/>
  <c r="I719" i="2"/>
  <c r="K713" i="2"/>
  <c r="I713" i="2"/>
  <c r="I708" i="2"/>
  <c r="K708" i="2"/>
  <c r="I703" i="2"/>
  <c r="K703" i="2"/>
  <c r="K701" i="2"/>
  <c r="I701" i="2"/>
  <c r="I696" i="2"/>
  <c r="K696" i="2"/>
  <c r="K695" i="2"/>
  <c r="I695" i="2"/>
  <c r="I690" i="2"/>
  <c r="K690" i="2"/>
  <c r="I685" i="2"/>
  <c r="K685" i="2"/>
  <c r="K683" i="2"/>
  <c r="I683" i="2"/>
  <c r="K680" i="2"/>
  <c r="I680" i="2"/>
  <c r="I679" i="2"/>
  <c r="K679" i="2"/>
  <c r="K674" i="2"/>
  <c r="I674" i="2"/>
  <c r="I669" i="2"/>
  <c r="K669" i="2"/>
  <c r="I663" i="2"/>
  <c r="K663" i="2"/>
  <c r="I661" i="2"/>
  <c r="K661" i="2"/>
  <c r="I658" i="2"/>
  <c r="K658" i="2"/>
  <c r="K656" i="2"/>
  <c r="I656" i="2"/>
  <c r="I653" i="2"/>
  <c r="K653" i="2"/>
  <c r="K652" i="2"/>
  <c r="I652" i="2"/>
  <c r="K650" i="2"/>
  <c r="I650" i="2"/>
  <c r="I648" i="2"/>
  <c r="K648" i="2"/>
  <c r="K647" i="2"/>
  <c r="I647" i="2"/>
  <c r="K644" i="2"/>
  <c r="I644" i="2"/>
  <c r="I643" i="2"/>
  <c r="K643" i="2"/>
  <c r="K642" i="2"/>
  <c r="I642" i="2"/>
  <c r="K638" i="2"/>
  <c r="I638" i="2"/>
  <c r="I637" i="2"/>
  <c r="K637" i="2"/>
  <c r="K634" i="2"/>
  <c r="I634" i="2"/>
  <c r="I633" i="2"/>
  <c r="K633" i="2"/>
  <c r="K632" i="2"/>
  <c r="I632" i="2"/>
  <c r="I631" i="2"/>
  <c r="K631" i="2"/>
  <c r="I629" i="2"/>
  <c r="K629" i="2"/>
  <c r="K626" i="2"/>
  <c r="I626" i="2"/>
  <c r="I624" i="2"/>
  <c r="K624" i="2"/>
  <c r="K620" i="2"/>
  <c r="I620" i="2"/>
  <c r="K616" i="2"/>
  <c r="I616" i="2"/>
  <c r="K612" i="2"/>
  <c r="I612" i="2"/>
  <c r="I609" i="2"/>
  <c r="K609" i="2"/>
  <c r="K608" i="2"/>
  <c r="I608" i="2"/>
  <c r="I605" i="2"/>
  <c r="K605" i="2"/>
  <c r="K604" i="2"/>
  <c r="I604" i="2"/>
  <c r="I601" i="2"/>
  <c r="K601" i="2"/>
  <c r="K600" i="2"/>
  <c r="I600" i="2"/>
  <c r="I597" i="2"/>
  <c r="K597" i="2"/>
  <c r="K596" i="2"/>
  <c r="I596" i="2"/>
  <c r="I593" i="2"/>
  <c r="K593" i="2"/>
  <c r="K592" i="2"/>
  <c r="I592" i="2"/>
  <c r="I589" i="2"/>
  <c r="K589" i="2"/>
  <c r="K588" i="2"/>
  <c r="I588" i="2"/>
  <c r="I585" i="2"/>
  <c r="K585" i="2"/>
  <c r="K584" i="2"/>
  <c r="I584" i="2"/>
  <c r="I581" i="2"/>
  <c r="K581" i="2"/>
  <c r="K580" i="2"/>
  <c r="I580" i="2"/>
  <c r="I577" i="2"/>
  <c r="K577" i="2"/>
  <c r="K576" i="2"/>
  <c r="I576" i="2"/>
  <c r="I573" i="2"/>
  <c r="K573" i="2"/>
  <c r="K572" i="2"/>
  <c r="I572" i="2"/>
  <c r="I569" i="2"/>
  <c r="K569" i="2"/>
  <c r="K568" i="2"/>
  <c r="I568" i="2"/>
  <c r="I565" i="2"/>
  <c r="K565" i="2"/>
  <c r="K564" i="2"/>
  <c r="I564" i="2"/>
  <c r="I561" i="2"/>
  <c r="K561" i="2"/>
  <c r="K560" i="2"/>
  <c r="I560" i="2"/>
  <c r="I557" i="2"/>
  <c r="K557" i="2"/>
  <c r="K556" i="2"/>
  <c r="I556" i="2"/>
  <c r="I553" i="2"/>
  <c r="K553" i="2"/>
  <c r="K552" i="2"/>
  <c r="I552" i="2"/>
  <c r="I549" i="2"/>
  <c r="K549" i="2"/>
  <c r="K548" i="2"/>
  <c r="I548" i="2"/>
  <c r="I545" i="2"/>
  <c r="K545" i="2"/>
  <c r="K544" i="2"/>
  <c r="I544" i="2"/>
  <c r="I541" i="2"/>
  <c r="K541" i="2"/>
  <c r="K540" i="2"/>
  <c r="I540" i="2"/>
  <c r="K536" i="2"/>
  <c r="I536" i="2"/>
  <c r="I535" i="2"/>
  <c r="K535" i="2"/>
  <c r="K532" i="2"/>
  <c r="I532" i="2"/>
  <c r="K530" i="2"/>
  <c r="I530" i="2"/>
  <c r="K526" i="2"/>
  <c r="I526" i="2"/>
  <c r="K524" i="2"/>
  <c r="I524" i="2"/>
  <c r="K522" i="2"/>
  <c r="I522" i="2"/>
  <c r="I521" i="2"/>
  <c r="K521" i="2"/>
  <c r="K518" i="2"/>
  <c r="I518" i="2"/>
  <c r="I517" i="2"/>
  <c r="K517" i="2"/>
  <c r="K516" i="2"/>
  <c r="I516" i="2"/>
  <c r="I515" i="2"/>
  <c r="K515" i="2"/>
  <c r="K514" i="2"/>
  <c r="I514" i="2"/>
  <c r="K512" i="2"/>
  <c r="I512" i="2"/>
  <c r="I511" i="2"/>
  <c r="K511" i="2"/>
  <c r="K506" i="2"/>
  <c r="I506" i="2"/>
  <c r="I505" i="2"/>
  <c r="K505" i="2"/>
  <c r="K504" i="2"/>
  <c r="I504" i="2"/>
  <c r="I503" i="2"/>
  <c r="K503" i="2"/>
  <c r="K502" i="2"/>
  <c r="I502" i="2"/>
  <c r="K500" i="2"/>
  <c r="I500" i="2"/>
  <c r="I499" i="2"/>
  <c r="K499" i="2"/>
  <c r="K498" i="2"/>
  <c r="I498" i="2"/>
  <c r="I497" i="2"/>
  <c r="K497" i="2"/>
  <c r="I495" i="2"/>
  <c r="K495" i="2"/>
  <c r="K494" i="2"/>
  <c r="I494" i="2"/>
  <c r="I493" i="2"/>
  <c r="K493" i="2"/>
  <c r="K492" i="2"/>
  <c r="I492" i="2"/>
  <c r="K490" i="2"/>
  <c r="I490" i="2"/>
  <c r="I489" i="2"/>
  <c r="K489" i="2"/>
  <c r="K488" i="2"/>
  <c r="I488" i="2"/>
  <c r="I487" i="2"/>
  <c r="K487" i="2"/>
  <c r="K486" i="2"/>
  <c r="I486" i="2"/>
  <c r="I485" i="2"/>
  <c r="K485" i="2"/>
  <c r="I483" i="2"/>
  <c r="K483" i="2"/>
  <c r="K482" i="2"/>
  <c r="I482" i="2"/>
  <c r="I481" i="2"/>
  <c r="K481" i="2"/>
  <c r="K480" i="2"/>
  <c r="I480" i="2"/>
  <c r="K478" i="2"/>
  <c r="I478" i="2"/>
  <c r="I477" i="2"/>
  <c r="K477" i="2"/>
  <c r="K476" i="2"/>
  <c r="I476" i="2"/>
  <c r="I475" i="2"/>
  <c r="K475" i="2"/>
  <c r="K474" i="2"/>
  <c r="I474" i="2"/>
  <c r="I473" i="2"/>
  <c r="K473" i="2"/>
  <c r="I471" i="2"/>
  <c r="K471" i="2"/>
  <c r="K470" i="2"/>
  <c r="I470" i="2"/>
  <c r="I469" i="2"/>
  <c r="K469" i="2"/>
  <c r="K468" i="2"/>
  <c r="I468" i="2"/>
  <c r="K466" i="2"/>
  <c r="I466" i="2"/>
  <c r="I465" i="2"/>
  <c r="K465" i="2"/>
  <c r="K464" i="2"/>
  <c r="I464" i="2"/>
  <c r="I463" i="2"/>
  <c r="K463" i="2"/>
  <c r="K462" i="2"/>
  <c r="I462" i="2"/>
  <c r="I461" i="2"/>
  <c r="K461" i="2"/>
  <c r="I459" i="2"/>
  <c r="K459" i="2"/>
  <c r="K458" i="2"/>
  <c r="I458" i="2"/>
  <c r="I457" i="2"/>
  <c r="K457" i="2"/>
  <c r="K456" i="2"/>
  <c r="I456" i="2"/>
  <c r="I453" i="2"/>
  <c r="K453" i="2"/>
  <c r="I452" i="2"/>
  <c r="K452" i="2"/>
  <c r="K451" i="2"/>
  <c r="I451" i="2"/>
  <c r="K449" i="2"/>
  <c r="I449" i="2"/>
  <c r="K448" i="2"/>
  <c r="I448" i="2"/>
  <c r="I447" i="2"/>
  <c r="K447" i="2"/>
  <c r="K446" i="2"/>
  <c r="I446" i="2"/>
  <c r="I445" i="2"/>
  <c r="K445" i="2"/>
  <c r="K444" i="2"/>
  <c r="I444" i="2"/>
  <c r="I443" i="2"/>
  <c r="K443" i="2"/>
  <c r="I441" i="2"/>
  <c r="K441" i="2"/>
  <c r="I440" i="2"/>
  <c r="K440" i="2"/>
  <c r="K439" i="2"/>
  <c r="I439" i="2"/>
  <c r="I438" i="2"/>
  <c r="K438" i="2"/>
  <c r="K437" i="2"/>
  <c r="I437" i="2"/>
  <c r="K436" i="2"/>
  <c r="I436" i="2"/>
  <c r="I435" i="2"/>
  <c r="K435" i="2"/>
  <c r="I433" i="2"/>
  <c r="K433" i="2"/>
  <c r="K432" i="2"/>
  <c r="I432" i="2"/>
  <c r="I431" i="2"/>
  <c r="K431" i="2"/>
  <c r="I428" i="2"/>
  <c r="K428" i="2"/>
  <c r="K427" i="2"/>
  <c r="I427" i="2"/>
  <c r="I426" i="2"/>
  <c r="K426" i="2"/>
  <c r="K425" i="2"/>
  <c r="I425" i="2"/>
  <c r="K424" i="2"/>
  <c r="I424" i="2"/>
  <c r="K422" i="2"/>
  <c r="I422" i="2"/>
  <c r="I421" i="2"/>
  <c r="K421" i="2"/>
  <c r="K420" i="2"/>
  <c r="I420" i="2"/>
  <c r="I417" i="2"/>
  <c r="K417" i="2"/>
  <c r="I416" i="2"/>
  <c r="K416" i="2"/>
  <c r="K415" i="2"/>
  <c r="I415" i="2"/>
  <c r="K413" i="2"/>
  <c r="I413" i="2"/>
  <c r="I411" i="2"/>
  <c r="K411" i="2"/>
  <c r="K410" i="2"/>
  <c r="I410" i="2"/>
  <c r="I407" i="2"/>
  <c r="K407" i="2"/>
  <c r="K406" i="2"/>
  <c r="I406" i="2"/>
  <c r="I403" i="2"/>
  <c r="K403" i="2"/>
  <c r="I401" i="2"/>
  <c r="K401" i="2"/>
  <c r="K400" i="2"/>
  <c r="I400" i="2"/>
  <c r="I398" i="2"/>
  <c r="K398" i="2"/>
  <c r="I397" i="2"/>
  <c r="K397" i="2"/>
  <c r="K396" i="2"/>
  <c r="I396" i="2"/>
  <c r="I393" i="2"/>
  <c r="K393" i="2"/>
  <c r="K392" i="2"/>
  <c r="I392" i="2"/>
  <c r="I391" i="2"/>
  <c r="K391" i="2"/>
  <c r="I389" i="2"/>
  <c r="K389" i="2"/>
  <c r="K388" i="2"/>
  <c r="I388" i="2"/>
  <c r="I387" i="2"/>
  <c r="K387" i="2"/>
  <c r="K386" i="2"/>
  <c r="I386" i="2"/>
  <c r="I385" i="2"/>
  <c r="K385" i="2"/>
  <c r="I383" i="2"/>
  <c r="K383" i="2"/>
  <c r="K382" i="2"/>
  <c r="I382" i="2"/>
  <c r="I380" i="2"/>
  <c r="K380" i="2"/>
  <c r="I379" i="2"/>
  <c r="K379" i="2"/>
  <c r="K378" i="2"/>
  <c r="I378" i="2"/>
  <c r="I375" i="2"/>
  <c r="K375" i="2"/>
  <c r="K374" i="2"/>
  <c r="I374" i="2"/>
  <c r="I371" i="2"/>
  <c r="K371" i="2"/>
  <c r="K370" i="2"/>
  <c r="I370" i="2"/>
  <c r="I369" i="2"/>
  <c r="K369" i="2"/>
  <c r="K368" i="2"/>
  <c r="I368" i="2"/>
  <c r="I367" i="2"/>
  <c r="K367" i="2"/>
  <c r="I365" i="2"/>
  <c r="K365" i="2"/>
  <c r="K364" i="2"/>
  <c r="I364" i="2"/>
  <c r="I362" i="2"/>
  <c r="K362" i="2"/>
  <c r="I361" i="2"/>
  <c r="K361" i="2"/>
  <c r="K360" i="2"/>
  <c r="I360" i="2"/>
  <c r="K358" i="2"/>
  <c r="I358" i="2"/>
  <c r="I357" i="2"/>
  <c r="K357" i="2"/>
  <c r="K356" i="2"/>
  <c r="I356" i="2"/>
  <c r="I355" i="2"/>
  <c r="K355" i="2"/>
  <c r="I353" i="2"/>
  <c r="K353" i="2"/>
  <c r="K352" i="2"/>
  <c r="I352" i="2"/>
  <c r="I351" i="2"/>
  <c r="K351" i="2"/>
  <c r="I349" i="2"/>
  <c r="K349" i="2"/>
  <c r="I347" i="2"/>
  <c r="K347" i="2"/>
  <c r="K346" i="2"/>
  <c r="I346" i="2"/>
  <c r="I344" i="2"/>
  <c r="K344" i="2"/>
  <c r="I343" i="2"/>
  <c r="K343" i="2"/>
  <c r="K342" i="2"/>
  <c r="I342" i="2"/>
  <c r="K340" i="2"/>
  <c r="I340" i="2"/>
  <c r="I339" i="2"/>
  <c r="K339" i="2"/>
  <c r="K338" i="2"/>
  <c r="I338" i="2"/>
  <c r="I337" i="2"/>
  <c r="K337" i="2"/>
  <c r="I335" i="2"/>
  <c r="K335" i="2"/>
  <c r="K334" i="2"/>
  <c r="I334" i="2"/>
  <c r="K332" i="2"/>
  <c r="I332" i="2"/>
  <c r="I331" i="2"/>
  <c r="K331" i="2"/>
  <c r="I329" i="2"/>
  <c r="K329" i="2"/>
  <c r="K328" i="2"/>
  <c r="I328" i="2"/>
  <c r="I326" i="2"/>
  <c r="K326" i="2"/>
  <c r="I325" i="2"/>
  <c r="K325" i="2"/>
  <c r="K324" i="2"/>
  <c r="I324" i="2"/>
  <c r="K322" i="2"/>
  <c r="I322" i="2"/>
  <c r="I321" i="2"/>
  <c r="K321" i="2"/>
  <c r="K320" i="2"/>
  <c r="I320" i="2"/>
  <c r="I319" i="2"/>
  <c r="K319" i="2"/>
  <c r="I317" i="2"/>
  <c r="K317" i="2"/>
  <c r="K316" i="2"/>
  <c r="I316" i="2"/>
  <c r="K314" i="2"/>
  <c r="I314" i="2"/>
  <c r="I313" i="2"/>
  <c r="K313" i="2"/>
  <c r="I311" i="2"/>
  <c r="K311" i="2"/>
  <c r="K310" i="2"/>
  <c r="I310" i="2"/>
  <c r="I309" i="2"/>
  <c r="K309" i="2"/>
  <c r="I308" i="2"/>
  <c r="K308" i="2"/>
  <c r="I307" i="2"/>
  <c r="K307" i="2"/>
  <c r="K306" i="2"/>
  <c r="I306" i="2"/>
  <c r="K304" i="2"/>
  <c r="I304" i="2"/>
  <c r="I303" i="2"/>
  <c r="K303" i="2"/>
  <c r="K302" i="2"/>
  <c r="I302" i="2"/>
  <c r="I301" i="2"/>
  <c r="K301" i="2"/>
  <c r="I299" i="2"/>
  <c r="K299" i="2"/>
  <c r="K298" i="2"/>
  <c r="I298" i="2"/>
  <c r="K296" i="2"/>
  <c r="I296" i="2"/>
  <c r="I295" i="2"/>
  <c r="K295" i="2"/>
  <c r="K294" i="2"/>
  <c r="I294" i="2"/>
  <c r="I293" i="2"/>
  <c r="K293" i="2"/>
  <c r="K292" i="2"/>
  <c r="I292" i="2"/>
  <c r="I291" i="2"/>
  <c r="K291" i="2"/>
  <c r="I290" i="2"/>
  <c r="K290" i="2"/>
  <c r="I289" i="2"/>
  <c r="K289" i="2"/>
  <c r="K288" i="2"/>
  <c r="I288" i="2"/>
  <c r="I287" i="2"/>
  <c r="K287" i="2"/>
  <c r="K286" i="2"/>
  <c r="I286" i="2"/>
  <c r="I285" i="2"/>
  <c r="K285" i="2"/>
  <c r="K284" i="2"/>
  <c r="I284" i="2"/>
  <c r="I281" i="2"/>
  <c r="K281" i="2"/>
  <c r="K280" i="2"/>
  <c r="I280" i="2"/>
  <c r="I278" i="2"/>
  <c r="K278" i="2"/>
  <c r="I277" i="2"/>
  <c r="K277" i="2"/>
  <c r="K276" i="2"/>
  <c r="I276" i="2"/>
  <c r="I275" i="2"/>
  <c r="K275" i="2"/>
  <c r="I272" i="2"/>
  <c r="K272" i="2"/>
  <c r="I269" i="2"/>
  <c r="K269" i="2"/>
  <c r="K268" i="2"/>
  <c r="I268" i="2"/>
  <c r="I266" i="2"/>
  <c r="K266" i="2"/>
  <c r="I265" i="2"/>
  <c r="K265" i="2"/>
  <c r="I263" i="2"/>
  <c r="K263" i="2"/>
  <c r="I261" i="2"/>
  <c r="K261" i="2"/>
  <c r="I260" i="2"/>
  <c r="K260" i="2"/>
  <c r="I258" i="2"/>
  <c r="K258" i="2"/>
  <c r="I256" i="2"/>
  <c r="K256" i="2"/>
  <c r="I255" i="2"/>
  <c r="K255" i="2"/>
  <c r="K254" i="2"/>
  <c r="I254" i="2"/>
  <c r="I251" i="2"/>
  <c r="K251" i="2"/>
  <c r="I250" i="2"/>
  <c r="K250" i="2"/>
  <c r="K249" i="2"/>
  <c r="I249" i="2"/>
  <c r="I248" i="2"/>
  <c r="K248" i="2"/>
  <c r="K247" i="2"/>
  <c r="I247" i="2"/>
  <c r="I246" i="2"/>
  <c r="K246" i="2"/>
  <c r="I245" i="2"/>
  <c r="K245" i="2"/>
  <c r="I243" i="2"/>
  <c r="K243" i="2"/>
  <c r="I242" i="2"/>
  <c r="K242" i="2"/>
  <c r="I240" i="2"/>
  <c r="K240" i="2"/>
  <c r="K239" i="2"/>
  <c r="I239" i="2"/>
  <c r="I238" i="2"/>
  <c r="K238" i="2"/>
  <c r="I237" i="2"/>
  <c r="K237" i="2"/>
  <c r="K236" i="2"/>
  <c r="I236" i="2"/>
  <c r="I233" i="2"/>
  <c r="K233" i="2"/>
  <c r="I232" i="2"/>
  <c r="K232" i="2"/>
  <c r="I231" i="2"/>
  <c r="K231" i="2"/>
  <c r="I230" i="2"/>
  <c r="K230" i="2"/>
  <c r="K229" i="2"/>
  <c r="I229" i="2"/>
  <c r="I227" i="2"/>
  <c r="K227" i="2"/>
  <c r="I226" i="2"/>
  <c r="K226" i="2"/>
  <c r="I225" i="2"/>
  <c r="K225" i="2"/>
  <c r="I224" i="2"/>
  <c r="K224" i="2"/>
  <c r="I222" i="2"/>
  <c r="K222" i="2"/>
  <c r="I221" i="2"/>
  <c r="K221" i="2"/>
  <c r="I220" i="2"/>
  <c r="K220" i="2"/>
  <c r="I219" i="2"/>
  <c r="K219" i="2"/>
  <c r="K218" i="2"/>
  <c r="I218" i="2"/>
  <c r="I215" i="2"/>
  <c r="K215" i="2"/>
  <c r="I213" i="2"/>
  <c r="K213" i="2"/>
  <c r="I212" i="2"/>
  <c r="K212" i="2"/>
  <c r="I208" i="2"/>
  <c r="K208" i="2"/>
  <c r="I206" i="2"/>
  <c r="K206" i="2"/>
  <c r="I203" i="2"/>
  <c r="K203" i="2"/>
  <c r="I202" i="2"/>
  <c r="K202" i="2"/>
  <c r="I200" i="2"/>
  <c r="K200" i="2"/>
  <c r="I196" i="2"/>
  <c r="K196" i="2"/>
  <c r="I194" i="2"/>
  <c r="K194" i="2"/>
  <c r="I191" i="2"/>
  <c r="K191" i="2"/>
  <c r="I190" i="2"/>
  <c r="K190" i="2"/>
  <c r="I188" i="2"/>
  <c r="K188" i="2"/>
  <c r="I184" i="2"/>
  <c r="K184" i="2"/>
  <c r="I182" i="2"/>
  <c r="K182" i="2"/>
  <c r="I172" i="2"/>
  <c r="K172" i="2"/>
  <c r="K171" i="2"/>
  <c r="I171" i="2"/>
  <c r="K169" i="2"/>
  <c r="I169" i="2"/>
  <c r="I166" i="2"/>
  <c r="K166" i="2"/>
  <c r="I164" i="2"/>
  <c r="K164" i="2"/>
  <c r="I154" i="2"/>
  <c r="K154" i="2"/>
  <c r="K153" i="2"/>
  <c r="I153" i="2"/>
  <c r="K151" i="2"/>
  <c r="I151" i="2"/>
  <c r="I148" i="2"/>
  <c r="K148" i="2"/>
  <c r="I146" i="2"/>
  <c r="K146" i="2"/>
  <c r="K145" i="2"/>
  <c r="I145" i="2"/>
  <c r="I136" i="2"/>
  <c r="K136" i="2"/>
  <c r="K135" i="2"/>
  <c r="I135" i="2"/>
  <c r="K133" i="2"/>
  <c r="I133" i="2"/>
  <c r="I130" i="2"/>
  <c r="K130" i="2"/>
  <c r="I128" i="2"/>
  <c r="K128" i="2"/>
  <c r="I118" i="2"/>
  <c r="K118" i="2"/>
  <c r="K117" i="2"/>
  <c r="I117" i="2"/>
  <c r="K115" i="2"/>
  <c r="I115" i="2"/>
  <c r="I112" i="2"/>
  <c r="K112" i="2"/>
  <c r="I110" i="2"/>
  <c r="K110" i="2"/>
  <c r="I100" i="2"/>
  <c r="K100" i="2"/>
  <c r="K99" i="2"/>
  <c r="I99" i="2"/>
  <c r="K97" i="2"/>
  <c r="I97" i="2"/>
  <c r="I94" i="2"/>
  <c r="K94" i="2"/>
  <c r="I92" i="2"/>
  <c r="K92" i="2"/>
  <c r="K91" i="2"/>
  <c r="I91" i="2"/>
  <c r="K87" i="2"/>
  <c r="I87" i="2"/>
  <c r="I82" i="2"/>
  <c r="K82" i="2"/>
  <c r="K81" i="2"/>
  <c r="I81" i="2"/>
  <c r="K79" i="2"/>
  <c r="I79" i="2"/>
  <c r="I76" i="2"/>
  <c r="K76" i="2"/>
  <c r="K75" i="2"/>
  <c r="I75" i="2"/>
  <c r="I74" i="2"/>
  <c r="K74" i="2"/>
  <c r="K73" i="2"/>
  <c r="I73" i="2"/>
  <c r="K69" i="2"/>
  <c r="I69" i="2"/>
  <c r="K67" i="2"/>
  <c r="I67" i="2"/>
  <c r="K63" i="2"/>
  <c r="I63" i="2"/>
  <c r="K61" i="2"/>
  <c r="I61" i="2"/>
  <c r="I58" i="2"/>
  <c r="K58" i="2"/>
  <c r="K57" i="2"/>
  <c r="I57" i="2"/>
  <c r="K55" i="2"/>
  <c r="I55" i="2"/>
  <c r="K51" i="2"/>
  <c r="I51" i="2"/>
  <c r="K49" i="2"/>
  <c r="I49" i="2"/>
  <c r="K45" i="2"/>
  <c r="I45" i="2"/>
  <c r="K43" i="2"/>
  <c r="I43" i="2"/>
  <c r="K39" i="2"/>
  <c r="I39" i="2"/>
  <c r="K33" i="2"/>
  <c r="I33" i="2"/>
  <c r="I28" i="2"/>
  <c r="K28" i="2"/>
  <c r="K27" i="2"/>
  <c r="I27" i="2"/>
  <c r="I22" i="2"/>
  <c r="K22" i="2"/>
  <c r="K21" i="2"/>
  <c r="I21" i="2"/>
  <c r="I15" i="2"/>
  <c r="K15" i="2" s="1"/>
  <c r="K10" i="2"/>
  <c r="K4" i="2"/>
  <c r="K9" i="2"/>
  <c r="H7" i="3"/>
  <c r="F9" i="3"/>
  <c r="F8" i="3"/>
  <c r="F4" i="3"/>
  <c r="H10" i="3"/>
  <c r="H5" i="3"/>
  <c r="H6" i="3"/>
  <c r="H4" i="3"/>
  <c r="H9" i="3"/>
  <c r="F7" i="3"/>
  <c r="F5" i="3"/>
  <c r="H8" i="3"/>
  <c r="F10" i="3"/>
  <c r="F6" i="3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32E80FA-10F9-4429-B1DE-E4EC15FC7BD4}" keepAlive="1" name="Consulta - Consulta1" description="Conexión a la consulta 'Consulta1' en el libro." type="5" refreshedVersion="0" background="1">
    <dbPr connection="Provider=Microsoft.Mashup.OleDb.1;Data Source=$Workbook$;Location=Consulta1;Extended Properties=&quot;&quot;" command="SELECT * FROM [Consulta1]"/>
  </connection>
</connections>
</file>

<file path=xl/sharedStrings.xml><?xml version="1.0" encoding="utf-8"?>
<sst xmlns="http://schemas.openxmlformats.org/spreadsheetml/2006/main" count="3287" uniqueCount="3145">
  <si>
    <t>Columna1</t>
  </si>
  <si>
    <t>Columna2</t>
  </si>
  <si>
    <t>Columna3</t>
  </si>
  <si>
    <t>Columna4</t>
  </si>
  <si>
    <t>Columna5</t>
  </si>
  <si>
    <t>Columna6</t>
  </si>
  <si>
    <t>Columna7</t>
  </si>
  <si>
    <t>Columna8</t>
  </si>
  <si>
    <t>Columna9</t>
  </si>
  <si>
    <t>Columna10</t>
  </si>
  <si>
    <t>Columna11</t>
  </si>
  <si>
    <t>Columna12</t>
  </si>
  <si>
    <t>Columna13</t>
  </si>
  <si>
    <t>Columna14</t>
  </si>
  <si>
    <t>Columna15</t>
  </si>
  <si>
    <t>Columna16</t>
  </si>
  <si>
    <t>Columna17</t>
  </si>
  <si>
    <t>Columna18</t>
  </si>
  <si>
    <t>Columna19</t>
  </si>
  <si>
    <t>Columna20</t>
  </si>
  <si>
    <t>REGISTRO DE MOVIMIENTOS — DEPÓSITO AGROQUÍMICOS</t>
  </si>
  <si>
    <t>Color automático por Tipo_Mov  |  Col J: ingresar cantidad siempre positiva  |  Col K: signo automático (usado para stock)</t>
  </si>
  <si>
    <t>ID_Mov</t>
  </si>
  <si>
    <t>Fecha</t>
  </si>
  <si>
    <t xml:space="preserve">Producto
</t>
  </si>
  <si>
    <t>Principio
Activo/variedad</t>
  </si>
  <si>
    <t>Tipo</t>
  </si>
  <si>
    <t>Subtipo</t>
  </si>
  <si>
    <t>Proveedor</t>
  </si>
  <si>
    <t>ID_Lote</t>
  </si>
  <si>
    <t>Tipo_Mov</t>
  </si>
  <si>
    <t>Cantidad
(siempre +)</t>
  </si>
  <si>
    <t>Cantidad
Neta (auto)</t>
  </si>
  <si>
    <t>Unidad</t>
  </si>
  <si>
    <t>Fecha
Vencimiento</t>
  </si>
  <si>
    <t>Nro_Remito</t>
  </si>
  <si>
    <t>Destino /
Origen</t>
  </si>
  <si>
    <t>Nro. Int Finnegans</t>
  </si>
  <si>
    <t>Fecha Recep/Mov
Finnegans</t>
  </si>
  <si>
    <t>Lote</t>
  </si>
  <si>
    <t>MOV-001</t>
  </si>
  <si>
    <t>Semilla colza</t>
  </si>
  <si>
    <t>CURRY CL</t>
  </si>
  <si>
    <t>Semilla</t>
  </si>
  <si>
    <t>ERRO</t>
  </si>
  <si>
    <t>ENTRADA</t>
  </si>
  <si>
    <t>kg</t>
  </si>
  <si>
    <t>MOV-002</t>
  </si>
  <si>
    <t>Korvetto</t>
  </si>
  <si>
    <t xml:space="preserve">Clopyralid 12% + Halauxyfen methyl 0,51% </t>
  </si>
  <si>
    <t>Herbicida</t>
  </si>
  <si>
    <t>Postemergente</t>
  </si>
  <si>
    <t>GS Agro</t>
  </si>
  <si>
    <t>L</t>
  </si>
  <si>
    <t>Pendiente</t>
  </si>
  <si>
    <t>MOV-003</t>
  </si>
  <si>
    <t>Lontrel</t>
  </si>
  <si>
    <t>Clopyralid sal monoetanolamina 40.9%</t>
  </si>
  <si>
    <t>MOV-004</t>
  </si>
  <si>
    <t>Preside</t>
  </si>
  <si>
    <t>Flumetsulam 11,35%</t>
  </si>
  <si>
    <t>Preemergente</t>
  </si>
  <si>
    <t>MOV-005</t>
  </si>
  <si>
    <t>MOV-006</t>
  </si>
  <si>
    <t>Tordon 24K</t>
  </si>
  <si>
    <t>Picloram 24,9%</t>
  </si>
  <si>
    <t>MOV-007</t>
  </si>
  <si>
    <t>Tronador</t>
  </si>
  <si>
    <t>Aminopyralid 44,4% + Metsulfuron metil 30%</t>
  </si>
  <si>
    <t>Pack</t>
  </si>
  <si>
    <t>MOV-008</t>
  </si>
  <si>
    <t>Venceweed extra</t>
  </si>
  <si>
    <t>2,4-Db-Butilo 93.1%</t>
  </si>
  <si>
    <t>MOV-009</t>
  </si>
  <si>
    <t>Flumetsulam 11.35%</t>
  </si>
  <si>
    <t>260401-004</t>
  </si>
  <si>
    <t>SALIDA</t>
  </si>
  <si>
    <t>Salto</t>
  </si>
  <si>
    <t>MOV-010</t>
  </si>
  <si>
    <t>260401-008</t>
  </si>
  <si>
    <t>MOV-011</t>
  </si>
  <si>
    <t>Glifosato sal potasica</t>
  </si>
  <si>
    <t>glifosato sal potasica</t>
  </si>
  <si>
    <t>MOV-012</t>
  </si>
  <si>
    <t>Harrier</t>
  </si>
  <si>
    <t>Coadyuvante</t>
  </si>
  <si>
    <t>MOV-013</t>
  </si>
  <si>
    <t>260402-012</t>
  </si>
  <si>
    <t>salida</t>
  </si>
  <si>
    <t>MOV-014</t>
  </si>
  <si>
    <t>Glifosato 48%</t>
  </si>
  <si>
    <t>glifosato 48%</t>
  </si>
  <si>
    <t>MOV-015</t>
  </si>
  <si>
    <t>MOV-016</t>
  </si>
  <si>
    <t>Dedalo elite</t>
  </si>
  <si>
    <t>2,4 Dedalo</t>
  </si>
  <si>
    <t>MOV-017</t>
  </si>
  <si>
    <t>Hydrahume</t>
  </si>
  <si>
    <t>Biológico</t>
  </si>
  <si>
    <t>MOV-018</t>
  </si>
  <si>
    <t>MOV-019</t>
  </si>
  <si>
    <t>MOV-020</t>
  </si>
  <si>
    <t>MOV-021</t>
  </si>
  <si>
    <t>MOV-022</t>
  </si>
  <si>
    <t>MOV-023</t>
  </si>
  <si>
    <t>MOV-024</t>
  </si>
  <si>
    <t>MOV-025</t>
  </si>
  <si>
    <t>MOV-026</t>
  </si>
  <si>
    <t>MOV-027</t>
  </si>
  <si>
    <t>MOV-028</t>
  </si>
  <si>
    <t>MOV-029</t>
  </si>
  <si>
    <t>MOV-030</t>
  </si>
  <si>
    <t>MOV-031</t>
  </si>
  <si>
    <t>MOV-032</t>
  </si>
  <si>
    <t>MOV-033</t>
  </si>
  <si>
    <t>MOV-034</t>
  </si>
  <si>
    <t>MOV-035</t>
  </si>
  <si>
    <t>MOV-036</t>
  </si>
  <si>
    <t>MOV-037</t>
  </si>
  <si>
    <t>MOV-038</t>
  </si>
  <si>
    <t>MOV-039</t>
  </si>
  <si>
    <t>MOV-040</t>
  </si>
  <si>
    <t>MOV-041</t>
  </si>
  <si>
    <t>MOV-042</t>
  </si>
  <si>
    <t>MOV-043</t>
  </si>
  <si>
    <t>MOV-044</t>
  </si>
  <si>
    <t>MOV-045</t>
  </si>
  <si>
    <t>MOV-046</t>
  </si>
  <si>
    <t>MOV-047</t>
  </si>
  <si>
    <t>MOV-048</t>
  </si>
  <si>
    <t>MOV-049</t>
  </si>
  <si>
    <t>MOV-050</t>
  </si>
  <si>
    <t>MOV-051</t>
  </si>
  <si>
    <t>MOV-052</t>
  </si>
  <si>
    <t>MOV-053</t>
  </si>
  <si>
    <t>MOV-054</t>
  </si>
  <si>
    <t>MOV-055</t>
  </si>
  <si>
    <t>MOV-056</t>
  </si>
  <si>
    <t>MOV-057</t>
  </si>
  <si>
    <t>MOV-058</t>
  </si>
  <si>
    <t>MOV-059</t>
  </si>
  <si>
    <t>MOV-060</t>
  </si>
  <si>
    <t>MOV-061</t>
  </si>
  <si>
    <t>MOV-062</t>
  </si>
  <si>
    <t>MOV-063</t>
  </si>
  <si>
    <t>MOV-064</t>
  </si>
  <si>
    <t>MOV-065</t>
  </si>
  <si>
    <t>MOV-066</t>
  </si>
  <si>
    <t>MOV-067</t>
  </si>
  <si>
    <t>MOV-068</t>
  </si>
  <si>
    <t>MOV-069</t>
  </si>
  <si>
    <t>MOV-070</t>
  </si>
  <si>
    <t>MOV-071</t>
  </si>
  <si>
    <t>MOV-072</t>
  </si>
  <si>
    <t>MOV-073</t>
  </si>
  <si>
    <t>MOV-074</t>
  </si>
  <si>
    <t>MOV-075</t>
  </si>
  <si>
    <t>MOV-076</t>
  </si>
  <si>
    <t>MOV-077</t>
  </si>
  <si>
    <t>MOV-078</t>
  </si>
  <si>
    <t>MOV-079</t>
  </si>
  <si>
    <t>MOV-080</t>
  </si>
  <si>
    <t>MOV-081</t>
  </si>
  <si>
    <t>MOV-082</t>
  </si>
  <si>
    <t>MOV-083</t>
  </si>
  <si>
    <t>MOV-084</t>
  </si>
  <si>
    <t>MOV-085</t>
  </si>
  <si>
    <t>MOV-086</t>
  </si>
  <si>
    <t>MOV-087</t>
  </si>
  <si>
    <t>MOV-088</t>
  </si>
  <si>
    <t>MOV-089</t>
  </si>
  <si>
    <t>MOV-090</t>
  </si>
  <si>
    <t>MOV-091</t>
  </si>
  <si>
    <t>MOV-092</t>
  </si>
  <si>
    <t>MOV-093</t>
  </si>
  <si>
    <t>MOV-094</t>
  </si>
  <si>
    <t>MOV-095</t>
  </si>
  <si>
    <t>MOV-096</t>
  </si>
  <si>
    <t>MOV-097</t>
  </si>
  <si>
    <t>MOV-098</t>
  </si>
  <si>
    <t>MOV-099</t>
  </si>
  <si>
    <t>MOV-100</t>
  </si>
  <si>
    <t>MOV-101</t>
  </si>
  <si>
    <t>MOV-102</t>
  </si>
  <si>
    <t>MOV-103</t>
  </si>
  <si>
    <t>MOV-104</t>
  </si>
  <si>
    <t>MOV-105</t>
  </si>
  <si>
    <t>MOV-106</t>
  </si>
  <si>
    <t>MOV-107</t>
  </si>
  <si>
    <t>MOV-108</t>
  </si>
  <si>
    <t>MOV-109</t>
  </si>
  <si>
    <t>MOV-110</t>
  </si>
  <si>
    <t>MOV-111</t>
  </si>
  <si>
    <t>MOV-112</t>
  </si>
  <si>
    <t>MOV-113</t>
  </si>
  <si>
    <t>MOV-114</t>
  </si>
  <si>
    <t>MOV-115</t>
  </si>
  <si>
    <t>MOV-116</t>
  </si>
  <si>
    <t>MOV-117</t>
  </si>
  <si>
    <t>MOV-118</t>
  </si>
  <si>
    <t>MOV-119</t>
  </si>
  <si>
    <t>MOV-120</t>
  </si>
  <si>
    <t>MOV-121</t>
  </si>
  <si>
    <t>MOV-122</t>
  </si>
  <si>
    <t>MOV-123</t>
  </si>
  <si>
    <t>MOV-124</t>
  </si>
  <si>
    <t>MOV-125</t>
  </si>
  <si>
    <t>MOV-126</t>
  </si>
  <si>
    <t>MOV-127</t>
  </si>
  <si>
    <t>MOV-128</t>
  </si>
  <si>
    <t>MOV-129</t>
  </si>
  <si>
    <t>MOV-130</t>
  </si>
  <si>
    <t>MOV-131</t>
  </si>
  <si>
    <t>MOV-132</t>
  </si>
  <si>
    <t>MOV-133</t>
  </si>
  <si>
    <t>MOV-134</t>
  </si>
  <si>
    <t>MOV-135</t>
  </si>
  <si>
    <t>MOV-136</t>
  </si>
  <si>
    <t>MOV-137</t>
  </si>
  <si>
    <t>MOV-138</t>
  </si>
  <si>
    <t>MOV-139</t>
  </si>
  <si>
    <t>MOV-140</t>
  </si>
  <si>
    <t>MOV-141</t>
  </si>
  <si>
    <t>MOV-142</t>
  </si>
  <si>
    <t>MOV-143</t>
  </si>
  <si>
    <t>MOV-144</t>
  </si>
  <si>
    <t>MOV-145</t>
  </si>
  <si>
    <t>MOV-146</t>
  </si>
  <si>
    <t>MOV-147</t>
  </si>
  <si>
    <t>MOV-148</t>
  </si>
  <si>
    <t>MOV-149</t>
  </si>
  <si>
    <t>MOV-150</t>
  </si>
  <si>
    <t>MOV-151</t>
  </si>
  <si>
    <t>MOV-152</t>
  </si>
  <si>
    <t>MOV-153</t>
  </si>
  <si>
    <t>MOV-154</t>
  </si>
  <si>
    <t>MOV-155</t>
  </si>
  <si>
    <t>MOV-156</t>
  </si>
  <si>
    <t>MOV-157</t>
  </si>
  <si>
    <t>MOV-158</t>
  </si>
  <si>
    <t>MOV-159</t>
  </si>
  <si>
    <t>MOV-160</t>
  </si>
  <si>
    <t>MOV-161</t>
  </si>
  <si>
    <t>MOV-162</t>
  </si>
  <si>
    <t>MOV-163</t>
  </si>
  <si>
    <t>MOV-164</t>
  </si>
  <si>
    <t>MOV-165</t>
  </si>
  <si>
    <t>MOV-166</t>
  </si>
  <si>
    <t>MOV-167</t>
  </si>
  <si>
    <t>MOV-168</t>
  </si>
  <si>
    <t>MOV-169</t>
  </si>
  <si>
    <t>MOV-170</t>
  </si>
  <si>
    <t>MOV-171</t>
  </si>
  <si>
    <t>MOV-172</t>
  </si>
  <si>
    <t>MOV-173</t>
  </si>
  <si>
    <t>MOV-174</t>
  </si>
  <si>
    <t>MOV-175</t>
  </si>
  <si>
    <t>MOV-176</t>
  </si>
  <si>
    <t>MOV-177</t>
  </si>
  <si>
    <t>MOV-178</t>
  </si>
  <si>
    <t>MOV-179</t>
  </si>
  <si>
    <t>MOV-180</t>
  </si>
  <si>
    <t>MOV-181</t>
  </si>
  <si>
    <t>MOV-182</t>
  </si>
  <si>
    <t>MOV-183</t>
  </si>
  <si>
    <t>MOV-184</t>
  </si>
  <si>
    <t>MOV-185</t>
  </si>
  <si>
    <t>MOV-186</t>
  </si>
  <si>
    <t>MOV-187</t>
  </si>
  <si>
    <t>MOV-188</t>
  </si>
  <si>
    <t>MOV-189</t>
  </si>
  <si>
    <t>MOV-190</t>
  </si>
  <si>
    <t>MOV-191</t>
  </si>
  <si>
    <t>MOV-192</t>
  </si>
  <si>
    <t>MOV-193</t>
  </si>
  <si>
    <t>MOV-194</t>
  </si>
  <si>
    <t>MOV-195</t>
  </si>
  <si>
    <t>MOV-196</t>
  </si>
  <si>
    <t>MOV-197</t>
  </si>
  <si>
    <t>MOV-198</t>
  </si>
  <si>
    <t>MOV-199</t>
  </si>
  <si>
    <t>MOV-200</t>
  </si>
  <si>
    <t>MOV-201</t>
  </si>
  <si>
    <t>MOV-202</t>
  </si>
  <si>
    <t>MOV-203</t>
  </si>
  <si>
    <t>MOV-204</t>
  </si>
  <si>
    <t>MOV-205</t>
  </si>
  <si>
    <t>MOV-206</t>
  </si>
  <si>
    <t>MOV-207</t>
  </si>
  <si>
    <t>MOV-208</t>
  </si>
  <si>
    <t>MOV-209</t>
  </si>
  <si>
    <t>MOV-210</t>
  </si>
  <si>
    <t>MOV-211</t>
  </si>
  <si>
    <t>MOV-212</t>
  </si>
  <si>
    <t>MOV-213</t>
  </si>
  <si>
    <t>MOV-214</t>
  </si>
  <si>
    <t>MOV-215</t>
  </si>
  <si>
    <t>MOV-216</t>
  </si>
  <si>
    <t>MOV-217</t>
  </si>
  <si>
    <t>MOV-218</t>
  </si>
  <si>
    <t>MOV-219</t>
  </si>
  <si>
    <t>MOV-220</t>
  </si>
  <si>
    <t>MOV-221</t>
  </si>
  <si>
    <t>MOV-222</t>
  </si>
  <si>
    <t>MOV-223</t>
  </si>
  <si>
    <t>MOV-224</t>
  </si>
  <si>
    <t>MOV-225</t>
  </si>
  <si>
    <t>MOV-226</t>
  </si>
  <si>
    <t>MOV-227</t>
  </si>
  <si>
    <t>MOV-228</t>
  </si>
  <si>
    <t>MOV-229</t>
  </si>
  <si>
    <t>MOV-230</t>
  </si>
  <si>
    <t>MOV-231</t>
  </si>
  <si>
    <t>MOV-232</t>
  </si>
  <si>
    <t>MOV-233</t>
  </si>
  <si>
    <t>MOV-234</t>
  </si>
  <si>
    <t>MOV-235</t>
  </si>
  <si>
    <t>MOV-236</t>
  </si>
  <si>
    <t>MOV-237</t>
  </si>
  <si>
    <t>MOV-238</t>
  </si>
  <si>
    <t>MOV-239</t>
  </si>
  <si>
    <t>MOV-240</t>
  </si>
  <si>
    <t>MOV-241</t>
  </si>
  <si>
    <t>MOV-242</t>
  </si>
  <si>
    <t>MOV-243</t>
  </si>
  <si>
    <t>MOV-244</t>
  </si>
  <si>
    <t>MOV-245</t>
  </si>
  <si>
    <t>MOV-246</t>
  </si>
  <si>
    <t>MOV-247</t>
  </si>
  <si>
    <t>MOV-248</t>
  </si>
  <si>
    <t>MOV-249</t>
  </si>
  <si>
    <t>MOV-250</t>
  </si>
  <si>
    <t>MOV-251</t>
  </si>
  <si>
    <t>MOV-252</t>
  </si>
  <si>
    <t>MOV-253</t>
  </si>
  <si>
    <t>MOV-254</t>
  </si>
  <si>
    <t>MOV-255</t>
  </si>
  <si>
    <t>MOV-256</t>
  </si>
  <si>
    <t>MOV-257</t>
  </si>
  <si>
    <t>MOV-258</t>
  </si>
  <si>
    <t>MOV-259</t>
  </si>
  <si>
    <t>MOV-260</t>
  </si>
  <si>
    <t>MOV-261</t>
  </si>
  <si>
    <t>MOV-262</t>
  </si>
  <si>
    <t>MOV-263</t>
  </si>
  <si>
    <t>MOV-264</t>
  </si>
  <si>
    <t>MOV-265</t>
  </si>
  <si>
    <t>MOV-266</t>
  </si>
  <si>
    <t>MOV-267</t>
  </si>
  <si>
    <t>MOV-268</t>
  </si>
  <si>
    <t>MOV-269</t>
  </si>
  <si>
    <t>MOV-270</t>
  </si>
  <si>
    <t>MOV-271</t>
  </si>
  <si>
    <t>MOV-272</t>
  </si>
  <si>
    <t>MOV-273</t>
  </si>
  <si>
    <t>MOV-274</t>
  </si>
  <si>
    <t>MOV-275</t>
  </si>
  <si>
    <t>MOV-276</t>
  </si>
  <si>
    <t>MOV-277</t>
  </si>
  <si>
    <t>MOV-278</t>
  </si>
  <si>
    <t>MOV-279</t>
  </si>
  <si>
    <t>MOV-280</t>
  </si>
  <si>
    <t>MOV-281</t>
  </si>
  <si>
    <t>MOV-282</t>
  </si>
  <si>
    <t>MOV-283</t>
  </si>
  <si>
    <t>MOV-284</t>
  </si>
  <si>
    <t>MOV-285</t>
  </si>
  <si>
    <t>MOV-286</t>
  </si>
  <si>
    <t>MOV-287</t>
  </si>
  <si>
    <t>MOV-288</t>
  </si>
  <si>
    <t>MOV-289</t>
  </si>
  <si>
    <t>MOV-290</t>
  </si>
  <si>
    <t>MOV-291</t>
  </si>
  <si>
    <t>MOV-292</t>
  </si>
  <si>
    <t>MOV-293</t>
  </si>
  <si>
    <t>MOV-294</t>
  </si>
  <si>
    <t>MOV-295</t>
  </si>
  <si>
    <t>MOV-296</t>
  </si>
  <si>
    <t>MOV-297</t>
  </si>
  <si>
    <t>MOV-298</t>
  </si>
  <si>
    <t>MOV-299</t>
  </si>
  <si>
    <t>MOV-300</t>
  </si>
  <si>
    <t>MOV-301</t>
  </si>
  <si>
    <t>MOV-302</t>
  </si>
  <si>
    <t>MOV-303</t>
  </si>
  <si>
    <t>MOV-304</t>
  </si>
  <si>
    <t>MOV-305</t>
  </si>
  <si>
    <t>MOV-306</t>
  </si>
  <si>
    <t>MOV-307</t>
  </si>
  <si>
    <t>MOV-308</t>
  </si>
  <si>
    <t>MOV-309</t>
  </si>
  <si>
    <t>MOV-310</t>
  </si>
  <si>
    <t>MOV-311</t>
  </si>
  <si>
    <t>MOV-312</t>
  </si>
  <si>
    <t>MOV-313</t>
  </si>
  <si>
    <t>MOV-314</t>
  </si>
  <si>
    <t>MOV-315</t>
  </si>
  <si>
    <t>MOV-316</t>
  </si>
  <si>
    <t>MOV-317</t>
  </si>
  <si>
    <t>MOV-318</t>
  </si>
  <si>
    <t>MOV-319</t>
  </si>
  <si>
    <t>MOV-320</t>
  </si>
  <si>
    <t>MOV-321</t>
  </si>
  <si>
    <t>MOV-322</t>
  </si>
  <si>
    <t>MOV-323</t>
  </si>
  <si>
    <t>MOV-324</t>
  </si>
  <si>
    <t>MOV-325</t>
  </si>
  <si>
    <t>MOV-326</t>
  </si>
  <si>
    <t>MOV-327</t>
  </si>
  <si>
    <t>MOV-328</t>
  </si>
  <si>
    <t>MOV-329</t>
  </si>
  <si>
    <t>MOV-330</t>
  </si>
  <si>
    <t>MOV-331</t>
  </si>
  <si>
    <t>MOV-332</t>
  </si>
  <si>
    <t>MOV-333</t>
  </si>
  <si>
    <t>MOV-334</t>
  </si>
  <si>
    <t>MOV-335</t>
  </si>
  <si>
    <t>MOV-336</t>
  </si>
  <si>
    <t>MOV-337</t>
  </si>
  <si>
    <t>MOV-338</t>
  </si>
  <si>
    <t>MOV-339</t>
  </si>
  <si>
    <t>MOV-340</t>
  </si>
  <si>
    <t>MOV-341</t>
  </si>
  <si>
    <t>MOV-342</t>
  </si>
  <si>
    <t>MOV-343</t>
  </si>
  <si>
    <t>MOV-344</t>
  </si>
  <si>
    <t>MOV-345</t>
  </si>
  <si>
    <t>MOV-346</t>
  </si>
  <si>
    <t>MOV-347</t>
  </si>
  <si>
    <t>MOV-348</t>
  </si>
  <si>
    <t>MOV-349</t>
  </si>
  <si>
    <t>MOV-350</t>
  </si>
  <si>
    <t>MOV-351</t>
  </si>
  <si>
    <t>MOV-352</t>
  </si>
  <si>
    <t>MOV-353</t>
  </si>
  <si>
    <t>MOV-354</t>
  </si>
  <si>
    <t>MOV-355</t>
  </si>
  <si>
    <t>MOV-356</t>
  </si>
  <si>
    <t>MOV-357</t>
  </si>
  <si>
    <t>MOV-358</t>
  </si>
  <si>
    <t>MOV-359</t>
  </si>
  <si>
    <t>MOV-360</t>
  </si>
  <si>
    <t>MOV-361</t>
  </si>
  <si>
    <t>MOV-362</t>
  </si>
  <si>
    <t>MOV-363</t>
  </si>
  <si>
    <t>MOV-364</t>
  </si>
  <si>
    <t>MOV-365</t>
  </si>
  <si>
    <t>MOV-366</t>
  </si>
  <si>
    <t>MOV-367</t>
  </si>
  <si>
    <t>MOV-368</t>
  </si>
  <si>
    <t>MOV-369</t>
  </si>
  <si>
    <t>MOV-370</t>
  </si>
  <si>
    <t>MOV-371</t>
  </si>
  <si>
    <t>MOV-372</t>
  </si>
  <si>
    <t>MOV-373</t>
  </si>
  <si>
    <t>MOV-374</t>
  </si>
  <si>
    <t>MOV-375</t>
  </si>
  <si>
    <t>MOV-376</t>
  </si>
  <si>
    <t>MOV-377</t>
  </si>
  <si>
    <t>MOV-378</t>
  </si>
  <si>
    <t>MOV-379</t>
  </si>
  <si>
    <t>MOV-380</t>
  </si>
  <si>
    <t>MOV-381</t>
  </si>
  <si>
    <t>MOV-382</t>
  </si>
  <si>
    <t>MOV-383</t>
  </si>
  <si>
    <t>MOV-384</t>
  </si>
  <si>
    <t>MOV-385</t>
  </si>
  <si>
    <t>MOV-386</t>
  </si>
  <si>
    <t>MOV-387</t>
  </si>
  <si>
    <t>MOV-388</t>
  </si>
  <si>
    <t>MOV-389</t>
  </si>
  <si>
    <t>MOV-390</t>
  </si>
  <si>
    <t>MOV-391</t>
  </si>
  <si>
    <t>MOV-392</t>
  </si>
  <si>
    <t>MOV-393</t>
  </si>
  <si>
    <t>MOV-394</t>
  </si>
  <si>
    <t>MOV-395</t>
  </si>
  <si>
    <t>MOV-396</t>
  </si>
  <si>
    <t>MOV-397</t>
  </si>
  <si>
    <t>MOV-398</t>
  </si>
  <si>
    <t>MOV-399</t>
  </si>
  <si>
    <t>MOV-400</t>
  </si>
  <si>
    <t>MOV-401</t>
  </si>
  <si>
    <t>MOV-402</t>
  </si>
  <si>
    <t>MOV-403</t>
  </si>
  <si>
    <t>MOV-404</t>
  </si>
  <si>
    <t>MOV-405</t>
  </si>
  <si>
    <t>MOV-406</t>
  </si>
  <si>
    <t>MOV-407</t>
  </si>
  <si>
    <t>MOV-408</t>
  </si>
  <si>
    <t>MOV-409</t>
  </si>
  <si>
    <t>MOV-410</t>
  </si>
  <si>
    <t>MOV-411</t>
  </si>
  <si>
    <t>MOV-412</t>
  </si>
  <si>
    <t>MOV-413</t>
  </si>
  <si>
    <t>MOV-414</t>
  </si>
  <si>
    <t>MOV-415</t>
  </si>
  <si>
    <t>MOV-416</t>
  </si>
  <si>
    <t>MOV-417</t>
  </si>
  <si>
    <t>MOV-418</t>
  </si>
  <si>
    <t>MOV-419</t>
  </si>
  <si>
    <t>MOV-420</t>
  </si>
  <si>
    <t>MOV-421</t>
  </si>
  <si>
    <t>MOV-422</t>
  </si>
  <si>
    <t>MOV-423</t>
  </si>
  <si>
    <t>MOV-424</t>
  </si>
  <si>
    <t>MOV-425</t>
  </si>
  <si>
    <t>MOV-426</t>
  </si>
  <si>
    <t>MOV-427</t>
  </si>
  <si>
    <t>MOV-428</t>
  </si>
  <si>
    <t>MOV-429</t>
  </si>
  <si>
    <t>MOV-430</t>
  </si>
  <si>
    <t>MOV-431</t>
  </si>
  <si>
    <t>MOV-432</t>
  </si>
  <si>
    <t>MOV-433</t>
  </si>
  <si>
    <t>MOV-434</t>
  </si>
  <si>
    <t>MOV-435</t>
  </si>
  <si>
    <t>MOV-436</t>
  </si>
  <si>
    <t>MOV-437</t>
  </si>
  <si>
    <t>MOV-438</t>
  </si>
  <si>
    <t>MOV-439</t>
  </si>
  <si>
    <t>MOV-440</t>
  </si>
  <si>
    <t>MOV-441</t>
  </si>
  <si>
    <t>MOV-442</t>
  </si>
  <si>
    <t>MOV-443</t>
  </si>
  <si>
    <t>MOV-444</t>
  </si>
  <si>
    <t>MOV-445</t>
  </si>
  <si>
    <t>MOV-446</t>
  </si>
  <si>
    <t>MOV-447</t>
  </si>
  <si>
    <t>MOV-448</t>
  </si>
  <si>
    <t>MOV-449</t>
  </si>
  <si>
    <t>MOV-450</t>
  </si>
  <si>
    <t>MOV-451</t>
  </si>
  <si>
    <t>MOV-452</t>
  </si>
  <si>
    <t>MOV-453</t>
  </si>
  <si>
    <t>MOV-454</t>
  </si>
  <si>
    <t>MOV-455</t>
  </si>
  <si>
    <t>MOV-456</t>
  </si>
  <si>
    <t>MOV-457</t>
  </si>
  <si>
    <t>MOV-458</t>
  </si>
  <si>
    <t>MOV-459</t>
  </si>
  <si>
    <t>MOV-460</t>
  </si>
  <si>
    <t>MOV-461</t>
  </si>
  <si>
    <t>MOV-462</t>
  </si>
  <si>
    <t>MOV-463</t>
  </si>
  <si>
    <t>MOV-464</t>
  </si>
  <si>
    <t>MOV-465</t>
  </si>
  <si>
    <t>MOV-466</t>
  </si>
  <si>
    <t>MOV-467</t>
  </si>
  <si>
    <t>MOV-468</t>
  </si>
  <si>
    <t>MOV-469</t>
  </si>
  <si>
    <t>MOV-470</t>
  </si>
  <si>
    <t>MOV-471</t>
  </si>
  <si>
    <t>MOV-472</t>
  </si>
  <si>
    <t>MOV-473</t>
  </si>
  <si>
    <t>MOV-474</t>
  </si>
  <si>
    <t>MOV-475</t>
  </si>
  <si>
    <t>MOV-476</t>
  </si>
  <si>
    <t>MOV-477</t>
  </si>
  <si>
    <t>MOV-478</t>
  </si>
  <si>
    <t>MOV-479</t>
  </si>
  <si>
    <t>MOV-480</t>
  </si>
  <si>
    <t>MOV-481</t>
  </si>
  <si>
    <t>MOV-482</t>
  </si>
  <si>
    <t>MOV-483</t>
  </si>
  <si>
    <t>MOV-484</t>
  </si>
  <si>
    <t>MOV-485</t>
  </si>
  <si>
    <t>MOV-486</t>
  </si>
  <si>
    <t>MOV-487</t>
  </si>
  <si>
    <t>MOV-488</t>
  </si>
  <si>
    <t>MOV-489</t>
  </si>
  <si>
    <t>MOV-490</t>
  </si>
  <si>
    <t>MOV-491</t>
  </si>
  <si>
    <t>MOV-492</t>
  </si>
  <si>
    <t>MOV-493</t>
  </si>
  <si>
    <t>MOV-494</t>
  </si>
  <si>
    <t>MOV-495</t>
  </si>
  <si>
    <t>MOV-496</t>
  </si>
  <si>
    <t>MOV-497</t>
  </si>
  <si>
    <t>MOV-498</t>
  </si>
  <si>
    <t>MOV-499</t>
  </si>
  <si>
    <t>MOV-500</t>
  </si>
  <si>
    <t>MOV-501</t>
  </si>
  <si>
    <t>MOV-502</t>
  </si>
  <si>
    <t>MOV-503</t>
  </si>
  <si>
    <t>MOV-504</t>
  </si>
  <si>
    <t>MOV-505</t>
  </si>
  <si>
    <t>MOV-506</t>
  </si>
  <si>
    <t>MOV-507</t>
  </si>
  <si>
    <t>MOV-508</t>
  </si>
  <si>
    <t>MOV-509</t>
  </si>
  <si>
    <t>MOV-510</t>
  </si>
  <si>
    <t>MOV-511</t>
  </si>
  <si>
    <t>MOV-512</t>
  </si>
  <si>
    <t>MOV-513</t>
  </si>
  <si>
    <t>MOV-514</t>
  </si>
  <si>
    <t>MOV-515</t>
  </si>
  <si>
    <t>MOV-516</t>
  </si>
  <si>
    <t>MOV-517</t>
  </si>
  <si>
    <t>MOV-518</t>
  </si>
  <si>
    <t>MOV-519</t>
  </si>
  <si>
    <t>MOV-520</t>
  </si>
  <si>
    <t>MOV-521</t>
  </si>
  <si>
    <t>MOV-522</t>
  </si>
  <si>
    <t>MOV-523</t>
  </si>
  <si>
    <t>MOV-524</t>
  </si>
  <si>
    <t>MOV-525</t>
  </si>
  <si>
    <t>MOV-526</t>
  </si>
  <si>
    <t>MOV-527</t>
  </si>
  <si>
    <t>MOV-528</t>
  </si>
  <si>
    <t>MOV-529</t>
  </si>
  <si>
    <t>MOV-530</t>
  </si>
  <si>
    <t>MOV-531</t>
  </si>
  <si>
    <t>MOV-532</t>
  </si>
  <si>
    <t>MOV-533</t>
  </si>
  <si>
    <t>MOV-534</t>
  </si>
  <si>
    <t>MOV-535</t>
  </si>
  <si>
    <t>MOV-536</t>
  </si>
  <si>
    <t>MOV-537</t>
  </si>
  <si>
    <t>MOV-538</t>
  </si>
  <si>
    <t>MOV-539</t>
  </si>
  <si>
    <t>MOV-540</t>
  </si>
  <si>
    <t>MOV-541</t>
  </si>
  <si>
    <t>MOV-542</t>
  </si>
  <si>
    <t>MOV-543</t>
  </si>
  <si>
    <t>MOV-544</t>
  </si>
  <si>
    <t>MOV-545</t>
  </si>
  <si>
    <t>MOV-546</t>
  </si>
  <si>
    <t>MOV-547</t>
  </si>
  <si>
    <t>MOV-548</t>
  </si>
  <si>
    <t>MOV-549</t>
  </si>
  <si>
    <t>MOV-550</t>
  </si>
  <si>
    <t>MOV-551</t>
  </si>
  <si>
    <t>MOV-552</t>
  </si>
  <si>
    <t>MOV-553</t>
  </si>
  <si>
    <t>MOV-554</t>
  </si>
  <si>
    <t>MOV-555</t>
  </si>
  <si>
    <t>MOV-556</t>
  </si>
  <si>
    <t>MOV-557</t>
  </si>
  <si>
    <t>MOV-558</t>
  </si>
  <si>
    <t>MOV-559</t>
  </si>
  <si>
    <t>MOV-560</t>
  </si>
  <si>
    <t>MOV-561</t>
  </si>
  <si>
    <t>MOV-562</t>
  </si>
  <si>
    <t>MOV-563</t>
  </si>
  <si>
    <t>MOV-564</t>
  </si>
  <si>
    <t>MOV-565</t>
  </si>
  <si>
    <t>MOV-566</t>
  </si>
  <si>
    <t>MOV-567</t>
  </si>
  <si>
    <t>MOV-568</t>
  </si>
  <si>
    <t>MOV-569</t>
  </si>
  <si>
    <t>MOV-570</t>
  </si>
  <si>
    <t>MOV-571</t>
  </si>
  <si>
    <t>MOV-572</t>
  </si>
  <si>
    <t>MOV-573</t>
  </si>
  <si>
    <t>MOV-574</t>
  </si>
  <si>
    <t>MOV-575</t>
  </si>
  <si>
    <t>MOV-576</t>
  </si>
  <si>
    <t>MOV-577</t>
  </si>
  <si>
    <t>MOV-578</t>
  </si>
  <si>
    <t>MOV-579</t>
  </si>
  <si>
    <t>MOV-580</t>
  </si>
  <si>
    <t>MOV-581</t>
  </si>
  <si>
    <t>MOV-582</t>
  </si>
  <si>
    <t>MOV-583</t>
  </si>
  <si>
    <t>MOV-584</t>
  </si>
  <si>
    <t>MOV-585</t>
  </si>
  <si>
    <t>MOV-586</t>
  </si>
  <si>
    <t>MOV-587</t>
  </si>
  <si>
    <t>MOV-588</t>
  </si>
  <si>
    <t>MOV-589</t>
  </si>
  <si>
    <t>MOV-590</t>
  </si>
  <si>
    <t>MOV-591</t>
  </si>
  <si>
    <t>MOV-592</t>
  </si>
  <si>
    <t>MOV-593</t>
  </si>
  <si>
    <t>MOV-594</t>
  </si>
  <si>
    <t>MOV-595</t>
  </si>
  <si>
    <t>MOV-596</t>
  </si>
  <si>
    <t>MOV-597</t>
  </si>
  <si>
    <t>MOV-598</t>
  </si>
  <si>
    <t>MOV-599</t>
  </si>
  <si>
    <t>MOV-600</t>
  </si>
  <si>
    <t>MOV-601</t>
  </si>
  <si>
    <t>MOV-602</t>
  </si>
  <si>
    <t>MOV-603</t>
  </si>
  <si>
    <t>MOV-604</t>
  </si>
  <si>
    <t>MOV-605</t>
  </si>
  <si>
    <t>MOV-606</t>
  </si>
  <si>
    <t>MOV-607</t>
  </si>
  <si>
    <t>MOV-608</t>
  </si>
  <si>
    <t>MOV-609</t>
  </si>
  <si>
    <t>MOV-610</t>
  </si>
  <si>
    <t>MOV-611</t>
  </si>
  <si>
    <t>MOV-612</t>
  </si>
  <si>
    <t>MOV-613</t>
  </si>
  <si>
    <t>MOV-614</t>
  </si>
  <si>
    <t>MOV-615</t>
  </si>
  <si>
    <t>MOV-616</t>
  </si>
  <si>
    <t>MOV-617</t>
  </si>
  <si>
    <t>MOV-618</t>
  </si>
  <si>
    <t>MOV-619</t>
  </si>
  <si>
    <t>MOV-620</t>
  </si>
  <si>
    <t>MOV-621</t>
  </si>
  <si>
    <t>MOV-622</t>
  </si>
  <si>
    <t>MOV-623</t>
  </si>
  <si>
    <t>MOV-624</t>
  </si>
  <si>
    <t>MOV-625</t>
  </si>
  <si>
    <t>MOV-626</t>
  </si>
  <si>
    <t>MOV-627</t>
  </si>
  <si>
    <t>MOV-628</t>
  </si>
  <si>
    <t>MOV-629</t>
  </si>
  <si>
    <t>MOV-630</t>
  </si>
  <si>
    <t>MOV-631</t>
  </si>
  <si>
    <t>MOV-632</t>
  </si>
  <si>
    <t>MOV-633</t>
  </si>
  <si>
    <t>MOV-634</t>
  </si>
  <si>
    <t>MOV-635</t>
  </si>
  <si>
    <t>MOV-636</t>
  </si>
  <si>
    <t>MOV-637</t>
  </si>
  <si>
    <t>MOV-638</t>
  </si>
  <si>
    <t>MOV-639</t>
  </si>
  <si>
    <t>MOV-640</t>
  </si>
  <si>
    <t>MOV-641</t>
  </si>
  <si>
    <t>MOV-642</t>
  </si>
  <si>
    <t>MOV-643</t>
  </si>
  <si>
    <t>MOV-644</t>
  </si>
  <si>
    <t>MOV-645</t>
  </si>
  <si>
    <t>MOV-646</t>
  </si>
  <si>
    <t>MOV-647</t>
  </si>
  <si>
    <t>MOV-648</t>
  </si>
  <si>
    <t>MOV-649</t>
  </si>
  <si>
    <t>MOV-650</t>
  </si>
  <si>
    <t>MOV-651</t>
  </si>
  <si>
    <t>MOV-652</t>
  </si>
  <si>
    <t>MOV-653</t>
  </si>
  <si>
    <t>MOV-654</t>
  </si>
  <si>
    <t>MOV-655</t>
  </si>
  <si>
    <t>MOV-656</t>
  </si>
  <si>
    <t>MOV-657</t>
  </si>
  <si>
    <t>MOV-658</t>
  </si>
  <si>
    <t>MOV-659</t>
  </si>
  <si>
    <t>MOV-660</t>
  </si>
  <si>
    <t>MOV-661</t>
  </si>
  <si>
    <t>MOV-662</t>
  </si>
  <si>
    <t>MOV-663</t>
  </si>
  <si>
    <t>MOV-664</t>
  </si>
  <si>
    <t>MOV-665</t>
  </si>
  <si>
    <t>MOV-666</t>
  </si>
  <si>
    <t>MOV-667</t>
  </si>
  <si>
    <t>MOV-668</t>
  </si>
  <si>
    <t>MOV-669</t>
  </si>
  <si>
    <t>MOV-670</t>
  </si>
  <si>
    <t>MOV-671</t>
  </si>
  <si>
    <t>MOV-672</t>
  </si>
  <si>
    <t>MOV-673</t>
  </si>
  <si>
    <t>MOV-674</t>
  </si>
  <si>
    <t>MOV-675</t>
  </si>
  <si>
    <t>MOV-676</t>
  </si>
  <si>
    <t>MOV-677</t>
  </si>
  <si>
    <t>MOV-678</t>
  </si>
  <si>
    <t>MOV-679</t>
  </si>
  <si>
    <t>MOV-680</t>
  </si>
  <si>
    <t>MOV-681</t>
  </si>
  <si>
    <t>MOV-682</t>
  </si>
  <si>
    <t>MOV-683</t>
  </si>
  <si>
    <t>MOV-684</t>
  </si>
  <si>
    <t>MOV-685</t>
  </si>
  <si>
    <t>MOV-686</t>
  </si>
  <si>
    <t>MOV-687</t>
  </si>
  <si>
    <t>MOV-688</t>
  </si>
  <si>
    <t>MOV-689</t>
  </si>
  <si>
    <t>MOV-690</t>
  </si>
  <si>
    <t>MOV-691</t>
  </si>
  <si>
    <t>MOV-692</t>
  </si>
  <si>
    <t>MOV-693</t>
  </si>
  <si>
    <t>MOV-694</t>
  </si>
  <si>
    <t>MOV-695</t>
  </si>
  <si>
    <t>MOV-696</t>
  </si>
  <si>
    <t>MOV-697</t>
  </si>
  <si>
    <t>MOV-698</t>
  </si>
  <si>
    <t>MOV-699</t>
  </si>
  <si>
    <t>MOV-700</t>
  </si>
  <si>
    <t>MOV-701</t>
  </si>
  <si>
    <t>MOV-702</t>
  </si>
  <si>
    <t>MOV-703</t>
  </si>
  <si>
    <t>MOV-704</t>
  </si>
  <si>
    <t>MOV-705</t>
  </si>
  <si>
    <t>MOV-706</t>
  </si>
  <si>
    <t>MOV-707</t>
  </si>
  <si>
    <t>MOV-708</t>
  </si>
  <si>
    <t>MOV-709</t>
  </si>
  <si>
    <t>MOV-710</t>
  </si>
  <si>
    <t>MOV-711</t>
  </si>
  <si>
    <t>MOV-712</t>
  </si>
  <si>
    <t>MOV-713</t>
  </si>
  <si>
    <t>MOV-714</t>
  </si>
  <si>
    <t>MOV-715</t>
  </si>
  <si>
    <t>MOV-716</t>
  </si>
  <si>
    <t>MOV-717</t>
  </si>
  <si>
    <t>MOV-718</t>
  </si>
  <si>
    <t>MOV-719</t>
  </si>
  <si>
    <t>MOV-720</t>
  </si>
  <si>
    <t>MOV-721</t>
  </si>
  <si>
    <t>MOV-722</t>
  </si>
  <si>
    <t>MOV-723</t>
  </si>
  <si>
    <t>MOV-724</t>
  </si>
  <si>
    <t>MOV-725</t>
  </si>
  <si>
    <t>MOV-726</t>
  </si>
  <si>
    <t>MOV-727</t>
  </si>
  <si>
    <t>MOV-728</t>
  </si>
  <si>
    <t>MOV-729</t>
  </si>
  <si>
    <t>MOV-730</t>
  </si>
  <si>
    <t>MOV-731</t>
  </si>
  <si>
    <t>MOV-732</t>
  </si>
  <si>
    <t>MOV-733</t>
  </si>
  <si>
    <t>MOV-734</t>
  </si>
  <si>
    <t>MOV-735</t>
  </si>
  <si>
    <t>MOV-736</t>
  </si>
  <si>
    <t>MOV-737</t>
  </si>
  <si>
    <t>MOV-738</t>
  </si>
  <si>
    <t>MOV-739</t>
  </si>
  <si>
    <t>MOV-740</t>
  </si>
  <si>
    <t>MOV-741</t>
  </si>
  <si>
    <t>MOV-742</t>
  </si>
  <si>
    <t>MOV-743</t>
  </si>
  <si>
    <t>MOV-744</t>
  </si>
  <si>
    <t>MOV-745</t>
  </si>
  <si>
    <t>MOV-746</t>
  </si>
  <si>
    <t>MOV-747</t>
  </si>
  <si>
    <t>MOV-748</t>
  </si>
  <si>
    <t>MOV-749</t>
  </si>
  <si>
    <t>MOV-750</t>
  </si>
  <si>
    <t>MOV-751</t>
  </si>
  <si>
    <t>MOV-752</t>
  </si>
  <si>
    <t>MOV-753</t>
  </si>
  <si>
    <t>MOV-754</t>
  </si>
  <si>
    <t>MOV-755</t>
  </si>
  <si>
    <t>MOV-756</t>
  </si>
  <si>
    <t>MOV-757</t>
  </si>
  <si>
    <t>MOV-758</t>
  </si>
  <si>
    <t>MOV-759</t>
  </si>
  <si>
    <t>MOV-760</t>
  </si>
  <si>
    <t>MOV-761</t>
  </si>
  <si>
    <t>MOV-762</t>
  </si>
  <si>
    <t>MOV-763</t>
  </si>
  <si>
    <t>MOV-764</t>
  </si>
  <si>
    <t>MOV-765</t>
  </si>
  <si>
    <t>MOV-766</t>
  </si>
  <si>
    <t>MOV-767</t>
  </si>
  <si>
    <t>MOV-768</t>
  </si>
  <si>
    <t>MOV-769</t>
  </si>
  <si>
    <t>MOV-770</t>
  </si>
  <si>
    <t>MOV-771</t>
  </si>
  <si>
    <t>MOV-772</t>
  </si>
  <si>
    <t>MOV-773</t>
  </si>
  <si>
    <t>MOV-774</t>
  </si>
  <si>
    <t>MOV-775</t>
  </si>
  <si>
    <t>MOV-776</t>
  </si>
  <si>
    <t>MOV-777</t>
  </si>
  <si>
    <t>MOV-778</t>
  </si>
  <si>
    <t>MOV-779</t>
  </si>
  <si>
    <t>MOV-780</t>
  </si>
  <si>
    <t>MOV-781</t>
  </si>
  <si>
    <t>MOV-782</t>
  </si>
  <si>
    <t>MOV-783</t>
  </si>
  <si>
    <t>MOV-784</t>
  </si>
  <si>
    <t>MOV-785</t>
  </si>
  <si>
    <t>MOV-786</t>
  </si>
  <si>
    <t>MOV-787</t>
  </si>
  <si>
    <t>MOV-788</t>
  </si>
  <si>
    <t>MOV-789</t>
  </si>
  <si>
    <t>MOV-790</t>
  </si>
  <si>
    <t>MOV-791</t>
  </si>
  <si>
    <t>MOV-792</t>
  </si>
  <si>
    <t>MOV-793</t>
  </si>
  <si>
    <t>MOV-794</t>
  </si>
  <si>
    <t>MOV-795</t>
  </si>
  <si>
    <t>MOV-796</t>
  </si>
  <si>
    <t>MOV-797</t>
  </si>
  <si>
    <t>MOV-798</t>
  </si>
  <si>
    <t>MOV-799</t>
  </si>
  <si>
    <t>MOV-800</t>
  </si>
  <si>
    <t>MOV-801</t>
  </si>
  <si>
    <t>MOV-802</t>
  </si>
  <si>
    <t>MOV-803</t>
  </si>
  <si>
    <t>MOV-804</t>
  </si>
  <si>
    <t>MOV-805</t>
  </si>
  <si>
    <t>MOV-806</t>
  </si>
  <si>
    <t>MOV-807</t>
  </si>
  <si>
    <t>MOV-808</t>
  </si>
  <si>
    <t>MOV-809</t>
  </si>
  <si>
    <t>MOV-810</t>
  </si>
  <si>
    <t>MOV-811</t>
  </si>
  <si>
    <t>MOV-812</t>
  </si>
  <si>
    <t>MOV-813</t>
  </si>
  <si>
    <t>MOV-814</t>
  </si>
  <si>
    <t>MOV-815</t>
  </si>
  <si>
    <t>MOV-816</t>
  </si>
  <si>
    <t>MOV-817</t>
  </si>
  <si>
    <t>MOV-818</t>
  </si>
  <si>
    <t>MOV-819</t>
  </si>
  <si>
    <t>MOV-820</t>
  </si>
  <si>
    <t>MOV-821</t>
  </si>
  <si>
    <t>MOV-822</t>
  </si>
  <si>
    <t>MOV-823</t>
  </si>
  <si>
    <t>MOV-824</t>
  </si>
  <si>
    <t>MOV-825</t>
  </si>
  <si>
    <t>MOV-826</t>
  </si>
  <si>
    <t>MOV-827</t>
  </si>
  <si>
    <t>MOV-828</t>
  </si>
  <si>
    <t>MOV-829</t>
  </si>
  <si>
    <t>MOV-830</t>
  </si>
  <si>
    <t>MOV-831</t>
  </si>
  <si>
    <t>MOV-832</t>
  </si>
  <si>
    <t>MOV-833</t>
  </si>
  <si>
    <t>MOV-834</t>
  </si>
  <si>
    <t>MOV-835</t>
  </si>
  <si>
    <t>MOV-836</t>
  </si>
  <si>
    <t>MOV-837</t>
  </si>
  <si>
    <t>MOV-838</t>
  </si>
  <si>
    <t>MOV-839</t>
  </si>
  <si>
    <t>MOV-840</t>
  </si>
  <si>
    <t>MOV-841</t>
  </si>
  <si>
    <t>MOV-842</t>
  </si>
  <si>
    <t>MOV-843</t>
  </si>
  <si>
    <t>MOV-844</t>
  </si>
  <si>
    <t>MOV-845</t>
  </si>
  <si>
    <t>MOV-846</t>
  </si>
  <si>
    <t>MOV-847</t>
  </si>
  <si>
    <t>MOV-848</t>
  </si>
  <si>
    <t>MOV-849</t>
  </si>
  <si>
    <t>MOV-850</t>
  </si>
  <si>
    <t>MOV-851</t>
  </si>
  <si>
    <t>MOV-852</t>
  </si>
  <si>
    <t>MOV-853</t>
  </si>
  <si>
    <t>MOV-854</t>
  </si>
  <si>
    <t>MOV-855</t>
  </si>
  <si>
    <t>MOV-856</t>
  </si>
  <si>
    <t>MOV-857</t>
  </si>
  <si>
    <t>MOV-858</t>
  </si>
  <si>
    <t>MOV-859</t>
  </si>
  <si>
    <t>MOV-860</t>
  </si>
  <si>
    <t>MOV-861</t>
  </si>
  <si>
    <t>MOV-862</t>
  </si>
  <si>
    <t>MOV-863</t>
  </si>
  <si>
    <t>MOV-864</t>
  </si>
  <si>
    <t>MOV-865</t>
  </si>
  <si>
    <t>MOV-866</t>
  </si>
  <si>
    <t>MOV-867</t>
  </si>
  <si>
    <t>MOV-868</t>
  </si>
  <si>
    <t>MOV-869</t>
  </si>
  <si>
    <t>MOV-870</t>
  </si>
  <si>
    <t>MOV-871</t>
  </si>
  <si>
    <t>MOV-872</t>
  </si>
  <si>
    <t>MOV-873</t>
  </si>
  <si>
    <t>MOV-874</t>
  </si>
  <si>
    <t>MOV-875</t>
  </si>
  <si>
    <t>MOV-876</t>
  </si>
  <si>
    <t>MOV-877</t>
  </si>
  <si>
    <t>MOV-878</t>
  </si>
  <si>
    <t>MOV-879</t>
  </si>
  <si>
    <t>MOV-880</t>
  </si>
  <si>
    <t>MOV-881</t>
  </si>
  <si>
    <t>MOV-882</t>
  </si>
  <si>
    <t>MOV-883</t>
  </si>
  <si>
    <t>MOV-884</t>
  </si>
  <si>
    <t>MOV-885</t>
  </si>
  <si>
    <t>MOV-886</t>
  </si>
  <si>
    <t>MOV-887</t>
  </si>
  <si>
    <t>MOV-888</t>
  </si>
  <si>
    <t>MOV-889</t>
  </si>
  <si>
    <t>MOV-890</t>
  </si>
  <si>
    <t>MOV-891</t>
  </si>
  <si>
    <t>MOV-892</t>
  </si>
  <si>
    <t>MOV-893</t>
  </si>
  <si>
    <t>MOV-894</t>
  </si>
  <si>
    <t>MOV-895</t>
  </si>
  <si>
    <t>MOV-896</t>
  </si>
  <si>
    <t>MOV-897</t>
  </si>
  <si>
    <t>MOV-898</t>
  </si>
  <si>
    <t>MOV-899</t>
  </si>
  <si>
    <t>MOV-900</t>
  </si>
  <si>
    <t>MOV-901</t>
  </si>
  <si>
    <t>MOV-902</t>
  </si>
  <si>
    <t>MOV-903</t>
  </si>
  <si>
    <t>MOV-904</t>
  </si>
  <si>
    <t>MOV-905</t>
  </si>
  <si>
    <t>MOV-906</t>
  </si>
  <si>
    <t>MOV-907</t>
  </si>
  <si>
    <t>MOV-908</t>
  </si>
  <si>
    <t>MOV-909</t>
  </si>
  <si>
    <t>MOV-910</t>
  </si>
  <si>
    <t>MOV-911</t>
  </si>
  <si>
    <t>MOV-912</t>
  </si>
  <si>
    <t>MOV-913</t>
  </si>
  <si>
    <t>MOV-914</t>
  </si>
  <si>
    <t>MOV-915</t>
  </si>
  <si>
    <t>MOV-916</t>
  </si>
  <si>
    <t>MOV-917</t>
  </si>
  <si>
    <t>MOV-918</t>
  </si>
  <si>
    <t>MOV-919</t>
  </si>
  <si>
    <t>MOV-920</t>
  </si>
  <si>
    <t>MOV-921</t>
  </si>
  <si>
    <t>MOV-922</t>
  </si>
  <si>
    <t>MOV-923</t>
  </si>
  <si>
    <t>MOV-924</t>
  </si>
  <si>
    <t>MOV-925</t>
  </si>
  <si>
    <t>MOV-926</t>
  </si>
  <si>
    <t>MOV-927</t>
  </si>
  <si>
    <t>MOV-928</t>
  </si>
  <si>
    <t>MOV-929</t>
  </si>
  <si>
    <t>MOV-930</t>
  </si>
  <si>
    <t>MOV-931</t>
  </si>
  <si>
    <t>MOV-932</t>
  </si>
  <si>
    <t>MOV-933</t>
  </si>
  <si>
    <t>MOV-934</t>
  </si>
  <si>
    <t>MOV-935</t>
  </si>
  <si>
    <t>MOV-936</t>
  </si>
  <si>
    <t>MOV-937</t>
  </si>
  <si>
    <t>MOV-938</t>
  </si>
  <si>
    <t>MOV-939</t>
  </si>
  <si>
    <t>MOV-940</t>
  </si>
  <si>
    <t>MOV-941</t>
  </si>
  <si>
    <t>MOV-942</t>
  </si>
  <si>
    <t>MOV-943</t>
  </si>
  <si>
    <t>MOV-944</t>
  </si>
  <si>
    <t>MOV-945</t>
  </si>
  <si>
    <t>MOV-946</t>
  </si>
  <si>
    <t>MOV-947</t>
  </si>
  <si>
    <t>MOV-948</t>
  </si>
  <si>
    <t>MOV-949</t>
  </si>
  <si>
    <t>MOV-950</t>
  </si>
  <si>
    <t>MOV-951</t>
  </si>
  <si>
    <t>MOV-952</t>
  </si>
  <si>
    <t>MOV-953</t>
  </si>
  <si>
    <t>MOV-954</t>
  </si>
  <si>
    <t>MOV-955</t>
  </si>
  <si>
    <t>MOV-956</t>
  </si>
  <si>
    <t>MOV-957</t>
  </si>
  <si>
    <t>MOV-958</t>
  </si>
  <si>
    <t>MOV-959</t>
  </si>
  <si>
    <t>MOV-960</t>
  </si>
  <si>
    <t>MOV-961</t>
  </si>
  <si>
    <t>MOV-962</t>
  </si>
  <si>
    <t>MOV-963</t>
  </si>
  <si>
    <t>MOV-964</t>
  </si>
  <si>
    <t>MOV-965</t>
  </si>
  <si>
    <t>MOV-966</t>
  </si>
  <si>
    <t>MOV-967</t>
  </si>
  <si>
    <t>MOV-968</t>
  </si>
  <si>
    <t>MOV-969</t>
  </si>
  <si>
    <t>MOV-970</t>
  </si>
  <si>
    <t>MOV-971</t>
  </si>
  <si>
    <t>MOV-972</t>
  </si>
  <si>
    <t>MOV-973</t>
  </si>
  <si>
    <t>MOV-974</t>
  </si>
  <si>
    <t>MOV-975</t>
  </si>
  <si>
    <t>MOV-976</t>
  </si>
  <si>
    <t>MOV-977</t>
  </si>
  <si>
    <t>MOV-978</t>
  </si>
  <si>
    <t>MOV-979</t>
  </si>
  <si>
    <t>MOV-980</t>
  </si>
  <si>
    <t>MOV-981</t>
  </si>
  <si>
    <t>MOV-982</t>
  </si>
  <si>
    <t>MOV-983</t>
  </si>
  <si>
    <t>MOV-984</t>
  </si>
  <si>
    <t>MOV-985</t>
  </si>
  <si>
    <t>MOV-986</t>
  </si>
  <si>
    <t>MOV-987</t>
  </si>
  <si>
    <t>MOV-988</t>
  </si>
  <si>
    <t>MOV-989</t>
  </si>
  <si>
    <t>MOV-990</t>
  </si>
  <si>
    <t>MOV-991</t>
  </si>
  <si>
    <t>MOV-992</t>
  </si>
  <si>
    <t>MOV-993</t>
  </si>
  <si>
    <t>MOV-994</t>
  </si>
  <si>
    <t>MOV-995</t>
  </si>
  <si>
    <t>MOV-996</t>
  </si>
  <si>
    <t>MOV-997</t>
  </si>
  <si>
    <t>MOV-998</t>
  </si>
  <si>
    <t>MOV-999</t>
  </si>
  <si>
    <t>MOV-1000</t>
  </si>
  <si>
    <t>MOV-1001</t>
  </si>
  <si>
    <t>MOV-1002</t>
  </si>
  <si>
    <t>MOV-1003</t>
  </si>
  <si>
    <t>MOV-1004</t>
  </si>
  <si>
    <t>MOV-1005</t>
  </si>
  <si>
    <t>MOV-1006</t>
  </si>
  <si>
    <t>MOV-1007</t>
  </si>
  <si>
    <t>MOV-1008</t>
  </si>
  <si>
    <t>MOV-1009</t>
  </si>
  <si>
    <t>MOV-1010</t>
  </si>
  <si>
    <t>MOV-1011</t>
  </si>
  <si>
    <t>MOV-1012</t>
  </si>
  <si>
    <t>MOV-1013</t>
  </si>
  <si>
    <t>MOV-1014</t>
  </si>
  <si>
    <t>MOV-1015</t>
  </si>
  <si>
    <t>MOV-1016</t>
  </si>
  <si>
    <t>MOV-1017</t>
  </si>
  <si>
    <t>MOV-1018</t>
  </si>
  <si>
    <t>MOV-1019</t>
  </si>
  <si>
    <t>MOV-1020</t>
  </si>
  <si>
    <t>MOV-1021</t>
  </si>
  <si>
    <t>MOV-1022</t>
  </si>
  <si>
    <t>MOV-1023</t>
  </si>
  <si>
    <t>MOV-1024</t>
  </si>
  <si>
    <t>MOV-1025</t>
  </si>
  <si>
    <t>MOV-1026</t>
  </si>
  <si>
    <t>MOV-1027</t>
  </si>
  <si>
    <t>MOV-1028</t>
  </si>
  <si>
    <t>MOV-1029</t>
  </si>
  <si>
    <t>MOV-1030</t>
  </si>
  <si>
    <t>MOV-1031</t>
  </si>
  <si>
    <t>MOV-1032</t>
  </si>
  <si>
    <t>MOV-1033</t>
  </si>
  <si>
    <t>MOV-1034</t>
  </si>
  <si>
    <t>MOV-1035</t>
  </si>
  <si>
    <t>MOV-1036</t>
  </si>
  <si>
    <t>MOV-1037</t>
  </si>
  <si>
    <t>MOV-1038</t>
  </si>
  <si>
    <t>MOV-1039</t>
  </si>
  <si>
    <t>MOV-1040</t>
  </si>
  <si>
    <t>MOV-1041</t>
  </si>
  <si>
    <t>MOV-1042</t>
  </si>
  <si>
    <t>MOV-1043</t>
  </si>
  <si>
    <t>MOV-1044</t>
  </si>
  <si>
    <t>MOV-1045</t>
  </si>
  <si>
    <t>MOV-1046</t>
  </si>
  <si>
    <t>MOV-1047</t>
  </si>
  <si>
    <t>MOV-1048</t>
  </si>
  <si>
    <t>MOV-1049</t>
  </si>
  <si>
    <t>MOV-1050</t>
  </si>
  <si>
    <t>MOV-1051</t>
  </si>
  <si>
    <t>MOV-1052</t>
  </si>
  <si>
    <t>MOV-1053</t>
  </si>
  <si>
    <t>MOV-1054</t>
  </si>
  <si>
    <t>MOV-1055</t>
  </si>
  <si>
    <t>MOV-1056</t>
  </si>
  <si>
    <t>MOV-1057</t>
  </si>
  <si>
    <t>MOV-1058</t>
  </si>
  <si>
    <t>MOV-1059</t>
  </si>
  <si>
    <t>MOV-1060</t>
  </si>
  <si>
    <t>MOV-1061</t>
  </si>
  <si>
    <t>MOV-1062</t>
  </si>
  <si>
    <t>MOV-1063</t>
  </si>
  <si>
    <t>MOV-1064</t>
  </si>
  <si>
    <t>MOV-1065</t>
  </si>
  <si>
    <t>MOV-1066</t>
  </si>
  <si>
    <t>MOV-1067</t>
  </si>
  <si>
    <t>MOV-1068</t>
  </si>
  <si>
    <t>MOV-1069</t>
  </si>
  <si>
    <t>MOV-1070</t>
  </si>
  <si>
    <t>MOV-1071</t>
  </si>
  <si>
    <t>MOV-1072</t>
  </si>
  <si>
    <t>MOV-1073</t>
  </si>
  <si>
    <t>MOV-1074</t>
  </si>
  <si>
    <t>MOV-1075</t>
  </si>
  <si>
    <t>MOV-1076</t>
  </si>
  <si>
    <t>MOV-1077</t>
  </si>
  <si>
    <t>MOV-1078</t>
  </si>
  <si>
    <t>MOV-1079</t>
  </si>
  <si>
    <t>MOV-1080</t>
  </si>
  <si>
    <t>MOV-1081</t>
  </si>
  <si>
    <t>MOV-1082</t>
  </si>
  <si>
    <t>MOV-1083</t>
  </si>
  <si>
    <t>MOV-1084</t>
  </si>
  <si>
    <t>MOV-1085</t>
  </si>
  <si>
    <t>MOV-1086</t>
  </si>
  <si>
    <t>MOV-1087</t>
  </si>
  <si>
    <t>MOV-1088</t>
  </si>
  <si>
    <t>MOV-1089</t>
  </si>
  <si>
    <t>MOV-1090</t>
  </si>
  <si>
    <t>MOV-1091</t>
  </si>
  <si>
    <t>MOV-1092</t>
  </si>
  <si>
    <t>MOV-1093</t>
  </si>
  <si>
    <t>MOV-1094</t>
  </si>
  <si>
    <t>MOV-1095</t>
  </si>
  <si>
    <t>MOV-1096</t>
  </si>
  <si>
    <t>MOV-1097</t>
  </si>
  <si>
    <t>MOV-1098</t>
  </si>
  <si>
    <t>MOV-1099</t>
  </si>
  <si>
    <t>MOV-1100</t>
  </si>
  <si>
    <t>MOV-1101</t>
  </si>
  <si>
    <t>MOV-1102</t>
  </si>
  <si>
    <t>MOV-1103</t>
  </si>
  <si>
    <t>MOV-1104</t>
  </si>
  <si>
    <t>MOV-1105</t>
  </si>
  <si>
    <t>MOV-1106</t>
  </si>
  <si>
    <t>MOV-1107</t>
  </si>
  <si>
    <t>MOV-1108</t>
  </si>
  <si>
    <t>MOV-1109</t>
  </si>
  <si>
    <t>MOV-1110</t>
  </si>
  <si>
    <t>MOV-1111</t>
  </si>
  <si>
    <t>MOV-1112</t>
  </si>
  <si>
    <t>MOV-1113</t>
  </si>
  <si>
    <t>MOV-1114</t>
  </si>
  <si>
    <t>MOV-1115</t>
  </si>
  <si>
    <t>MOV-1116</t>
  </si>
  <si>
    <t>MOV-1117</t>
  </si>
  <si>
    <t>MOV-1118</t>
  </si>
  <si>
    <t>MOV-1119</t>
  </si>
  <si>
    <t>MOV-1120</t>
  </si>
  <si>
    <t>MOV-1121</t>
  </si>
  <si>
    <t>MOV-1122</t>
  </si>
  <si>
    <t>MOV-1123</t>
  </si>
  <si>
    <t>MOV-1124</t>
  </si>
  <si>
    <t>MOV-1125</t>
  </si>
  <si>
    <t>MOV-1126</t>
  </si>
  <si>
    <t>MOV-1127</t>
  </si>
  <si>
    <t>MOV-1128</t>
  </si>
  <si>
    <t>MOV-1129</t>
  </si>
  <si>
    <t>MOV-1130</t>
  </si>
  <si>
    <t>MOV-1131</t>
  </si>
  <si>
    <t>MOV-1132</t>
  </si>
  <si>
    <t>MOV-1133</t>
  </si>
  <si>
    <t>MOV-1134</t>
  </si>
  <si>
    <t>MOV-1135</t>
  </si>
  <si>
    <t>MOV-1136</t>
  </si>
  <si>
    <t>MOV-1137</t>
  </si>
  <si>
    <t>MOV-1138</t>
  </si>
  <si>
    <t>MOV-1139</t>
  </si>
  <si>
    <t>MOV-1140</t>
  </si>
  <si>
    <t>MOV-1141</t>
  </si>
  <si>
    <t>MOV-1142</t>
  </si>
  <si>
    <t>MOV-1143</t>
  </si>
  <si>
    <t>MOV-1144</t>
  </si>
  <si>
    <t>MOV-1145</t>
  </si>
  <si>
    <t>MOV-1146</t>
  </si>
  <si>
    <t>MOV-1147</t>
  </si>
  <si>
    <t>MOV-1148</t>
  </si>
  <si>
    <t>MOV-1149</t>
  </si>
  <si>
    <t>MOV-1150</t>
  </si>
  <si>
    <t>MOV-1151</t>
  </si>
  <si>
    <t>MOV-1152</t>
  </si>
  <si>
    <t>MOV-1153</t>
  </si>
  <si>
    <t>MOV-1154</t>
  </si>
  <si>
    <t>MOV-1155</t>
  </si>
  <si>
    <t>MOV-1156</t>
  </si>
  <si>
    <t>MOV-1157</t>
  </si>
  <si>
    <t>MOV-1158</t>
  </si>
  <si>
    <t>MOV-1159</t>
  </si>
  <si>
    <t>MOV-1160</t>
  </si>
  <si>
    <t>MOV-1161</t>
  </si>
  <si>
    <t>MOV-1162</t>
  </si>
  <si>
    <t>MOV-1163</t>
  </si>
  <si>
    <t>MOV-1164</t>
  </si>
  <si>
    <t>MOV-1165</t>
  </si>
  <si>
    <t>MOV-1166</t>
  </si>
  <si>
    <t>MOV-1167</t>
  </si>
  <si>
    <t>MOV-1168</t>
  </si>
  <si>
    <t>MOV-1169</t>
  </si>
  <si>
    <t>MOV-1170</t>
  </si>
  <si>
    <t>MOV-1171</t>
  </si>
  <si>
    <t>MOV-1172</t>
  </si>
  <si>
    <t>MOV-1173</t>
  </si>
  <si>
    <t>MOV-1174</t>
  </si>
  <si>
    <t>MOV-1175</t>
  </si>
  <si>
    <t>MOV-1176</t>
  </si>
  <si>
    <t>MOV-1177</t>
  </si>
  <si>
    <t>MOV-1178</t>
  </si>
  <si>
    <t>MOV-1179</t>
  </si>
  <si>
    <t>MOV-1180</t>
  </si>
  <si>
    <t>MOV-1181</t>
  </si>
  <si>
    <t>MOV-1182</t>
  </si>
  <si>
    <t>MOV-1183</t>
  </si>
  <si>
    <t>MOV-1184</t>
  </si>
  <si>
    <t>MOV-1185</t>
  </si>
  <si>
    <t>MOV-1186</t>
  </si>
  <si>
    <t>MOV-1187</t>
  </si>
  <si>
    <t>MOV-1188</t>
  </si>
  <si>
    <t>MOV-1189</t>
  </si>
  <si>
    <t>MOV-1190</t>
  </si>
  <si>
    <t>MOV-1191</t>
  </si>
  <si>
    <t>MOV-1192</t>
  </si>
  <si>
    <t>MOV-1193</t>
  </si>
  <si>
    <t>MOV-1194</t>
  </si>
  <si>
    <t>MOV-1195</t>
  </si>
  <si>
    <t>MOV-1196</t>
  </si>
  <si>
    <t>MOV-1197</t>
  </si>
  <si>
    <t>MOV-1198</t>
  </si>
  <si>
    <t>MOV-1199</t>
  </si>
  <si>
    <t>MOV-1200</t>
  </si>
  <si>
    <t>MOV-1201</t>
  </si>
  <si>
    <t>MOV-1202</t>
  </si>
  <si>
    <t>MOV-1203</t>
  </si>
  <si>
    <t>MOV-1204</t>
  </si>
  <si>
    <t>MOV-1205</t>
  </si>
  <si>
    <t>MOV-1206</t>
  </si>
  <si>
    <t>MOV-1207</t>
  </si>
  <si>
    <t>MOV-1208</t>
  </si>
  <si>
    <t>MOV-1209</t>
  </si>
  <si>
    <t>MOV-1210</t>
  </si>
  <si>
    <t>MOV-1211</t>
  </si>
  <si>
    <t>MOV-1212</t>
  </si>
  <si>
    <t>MOV-1213</t>
  </si>
  <si>
    <t>MOV-1214</t>
  </si>
  <si>
    <t>MOV-1215</t>
  </si>
  <si>
    <t>MOV-1216</t>
  </si>
  <si>
    <t>MOV-1217</t>
  </si>
  <si>
    <t>MOV-1218</t>
  </si>
  <si>
    <t>MOV-1219</t>
  </si>
  <si>
    <t>MOV-1220</t>
  </si>
  <si>
    <t>MOV-1221</t>
  </si>
  <si>
    <t>MOV-1222</t>
  </si>
  <si>
    <t>MOV-1223</t>
  </si>
  <si>
    <t>MOV-1224</t>
  </si>
  <si>
    <t>MOV-1225</t>
  </si>
  <si>
    <t>MOV-1226</t>
  </si>
  <si>
    <t>MOV-1227</t>
  </si>
  <si>
    <t>MOV-1228</t>
  </si>
  <si>
    <t>MOV-1229</t>
  </si>
  <si>
    <t>MOV-1230</t>
  </si>
  <si>
    <t>MOV-1231</t>
  </si>
  <si>
    <t>MOV-1232</t>
  </si>
  <si>
    <t>MOV-1233</t>
  </si>
  <si>
    <t>MOV-1234</t>
  </si>
  <si>
    <t>MOV-1235</t>
  </si>
  <si>
    <t>MOV-1236</t>
  </si>
  <si>
    <t>MOV-1237</t>
  </si>
  <si>
    <t>MOV-1238</t>
  </si>
  <si>
    <t>MOV-1239</t>
  </si>
  <si>
    <t>MOV-1240</t>
  </si>
  <si>
    <t>MOV-1241</t>
  </si>
  <si>
    <t>MOV-1242</t>
  </si>
  <si>
    <t>MOV-1243</t>
  </si>
  <si>
    <t>MOV-1244</t>
  </si>
  <si>
    <t>MOV-1245</t>
  </si>
  <si>
    <t>MOV-1246</t>
  </si>
  <si>
    <t>MOV-1247</t>
  </si>
  <si>
    <t>MOV-1248</t>
  </si>
  <si>
    <t>MOV-1249</t>
  </si>
  <si>
    <t>MOV-1250</t>
  </si>
  <si>
    <t>MOV-1251</t>
  </si>
  <si>
    <t>MOV-1252</t>
  </si>
  <si>
    <t>MOV-1253</t>
  </si>
  <si>
    <t>MOV-1254</t>
  </si>
  <si>
    <t>MOV-1255</t>
  </si>
  <si>
    <t>MOV-1256</t>
  </si>
  <si>
    <t>MOV-1257</t>
  </si>
  <si>
    <t>MOV-1258</t>
  </si>
  <si>
    <t>MOV-1259</t>
  </si>
  <si>
    <t>MOV-1260</t>
  </si>
  <si>
    <t>MOV-1261</t>
  </si>
  <si>
    <t>MOV-1262</t>
  </si>
  <si>
    <t>MOV-1263</t>
  </si>
  <si>
    <t>MOV-1264</t>
  </si>
  <si>
    <t>MOV-1265</t>
  </si>
  <si>
    <t>MOV-1266</t>
  </si>
  <si>
    <t>MOV-1267</t>
  </si>
  <si>
    <t>MOV-1268</t>
  </si>
  <si>
    <t>MOV-1269</t>
  </si>
  <si>
    <t>MOV-1270</t>
  </si>
  <si>
    <t>MOV-1271</t>
  </si>
  <si>
    <t>MOV-1272</t>
  </si>
  <si>
    <t>MOV-1273</t>
  </si>
  <si>
    <t>MOV-1274</t>
  </si>
  <si>
    <t>MOV-1275</t>
  </si>
  <si>
    <t>MOV-1276</t>
  </si>
  <si>
    <t>MOV-1277</t>
  </si>
  <si>
    <t>MOV-1278</t>
  </si>
  <si>
    <t>MOV-1279</t>
  </si>
  <si>
    <t>MOV-1280</t>
  </si>
  <si>
    <t>MOV-1281</t>
  </si>
  <si>
    <t>MOV-1282</t>
  </si>
  <si>
    <t>MOV-1283</t>
  </si>
  <si>
    <t>MOV-1284</t>
  </si>
  <si>
    <t>MOV-1285</t>
  </si>
  <si>
    <t>MOV-1286</t>
  </si>
  <si>
    <t>MOV-1287</t>
  </si>
  <si>
    <t>MOV-1288</t>
  </si>
  <si>
    <t>MOV-1289</t>
  </si>
  <si>
    <t>MOV-1290</t>
  </si>
  <si>
    <t>MOV-1291</t>
  </si>
  <si>
    <t>MOV-1292</t>
  </si>
  <si>
    <t>MOV-1293</t>
  </si>
  <si>
    <t>MOV-1294</t>
  </si>
  <si>
    <t>MOV-1295</t>
  </si>
  <si>
    <t>MOV-1296</t>
  </si>
  <si>
    <t>MOV-1297</t>
  </si>
  <si>
    <t>MOV-1298</t>
  </si>
  <si>
    <t>MOV-1299</t>
  </si>
  <si>
    <t>MOV-1300</t>
  </si>
  <si>
    <t>MOV-1301</t>
  </si>
  <si>
    <t>MOV-1302</t>
  </si>
  <si>
    <t>MOV-1303</t>
  </si>
  <si>
    <t>MOV-1304</t>
  </si>
  <si>
    <t>MOV-1305</t>
  </si>
  <si>
    <t>MOV-1306</t>
  </si>
  <si>
    <t>MOV-1307</t>
  </si>
  <si>
    <t>MOV-1308</t>
  </si>
  <si>
    <t>MOV-1309</t>
  </si>
  <si>
    <t>MOV-1310</t>
  </si>
  <si>
    <t>MOV-1311</t>
  </si>
  <si>
    <t>MOV-1312</t>
  </si>
  <si>
    <t>MOV-1313</t>
  </si>
  <si>
    <t>MOV-1314</t>
  </si>
  <si>
    <t>MOV-1315</t>
  </si>
  <si>
    <t>MOV-1316</t>
  </si>
  <si>
    <t>MOV-1317</t>
  </si>
  <si>
    <t>MOV-1318</t>
  </si>
  <si>
    <t>MOV-1319</t>
  </si>
  <si>
    <t>MOV-1320</t>
  </si>
  <si>
    <t>MOV-1321</t>
  </si>
  <si>
    <t>MOV-1322</t>
  </si>
  <si>
    <t>MOV-1323</t>
  </si>
  <si>
    <t>MOV-1324</t>
  </si>
  <si>
    <t>MOV-1325</t>
  </si>
  <si>
    <t>MOV-1326</t>
  </si>
  <si>
    <t>MOV-1327</t>
  </si>
  <si>
    <t>MOV-1328</t>
  </si>
  <si>
    <t>MOV-1329</t>
  </si>
  <si>
    <t>MOV-1330</t>
  </si>
  <si>
    <t>MOV-1331</t>
  </si>
  <si>
    <t>MOV-1332</t>
  </si>
  <si>
    <t>MOV-1333</t>
  </si>
  <si>
    <t>MOV-1334</t>
  </si>
  <si>
    <t>MOV-1335</t>
  </si>
  <si>
    <t>MOV-1336</t>
  </si>
  <si>
    <t>MOV-1337</t>
  </si>
  <si>
    <t>MOV-1338</t>
  </si>
  <si>
    <t>MOV-1339</t>
  </si>
  <si>
    <t>MOV-1340</t>
  </si>
  <si>
    <t>MOV-1341</t>
  </si>
  <si>
    <t>MOV-1342</t>
  </si>
  <si>
    <t>MOV-1343</t>
  </si>
  <si>
    <t>MOV-1344</t>
  </si>
  <si>
    <t>MOV-1345</t>
  </si>
  <si>
    <t>MOV-1346</t>
  </si>
  <si>
    <t>MOV-1347</t>
  </si>
  <si>
    <t>MOV-1348</t>
  </si>
  <si>
    <t>MOV-1349</t>
  </si>
  <si>
    <t>MOV-1350</t>
  </si>
  <si>
    <t>MOV-1351</t>
  </si>
  <si>
    <t>MOV-1352</t>
  </si>
  <si>
    <t>MOV-1353</t>
  </si>
  <si>
    <t>MOV-1354</t>
  </si>
  <si>
    <t>MOV-1355</t>
  </si>
  <si>
    <t>MOV-1356</t>
  </si>
  <si>
    <t>MOV-1357</t>
  </si>
  <si>
    <t>MOV-1358</t>
  </si>
  <si>
    <t>MOV-1359</t>
  </si>
  <si>
    <t>MOV-1360</t>
  </si>
  <si>
    <t>MOV-1361</t>
  </si>
  <si>
    <t>MOV-1362</t>
  </si>
  <si>
    <t>MOV-1363</t>
  </si>
  <si>
    <t>MOV-1364</t>
  </si>
  <si>
    <t>MOV-1365</t>
  </si>
  <si>
    <t>MOV-1366</t>
  </si>
  <si>
    <t>MOV-1367</t>
  </si>
  <si>
    <t>MOV-1368</t>
  </si>
  <si>
    <t>MOV-1369</t>
  </si>
  <si>
    <t>MOV-1370</t>
  </si>
  <si>
    <t>MOV-1371</t>
  </si>
  <si>
    <t>MOV-1372</t>
  </si>
  <si>
    <t>MOV-1373</t>
  </si>
  <si>
    <t>MOV-1374</t>
  </si>
  <si>
    <t>MOV-1375</t>
  </si>
  <si>
    <t>MOV-1376</t>
  </si>
  <si>
    <t>MOV-1377</t>
  </si>
  <si>
    <t>MOV-1378</t>
  </si>
  <si>
    <t>MOV-1379</t>
  </si>
  <si>
    <t>MOV-1380</t>
  </si>
  <si>
    <t>MOV-1381</t>
  </si>
  <si>
    <t>MOV-1382</t>
  </si>
  <si>
    <t>MOV-1383</t>
  </si>
  <si>
    <t>MOV-1384</t>
  </si>
  <si>
    <t>MOV-1385</t>
  </si>
  <si>
    <t>MOV-1386</t>
  </si>
  <si>
    <t>MOV-1387</t>
  </si>
  <si>
    <t>MOV-1388</t>
  </si>
  <si>
    <t>MOV-1389</t>
  </si>
  <si>
    <t>MOV-1390</t>
  </si>
  <si>
    <t>MOV-1391</t>
  </si>
  <si>
    <t>MOV-1392</t>
  </si>
  <si>
    <t>MOV-1393</t>
  </si>
  <si>
    <t>MOV-1394</t>
  </si>
  <si>
    <t>MOV-1395</t>
  </si>
  <si>
    <t>MOV-1396</t>
  </si>
  <si>
    <t>MOV-1397</t>
  </si>
  <si>
    <t>MOV-1398</t>
  </si>
  <si>
    <t>MOV-1399</t>
  </si>
  <si>
    <t>MOV-1400</t>
  </si>
  <si>
    <t>MOV-1401</t>
  </si>
  <si>
    <t>MOV-1402</t>
  </si>
  <si>
    <t>MOV-1403</t>
  </si>
  <si>
    <t>MOV-1404</t>
  </si>
  <si>
    <t>MOV-1405</t>
  </si>
  <si>
    <t>MOV-1406</t>
  </si>
  <si>
    <t>MOV-1407</t>
  </si>
  <si>
    <t>MOV-1408</t>
  </si>
  <si>
    <t>MOV-1409</t>
  </si>
  <si>
    <t>MOV-1410</t>
  </si>
  <si>
    <t>MOV-1411</t>
  </si>
  <si>
    <t>MOV-1412</t>
  </si>
  <si>
    <t>MOV-1413</t>
  </si>
  <si>
    <t>MOV-1414</t>
  </si>
  <si>
    <t>MOV-1415</t>
  </si>
  <si>
    <t>MOV-1416</t>
  </si>
  <si>
    <t>MOV-1417</t>
  </si>
  <si>
    <t>MOV-1418</t>
  </si>
  <si>
    <t>MOV-1419</t>
  </si>
  <si>
    <t>MOV-1420</t>
  </si>
  <si>
    <t>MOV-1421</t>
  </si>
  <si>
    <t>MOV-1422</t>
  </si>
  <si>
    <t>MOV-1423</t>
  </si>
  <si>
    <t>MOV-1424</t>
  </si>
  <si>
    <t>MOV-1425</t>
  </si>
  <si>
    <t>MOV-1426</t>
  </si>
  <si>
    <t>MOV-1427</t>
  </si>
  <si>
    <t>MOV-1428</t>
  </si>
  <si>
    <t>MOV-1429</t>
  </si>
  <si>
    <t>MOV-1430</t>
  </si>
  <si>
    <t>MOV-1431</t>
  </si>
  <si>
    <t>MOV-1432</t>
  </si>
  <si>
    <t>MOV-1433</t>
  </si>
  <si>
    <t>MOV-1434</t>
  </si>
  <si>
    <t>MOV-1435</t>
  </si>
  <si>
    <t>MOV-1436</t>
  </si>
  <si>
    <t>MOV-1437</t>
  </si>
  <si>
    <t>MOV-1438</t>
  </si>
  <si>
    <t>MOV-1439</t>
  </si>
  <si>
    <t>MOV-1440</t>
  </si>
  <si>
    <t>MOV-1441</t>
  </si>
  <si>
    <t>MOV-1442</t>
  </si>
  <si>
    <t>MOV-1443</t>
  </si>
  <si>
    <t>MOV-1444</t>
  </si>
  <si>
    <t>MOV-1445</t>
  </si>
  <si>
    <t>MOV-1446</t>
  </si>
  <si>
    <t>MOV-1447</t>
  </si>
  <si>
    <t>MOV-1448</t>
  </si>
  <si>
    <t>MOV-1449</t>
  </si>
  <si>
    <t>MOV-1450</t>
  </si>
  <si>
    <t>MOV-1451</t>
  </si>
  <si>
    <t>MOV-1452</t>
  </si>
  <si>
    <t>MOV-1453</t>
  </si>
  <si>
    <t>MOV-1454</t>
  </si>
  <si>
    <t>MOV-1455</t>
  </si>
  <si>
    <t>MOV-1456</t>
  </si>
  <si>
    <t>MOV-1457</t>
  </si>
  <si>
    <t>MOV-1458</t>
  </si>
  <si>
    <t>MOV-1459</t>
  </si>
  <si>
    <t>MOV-1460</t>
  </si>
  <si>
    <t>MOV-1461</t>
  </si>
  <si>
    <t>MOV-1462</t>
  </si>
  <si>
    <t>MOV-1463</t>
  </si>
  <si>
    <t>MOV-1464</t>
  </si>
  <si>
    <t>MOV-1465</t>
  </si>
  <si>
    <t>MOV-1466</t>
  </si>
  <si>
    <t>MOV-1467</t>
  </si>
  <si>
    <t>MOV-1468</t>
  </si>
  <si>
    <t>MOV-1469</t>
  </si>
  <si>
    <t>MOV-1470</t>
  </si>
  <si>
    <t>MOV-1471</t>
  </si>
  <si>
    <t>MOV-1472</t>
  </si>
  <si>
    <t>MOV-1473</t>
  </si>
  <si>
    <t>MOV-1474</t>
  </si>
  <si>
    <t>MOV-1475</t>
  </si>
  <si>
    <t>MOV-1476</t>
  </si>
  <si>
    <t>MOV-1477</t>
  </si>
  <si>
    <t>MOV-1478</t>
  </si>
  <si>
    <t>MOV-1479</t>
  </si>
  <si>
    <t>MOV-1480</t>
  </si>
  <si>
    <t>MOV-1481</t>
  </si>
  <si>
    <t>MOV-1482</t>
  </si>
  <si>
    <t>MOV-1483</t>
  </si>
  <si>
    <t>MOV-1484</t>
  </si>
  <si>
    <t>MOV-1485</t>
  </si>
  <si>
    <t>MOV-1486</t>
  </si>
  <si>
    <t>MOV-1487</t>
  </si>
  <si>
    <t>MOV-1488</t>
  </si>
  <si>
    <t>MOV-1489</t>
  </si>
  <si>
    <t>MOV-1490</t>
  </si>
  <si>
    <t>MOV-1491</t>
  </si>
  <si>
    <t>MOV-1492</t>
  </si>
  <si>
    <t>MOV-1493</t>
  </si>
  <si>
    <t>MOV-1494</t>
  </si>
  <si>
    <t>MOV-1495</t>
  </si>
  <si>
    <t>MOV-1496</t>
  </si>
  <si>
    <t>MOV-1497</t>
  </si>
  <si>
    <t>MOV-1498</t>
  </si>
  <si>
    <t>MOV-1499</t>
  </si>
  <si>
    <t>MOV-1500</t>
  </si>
  <si>
    <t>MOV-1501</t>
  </si>
  <si>
    <t>MOV-1502</t>
  </si>
  <si>
    <t>MOV-1503</t>
  </si>
  <si>
    <t>MOV-1504</t>
  </si>
  <si>
    <t>MOV-1505</t>
  </si>
  <si>
    <t>MOV-1506</t>
  </si>
  <si>
    <t>MOV-1507</t>
  </si>
  <si>
    <t>MOV-1508</t>
  </si>
  <si>
    <t>MOV-1509</t>
  </si>
  <si>
    <t>MOV-1510</t>
  </si>
  <si>
    <t>MOV-1511</t>
  </si>
  <si>
    <t>MOV-1512</t>
  </si>
  <si>
    <t>MOV-1513</t>
  </si>
  <si>
    <t>MOV-1514</t>
  </si>
  <si>
    <t>MOV-1515</t>
  </si>
  <si>
    <t>MOV-1516</t>
  </si>
  <si>
    <t>MOV-1517</t>
  </si>
  <si>
    <t>MOV-1518</t>
  </si>
  <si>
    <t>MOV-1519</t>
  </si>
  <si>
    <t>MOV-1520</t>
  </si>
  <si>
    <t>MOV-1521</t>
  </si>
  <si>
    <t>MOV-1522</t>
  </si>
  <si>
    <t>MOV-1523</t>
  </si>
  <si>
    <t>MOV-1524</t>
  </si>
  <si>
    <t>MOV-1525</t>
  </si>
  <si>
    <t>MOV-1526</t>
  </si>
  <si>
    <t>MOV-1527</t>
  </si>
  <si>
    <t>MOV-1528</t>
  </si>
  <si>
    <t>MOV-1529</t>
  </si>
  <si>
    <t>MOV-1530</t>
  </si>
  <si>
    <t>MOV-1531</t>
  </si>
  <si>
    <t>MOV-1532</t>
  </si>
  <si>
    <t>MOV-1533</t>
  </si>
  <si>
    <t>MOV-1534</t>
  </si>
  <si>
    <t>MOV-1535</t>
  </si>
  <si>
    <t>MOV-1536</t>
  </si>
  <si>
    <t>MOV-1537</t>
  </si>
  <si>
    <t>MOV-1538</t>
  </si>
  <si>
    <t>MOV-1539</t>
  </si>
  <si>
    <t>MOV-1540</t>
  </si>
  <si>
    <t>MOV-1541</t>
  </si>
  <si>
    <t>MOV-1542</t>
  </si>
  <si>
    <t>MOV-1543</t>
  </si>
  <si>
    <t>MOV-1544</t>
  </si>
  <si>
    <t>MOV-1545</t>
  </si>
  <si>
    <t>MOV-1546</t>
  </si>
  <si>
    <t>MOV-1547</t>
  </si>
  <si>
    <t>MOV-1548</t>
  </si>
  <si>
    <t>MOV-1549</t>
  </si>
  <si>
    <t>MOV-1550</t>
  </si>
  <si>
    <t>MOV-1551</t>
  </si>
  <si>
    <t>MOV-1552</t>
  </si>
  <si>
    <t>MOV-1553</t>
  </si>
  <si>
    <t>MOV-1554</t>
  </si>
  <si>
    <t>MOV-1555</t>
  </si>
  <si>
    <t>MOV-1556</t>
  </si>
  <si>
    <t>MOV-1557</t>
  </si>
  <si>
    <t>MOV-1558</t>
  </si>
  <si>
    <t>MOV-1559</t>
  </si>
  <si>
    <t>MOV-1560</t>
  </si>
  <si>
    <t>MOV-1561</t>
  </si>
  <si>
    <t>MOV-1562</t>
  </si>
  <si>
    <t>MOV-1563</t>
  </si>
  <si>
    <t>MOV-1564</t>
  </si>
  <si>
    <t>MOV-1565</t>
  </si>
  <si>
    <t>MOV-1566</t>
  </si>
  <si>
    <t>MOV-1567</t>
  </si>
  <si>
    <t>MOV-1568</t>
  </si>
  <si>
    <t>MOV-1569</t>
  </si>
  <si>
    <t>MOV-1570</t>
  </si>
  <si>
    <t>MOV-1571</t>
  </si>
  <si>
    <t>MOV-1572</t>
  </si>
  <si>
    <t>MOV-1573</t>
  </si>
  <si>
    <t>MOV-1574</t>
  </si>
  <si>
    <t>MOV-1575</t>
  </si>
  <si>
    <t>MOV-1576</t>
  </si>
  <si>
    <t>MOV-1577</t>
  </si>
  <si>
    <t>MOV-1578</t>
  </si>
  <si>
    <t>MOV-1579</t>
  </si>
  <si>
    <t>MOV-1580</t>
  </si>
  <si>
    <t>MOV-1581</t>
  </si>
  <si>
    <t>MOV-1582</t>
  </si>
  <si>
    <t>MOV-1583</t>
  </si>
  <si>
    <t>MOV-1584</t>
  </si>
  <si>
    <t>MOV-1585</t>
  </si>
  <si>
    <t>MOV-1586</t>
  </si>
  <si>
    <t>MOV-1587</t>
  </si>
  <si>
    <t>MOV-1588</t>
  </si>
  <si>
    <t>MOV-1589</t>
  </si>
  <si>
    <t>MOV-1590</t>
  </si>
  <si>
    <t>MOV-1591</t>
  </si>
  <si>
    <t>MOV-1592</t>
  </si>
  <si>
    <t>MOV-1593</t>
  </si>
  <si>
    <t>MOV-1594</t>
  </si>
  <si>
    <t>MOV-1595</t>
  </si>
  <si>
    <t>MOV-1596</t>
  </si>
  <si>
    <t>MOV-1597</t>
  </si>
  <si>
    <t>MOV-1598</t>
  </si>
  <si>
    <t>MOV-1599</t>
  </si>
  <si>
    <t>MOV-1600</t>
  </si>
  <si>
    <t>MOV-1601</t>
  </si>
  <si>
    <t>MOV-1602</t>
  </si>
  <si>
    <t>MOV-1603</t>
  </si>
  <si>
    <t>MOV-1604</t>
  </si>
  <si>
    <t>MOV-1605</t>
  </si>
  <si>
    <t>MOV-1606</t>
  </si>
  <si>
    <t>MOV-1607</t>
  </si>
  <si>
    <t>MOV-1608</t>
  </si>
  <si>
    <t>MOV-1609</t>
  </si>
  <si>
    <t>MOV-1610</t>
  </si>
  <si>
    <t>MOV-1611</t>
  </si>
  <si>
    <t>MOV-1612</t>
  </si>
  <si>
    <t>MOV-1613</t>
  </si>
  <si>
    <t>MOV-1614</t>
  </si>
  <si>
    <t>MOV-1615</t>
  </si>
  <si>
    <t>MOV-1616</t>
  </si>
  <si>
    <t>MOV-1617</t>
  </si>
  <si>
    <t>MOV-1618</t>
  </si>
  <si>
    <t>MOV-1619</t>
  </si>
  <si>
    <t>MOV-1620</t>
  </si>
  <si>
    <t>MOV-1621</t>
  </si>
  <si>
    <t>MOV-1622</t>
  </si>
  <si>
    <t>MOV-1623</t>
  </si>
  <si>
    <t>MOV-1624</t>
  </si>
  <si>
    <t>MOV-1625</t>
  </si>
  <si>
    <t>MOV-1626</t>
  </si>
  <si>
    <t>MOV-1627</t>
  </si>
  <si>
    <t>MOV-1628</t>
  </si>
  <si>
    <t>MOV-1629</t>
  </si>
  <si>
    <t>MOV-1630</t>
  </si>
  <si>
    <t>MOV-1631</t>
  </si>
  <si>
    <t>MOV-1632</t>
  </si>
  <si>
    <t>MOV-1633</t>
  </si>
  <si>
    <t>MOV-1634</t>
  </si>
  <si>
    <t>MOV-1635</t>
  </si>
  <si>
    <t>MOV-1636</t>
  </si>
  <si>
    <t>MOV-1637</t>
  </si>
  <si>
    <t>MOV-1638</t>
  </si>
  <si>
    <t>MOV-1639</t>
  </si>
  <si>
    <t>MOV-1640</t>
  </si>
  <si>
    <t>MOV-1641</t>
  </si>
  <si>
    <t>MOV-1642</t>
  </si>
  <si>
    <t>MOV-1643</t>
  </si>
  <si>
    <t>MOV-1644</t>
  </si>
  <si>
    <t>MOV-1645</t>
  </si>
  <si>
    <t>MOV-1646</t>
  </si>
  <si>
    <t>MOV-1647</t>
  </si>
  <si>
    <t>MOV-1648</t>
  </si>
  <si>
    <t>MOV-1649</t>
  </si>
  <si>
    <t>MOV-1650</t>
  </si>
  <si>
    <t>MOV-1651</t>
  </si>
  <si>
    <t>MOV-1652</t>
  </si>
  <si>
    <t>MOV-1653</t>
  </si>
  <si>
    <t>MOV-1654</t>
  </si>
  <si>
    <t>MOV-1655</t>
  </si>
  <si>
    <t>MOV-1656</t>
  </si>
  <si>
    <t>MOV-1657</t>
  </si>
  <si>
    <t>MOV-1658</t>
  </si>
  <si>
    <t>MOV-1659</t>
  </si>
  <si>
    <t>MOV-1660</t>
  </si>
  <si>
    <t>MOV-1661</t>
  </si>
  <si>
    <t>MOV-1662</t>
  </si>
  <si>
    <t>MOV-1663</t>
  </si>
  <si>
    <t>MOV-1664</t>
  </si>
  <si>
    <t>MOV-1665</t>
  </si>
  <si>
    <t>MOV-1666</t>
  </si>
  <si>
    <t>MOV-1667</t>
  </si>
  <si>
    <t>MOV-1668</t>
  </si>
  <si>
    <t>MOV-1669</t>
  </si>
  <si>
    <t>MOV-1670</t>
  </si>
  <si>
    <t>MOV-1671</t>
  </si>
  <si>
    <t>MOV-1672</t>
  </si>
  <si>
    <t>MOV-1673</t>
  </si>
  <si>
    <t>MOV-1674</t>
  </si>
  <si>
    <t>MOV-1675</t>
  </si>
  <si>
    <t>MOV-1676</t>
  </si>
  <si>
    <t>MOV-1677</t>
  </si>
  <si>
    <t>MOV-1678</t>
  </si>
  <si>
    <t>MOV-1679</t>
  </si>
  <si>
    <t>MOV-1680</t>
  </si>
  <si>
    <t>MOV-1681</t>
  </si>
  <si>
    <t>MOV-1682</t>
  </si>
  <si>
    <t>MOV-1683</t>
  </si>
  <si>
    <t>MOV-1684</t>
  </si>
  <si>
    <t>MOV-1685</t>
  </si>
  <si>
    <t>MOV-1686</t>
  </si>
  <si>
    <t>MOV-1687</t>
  </si>
  <si>
    <t>MOV-1688</t>
  </si>
  <si>
    <t>MOV-1689</t>
  </si>
  <si>
    <t>MOV-1690</t>
  </si>
  <si>
    <t>MOV-1691</t>
  </si>
  <si>
    <t>MOV-1692</t>
  </si>
  <si>
    <t>MOV-1693</t>
  </si>
  <si>
    <t>MOV-1694</t>
  </si>
  <si>
    <t>MOV-1695</t>
  </si>
  <si>
    <t>MOV-1696</t>
  </si>
  <si>
    <t>MOV-1697</t>
  </si>
  <si>
    <t>MOV-1698</t>
  </si>
  <si>
    <t>MOV-1699</t>
  </si>
  <si>
    <t>MOV-1700</t>
  </si>
  <si>
    <t>MOV-1701</t>
  </si>
  <si>
    <t>MOV-1702</t>
  </si>
  <si>
    <t>MOV-1703</t>
  </si>
  <si>
    <t>MOV-1704</t>
  </si>
  <si>
    <t>MOV-1705</t>
  </si>
  <si>
    <t>MOV-1706</t>
  </si>
  <si>
    <t>MOV-1707</t>
  </si>
  <si>
    <t>MOV-1708</t>
  </si>
  <si>
    <t>MOV-1709</t>
  </si>
  <si>
    <t>MOV-1710</t>
  </si>
  <si>
    <t>MOV-1711</t>
  </si>
  <si>
    <t>MOV-1712</t>
  </si>
  <si>
    <t>MOV-1713</t>
  </si>
  <si>
    <t>MOV-1714</t>
  </si>
  <si>
    <t>MOV-1715</t>
  </si>
  <si>
    <t>MOV-1716</t>
  </si>
  <si>
    <t>MOV-1717</t>
  </si>
  <si>
    <t>MOV-1718</t>
  </si>
  <si>
    <t>MOV-1719</t>
  </si>
  <si>
    <t>MOV-1720</t>
  </si>
  <si>
    <t>MOV-1721</t>
  </si>
  <si>
    <t>MOV-1722</t>
  </si>
  <si>
    <t>MOV-1723</t>
  </si>
  <si>
    <t>MOV-1724</t>
  </si>
  <si>
    <t>MOV-1725</t>
  </si>
  <si>
    <t>MOV-1726</t>
  </si>
  <si>
    <t>MOV-1727</t>
  </si>
  <si>
    <t>MOV-1728</t>
  </si>
  <si>
    <t>MOV-1729</t>
  </si>
  <si>
    <t>MOV-1730</t>
  </si>
  <si>
    <t>MOV-1731</t>
  </si>
  <si>
    <t>MOV-1732</t>
  </si>
  <si>
    <t>MOV-1733</t>
  </si>
  <si>
    <t>MOV-1734</t>
  </si>
  <si>
    <t>MOV-1735</t>
  </si>
  <si>
    <t>MOV-1736</t>
  </si>
  <si>
    <t>MOV-1737</t>
  </si>
  <si>
    <t>MOV-1738</t>
  </si>
  <si>
    <t>MOV-1739</t>
  </si>
  <si>
    <t>MOV-1740</t>
  </si>
  <si>
    <t>MOV-1741</t>
  </si>
  <si>
    <t>MOV-1742</t>
  </si>
  <si>
    <t>MOV-1743</t>
  </si>
  <si>
    <t>MOV-1744</t>
  </si>
  <si>
    <t>MOV-1745</t>
  </si>
  <si>
    <t>MOV-1746</t>
  </si>
  <si>
    <t>MOV-1747</t>
  </si>
  <si>
    <t>MOV-1748</t>
  </si>
  <si>
    <t>MOV-1749</t>
  </si>
  <si>
    <t>MOV-1750</t>
  </si>
  <si>
    <t>MOV-1751</t>
  </si>
  <si>
    <t>MOV-1752</t>
  </si>
  <si>
    <t>MOV-1753</t>
  </si>
  <si>
    <t>MOV-1754</t>
  </si>
  <si>
    <t>MOV-1755</t>
  </si>
  <si>
    <t>MOV-1756</t>
  </si>
  <si>
    <t>MOV-1757</t>
  </si>
  <si>
    <t>MOV-1758</t>
  </si>
  <si>
    <t>MOV-1759</t>
  </si>
  <si>
    <t>MOV-1760</t>
  </si>
  <si>
    <t>MOV-1761</t>
  </si>
  <si>
    <t>MOV-1762</t>
  </si>
  <si>
    <t>MOV-1763</t>
  </si>
  <si>
    <t>MOV-1764</t>
  </si>
  <si>
    <t>MOV-1765</t>
  </si>
  <si>
    <t>MOV-1766</t>
  </si>
  <si>
    <t>MOV-1767</t>
  </si>
  <si>
    <t>MOV-1768</t>
  </si>
  <si>
    <t>MOV-1769</t>
  </si>
  <si>
    <t>MOV-1770</t>
  </si>
  <si>
    <t>MOV-1771</t>
  </si>
  <si>
    <t>MOV-1772</t>
  </si>
  <si>
    <t>MOV-1773</t>
  </si>
  <si>
    <t>MOV-1774</t>
  </si>
  <si>
    <t>MOV-1775</t>
  </si>
  <si>
    <t>MOV-1776</t>
  </si>
  <si>
    <t>MOV-1777</t>
  </si>
  <si>
    <t>MOV-1778</t>
  </si>
  <si>
    <t>MOV-1779</t>
  </si>
  <si>
    <t>MOV-1780</t>
  </si>
  <si>
    <t>MOV-1781</t>
  </si>
  <si>
    <t>MOV-1782</t>
  </si>
  <si>
    <t>MOV-1783</t>
  </si>
  <si>
    <t>MOV-1784</t>
  </si>
  <si>
    <t>MOV-1785</t>
  </si>
  <si>
    <t>MOV-1786</t>
  </si>
  <si>
    <t>MOV-1787</t>
  </si>
  <si>
    <t>MOV-1788</t>
  </si>
  <si>
    <t>MOV-1789</t>
  </si>
  <si>
    <t>MOV-1790</t>
  </si>
  <si>
    <t>MOV-1791</t>
  </si>
  <si>
    <t>MOV-1792</t>
  </si>
  <si>
    <t>MOV-1793</t>
  </si>
  <si>
    <t>MOV-1794</t>
  </si>
  <si>
    <t>MOV-1795</t>
  </si>
  <si>
    <t>MOV-1796</t>
  </si>
  <si>
    <t>MOV-1797</t>
  </si>
  <si>
    <t>MOV-1798</t>
  </si>
  <si>
    <t>MOV-1799</t>
  </si>
  <si>
    <t>MOV-1800</t>
  </si>
  <si>
    <t>MOV-1801</t>
  </si>
  <si>
    <t>MOV-1802</t>
  </si>
  <si>
    <t>MOV-1803</t>
  </si>
  <si>
    <t>MOV-1804</t>
  </si>
  <si>
    <t>MOV-1805</t>
  </si>
  <si>
    <t>MOV-1806</t>
  </si>
  <si>
    <t>MOV-1807</t>
  </si>
  <si>
    <t>MOV-1808</t>
  </si>
  <si>
    <t>MOV-1809</t>
  </si>
  <si>
    <t>MOV-1810</t>
  </si>
  <si>
    <t>MOV-1811</t>
  </si>
  <si>
    <t>MOV-1812</t>
  </si>
  <si>
    <t>MOV-1813</t>
  </si>
  <si>
    <t>MOV-1814</t>
  </si>
  <si>
    <t>MOV-1815</t>
  </si>
  <si>
    <t>MOV-1816</t>
  </si>
  <si>
    <t>MOV-1817</t>
  </si>
  <si>
    <t>MOV-1818</t>
  </si>
  <si>
    <t>MOV-1819</t>
  </si>
  <si>
    <t>MOV-1820</t>
  </si>
  <si>
    <t>MOV-1821</t>
  </si>
  <si>
    <t>MOV-1822</t>
  </si>
  <si>
    <t>MOV-1823</t>
  </si>
  <si>
    <t>MOV-1824</t>
  </si>
  <si>
    <t>MOV-1825</t>
  </si>
  <si>
    <t>MOV-1826</t>
  </si>
  <si>
    <t>MOV-1827</t>
  </si>
  <si>
    <t>MOV-1828</t>
  </si>
  <si>
    <t>MOV-1829</t>
  </si>
  <si>
    <t>MOV-1830</t>
  </si>
  <si>
    <t>MOV-1831</t>
  </si>
  <si>
    <t>MOV-1832</t>
  </si>
  <si>
    <t>MOV-1833</t>
  </si>
  <si>
    <t>MOV-1834</t>
  </si>
  <si>
    <t>MOV-1835</t>
  </si>
  <si>
    <t>MOV-1836</t>
  </si>
  <si>
    <t>MOV-1837</t>
  </si>
  <si>
    <t>MOV-1838</t>
  </si>
  <si>
    <t>MOV-1839</t>
  </si>
  <si>
    <t>MOV-1840</t>
  </si>
  <si>
    <t>MOV-1841</t>
  </si>
  <si>
    <t>MOV-1842</t>
  </si>
  <si>
    <t>MOV-1843</t>
  </si>
  <si>
    <t>MOV-1844</t>
  </si>
  <si>
    <t>MOV-1845</t>
  </si>
  <si>
    <t>MOV-1846</t>
  </si>
  <si>
    <t>MOV-1847</t>
  </si>
  <si>
    <t>MOV-1848</t>
  </si>
  <si>
    <t>MOV-1849</t>
  </si>
  <si>
    <t>MOV-1850</t>
  </si>
  <si>
    <t>MOV-1851</t>
  </si>
  <si>
    <t>MOV-1852</t>
  </si>
  <si>
    <t>MOV-1853</t>
  </si>
  <si>
    <t>MOV-1854</t>
  </si>
  <si>
    <t>MOV-1855</t>
  </si>
  <si>
    <t>MOV-1856</t>
  </si>
  <si>
    <t>MOV-1857</t>
  </si>
  <si>
    <t>MOV-1858</t>
  </si>
  <si>
    <t>MOV-1859</t>
  </si>
  <si>
    <t>MOV-1860</t>
  </si>
  <si>
    <t>MOV-1861</t>
  </si>
  <si>
    <t>MOV-1862</t>
  </si>
  <si>
    <t>MOV-1863</t>
  </si>
  <si>
    <t>MOV-1864</t>
  </si>
  <si>
    <t>MOV-1865</t>
  </si>
  <si>
    <t>MOV-1866</t>
  </si>
  <si>
    <t>MOV-1867</t>
  </si>
  <si>
    <t>MOV-1868</t>
  </si>
  <si>
    <t>MOV-1869</t>
  </si>
  <si>
    <t>MOV-1870</t>
  </si>
  <si>
    <t>MOV-1871</t>
  </si>
  <si>
    <t>MOV-1872</t>
  </si>
  <si>
    <t>MOV-1873</t>
  </si>
  <si>
    <t>MOV-1874</t>
  </si>
  <si>
    <t>MOV-1875</t>
  </si>
  <si>
    <t>MOV-1876</t>
  </si>
  <si>
    <t>MOV-1877</t>
  </si>
  <si>
    <t>MOV-1878</t>
  </si>
  <si>
    <t>MOV-1879</t>
  </si>
  <si>
    <t>MOV-1880</t>
  </si>
  <si>
    <t>MOV-1881</t>
  </si>
  <si>
    <t>MOV-1882</t>
  </si>
  <si>
    <t>MOV-1883</t>
  </si>
  <si>
    <t>MOV-1884</t>
  </si>
  <si>
    <t>MOV-1885</t>
  </si>
  <si>
    <t>MOV-1886</t>
  </si>
  <si>
    <t>MOV-1887</t>
  </si>
  <si>
    <t>MOV-1888</t>
  </si>
  <si>
    <t>MOV-1889</t>
  </si>
  <si>
    <t>MOV-1890</t>
  </si>
  <si>
    <t>MOV-1891</t>
  </si>
  <si>
    <t>MOV-1892</t>
  </si>
  <si>
    <t>MOV-1893</t>
  </si>
  <si>
    <t>MOV-1894</t>
  </si>
  <si>
    <t>MOV-1895</t>
  </si>
  <si>
    <t>MOV-1896</t>
  </si>
  <si>
    <t>MOV-1897</t>
  </si>
  <si>
    <t>MOV-1898</t>
  </si>
  <si>
    <t>MOV-1899</t>
  </si>
  <si>
    <t>MOV-1900</t>
  </si>
  <si>
    <t>MOV-1901</t>
  </si>
  <si>
    <t>MOV-1902</t>
  </si>
  <si>
    <t>MOV-1903</t>
  </si>
  <si>
    <t>MOV-1904</t>
  </si>
  <si>
    <t>MOV-1905</t>
  </si>
  <si>
    <t>MOV-1906</t>
  </si>
  <si>
    <t>MOV-1907</t>
  </si>
  <si>
    <t>MOV-1908</t>
  </si>
  <si>
    <t>MOV-1909</t>
  </si>
  <si>
    <t>MOV-1910</t>
  </si>
  <si>
    <t>MOV-1911</t>
  </si>
  <si>
    <t>MOV-1912</t>
  </si>
  <si>
    <t>MOV-1913</t>
  </si>
  <si>
    <t>MOV-1914</t>
  </si>
  <si>
    <t>MOV-1915</t>
  </si>
  <si>
    <t>MOV-1916</t>
  </si>
  <si>
    <t>MOV-1917</t>
  </si>
  <si>
    <t>MOV-1918</t>
  </si>
  <si>
    <t>MOV-1919</t>
  </si>
  <si>
    <t>MOV-1920</t>
  </si>
  <si>
    <t>MOV-1921</t>
  </si>
  <si>
    <t>MOV-1922</t>
  </si>
  <si>
    <t>MOV-1923</t>
  </si>
  <si>
    <t>MOV-1924</t>
  </si>
  <si>
    <t>MOV-1925</t>
  </si>
  <si>
    <t>MOV-1926</t>
  </si>
  <si>
    <t>MOV-1927</t>
  </si>
  <si>
    <t>MOV-1928</t>
  </si>
  <si>
    <t>MOV-1929</t>
  </si>
  <si>
    <t>MOV-1930</t>
  </si>
  <si>
    <t>MOV-1931</t>
  </si>
  <si>
    <t>MOV-1932</t>
  </si>
  <si>
    <t>MOV-1933</t>
  </si>
  <si>
    <t>MOV-1934</t>
  </si>
  <si>
    <t>MOV-1935</t>
  </si>
  <si>
    <t>MOV-1936</t>
  </si>
  <si>
    <t>MOV-1937</t>
  </si>
  <si>
    <t>MOV-1938</t>
  </si>
  <si>
    <t>MOV-1939</t>
  </si>
  <si>
    <t>MOV-1940</t>
  </si>
  <si>
    <t>MOV-1941</t>
  </si>
  <si>
    <t>MOV-1942</t>
  </si>
  <si>
    <t>MOV-1943</t>
  </si>
  <si>
    <t>MOV-1944</t>
  </si>
  <si>
    <t>MOV-1945</t>
  </si>
  <si>
    <t>MOV-1946</t>
  </si>
  <si>
    <t>MOV-1947</t>
  </si>
  <si>
    <t>MOV-1948</t>
  </si>
  <si>
    <t>MOV-1949</t>
  </si>
  <si>
    <t>MOV-1950</t>
  </si>
  <si>
    <t>MOV-1951</t>
  </si>
  <si>
    <t>MOV-1952</t>
  </si>
  <si>
    <t>MOV-1953</t>
  </si>
  <si>
    <t>MOV-1954</t>
  </si>
  <si>
    <t>MOV-1955</t>
  </si>
  <si>
    <t>MOV-1956</t>
  </si>
  <si>
    <t>MOV-1957</t>
  </si>
  <si>
    <t>MOV-1958</t>
  </si>
  <si>
    <t>MOV-1959</t>
  </si>
  <si>
    <t>MOV-1960</t>
  </si>
  <si>
    <t>MOV-1961</t>
  </si>
  <si>
    <t>MOV-1962</t>
  </si>
  <si>
    <t>MOV-1963</t>
  </si>
  <si>
    <t>MOV-1964</t>
  </si>
  <si>
    <t>MOV-1965</t>
  </si>
  <si>
    <t>MOV-1966</t>
  </si>
  <si>
    <t>MOV-1967</t>
  </si>
  <si>
    <t>MOV-1968</t>
  </si>
  <si>
    <t>MOV-1969</t>
  </si>
  <si>
    <t>MOV-1970</t>
  </si>
  <si>
    <t>MOV-1971</t>
  </si>
  <si>
    <t>MOV-1972</t>
  </si>
  <si>
    <t>MOV-1973</t>
  </si>
  <si>
    <t>MOV-1974</t>
  </si>
  <si>
    <t>MOV-1975</t>
  </si>
  <si>
    <t>MOV-1976</t>
  </si>
  <si>
    <t>MOV-1977</t>
  </si>
  <si>
    <t>MOV-1978</t>
  </si>
  <si>
    <t>MOV-1979</t>
  </si>
  <si>
    <t>MOV-1980</t>
  </si>
  <si>
    <t>MOV-1981</t>
  </si>
  <si>
    <t>MOV-1982</t>
  </si>
  <si>
    <t>MOV-1983</t>
  </si>
  <si>
    <t>MOV-1984</t>
  </si>
  <si>
    <t>MOV-1985</t>
  </si>
  <si>
    <t>MOV-1986</t>
  </si>
  <si>
    <t>MOV-1987</t>
  </si>
  <si>
    <t>MOV-1988</t>
  </si>
  <si>
    <t>MOV-1989</t>
  </si>
  <si>
    <t>MOV-1990</t>
  </si>
  <si>
    <t>MOV-1991</t>
  </si>
  <si>
    <t>MOV-1992</t>
  </si>
  <si>
    <t>MOV-1993</t>
  </si>
  <si>
    <t>MOV-1994</t>
  </si>
  <si>
    <t>MOV-1995</t>
  </si>
  <si>
    <t>MOV-1996</t>
  </si>
  <si>
    <t>MOV-1997</t>
  </si>
  <si>
    <t>MOV-1998</t>
  </si>
  <si>
    <t>MOV-1999</t>
  </si>
  <si>
    <t>MOV-2000</t>
  </si>
  <si>
    <t>STOCK EN TIEMPO REAL — POR LOTE</t>
  </si>
  <si>
    <t>Escribir ID_Lote en col A → columnas azules se autocompletan leyendo la primera ENTRADA de ese lote en Movimientos</t>
  </si>
  <si>
    <t>ID_Lote
(escribir aquí)</t>
  </si>
  <si>
    <t>Producto</t>
  </si>
  <si>
    <t>Principio Activo/Variedad</t>
  </si>
  <si>
    <t>Vencimiento</t>
  </si>
  <si>
    <t>Días a vencimiento</t>
  </si>
  <si>
    <t>Stock
Actual</t>
  </si>
  <si>
    <t>Estado</t>
  </si>
  <si>
    <t>260324-001</t>
  </si>
  <si>
    <t>260401-002</t>
  </si>
  <si>
    <t>260401-003</t>
  </si>
  <si>
    <t>260401-005</t>
  </si>
  <si>
    <t>260401-006</t>
  </si>
  <si>
    <t>260401-007</t>
  </si>
  <si>
    <t>260402-011</t>
  </si>
  <si>
    <t>260402-014</t>
  </si>
  <si>
    <t>260402-015</t>
  </si>
  <si>
    <t>260402-016</t>
  </si>
  <si>
    <t>260402-017</t>
  </si>
  <si>
    <t>LOT-039</t>
  </si>
  <si>
    <t>LOT-040</t>
  </si>
  <si>
    <t>LOT-041</t>
  </si>
  <si>
    <t>LOT-042</t>
  </si>
  <si>
    <t>LOT-043</t>
  </si>
  <si>
    <t>LOT-044</t>
  </si>
  <si>
    <t>LOT-045</t>
  </si>
  <si>
    <t>LOT-046</t>
  </si>
  <si>
    <t>LOT-047</t>
  </si>
  <si>
    <t>LOT-048</t>
  </si>
  <si>
    <t>LOT-049</t>
  </si>
  <si>
    <t>LOT-050</t>
  </si>
  <si>
    <t>LOT-051</t>
  </si>
  <si>
    <t>LOT-052</t>
  </si>
  <si>
    <t>LOT-053</t>
  </si>
  <si>
    <t>LOT-054</t>
  </si>
  <si>
    <t>LOT-055</t>
  </si>
  <si>
    <t>LOT-056</t>
  </si>
  <si>
    <t>LOT-057</t>
  </si>
  <si>
    <t>LOT-058</t>
  </si>
  <si>
    <t>LOT-059</t>
  </si>
  <si>
    <t>LOT-060</t>
  </si>
  <si>
    <t>LOT-061</t>
  </si>
  <si>
    <t>LOT-062</t>
  </si>
  <si>
    <t>LOT-063</t>
  </si>
  <si>
    <t>LOT-064</t>
  </si>
  <si>
    <t>LOT-065</t>
  </si>
  <si>
    <t>LOT-066</t>
  </si>
  <si>
    <t>LOT-067</t>
  </si>
  <si>
    <t>LOT-068</t>
  </si>
  <si>
    <t>LOT-069</t>
  </si>
  <si>
    <t>LOT-070</t>
  </si>
  <si>
    <t>LOT-071</t>
  </si>
  <si>
    <t>LOT-072</t>
  </si>
  <si>
    <t>LOT-073</t>
  </si>
  <si>
    <t>LOT-074</t>
  </si>
  <si>
    <t>LOT-075</t>
  </si>
  <si>
    <t>LOT-076</t>
  </si>
  <si>
    <t>LOT-077</t>
  </si>
  <si>
    <t>LOT-078</t>
  </si>
  <si>
    <t>LOT-079</t>
  </si>
  <si>
    <t>LOT-080</t>
  </si>
  <si>
    <t>LOT-081</t>
  </si>
  <si>
    <t>LOT-082</t>
  </si>
  <si>
    <t>LOT-083</t>
  </si>
  <si>
    <t>LOT-084</t>
  </si>
  <si>
    <t>LOT-085</t>
  </si>
  <si>
    <t>LOT-086</t>
  </si>
  <si>
    <t>LOT-087</t>
  </si>
  <si>
    <t>LOT-088</t>
  </si>
  <si>
    <t>LOT-089</t>
  </si>
  <si>
    <t>LOT-090</t>
  </si>
  <si>
    <t>LOT-091</t>
  </si>
  <si>
    <t>LOT-092</t>
  </si>
  <si>
    <t>LOT-093</t>
  </si>
  <si>
    <t>LOT-094</t>
  </si>
  <si>
    <t>LOT-095</t>
  </si>
  <si>
    <t>LOT-096</t>
  </si>
  <si>
    <t>LOT-097</t>
  </si>
  <si>
    <t>LOT-098</t>
  </si>
  <si>
    <t>LOT-099</t>
  </si>
  <si>
    <t>LOT-100</t>
  </si>
  <si>
    <t>LOT-101</t>
  </si>
  <si>
    <t>LOT-102</t>
  </si>
  <si>
    <t>LOT-103</t>
  </si>
  <si>
    <t>LOT-104</t>
  </si>
  <si>
    <t>LOT-105</t>
  </si>
  <si>
    <t>LOT-106</t>
  </si>
  <si>
    <t>LOT-107</t>
  </si>
  <si>
    <t>LOT-108</t>
  </si>
  <si>
    <t>LOT-109</t>
  </si>
  <si>
    <t>LOT-110</t>
  </si>
  <si>
    <t>LOT-111</t>
  </si>
  <si>
    <t>LOT-112</t>
  </si>
  <si>
    <t>LOT-113</t>
  </si>
  <si>
    <t>LOT-114</t>
  </si>
  <si>
    <t>LOT-115</t>
  </si>
  <si>
    <t>LOT-116</t>
  </si>
  <si>
    <t>LOT-117</t>
  </si>
  <si>
    <t>LOT-118</t>
  </si>
  <si>
    <t>LOT-119</t>
  </si>
  <si>
    <t>LOT-120</t>
  </si>
  <si>
    <t>LOT-121</t>
  </si>
  <si>
    <t>LOT-122</t>
  </si>
  <si>
    <t>LOT-123</t>
  </si>
  <si>
    <t>LOT-124</t>
  </si>
  <si>
    <t>LOT-125</t>
  </si>
  <si>
    <t>LOT-126</t>
  </si>
  <si>
    <t>LOT-127</t>
  </si>
  <si>
    <t>LOT-128</t>
  </si>
  <si>
    <t>LOT-129</t>
  </si>
  <si>
    <t>LOT-130</t>
  </si>
  <si>
    <t>LOT-131</t>
  </si>
  <si>
    <t>LOT-132</t>
  </si>
  <si>
    <t>LOT-133</t>
  </si>
  <si>
    <t>LOT-134</t>
  </si>
  <si>
    <t>LOT-135</t>
  </si>
  <si>
    <t>LOT-136</t>
  </si>
  <si>
    <t>LOT-137</t>
  </si>
  <si>
    <t>LOT-138</t>
  </si>
  <si>
    <t>LOT-139</t>
  </si>
  <si>
    <t>LOT-140</t>
  </si>
  <si>
    <t>LOT-141</t>
  </si>
  <si>
    <t>LOT-142</t>
  </si>
  <si>
    <t>LOT-143</t>
  </si>
  <si>
    <t>LOT-144</t>
  </si>
  <si>
    <t>LOT-145</t>
  </si>
  <si>
    <t>LOT-146</t>
  </si>
  <si>
    <t>LOT-147</t>
  </si>
  <si>
    <t>LOT-148</t>
  </si>
  <si>
    <t>LOT-149</t>
  </si>
  <si>
    <t>LOT-150</t>
  </si>
  <si>
    <t>LOT-151</t>
  </si>
  <si>
    <t>LOT-152</t>
  </si>
  <si>
    <t>LOT-153</t>
  </si>
  <si>
    <t>LOT-154</t>
  </si>
  <si>
    <t>LOT-155</t>
  </si>
  <si>
    <t>LOT-156</t>
  </si>
  <si>
    <t>LOT-157</t>
  </si>
  <si>
    <t>LOT-158</t>
  </si>
  <si>
    <t>LOT-159</t>
  </si>
  <si>
    <t>LOT-160</t>
  </si>
  <si>
    <t>LOT-161</t>
  </si>
  <si>
    <t>LOT-162</t>
  </si>
  <si>
    <t>LOT-163</t>
  </si>
  <si>
    <t>LOT-164</t>
  </si>
  <si>
    <t>LOT-165</t>
  </si>
  <si>
    <t>LOT-166</t>
  </si>
  <si>
    <t>LOT-167</t>
  </si>
  <si>
    <t>LOT-168</t>
  </si>
  <si>
    <t>LOT-169</t>
  </si>
  <si>
    <t>LOT-170</t>
  </si>
  <si>
    <t>LOT-171</t>
  </si>
  <si>
    <t>LOT-172</t>
  </si>
  <si>
    <t>LOT-173</t>
  </si>
  <si>
    <t>LOT-174</t>
  </si>
  <si>
    <t>LOT-175</t>
  </si>
  <si>
    <t>LOT-176</t>
  </si>
  <si>
    <t>LOT-177</t>
  </si>
  <si>
    <t>LOT-178</t>
  </si>
  <si>
    <t>LOT-179</t>
  </si>
  <si>
    <t>LOT-180</t>
  </si>
  <si>
    <t>LOT-181</t>
  </si>
  <si>
    <t>LOT-182</t>
  </si>
  <si>
    <t>LOT-183</t>
  </si>
  <si>
    <t>LOT-184</t>
  </si>
  <si>
    <t>LOT-185</t>
  </si>
  <si>
    <t>LOT-186</t>
  </si>
  <si>
    <t>LOT-187</t>
  </si>
  <si>
    <t>LOT-188</t>
  </si>
  <si>
    <t>LOT-189</t>
  </si>
  <si>
    <t>LOT-190</t>
  </si>
  <si>
    <t>LOT-191</t>
  </si>
  <si>
    <t>LOT-192</t>
  </si>
  <si>
    <t>LOT-193</t>
  </si>
  <si>
    <t>LOT-194</t>
  </si>
  <si>
    <t>LOT-195</t>
  </si>
  <si>
    <t>LOT-196</t>
  </si>
  <si>
    <t>LOT-197</t>
  </si>
  <si>
    <t>LOT-198</t>
  </si>
  <si>
    <t>LOT-199</t>
  </si>
  <si>
    <t>LOT-200</t>
  </si>
  <si>
    <t>LOT-201</t>
  </si>
  <si>
    <t>LOT-202</t>
  </si>
  <si>
    <t>LOT-203</t>
  </si>
  <si>
    <t>LOT-204</t>
  </si>
  <si>
    <t>LOT-205</t>
  </si>
  <si>
    <t>LOT-206</t>
  </si>
  <si>
    <t>LOT-207</t>
  </si>
  <si>
    <t>LOT-208</t>
  </si>
  <si>
    <t>LOT-209</t>
  </si>
  <si>
    <t>LOT-210</t>
  </si>
  <si>
    <t>LOT-211</t>
  </si>
  <si>
    <t>LOT-212</t>
  </si>
  <si>
    <t>LOT-213</t>
  </si>
  <si>
    <t>LOT-214</t>
  </si>
  <si>
    <t>LOT-215</t>
  </si>
  <si>
    <t>LOT-216</t>
  </si>
  <si>
    <t>LOT-217</t>
  </si>
  <si>
    <t>LOT-218</t>
  </si>
  <si>
    <t>LOT-219</t>
  </si>
  <si>
    <t>LOT-220</t>
  </si>
  <si>
    <t>LOT-221</t>
  </si>
  <si>
    <t>LOT-222</t>
  </si>
  <si>
    <t>LOT-223</t>
  </si>
  <si>
    <t>LOT-224</t>
  </si>
  <si>
    <t>LOT-225</t>
  </si>
  <si>
    <t>LOT-226</t>
  </si>
  <si>
    <t>LOT-227</t>
  </si>
  <si>
    <t>LOT-228</t>
  </si>
  <si>
    <t>LOT-229</t>
  </si>
  <si>
    <t>LOT-230</t>
  </si>
  <si>
    <t>LOT-231</t>
  </si>
  <si>
    <t>LOT-232</t>
  </si>
  <si>
    <t>LOT-233</t>
  </si>
  <si>
    <t>LOT-234</t>
  </si>
  <si>
    <t>LOT-235</t>
  </si>
  <si>
    <t>LOT-236</t>
  </si>
  <si>
    <t>LOT-237</t>
  </si>
  <si>
    <t>LOT-238</t>
  </si>
  <si>
    <t>LOT-239</t>
  </si>
  <si>
    <t>LOT-240</t>
  </si>
  <si>
    <t>LOT-241</t>
  </si>
  <si>
    <t>LOT-242</t>
  </si>
  <si>
    <t>LOT-243</t>
  </si>
  <si>
    <t>LOT-244</t>
  </si>
  <si>
    <t>LOT-245</t>
  </si>
  <si>
    <t>LOT-246</t>
  </si>
  <si>
    <t>LOT-247</t>
  </si>
  <si>
    <t>LOT-248</t>
  </si>
  <si>
    <t>LOT-249</t>
  </si>
  <si>
    <t>LOT-250</t>
  </si>
  <si>
    <t>LOT-251</t>
  </si>
  <si>
    <t>LOT-252</t>
  </si>
  <si>
    <t>LOT-253</t>
  </si>
  <si>
    <t>LOT-254</t>
  </si>
  <si>
    <t>LOT-255</t>
  </si>
  <si>
    <t>LOT-256</t>
  </si>
  <si>
    <t>LOT-257</t>
  </si>
  <si>
    <t>LOT-258</t>
  </si>
  <si>
    <t>LOT-259</t>
  </si>
  <si>
    <t>LOT-260</t>
  </si>
  <si>
    <t>LOT-261</t>
  </si>
  <si>
    <t>LOT-262</t>
  </si>
  <si>
    <t>LOT-263</t>
  </si>
  <si>
    <t>LOT-264</t>
  </si>
  <si>
    <t>LOT-265</t>
  </si>
  <si>
    <t>LOT-266</t>
  </si>
  <si>
    <t>LOT-267</t>
  </si>
  <si>
    <t>LOT-268</t>
  </si>
  <si>
    <t>LOT-269</t>
  </si>
  <si>
    <t>LOT-270</t>
  </si>
  <si>
    <t>LOT-271</t>
  </si>
  <si>
    <t>LOT-272</t>
  </si>
  <si>
    <t>LOT-273</t>
  </si>
  <si>
    <t>LOT-274</t>
  </si>
  <si>
    <t>LOT-275</t>
  </si>
  <si>
    <t>LOT-276</t>
  </si>
  <si>
    <t>LOT-277</t>
  </si>
  <si>
    <t>LOT-278</t>
  </si>
  <si>
    <t>LOT-279</t>
  </si>
  <si>
    <t>LOT-280</t>
  </si>
  <si>
    <t>LOT-281</t>
  </si>
  <si>
    <t>LOT-282</t>
  </si>
  <si>
    <t>LOT-283</t>
  </si>
  <si>
    <t>LOT-284</t>
  </si>
  <si>
    <t>LOT-285</t>
  </si>
  <si>
    <t>LOT-286</t>
  </si>
  <si>
    <t>LOT-287</t>
  </si>
  <si>
    <t>LOT-288</t>
  </si>
  <si>
    <t>LOT-289</t>
  </si>
  <si>
    <t>LOT-290</t>
  </si>
  <si>
    <t>LOT-291</t>
  </si>
  <si>
    <t>LOT-292</t>
  </si>
  <si>
    <t>LOT-293</t>
  </si>
  <si>
    <t>LOT-294</t>
  </si>
  <si>
    <t>LOT-295</t>
  </si>
  <si>
    <t>LOT-296</t>
  </si>
  <si>
    <t>LOT-297</t>
  </si>
  <si>
    <t>LOT-298</t>
  </si>
  <si>
    <t>LOT-299</t>
  </si>
  <si>
    <t>LOT-300</t>
  </si>
  <si>
    <t>LOT-301</t>
  </si>
  <si>
    <t>LOT-302</t>
  </si>
  <si>
    <t>LOT-303</t>
  </si>
  <si>
    <t>LOT-304</t>
  </si>
  <si>
    <t>LOT-305</t>
  </si>
  <si>
    <t>LOT-306</t>
  </si>
  <si>
    <t>LOT-307</t>
  </si>
  <si>
    <t>LOT-308</t>
  </si>
  <si>
    <t>LOT-309</t>
  </si>
  <si>
    <t>LOT-310</t>
  </si>
  <si>
    <t>LOT-311</t>
  </si>
  <si>
    <t>LOT-312</t>
  </si>
  <si>
    <t>LOT-313</t>
  </si>
  <si>
    <t>LOT-314</t>
  </si>
  <si>
    <t>LOT-315</t>
  </si>
  <si>
    <t>LOT-316</t>
  </si>
  <si>
    <t>LOT-317</t>
  </si>
  <si>
    <t>LOT-318</t>
  </si>
  <si>
    <t>LOT-319</t>
  </si>
  <si>
    <t>LOT-320</t>
  </si>
  <si>
    <t>LOT-321</t>
  </si>
  <si>
    <t>LOT-322</t>
  </si>
  <si>
    <t>LOT-323</t>
  </si>
  <si>
    <t>LOT-324</t>
  </si>
  <si>
    <t>LOT-325</t>
  </si>
  <si>
    <t>LOT-326</t>
  </si>
  <si>
    <t>LOT-327</t>
  </si>
  <si>
    <t>LOT-328</t>
  </si>
  <si>
    <t>LOT-329</t>
  </si>
  <si>
    <t>LOT-330</t>
  </si>
  <si>
    <t>LOT-331</t>
  </si>
  <si>
    <t>LOT-332</t>
  </si>
  <si>
    <t>LOT-333</t>
  </si>
  <si>
    <t>LOT-334</t>
  </si>
  <si>
    <t>LOT-335</t>
  </si>
  <si>
    <t>LOT-336</t>
  </si>
  <si>
    <t>LOT-337</t>
  </si>
  <si>
    <t>LOT-338</t>
  </si>
  <si>
    <t>LOT-339</t>
  </si>
  <si>
    <t>LOT-340</t>
  </si>
  <si>
    <t>LOT-341</t>
  </si>
  <si>
    <t>LOT-342</t>
  </si>
  <si>
    <t>LOT-343</t>
  </si>
  <si>
    <t>LOT-344</t>
  </si>
  <si>
    <t>LOT-345</t>
  </si>
  <si>
    <t>LOT-346</t>
  </si>
  <si>
    <t>LOT-347</t>
  </si>
  <si>
    <t>LOT-348</t>
  </si>
  <si>
    <t>LOT-349</t>
  </si>
  <si>
    <t>LOT-350</t>
  </si>
  <si>
    <t>LOT-351</t>
  </si>
  <si>
    <t>LOT-352</t>
  </si>
  <si>
    <t>LOT-353</t>
  </si>
  <si>
    <t>LOT-354</t>
  </si>
  <si>
    <t>LOT-355</t>
  </si>
  <si>
    <t>LOT-356</t>
  </si>
  <si>
    <t>LOT-357</t>
  </si>
  <si>
    <t>LOT-358</t>
  </si>
  <si>
    <t>LOT-359</t>
  </si>
  <si>
    <t>LOT-360</t>
  </si>
  <si>
    <t>LOT-361</t>
  </si>
  <si>
    <t>LOT-362</t>
  </si>
  <si>
    <t>LOT-363</t>
  </si>
  <si>
    <t>LOT-364</t>
  </si>
  <si>
    <t>LOT-365</t>
  </si>
  <si>
    <t>LOT-366</t>
  </si>
  <si>
    <t>LOT-367</t>
  </si>
  <si>
    <t>LOT-368</t>
  </si>
  <si>
    <t>LOT-369</t>
  </si>
  <si>
    <t>LOT-370</t>
  </si>
  <si>
    <t>LOT-371</t>
  </si>
  <si>
    <t>LOT-372</t>
  </si>
  <si>
    <t>LOT-373</t>
  </si>
  <si>
    <t>LOT-374</t>
  </si>
  <si>
    <t>LOT-375</t>
  </si>
  <si>
    <t>LOT-376</t>
  </si>
  <si>
    <t>LOT-377</t>
  </si>
  <si>
    <t>LOT-378</t>
  </si>
  <si>
    <t>LOT-379</t>
  </si>
  <si>
    <t>LOT-380</t>
  </si>
  <si>
    <t>LOT-381</t>
  </si>
  <si>
    <t>LOT-382</t>
  </si>
  <si>
    <t>LOT-383</t>
  </si>
  <si>
    <t>LOT-384</t>
  </si>
  <si>
    <t>LOT-385</t>
  </si>
  <si>
    <t>LOT-386</t>
  </si>
  <si>
    <t>LOT-387</t>
  </si>
  <si>
    <t>LOT-388</t>
  </si>
  <si>
    <t>LOT-389</t>
  </si>
  <si>
    <t>LOT-390</t>
  </si>
  <si>
    <t>LOT-391</t>
  </si>
  <si>
    <t>LOT-392</t>
  </si>
  <si>
    <t>LOT-393</t>
  </si>
  <si>
    <t>LOT-394</t>
  </si>
  <si>
    <t>LOT-395</t>
  </si>
  <si>
    <t>LOT-396</t>
  </si>
  <si>
    <t>LOT-397</t>
  </si>
  <si>
    <t>LOT-398</t>
  </si>
  <si>
    <t>LOT-399</t>
  </si>
  <si>
    <t>LOT-400</t>
  </si>
  <si>
    <t>LOT-401</t>
  </si>
  <si>
    <t>LOT-402</t>
  </si>
  <si>
    <t>LOT-403</t>
  </si>
  <si>
    <t>LOT-404</t>
  </si>
  <si>
    <t>LOT-405</t>
  </si>
  <si>
    <t>LOT-406</t>
  </si>
  <si>
    <t>LOT-407</t>
  </si>
  <si>
    <t>LOT-408</t>
  </si>
  <si>
    <t>LOT-409</t>
  </si>
  <si>
    <t>LOT-410</t>
  </si>
  <si>
    <t>LOT-411</t>
  </si>
  <si>
    <t>LOT-412</t>
  </si>
  <si>
    <t>LOT-413</t>
  </si>
  <si>
    <t>LOT-414</t>
  </si>
  <si>
    <t>LOT-415</t>
  </si>
  <si>
    <t>LOT-416</t>
  </si>
  <si>
    <t>LOT-417</t>
  </si>
  <si>
    <t>LOT-418</t>
  </si>
  <si>
    <t>LOT-419</t>
  </si>
  <si>
    <t>LOT-420</t>
  </si>
  <si>
    <t>LOT-421</t>
  </si>
  <si>
    <t>LOT-422</t>
  </si>
  <si>
    <t>LOT-423</t>
  </si>
  <si>
    <t>LOT-424</t>
  </si>
  <si>
    <t>LOT-425</t>
  </si>
  <si>
    <t>LOT-426</t>
  </si>
  <si>
    <t>LOT-427</t>
  </si>
  <si>
    <t>LOT-428</t>
  </si>
  <si>
    <t>LOT-429</t>
  </si>
  <si>
    <t>LOT-430</t>
  </si>
  <si>
    <t>LOT-431</t>
  </si>
  <si>
    <t>LOT-432</t>
  </si>
  <si>
    <t>LOT-433</t>
  </si>
  <si>
    <t>LOT-434</t>
  </si>
  <si>
    <t>LOT-435</t>
  </si>
  <si>
    <t>LOT-436</t>
  </si>
  <si>
    <t>LOT-437</t>
  </si>
  <si>
    <t>LOT-438</t>
  </si>
  <si>
    <t>LOT-439</t>
  </si>
  <si>
    <t>LOT-440</t>
  </si>
  <si>
    <t>LOT-441</t>
  </si>
  <si>
    <t>LOT-442</t>
  </si>
  <si>
    <t>LOT-443</t>
  </si>
  <si>
    <t>LOT-444</t>
  </si>
  <si>
    <t>LOT-445</t>
  </si>
  <si>
    <t>LOT-446</t>
  </si>
  <si>
    <t>LOT-447</t>
  </si>
  <si>
    <t>LOT-448</t>
  </si>
  <si>
    <t>LOT-449</t>
  </si>
  <si>
    <t>LOT-450</t>
  </si>
  <si>
    <t>LOT-451</t>
  </si>
  <si>
    <t>LOT-452</t>
  </si>
  <si>
    <t>LOT-453</t>
  </si>
  <si>
    <t>LOT-454</t>
  </si>
  <si>
    <t>LOT-455</t>
  </si>
  <si>
    <t>LOT-456</t>
  </si>
  <si>
    <t>LOT-457</t>
  </si>
  <si>
    <t>LOT-458</t>
  </si>
  <si>
    <t>LOT-459</t>
  </si>
  <si>
    <t>LOT-460</t>
  </si>
  <si>
    <t>LOT-461</t>
  </si>
  <si>
    <t>LOT-462</t>
  </si>
  <si>
    <t>LOT-463</t>
  </si>
  <si>
    <t>LOT-464</t>
  </si>
  <si>
    <t>LOT-465</t>
  </si>
  <si>
    <t>LOT-466</t>
  </si>
  <si>
    <t>LOT-467</t>
  </si>
  <si>
    <t>LOT-468</t>
  </si>
  <si>
    <t>LOT-469</t>
  </si>
  <si>
    <t>LOT-470</t>
  </si>
  <si>
    <t>LOT-471</t>
  </si>
  <si>
    <t>LOT-472</t>
  </si>
  <si>
    <t>LOT-473</t>
  </si>
  <si>
    <t>LOT-474</t>
  </si>
  <si>
    <t>LOT-475</t>
  </si>
  <si>
    <t>LOT-476</t>
  </si>
  <si>
    <t>LOT-477</t>
  </si>
  <si>
    <t>LOT-478</t>
  </si>
  <si>
    <t>LOT-479</t>
  </si>
  <si>
    <t>LOT-480</t>
  </si>
  <si>
    <t>LOT-481</t>
  </si>
  <si>
    <t>LOT-482</t>
  </si>
  <si>
    <t>LOT-483</t>
  </si>
  <si>
    <t>LOT-484</t>
  </si>
  <si>
    <t>LOT-485</t>
  </si>
  <si>
    <t>LOT-486</t>
  </si>
  <si>
    <t>LOT-487</t>
  </si>
  <si>
    <t>LOT-488</t>
  </si>
  <si>
    <t>LOT-489</t>
  </si>
  <si>
    <t>LOT-490</t>
  </si>
  <si>
    <t>LOT-491</t>
  </si>
  <si>
    <t>LOT-492</t>
  </si>
  <si>
    <t>LOT-493</t>
  </si>
  <si>
    <t>LOT-494</t>
  </si>
  <si>
    <t>LOT-495</t>
  </si>
  <si>
    <t>LOT-496</t>
  </si>
  <si>
    <t>LOT-497</t>
  </si>
  <si>
    <t>LOT-498</t>
  </si>
  <si>
    <t>LOT-499</t>
  </si>
  <si>
    <t>LOT-500</t>
  </si>
  <si>
    <t>LOT-501</t>
  </si>
  <si>
    <t>LOT-502</t>
  </si>
  <si>
    <t>LOT-503</t>
  </si>
  <si>
    <t>LOT-504</t>
  </si>
  <si>
    <t>LOT-505</t>
  </si>
  <si>
    <t>LOT-506</t>
  </si>
  <si>
    <t>LOT-507</t>
  </si>
  <si>
    <t>LOT-508</t>
  </si>
  <si>
    <t>LOT-509</t>
  </si>
  <si>
    <t>LOT-510</t>
  </si>
  <si>
    <t>LOT-511</t>
  </si>
  <si>
    <t>LOT-512</t>
  </si>
  <si>
    <t>LOT-513</t>
  </si>
  <si>
    <t>LOT-514</t>
  </si>
  <si>
    <t>LOT-515</t>
  </si>
  <si>
    <t>LOT-516</t>
  </si>
  <si>
    <t>LOT-517</t>
  </si>
  <si>
    <t>LOT-518</t>
  </si>
  <si>
    <t>LOT-519</t>
  </si>
  <si>
    <t>LOT-520</t>
  </si>
  <si>
    <t>LOT-521</t>
  </si>
  <si>
    <t>LOT-522</t>
  </si>
  <si>
    <t>LOT-523</t>
  </si>
  <si>
    <t>LOT-524</t>
  </si>
  <si>
    <t>LOT-525</t>
  </si>
  <si>
    <t>LOT-526</t>
  </si>
  <si>
    <t>LOT-527</t>
  </si>
  <si>
    <t>LOT-528</t>
  </si>
  <si>
    <t>LOT-529</t>
  </si>
  <si>
    <t>LOT-530</t>
  </si>
  <si>
    <t>LOT-531</t>
  </si>
  <si>
    <t>LOT-532</t>
  </si>
  <si>
    <t>LOT-533</t>
  </si>
  <si>
    <t>LOT-534</t>
  </si>
  <si>
    <t>LOT-535</t>
  </si>
  <si>
    <t>LOT-536</t>
  </si>
  <si>
    <t>LOT-537</t>
  </si>
  <si>
    <t>LOT-538</t>
  </si>
  <si>
    <t>LOT-539</t>
  </si>
  <si>
    <t>LOT-540</t>
  </si>
  <si>
    <t>LOT-541</t>
  </si>
  <si>
    <t>LOT-542</t>
  </si>
  <si>
    <t>LOT-543</t>
  </si>
  <si>
    <t>LOT-544</t>
  </si>
  <si>
    <t>LOT-545</t>
  </si>
  <si>
    <t>LOT-546</t>
  </si>
  <si>
    <t>LOT-547</t>
  </si>
  <si>
    <t>LOT-548</t>
  </si>
  <si>
    <t>LOT-549</t>
  </si>
  <si>
    <t>LOT-550</t>
  </si>
  <si>
    <t>LOT-551</t>
  </si>
  <si>
    <t>LOT-552</t>
  </si>
  <si>
    <t>LOT-553</t>
  </si>
  <si>
    <t>LOT-554</t>
  </si>
  <si>
    <t>LOT-555</t>
  </si>
  <si>
    <t>LOT-556</t>
  </si>
  <si>
    <t>LOT-557</t>
  </si>
  <si>
    <t>LOT-558</t>
  </si>
  <si>
    <t>LOT-559</t>
  </si>
  <si>
    <t>LOT-560</t>
  </si>
  <si>
    <t>LOT-561</t>
  </si>
  <si>
    <t>LOT-562</t>
  </si>
  <si>
    <t>LOT-563</t>
  </si>
  <si>
    <t>LOT-564</t>
  </si>
  <si>
    <t>LOT-565</t>
  </si>
  <si>
    <t>LOT-566</t>
  </si>
  <si>
    <t>LOT-567</t>
  </si>
  <si>
    <t>LOT-568</t>
  </si>
  <si>
    <t>LOT-569</t>
  </si>
  <si>
    <t>LOT-570</t>
  </si>
  <si>
    <t>LOT-571</t>
  </si>
  <si>
    <t>LOT-572</t>
  </si>
  <si>
    <t>LOT-573</t>
  </si>
  <si>
    <t>LOT-574</t>
  </si>
  <si>
    <t>LOT-575</t>
  </si>
  <si>
    <t>LOT-576</t>
  </si>
  <si>
    <t>LOT-577</t>
  </si>
  <si>
    <t>LOT-578</t>
  </si>
  <si>
    <t>LOT-579</t>
  </si>
  <si>
    <t>LOT-580</t>
  </si>
  <si>
    <t>LOT-581</t>
  </si>
  <si>
    <t>LOT-582</t>
  </si>
  <si>
    <t>LOT-583</t>
  </si>
  <si>
    <t>LOT-584</t>
  </si>
  <si>
    <t>LOT-585</t>
  </si>
  <si>
    <t>LOT-586</t>
  </si>
  <si>
    <t>LOT-587</t>
  </si>
  <si>
    <t>LOT-588</t>
  </si>
  <si>
    <t>LOT-589</t>
  </si>
  <si>
    <t>LOT-590</t>
  </si>
  <si>
    <t>LOT-591</t>
  </si>
  <si>
    <t>LOT-592</t>
  </si>
  <si>
    <t>LOT-593</t>
  </si>
  <si>
    <t>LOT-594</t>
  </si>
  <si>
    <t>LOT-595</t>
  </si>
  <si>
    <t>LOT-596</t>
  </si>
  <si>
    <t>LOT-597</t>
  </si>
  <si>
    <t>LOT-598</t>
  </si>
  <si>
    <t>LOT-599</t>
  </si>
  <si>
    <t>LOT-600</t>
  </si>
  <si>
    <t>LOT-601</t>
  </si>
  <si>
    <t>LOT-602</t>
  </si>
  <si>
    <t>LOT-603</t>
  </si>
  <si>
    <t>LOT-604</t>
  </si>
  <si>
    <t>LOT-605</t>
  </si>
  <si>
    <t>LOT-606</t>
  </si>
  <si>
    <t>LOT-607</t>
  </si>
  <si>
    <t>LOT-608</t>
  </si>
  <si>
    <t>LOT-609</t>
  </si>
  <si>
    <t>LOT-610</t>
  </si>
  <si>
    <t>LOT-611</t>
  </si>
  <si>
    <t>LOT-612</t>
  </si>
  <si>
    <t>LOT-613</t>
  </si>
  <si>
    <t>LOT-614</t>
  </si>
  <si>
    <t>LOT-615</t>
  </si>
  <si>
    <t>LOT-616</t>
  </si>
  <si>
    <t>LOT-617</t>
  </si>
  <si>
    <t>LOT-618</t>
  </si>
  <si>
    <t>LOT-619</t>
  </si>
  <si>
    <t>LOT-620</t>
  </si>
  <si>
    <t>LOT-621</t>
  </si>
  <si>
    <t>LOT-622</t>
  </si>
  <si>
    <t>LOT-623</t>
  </si>
  <si>
    <t>LOT-624</t>
  </si>
  <si>
    <t>LOT-625</t>
  </si>
  <si>
    <t>LOT-626</t>
  </si>
  <si>
    <t>LOT-627</t>
  </si>
  <si>
    <t>LOT-628</t>
  </si>
  <si>
    <t>LOT-629</t>
  </si>
  <si>
    <t>LOT-630</t>
  </si>
  <si>
    <t>LOT-631</t>
  </si>
  <si>
    <t>LOT-632</t>
  </si>
  <si>
    <t>LOT-633</t>
  </si>
  <si>
    <t>LOT-634</t>
  </si>
  <si>
    <t>LOT-635</t>
  </si>
  <si>
    <t>LOT-636</t>
  </si>
  <si>
    <t>LOT-637</t>
  </si>
  <si>
    <t>LOT-638</t>
  </si>
  <si>
    <t>LOT-639</t>
  </si>
  <si>
    <t>LOT-640</t>
  </si>
  <si>
    <t>LOT-641</t>
  </si>
  <si>
    <t>LOT-642</t>
  </si>
  <si>
    <t>LOT-643</t>
  </si>
  <si>
    <t>LOT-644</t>
  </si>
  <si>
    <t>LOT-645</t>
  </si>
  <si>
    <t>LOT-646</t>
  </si>
  <si>
    <t>LOT-647</t>
  </si>
  <si>
    <t>LOT-648</t>
  </si>
  <si>
    <t>LOT-649</t>
  </si>
  <si>
    <t>LOT-650</t>
  </si>
  <si>
    <t>LOT-651</t>
  </si>
  <si>
    <t>LOT-652</t>
  </si>
  <si>
    <t>LOT-653</t>
  </si>
  <si>
    <t>LOT-654</t>
  </si>
  <si>
    <t>LOT-655</t>
  </si>
  <si>
    <t>LOT-656</t>
  </si>
  <si>
    <t>LOT-657</t>
  </si>
  <si>
    <t>LOT-658</t>
  </si>
  <si>
    <t>LOT-659</t>
  </si>
  <si>
    <t>LOT-660</t>
  </si>
  <si>
    <t>LOT-661</t>
  </si>
  <si>
    <t>LOT-662</t>
  </si>
  <si>
    <t>LOT-663</t>
  </si>
  <si>
    <t>LOT-664</t>
  </si>
  <si>
    <t>LOT-665</t>
  </si>
  <si>
    <t>LOT-666</t>
  </si>
  <si>
    <t>LOT-667</t>
  </si>
  <si>
    <t>LOT-668</t>
  </si>
  <si>
    <t>LOT-669</t>
  </si>
  <si>
    <t>LOT-670</t>
  </si>
  <si>
    <t>LOT-671</t>
  </si>
  <si>
    <t>LOT-672</t>
  </si>
  <si>
    <t>LOT-673</t>
  </si>
  <si>
    <t>LOT-674</t>
  </si>
  <si>
    <t>LOT-675</t>
  </si>
  <si>
    <t>LOT-676</t>
  </si>
  <si>
    <t>LOT-677</t>
  </si>
  <si>
    <t>LOT-678</t>
  </si>
  <si>
    <t>LOT-679</t>
  </si>
  <si>
    <t>LOT-680</t>
  </si>
  <si>
    <t>LOT-681</t>
  </si>
  <si>
    <t>LOT-682</t>
  </si>
  <si>
    <t>LOT-683</t>
  </si>
  <si>
    <t>LOT-684</t>
  </si>
  <si>
    <t>LOT-685</t>
  </si>
  <si>
    <t>LOT-686</t>
  </si>
  <si>
    <t>LOT-687</t>
  </si>
  <si>
    <t>LOT-688</t>
  </si>
  <si>
    <t>LOT-689</t>
  </si>
  <si>
    <t>LOT-690</t>
  </si>
  <si>
    <t>LOT-691</t>
  </si>
  <si>
    <t>LOT-692</t>
  </si>
  <si>
    <t>LOT-693</t>
  </si>
  <si>
    <t>LOT-694</t>
  </si>
  <si>
    <t>LOT-695</t>
  </si>
  <si>
    <t>LOT-696</t>
  </si>
  <si>
    <t>LOT-697</t>
  </si>
  <si>
    <t>LOT-698</t>
  </si>
  <si>
    <t>LOT-699</t>
  </si>
  <si>
    <t>LOT-700</t>
  </si>
  <si>
    <t>LOT-701</t>
  </si>
  <si>
    <t>LOT-702</t>
  </si>
  <si>
    <t>LOT-703</t>
  </si>
  <si>
    <t>LOT-704</t>
  </si>
  <si>
    <t>LOT-705</t>
  </si>
  <si>
    <t>LOT-706</t>
  </si>
  <si>
    <t>LOT-707</t>
  </si>
  <si>
    <t>LOT-708</t>
  </si>
  <si>
    <t>LOT-709</t>
  </si>
  <si>
    <t>LOT-710</t>
  </si>
  <si>
    <t>LOT-711</t>
  </si>
  <si>
    <t>LOT-712</t>
  </si>
  <si>
    <t>LOT-713</t>
  </si>
  <si>
    <t>LOT-714</t>
  </si>
  <si>
    <t>LOT-715</t>
  </si>
  <si>
    <t>LOT-716</t>
  </si>
  <si>
    <t>LOT-717</t>
  </si>
  <si>
    <t>LOT-718</t>
  </si>
  <si>
    <t>LOT-719</t>
  </si>
  <si>
    <t>LOT-720</t>
  </si>
  <si>
    <t>LOT-721</t>
  </si>
  <si>
    <t>LOT-722</t>
  </si>
  <si>
    <t>LOT-723</t>
  </si>
  <si>
    <t>LOT-724</t>
  </si>
  <si>
    <t>LOT-725</t>
  </si>
  <si>
    <t>LOT-726</t>
  </si>
  <si>
    <t>LOT-727</t>
  </si>
  <si>
    <t>LOT-728</t>
  </si>
  <si>
    <t>LOT-729</t>
  </si>
  <si>
    <t>LOT-730</t>
  </si>
  <si>
    <t>LOT-731</t>
  </si>
  <si>
    <t>LOT-732</t>
  </si>
  <si>
    <t>LOT-733</t>
  </si>
  <si>
    <t>LOT-734</t>
  </si>
  <si>
    <t>LOT-735</t>
  </si>
  <si>
    <t>LOT-736</t>
  </si>
  <si>
    <t>LOT-737</t>
  </si>
  <si>
    <t>LOT-738</t>
  </si>
  <si>
    <t>LOT-739</t>
  </si>
  <si>
    <t>LOT-740</t>
  </si>
  <si>
    <t>LOT-741</t>
  </si>
  <si>
    <t>LOT-742</t>
  </si>
  <si>
    <t>LOT-743</t>
  </si>
  <si>
    <t>LOT-744</t>
  </si>
  <si>
    <t>LOT-745</t>
  </si>
  <si>
    <t>LOT-746</t>
  </si>
  <si>
    <t>LOT-747</t>
  </si>
  <si>
    <t>LOT-748</t>
  </si>
  <si>
    <t>LOT-749</t>
  </si>
  <si>
    <t>LOT-750</t>
  </si>
  <si>
    <t>LOT-751</t>
  </si>
  <si>
    <t>LOT-752</t>
  </si>
  <si>
    <t>LOT-753</t>
  </si>
  <si>
    <t>LOT-754</t>
  </si>
  <si>
    <t>LOT-755</t>
  </si>
  <si>
    <t>LOT-756</t>
  </si>
  <si>
    <t>LOT-757</t>
  </si>
  <si>
    <t>LOT-758</t>
  </si>
  <si>
    <t>LOT-759</t>
  </si>
  <si>
    <t>LOT-760</t>
  </si>
  <si>
    <t>LOT-761</t>
  </si>
  <si>
    <t>LOT-762</t>
  </si>
  <si>
    <t>LOT-763</t>
  </si>
  <si>
    <t>LOT-764</t>
  </si>
  <si>
    <t>LOT-765</t>
  </si>
  <si>
    <t>LOT-766</t>
  </si>
  <si>
    <t>LOT-767</t>
  </si>
  <si>
    <t>LOT-768</t>
  </si>
  <si>
    <t>LOT-769</t>
  </si>
  <si>
    <t>LOT-770</t>
  </si>
  <si>
    <t>LOT-771</t>
  </si>
  <si>
    <t>LOT-772</t>
  </si>
  <si>
    <t>LOT-773</t>
  </si>
  <si>
    <t>LOT-774</t>
  </si>
  <si>
    <t>LOT-775</t>
  </si>
  <si>
    <t>LOT-776</t>
  </si>
  <si>
    <t>LOT-777</t>
  </si>
  <si>
    <t>LOT-778</t>
  </si>
  <si>
    <t>LOT-779</t>
  </si>
  <si>
    <t>LOT-780</t>
  </si>
  <si>
    <t>LOT-781</t>
  </si>
  <si>
    <t>LOT-782</t>
  </si>
  <si>
    <t>LOT-783</t>
  </si>
  <si>
    <t>LOT-784</t>
  </si>
  <si>
    <t>LOT-785</t>
  </si>
  <si>
    <t>LOT-786</t>
  </si>
  <si>
    <t>LOT-787</t>
  </si>
  <si>
    <t>LOT-788</t>
  </si>
  <si>
    <t>LOT-789</t>
  </si>
  <si>
    <t>LOT-790</t>
  </si>
  <si>
    <t>LOT-791</t>
  </si>
  <si>
    <t>LOT-792</t>
  </si>
  <si>
    <t>LOT-793</t>
  </si>
  <si>
    <t>LOT-794</t>
  </si>
  <si>
    <t>LOT-795</t>
  </si>
  <si>
    <t>LOT-796</t>
  </si>
  <si>
    <t>LOT-797</t>
  </si>
  <si>
    <t>LOT-798</t>
  </si>
  <si>
    <t>LOT-799</t>
  </si>
  <si>
    <t>LOT-800</t>
  </si>
  <si>
    <t>LOT-801</t>
  </si>
  <si>
    <t>LOT-802</t>
  </si>
  <si>
    <t>LOT-803</t>
  </si>
  <si>
    <t>LOT-804</t>
  </si>
  <si>
    <t>LOT-805</t>
  </si>
  <si>
    <t>LOT-806</t>
  </si>
  <si>
    <t>LOT-807</t>
  </si>
  <si>
    <t>LOT-808</t>
  </si>
  <si>
    <t>LOT-809</t>
  </si>
  <si>
    <t>LOT-810</t>
  </si>
  <si>
    <t>LOT-811</t>
  </si>
  <si>
    <t>LOT-812</t>
  </si>
  <si>
    <t>LOT-813</t>
  </si>
  <si>
    <t>LOT-814</t>
  </si>
  <si>
    <t>LOT-815</t>
  </si>
  <si>
    <t>LOT-816</t>
  </si>
  <si>
    <t>LOT-817</t>
  </si>
  <si>
    <t>LOT-818</t>
  </si>
  <si>
    <t>LOT-819</t>
  </si>
  <si>
    <t>LOT-820</t>
  </si>
  <si>
    <t>LOT-821</t>
  </si>
  <si>
    <t>LOT-822</t>
  </si>
  <si>
    <t>LOT-823</t>
  </si>
  <si>
    <t>LOT-824</t>
  </si>
  <si>
    <t>LOT-825</t>
  </si>
  <si>
    <t>LOT-826</t>
  </si>
  <si>
    <t>LOT-827</t>
  </si>
  <si>
    <t>LOT-828</t>
  </si>
  <si>
    <t>LOT-829</t>
  </si>
  <si>
    <t>LOT-830</t>
  </si>
  <si>
    <t>LOT-831</t>
  </si>
  <si>
    <t>LOT-832</t>
  </si>
  <si>
    <t>LOT-833</t>
  </si>
  <si>
    <t>LOT-834</t>
  </si>
  <si>
    <t>LOT-835</t>
  </si>
  <si>
    <t>LOT-836</t>
  </si>
  <si>
    <t>LOT-837</t>
  </si>
  <si>
    <t>LOT-838</t>
  </si>
  <si>
    <t>LOT-839</t>
  </si>
  <si>
    <t>LOT-840</t>
  </si>
  <si>
    <t>LOT-841</t>
  </si>
  <si>
    <t>LOT-842</t>
  </si>
  <si>
    <t>LOT-843</t>
  </si>
  <si>
    <t>LOT-844</t>
  </si>
  <si>
    <t>LOT-845</t>
  </si>
  <si>
    <t>LOT-846</t>
  </si>
  <si>
    <t>LOT-847</t>
  </si>
  <si>
    <t>LOT-848</t>
  </si>
  <si>
    <t>LOT-849</t>
  </si>
  <si>
    <t>LOT-850</t>
  </si>
  <si>
    <t>LOT-851</t>
  </si>
  <si>
    <t>LOT-852</t>
  </si>
  <si>
    <t>LOT-853</t>
  </si>
  <si>
    <t>LOT-854</t>
  </si>
  <si>
    <t>LOT-855</t>
  </si>
  <si>
    <t>LOT-856</t>
  </si>
  <si>
    <t>LOT-857</t>
  </si>
  <si>
    <t>LOT-858</t>
  </si>
  <si>
    <t>LOT-859</t>
  </si>
  <si>
    <t>LOT-860</t>
  </si>
  <si>
    <t>LOT-861</t>
  </si>
  <si>
    <t>LOT-862</t>
  </si>
  <si>
    <t>LOT-863</t>
  </si>
  <si>
    <t>LOT-864</t>
  </si>
  <si>
    <t>LOT-865</t>
  </si>
  <si>
    <t>LOT-866</t>
  </si>
  <si>
    <t>LOT-867</t>
  </si>
  <si>
    <t>LOT-868</t>
  </si>
  <si>
    <t>LOT-869</t>
  </si>
  <si>
    <t>LOT-870</t>
  </si>
  <si>
    <t>LOT-871</t>
  </si>
  <si>
    <t>LOT-872</t>
  </si>
  <si>
    <t>LOT-873</t>
  </si>
  <si>
    <t>LOT-874</t>
  </si>
  <si>
    <t>LOT-875</t>
  </si>
  <si>
    <t>LOT-876</t>
  </si>
  <si>
    <t>LOT-877</t>
  </si>
  <si>
    <t>LOT-878</t>
  </si>
  <si>
    <t>LOT-879</t>
  </si>
  <si>
    <t>LOT-880</t>
  </si>
  <si>
    <t>LOT-881</t>
  </si>
  <si>
    <t>LOT-882</t>
  </si>
  <si>
    <t>LOT-883</t>
  </si>
  <si>
    <t>LOT-884</t>
  </si>
  <si>
    <t>LOT-885</t>
  </si>
  <si>
    <t>LOT-886</t>
  </si>
  <si>
    <t>LOT-887</t>
  </si>
  <si>
    <t>LOT-888</t>
  </si>
  <si>
    <t>LOT-889</t>
  </si>
  <si>
    <t>LOT-890</t>
  </si>
  <si>
    <t>LOT-891</t>
  </si>
  <si>
    <t>LOT-892</t>
  </si>
  <si>
    <t>LOT-893</t>
  </si>
  <si>
    <t>LOT-894</t>
  </si>
  <si>
    <t>LOT-895</t>
  </si>
  <si>
    <t>LOT-896</t>
  </si>
  <si>
    <t>LOT-897</t>
  </si>
  <si>
    <t>LOT-898</t>
  </si>
  <si>
    <t>LOT-899</t>
  </si>
  <si>
    <t>LOT-900</t>
  </si>
  <si>
    <t>LOT-901</t>
  </si>
  <si>
    <t>LOT-902</t>
  </si>
  <si>
    <t>LOT-903</t>
  </si>
  <si>
    <t>LOT-904</t>
  </si>
  <si>
    <t>LOT-905</t>
  </si>
  <si>
    <t>LOT-906</t>
  </si>
  <si>
    <t>LOT-907</t>
  </si>
  <si>
    <t>LOT-908</t>
  </si>
  <si>
    <t>LOT-909</t>
  </si>
  <si>
    <t>LOT-910</t>
  </si>
  <si>
    <t>LOT-911</t>
  </si>
  <si>
    <t>LOT-912</t>
  </si>
  <si>
    <t>LOT-913</t>
  </si>
  <si>
    <t>LOT-914</t>
  </si>
  <si>
    <t>LOT-915</t>
  </si>
  <si>
    <t>LOT-916</t>
  </si>
  <si>
    <t>LOT-917</t>
  </si>
  <si>
    <t>LOT-918</t>
  </si>
  <si>
    <t>LOT-919</t>
  </si>
  <si>
    <t>LOT-920</t>
  </si>
  <si>
    <t>LOT-921</t>
  </si>
  <si>
    <t>LOT-922</t>
  </si>
  <si>
    <t>LOT-923</t>
  </si>
  <si>
    <t>LOT-924</t>
  </si>
  <si>
    <t>LOT-925</t>
  </si>
  <si>
    <t>LOT-926</t>
  </si>
  <si>
    <t>LOT-927</t>
  </si>
  <si>
    <t>LOT-928</t>
  </si>
  <si>
    <t>LOT-929</t>
  </si>
  <si>
    <t>LOT-930</t>
  </si>
  <si>
    <t>LOT-931</t>
  </si>
  <si>
    <t>LOT-932</t>
  </si>
  <si>
    <t>LOT-933</t>
  </si>
  <si>
    <t>LOT-934</t>
  </si>
  <si>
    <t>LOT-935</t>
  </si>
  <si>
    <t>LOT-936</t>
  </si>
  <si>
    <t>LOT-937</t>
  </si>
  <si>
    <t>LOT-938</t>
  </si>
  <si>
    <t>LOT-939</t>
  </si>
  <si>
    <t>LOT-940</t>
  </si>
  <si>
    <t>LOT-941</t>
  </si>
  <si>
    <t>LOT-942</t>
  </si>
  <si>
    <t>LOT-943</t>
  </si>
  <si>
    <t>LOT-944</t>
  </si>
  <si>
    <t>LOT-945</t>
  </si>
  <si>
    <t>LOT-946</t>
  </si>
  <si>
    <t>LOT-947</t>
  </si>
  <si>
    <t>LOT-948</t>
  </si>
  <si>
    <t>LOT-949</t>
  </si>
  <si>
    <t>LOT-950</t>
  </si>
  <si>
    <t>LOT-951</t>
  </si>
  <si>
    <t>LOT-952</t>
  </si>
  <si>
    <t>LOT-953</t>
  </si>
  <si>
    <t>LOT-954</t>
  </si>
  <si>
    <t>LOT-955</t>
  </si>
  <si>
    <t>LOT-956</t>
  </si>
  <si>
    <t>LOT-957</t>
  </si>
  <si>
    <t>LOT-958</t>
  </si>
  <si>
    <t>LOT-959</t>
  </si>
  <si>
    <t>LOT-960</t>
  </si>
  <si>
    <t>LOT-961</t>
  </si>
  <si>
    <t>LOT-962</t>
  </si>
  <si>
    <t>LOT-963</t>
  </si>
  <si>
    <t>LOT-964</t>
  </si>
  <si>
    <t>LOT-965</t>
  </si>
  <si>
    <t>LOT-966</t>
  </si>
  <si>
    <t>LOT-967</t>
  </si>
  <si>
    <t>LOT-968</t>
  </si>
  <si>
    <t>LOT-969</t>
  </si>
  <si>
    <t>LOT-970</t>
  </si>
  <si>
    <t>LOT-971</t>
  </si>
  <si>
    <t>LOT-972</t>
  </si>
  <si>
    <t>LOT-973</t>
  </si>
  <si>
    <t>LOT-974</t>
  </si>
  <si>
    <t>LOT-975</t>
  </si>
  <si>
    <t>LOT-976</t>
  </si>
  <si>
    <t>LOT-977</t>
  </si>
  <si>
    <t>LOT-978</t>
  </si>
  <si>
    <t>LOT-979</t>
  </si>
  <si>
    <t>LOT-980</t>
  </si>
  <si>
    <t>LOT-981</t>
  </si>
  <si>
    <t>LOT-982</t>
  </si>
  <si>
    <t>LOT-983</t>
  </si>
  <si>
    <t>LOT-984</t>
  </si>
  <si>
    <t>LOT-985</t>
  </si>
  <si>
    <t>LOT-986</t>
  </si>
  <si>
    <t>LOT-987</t>
  </si>
  <si>
    <t>LOT-988</t>
  </si>
  <si>
    <t>LOT-989</t>
  </si>
  <si>
    <t>LOT-990</t>
  </si>
  <si>
    <t>LOT-991</t>
  </si>
  <si>
    <t>LOT-992</t>
  </si>
  <si>
    <t>LOT-993</t>
  </si>
  <si>
    <t>LOT-994</t>
  </si>
  <si>
    <t>LOT-995</t>
  </si>
  <si>
    <t>LOT-996</t>
  </si>
  <si>
    <t>LOT-997</t>
  </si>
  <si>
    <t>LOT-998</t>
  </si>
  <si>
    <t>LOT-999</t>
  </si>
  <si>
    <t>LOT-1000</t>
  </si>
  <si>
    <t>RESUMEN DE STOCK — CONSOLIDADO POR PRODUCTO</t>
  </si>
  <si>
    <t>Escribir nombre comercial en col A → cols azules se autocompletan desde Movimientos. Stock total y vencimiento más próximo calculados automáticamente.</t>
  </si>
  <si>
    <t>Principio
Activo/Variedad</t>
  </si>
  <si>
    <t>Lotes
Activos</t>
  </si>
  <si>
    <t>Stock
Total</t>
  </si>
  <si>
    <t>Venc.
Más Próximo</t>
  </si>
  <si>
    <t>semilla colza</t>
  </si>
  <si>
    <t>Glifosato</t>
  </si>
  <si>
    <t>LISTAS DESPLEGABLES — Editar acá para actualizar todos los desplegables</t>
  </si>
  <si>
    <t>Principio Activo/variedad</t>
  </si>
  <si>
    <t>Tipo_Movimiento</t>
  </si>
  <si>
    <t>Destino / Origen</t>
  </si>
  <si>
    <t>Insecticida</t>
  </si>
  <si>
    <t>Lagarticida</t>
  </si>
  <si>
    <t>Ruta 20</t>
  </si>
  <si>
    <t xml:space="preserve">Clopyralid 12% + Halauxyfen methyl 0.51% </t>
  </si>
  <si>
    <t>Fungicida</t>
  </si>
  <si>
    <t>Secante</t>
  </si>
  <si>
    <t>Bayer</t>
  </si>
  <si>
    <t>Lit. Norte</t>
  </si>
  <si>
    <t>Corteva</t>
  </si>
  <si>
    <t>g</t>
  </si>
  <si>
    <t>Arácnido</t>
  </si>
  <si>
    <t>BASF</t>
  </si>
  <si>
    <t>ml</t>
  </si>
  <si>
    <t>Durazno</t>
  </si>
  <si>
    <t>Picloram 24.9%</t>
  </si>
  <si>
    <t>Fertilizante</t>
  </si>
  <si>
    <t>Triazol</t>
  </si>
  <si>
    <t>Nidera</t>
  </si>
  <si>
    <t>unidad</t>
  </si>
  <si>
    <t>Tacuarembó</t>
  </si>
  <si>
    <t>Estrobilurina</t>
  </si>
  <si>
    <t>Don Mario</t>
  </si>
  <si>
    <t>bolsa</t>
  </si>
  <si>
    <t>SDHI</t>
  </si>
  <si>
    <t>Buck</t>
  </si>
  <si>
    <t>tn</t>
  </si>
  <si>
    <t>Otro</t>
  </si>
  <si>
    <t>Mezcla</t>
  </si>
  <si>
    <t>Brevant</t>
  </si>
  <si>
    <t>Rizobacter</t>
  </si>
  <si>
    <t>Graminicida</t>
  </si>
  <si>
    <t>Inoculante</t>
  </si>
  <si>
    <t>Trigo</t>
  </si>
  <si>
    <t>Cebada</t>
  </si>
  <si>
    <t>Colza</t>
  </si>
  <si>
    <t>Carinata</t>
  </si>
  <si>
    <t>Maíz</t>
  </si>
  <si>
    <t>Soja</t>
  </si>
  <si>
    <t>Girasol</t>
  </si>
  <si>
    <t>INSTRUCTIVO DE USO</t>
  </si>
  <si>
    <t>NOTA v13: Stock_por_Lote y Resumen_Producto muestran valores calculados al momento de generar el archivo. Para actualizar en tiempo real, escribir las fórmulas manualmente según la hoja 'Fórmulas_para_copiar'.</t>
  </si>
  <si>
    <t>MOVIMIENTOS</t>
  </si>
  <si>
    <t>1. Ingreso / Salida</t>
  </si>
  <si>
    <t>Completar una fila por evento. Elegir ENTRADA o SALIDA en col I (Tipo_Mov). La fila cambia de color automáticamente: celeste = entrada, rojo = salida.</t>
  </si>
  <si>
    <t>2. Cantidad</t>
  </si>
  <si>
    <t>Ingresar siempre positivo en col J. La col K (Cantidad Neta) aplica el signo automáticamente según Tipo_Mov. El stock se calcula sobre col K.</t>
  </si>
  <si>
    <t>3. ID_Lote</t>
  </si>
  <si>
    <t>Único por partida. Sugerencia: LOT-NNN. Dos partidas del mismo producto con distinto vencimiento = dos ID_Lote distintos.</t>
  </si>
  <si>
    <t>STOCK_POR_LOTE</t>
  </si>
  <si>
    <t>Autocompletado</t>
  </si>
  <si>
    <t>Escribir el ID_Lote en col A. Las columnas azules (B a H) se completan automáticamente buscando la primera ENTRADA de ese lote en Movimientos. No editar esas celdas.</t>
  </si>
  <si>
    <t>Filas precargas</t>
  </si>
  <si>
    <t>Hay 50 filas vacías con fórmulas listas. Solo escribir el ID_Lote en col A.</t>
  </si>
  <si>
    <t>Alarma amarilla</t>
  </si>
  <si>
    <t>Vence en menos de 6 meses (180 días).</t>
  </si>
  <si>
    <t>Alarma roja</t>
  </si>
  <si>
    <t>Vence en menos de 30 días o sin stock.</t>
  </si>
  <si>
    <t>Rojo oscuro</t>
  </si>
  <si>
    <t>VENCIDO: la fecha de vencimiento ya pasó.</t>
  </si>
  <si>
    <t>LISTAS DESPLEGABLES</t>
  </si>
  <si>
    <t>Cómo agregar opciones</t>
  </si>
  <si>
    <t>Ir a hoja 'Listas' y agregar el valor en la columna correspondiente. El desplegable lo toma automáticamente en todas las pestañas.</t>
  </si>
  <si>
    <t>REGLAS</t>
  </si>
  <si>
    <t>FIFO</t>
  </si>
  <si>
    <t>Consumir siempre el lote con fecha de vencimiento más próxima.</t>
  </si>
  <si>
    <t>No borrar filas</t>
  </si>
  <si>
    <t>Si hay error, registrar fila de ajuste. Nunca eliminar entradas previas.</t>
  </si>
  <si>
    <t>Finnegans</t>
  </si>
  <si>
    <t>Cols P y Q de Movimientos: referencia y fecha del documento en el ERP.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</si>
</sst>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\+#,##0.0;\-#,##0.0;\-"/>
    <numFmt numFmtId="165" formatCode="#,##0.0"/>
  </numFmts>
  <fonts count="11">
    <font>
      <sz val="11"/>
      <color theme="1"/>
      <name val="Calibri"/>
      <family val="2"/>
      <scheme val="minor"/>
    </font>
    <font>
      <b/>
      <sz val="14"/>
      <color rgb="FF1F4E79"/>
      <name val="Arial"/>
      <charset val="1"/>
    </font>
    <font>
      <b/>
      <sz val="10"/>
      <color rgb="FFFFFFFF"/>
      <name val="Arial"/>
      <charset val="1"/>
    </font>
    <font>
      <sz val="9"/>
      <color rgb="FF000000"/>
      <name val="Arial"/>
      <charset val="1"/>
    </font>
    <font>
      <i/>
      <sz val="9"/>
      <color rgb="FF595959"/>
      <name val="Arial"/>
      <charset val="1"/>
    </font>
    <font>
      <b/>
      <sz val="9"/>
      <color rgb="FF1F4E79"/>
      <name val="Arial"/>
      <charset val="1"/>
    </font>
    <font>
      <sz val="9"/>
      <color rgb="FF000000"/>
      <name val="Arial"/>
    </font>
    <font>
      <b/>
      <sz val="9"/>
      <color rgb="FF000000"/>
      <name val="Arial"/>
    </font>
    <font>
      <sz val="11"/>
      <color theme="1"/>
      <name val="Calibri"/>
      <family val="2"/>
      <charset val="1"/>
    </font>
    <font>
      <b/>
      <sz val="9"/>
      <color rgb="FF000000"/>
      <name val="Arial"/>
      <charset val="1"/>
    </font>
    <font>
      <sz val="8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2E75B6"/>
        <bgColor rgb="FF0066CC"/>
      </patternFill>
    </fill>
    <fill>
      <patternFill patternType="solid">
        <fgColor rgb="FFEBF3FB"/>
        <bgColor rgb="FFF2F2F2"/>
      </patternFill>
    </fill>
    <fill>
      <patternFill patternType="solid">
        <fgColor rgb="FF1F4E79"/>
        <bgColor rgb="FF003366"/>
      </patternFill>
    </fill>
    <fill>
      <patternFill patternType="solid">
        <fgColor rgb="FFFFFFFF"/>
        <bgColor rgb="FFFFFFFF"/>
      </patternFill>
    </fill>
    <fill>
      <patternFill patternType="solid">
        <fgColor rgb="FFF2F2F2"/>
        <bgColor rgb="FFF2F2F2"/>
      </patternFill>
    </fill>
    <fill>
      <patternFill patternType="solid">
        <fgColor rgb="FFD6E4F0"/>
        <bgColor rgb="FFCCE5FF"/>
      </patternFill>
    </fill>
    <fill>
      <patternFill patternType="solid">
        <fgColor rgb="FFFFFFFF"/>
        <bgColor rgb="FFF2F2F2"/>
      </patternFill>
    </fill>
  </fills>
  <borders count="5">
    <border>
      <left/>
      <right/>
      <top/>
      <bottom/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35">
    <xf numFmtId="0" fontId="0" fillId="0" borderId="0" xfId="0"/>
    <xf numFmtId="0" fontId="1" fillId="0" borderId="0" xfId="0" applyFont="1" applyAlignment="1">
      <alignment horizontal="center" vertical="center" wrapText="1"/>
    </xf>
    <xf numFmtId="0" fontId="4" fillId="0" borderId="0" xfId="0" applyFont="1" applyAlignment="1">
      <alignment horizontal="left" vertical="center"/>
    </xf>
    <xf numFmtId="0" fontId="3" fillId="0" borderId="1" xfId="0" applyFont="1" applyBorder="1" applyAlignment="1">
      <alignment horizontal="center" vertical="center"/>
    </xf>
    <xf numFmtId="0" fontId="3" fillId="0" borderId="1" xfId="0" applyFont="1" applyBorder="1" applyAlignment="1">
      <alignment horizontal="left" vertical="center"/>
    </xf>
    <xf numFmtId="0" fontId="6" fillId="0" borderId="2" xfId="0" applyFont="1" applyBorder="1" applyAlignment="1">
      <alignment horizontal="left" vertical="center"/>
    </xf>
    <xf numFmtId="165" fontId="7" fillId="5" borderId="2" xfId="0" applyNumberFormat="1" applyFont="1" applyFill="1" applyBorder="1" applyAlignment="1">
      <alignment horizontal="center" vertical="center" wrapText="1"/>
    </xf>
    <xf numFmtId="0" fontId="6" fillId="5" borderId="2" xfId="0" applyFont="1" applyFill="1" applyBorder="1" applyAlignment="1">
      <alignment horizontal="left" vertical="center"/>
    </xf>
    <xf numFmtId="0" fontId="6" fillId="6" borderId="2" xfId="0" applyFont="1" applyFill="1" applyBorder="1" applyAlignment="1">
      <alignment horizontal="left" vertical="center"/>
    </xf>
    <xf numFmtId="0" fontId="6" fillId="6" borderId="2" xfId="0" applyFont="1" applyFill="1" applyBorder="1" applyAlignment="1">
      <alignment horizontal="center" vertical="center" wrapText="1"/>
    </xf>
    <xf numFmtId="165" fontId="7" fillId="6" borderId="2" xfId="0" applyNumberFormat="1" applyFont="1" applyFill="1" applyBorder="1" applyAlignment="1">
      <alignment horizontal="center" vertical="center" wrapText="1"/>
    </xf>
    <xf numFmtId="0" fontId="3" fillId="3" borderId="1" xfId="0" applyFont="1" applyFill="1" applyBorder="1" applyAlignment="1">
      <alignment horizontal="left" vertical="center"/>
    </xf>
    <xf numFmtId="0" fontId="2" fillId="2" borderId="3" xfId="0" applyFont="1" applyFill="1" applyBorder="1" applyAlignment="1">
      <alignment horizontal="left" vertical="center"/>
    </xf>
    <xf numFmtId="0" fontId="8" fillId="0" borderId="4" xfId="0" applyFont="1" applyBorder="1"/>
    <xf numFmtId="0" fontId="7" fillId="5" borderId="2" xfId="0" applyFont="1" applyFill="1" applyBorder="1" applyAlignment="1">
      <alignment horizontal="center" vertical="center" wrapText="1"/>
    </xf>
    <xf numFmtId="14" fontId="6" fillId="6" borderId="2" xfId="0" applyNumberFormat="1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0" fontId="4" fillId="0" borderId="0" xfId="0" applyFont="1" applyAlignment="1">
      <alignment horizontal="center" vertical="center"/>
    </xf>
    <xf numFmtId="0" fontId="7" fillId="5" borderId="2" xfId="0" applyFont="1" applyFill="1" applyBorder="1" applyAlignment="1">
      <alignment horizontal="center" vertical="center"/>
    </xf>
    <xf numFmtId="14" fontId="0" fillId="0" borderId="0" xfId="0" applyNumberFormat="1" applyAlignment="1">
      <alignment horizontal="center"/>
    </xf>
    <xf numFmtId="0" fontId="2" fillId="4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wrapText="1"/>
    </xf>
    <xf numFmtId="0" fontId="3" fillId="0" borderId="2" xfId="0" applyFont="1" applyBorder="1" applyAlignment="1">
      <alignment horizontal="left" vertical="center"/>
    </xf>
    <xf numFmtId="14" fontId="3" fillId="0" borderId="2" xfId="0" applyNumberFormat="1" applyFont="1" applyBorder="1" applyAlignment="1">
      <alignment horizontal="left" vertical="center"/>
    </xf>
    <xf numFmtId="164" fontId="5" fillId="0" borderId="2" xfId="0" applyNumberFormat="1" applyFont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 vertical="center"/>
    </xf>
    <xf numFmtId="0" fontId="9" fillId="7" borderId="2" xfId="0" applyFont="1" applyFill="1" applyBorder="1" applyAlignment="1">
      <alignment horizontal="left" vertical="center" wrapText="1"/>
    </xf>
    <xf numFmtId="0" fontId="3" fillId="8" borderId="2" xfId="0" applyFont="1" applyFill="1" applyBorder="1" applyAlignment="1">
      <alignment horizontal="left" vertical="center" wrapText="1"/>
    </xf>
    <xf numFmtId="0" fontId="3" fillId="8" borderId="2" xfId="0" applyFont="1" applyFill="1" applyBorder="1" applyAlignment="1">
      <alignment horizontal="left" vertical="center"/>
    </xf>
    <xf numFmtId="2" fontId="3" fillId="0" borderId="2" xfId="0" applyNumberFormat="1" applyFont="1" applyBorder="1" applyAlignment="1">
      <alignment horizontal="center" vertical="center"/>
    </xf>
    <xf numFmtId="2" fontId="3" fillId="0" borderId="1" xfId="0" applyNumberFormat="1" applyFont="1" applyBorder="1" applyAlignment="1">
      <alignment horizontal="center" vertical="center"/>
    </xf>
    <xf numFmtId="2" fontId="0" fillId="0" borderId="0" xfId="0" applyNumberFormat="1"/>
    <xf numFmtId="2" fontId="6" fillId="0" borderId="2" xfId="0" applyNumberFormat="1" applyFont="1" applyBorder="1" applyAlignment="1">
      <alignment horizontal="left" vertical="center"/>
    </xf>
    <xf numFmtId="0" fontId="1" fillId="0" borderId="0" xfId="0" applyFont="1" applyAlignment="1">
      <alignment horizontal="center" vertical="center" wrapText="1"/>
    </xf>
  </cellXfs>
  <cellStyles count="1">
    <cellStyle name="Normal" xfId="0" builtinId="0"/>
  </cellStyles>
  <dxfs count="9">
    <dxf>
      <fill>
        <patternFill patternType="solid">
          <fgColor rgb="FFFFB3B3"/>
          <bgColor rgb="FFFFB3B3"/>
        </patternFill>
      </fill>
    </dxf>
    <dxf>
      <fill>
        <patternFill patternType="solid">
          <fgColor rgb="FFCCE5FF"/>
          <bgColor rgb="FFCCE5FF"/>
        </patternFill>
      </fill>
    </dxf>
    <dxf>
      <font>
        <b/>
        <sz val="9"/>
        <color rgb="FFFFFFFF"/>
        <name val="Arial"/>
      </font>
      <fill>
        <patternFill patternType="solid">
          <fgColor rgb="FF7B0000"/>
          <bgColor rgb="FF7B0000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numFmt numFmtId="0" formatCode="General"/>
    </dxf>
    <dxf>
      <fill>
        <patternFill patternType="solid">
          <fgColor rgb="FFFFB3B3"/>
          <bgColor rgb="FFFFB3B3"/>
        </patternFill>
      </fill>
    </dxf>
    <dxf>
      <fill>
        <patternFill patternType="solid">
          <fgColor rgb="FFCCE5FF"/>
          <bgColor rgb="FFCCE5FF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Relationship Id="rId14" Type="http://schemas.openxmlformats.org/officeDocument/2006/relationships/customXml" Target="../customXml/item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AB419160-9C2F-4406-84A3-963E72448A76}" name="TblMovimientos" displayName="TblMovimientos" ref="A1:T12001" totalsRowShown="0">
  <autoFilter ref="A1:T12001" xr:uid="{AB419160-9C2F-4406-84A3-963E72448A76}"/>
  <tableColumns count="20">
    <tableColumn id="1" xr3:uid="{D6F7A361-7933-4FD5-8F4B-D716DC9446B3}" name="Columna1"/>
    <tableColumn id="2" xr3:uid="{E6FC72F8-7448-4ECC-A07C-6C65767A1492}" name="Columna2"/>
    <tableColumn id="3" xr3:uid="{16641237-AB6B-419B-B1AB-E0CB1BC23202}" name="Columna3"/>
    <tableColumn id="4" xr3:uid="{77BAE6E8-6128-434B-9BD0-46DDD6F79B54}" name="Columna4"/>
    <tableColumn id="5" xr3:uid="{563B7DC6-8A13-4EAC-AE30-36226F431F07}" name="Columna5"/>
    <tableColumn id="6" xr3:uid="{78E99915-B11C-486D-A27D-38FD33BB7809}" name="Columna6"/>
    <tableColumn id="7" xr3:uid="{E7B8F057-9A8E-4C80-89A4-6F32FE219276}" name="Columna7"/>
    <tableColumn id="8" xr3:uid="{AE3F01B2-ECF5-4529-B353-1DABEE4888F4}" name="Columna8"/>
    <tableColumn id="9" xr3:uid="{07D8814A-95C5-40EB-A262-138503873E5E}" name="Columna9"/>
    <tableColumn id="10" xr3:uid="{BB8D86BA-392E-431E-B492-5D4399A1D3E4}" name="Columna10"/>
    <tableColumn id="11" xr3:uid="{AC2E73B7-2D48-48DC-9657-50ADD954780C}" name="Columna11"/>
    <tableColumn id="12" xr3:uid="{40125356-D575-4F92-BF8E-A39AF80215FD}" name="Columna12"/>
    <tableColumn id="13" xr3:uid="{A2C5EFC8-1570-426E-9977-0AADA4475DE7}" name="Columna13"/>
    <tableColumn id="14" xr3:uid="{9821F939-F19A-4B66-85C7-DF0BE77FE574}" name="Columna14"/>
    <tableColumn id="15" xr3:uid="{44139899-7BCE-40E1-AA81-4DE99414A4DC}" name="Columna15"/>
    <tableColumn id="16" xr3:uid="{78C6DB46-DEB0-4A43-ABC9-8EB1B7311BFB}" name="Columna16"/>
    <tableColumn id="17" xr3:uid="{AFA8158D-BF40-46B7-B5DB-6005BBCE4E79}" name="Columna17"/>
    <tableColumn id="18" xr3:uid="{173B02A0-66F9-439C-A8AE-914A95DC1C3E}" name="Columna18"/>
    <tableColumn id="19" xr3:uid="{FAA1E0FD-7AB1-4F19-99EE-64C55C70784B}" name="Columna19"/>
    <tableColumn id="20" xr3:uid="{4C1EE318-2012-4C96-8CCE-9E712CC35689}" name="Columna20" dataDxfId="6">
      <calculatedColumnFormula>IF(C2="","",UPPER(LEFT(SUBSTITUTE(C2," ",""),3))&amp;"-"&amp;TEXT(B2,"AAMMDD")&amp;"-1")</calculatedColumnFormula>
    </tableColumn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1F4E79"/>
  </sheetPr>
  <dimension ref="A1:T12001"/>
  <sheetViews>
    <sheetView showGridLines="0" workbookViewId="0">
      <pane ySplit="3" topLeftCell="A4" activePane="bottomLeft" state="frozen"/>
      <selection pane="bottomLeft" activeCell="H18" sqref="H18:H21"/>
    </sheetView>
  </sheetViews>
  <sheetFormatPr defaultColWidth="9.140625" defaultRowHeight="15"/>
  <cols>
    <col min="1" max="1" width="11.85546875" customWidth="1"/>
    <col min="2" max="2" width="12" customWidth="1"/>
    <col min="3" max="3" width="22" customWidth="1"/>
    <col min="4" max="4" width="21.85546875" customWidth="1"/>
    <col min="5" max="5" width="14" customWidth="1"/>
    <col min="6" max="6" width="16" customWidth="1"/>
    <col min="7" max="7" width="18" customWidth="1"/>
    <col min="8" max="8" width="13.7109375" bestFit="1" customWidth="1"/>
    <col min="9" max="9" width="12" customWidth="1"/>
    <col min="10" max="10" width="13" customWidth="1"/>
    <col min="11" max="11" width="13" hidden="1" customWidth="1"/>
    <col min="12" max="12" width="13" customWidth="1"/>
    <col min="13" max="13" width="14" customWidth="1"/>
    <col min="14" max="14" width="13" customWidth="1"/>
    <col min="15" max="15" width="13.5703125" bestFit="1" customWidth="1"/>
    <col min="16" max="16" width="18" customWidth="1"/>
    <col min="17" max="17" width="18.42578125" customWidth="1"/>
    <col min="18" max="18" width="15.5703125" bestFit="1" customWidth="1"/>
    <col min="19" max="19" width="23.28515625" bestFit="1" customWidth="1"/>
    <col min="20" max="20" width="13.5703125" bestFit="1" customWidth="1"/>
  </cols>
  <sheetData>
    <row r="1" spans="1:20" ht="27.75" hidden="1" customHeight="1">
      <c r="A1" s="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</row>
    <row r="2" spans="1:20" ht="15.75" hidden="1" customHeight="1">
      <c r="A2" s="1" t="s">
        <v>20</v>
      </c>
      <c r="T2" t="str">
        <f t="shared" ref="T2:T65" si="0">IF(C2="","",UPPER(LEFT(SUBSTITUTE(C2," ",""),3))&amp;"-"&amp;TEXT(B2,"AAMMDD")&amp;"-1")</f>
        <v/>
      </c>
    </row>
    <row r="3" spans="1:20" ht="39.75" hidden="1" customHeight="1">
      <c r="A3" s="2" t="s">
        <v>21</v>
      </c>
      <c r="T3" t="str">
        <f t="shared" si="0"/>
        <v/>
      </c>
    </row>
    <row r="4" spans="1:20" ht="38.25">
      <c r="A4" s="20" t="s">
        <v>22</v>
      </c>
      <c r="B4" s="20" t="s">
        <v>23</v>
      </c>
      <c r="C4" s="21" t="s">
        <v>24</v>
      </c>
      <c r="D4" s="20" t="s">
        <v>25</v>
      </c>
      <c r="E4" s="20" t="s">
        <v>26</v>
      </c>
      <c r="F4" s="20" t="s">
        <v>27</v>
      </c>
      <c r="G4" s="20" t="s">
        <v>28</v>
      </c>
      <c r="H4" s="20" t="s">
        <v>29</v>
      </c>
      <c r="I4" s="20" t="s">
        <v>30</v>
      </c>
      <c r="J4" s="20" t="s">
        <v>31</v>
      </c>
      <c r="K4" s="20" t="s">
        <v>32</v>
      </c>
      <c r="L4" s="20" t="s">
        <v>33</v>
      </c>
      <c r="M4" s="20" t="s">
        <v>34</v>
      </c>
      <c r="N4" s="20" t="s">
        <v>35</v>
      </c>
      <c r="O4" s="20" t="s">
        <v>36</v>
      </c>
      <c r="P4" s="20" t="s">
        <v>37</v>
      </c>
      <c r="Q4" s="20" t="s">
        <v>38</v>
      </c>
      <c r="T4" t="s">
        <v>39</v>
      </c>
    </row>
    <row r="5" spans="1:20">
      <c r="A5" s="22" t="s">
        <v>40</v>
      </c>
      <c r="B5" s="23">
        <v>46105</v>
      </c>
      <c r="C5" s="22" t="s">
        <v>41</v>
      </c>
      <c r="D5" s="22" t="s">
        <v>42</v>
      </c>
      <c r="E5" s="22" t="s">
        <v>43</v>
      </c>
      <c r="F5" s="22"/>
      <c r="G5" s="22" t="s">
        <v>44</v>
      </c>
      <c r="H5" s="22" t="str">
        <f>+T5</f>
        <v>260324-001</v>
      </c>
      <c r="I5" s="22" t="s">
        <v>45</v>
      </c>
      <c r="J5" s="30">
        <v>3400</v>
      </c>
      <c r="K5" s="24">
        <f>IF(I5="","",IF(I5="ENTRADA",ABS(J5),-ABS(J5)))</f>
        <v>3400</v>
      </c>
      <c r="L5" s="22" t="s">
        <v>46</v>
      </c>
      <c r="M5" s="23"/>
      <c r="N5" s="22">
        <v>47144</v>
      </c>
      <c r="O5" s="22"/>
      <c r="P5" s="22">
        <v>14229</v>
      </c>
      <c r="Q5" s="23">
        <v>46106</v>
      </c>
      <c r="R5" s="24" t="str">
        <f>IF(H5="","",H5&amp;I5)</f>
        <v>260324-001ENTRADA</v>
      </c>
      <c r="S5" s="24" t="str">
        <f>IF(C5="","",C5&amp;I5)</f>
        <v>Semilla colzaENTRADA</v>
      </c>
      <c r="T5" t="str">
        <f>IF(OR(C5="",I5&lt;&gt;"ENTRADA"),"",TEXT(B5,"AAMMDD")&amp;"-"&amp;TEXT(VALUE(SUBSTITUTE(A5,"MOV-","")),"000"))</f>
        <v>260324-001</v>
      </c>
    </row>
    <row r="6" spans="1:20">
      <c r="A6" s="22" t="s">
        <v>47</v>
      </c>
      <c r="B6" s="23">
        <v>46113</v>
      </c>
      <c r="C6" s="22" t="s">
        <v>48</v>
      </c>
      <c r="D6" s="22" t="s">
        <v>49</v>
      </c>
      <c r="E6" s="22" t="s">
        <v>50</v>
      </c>
      <c r="F6" s="22" t="s">
        <v>51</v>
      </c>
      <c r="G6" s="22" t="s">
        <v>52</v>
      </c>
      <c r="H6" s="22" t="str">
        <f t="shared" ref="H6:H69" si="1">+T6</f>
        <v>260401-002</v>
      </c>
      <c r="I6" s="22" t="s">
        <v>45</v>
      </c>
      <c r="J6" s="30">
        <v>700</v>
      </c>
      <c r="K6" s="24">
        <f>IF(I6="","",IF(I6="ENTRADA",ABS(J6),-ABS(J6)))</f>
        <v>700</v>
      </c>
      <c r="L6" s="22" t="s">
        <v>53</v>
      </c>
      <c r="M6" s="23">
        <v>46710</v>
      </c>
      <c r="N6" s="22">
        <v>12383</v>
      </c>
      <c r="O6" s="22"/>
      <c r="P6" s="22" t="s">
        <v>54</v>
      </c>
      <c r="Q6" s="23"/>
      <c r="R6" s="24" t="str">
        <f t="shared" ref="R6:R69" si="2">IF(H6="","",H6&amp;I6)</f>
        <v>260401-002ENTRADA</v>
      </c>
      <c r="S6" s="24" t="str">
        <f t="shared" ref="S6:S69" si="3">IF(C6="","",C6&amp;I6)</f>
        <v>KorvettoENTRADA</v>
      </c>
      <c r="T6" t="str">
        <f>IF(OR(C6="",I6&lt;&gt;"ENTRADA"),"",TEXT(B6,"AAMMDD")&amp;"-"&amp;TEXT(VALUE(SUBSTITUTE(A6,"MOV-","")),"000"))</f>
        <v>260401-002</v>
      </c>
    </row>
    <row r="7" spans="1:20">
      <c r="A7" s="22" t="s">
        <v>55</v>
      </c>
      <c r="B7" s="23">
        <v>46113</v>
      </c>
      <c r="C7" s="22" t="s">
        <v>56</v>
      </c>
      <c r="D7" s="22" t="s">
        <v>57</v>
      </c>
      <c r="E7" s="22" t="s">
        <v>50</v>
      </c>
      <c r="F7" s="22" t="s">
        <v>51</v>
      </c>
      <c r="G7" s="22" t="s">
        <v>52</v>
      </c>
      <c r="H7" s="22" t="str">
        <f t="shared" si="1"/>
        <v>260401-003</v>
      </c>
      <c r="I7" s="22" t="s">
        <v>45</v>
      </c>
      <c r="J7" s="30">
        <v>300</v>
      </c>
      <c r="K7" s="24">
        <f>IF(I7="","",IF(I7="ENTRADA",ABS(J7),-ABS(J7)))</f>
        <v>300</v>
      </c>
      <c r="L7" s="22" t="s">
        <v>53</v>
      </c>
      <c r="M7" s="23">
        <v>46500</v>
      </c>
      <c r="N7" s="22">
        <v>12383</v>
      </c>
      <c r="O7" s="22"/>
      <c r="P7" s="22" t="s">
        <v>54</v>
      </c>
      <c r="Q7" s="23"/>
      <c r="R7" s="24" t="str">
        <f t="shared" si="2"/>
        <v>260401-003ENTRADA</v>
      </c>
      <c r="S7" s="24" t="str">
        <f t="shared" si="3"/>
        <v>LontrelENTRADA</v>
      </c>
      <c r="T7" t="str">
        <f>IF(OR(C7="",I7&lt;&gt;"ENTRADA"),"",TEXT(B7,"AAMMDD")&amp;"-"&amp;TEXT(VALUE(SUBSTITUTE(A7,"MOV-","")),"000"))</f>
        <v>260401-003</v>
      </c>
    </row>
    <row r="8" spans="1:20">
      <c r="A8" s="22" t="s">
        <v>58</v>
      </c>
      <c r="B8" s="23">
        <v>46113</v>
      </c>
      <c r="C8" s="22" t="s">
        <v>59</v>
      </c>
      <c r="D8" s="22" t="s">
        <v>60</v>
      </c>
      <c r="E8" s="22" t="s">
        <v>50</v>
      </c>
      <c r="F8" s="22" t="s">
        <v>61</v>
      </c>
      <c r="G8" s="22" t="s">
        <v>52</v>
      </c>
      <c r="H8" s="22" t="str">
        <f t="shared" si="1"/>
        <v>260401-004</v>
      </c>
      <c r="I8" s="22" t="s">
        <v>45</v>
      </c>
      <c r="J8" s="30">
        <v>2800</v>
      </c>
      <c r="K8" s="24">
        <v>2700</v>
      </c>
      <c r="L8" s="22" t="s">
        <v>53</v>
      </c>
      <c r="M8" s="23">
        <v>46528</v>
      </c>
      <c r="N8" s="22">
        <v>12383</v>
      </c>
      <c r="O8" s="22"/>
      <c r="P8" s="22" t="s">
        <v>54</v>
      </c>
      <c r="Q8" s="23"/>
      <c r="R8" s="24" t="str">
        <f t="shared" si="2"/>
        <v>260401-004ENTRADA</v>
      </c>
      <c r="S8" s="24" t="str">
        <f t="shared" si="3"/>
        <v>PresideENTRADA</v>
      </c>
      <c r="T8" t="str">
        <f>IF(OR(C8="",I8&lt;&gt;"ENTRADA"),"",TEXT(B8,"AAMMDD")&amp;"-"&amp;TEXT(VALUE(SUBSTITUTE(A8,"MOV-","")),"000"))</f>
        <v>260401-004</v>
      </c>
    </row>
    <row r="9" spans="1:20">
      <c r="A9" s="22" t="s">
        <v>62</v>
      </c>
      <c r="B9" s="23">
        <v>46113</v>
      </c>
      <c r="C9" s="22" t="s">
        <v>59</v>
      </c>
      <c r="D9" s="22" t="s">
        <v>60</v>
      </c>
      <c r="E9" s="22" t="s">
        <v>50</v>
      </c>
      <c r="F9" s="22" t="s">
        <v>61</v>
      </c>
      <c r="G9" s="22" t="s">
        <v>52</v>
      </c>
      <c r="H9" s="22" t="str">
        <f t="shared" si="1"/>
        <v>260401-005</v>
      </c>
      <c r="I9" s="22" t="s">
        <v>45</v>
      </c>
      <c r="J9" s="30">
        <v>100</v>
      </c>
      <c r="K9" s="24">
        <f t="shared" ref="K9:K28" si="4">IF(I9="","",IF(I9="ENTRADA",ABS(J9),-ABS(J9)))</f>
        <v>100</v>
      </c>
      <c r="L9" s="22" t="s">
        <v>53</v>
      </c>
      <c r="M9" s="23">
        <v>46761</v>
      </c>
      <c r="N9" s="22">
        <v>12383</v>
      </c>
      <c r="O9" s="22"/>
      <c r="P9" s="22" t="s">
        <v>54</v>
      </c>
      <c r="Q9" s="23"/>
      <c r="R9" s="24" t="str">
        <f t="shared" si="2"/>
        <v>260401-005ENTRADA</v>
      </c>
      <c r="S9" s="24" t="str">
        <f t="shared" si="3"/>
        <v>PresideENTRADA</v>
      </c>
      <c r="T9" t="str">
        <f>IF(OR(C9="",I9&lt;&gt;"ENTRADA"),"",TEXT(B9,"AAMMDD")&amp;"-"&amp;TEXT(VALUE(SUBSTITUTE(A9,"MOV-","")),"000"))</f>
        <v>260401-005</v>
      </c>
    </row>
    <row r="10" spans="1:20">
      <c r="A10" s="22" t="s">
        <v>63</v>
      </c>
      <c r="B10" s="23">
        <v>46113</v>
      </c>
      <c r="C10" s="22" t="s">
        <v>64</v>
      </c>
      <c r="D10" s="22" t="s">
        <v>65</v>
      </c>
      <c r="E10" s="22" t="s">
        <v>50</v>
      </c>
      <c r="F10" s="22" t="s">
        <v>51</v>
      </c>
      <c r="G10" s="22" t="s">
        <v>52</v>
      </c>
      <c r="H10" s="22" t="str">
        <f t="shared" si="1"/>
        <v>260401-006</v>
      </c>
      <c r="I10" s="22" t="s">
        <v>45</v>
      </c>
      <c r="J10" s="30">
        <v>300</v>
      </c>
      <c r="K10" s="24">
        <f t="shared" si="4"/>
        <v>300</v>
      </c>
      <c r="L10" s="22" t="s">
        <v>53</v>
      </c>
      <c r="M10" s="23">
        <v>46517</v>
      </c>
      <c r="N10" s="22">
        <v>12383</v>
      </c>
      <c r="O10" s="22"/>
      <c r="P10" s="22" t="s">
        <v>54</v>
      </c>
      <c r="Q10" s="23"/>
      <c r="R10" s="24" t="str">
        <f t="shared" si="2"/>
        <v>260401-006ENTRADA</v>
      </c>
      <c r="S10" s="24" t="str">
        <f t="shared" si="3"/>
        <v>Tordon 24KENTRADA</v>
      </c>
      <c r="T10" t="str">
        <f>IF(OR(C10="",I10&lt;&gt;"ENTRADA"),"",TEXT(B10,"AAMMDD")&amp;"-"&amp;TEXT(VALUE(SUBSTITUTE(A10,"MOV-","")),"000"))</f>
        <v>260401-006</v>
      </c>
    </row>
    <row r="11" spans="1:20">
      <c r="A11" s="22" t="s">
        <v>66</v>
      </c>
      <c r="B11" s="23">
        <v>46113</v>
      </c>
      <c r="C11" s="22" t="s">
        <v>67</v>
      </c>
      <c r="D11" s="22" t="s">
        <v>68</v>
      </c>
      <c r="E11" s="22" t="s">
        <v>50</v>
      </c>
      <c r="F11" s="22" t="s">
        <v>51</v>
      </c>
      <c r="G11" s="22" t="s">
        <v>52</v>
      </c>
      <c r="H11" s="22" t="str">
        <f t="shared" si="1"/>
        <v>260401-007</v>
      </c>
      <c r="I11" s="22" t="s">
        <v>45</v>
      </c>
      <c r="J11" s="30">
        <v>300</v>
      </c>
      <c r="K11" s="24">
        <f t="shared" si="4"/>
        <v>300</v>
      </c>
      <c r="L11" s="22" t="s">
        <v>69</v>
      </c>
      <c r="M11" s="23">
        <v>46443</v>
      </c>
      <c r="N11" s="22">
        <v>12383</v>
      </c>
      <c r="O11" s="22"/>
      <c r="P11" s="22" t="s">
        <v>54</v>
      </c>
      <c r="Q11" s="23"/>
      <c r="R11" s="24" t="str">
        <f t="shared" si="2"/>
        <v>260401-007ENTRADA</v>
      </c>
      <c r="S11" s="24" t="str">
        <f t="shared" si="3"/>
        <v>TronadorENTRADA</v>
      </c>
      <c r="T11" t="str">
        <f>IF(OR(C11="",I11&lt;&gt;"ENTRADA"),"",TEXT(B11,"AAMMDD")&amp;"-"&amp;TEXT(VALUE(SUBSTITUTE(A11,"MOV-","")),"000"))</f>
        <v>260401-007</v>
      </c>
    </row>
    <row r="12" spans="1:20">
      <c r="A12" s="22" t="s">
        <v>70</v>
      </c>
      <c r="B12" s="23">
        <v>46113</v>
      </c>
      <c r="C12" s="22" t="s">
        <v>71</v>
      </c>
      <c r="D12" s="22" t="s">
        <v>72</v>
      </c>
      <c r="E12" s="22" t="s">
        <v>50</v>
      </c>
      <c r="F12" s="22" t="s">
        <v>51</v>
      </c>
      <c r="G12" s="22" t="s">
        <v>52</v>
      </c>
      <c r="H12" s="22" t="str">
        <f>+T12</f>
        <v>260401-008</v>
      </c>
      <c r="I12" s="22" t="s">
        <v>45</v>
      </c>
      <c r="J12" s="30">
        <v>4800</v>
      </c>
      <c r="K12" s="24">
        <f t="shared" si="4"/>
        <v>4800</v>
      </c>
      <c r="L12" s="22" t="s">
        <v>53</v>
      </c>
      <c r="M12" s="23">
        <v>46737</v>
      </c>
      <c r="N12" s="22">
        <v>12383</v>
      </c>
      <c r="O12" s="22"/>
      <c r="P12" s="22" t="s">
        <v>54</v>
      </c>
      <c r="Q12" s="23"/>
      <c r="R12" s="24" t="str">
        <f t="shared" si="2"/>
        <v>260401-008ENTRADA</v>
      </c>
      <c r="S12" s="24" t="str">
        <f t="shared" si="3"/>
        <v>Venceweed extraENTRADA</v>
      </c>
      <c r="T12" t="str">
        <f>IF(OR(C12="",I12&lt;&gt;"ENTRADA"),"",TEXT(B12,"AAMMDD")&amp;"-"&amp;TEXT(VALUE(SUBSTITUTE(A12,"MOV-","")),"000"))</f>
        <v>260401-008</v>
      </c>
    </row>
    <row r="13" spans="1:20">
      <c r="A13" s="22" t="s">
        <v>73</v>
      </c>
      <c r="B13" s="23">
        <v>46113</v>
      </c>
      <c r="C13" t="s">
        <v>59</v>
      </c>
      <c r="D13" t="s">
        <v>74</v>
      </c>
      <c r="E13" t="s">
        <v>50</v>
      </c>
      <c r="F13" t="s">
        <v>61</v>
      </c>
      <c r="G13" t="s">
        <v>52</v>
      </c>
      <c r="H13" s="22" t="s">
        <v>75</v>
      </c>
      <c r="I13" t="s">
        <v>76</v>
      </c>
      <c r="J13" s="31">
        <v>100</v>
      </c>
      <c r="K13" s="24">
        <f t="shared" si="4"/>
        <v>-100</v>
      </c>
      <c r="L13" t="s">
        <v>53</v>
      </c>
      <c r="M13" s="23">
        <v>46528</v>
      </c>
      <c r="N13" s="4">
        <v>59307</v>
      </c>
      <c r="O13" t="s">
        <v>77</v>
      </c>
      <c r="P13" s="4" t="s">
        <v>54</v>
      </c>
      <c r="R13" s="24" t="str">
        <f t="shared" si="2"/>
        <v>260401-004SALIDA</v>
      </c>
      <c r="S13" s="24" t="str">
        <f t="shared" si="3"/>
        <v>PresideSALIDA</v>
      </c>
      <c r="T13" t="str">
        <f>IF(OR(C13="",I13&lt;&gt;"ENTRADA"),"",TEXT(B13,"AAMMDD")&amp;"-"&amp;TEXT(VALUE(SUBSTITUTE(A13,"MOV-","")),"000"))</f>
        <v/>
      </c>
    </row>
    <row r="14" spans="1:20">
      <c r="A14" s="22" t="s">
        <v>78</v>
      </c>
      <c r="B14" s="23">
        <v>46113</v>
      </c>
      <c r="C14" t="s">
        <v>71</v>
      </c>
      <c r="D14" t="s">
        <v>72</v>
      </c>
      <c r="E14" t="s">
        <v>50</v>
      </c>
      <c r="F14" t="s">
        <v>51</v>
      </c>
      <c r="G14" t="s">
        <v>52</v>
      </c>
      <c r="H14" s="22" t="s">
        <v>79</v>
      </c>
      <c r="I14" t="s">
        <v>76</v>
      </c>
      <c r="J14" s="31">
        <v>360</v>
      </c>
      <c r="K14" s="24">
        <f t="shared" si="4"/>
        <v>-360</v>
      </c>
      <c r="L14" t="s">
        <v>53</v>
      </c>
      <c r="M14" s="23">
        <v>46737</v>
      </c>
      <c r="N14" s="4">
        <v>59307</v>
      </c>
      <c r="O14" t="s">
        <v>77</v>
      </c>
      <c r="P14" s="4" t="s">
        <v>54</v>
      </c>
      <c r="R14" s="24" t="str">
        <f t="shared" si="2"/>
        <v>260401-008SALIDA</v>
      </c>
      <c r="S14" s="24" t="str">
        <f t="shared" si="3"/>
        <v>Venceweed extraSALIDA</v>
      </c>
      <c r="T14" t="str">
        <f>IF(OR(C14="",I14&lt;&gt;"ENTRADA"),"",TEXT(B14,"AAMMDD")&amp;"-"&amp;TEXT(VALUE(SUBSTITUTE(A14,"MOV-","")),"000"))</f>
        <v/>
      </c>
    </row>
    <row r="15" spans="1:20">
      <c r="A15" s="22" t="s">
        <v>80</v>
      </c>
      <c r="B15" s="23">
        <v>46114</v>
      </c>
      <c r="C15" t="s">
        <v>81</v>
      </c>
      <c r="D15" t="s">
        <v>82</v>
      </c>
      <c r="E15" t="s">
        <v>50</v>
      </c>
      <c r="F15" t="s">
        <v>51</v>
      </c>
      <c r="G15" t="s">
        <v>52</v>
      </c>
      <c r="H15" s="22" t="str">
        <f>+T15</f>
        <v>260402-011</v>
      </c>
      <c r="I15" t="s">
        <v>45</v>
      </c>
      <c r="J15" s="31">
        <v>500</v>
      </c>
      <c r="K15" s="24">
        <f t="shared" si="4"/>
        <v>500</v>
      </c>
      <c r="L15" t="s">
        <v>53</v>
      </c>
      <c r="M15" s="23">
        <v>46154</v>
      </c>
      <c r="N15" s="4">
        <v>1111</v>
      </c>
      <c r="P15" t="s">
        <v>54</v>
      </c>
      <c r="R15" s="24" t="str">
        <f t="shared" si="2"/>
        <v>260402-011ENTRADA</v>
      </c>
      <c r="S15" s="24" t="str">
        <f t="shared" si="3"/>
        <v>Glifosato sal potasicaENTRADA</v>
      </c>
      <c r="T15" t="str">
        <f>IF(OR(C15="",I15&lt;&gt;"ENTRADA"),"",TEXT(B15,"AAMMDD")&amp;"-"&amp;TEXT(VALUE(SUBSTITUTE(A15,"MOV-","")),"000"))</f>
        <v>260402-011</v>
      </c>
    </row>
    <row r="16" spans="1:20">
      <c r="A16" s="22" t="s">
        <v>83</v>
      </c>
      <c r="B16" s="23">
        <v>46114</v>
      </c>
      <c r="C16" t="s">
        <v>84</v>
      </c>
      <c r="E16" t="s">
        <v>85</v>
      </c>
      <c r="G16" t="s">
        <v>52</v>
      </c>
      <c r="H16" s="22" t="str">
        <f t="shared" ref="H16:H79" si="5">+T16</f>
        <v>260402-012</v>
      </c>
      <c r="I16" t="s">
        <v>45</v>
      </c>
      <c r="J16" s="31">
        <v>200</v>
      </c>
      <c r="K16" s="24">
        <f t="shared" si="4"/>
        <v>200</v>
      </c>
      <c r="L16" t="s">
        <v>53</v>
      </c>
      <c r="M16" s="23">
        <v>46371</v>
      </c>
      <c r="N16" s="4">
        <v>222</v>
      </c>
      <c r="R16" s="24" t="str">
        <f t="shared" si="2"/>
        <v>260402-012ENTRADA</v>
      </c>
      <c r="S16" s="24" t="str">
        <f t="shared" si="3"/>
        <v>HarrierENTRADA</v>
      </c>
      <c r="T16" t="str">
        <f>IF(OR(C16="",I16&lt;&gt;"ENTRADA"),"",TEXT(B16,"AAMMDD")&amp;"-"&amp;TEXT(VALUE(SUBSTITUTE(A16,"MOV-","")),"000"))</f>
        <v>260402-012</v>
      </c>
    </row>
    <row r="17" spans="1:20">
      <c r="A17" s="22" t="s">
        <v>86</v>
      </c>
      <c r="B17" s="23">
        <v>46114</v>
      </c>
      <c r="C17" t="s">
        <v>84</v>
      </c>
      <c r="E17" t="s">
        <v>85</v>
      </c>
      <c r="G17" t="s">
        <v>52</v>
      </c>
      <c r="H17" s="22" t="s">
        <v>87</v>
      </c>
      <c r="I17" t="s">
        <v>88</v>
      </c>
      <c r="J17" s="31">
        <v>200</v>
      </c>
      <c r="K17" s="24">
        <f t="shared" si="4"/>
        <v>-200</v>
      </c>
      <c r="L17" t="s">
        <v>53</v>
      </c>
      <c r="M17" s="23">
        <v>46371</v>
      </c>
      <c r="N17" s="4">
        <v>222</v>
      </c>
      <c r="R17" s="24" t="str">
        <f t="shared" si="2"/>
        <v>260402-012salida</v>
      </c>
      <c r="S17" s="24" t="str">
        <f t="shared" si="3"/>
        <v>Harriersalida</v>
      </c>
      <c r="T17" t="str">
        <f>IF(OR(C17="",I17&lt;&gt;"ENTRADA"),"",TEXT(B17,"AAMMDD")&amp;"-"&amp;TEXT(VALUE(SUBSTITUTE(A17,"MOV-","")),"000"))</f>
        <v/>
      </c>
    </row>
    <row r="18" spans="1:20">
      <c r="A18" s="22" t="s">
        <v>89</v>
      </c>
      <c r="B18" s="23">
        <v>46114</v>
      </c>
      <c r="C18" t="s">
        <v>90</v>
      </c>
      <c r="D18" t="s">
        <v>91</v>
      </c>
      <c r="E18" t="s">
        <v>50</v>
      </c>
      <c r="F18" t="s">
        <v>51</v>
      </c>
      <c r="G18" t="s">
        <v>52</v>
      </c>
      <c r="H18" s="22" t="str">
        <f t="shared" si="5"/>
        <v>260402-014</v>
      </c>
      <c r="I18" t="s">
        <v>45</v>
      </c>
      <c r="J18" s="31">
        <v>100</v>
      </c>
      <c r="K18" s="24">
        <f t="shared" si="4"/>
        <v>100</v>
      </c>
      <c r="L18" t="s">
        <v>53</v>
      </c>
      <c r="M18" s="23">
        <v>46117</v>
      </c>
      <c r="N18" s="4">
        <v>1212</v>
      </c>
      <c r="R18" s="24" t="str">
        <f t="shared" si="2"/>
        <v>260402-014ENTRADA</v>
      </c>
      <c r="S18" s="24" t="str">
        <f t="shared" si="3"/>
        <v>Glifosato 48%ENTRADA</v>
      </c>
      <c r="T18" t="str">
        <f>IF(OR(C18="",I18&lt;&gt;"ENTRADA"),"",TEXT(B18,"AAMMDD")&amp;"-"&amp;TEXT(VALUE(SUBSTITUTE(A18,"MOV-","")),"000"))</f>
        <v>260402-014</v>
      </c>
    </row>
    <row r="19" spans="1:20">
      <c r="A19" s="22" t="s">
        <v>92</v>
      </c>
      <c r="B19" s="23">
        <v>46114</v>
      </c>
      <c r="C19" t="s">
        <v>90</v>
      </c>
      <c r="D19" t="s">
        <v>91</v>
      </c>
      <c r="E19" t="s">
        <v>50</v>
      </c>
      <c r="F19" t="s">
        <v>51</v>
      </c>
      <c r="G19" t="s">
        <v>52</v>
      </c>
      <c r="H19" s="22" t="str">
        <f t="shared" si="5"/>
        <v>260402-015</v>
      </c>
      <c r="I19" t="s">
        <v>45</v>
      </c>
      <c r="J19" s="31">
        <v>200</v>
      </c>
      <c r="K19" s="24">
        <f t="shared" si="4"/>
        <v>200</v>
      </c>
      <c r="L19" t="s">
        <v>53</v>
      </c>
      <c r="M19" s="23">
        <v>46240</v>
      </c>
      <c r="N19" s="4"/>
      <c r="R19" s="24" t="str">
        <f t="shared" si="2"/>
        <v>260402-015ENTRADA</v>
      </c>
      <c r="S19" s="24" t="str">
        <f t="shared" si="3"/>
        <v>Glifosato 48%ENTRADA</v>
      </c>
      <c r="T19" t="str">
        <f>IF(OR(C19="",I19&lt;&gt;"ENTRADA"),"",TEXT(B19,"AAMMDD")&amp;"-"&amp;TEXT(VALUE(SUBSTITUTE(A19,"MOV-","")),"000"))</f>
        <v>260402-015</v>
      </c>
    </row>
    <row r="20" spans="1:20">
      <c r="A20" s="22" t="s">
        <v>93</v>
      </c>
      <c r="B20" s="23">
        <v>46114</v>
      </c>
      <c r="C20" t="s">
        <v>94</v>
      </c>
      <c r="D20" t="s">
        <v>95</v>
      </c>
      <c r="E20" t="s">
        <v>50</v>
      </c>
      <c r="F20" t="s">
        <v>51</v>
      </c>
      <c r="G20" t="s">
        <v>52</v>
      </c>
      <c r="H20" s="22" t="str">
        <f t="shared" si="5"/>
        <v>260402-016</v>
      </c>
      <c r="I20" t="s">
        <v>45</v>
      </c>
      <c r="J20" s="31">
        <v>12500</v>
      </c>
      <c r="K20" s="24">
        <f t="shared" si="4"/>
        <v>12500</v>
      </c>
      <c r="L20" t="s">
        <v>53</v>
      </c>
      <c r="M20" s="23"/>
      <c r="N20" s="4">
        <v>12345</v>
      </c>
      <c r="R20" s="24" t="str">
        <f t="shared" si="2"/>
        <v>260402-016ENTRADA</v>
      </c>
      <c r="S20" s="24" t="str">
        <f t="shared" si="3"/>
        <v>Dedalo eliteENTRADA</v>
      </c>
      <c r="T20" t="str">
        <f>IF(OR(C20="",I20&lt;&gt;"ENTRADA"),"",TEXT(B20,"AAMMDD")&amp;"-"&amp;TEXT(VALUE(SUBSTITUTE(A20,"MOV-","")),"000"))</f>
        <v>260402-016</v>
      </c>
    </row>
    <row r="21" spans="1:20">
      <c r="A21" s="22" t="s">
        <v>96</v>
      </c>
      <c r="B21" s="23">
        <v>46114</v>
      </c>
      <c r="C21" t="s">
        <v>97</v>
      </c>
      <c r="E21" t="s">
        <v>98</v>
      </c>
      <c r="G21" t="s">
        <v>52</v>
      </c>
      <c r="H21" s="22" t="str">
        <f t="shared" si="5"/>
        <v>260402-017</v>
      </c>
      <c r="I21" t="s">
        <v>45</v>
      </c>
      <c r="J21" s="31">
        <v>2000</v>
      </c>
      <c r="K21" s="24">
        <f t="shared" si="4"/>
        <v>2000</v>
      </c>
      <c r="L21" t="s">
        <v>53</v>
      </c>
      <c r="M21" s="23"/>
      <c r="N21" s="4"/>
      <c r="R21" s="24" t="str">
        <f t="shared" si="2"/>
        <v>260402-017ENTRADA</v>
      </c>
      <c r="S21" s="24" t="str">
        <f t="shared" si="3"/>
        <v>HydrahumeENTRADA</v>
      </c>
      <c r="T21" t="str">
        <f>IF(OR(C21="",I21&lt;&gt;"ENTRADA"),"",TEXT(B21,"AAMMDD")&amp;"-"&amp;TEXT(VALUE(SUBSTITUTE(A21,"MOV-","")),"000"))</f>
        <v>260402-017</v>
      </c>
    </row>
    <row r="22" spans="1:20">
      <c r="A22" s="22" t="s">
        <v>99</v>
      </c>
      <c r="B22" s="23"/>
      <c r="H22" s="22" t="str">
        <f t="shared" si="5"/>
        <v/>
      </c>
      <c r="J22" s="31"/>
      <c r="K22" s="24" t="str">
        <f t="shared" si="4"/>
        <v/>
      </c>
      <c r="M22" s="23"/>
      <c r="N22" s="4"/>
      <c r="R22" s="24" t="str">
        <f t="shared" si="2"/>
        <v/>
      </c>
      <c r="S22" s="24" t="str">
        <f t="shared" si="3"/>
        <v/>
      </c>
      <c r="T22" t="str">
        <f>IF(OR(C22="",I22&lt;&gt;"ENTRADA"),"",TEXT(B22,"AAMMDD")&amp;"-"&amp;TEXT(VALUE(SUBSTITUTE(A22,"MOV-","")),"000"))</f>
        <v/>
      </c>
    </row>
    <row r="23" spans="1:20">
      <c r="A23" s="22" t="s">
        <v>100</v>
      </c>
      <c r="B23" s="23"/>
      <c r="H23" s="22" t="str">
        <f t="shared" si="5"/>
        <v/>
      </c>
      <c r="J23" s="31"/>
      <c r="K23" s="24" t="str">
        <f t="shared" si="4"/>
        <v/>
      </c>
      <c r="M23" s="23"/>
      <c r="N23" s="4"/>
      <c r="R23" s="24" t="str">
        <f t="shared" si="2"/>
        <v/>
      </c>
      <c r="S23" s="24" t="str">
        <f t="shared" si="3"/>
        <v/>
      </c>
      <c r="T23" t="str">
        <f>IF(OR(C23="",I23&lt;&gt;"ENTRADA"),"",TEXT(B23,"AAMMDD")&amp;"-"&amp;TEXT(VALUE(SUBSTITUTE(A23,"MOV-","")),"000"))</f>
        <v/>
      </c>
    </row>
    <row r="24" spans="1:20">
      <c r="A24" s="22" t="s">
        <v>101</v>
      </c>
      <c r="B24" s="23"/>
      <c r="H24" s="22" t="str">
        <f t="shared" si="5"/>
        <v/>
      </c>
      <c r="J24" s="31"/>
      <c r="K24" s="24" t="str">
        <f t="shared" si="4"/>
        <v/>
      </c>
      <c r="M24" s="23"/>
      <c r="N24" s="4"/>
      <c r="R24" s="24" t="str">
        <f t="shared" si="2"/>
        <v/>
      </c>
      <c r="S24" s="24" t="str">
        <f t="shared" si="3"/>
        <v/>
      </c>
      <c r="T24" t="str">
        <f>IF(OR(C24="",I24&lt;&gt;"ENTRADA"),"",UPPER(LEFT(SUBSTITUTE(C24," ",""),3))&amp;"-"&amp;TEXT(B24,"AAMMDD")&amp;"-"&amp;(COUNTIFS($C$5:C24,C24,$B$5:B24,B24,$I$5:I24,"ENTRADA")))</f>
        <v/>
      </c>
    </row>
    <row r="25" spans="1:20">
      <c r="A25" s="22" t="s">
        <v>102</v>
      </c>
      <c r="B25" s="23"/>
      <c r="H25" s="22" t="str">
        <f t="shared" si="5"/>
        <v/>
      </c>
      <c r="J25" s="31"/>
      <c r="K25" s="24" t="str">
        <f t="shared" si="4"/>
        <v/>
      </c>
      <c r="M25" s="23"/>
      <c r="N25" s="4"/>
      <c r="R25" s="24" t="str">
        <f t="shared" si="2"/>
        <v/>
      </c>
      <c r="S25" s="24" t="str">
        <f t="shared" si="3"/>
        <v/>
      </c>
      <c r="T25" t="str">
        <f>IF(OR(C25="",I25&lt;&gt;"ENTRADA"),"",UPPER(LEFT(SUBSTITUTE(C25," ",""),3))&amp;"-"&amp;TEXT(B25,"AAMMDD")&amp;"-"&amp;(COUNTIFS($C$5:C25,C25,$B$5:B25,B25,$I$5:I25,"ENTRADA")))</f>
        <v/>
      </c>
    </row>
    <row r="26" spans="1:20">
      <c r="A26" s="22" t="s">
        <v>103</v>
      </c>
      <c r="B26" s="23"/>
      <c r="H26" s="22" t="str">
        <f t="shared" si="5"/>
        <v/>
      </c>
      <c r="J26" s="31"/>
      <c r="K26" s="24" t="str">
        <f t="shared" si="4"/>
        <v/>
      </c>
      <c r="M26" s="23"/>
      <c r="N26" s="4"/>
      <c r="R26" s="24" t="str">
        <f t="shared" si="2"/>
        <v/>
      </c>
      <c r="S26" s="24" t="str">
        <f t="shared" si="3"/>
        <v/>
      </c>
      <c r="T26" t="str">
        <f>IF(OR(C26="",I26&lt;&gt;"ENTRADA"),"",UPPER(LEFT(SUBSTITUTE(C26," ",""),3))&amp;"-"&amp;TEXT(B26,"AAMMDD")&amp;"-"&amp;(COUNTIFS($C$5:C26,C26,$B$5:B26,B26,$I$5:I26,"ENTRADA")))</f>
        <v/>
      </c>
    </row>
    <row r="27" spans="1:20">
      <c r="A27" s="22" t="s">
        <v>104</v>
      </c>
      <c r="B27" s="23"/>
      <c r="H27" s="22" t="str">
        <f t="shared" si="5"/>
        <v/>
      </c>
      <c r="J27" s="31"/>
      <c r="K27" s="24" t="str">
        <f t="shared" si="4"/>
        <v/>
      </c>
      <c r="M27" s="23"/>
      <c r="N27" s="4"/>
      <c r="R27" s="24" t="str">
        <f t="shared" si="2"/>
        <v/>
      </c>
      <c r="S27" s="24" t="str">
        <f t="shared" si="3"/>
        <v/>
      </c>
      <c r="T27" t="str">
        <f>IF(OR(C27="",I27&lt;&gt;"ENTRADA"),"",UPPER(LEFT(SUBSTITUTE(C27," ",""),3))&amp;"-"&amp;TEXT(B27,"AAMMDD")&amp;"-"&amp;(COUNTIFS($C$5:C27,C27,$B$5:B27,B27,$I$5:I27,"ENTRADA")))</f>
        <v/>
      </c>
    </row>
    <row r="28" spans="1:20">
      <c r="A28" s="22" t="s">
        <v>105</v>
      </c>
      <c r="B28" s="23"/>
      <c r="H28" s="22" t="str">
        <f t="shared" si="5"/>
        <v/>
      </c>
      <c r="J28" s="31"/>
      <c r="K28" s="24" t="str">
        <f t="shared" si="4"/>
        <v/>
      </c>
      <c r="M28" s="23"/>
      <c r="N28" s="4"/>
      <c r="R28" s="24" t="str">
        <f t="shared" si="2"/>
        <v/>
      </c>
      <c r="S28" s="24" t="str">
        <f t="shared" si="3"/>
        <v/>
      </c>
      <c r="T28" t="str">
        <f>IF(OR(C28="",I28&lt;&gt;"ENTRADA"),"",UPPER(LEFT(SUBSTITUTE(C28," ",""),3))&amp;"-"&amp;TEXT(B28,"AAMMDD")&amp;"-"&amp;(COUNTIFS($C$5:C28,C28,$B$5:B28,B28,$I$5:I28,"ENTRADA")))</f>
        <v/>
      </c>
    </row>
    <row r="29" spans="1:20">
      <c r="A29" s="22" t="s">
        <v>106</v>
      </c>
      <c r="B29" s="23"/>
      <c r="H29" s="22" t="str">
        <f t="shared" si="5"/>
        <v/>
      </c>
      <c r="J29" s="31"/>
      <c r="K29" s="24"/>
      <c r="M29" s="23"/>
      <c r="N29" s="4"/>
      <c r="R29" s="24" t="str">
        <f t="shared" si="2"/>
        <v/>
      </c>
      <c r="S29" s="24" t="str">
        <f t="shared" si="3"/>
        <v/>
      </c>
      <c r="T29" t="str">
        <f>IF(OR(C29="",I29&lt;&gt;"ENTRADA"),"",UPPER(LEFT(SUBSTITUTE(C29," ",""),3))&amp;"-"&amp;TEXT(B29,"AAMMDD")&amp;"-"&amp;(COUNTIFS($C$5:C29,C29,$B$5:B29,B29,$I$5:I29,"ENTRADA")))</f>
        <v/>
      </c>
    </row>
    <row r="30" spans="1:20">
      <c r="A30" s="22" t="s">
        <v>107</v>
      </c>
      <c r="B30" s="23"/>
      <c r="H30" s="22" t="str">
        <f t="shared" si="5"/>
        <v/>
      </c>
      <c r="J30" s="31"/>
      <c r="K30" s="24"/>
      <c r="M30" s="23"/>
      <c r="N30" s="4"/>
      <c r="R30" s="24" t="str">
        <f t="shared" si="2"/>
        <v/>
      </c>
      <c r="S30" s="24" t="str">
        <f t="shared" si="3"/>
        <v/>
      </c>
      <c r="T30" t="str">
        <f>IF(OR(C30="",I30&lt;&gt;"ENTRADA"),"",UPPER(LEFT(SUBSTITUTE(C30," ",""),3))&amp;"-"&amp;TEXT(B30,"AAMMDD")&amp;"-"&amp;(COUNTIFS($C$5:C30,C30,$B$5:B30,B30,$I$5:I30,"ENTRADA")))</f>
        <v/>
      </c>
    </row>
    <row r="31" spans="1:20">
      <c r="A31" s="22" t="s">
        <v>108</v>
      </c>
      <c r="B31" s="23"/>
      <c r="H31" s="22" t="str">
        <f t="shared" si="5"/>
        <v/>
      </c>
      <c r="J31" s="31"/>
      <c r="K31" s="24"/>
      <c r="M31" s="23"/>
      <c r="N31" s="4"/>
      <c r="R31" s="24" t="str">
        <f t="shared" si="2"/>
        <v/>
      </c>
      <c r="S31" s="24" t="str">
        <f t="shared" si="3"/>
        <v/>
      </c>
      <c r="T31" t="str">
        <f>IF(OR(C31="",I31&lt;&gt;"ENTRADA"),"",UPPER(LEFT(SUBSTITUTE(C31," ",""),3))&amp;"-"&amp;TEXT(B31,"AAMMDD")&amp;"-"&amp;(COUNTIFS($C$5:C31,C31,$B$5:B31,B31,$I$5:I31,"ENTRADA")))</f>
        <v/>
      </c>
    </row>
    <row r="32" spans="1:20">
      <c r="A32" s="22" t="s">
        <v>109</v>
      </c>
      <c r="B32" s="23"/>
      <c r="H32" s="22" t="str">
        <f t="shared" si="5"/>
        <v/>
      </c>
      <c r="J32" s="31"/>
      <c r="K32" s="24"/>
      <c r="M32" s="23"/>
      <c r="N32" s="4"/>
      <c r="R32" s="24" t="str">
        <f t="shared" si="2"/>
        <v/>
      </c>
      <c r="S32" s="24" t="str">
        <f t="shared" si="3"/>
        <v/>
      </c>
      <c r="T32" t="str">
        <f>IF(OR(C32="",I32&lt;&gt;"ENTRADA"),"",UPPER(LEFT(SUBSTITUTE(C32," ",""),3))&amp;"-"&amp;TEXT(B32,"AAMMDD")&amp;"-"&amp;(COUNTIFS($C$5:C32,C32,$B$5:B32,B32,$I$5:I32,"ENTRADA")))</f>
        <v/>
      </c>
    </row>
    <row r="33" spans="1:20">
      <c r="A33" s="22" t="s">
        <v>110</v>
      </c>
      <c r="B33" s="5"/>
      <c r="C33" s="5"/>
      <c r="D33" s="5"/>
      <c r="E33" s="5"/>
      <c r="F33" s="5"/>
      <c r="G33" s="5"/>
      <c r="H33" s="22" t="str">
        <f t="shared" si="5"/>
        <v/>
      </c>
      <c r="I33" s="5"/>
      <c r="J33" s="33"/>
      <c r="K33" s="5"/>
      <c r="L33" s="5"/>
      <c r="M33" s="5"/>
      <c r="N33" s="5"/>
      <c r="O33" s="5"/>
      <c r="P33" s="5"/>
      <c r="Q33" s="5"/>
      <c r="R33" s="24" t="str">
        <f t="shared" si="2"/>
        <v/>
      </c>
      <c r="S33" s="24" t="str">
        <f t="shared" si="3"/>
        <v/>
      </c>
      <c r="T33" t="str">
        <f>IF(OR(C33="",I33&lt;&gt;"ENTRADA"),"",UPPER(LEFT(SUBSTITUTE(C33," ",""),3))&amp;"-"&amp;TEXT(B33,"AAMMDD")&amp;"-"&amp;(COUNTIFS($C$5:C33,C33,$B$5:B33,B33,$I$5:I33,"ENTRADA")))</f>
        <v/>
      </c>
    </row>
    <row r="34" spans="1:20">
      <c r="A34" s="22" t="s">
        <v>111</v>
      </c>
      <c r="B34" s="5"/>
      <c r="C34" s="5"/>
      <c r="D34" s="5"/>
      <c r="E34" s="5"/>
      <c r="F34" s="5"/>
      <c r="G34" s="5"/>
      <c r="H34" s="22" t="str">
        <f t="shared" si="5"/>
        <v/>
      </c>
      <c r="I34" s="5"/>
      <c r="J34" s="33"/>
      <c r="K34" s="5"/>
      <c r="L34" s="5"/>
      <c r="M34" s="5"/>
      <c r="N34" s="5"/>
      <c r="O34" s="5"/>
      <c r="P34" s="5"/>
      <c r="Q34" s="5"/>
      <c r="R34" s="24" t="str">
        <f t="shared" si="2"/>
        <v/>
      </c>
      <c r="S34" s="24" t="str">
        <f t="shared" si="3"/>
        <v/>
      </c>
      <c r="T34" t="str">
        <f>IF(OR(C34="",I34&lt;&gt;"ENTRADA"),"",UPPER(LEFT(SUBSTITUTE(C34," ",""),3))&amp;"-"&amp;TEXT(B34,"AAMMDD")&amp;"-"&amp;(COUNTIFS($C$5:C34,C34,$B$5:B34,B34,$I$5:I34,"ENTRADA")))</f>
        <v/>
      </c>
    </row>
    <row r="35" spans="1:20">
      <c r="A35" s="22" t="s">
        <v>112</v>
      </c>
      <c r="B35" s="5"/>
      <c r="C35" s="5"/>
      <c r="D35" s="5"/>
      <c r="E35" s="5"/>
      <c r="F35" s="5"/>
      <c r="G35" s="5"/>
      <c r="H35" s="22" t="str">
        <f t="shared" si="5"/>
        <v/>
      </c>
      <c r="I35" s="5"/>
      <c r="J35" s="33"/>
      <c r="K35" s="5"/>
      <c r="L35" s="5"/>
      <c r="M35" s="5"/>
      <c r="N35" s="5"/>
      <c r="O35" s="5"/>
      <c r="P35" s="5"/>
      <c r="Q35" s="5"/>
      <c r="R35" s="24" t="str">
        <f t="shared" si="2"/>
        <v/>
      </c>
      <c r="S35" s="24" t="str">
        <f t="shared" si="3"/>
        <v/>
      </c>
      <c r="T35" t="str">
        <f>IF(OR(C35="",I35&lt;&gt;"ENTRADA"),"",UPPER(LEFT(SUBSTITUTE(C35," ",""),3))&amp;"-"&amp;TEXT(B35,"AAMMDD")&amp;"-"&amp;(COUNTIFS($C$5:C35,C35,$B$5:B35,B35,$I$5:I35,"ENTRADA")))</f>
        <v/>
      </c>
    </row>
    <row r="36" spans="1:20">
      <c r="A36" s="22" t="s">
        <v>113</v>
      </c>
      <c r="B36" s="5"/>
      <c r="C36" s="5"/>
      <c r="D36" s="5"/>
      <c r="E36" s="5"/>
      <c r="F36" s="5"/>
      <c r="G36" s="5"/>
      <c r="H36" s="22" t="str">
        <f t="shared" si="5"/>
        <v/>
      </c>
      <c r="I36" s="5"/>
      <c r="J36" s="33"/>
      <c r="K36" s="5"/>
      <c r="L36" s="5"/>
      <c r="M36" s="5"/>
      <c r="N36" s="5"/>
      <c r="O36" s="5"/>
      <c r="P36" s="5"/>
      <c r="Q36" s="5"/>
      <c r="R36" s="24" t="str">
        <f t="shared" si="2"/>
        <v/>
      </c>
      <c r="S36" s="24" t="str">
        <f t="shared" si="3"/>
        <v/>
      </c>
      <c r="T36" t="str">
        <f>IF(OR(C36="",I36&lt;&gt;"ENTRADA"),"",UPPER(LEFT(SUBSTITUTE(C36," ",""),3))&amp;"-"&amp;TEXT(B36,"AAMMDD")&amp;"-"&amp;(COUNTIFS($C$5:C36,C36,$B$5:B36,B36,$I$5:I36,"ENTRADA")))</f>
        <v/>
      </c>
    </row>
    <row r="37" spans="1:20">
      <c r="A37" s="22" t="s">
        <v>114</v>
      </c>
      <c r="B37" s="5"/>
      <c r="C37" s="5"/>
      <c r="D37" s="5"/>
      <c r="E37" s="5"/>
      <c r="F37" s="5"/>
      <c r="G37" s="5"/>
      <c r="H37" s="22" t="str">
        <f t="shared" si="5"/>
        <v/>
      </c>
      <c r="I37" s="5"/>
      <c r="J37" s="33"/>
      <c r="K37" s="5"/>
      <c r="L37" s="5"/>
      <c r="M37" s="5"/>
      <c r="N37" s="5"/>
      <c r="O37" s="5"/>
      <c r="P37" s="5"/>
      <c r="Q37" s="5"/>
      <c r="R37" s="24" t="str">
        <f t="shared" si="2"/>
        <v/>
      </c>
      <c r="S37" s="24" t="str">
        <f t="shared" si="3"/>
        <v/>
      </c>
      <c r="T37" t="str">
        <f>IF(OR(C37="",I37&lt;&gt;"ENTRADA"),"",UPPER(LEFT(SUBSTITUTE(C37," ",""),3))&amp;"-"&amp;TEXT(B37,"AAMMDD")&amp;"-"&amp;(COUNTIFS($C$5:C37,C37,$B$5:B37,B37,$I$5:I37,"ENTRADA")))</f>
        <v/>
      </c>
    </row>
    <row r="38" spans="1:20">
      <c r="A38" s="22" t="s">
        <v>115</v>
      </c>
      <c r="B38" s="5"/>
      <c r="C38" s="5"/>
      <c r="D38" s="5"/>
      <c r="E38" s="5"/>
      <c r="F38" s="5"/>
      <c r="G38" s="5"/>
      <c r="H38" s="22" t="str">
        <f t="shared" si="5"/>
        <v/>
      </c>
      <c r="I38" s="5"/>
      <c r="J38" s="33"/>
      <c r="K38" s="5"/>
      <c r="L38" s="5"/>
      <c r="M38" s="5"/>
      <c r="N38" s="5"/>
      <c r="O38" s="5"/>
      <c r="P38" s="5"/>
      <c r="Q38" s="5"/>
      <c r="R38" s="24" t="str">
        <f t="shared" si="2"/>
        <v/>
      </c>
      <c r="S38" s="24" t="str">
        <f t="shared" si="3"/>
        <v/>
      </c>
      <c r="T38" t="str">
        <f>IF(OR(C38="",I38&lt;&gt;"ENTRADA"),"",UPPER(LEFT(SUBSTITUTE(C38," ",""),3))&amp;"-"&amp;TEXT(B38,"AAMMDD")&amp;"-"&amp;(COUNTIFS($C$5:C38,C38,$B$5:B38,B38,$I$5:I38,"ENTRADA")))</f>
        <v/>
      </c>
    </row>
    <row r="39" spans="1:20">
      <c r="A39" s="22" t="s">
        <v>116</v>
      </c>
      <c r="B39" s="5"/>
      <c r="C39" s="5"/>
      <c r="D39" s="5"/>
      <c r="E39" s="5"/>
      <c r="F39" s="5"/>
      <c r="G39" s="5"/>
      <c r="H39" s="22" t="str">
        <f t="shared" si="5"/>
        <v/>
      </c>
      <c r="I39" s="5"/>
      <c r="J39" s="33"/>
      <c r="K39" s="5"/>
      <c r="L39" s="5"/>
      <c r="M39" s="5"/>
      <c r="N39" s="5"/>
      <c r="O39" s="5"/>
      <c r="P39" s="5"/>
      <c r="Q39" s="5"/>
      <c r="R39" s="24" t="str">
        <f t="shared" si="2"/>
        <v/>
      </c>
      <c r="S39" s="24" t="str">
        <f t="shared" si="3"/>
        <v/>
      </c>
      <c r="T39" t="str">
        <f>IF(OR(C39="",I39&lt;&gt;"ENTRADA"),"",UPPER(LEFT(SUBSTITUTE(C39," ",""),3))&amp;"-"&amp;TEXT(B39,"AAMMDD")&amp;"-"&amp;(COUNTIFS($C$5:C39,C39,$B$5:B39,B39,$I$5:I39,"ENTRADA")))</f>
        <v/>
      </c>
    </row>
    <row r="40" spans="1:20">
      <c r="A40" s="22" t="s">
        <v>117</v>
      </c>
      <c r="B40" s="5"/>
      <c r="C40" s="5"/>
      <c r="D40" s="5"/>
      <c r="E40" s="5"/>
      <c r="F40" s="5"/>
      <c r="G40" s="5"/>
      <c r="H40" s="22" t="str">
        <f t="shared" si="5"/>
        <v/>
      </c>
      <c r="I40" s="5"/>
      <c r="J40" s="33"/>
      <c r="K40" s="5"/>
      <c r="L40" s="5"/>
      <c r="M40" s="5"/>
      <c r="N40" s="5"/>
      <c r="O40" s="5"/>
      <c r="P40" s="5"/>
      <c r="Q40" s="5"/>
      <c r="R40" s="24" t="str">
        <f t="shared" si="2"/>
        <v/>
      </c>
      <c r="S40" s="24" t="str">
        <f t="shared" si="3"/>
        <v/>
      </c>
      <c r="T40" t="str">
        <f>IF(OR(C40="",I40&lt;&gt;"ENTRADA"),"",UPPER(LEFT(SUBSTITUTE(C40," ",""),3))&amp;"-"&amp;TEXT(B40,"AAMMDD")&amp;"-"&amp;(COUNTIFS($C$5:C40,C40,$B$5:B40,B40,$I$5:I40,"ENTRADA")))</f>
        <v/>
      </c>
    </row>
    <row r="41" spans="1:20">
      <c r="A41" s="22" t="s">
        <v>118</v>
      </c>
      <c r="B41" s="5"/>
      <c r="C41" s="5"/>
      <c r="D41" s="5"/>
      <c r="E41" s="5"/>
      <c r="F41" s="5"/>
      <c r="G41" s="5"/>
      <c r="H41" s="22" t="str">
        <f t="shared" si="5"/>
        <v/>
      </c>
      <c r="I41" s="5"/>
      <c r="J41" s="33"/>
      <c r="K41" s="5"/>
      <c r="L41" s="5"/>
      <c r="M41" s="5"/>
      <c r="N41" s="5"/>
      <c r="O41" s="5"/>
      <c r="P41" s="5"/>
      <c r="Q41" s="5"/>
      <c r="R41" s="24" t="str">
        <f t="shared" si="2"/>
        <v/>
      </c>
      <c r="S41" s="24" t="str">
        <f t="shared" si="3"/>
        <v/>
      </c>
      <c r="T41" t="str">
        <f>IF(OR(C41="",I41&lt;&gt;"ENTRADA"),"",UPPER(LEFT(SUBSTITUTE(C41," ",""),3))&amp;"-"&amp;TEXT(B41,"AAMMDD")&amp;"-"&amp;(COUNTIFS($C$5:C41,C41,$B$5:B41,B41,$I$5:I41,"ENTRADA")))</f>
        <v/>
      </c>
    </row>
    <row r="42" spans="1:20">
      <c r="A42" s="22" t="s">
        <v>119</v>
      </c>
      <c r="B42" s="5"/>
      <c r="C42" s="5"/>
      <c r="D42" s="5"/>
      <c r="E42" s="5"/>
      <c r="F42" s="5"/>
      <c r="G42" s="5"/>
      <c r="H42" s="22" t="str">
        <f t="shared" si="5"/>
        <v/>
      </c>
      <c r="I42" s="5"/>
      <c r="J42" s="33"/>
      <c r="K42" s="5"/>
      <c r="L42" s="5"/>
      <c r="M42" s="5"/>
      <c r="N42" s="5"/>
      <c r="O42" s="5"/>
      <c r="P42" s="5"/>
      <c r="Q42" s="5"/>
      <c r="R42" s="24" t="str">
        <f t="shared" si="2"/>
        <v/>
      </c>
      <c r="S42" s="24" t="str">
        <f t="shared" si="3"/>
        <v/>
      </c>
      <c r="T42" t="str">
        <f>IF(OR(C42="",I42&lt;&gt;"ENTRADA"),"",UPPER(LEFT(SUBSTITUTE(C42," ",""),3))&amp;"-"&amp;TEXT(B42,"AAMMDD")&amp;"-"&amp;(COUNTIFS($C$5:C42,C42,$B$5:B42,B42,$I$5:I42,"ENTRADA")))</f>
        <v/>
      </c>
    </row>
    <row r="43" spans="1:20">
      <c r="A43" s="22" t="s">
        <v>120</v>
      </c>
      <c r="B43" s="5"/>
      <c r="C43" s="5"/>
      <c r="D43" s="5"/>
      <c r="E43" s="5"/>
      <c r="F43" s="5"/>
      <c r="G43" s="5"/>
      <c r="H43" s="22" t="str">
        <f t="shared" si="5"/>
        <v/>
      </c>
      <c r="I43" s="5"/>
      <c r="J43" s="33"/>
      <c r="K43" s="5"/>
      <c r="L43" s="5"/>
      <c r="M43" s="5"/>
      <c r="N43" s="5"/>
      <c r="O43" s="5"/>
      <c r="P43" s="5"/>
      <c r="Q43" s="5"/>
      <c r="R43" s="24" t="str">
        <f t="shared" si="2"/>
        <v/>
      </c>
      <c r="S43" s="24" t="str">
        <f t="shared" si="3"/>
        <v/>
      </c>
      <c r="T43" t="str">
        <f>IF(OR(C43="",I43&lt;&gt;"ENTRADA"),"",UPPER(LEFT(SUBSTITUTE(C43," ",""),3))&amp;"-"&amp;TEXT(B43,"AAMMDD")&amp;"-"&amp;(COUNTIFS($C$5:C43,C43,$B$5:B43,B43,$I$5:I43,"ENTRADA")))</f>
        <v/>
      </c>
    </row>
    <row r="44" spans="1:20">
      <c r="A44" s="22" t="s">
        <v>121</v>
      </c>
      <c r="B44" s="5"/>
      <c r="C44" s="5"/>
      <c r="D44" s="5"/>
      <c r="E44" s="5"/>
      <c r="F44" s="5"/>
      <c r="G44" s="5"/>
      <c r="H44" s="22" t="str">
        <f t="shared" si="5"/>
        <v/>
      </c>
      <c r="I44" s="5"/>
      <c r="J44" s="33"/>
      <c r="K44" s="5"/>
      <c r="L44" s="5"/>
      <c r="M44" s="5"/>
      <c r="N44" s="5"/>
      <c r="O44" s="5"/>
      <c r="P44" s="5"/>
      <c r="Q44" s="5"/>
      <c r="R44" s="24" t="str">
        <f t="shared" si="2"/>
        <v/>
      </c>
      <c r="S44" s="24" t="str">
        <f t="shared" si="3"/>
        <v/>
      </c>
      <c r="T44" t="str">
        <f>IF(OR(C44="",I44&lt;&gt;"ENTRADA"),"",UPPER(LEFT(SUBSTITUTE(C44," ",""),3))&amp;"-"&amp;TEXT(B44,"AAMMDD")&amp;"-"&amp;(COUNTIFS($C$5:C44,C44,$B$5:B44,B44,$I$5:I44,"ENTRADA")))</f>
        <v/>
      </c>
    </row>
    <row r="45" spans="1:20">
      <c r="A45" s="22" t="s">
        <v>122</v>
      </c>
      <c r="B45" s="5"/>
      <c r="C45" s="5"/>
      <c r="D45" s="5"/>
      <c r="E45" s="5"/>
      <c r="F45" s="5"/>
      <c r="G45" s="5"/>
      <c r="H45" s="22" t="str">
        <f t="shared" si="5"/>
        <v/>
      </c>
      <c r="I45" s="5"/>
      <c r="J45" s="33"/>
      <c r="K45" s="5"/>
      <c r="L45" s="5"/>
      <c r="M45" s="5"/>
      <c r="N45" s="5"/>
      <c r="O45" s="5"/>
      <c r="P45" s="5"/>
      <c r="Q45" s="5"/>
      <c r="R45" s="24" t="str">
        <f t="shared" si="2"/>
        <v/>
      </c>
      <c r="S45" s="24" t="str">
        <f t="shared" si="3"/>
        <v/>
      </c>
      <c r="T45" t="str">
        <f>IF(OR(C45="",I45&lt;&gt;"ENTRADA"),"",UPPER(LEFT(SUBSTITUTE(C45," ",""),3))&amp;"-"&amp;TEXT(B45,"AAMMDD")&amp;"-"&amp;(COUNTIFS($C$5:C45,C45,$B$5:B45,B45,$I$5:I45,"ENTRADA")))</f>
        <v/>
      </c>
    </row>
    <row r="46" spans="1:20">
      <c r="A46" s="22" t="s">
        <v>123</v>
      </c>
      <c r="B46" s="5"/>
      <c r="C46" s="5"/>
      <c r="D46" s="5"/>
      <c r="E46" s="5"/>
      <c r="F46" s="5"/>
      <c r="G46" s="5"/>
      <c r="H46" s="22" t="str">
        <f t="shared" si="5"/>
        <v/>
      </c>
      <c r="I46" s="5"/>
      <c r="J46" s="33"/>
      <c r="K46" s="5"/>
      <c r="L46" s="5"/>
      <c r="M46" s="5"/>
      <c r="N46" s="5"/>
      <c r="O46" s="5"/>
      <c r="P46" s="5"/>
      <c r="Q46" s="5"/>
      <c r="R46" s="24" t="str">
        <f t="shared" si="2"/>
        <v/>
      </c>
      <c r="S46" s="24" t="str">
        <f t="shared" si="3"/>
        <v/>
      </c>
      <c r="T46" t="str">
        <f>IF(OR(C46="",I46&lt;&gt;"ENTRADA"),"",UPPER(LEFT(SUBSTITUTE(C46," ",""),3))&amp;"-"&amp;TEXT(B46,"AAMMDD")&amp;"-"&amp;(COUNTIFS($C$5:C46,C46,$B$5:B46,B46,$I$5:I46,"ENTRADA")))</f>
        <v/>
      </c>
    </row>
    <row r="47" spans="1:20">
      <c r="A47" s="22" t="s">
        <v>124</v>
      </c>
      <c r="B47" s="5"/>
      <c r="C47" s="5"/>
      <c r="D47" s="5"/>
      <c r="E47" s="5"/>
      <c r="F47" s="5"/>
      <c r="G47" s="5"/>
      <c r="H47" s="22" t="str">
        <f t="shared" si="5"/>
        <v/>
      </c>
      <c r="I47" s="5"/>
      <c r="J47" s="33"/>
      <c r="K47" s="5"/>
      <c r="L47" s="5"/>
      <c r="M47" s="5"/>
      <c r="N47" s="5"/>
      <c r="O47" s="5"/>
      <c r="P47" s="5"/>
      <c r="Q47" s="5"/>
      <c r="R47" s="24" t="str">
        <f t="shared" si="2"/>
        <v/>
      </c>
      <c r="S47" s="24" t="str">
        <f t="shared" si="3"/>
        <v/>
      </c>
      <c r="T47" t="str">
        <f>IF(OR(C47="",I47&lt;&gt;"ENTRADA"),"",UPPER(LEFT(SUBSTITUTE(C47," ",""),3))&amp;"-"&amp;TEXT(B47,"AAMMDD")&amp;"-"&amp;(COUNTIFS($C$5:C47,C47,$B$5:B47,B47,$I$5:I47,"ENTRADA")))</f>
        <v/>
      </c>
    </row>
    <row r="48" spans="1:20">
      <c r="A48" s="22" t="s">
        <v>125</v>
      </c>
      <c r="B48" s="5"/>
      <c r="C48" s="5"/>
      <c r="D48" s="5"/>
      <c r="E48" s="5"/>
      <c r="F48" s="5"/>
      <c r="G48" s="5"/>
      <c r="H48" s="22" t="str">
        <f t="shared" si="5"/>
        <v/>
      </c>
      <c r="I48" s="5"/>
      <c r="J48" s="33"/>
      <c r="K48" s="5"/>
      <c r="L48" s="5"/>
      <c r="M48" s="5"/>
      <c r="N48" s="5"/>
      <c r="O48" s="5"/>
      <c r="P48" s="5"/>
      <c r="Q48" s="5"/>
      <c r="R48" s="24" t="str">
        <f t="shared" si="2"/>
        <v/>
      </c>
      <c r="S48" s="24" t="str">
        <f t="shared" si="3"/>
        <v/>
      </c>
      <c r="T48" t="str">
        <f>IF(OR(C48="",I48&lt;&gt;"ENTRADA"),"",UPPER(LEFT(SUBSTITUTE(C48," ",""),3))&amp;"-"&amp;TEXT(B48,"AAMMDD")&amp;"-"&amp;(COUNTIFS($C$5:C48,C48,$B$5:B48,B48,$I$5:I48,"ENTRADA")))</f>
        <v/>
      </c>
    </row>
    <row r="49" spans="1:20">
      <c r="A49" s="22" t="s">
        <v>126</v>
      </c>
      <c r="B49" s="5"/>
      <c r="C49" s="5"/>
      <c r="D49" s="5"/>
      <c r="E49" s="5"/>
      <c r="F49" s="5"/>
      <c r="G49" s="5"/>
      <c r="H49" s="22" t="str">
        <f t="shared" si="5"/>
        <v/>
      </c>
      <c r="I49" s="5"/>
      <c r="J49" s="33"/>
      <c r="K49" s="5"/>
      <c r="L49" s="5"/>
      <c r="M49" s="5"/>
      <c r="N49" s="5"/>
      <c r="O49" s="5"/>
      <c r="P49" s="5"/>
      <c r="Q49" s="5"/>
      <c r="R49" s="24" t="str">
        <f t="shared" si="2"/>
        <v/>
      </c>
      <c r="S49" s="24" t="str">
        <f t="shared" si="3"/>
        <v/>
      </c>
      <c r="T49" t="str">
        <f>IF(OR(C49="",I49&lt;&gt;"ENTRADA"),"",UPPER(LEFT(SUBSTITUTE(C49," ",""),3))&amp;"-"&amp;TEXT(B49,"AAMMDD")&amp;"-"&amp;(COUNTIFS($C$5:C49,C49,$B$5:B49,B49,$I$5:I49,"ENTRADA")))</f>
        <v/>
      </c>
    </row>
    <row r="50" spans="1:20">
      <c r="A50" s="22" t="s">
        <v>127</v>
      </c>
      <c r="B50" s="5"/>
      <c r="C50" s="5"/>
      <c r="D50" s="5"/>
      <c r="E50" s="5"/>
      <c r="F50" s="5"/>
      <c r="G50" s="5"/>
      <c r="H50" s="22" t="str">
        <f t="shared" si="5"/>
        <v/>
      </c>
      <c r="I50" s="5"/>
      <c r="J50" s="33"/>
      <c r="K50" s="5"/>
      <c r="L50" s="5"/>
      <c r="M50" s="5"/>
      <c r="N50" s="5"/>
      <c r="O50" s="5"/>
      <c r="P50" s="5"/>
      <c r="Q50" s="5"/>
      <c r="R50" s="24" t="str">
        <f t="shared" si="2"/>
        <v/>
      </c>
      <c r="S50" s="24" t="str">
        <f t="shared" si="3"/>
        <v/>
      </c>
      <c r="T50" t="str">
        <f>IF(OR(C50="",I50&lt;&gt;"ENTRADA"),"",UPPER(LEFT(SUBSTITUTE(C50," ",""),3))&amp;"-"&amp;TEXT(B50,"AAMMDD")&amp;"-"&amp;(COUNTIFS($C$5:C50,C50,$B$5:B50,B50,$I$5:I50,"ENTRADA")))</f>
        <v/>
      </c>
    </row>
    <row r="51" spans="1:20">
      <c r="A51" s="22" t="s">
        <v>128</v>
      </c>
      <c r="B51" s="5"/>
      <c r="C51" s="5"/>
      <c r="D51" s="5"/>
      <c r="E51" s="5"/>
      <c r="F51" s="5"/>
      <c r="G51" s="5"/>
      <c r="H51" s="22" t="str">
        <f t="shared" si="5"/>
        <v/>
      </c>
      <c r="I51" s="5"/>
      <c r="J51" s="33"/>
      <c r="K51" s="5"/>
      <c r="L51" s="5"/>
      <c r="M51" s="5"/>
      <c r="N51" s="5"/>
      <c r="O51" s="5"/>
      <c r="P51" s="5"/>
      <c r="Q51" s="5"/>
      <c r="R51" s="24" t="str">
        <f t="shared" si="2"/>
        <v/>
      </c>
      <c r="S51" s="24" t="str">
        <f t="shared" si="3"/>
        <v/>
      </c>
      <c r="T51" t="str">
        <f>IF(OR(C51="",I51&lt;&gt;"ENTRADA"),"",UPPER(LEFT(SUBSTITUTE(C51," ",""),3))&amp;"-"&amp;TEXT(B51,"AAMMDD")&amp;"-"&amp;(COUNTIFS($C$5:C51,C51,$B$5:B51,B51,$I$5:I51,"ENTRADA")))</f>
        <v/>
      </c>
    </row>
    <row r="52" spans="1:20">
      <c r="A52" s="22" t="s">
        <v>129</v>
      </c>
      <c r="B52" s="5"/>
      <c r="C52" s="5"/>
      <c r="D52" s="5"/>
      <c r="E52" s="5"/>
      <c r="F52" s="5"/>
      <c r="G52" s="5"/>
      <c r="H52" s="22" t="str">
        <f t="shared" si="5"/>
        <v/>
      </c>
      <c r="I52" s="5"/>
      <c r="J52" s="33"/>
      <c r="K52" s="5"/>
      <c r="L52" s="5"/>
      <c r="M52" s="5"/>
      <c r="N52" s="5"/>
      <c r="O52" s="5"/>
      <c r="P52" s="5"/>
      <c r="Q52" s="5"/>
      <c r="R52" s="24" t="str">
        <f t="shared" si="2"/>
        <v/>
      </c>
      <c r="S52" s="24" t="str">
        <f t="shared" si="3"/>
        <v/>
      </c>
      <c r="T52" t="str">
        <f>IF(OR(C52="",I52&lt;&gt;"ENTRADA"),"",UPPER(LEFT(SUBSTITUTE(C52," ",""),3))&amp;"-"&amp;TEXT(B52,"AAMMDD")&amp;"-"&amp;(COUNTIFS($C$5:C52,C52,$B$5:B52,B52,$I$5:I52,"ENTRADA")))</f>
        <v/>
      </c>
    </row>
    <row r="53" spans="1:20">
      <c r="A53" s="22" t="s">
        <v>130</v>
      </c>
      <c r="B53" s="5"/>
      <c r="C53" s="5"/>
      <c r="D53" s="5"/>
      <c r="E53" s="5"/>
      <c r="F53" s="5"/>
      <c r="G53" s="5"/>
      <c r="H53" s="22" t="str">
        <f t="shared" si="5"/>
        <v/>
      </c>
      <c r="I53" s="5"/>
      <c r="J53" s="33"/>
      <c r="K53" s="5"/>
      <c r="L53" s="5"/>
      <c r="M53" s="5"/>
      <c r="N53" s="5"/>
      <c r="O53" s="5"/>
      <c r="P53" s="5"/>
      <c r="Q53" s="5"/>
      <c r="R53" s="24" t="str">
        <f t="shared" si="2"/>
        <v/>
      </c>
      <c r="S53" s="24" t="str">
        <f t="shared" si="3"/>
        <v/>
      </c>
      <c r="T53" t="str">
        <f>IF(OR(C53="",I53&lt;&gt;"ENTRADA"),"",UPPER(LEFT(SUBSTITUTE(C53," ",""),3))&amp;"-"&amp;TEXT(B53,"AAMMDD")&amp;"-"&amp;(COUNTIFS($C$5:C53,C53,$B$5:B53,B53,$I$5:I53,"ENTRADA")))</f>
        <v/>
      </c>
    </row>
    <row r="54" spans="1:20">
      <c r="A54" s="22" t="s">
        <v>131</v>
      </c>
      <c r="B54" s="5"/>
      <c r="C54" s="5"/>
      <c r="D54" s="5"/>
      <c r="E54" s="5"/>
      <c r="F54" s="5"/>
      <c r="G54" s="5"/>
      <c r="H54" s="22" t="str">
        <f t="shared" si="5"/>
        <v/>
      </c>
      <c r="I54" s="5"/>
      <c r="J54" s="33"/>
      <c r="K54" s="5"/>
      <c r="L54" s="5"/>
      <c r="M54" s="5"/>
      <c r="N54" s="5"/>
      <c r="O54" s="5"/>
      <c r="P54" s="5"/>
      <c r="Q54" s="5"/>
      <c r="R54" s="24" t="str">
        <f t="shared" si="2"/>
        <v/>
      </c>
      <c r="S54" s="24" t="str">
        <f t="shared" si="3"/>
        <v/>
      </c>
      <c r="T54" t="str">
        <f>IF(OR(C54="",I54&lt;&gt;"ENTRADA"),"",UPPER(LEFT(SUBSTITUTE(C54," ",""),3))&amp;"-"&amp;TEXT(B54,"AAMMDD")&amp;"-"&amp;(COUNTIFS($C$5:C54,C54,$B$5:B54,B54,$I$5:I54,"ENTRADA")))</f>
        <v/>
      </c>
    </row>
    <row r="55" spans="1:20">
      <c r="A55" s="22" t="s">
        <v>132</v>
      </c>
      <c r="B55" s="5"/>
      <c r="C55" s="5"/>
      <c r="D55" s="5"/>
      <c r="E55" s="5"/>
      <c r="F55" s="5"/>
      <c r="G55" s="5"/>
      <c r="H55" s="22" t="str">
        <f t="shared" si="5"/>
        <v/>
      </c>
      <c r="I55" s="5"/>
      <c r="J55" s="33"/>
      <c r="K55" s="5"/>
      <c r="L55" s="5"/>
      <c r="M55" s="5"/>
      <c r="N55" s="5"/>
      <c r="O55" s="5"/>
      <c r="P55" s="5"/>
      <c r="Q55" s="5"/>
      <c r="R55" s="24" t="str">
        <f t="shared" si="2"/>
        <v/>
      </c>
      <c r="S55" s="24" t="str">
        <f t="shared" si="3"/>
        <v/>
      </c>
      <c r="T55" t="str">
        <f>IF(OR(C55="",I55&lt;&gt;"ENTRADA"),"",UPPER(LEFT(SUBSTITUTE(C55," ",""),3))&amp;"-"&amp;TEXT(B55,"AAMMDD")&amp;"-"&amp;(COUNTIFS($C$5:C55,C55,$B$5:B55,B55,$I$5:I55,"ENTRADA")))</f>
        <v/>
      </c>
    </row>
    <row r="56" spans="1:20">
      <c r="A56" s="22" t="s">
        <v>133</v>
      </c>
      <c r="B56" s="5"/>
      <c r="C56" s="5"/>
      <c r="D56" s="5"/>
      <c r="E56" s="5"/>
      <c r="F56" s="5"/>
      <c r="G56" s="5"/>
      <c r="H56" s="22" t="str">
        <f t="shared" si="5"/>
        <v/>
      </c>
      <c r="I56" s="5"/>
      <c r="J56" s="33"/>
      <c r="K56" s="5"/>
      <c r="L56" s="5"/>
      <c r="M56" s="5"/>
      <c r="N56" s="5"/>
      <c r="O56" s="5"/>
      <c r="P56" s="5"/>
      <c r="Q56" s="5"/>
      <c r="R56" s="24" t="str">
        <f t="shared" si="2"/>
        <v/>
      </c>
      <c r="S56" s="24" t="str">
        <f t="shared" si="3"/>
        <v/>
      </c>
      <c r="T56" t="str">
        <f>IF(OR(C56="",I56&lt;&gt;"ENTRADA"),"",UPPER(LEFT(SUBSTITUTE(C56," ",""),3))&amp;"-"&amp;TEXT(B56,"AAMMDD")&amp;"-"&amp;(COUNTIFS($C$5:C56,C56,$B$5:B56,B56,$I$5:I56,"ENTRADA")))</f>
        <v/>
      </c>
    </row>
    <row r="57" spans="1:20">
      <c r="A57" s="22" t="s">
        <v>134</v>
      </c>
      <c r="B57" s="5"/>
      <c r="C57" s="5"/>
      <c r="D57" s="5"/>
      <c r="E57" s="5"/>
      <c r="F57" s="5"/>
      <c r="G57" s="5"/>
      <c r="H57" s="22" t="str">
        <f t="shared" si="5"/>
        <v/>
      </c>
      <c r="I57" s="5"/>
      <c r="J57" s="33"/>
      <c r="K57" s="5"/>
      <c r="L57" s="5"/>
      <c r="M57" s="5"/>
      <c r="N57" s="5"/>
      <c r="O57" s="5"/>
      <c r="P57" s="5"/>
      <c r="Q57" s="5"/>
      <c r="R57" s="24" t="str">
        <f t="shared" si="2"/>
        <v/>
      </c>
      <c r="S57" s="24" t="str">
        <f t="shared" si="3"/>
        <v/>
      </c>
      <c r="T57" t="str">
        <f>IF(OR(C57="",I57&lt;&gt;"ENTRADA"),"",UPPER(LEFT(SUBSTITUTE(C57," ",""),3))&amp;"-"&amp;TEXT(B57,"AAMMDD")&amp;"-"&amp;(COUNTIFS($C$5:C57,C57,$B$5:B57,B57,$I$5:I57,"ENTRADA")))</f>
        <v/>
      </c>
    </row>
    <row r="58" spans="1:20">
      <c r="A58" s="22" t="s">
        <v>135</v>
      </c>
      <c r="B58" s="5"/>
      <c r="C58" s="5"/>
      <c r="D58" s="5"/>
      <c r="E58" s="5"/>
      <c r="F58" s="5"/>
      <c r="G58" s="5"/>
      <c r="H58" s="22" t="str">
        <f t="shared" si="5"/>
        <v/>
      </c>
      <c r="I58" s="5"/>
      <c r="J58" s="33"/>
      <c r="K58" s="5"/>
      <c r="L58" s="5"/>
      <c r="M58" s="5"/>
      <c r="N58" s="5"/>
      <c r="O58" s="5"/>
      <c r="P58" s="5"/>
      <c r="Q58" s="5"/>
      <c r="R58" s="24" t="str">
        <f t="shared" si="2"/>
        <v/>
      </c>
      <c r="S58" s="24" t="str">
        <f t="shared" si="3"/>
        <v/>
      </c>
      <c r="T58" t="str">
        <f>IF(OR(C58="",I58&lt;&gt;"ENTRADA"),"",UPPER(LEFT(SUBSTITUTE(C58," ",""),3))&amp;"-"&amp;TEXT(B58,"AAMMDD")&amp;"-"&amp;(COUNTIFS($C$5:C58,C58,$B$5:B58,B58,$I$5:I58,"ENTRADA")))</f>
        <v/>
      </c>
    </row>
    <row r="59" spans="1:20">
      <c r="A59" s="22" t="s">
        <v>136</v>
      </c>
      <c r="B59" s="5"/>
      <c r="C59" s="5"/>
      <c r="D59" s="5"/>
      <c r="E59" s="5"/>
      <c r="F59" s="5"/>
      <c r="G59" s="5"/>
      <c r="H59" s="22" t="str">
        <f t="shared" si="5"/>
        <v/>
      </c>
      <c r="I59" s="5"/>
      <c r="J59" s="33"/>
      <c r="K59" s="5"/>
      <c r="L59" s="5"/>
      <c r="M59" s="5"/>
      <c r="N59" s="5"/>
      <c r="O59" s="5"/>
      <c r="P59" s="5"/>
      <c r="Q59" s="5"/>
      <c r="R59" s="24" t="str">
        <f t="shared" si="2"/>
        <v/>
      </c>
      <c r="S59" s="24" t="str">
        <f t="shared" si="3"/>
        <v/>
      </c>
      <c r="T59" t="str">
        <f>IF(OR(C59="",I59&lt;&gt;"ENTRADA"),"",UPPER(LEFT(SUBSTITUTE(C59," ",""),3))&amp;"-"&amp;TEXT(B59,"AAMMDD")&amp;"-"&amp;(COUNTIFS($C$5:C59,C59,$B$5:B59,B59,$I$5:I59,"ENTRADA")))</f>
        <v/>
      </c>
    </row>
    <row r="60" spans="1:20">
      <c r="A60" s="22" t="s">
        <v>137</v>
      </c>
      <c r="B60" s="5"/>
      <c r="C60" s="5"/>
      <c r="D60" s="5"/>
      <c r="E60" s="5"/>
      <c r="F60" s="5"/>
      <c r="G60" s="5"/>
      <c r="H60" s="22" t="str">
        <f t="shared" si="5"/>
        <v/>
      </c>
      <c r="I60" s="5"/>
      <c r="J60" s="33"/>
      <c r="K60" s="5"/>
      <c r="L60" s="5"/>
      <c r="M60" s="5"/>
      <c r="N60" s="5"/>
      <c r="O60" s="5"/>
      <c r="P60" s="5"/>
      <c r="Q60" s="5"/>
      <c r="R60" s="24" t="str">
        <f t="shared" si="2"/>
        <v/>
      </c>
      <c r="S60" s="24" t="str">
        <f t="shared" si="3"/>
        <v/>
      </c>
      <c r="T60" t="str">
        <f>IF(OR(C60="",I60&lt;&gt;"ENTRADA"),"",UPPER(LEFT(SUBSTITUTE(C60," ",""),3))&amp;"-"&amp;TEXT(B60,"AAMMDD")&amp;"-"&amp;(COUNTIFS($C$5:C60,C60,$B$5:B60,B60,$I$5:I60,"ENTRADA")))</f>
        <v/>
      </c>
    </row>
    <row r="61" spans="1:20">
      <c r="A61" s="22" t="s">
        <v>138</v>
      </c>
      <c r="B61" s="5"/>
      <c r="C61" s="5"/>
      <c r="D61" s="5"/>
      <c r="E61" s="5"/>
      <c r="F61" s="5"/>
      <c r="G61" s="5"/>
      <c r="H61" s="22" t="str">
        <f t="shared" si="5"/>
        <v/>
      </c>
      <c r="I61" s="5"/>
      <c r="J61" s="33"/>
      <c r="K61" s="5"/>
      <c r="L61" s="5"/>
      <c r="M61" s="5"/>
      <c r="N61" s="5"/>
      <c r="O61" s="5"/>
      <c r="P61" s="5"/>
      <c r="Q61" s="5"/>
      <c r="R61" s="24" t="str">
        <f t="shared" si="2"/>
        <v/>
      </c>
      <c r="S61" s="24" t="str">
        <f t="shared" si="3"/>
        <v/>
      </c>
      <c r="T61" t="str">
        <f>IF(OR(C61="",I61&lt;&gt;"ENTRADA"),"",UPPER(LEFT(SUBSTITUTE(C61," ",""),3))&amp;"-"&amp;TEXT(B61,"AAMMDD")&amp;"-"&amp;(COUNTIFS($C$5:C61,C61,$B$5:B61,B61,$I$5:I61,"ENTRADA")))</f>
        <v/>
      </c>
    </row>
    <row r="62" spans="1:20">
      <c r="A62" s="22" t="s">
        <v>139</v>
      </c>
      <c r="B62" s="5"/>
      <c r="C62" s="5"/>
      <c r="D62" s="5"/>
      <c r="E62" s="5"/>
      <c r="F62" s="5"/>
      <c r="G62" s="5"/>
      <c r="H62" s="22" t="str">
        <f t="shared" si="5"/>
        <v/>
      </c>
      <c r="I62" s="5"/>
      <c r="J62" s="33"/>
      <c r="K62" s="5"/>
      <c r="L62" s="5"/>
      <c r="M62" s="5"/>
      <c r="N62" s="5"/>
      <c r="O62" s="5"/>
      <c r="P62" s="5"/>
      <c r="Q62" s="5"/>
      <c r="R62" s="24" t="str">
        <f t="shared" si="2"/>
        <v/>
      </c>
      <c r="S62" s="24" t="str">
        <f t="shared" si="3"/>
        <v/>
      </c>
      <c r="T62" t="str">
        <f>IF(OR(C62="",I62&lt;&gt;"ENTRADA"),"",UPPER(LEFT(SUBSTITUTE(C62," ",""),3))&amp;"-"&amp;TEXT(B62,"AAMMDD")&amp;"-"&amp;(COUNTIFS($C$5:C62,C62,$B$5:B62,B62,$I$5:I62,"ENTRADA")))</f>
        <v/>
      </c>
    </row>
    <row r="63" spans="1:20">
      <c r="A63" s="22" t="s">
        <v>140</v>
      </c>
      <c r="B63" s="5"/>
      <c r="C63" s="5"/>
      <c r="D63" s="5"/>
      <c r="E63" s="5"/>
      <c r="F63" s="5"/>
      <c r="G63" s="5"/>
      <c r="H63" s="22" t="str">
        <f t="shared" si="5"/>
        <v/>
      </c>
      <c r="I63" s="5"/>
      <c r="J63" s="33"/>
      <c r="K63" s="5"/>
      <c r="L63" s="5"/>
      <c r="M63" s="5"/>
      <c r="N63" s="5"/>
      <c r="O63" s="5"/>
      <c r="P63" s="5"/>
      <c r="Q63" s="5"/>
      <c r="R63" s="24" t="str">
        <f t="shared" si="2"/>
        <v/>
      </c>
      <c r="S63" s="24" t="str">
        <f t="shared" si="3"/>
        <v/>
      </c>
      <c r="T63" t="str">
        <f>IF(OR(C63="",I63&lt;&gt;"ENTRADA"),"",UPPER(LEFT(SUBSTITUTE(C63," ",""),3))&amp;"-"&amp;TEXT(B63,"AAMMDD")&amp;"-"&amp;(COUNTIFS($C$5:C63,C63,$B$5:B63,B63,$I$5:I63,"ENTRADA")))</f>
        <v/>
      </c>
    </row>
    <row r="64" spans="1:20">
      <c r="A64" s="22" t="s">
        <v>141</v>
      </c>
      <c r="B64" s="5"/>
      <c r="C64" s="5"/>
      <c r="D64" s="5"/>
      <c r="E64" s="5"/>
      <c r="F64" s="5"/>
      <c r="G64" s="5"/>
      <c r="H64" s="22" t="str">
        <f t="shared" si="5"/>
        <v/>
      </c>
      <c r="I64" s="5"/>
      <c r="J64" s="33"/>
      <c r="K64" s="5"/>
      <c r="L64" s="5"/>
      <c r="M64" s="5"/>
      <c r="N64" s="5"/>
      <c r="O64" s="5"/>
      <c r="P64" s="5"/>
      <c r="Q64" s="5"/>
      <c r="R64" s="24" t="str">
        <f t="shared" si="2"/>
        <v/>
      </c>
      <c r="S64" s="24" t="str">
        <f t="shared" si="3"/>
        <v/>
      </c>
      <c r="T64" t="str">
        <f>IF(OR(C64="",I64&lt;&gt;"ENTRADA"),"",UPPER(LEFT(SUBSTITUTE(C64," ",""),3))&amp;"-"&amp;TEXT(B64,"AAMMDD")&amp;"-"&amp;(COUNTIFS($C$5:C64,C64,$B$5:B64,B64,$I$5:I64,"ENTRADA")))</f>
        <v/>
      </c>
    </row>
    <row r="65" spans="1:20">
      <c r="A65" s="22" t="s">
        <v>142</v>
      </c>
      <c r="B65" s="5"/>
      <c r="C65" s="5"/>
      <c r="D65" s="5"/>
      <c r="E65" s="5"/>
      <c r="F65" s="5"/>
      <c r="G65" s="5"/>
      <c r="H65" s="22" t="str">
        <f t="shared" si="5"/>
        <v/>
      </c>
      <c r="I65" s="5"/>
      <c r="J65" s="33"/>
      <c r="K65" s="5"/>
      <c r="L65" s="5"/>
      <c r="M65" s="5"/>
      <c r="N65" s="5"/>
      <c r="O65" s="5"/>
      <c r="P65" s="5"/>
      <c r="Q65" s="5"/>
      <c r="R65" s="24" t="str">
        <f t="shared" si="2"/>
        <v/>
      </c>
      <c r="S65" s="24" t="str">
        <f t="shared" si="3"/>
        <v/>
      </c>
      <c r="T65" t="str">
        <f>IF(OR(C65="",I65&lt;&gt;"ENTRADA"),"",UPPER(LEFT(SUBSTITUTE(C65," ",""),3))&amp;"-"&amp;TEXT(B65,"AAMMDD")&amp;"-"&amp;(COUNTIFS($C$5:C65,C65,$B$5:B65,B65,$I$5:I65,"ENTRADA")))</f>
        <v/>
      </c>
    </row>
    <row r="66" spans="1:20">
      <c r="A66" s="22" t="s">
        <v>143</v>
      </c>
      <c r="B66" s="5"/>
      <c r="C66" s="5"/>
      <c r="D66" s="5"/>
      <c r="E66" s="5"/>
      <c r="F66" s="5"/>
      <c r="G66" s="5"/>
      <c r="H66" s="22" t="str">
        <f t="shared" si="5"/>
        <v/>
      </c>
      <c r="I66" s="5"/>
      <c r="J66" s="33"/>
      <c r="K66" s="5"/>
      <c r="L66" s="5"/>
      <c r="M66" s="5"/>
      <c r="N66" s="5"/>
      <c r="O66" s="5"/>
      <c r="P66" s="5"/>
      <c r="Q66" s="5"/>
      <c r="R66" s="24" t="str">
        <f t="shared" si="2"/>
        <v/>
      </c>
      <c r="S66" s="24" t="str">
        <f t="shared" si="3"/>
        <v/>
      </c>
      <c r="T66" t="str">
        <f>IF(OR(C66="",I66&lt;&gt;"ENTRADA"),"",UPPER(LEFT(SUBSTITUTE(C66," ",""),3))&amp;"-"&amp;TEXT(B66,"AAMMDD")&amp;"-"&amp;(COUNTIFS($C$5:C66,C66,$B$5:B66,B66,$I$5:I66,"ENTRADA")))</f>
        <v/>
      </c>
    </row>
    <row r="67" spans="1:20">
      <c r="A67" s="22" t="s">
        <v>144</v>
      </c>
      <c r="B67" s="5"/>
      <c r="C67" s="5"/>
      <c r="D67" s="5"/>
      <c r="E67" s="5"/>
      <c r="F67" s="5"/>
      <c r="G67" s="5"/>
      <c r="H67" s="22" t="str">
        <f t="shared" si="5"/>
        <v/>
      </c>
      <c r="I67" s="5"/>
      <c r="J67" s="33"/>
      <c r="K67" s="5"/>
      <c r="L67" s="5"/>
      <c r="M67" s="5"/>
      <c r="N67" s="5"/>
      <c r="O67" s="5"/>
      <c r="P67" s="5"/>
      <c r="Q67" s="5"/>
      <c r="R67" s="24" t="str">
        <f t="shared" si="2"/>
        <v/>
      </c>
      <c r="S67" s="24" t="str">
        <f t="shared" si="3"/>
        <v/>
      </c>
      <c r="T67" t="str">
        <f>IF(OR(C67="",I67&lt;&gt;"ENTRADA"),"",UPPER(LEFT(SUBSTITUTE(C67," ",""),3))&amp;"-"&amp;TEXT(B67,"AAMMDD")&amp;"-"&amp;(COUNTIFS($C$5:C67,C67,$B$5:B67,B67,$I$5:I67,"ENTRADA")))</f>
        <v/>
      </c>
    </row>
    <row r="68" spans="1:20">
      <c r="A68" s="22" t="s">
        <v>145</v>
      </c>
      <c r="B68" s="5"/>
      <c r="C68" s="5"/>
      <c r="D68" s="5"/>
      <c r="E68" s="5"/>
      <c r="F68" s="5"/>
      <c r="G68" s="5"/>
      <c r="H68" s="22" t="str">
        <f t="shared" si="5"/>
        <v/>
      </c>
      <c r="I68" s="5"/>
      <c r="J68" s="33"/>
      <c r="K68" s="5"/>
      <c r="L68" s="5"/>
      <c r="M68" s="5"/>
      <c r="N68" s="5"/>
      <c r="O68" s="5"/>
      <c r="P68" s="5"/>
      <c r="Q68" s="5"/>
      <c r="R68" s="24" t="str">
        <f t="shared" si="2"/>
        <v/>
      </c>
      <c r="S68" s="24" t="str">
        <f t="shared" si="3"/>
        <v/>
      </c>
      <c r="T68" t="str">
        <f>IF(OR(C68="",I68&lt;&gt;"ENTRADA"),"",UPPER(LEFT(SUBSTITUTE(C68," ",""),3))&amp;"-"&amp;TEXT(B68,"AAMMDD")&amp;"-"&amp;(COUNTIFS($C$5:C68,C68,$B$5:B68,B68,$I$5:I68,"ENTRADA")))</f>
        <v/>
      </c>
    </row>
    <row r="69" spans="1:20">
      <c r="A69" s="22" t="s">
        <v>146</v>
      </c>
      <c r="B69" s="5"/>
      <c r="C69" s="5"/>
      <c r="D69" s="5"/>
      <c r="E69" s="5"/>
      <c r="F69" s="5"/>
      <c r="G69" s="5"/>
      <c r="H69" s="22" t="str">
        <f t="shared" si="5"/>
        <v/>
      </c>
      <c r="I69" s="5"/>
      <c r="J69" s="33"/>
      <c r="K69" s="5"/>
      <c r="L69" s="5"/>
      <c r="M69" s="5"/>
      <c r="N69" s="5"/>
      <c r="O69" s="5"/>
      <c r="P69" s="5"/>
      <c r="Q69" s="5"/>
      <c r="R69" s="24" t="str">
        <f t="shared" si="2"/>
        <v/>
      </c>
      <c r="S69" s="24" t="str">
        <f t="shared" si="3"/>
        <v/>
      </c>
      <c r="T69" t="str">
        <f>IF(OR(C69="",I69&lt;&gt;"ENTRADA"),"",UPPER(LEFT(SUBSTITUTE(C69," ",""),3))&amp;"-"&amp;TEXT(B69,"AAMMDD")&amp;"-"&amp;(COUNTIFS($C$5:C69,C69,$B$5:B69,B69,$I$5:I69,"ENTRADA")))</f>
        <v/>
      </c>
    </row>
    <row r="70" spans="1:20">
      <c r="A70" s="22" t="s">
        <v>147</v>
      </c>
      <c r="B70" s="5"/>
      <c r="C70" s="5"/>
      <c r="D70" s="5"/>
      <c r="E70" s="5"/>
      <c r="F70" s="5"/>
      <c r="G70" s="5"/>
      <c r="H70" s="22" t="str">
        <f t="shared" si="5"/>
        <v/>
      </c>
      <c r="I70" s="5"/>
      <c r="J70" s="33"/>
      <c r="K70" s="5"/>
      <c r="L70" s="5"/>
      <c r="M70" s="5"/>
      <c r="N70" s="5"/>
      <c r="O70" s="5"/>
      <c r="P70" s="5"/>
      <c r="Q70" s="5"/>
      <c r="R70" s="24" t="str">
        <f t="shared" ref="R70:R133" si="6">IF(H70="","",H70&amp;I70)</f>
        <v/>
      </c>
      <c r="S70" s="24" t="str">
        <f t="shared" ref="S70:S133" si="7">IF(C70="","",C70&amp;I70)</f>
        <v/>
      </c>
      <c r="T70" t="str">
        <f>IF(OR(C70="",I70&lt;&gt;"ENTRADA"),"",UPPER(LEFT(SUBSTITUTE(C70," ",""),3))&amp;"-"&amp;TEXT(B70,"AAMMDD")&amp;"-"&amp;(COUNTIFS($C$5:C70,C70,$B$5:B70,B70,$I$5:I70,"ENTRADA")))</f>
        <v/>
      </c>
    </row>
    <row r="71" spans="1:20">
      <c r="A71" s="22" t="s">
        <v>148</v>
      </c>
      <c r="B71" s="5"/>
      <c r="C71" s="5"/>
      <c r="D71" s="5"/>
      <c r="E71" s="5"/>
      <c r="F71" s="5"/>
      <c r="G71" s="5"/>
      <c r="H71" s="22" t="str">
        <f t="shared" si="5"/>
        <v/>
      </c>
      <c r="I71" s="5"/>
      <c r="J71" s="33"/>
      <c r="K71" s="5"/>
      <c r="L71" s="5"/>
      <c r="M71" s="5"/>
      <c r="N71" s="5"/>
      <c r="O71" s="5"/>
      <c r="P71" s="5"/>
      <c r="Q71" s="5"/>
      <c r="R71" s="24" t="str">
        <f t="shared" si="6"/>
        <v/>
      </c>
      <c r="S71" s="24" t="str">
        <f t="shared" si="7"/>
        <v/>
      </c>
      <c r="T71" t="str">
        <f>IF(OR(C71="",I71&lt;&gt;"ENTRADA"),"",UPPER(LEFT(SUBSTITUTE(C71," ",""),3))&amp;"-"&amp;TEXT(B71,"AAMMDD")&amp;"-"&amp;(COUNTIFS($C$5:C71,C71,$B$5:B71,B71,$I$5:I71,"ENTRADA")))</f>
        <v/>
      </c>
    </row>
    <row r="72" spans="1:20">
      <c r="A72" s="22" t="s">
        <v>149</v>
      </c>
      <c r="B72" s="5"/>
      <c r="C72" s="5"/>
      <c r="D72" s="5"/>
      <c r="E72" s="5"/>
      <c r="F72" s="5"/>
      <c r="G72" s="5"/>
      <c r="H72" s="22" t="str">
        <f t="shared" si="5"/>
        <v/>
      </c>
      <c r="I72" s="5"/>
      <c r="J72" s="33"/>
      <c r="K72" s="5"/>
      <c r="L72" s="5"/>
      <c r="M72" s="5"/>
      <c r="N72" s="5"/>
      <c r="O72" s="5"/>
      <c r="P72" s="5"/>
      <c r="Q72" s="5"/>
      <c r="R72" s="24" t="str">
        <f t="shared" si="6"/>
        <v/>
      </c>
      <c r="S72" s="24" t="str">
        <f t="shared" si="7"/>
        <v/>
      </c>
      <c r="T72" t="str">
        <f>IF(OR(C72="",I72&lt;&gt;"ENTRADA"),"",UPPER(LEFT(SUBSTITUTE(C72," ",""),3))&amp;"-"&amp;TEXT(B72,"AAMMDD")&amp;"-"&amp;(COUNTIFS($C$5:C72,C72,$B$5:B72,B72,$I$5:I72,"ENTRADA")))</f>
        <v/>
      </c>
    </row>
    <row r="73" spans="1:20">
      <c r="A73" s="22" t="s">
        <v>150</v>
      </c>
      <c r="B73" s="5"/>
      <c r="C73" s="5"/>
      <c r="D73" s="5"/>
      <c r="E73" s="5"/>
      <c r="F73" s="5"/>
      <c r="G73" s="5"/>
      <c r="H73" s="22" t="str">
        <f t="shared" si="5"/>
        <v/>
      </c>
      <c r="I73" s="5"/>
      <c r="J73" s="33"/>
      <c r="K73" s="5"/>
      <c r="L73" s="5"/>
      <c r="M73" s="5"/>
      <c r="N73" s="5"/>
      <c r="O73" s="5"/>
      <c r="P73" s="5"/>
      <c r="Q73" s="5"/>
      <c r="R73" s="24" t="str">
        <f t="shared" si="6"/>
        <v/>
      </c>
      <c r="S73" s="24" t="str">
        <f t="shared" si="7"/>
        <v/>
      </c>
      <c r="T73" t="str">
        <f>IF(OR(C73="",I73&lt;&gt;"ENTRADA"),"",UPPER(LEFT(SUBSTITUTE(C73," ",""),3))&amp;"-"&amp;TEXT(B73,"AAMMDD")&amp;"-"&amp;(COUNTIFS($C$5:C73,C73,$B$5:B73,B73,$I$5:I73,"ENTRADA")))</f>
        <v/>
      </c>
    </row>
    <row r="74" spans="1:20">
      <c r="A74" s="22" t="s">
        <v>151</v>
      </c>
      <c r="B74" s="5"/>
      <c r="C74" s="5"/>
      <c r="D74" s="5"/>
      <c r="E74" s="5"/>
      <c r="F74" s="5"/>
      <c r="G74" s="5"/>
      <c r="H74" s="22" t="str">
        <f t="shared" si="5"/>
        <v/>
      </c>
      <c r="I74" s="5"/>
      <c r="J74" s="33"/>
      <c r="K74" s="5"/>
      <c r="L74" s="5"/>
      <c r="M74" s="5"/>
      <c r="N74" s="5"/>
      <c r="O74" s="5"/>
      <c r="P74" s="5"/>
      <c r="Q74" s="5"/>
      <c r="R74" s="24" t="str">
        <f t="shared" si="6"/>
        <v/>
      </c>
      <c r="S74" s="24" t="str">
        <f t="shared" si="7"/>
        <v/>
      </c>
      <c r="T74" t="str">
        <f>IF(OR(C74="",I74&lt;&gt;"ENTRADA"),"",UPPER(LEFT(SUBSTITUTE(C74," ",""),3))&amp;"-"&amp;TEXT(B74,"AAMMDD")&amp;"-"&amp;(COUNTIFS($C$5:C74,C74,$B$5:B74,B74,$I$5:I74,"ENTRADA")))</f>
        <v/>
      </c>
    </row>
    <row r="75" spans="1:20">
      <c r="A75" s="22" t="s">
        <v>152</v>
      </c>
      <c r="B75" s="5"/>
      <c r="C75" s="5"/>
      <c r="D75" s="5"/>
      <c r="E75" s="5"/>
      <c r="F75" s="5"/>
      <c r="G75" s="5"/>
      <c r="H75" s="22" t="str">
        <f t="shared" si="5"/>
        <v/>
      </c>
      <c r="I75" s="5"/>
      <c r="J75" s="33"/>
      <c r="K75" s="5"/>
      <c r="L75" s="5"/>
      <c r="M75" s="5"/>
      <c r="N75" s="5"/>
      <c r="O75" s="5"/>
      <c r="P75" s="5"/>
      <c r="Q75" s="5"/>
      <c r="R75" s="24" t="str">
        <f t="shared" si="6"/>
        <v/>
      </c>
      <c r="S75" s="24" t="str">
        <f t="shared" si="7"/>
        <v/>
      </c>
      <c r="T75" t="str">
        <f>IF(OR(C75="",I75&lt;&gt;"ENTRADA"),"",UPPER(LEFT(SUBSTITUTE(C75," ",""),3))&amp;"-"&amp;TEXT(B75,"AAMMDD")&amp;"-"&amp;(COUNTIFS($C$5:C75,C75,$B$5:B75,B75,$I$5:I75,"ENTRADA")))</f>
        <v/>
      </c>
    </row>
    <row r="76" spans="1:20">
      <c r="A76" s="22" t="s">
        <v>153</v>
      </c>
      <c r="B76" s="5"/>
      <c r="C76" s="5"/>
      <c r="D76" s="5"/>
      <c r="E76" s="5"/>
      <c r="F76" s="5"/>
      <c r="G76" s="5"/>
      <c r="H76" s="22" t="str">
        <f t="shared" si="5"/>
        <v/>
      </c>
      <c r="I76" s="5"/>
      <c r="J76" s="33"/>
      <c r="K76" s="5"/>
      <c r="L76" s="5"/>
      <c r="M76" s="5"/>
      <c r="N76" s="5"/>
      <c r="O76" s="5"/>
      <c r="P76" s="5"/>
      <c r="Q76" s="5"/>
      <c r="R76" s="24" t="str">
        <f t="shared" si="6"/>
        <v/>
      </c>
      <c r="S76" s="24" t="str">
        <f t="shared" si="7"/>
        <v/>
      </c>
      <c r="T76" t="str">
        <f>IF(OR(C76="",I76&lt;&gt;"ENTRADA"),"",UPPER(LEFT(SUBSTITUTE(C76," ",""),3))&amp;"-"&amp;TEXT(B76,"AAMMDD")&amp;"-"&amp;(COUNTIFS($C$5:C76,C76,$B$5:B76,B76,$I$5:I76,"ENTRADA")))</f>
        <v/>
      </c>
    </row>
    <row r="77" spans="1:20">
      <c r="A77" s="22" t="s">
        <v>154</v>
      </c>
      <c r="B77" s="5"/>
      <c r="C77" s="5"/>
      <c r="D77" s="5"/>
      <c r="E77" s="5"/>
      <c r="F77" s="5"/>
      <c r="G77" s="5"/>
      <c r="H77" s="22" t="str">
        <f t="shared" si="5"/>
        <v/>
      </c>
      <c r="I77" s="5"/>
      <c r="J77" s="33"/>
      <c r="K77" s="5"/>
      <c r="L77" s="5"/>
      <c r="M77" s="5"/>
      <c r="N77" s="5"/>
      <c r="O77" s="5"/>
      <c r="P77" s="5"/>
      <c r="Q77" s="5"/>
      <c r="R77" s="24" t="str">
        <f t="shared" si="6"/>
        <v/>
      </c>
      <c r="S77" s="24" t="str">
        <f t="shared" si="7"/>
        <v/>
      </c>
      <c r="T77" t="str">
        <f>IF(OR(C77="",I77&lt;&gt;"ENTRADA"),"",UPPER(LEFT(SUBSTITUTE(C77," ",""),3))&amp;"-"&amp;TEXT(B77,"AAMMDD")&amp;"-"&amp;(COUNTIFS($C$5:C77,C77,$B$5:B77,B77,$I$5:I77,"ENTRADA")))</f>
        <v/>
      </c>
    </row>
    <row r="78" spans="1:20">
      <c r="A78" s="22" t="s">
        <v>155</v>
      </c>
      <c r="B78" s="5"/>
      <c r="C78" s="5"/>
      <c r="D78" s="5"/>
      <c r="E78" s="5"/>
      <c r="F78" s="5"/>
      <c r="G78" s="5"/>
      <c r="H78" s="22" t="str">
        <f t="shared" si="5"/>
        <v/>
      </c>
      <c r="I78" s="5"/>
      <c r="J78" s="33"/>
      <c r="K78" s="5"/>
      <c r="L78" s="5"/>
      <c r="M78" s="5"/>
      <c r="N78" s="5"/>
      <c r="O78" s="5"/>
      <c r="P78" s="5"/>
      <c r="Q78" s="5"/>
      <c r="R78" s="24" t="str">
        <f t="shared" si="6"/>
        <v/>
      </c>
      <c r="S78" s="24" t="str">
        <f t="shared" si="7"/>
        <v/>
      </c>
      <c r="T78" t="str">
        <f>IF(OR(C78="",I78&lt;&gt;"ENTRADA"),"",UPPER(LEFT(SUBSTITUTE(C78," ",""),3))&amp;"-"&amp;TEXT(B78,"AAMMDD")&amp;"-"&amp;(COUNTIFS($C$5:C78,C78,$B$5:B78,B78,$I$5:I78,"ENTRADA")))</f>
        <v/>
      </c>
    </row>
    <row r="79" spans="1:20">
      <c r="A79" s="22" t="s">
        <v>156</v>
      </c>
      <c r="B79" s="5"/>
      <c r="C79" s="5"/>
      <c r="D79" s="5"/>
      <c r="E79" s="5"/>
      <c r="F79" s="5"/>
      <c r="G79" s="5"/>
      <c r="H79" s="22" t="str">
        <f t="shared" si="5"/>
        <v/>
      </c>
      <c r="I79" s="5"/>
      <c r="J79" s="33"/>
      <c r="K79" s="5"/>
      <c r="L79" s="5"/>
      <c r="M79" s="5"/>
      <c r="N79" s="5"/>
      <c r="O79" s="5"/>
      <c r="P79" s="5"/>
      <c r="Q79" s="5"/>
      <c r="R79" s="24" t="str">
        <f t="shared" si="6"/>
        <v/>
      </c>
      <c r="S79" s="24" t="str">
        <f t="shared" si="7"/>
        <v/>
      </c>
      <c r="T79" t="str">
        <f>IF(OR(C79="",I79&lt;&gt;"ENTRADA"),"",UPPER(LEFT(SUBSTITUTE(C79," ",""),3))&amp;"-"&amp;TEXT(B79,"AAMMDD")&amp;"-"&amp;(COUNTIFS($C$5:C79,C79,$B$5:B79,B79,$I$5:I79,"ENTRADA")))</f>
        <v/>
      </c>
    </row>
    <row r="80" spans="1:20">
      <c r="A80" s="22" t="s">
        <v>157</v>
      </c>
      <c r="B80" s="5"/>
      <c r="C80" s="5"/>
      <c r="D80" s="5"/>
      <c r="E80" s="5"/>
      <c r="F80" s="5"/>
      <c r="G80" s="5"/>
      <c r="H80" s="22" t="str">
        <f t="shared" ref="H80:H143" si="8">+T80</f>
        <v/>
      </c>
      <c r="I80" s="5"/>
      <c r="J80" s="33"/>
      <c r="K80" s="5"/>
      <c r="L80" s="5"/>
      <c r="M80" s="5"/>
      <c r="N80" s="5"/>
      <c r="O80" s="5"/>
      <c r="P80" s="5"/>
      <c r="Q80" s="5"/>
      <c r="R80" s="24" t="str">
        <f t="shared" si="6"/>
        <v/>
      </c>
      <c r="S80" s="24" t="str">
        <f t="shared" si="7"/>
        <v/>
      </c>
      <c r="T80" t="str">
        <f>IF(OR(C80="",I80&lt;&gt;"ENTRADA"),"",UPPER(LEFT(SUBSTITUTE(C80," ",""),3))&amp;"-"&amp;TEXT(B80,"AAMMDD")&amp;"-"&amp;(COUNTIFS($C$5:C80,C80,$B$5:B80,B80,$I$5:I80,"ENTRADA")))</f>
        <v/>
      </c>
    </row>
    <row r="81" spans="1:20">
      <c r="A81" s="22" t="s">
        <v>158</v>
      </c>
      <c r="B81" s="5"/>
      <c r="C81" s="5"/>
      <c r="D81" s="5"/>
      <c r="E81" s="5"/>
      <c r="F81" s="5"/>
      <c r="G81" s="5"/>
      <c r="H81" s="22" t="str">
        <f t="shared" si="8"/>
        <v/>
      </c>
      <c r="I81" s="5"/>
      <c r="J81" s="33"/>
      <c r="K81" s="5"/>
      <c r="L81" s="5"/>
      <c r="M81" s="5"/>
      <c r="N81" s="5"/>
      <c r="O81" s="5"/>
      <c r="P81" s="5"/>
      <c r="Q81" s="5"/>
      <c r="R81" s="24" t="str">
        <f t="shared" si="6"/>
        <v/>
      </c>
      <c r="S81" s="24" t="str">
        <f t="shared" si="7"/>
        <v/>
      </c>
      <c r="T81" t="str">
        <f>IF(OR(C81="",I81&lt;&gt;"ENTRADA"),"",UPPER(LEFT(SUBSTITUTE(C81," ",""),3))&amp;"-"&amp;TEXT(B81,"AAMMDD")&amp;"-"&amp;(COUNTIFS($C$5:C81,C81,$B$5:B81,B81,$I$5:I81,"ENTRADA")))</f>
        <v/>
      </c>
    </row>
    <row r="82" spans="1:20">
      <c r="A82" s="22" t="s">
        <v>159</v>
      </c>
      <c r="B82" s="5"/>
      <c r="C82" s="5"/>
      <c r="D82" s="5"/>
      <c r="E82" s="5"/>
      <c r="F82" s="5"/>
      <c r="G82" s="5"/>
      <c r="H82" s="22" t="str">
        <f t="shared" si="8"/>
        <v/>
      </c>
      <c r="I82" s="5"/>
      <c r="J82" s="33"/>
      <c r="K82" s="5"/>
      <c r="L82" s="5"/>
      <c r="M82" s="5"/>
      <c r="N82" s="5"/>
      <c r="O82" s="5"/>
      <c r="P82" s="5"/>
      <c r="Q82" s="5"/>
      <c r="R82" s="24" t="str">
        <f t="shared" si="6"/>
        <v/>
      </c>
      <c r="S82" s="24" t="str">
        <f t="shared" si="7"/>
        <v/>
      </c>
      <c r="T82" t="str">
        <f>IF(OR(C82="",I82&lt;&gt;"ENTRADA"),"",UPPER(LEFT(SUBSTITUTE(C82," ",""),3))&amp;"-"&amp;TEXT(B82,"AAMMDD")&amp;"-"&amp;(COUNTIFS($C$5:C82,C82,$B$5:B82,B82,$I$5:I82,"ENTRADA")))</f>
        <v/>
      </c>
    </row>
    <row r="83" spans="1:20">
      <c r="A83" s="22" t="s">
        <v>160</v>
      </c>
      <c r="B83" s="5"/>
      <c r="C83" s="5"/>
      <c r="D83" s="5"/>
      <c r="E83" s="5"/>
      <c r="F83" s="5"/>
      <c r="G83" s="5"/>
      <c r="H83" s="22" t="str">
        <f t="shared" si="8"/>
        <v/>
      </c>
      <c r="I83" s="5"/>
      <c r="J83" s="33"/>
      <c r="K83" s="5"/>
      <c r="L83" s="5"/>
      <c r="M83" s="5"/>
      <c r="N83" s="5"/>
      <c r="O83" s="5"/>
      <c r="P83" s="5"/>
      <c r="Q83" s="5"/>
      <c r="R83" s="24" t="str">
        <f t="shared" si="6"/>
        <v/>
      </c>
      <c r="S83" s="24" t="str">
        <f t="shared" si="7"/>
        <v/>
      </c>
      <c r="T83" t="str">
        <f>IF(OR(C83="",I83&lt;&gt;"ENTRADA"),"",UPPER(LEFT(SUBSTITUTE(C83," ",""),3))&amp;"-"&amp;TEXT(B83,"AAMMDD")&amp;"-"&amp;(COUNTIFS($C$5:C83,C83,$B$5:B83,B83,$I$5:I83,"ENTRADA")))</f>
        <v/>
      </c>
    </row>
    <row r="84" spans="1:20">
      <c r="A84" s="22" t="s">
        <v>161</v>
      </c>
      <c r="B84" s="5"/>
      <c r="C84" s="5"/>
      <c r="D84" s="5"/>
      <c r="E84" s="5"/>
      <c r="F84" s="5"/>
      <c r="G84" s="5"/>
      <c r="H84" s="22" t="str">
        <f t="shared" si="8"/>
        <v/>
      </c>
      <c r="I84" s="5"/>
      <c r="J84" s="33"/>
      <c r="K84" s="5"/>
      <c r="L84" s="5"/>
      <c r="M84" s="5"/>
      <c r="N84" s="5"/>
      <c r="O84" s="5"/>
      <c r="P84" s="5"/>
      <c r="Q84" s="5"/>
      <c r="R84" s="24" t="str">
        <f t="shared" si="6"/>
        <v/>
      </c>
      <c r="S84" s="24" t="str">
        <f t="shared" si="7"/>
        <v/>
      </c>
      <c r="T84" t="str">
        <f>IF(OR(C84="",I84&lt;&gt;"ENTRADA"),"",UPPER(LEFT(SUBSTITUTE(C84," ",""),3))&amp;"-"&amp;TEXT(B84,"AAMMDD")&amp;"-"&amp;(COUNTIFS($C$5:C84,C84,$B$5:B84,B84,$I$5:I84,"ENTRADA")))</f>
        <v/>
      </c>
    </row>
    <row r="85" spans="1:20">
      <c r="A85" s="22" t="s">
        <v>162</v>
      </c>
      <c r="B85" s="5"/>
      <c r="C85" s="5"/>
      <c r="D85" s="5"/>
      <c r="E85" s="5"/>
      <c r="F85" s="5"/>
      <c r="G85" s="5"/>
      <c r="H85" s="22" t="str">
        <f t="shared" si="8"/>
        <v/>
      </c>
      <c r="I85" s="5"/>
      <c r="J85" s="33"/>
      <c r="K85" s="5"/>
      <c r="L85" s="5"/>
      <c r="M85" s="5"/>
      <c r="N85" s="5"/>
      <c r="O85" s="5"/>
      <c r="P85" s="5"/>
      <c r="Q85" s="5"/>
      <c r="R85" s="24" t="str">
        <f t="shared" si="6"/>
        <v/>
      </c>
      <c r="S85" s="24" t="str">
        <f t="shared" si="7"/>
        <v/>
      </c>
      <c r="T85" t="str">
        <f>IF(OR(C85="",I85&lt;&gt;"ENTRADA"),"",UPPER(LEFT(SUBSTITUTE(C85," ",""),3))&amp;"-"&amp;TEXT(B85,"AAMMDD")&amp;"-"&amp;(COUNTIFS($C$5:C85,C85,$B$5:B85,B85,$I$5:I85,"ENTRADA")))</f>
        <v/>
      </c>
    </row>
    <row r="86" spans="1:20">
      <c r="A86" s="22" t="s">
        <v>163</v>
      </c>
      <c r="B86" s="5"/>
      <c r="C86" s="5"/>
      <c r="D86" s="5"/>
      <c r="E86" s="5"/>
      <c r="F86" s="5"/>
      <c r="G86" s="5"/>
      <c r="H86" s="22" t="str">
        <f t="shared" si="8"/>
        <v/>
      </c>
      <c r="I86" s="5"/>
      <c r="J86" s="33"/>
      <c r="K86" s="5"/>
      <c r="L86" s="5"/>
      <c r="M86" s="5"/>
      <c r="N86" s="5"/>
      <c r="O86" s="5"/>
      <c r="P86" s="5"/>
      <c r="Q86" s="5"/>
      <c r="R86" s="24" t="str">
        <f t="shared" si="6"/>
        <v/>
      </c>
      <c r="S86" s="24" t="str">
        <f t="shared" si="7"/>
        <v/>
      </c>
      <c r="T86" t="str">
        <f>IF(OR(C86="",I86&lt;&gt;"ENTRADA"),"",UPPER(LEFT(SUBSTITUTE(C86," ",""),3))&amp;"-"&amp;TEXT(B86,"AAMMDD")&amp;"-"&amp;(COUNTIFS($C$5:C86,C86,$B$5:B86,B86,$I$5:I86,"ENTRADA")))</f>
        <v/>
      </c>
    </row>
    <row r="87" spans="1:20">
      <c r="A87" s="22" t="s">
        <v>164</v>
      </c>
      <c r="B87" s="5"/>
      <c r="C87" s="5"/>
      <c r="D87" s="5"/>
      <c r="E87" s="5"/>
      <c r="F87" s="5"/>
      <c r="G87" s="5"/>
      <c r="H87" s="22" t="str">
        <f t="shared" si="8"/>
        <v/>
      </c>
      <c r="I87" s="5"/>
      <c r="J87" s="33"/>
      <c r="K87" s="5"/>
      <c r="L87" s="5"/>
      <c r="M87" s="5"/>
      <c r="N87" s="5"/>
      <c r="O87" s="5"/>
      <c r="P87" s="5"/>
      <c r="Q87" s="5"/>
      <c r="R87" s="24" t="str">
        <f t="shared" si="6"/>
        <v/>
      </c>
      <c r="S87" s="24" t="str">
        <f t="shared" si="7"/>
        <v/>
      </c>
      <c r="T87" t="str">
        <f>IF(OR(C87="",I87&lt;&gt;"ENTRADA"),"",UPPER(LEFT(SUBSTITUTE(C87," ",""),3))&amp;"-"&amp;TEXT(B87,"AAMMDD")&amp;"-"&amp;(COUNTIFS($C$5:C87,C87,$B$5:B87,B87,$I$5:I87,"ENTRADA")))</f>
        <v/>
      </c>
    </row>
    <row r="88" spans="1:20">
      <c r="A88" s="22" t="s">
        <v>165</v>
      </c>
      <c r="B88" s="5"/>
      <c r="C88" s="5"/>
      <c r="D88" s="5"/>
      <c r="E88" s="5"/>
      <c r="F88" s="5"/>
      <c r="G88" s="5"/>
      <c r="H88" s="22" t="str">
        <f t="shared" si="8"/>
        <v/>
      </c>
      <c r="I88" s="5"/>
      <c r="J88" s="33"/>
      <c r="K88" s="5"/>
      <c r="L88" s="5"/>
      <c r="M88" s="5"/>
      <c r="N88" s="5"/>
      <c r="O88" s="5"/>
      <c r="P88" s="5"/>
      <c r="Q88" s="5"/>
      <c r="R88" s="24" t="str">
        <f t="shared" si="6"/>
        <v/>
      </c>
      <c r="S88" s="24" t="str">
        <f t="shared" si="7"/>
        <v/>
      </c>
      <c r="T88" t="str">
        <f>IF(OR(C88="",I88&lt;&gt;"ENTRADA"),"",UPPER(LEFT(SUBSTITUTE(C88," ",""),3))&amp;"-"&amp;TEXT(B88,"AAMMDD")&amp;"-"&amp;(COUNTIFS($C$5:C88,C88,$B$5:B88,B88,$I$5:I88,"ENTRADA")))</f>
        <v/>
      </c>
    </row>
    <row r="89" spans="1:20">
      <c r="A89" s="22" t="s">
        <v>166</v>
      </c>
      <c r="B89" s="5"/>
      <c r="C89" s="5"/>
      <c r="D89" s="5"/>
      <c r="E89" s="5"/>
      <c r="F89" s="5"/>
      <c r="G89" s="5"/>
      <c r="H89" s="22" t="str">
        <f t="shared" si="8"/>
        <v/>
      </c>
      <c r="I89" s="5"/>
      <c r="J89" s="33"/>
      <c r="K89" s="5"/>
      <c r="L89" s="5"/>
      <c r="M89" s="5"/>
      <c r="N89" s="5"/>
      <c r="O89" s="5"/>
      <c r="P89" s="5"/>
      <c r="Q89" s="5"/>
      <c r="R89" s="24" t="str">
        <f t="shared" si="6"/>
        <v/>
      </c>
      <c r="S89" s="24" t="str">
        <f t="shared" si="7"/>
        <v/>
      </c>
      <c r="T89" t="str">
        <f>IF(OR(C89="",I89&lt;&gt;"ENTRADA"),"",UPPER(LEFT(SUBSTITUTE(C89," ",""),3))&amp;"-"&amp;TEXT(B89,"AAMMDD")&amp;"-"&amp;(COUNTIFS($C$5:C89,C89,$B$5:B89,B89,$I$5:I89,"ENTRADA")))</f>
        <v/>
      </c>
    </row>
    <row r="90" spans="1:20">
      <c r="A90" s="22" t="s">
        <v>167</v>
      </c>
      <c r="B90" s="5"/>
      <c r="C90" s="5"/>
      <c r="D90" s="5"/>
      <c r="E90" s="5"/>
      <c r="F90" s="5"/>
      <c r="G90" s="5"/>
      <c r="H90" s="22" t="str">
        <f t="shared" si="8"/>
        <v/>
      </c>
      <c r="I90" s="5"/>
      <c r="J90" s="33"/>
      <c r="K90" s="5"/>
      <c r="L90" s="5"/>
      <c r="M90" s="5"/>
      <c r="N90" s="5"/>
      <c r="O90" s="5"/>
      <c r="P90" s="5"/>
      <c r="Q90" s="5"/>
      <c r="R90" s="24" t="str">
        <f t="shared" si="6"/>
        <v/>
      </c>
      <c r="S90" s="24" t="str">
        <f t="shared" si="7"/>
        <v/>
      </c>
      <c r="T90" t="str">
        <f>IF(OR(C90="",I90&lt;&gt;"ENTRADA"),"",UPPER(LEFT(SUBSTITUTE(C90," ",""),3))&amp;"-"&amp;TEXT(B90,"AAMMDD")&amp;"-"&amp;(COUNTIFS($C$5:C90,C90,$B$5:B90,B90,$I$5:I90,"ENTRADA")))</f>
        <v/>
      </c>
    </row>
    <row r="91" spans="1:20">
      <c r="A91" s="22" t="s">
        <v>168</v>
      </c>
      <c r="B91" s="5"/>
      <c r="C91" s="5"/>
      <c r="D91" s="5"/>
      <c r="E91" s="5"/>
      <c r="F91" s="5"/>
      <c r="G91" s="5"/>
      <c r="H91" s="22" t="str">
        <f t="shared" si="8"/>
        <v/>
      </c>
      <c r="I91" s="5"/>
      <c r="J91" s="33"/>
      <c r="K91" s="5"/>
      <c r="L91" s="5"/>
      <c r="M91" s="5"/>
      <c r="N91" s="5"/>
      <c r="O91" s="5"/>
      <c r="P91" s="5"/>
      <c r="Q91" s="5"/>
      <c r="R91" s="24" t="str">
        <f t="shared" si="6"/>
        <v/>
      </c>
      <c r="S91" s="24" t="str">
        <f t="shared" si="7"/>
        <v/>
      </c>
      <c r="T91" t="str">
        <f>IF(OR(C91="",I91&lt;&gt;"ENTRADA"),"",UPPER(LEFT(SUBSTITUTE(C91," ",""),3))&amp;"-"&amp;TEXT(B91,"AAMMDD")&amp;"-"&amp;(COUNTIFS($C$5:C91,C91,$B$5:B91,B91,$I$5:I91,"ENTRADA")))</f>
        <v/>
      </c>
    </row>
    <row r="92" spans="1:20">
      <c r="A92" s="22" t="s">
        <v>169</v>
      </c>
      <c r="B92" s="5"/>
      <c r="C92" s="5"/>
      <c r="D92" s="5"/>
      <c r="E92" s="5"/>
      <c r="F92" s="5"/>
      <c r="G92" s="5"/>
      <c r="H92" s="22" t="str">
        <f t="shared" si="8"/>
        <v/>
      </c>
      <c r="I92" s="5"/>
      <c r="J92" s="33"/>
      <c r="K92" s="5"/>
      <c r="L92" s="5"/>
      <c r="M92" s="5"/>
      <c r="N92" s="5"/>
      <c r="O92" s="5"/>
      <c r="P92" s="5"/>
      <c r="Q92" s="5"/>
      <c r="R92" s="24" t="str">
        <f t="shared" si="6"/>
        <v/>
      </c>
      <c r="S92" s="24" t="str">
        <f t="shared" si="7"/>
        <v/>
      </c>
      <c r="T92" t="str">
        <f>IF(OR(C92="",I92&lt;&gt;"ENTRADA"),"",UPPER(LEFT(SUBSTITUTE(C92," ",""),3))&amp;"-"&amp;TEXT(B92,"AAMMDD")&amp;"-"&amp;(COUNTIFS($C$5:C92,C92,$B$5:B92,B92,$I$5:I92,"ENTRADA")))</f>
        <v/>
      </c>
    </row>
    <row r="93" spans="1:20">
      <c r="A93" s="22" t="s">
        <v>170</v>
      </c>
      <c r="B93" s="5"/>
      <c r="C93" s="5"/>
      <c r="D93" s="5"/>
      <c r="E93" s="5"/>
      <c r="F93" s="5"/>
      <c r="G93" s="5"/>
      <c r="H93" s="22" t="str">
        <f t="shared" si="8"/>
        <v/>
      </c>
      <c r="I93" s="5"/>
      <c r="J93" s="33"/>
      <c r="K93" s="5"/>
      <c r="L93" s="5"/>
      <c r="M93" s="5"/>
      <c r="N93" s="5"/>
      <c r="O93" s="5"/>
      <c r="P93" s="5"/>
      <c r="Q93" s="5"/>
      <c r="R93" s="24" t="str">
        <f t="shared" si="6"/>
        <v/>
      </c>
      <c r="S93" s="24" t="str">
        <f t="shared" si="7"/>
        <v/>
      </c>
      <c r="T93" t="str">
        <f>IF(OR(C93="",I93&lt;&gt;"ENTRADA"),"",UPPER(LEFT(SUBSTITUTE(C93," ",""),3))&amp;"-"&amp;TEXT(B93,"AAMMDD")&amp;"-"&amp;(COUNTIFS($C$5:C93,C93,$B$5:B93,B93,$I$5:I93,"ENTRADA")))</f>
        <v/>
      </c>
    </row>
    <row r="94" spans="1:20">
      <c r="A94" s="22" t="s">
        <v>171</v>
      </c>
      <c r="B94" s="5"/>
      <c r="C94" s="5"/>
      <c r="D94" s="5"/>
      <c r="E94" s="5"/>
      <c r="F94" s="5"/>
      <c r="G94" s="5"/>
      <c r="H94" s="22" t="str">
        <f t="shared" si="8"/>
        <v/>
      </c>
      <c r="I94" s="5"/>
      <c r="J94" s="33"/>
      <c r="K94" s="5"/>
      <c r="L94" s="5"/>
      <c r="M94" s="5"/>
      <c r="N94" s="5"/>
      <c r="O94" s="5"/>
      <c r="P94" s="5"/>
      <c r="Q94" s="5"/>
      <c r="R94" s="24" t="str">
        <f t="shared" si="6"/>
        <v/>
      </c>
      <c r="S94" s="24" t="str">
        <f t="shared" si="7"/>
        <v/>
      </c>
      <c r="T94" t="str">
        <f>IF(OR(C94="",I94&lt;&gt;"ENTRADA"),"",UPPER(LEFT(SUBSTITUTE(C94," ",""),3))&amp;"-"&amp;TEXT(B94,"AAMMDD")&amp;"-"&amp;(COUNTIFS($C$5:C94,C94,$B$5:B94,B94,$I$5:I94,"ENTRADA")))</f>
        <v/>
      </c>
    </row>
    <row r="95" spans="1:20">
      <c r="A95" s="22" t="s">
        <v>172</v>
      </c>
      <c r="B95" s="5"/>
      <c r="C95" s="5"/>
      <c r="D95" s="5"/>
      <c r="E95" s="5"/>
      <c r="F95" s="5"/>
      <c r="G95" s="5"/>
      <c r="H95" s="22" t="str">
        <f t="shared" si="8"/>
        <v/>
      </c>
      <c r="I95" s="5"/>
      <c r="J95" s="33"/>
      <c r="K95" s="5"/>
      <c r="L95" s="5"/>
      <c r="M95" s="5"/>
      <c r="N95" s="5"/>
      <c r="O95" s="5"/>
      <c r="P95" s="5"/>
      <c r="Q95" s="5"/>
      <c r="R95" s="24" t="str">
        <f t="shared" si="6"/>
        <v/>
      </c>
      <c r="S95" s="24" t="str">
        <f t="shared" si="7"/>
        <v/>
      </c>
      <c r="T95" t="str">
        <f>IF(OR(C95="",I95&lt;&gt;"ENTRADA"),"",UPPER(LEFT(SUBSTITUTE(C95," ",""),3))&amp;"-"&amp;TEXT(B95,"AAMMDD")&amp;"-"&amp;(COUNTIFS($C$5:C95,C95,$B$5:B95,B95,$I$5:I95,"ENTRADA")))</f>
        <v/>
      </c>
    </row>
    <row r="96" spans="1:20">
      <c r="A96" s="22" t="s">
        <v>173</v>
      </c>
      <c r="B96" s="5"/>
      <c r="C96" s="5"/>
      <c r="D96" s="5"/>
      <c r="E96" s="5"/>
      <c r="F96" s="5"/>
      <c r="G96" s="5"/>
      <c r="H96" s="22" t="str">
        <f t="shared" si="8"/>
        <v/>
      </c>
      <c r="I96" s="5"/>
      <c r="J96" s="33"/>
      <c r="K96" s="5"/>
      <c r="L96" s="5"/>
      <c r="M96" s="5"/>
      <c r="N96" s="5"/>
      <c r="O96" s="5"/>
      <c r="P96" s="5"/>
      <c r="Q96" s="5"/>
      <c r="R96" s="24" t="str">
        <f t="shared" si="6"/>
        <v/>
      </c>
      <c r="S96" s="24" t="str">
        <f t="shared" si="7"/>
        <v/>
      </c>
      <c r="T96" t="str">
        <f>IF(OR(C96="",I96&lt;&gt;"ENTRADA"),"",UPPER(LEFT(SUBSTITUTE(C96," ",""),3))&amp;"-"&amp;TEXT(B96,"AAMMDD")&amp;"-"&amp;(COUNTIFS($C$5:C96,C96,$B$5:B96,B96,$I$5:I96,"ENTRADA")))</f>
        <v/>
      </c>
    </row>
    <row r="97" spans="1:20">
      <c r="A97" s="22" t="s">
        <v>174</v>
      </c>
      <c r="B97" s="5"/>
      <c r="C97" s="5"/>
      <c r="D97" s="5"/>
      <c r="E97" s="5"/>
      <c r="F97" s="5"/>
      <c r="G97" s="5"/>
      <c r="H97" s="22" t="str">
        <f t="shared" si="8"/>
        <v/>
      </c>
      <c r="I97" s="5"/>
      <c r="J97" s="33"/>
      <c r="K97" s="5"/>
      <c r="L97" s="5"/>
      <c r="M97" s="5"/>
      <c r="N97" s="5"/>
      <c r="O97" s="5"/>
      <c r="P97" s="5"/>
      <c r="Q97" s="5"/>
      <c r="R97" s="24" t="str">
        <f t="shared" si="6"/>
        <v/>
      </c>
      <c r="S97" s="24" t="str">
        <f t="shared" si="7"/>
        <v/>
      </c>
      <c r="T97" t="str">
        <f>IF(OR(C97="",I97&lt;&gt;"ENTRADA"),"",UPPER(LEFT(SUBSTITUTE(C97," ",""),3))&amp;"-"&amp;TEXT(B97,"AAMMDD")&amp;"-"&amp;(COUNTIFS($C$5:C97,C97,$B$5:B97,B97,$I$5:I97,"ENTRADA")))</f>
        <v/>
      </c>
    </row>
    <row r="98" spans="1:20">
      <c r="A98" s="22" t="s">
        <v>175</v>
      </c>
      <c r="B98" s="5"/>
      <c r="C98" s="5"/>
      <c r="D98" s="5"/>
      <c r="E98" s="5"/>
      <c r="F98" s="5"/>
      <c r="G98" s="5"/>
      <c r="H98" s="22" t="str">
        <f t="shared" si="8"/>
        <v/>
      </c>
      <c r="I98" s="5"/>
      <c r="J98" s="33"/>
      <c r="K98" s="5"/>
      <c r="L98" s="5"/>
      <c r="M98" s="5"/>
      <c r="N98" s="5"/>
      <c r="O98" s="5"/>
      <c r="P98" s="5"/>
      <c r="Q98" s="5"/>
      <c r="R98" s="24" t="str">
        <f t="shared" si="6"/>
        <v/>
      </c>
      <c r="S98" s="24" t="str">
        <f t="shared" si="7"/>
        <v/>
      </c>
      <c r="T98" t="str">
        <f>IF(OR(C98="",I98&lt;&gt;"ENTRADA"),"",UPPER(LEFT(SUBSTITUTE(C98," ",""),3))&amp;"-"&amp;TEXT(B98,"AAMMDD")&amp;"-"&amp;(COUNTIFS($C$5:C98,C98,$B$5:B98,B98,$I$5:I98,"ENTRADA")))</f>
        <v/>
      </c>
    </row>
    <row r="99" spans="1:20">
      <c r="A99" s="22" t="s">
        <v>176</v>
      </c>
      <c r="B99" s="5"/>
      <c r="C99" s="5"/>
      <c r="D99" s="5"/>
      <c r="E99" s="5"/>
      <c r="F99" s="5"/>
      <c r="G99" s="5"/>
      <c r="H99" s="22" t="str">
        <f t="shared" si="8"/>
        <v/>
      </c>
      <c r="I99" s="5"/>
      <c r="J99" s="33"/>
      <c r="K99" s="5"/>
      <c r="L99" s="5"/>
      <c r="M99" s="5"/>
      <c r="N99" s="5"/>
      <c r="O99" s="5"/>
      <c r="P99" s="5"/>
      <c r="Q99" s="5"/>
      <c r="R99" s="24" t="str">
        <f t="shared" si="6"/>
        <v/>
      </c>
      <c r="S99" s="24" t="str">
        <f t="shared" si="7"/>
        <v/>
      </c>
      <c r="T99" t="str">
        <f>IF(OR(C99="",I99&lt;&gt;"ENTRADA"),"",UPPER(LEFT(SUBSTITUTE(C99," ",""),3))&amp;"-"&amp;TEXT(B99,"AAMMDD")&amp;"-"&amp;(COUNTIFS($C$5:C99,C99,$B$5:B99,B99,$I$5:I99,"ENTRADA")))</f>
        <v/>
      </c>
    </row>
    <row r="100" spans="1:20">
      <c r="A100" s="22" t="s">
        <v>177</v>
      </c>
      <c r="B100" s="5"/>
      <c r="C100" s="5"/>
      <c r="D100" s="5"/>
      <c r="E100" s="5"/>
      <c r="F100" s="5"/>
      <c r="G100" s="5"/>
      <c r="H100" s="22" t="str">
        <f t="shared" si="8"/>
        <v/>
      </c>
      <c r="I100" s="5"/>
      <c r="J100" s="33"/>
      <c r="K100" s="5"/>
      <c r="L100" s="5"/>
      <c r="M100" s="5"/>
      <c r="N100" s="5"/>
      <c r="O100" s="5"/>
      <c r="P100" s="5"/>
      <c r="Q100" s="5"/>
      <c r="R100" s="24" t="str">
        <f t="shared" si="6"/>
        <v/>
      </c>
      <c r="S100" s="24" t="str">
        <f t="shared" si="7"/>
        <v/>
      </c>
      <c r="T100" t="str">
        <f>IF(OR(C100="",I100&lt;&gt;"ENTRADA"),"",UPPER(LEFT(SUBSTITUTE(C100," ",""),3))&amp;"-"&amp;TEXT(B100,"AAMMDD")&amp;"-"&amp;(COUNTIFS($C$5:C100,C100,$B$5:B100,B100,$I$5:I100,"ENTRADA")))</f>
        <v/>
      </c>
    </row>
    <row r="101" spans="1:20">
      <c r="A101" s="22" t="s">
        <v>178</v>
      </c>
      <c r="B101" s="5"/>
      <c r="C101" s="5"/>
      <c r="D101" s="5"/>
      <c r="E101" s="5"/>
      <c r="F101" s="5"/>
      <c r="G101" s="5"/>
      <c r="H101" s="22" t="str">
        <f t="shared" si="8"/>
        <v/>
      </c>
      <c r="I101" s="5"/>
      <c r="J101" s="33"/>
      <c r="K101" s="5"/>
      <c r="L101" s="5"/>
      <c r="M101" s="5"/>
      <c r="N101" s="5"/>
      <c r="O101" s="5"/>
      <c r="P101" s="5"/>
      <c r="Q101" s="5"/>
      <c r="R101" s="24" t="str">
        <f t="shared" si="6"/>
        <v/>
      </c>
      <c r="S101" s="24" t="str">
        <f t="shared" si="7"/>
        <v/>
      </c>
      <c r="T101" t="str">
        <f>IF(OR(C101="",I101&lt;&gt;"ENTRADA"),"",UPPER(LEFT(SUBSTITUTE(C101," ",""),3))&amp;"-"&amp;TEXT(B101,"AAMMDD")&amp;"-"&amp;(COUNTIFS($C$5:C101,C101,$B$5:B101,B101,$I$5:I101,"ENTRADA")))</f>
        <v/>
      </c>
    </row>
    <row r="102" spans="1:20">
      <c r="A102" s="22" t="s">
        <v>179</v>
      </c>
      <c r="B102" s="5"/>
      <c r="C102" s="5"/>
      <c r="D102" s="5"/>
      <c r="E102" s="5"/>
      <c r="F102" s="5"/>
      <c r="G102" s="5"/>
      <c r="H102" s="22" t="str">
        <f t="shared" si="8"/>
        <v/>
      </c>
      <c r="I102" s="5"/>
      <c r="J102" s="33"/>
      <c r="K102" s="5"/>
      <c r="L102" s="5"/>
      <c r="M102" s="5"/>
      <c r="N102" s="5"/>
      <c r="O102" s="5"/>
      <c r="P102" s="5"/>
      <c r="Q102" s="5"/>
      <c r="R102" s="24" t="str">
        <f t="shared" si="6"/>
        <v/>
      </c>
      <c r="S102" s="24" t="str">
        <f t="shared" si="7"/>
        <v/>
      </c>
      <c r="T102" t="str">
        <f>IF(OR(C102="",I102&lt;&gt;"ENTRADA"),"",UPPER(LEFT(SUBSTITUTE(C102," ",""),3))&amp;"-"&amp;TEXT(B102,"AAMMDD")&amp;"-"&amp;(COUNTIFS($C$5:C102,C102,$B$5:B102,B102,$I$5:I102,"ENTRADA")))</f>
        <v/>
      </c>
    </row>
    <row r="103" spans="1:20">
      <c r="A103" s="22" t="s">
        <v>180</v>
      </c>
      <c r="B103" s="5"/>
      <c r="C103" s="5"/>
      <c r="D103" s="5"/>
      <c r="E103" s="5"/>
      <c r="F103" s="5"/>
      <c r="G103" s="5"/>
      <c r="H103" s="22" t="str">
        <f t="shared" si="8"/>
        <v/>
      </c>
      <c r="I103" s="5"/>
      <c r="J103" s="33"/>
      <c r="K103" s="5"/>
      <c r="L103" s="5"/>
      <c r="M103" s="5"/>
      <c r="N103" s="5"/>
      <c r="O103" s="5"/>
      <c r="P103" s="5"/>
      <c r="Q103" s="5"/>
      <c r="R103" s="24" t="str">
        <f t="shared" si="6"/>
        <v/>
      </c>
      <c r="S103" s="24" t="str">
        <f t="shared" si="7"/>
        <v/>
      </c>
      <c r="T103" t="str">
        <f>IF(OR(C103="",I103&lt;&gt;"ENTRADA"),"",UPPER(LEFT(SUBSTITUTE(C103," ",""),3))&amp;"-"&amp;TEXT(B103,"AAMMDD")&amp;"-"&amp;(COUNTIFS($C$5:C103,C103,$B$5:B103,B103,$I$5:I103,"ENTRADA")))</f>
        <v/>
      </c>
    </row>
    <row r="104" spans="1:20">
      <c r="A104" s="22" t="s">
        <v>181</v>
      </c>
      <c r="B104" s="5"/>
      <c r="C104" s="5"/>
      <c r="D104" s="5"/>
      <c r="E104" s="5"/>
      <c r="F104" s="5"/>
      <c r="G104" s="5"/>
      <c r="H104" s="22" t="str">
        <f t="shared" si="8"/>
        <v/>
      </c>
      <c r="I104" s="5"/>
      <c r="J104" s="33"/>
      <c r="K104" s="5"/>
      <c r="L104" s="5"/>
      <c r="M104" s="5"/>
      <c r="N104" s="5"/>
      <c r="O104" s="5"/>
      <c r="P104" s="5"/>
      <c r="Q104" s="5"/>
      <c r="R104" s="24" t="str">
        <f t="shared" si="6"/>
        <v/>
      </c>
      <c r="S104" s="24" t="str">
        <f t="shared" si="7"/>
        <v/>
      </c>
      <c r="T104" t="str">
        <f>IF(OR(C104="",I104&lt;&gt;"ENTRADA"),"",UPPER(LEFT(SUBSTITUTE(C104," ",""),3))&amp;"-"&amp;TEXT(B104,"AAMMDD")&amp;"-"&amp;(COUNTIFS($C$5:C104,C104,$B$5:B104,B104,$I$5:I104,"ENTRADA")))</f>
        <v/>
      </c>
    </row>
    <row r="105" spans="1:20">
      <c r="A105" s="22" t="s">
        <v>182</v>
      </c>
      <c r="B105" s="5"/>
      <c r="C105" s="5"/>
      <c r="D105" s="5"/>
      <c r="E105" s="5"/>
      <c r="F105" s="5"/>
      <c r="G105" s="5"/>
      <c r="H105" s="22" t="str">
        <f t="shared" si="8"/>
        <v/>
      </c>
      <c r="I105" s="5"/>
      <c r="J105" s="33"/>
      <c r="K105" s="5"/>
      <c r="L105" s="5"/>
      <c r="M105" s="5"/>
      <c r="N105" s="5"/>
      <c r="O105" s="5"/>
      <c r="P105" s="5"/>
      <c r="Q105" s="5"/>
      <c r="R105" s="24" t="str">
        <f t="shared" si="6"/>
        <v/>
      </c>
      <c r="S105" s="24" t="str">
        <f t="shared" si="7"/>
        <v/>
      </c>
      <c r="T105" t="str">
        <f>IF(OR(C105="",I105&lt;&gt;"ENTRADA"),"",UPPER(LEFT(SUBSTITUTE(C105," ",""),3))&amp;"-"&amp;TEXT(B105,"AAMMDD")&amp;"-"&amp;(COUNTIFS($C$5:C105,C105,$B$5:B105,B105,$I$5:I105,"ENTRADA")))</f>
        <v/>
      </c>
    </row>
    <row r="106" spans="1:20">
      <c r="A106" s="22" t="s">
        <v>183</v>
      </c>
      <c r="B106" s="5"/>
      <c r="C106" s="5"/>
      <c r="D106" s="5"/>
      <c r="E106" s="5"/>
      <c r="F106" s="5"/>
      <c r="G106" s="5"/>
      <c r="H106" s="22" t="str">
        <f t="shared" si="8"/>
        <v/>
      </c>
      <c r="I106" s="5"/>
      <c r="J106" s="33"/>
      <c r="K106" s="5"/>
      <c r="L106" s="5"/>
      <c r="M106" s="5"/>
      <c r="N106" s="5"/>
      <c r="O106" s="5"/>
      <c r="P106" s="5"/>
      <c r="Q106" s="5"/>
      <c r="R106" s="24" t="str">
        <f t="shared" si="6"/>
        <v/>
      </c>
      <c r="S106" s="24" t="str">
        <f t="shared" si="7"/>
        <v/>
      </c>
      <c r="T106" t="str">
        <f>IF(OR(C106="",I106&lt;&gt;"ENTRADA"),"",UPPER(LEFT(SUBSTITUTE(C106," ",""),3))&amp;"-"&amp;TEXT(B106,"AAMMDD")&amp;"-"&amp;(COUNTIFS($C$5:C106,C106,$B$5:B106,B106,$I$5:I106,"ENTRADA")))</f>
        <v/>
      </c>
    </row>
    <row r="107" spans="1:20">
      <c r="A107" s="22" t="s">
        <v>184</v>
      </c>
      <c r="B107" s="5"/>
      <c r="C107" s="5"/>
      <c r="D107" s="5"/>
      <c r="E107" s="5"/>
      <c r="F107" s="5"/>
      <c r="G107" s="5"/>
      <c r="H107" s="22" t="str">
        <f t="shared" si="8"/>
        <v/>
      </c>
      <c r="I107" s="5"/>
      <c r="J107" s="33"/>
      <c r="K107" s="5"/>
      <c r="L107" s="5"/>
      <c r="M107" s="5"/>
      <c r="N107" s="5"/>
      <c r="O107" s="5"/>
      <c r="P107" s="5"/>
      <c r="Q107" s="5"/>
      <c r="R107" s="24" t="str">
        <f t="shared" si="6"/>
        <v/>
      </c>
      <c r="S107" s="24" t="str">
        <f t="shared" si="7"/>
        <v/>
      </c>
      <c r="T107" t="str">
        <f>IF(OR(C107="",I107&lt;&gt;"ENTRADA"),"",UPPER(LEFT(SUBSTITUTE(C107," ",""),3))&amp;"-"&amp;TEXT(B107,"AAMMDD")&amp;"-"&amp;(COUNTIFS($C$5:C107,C107,$B$5:B107,B107,$I$5:I107,"ENTRADA")))</f>
        <v/>
      </c>
    </row>
    <row r="108" spans="1:20">
      <c r="A108" s="22" t="s">
        <v>185</v>
      </c>
      <c r="B108" s="5"/>
      <c r="C108" s="5"/>
      <c r="D108" s="5"/>
      <c r="E108" s="5"/>
      <c r="F108" s="5"/>
      <c r="G108" s="5"/>
      <c r="H108" s="22" t="str">
        <f t="shared" si="8"/>
        <v/>
      </c>
      <c r="I108" s="5"/>
      <c r="J108" s="33"/>
      <c r="K108" s="5"/>
      <c r="L108" s="5"/>
      <c r="M108" s="5"/>
      <c r="N108" s="5"/>
      <c r="O108" s="5"/>
      <c r="P108" s="5"/>
      <c r="Q108" s="5"/>
      <c r="R108" s="24" t="str">
        <f t="shared" si="6"/>
        <v/>
      </c>
      <c r="S108" s="24" t="str">
        <f t="shared" si="7"/>
        <v/>
      </c>
      <c r="T108" t="str">
        <f>IF(OR(C108="",I108&lt;&gt;"ENTRADA"),"",UPPER(LEFT(SUBSTITUTE(C108," ",""),3))&amp;"-"&amp;TEXT(B108,"AAMMDD")&amp;"-"&amp;(COUNTIFS($C$5:C108,C108,$B$5:B108,B108,$I$5:I108,"ENTRADA")))</f>
        <v/>
      </c>
    </row>
    <row r="109" spans="1:20">
      <c r="A109" s="22" t="s">
        <v>186</v>
      </c>
      <c r="B109" s="5"/>
      <c r="C109" s="5"/>
      <c r="D109" s="5"/>
      <c r="E109" s="5"/>
      <c r="F109" s="5"/>
      <c r="G109" s="5"/>
      <c r="H109" s="22" t="str">
        <f t="shared" si="8"/>
        <v/>
      </c>
      <c r="I109" s="5"/>
      <c r="J109" s="33"/>
      <c r="K109" s="5"/>
      <c r="L109" s="5"/>
      <c r="M109" s="5"/>
      <c r="N109" s="5"/>
      <c r="O109" s="5"/>
      <c r="P109" s="5"/>
      <c r="Q109" s="5"/>
      <c r="R109" s="24" t="str">
        <f t="shared" si="6"/>
        <v/>
      </c>
      <c r="S109" s="24" t="str">
        <f t="shared" si="7"/>
        <v/>
      </c>
      <c r="T109" t="str">
        <f>IF(OR(C109="",I109&lt;&gt;"ENTRADA"),"",UPPER(LEFT(SUBSTITUTE(C109," ",""),3))&amp;"-"&amp;TEXT(B109,"AAMMDD")&amp;"-"&amp;(COUNTIFS($C$5:C109,C109,$B$5:B109,B109,$I$5:I109,"ENTRADA")))</f>
        <v/>
      </c>
    </row>
    <row r="110" spans="1:20">
      <c r="A110" s="22" t="s">
        <v>187</v>
      </c>
      <c r="B110" s="5"/>
      <c r="C110" s="5"/>
      <c r="D110" s="5"/>
      <c r="E110" s="5"/>
      <c r="F110" s="5"/>
      <c r="G110" s="5"/>
      <c r="H110" s="22" t="str">
        <f t="shared" si="8"/>
        <v/>
      </c>
      <c r="I110" s="5"/>
      <c r="J110" s="33"/>
      <c r="K110" s="5"/>
      <c r="L110" s="5"/>
      <c r="M110" s="5"/>
      <c r="N110" s="5"/>
      <c r="O110" s="5"/>
      <c r="P110" s="5"/>
      <c r="Q110" s="5"/>
      <c r="R110" s="24" t="str">
        <f t="shared" si="6"/>
        <v/>
      </c>
      <c r="S110" s="24" t="str">
        <f t="shared" si="7"/>
        <v/>
      </c>
      <c r="T110" t="str">
        <f>IF(OR(C110="",I110&lt;&gt;"ENTRADA"),"",UPPER(LEFT(SUBSTITUTE(C110," ",""),3))&amp;"-"&amp;TEXT(B110,"AAMMDD")&amp;"-"&amp;(COUNTIFS($C$5:C110,C110,$B$5:B110,B110,$I$5:I110,"ENTRADA")))</f>
        <v/>
      </c>
    </row>
    <row r="111" spans="1:20">
      <c r="A111" s="22" t="s">
        <v>188</v>
      </c>
      <c r="B111" s="5"/>
      <c r="C111" s="5"/>
      <c r="D111" s="5"/>
      <c r="E111" s="5"/>
      <c r="F111" s="5"/>
      <c r="G111" s="5"/>
      <c r="H111" s="22" t="str">
        <f t="shared" si="8"/>
        <v/>
      </c>
      <c r="I111" s="5"/>
      <c r="J111" s="33"/>
      <c r="K111" s="5"/>
      <c r="L111" s="5"/>
      <c r="M111" s="5"/>
      <c r="N111" s="5"/>
      <c r="O111" s="5"/>
      <c r="P111" s="5"/>
      <c r="Q111" s="5"/>
      <c r="R111" s="24" t="str">
        <f t="shared" si="6"/>
        <v/>
      </c>
      <c r="S111" s="24" t="str">
        <f t="shared" si="7"/>
        <v/>
      </c>
      <c r="T111" t="str">
        <f>IF(OR(C111="",I111&lt;&gt;"ENTRADA"),"",UPPER(LEFT(SUBSTITUTE(C111," ",""),3))&amp;"-"&amp;TEXT(B111,"AAMMDD")&amp;"-"&amp;(COUNTIFS($C$5:C111,C111,$B$5:B111,B111,$I$5:I111,"ENTRADA")))</f>
        <v/>
      </c>
    </row>
    <row r="112" spans="1:20">
      <c r="A112" s="22" t="s">
        <v>189</v>
      </c>
      <c r="B112" s="5"/>
      <c r="C112" s="5"/>
      <c r="D112" s="5"/>
      <c r="E112" s="5"/>
      <c r="F112" s="5"/>
      <c r="G112" s="5"/>
      <c r="H112" s="22" t="str">
        <f t="shared" si="8"/>
        <v/>
      </c>
      <c r="I112" s="5"/>
      <c r="J112" s="33"/>
      <c r="K112" s="5"/>
      <c r="L112" s="5"/>
      <c r="M112" s="5"/>
      <c r="N112" s="5"/>
      <c r="O112" s="5"/>
      <c r="P112" s="5"/>
      <c r="Q112" s="5"/>
      <c r="R112" s="24" t="str">
        <f t="shared" si="6"/>
        <v/>
      </c>
      <c r="S112" s="24" t="str">
        <f t="shared" si="7"/>
        <v/>
      </c>
      <c r="T112" t="str">
        <f>IF(OR(C112="",I112&lt;&gt;"ENTRADA"),"",UPPER(LEFT(SUBSTITUTE(C112," ",""),3))&amp;"-"&amp;TEXT(B112,"AAMMDD")&amp;"-"&amp;(COUNTIFS($C$5:C112,C112,$B$5:B112,B112,$I$5:I112,"ENTRADA")))</f>
        <v/>
      </c>
    </row>
    <row r="113" spans="1:20">
      <c r="A113" s="22" t="s">
        <v>190</v>
      </c>
      <c r="B113" s="5"/>
      <c r="C113" s="5"/>
      <c r="D113" s="5"/>
      <c r="E113" s="5"/>
      <c r="F113" s="5"/>
      <c r="G113" s="5"/>
      <c r="H113" s="22" t="str">
        <f t="shared" si="8"/>
        <v/>
      </c>
      <c r="I113" s="5"/>
      <c r="J113" s="33"/>
      <c r="K113" s="5"/>
      <c r="L113" s="5"/>
      <c r="M113" s="5"/>
      <c r="N113" s="5"/>
      <c r="O113" s="5"/>
      <c r="P113" s="5"/>
      <c r="Q113" s="5"/>
      <c r="R113" s="24" t="str">
        <f t="shared" si="6"/>
        <v/>
      </c>
      <c r="S113" s="24" t="str">
        <f t="shared" si="7"/>
        <v/>
      </c>
      <c r="T113" t="str">
        <f>IF(OR(C113="",I113&lt;&gt;"ENTRADA"),"",UPPER(LEFT(SUBSTITUTE(C113," ",""),3))&amp;"-"&amp;TEXT(B113,"AAMMDD")&amp;"-"&amp;(COUNTIFS($C$5:C113,C113,$B$5:B113,B113,$I$5:I113,"ENTRADA")))</f>
        <v/>
      </c>
    </row>
    <row r="114" spans="1:20">
      <c r="A114" s="22" t="s">
        <v>191</v>
      </c>
      <c r="B114" s="5"/>
      <c r="C114" s="5"/>
      <c r="D114" s="5"/>
      <c r="E114" s="5"/>
      <c r="F114" s="5"/>
      <c r="G114" s="5"/>
      <c r="H114" s="22" t="str">
        <f t="shared" si="8"/>
        <v/>
      </c>
      <c r="I114" s="5"/>
      <c r="J114" s="33"/>
      <c r="K114" s="5"/>
      <c r="L114" s="5"/>
      <c r="M114" s="5"/>
      <c r="N114" s="5"/>
      <c r="O114" s="5"/>
      <c r="P114" s="5"/>
      <c r="Q114" s="5"/>
      <c r="R114" s="24" t="str">
        <f t="shared" si="6"/>
        <v/>
      </c>
      <c r="S114" s="24" t="str">
        <f t="shared" si="7"/>
        <v/>
      </c>
      <c r="T114" t="str">
        <f>IF(OR(C114="",I114&lt;&gt;"ENTRADA"),"",UPPER(LEFT(SUBSTITUTE(C114," ",""),3))&amp;"-"&amp;TEXT(B114,"AAMMDD")&amp;"-"&amp;(COUNTIFS($C$5:C114,C114,$B$5:B114,B114,$I$5:I114,"ENTRADA")))</f>
        <v/>
      </c>
    </row>
    <row r="115" spans="1:20">
      <c r="A115" s="22" t="s">
        <v>192</v>
      </c>
      <c r="B115" s="5"/>
      <c r="C115" s="5"/>
      <c r="D115" s="5"/>
      <c r="E115" s="5"/>
      <c r="F115" s="5"/>
      <c r="G115" s="5"/>
      <c r="H115" s="22" t="str">
        <f t="shared" si="8"/>
        <v/>
      </c>
      <c r="I115" s="5"/>
      <c r="J115" s="33"/>
      <c r="K115" s="5"/>
      <c r="L115" s="5"/>
      <c r="M115" s="5"/>
      <c r="N115" s="5"/>
      <c r="O115" s="5"/>
      <c r="P115" s="5"/>
      <c r="Q115" s="5"/>
      <c r="R115" s="24" t="str">
        <f t="shared" si="6"/>
        <v/>
      </c>
      <c r="S115" s="24" t="str">
        <f t="shared" si="7"/>
        <v/>
      </c>
      <c r="T115" t="str">
        <f>IF(OR(C115="",I115&lt;&gt;"ENTRADA"),"",UPPER(LEFT(SUBSTITUTE(C115," ",""),3))&amp;"-"&amp;TEXT(B115,"AAMMDD")&amp;"-"&amp;(COUNTIFS($C$5:C115,C115,$B$5:B115,B115,$I$5:I115,"ENTRADA")))</f>
        <v/>
      </c>
    </row>
    <row r="116" spans="1:20">
      <c r="A116" s="22" t="s">
        <v>193</v>
      </c>
      <c r="B116" s="5"/>
      <c r="C116" s="5"/>
      <c r="D116" s="5"/>
      <c r="E116" s="5"/>
      <c r="F116" s="5"/>
      <c r="G116" s="5"/>
      <c r="H116" s="22" t="str">
        <f t="shared" si="8"/>
        <v/>
      </c>
      <c r="I116" s="5"/>
      <c r="J116" s="33"/>
      <c r="K116" s="5"/>
      <c r="L116" s="5"/>
      <c r="M116" s="5"/>
      <c r="N116" s="5"/>
      <c r="O116" s="5"/>
      <c r="P116" s="5"/>
      <c r="Q116" s="5"/>
      <c r="R116" s="24" t="str">
        <f t="shared" si="6"/>
        <v/>
      </c>
      <c r="S116" s="24" t="str">
        <f t="shared" si="7"/>
        <v/>
      </c>
      <c r="T116" t="str">
        <f>IF(OR(C116="",I116&lt;&gt;"ENTRADA"),"",UPPER(LEFT(SUBSTITUTE(C116," ",""),3))&amp;"-"&amp;TEXT(B116,"AAMMDD")&amp;"-"&amp;(COUNTIFS($C$5:C116,C116,$B$5:B116,B116,$I$5:I116,"ENTRADA")))</f>
        <v/>
      </c>
    </row>
    <row r="117" spans="1:20">
      <c r="A117" s="22" t="s">
        <v>194</v>
      </c>
      <c r="B117" s="5"/>
      <c r="C117" s="5"/>
      <c r="D117" s="5"/>
      <c r="E117" s="5"/>
      <c r="F117" s="5"/>
      <c r="G117" s="5"/>
      <c r="H117" s="22" t="str">
        <f t="shared" si="8"/>
        <v/>
      </c>
      <c r="I117" s="5"/>
      <c r="J117" s="33"/>
      <c r="K117" s="5"/>
      <c r="L117" s="5"/>
      <c r="M117" s="5"/>
      <c r="N117" s="5"/>
      <c r="O117" s="5"/>
      <c r="P117" s="5"/>
      <c r="Q117" s="5"/>
      <c r="R117" s="24" t="str">
        <f t="shared" si="6"/>
        <v/>
      </c>
      <c r="S117" s="24" t="str">
        <f t="shared" si="7"/>
        <v/>
      </c>
      <c r="T117" t="str">
        <f>IF(OR(C117="",I117&lt;&gt;"ENTRADA"),"",UPPER(LEFT(SUBSTITUTE(C117," ",""),3))&amp;"-"&amp;TEXT(B117,"AAMMDD")&amp;"-"&amp;(COUNTIFS($C$5:C117,C117,$B$5:B117,B117,$I$5:I117,"ENTRADA")))</f>
        <v/>
      </c>
    </row>
    <row r="118" spans="1:20">
      <c r="A118" s="22" t="s">
        <v>195</v>
      </c>
      <c r="B118" s="5"/>
      <c r="C118" s="5"/>
      <c r="D118" s="5"/>
      <c r="E118" s="5"/>
      <c r="F118" s="5"/>
      <c r="G118" s="5"/>
      <c r="H118" s="22" t="str">
        <f t="shared" si="8"/>
        <v/>
      </c>
      <c r="I118" s="5"/>
      <c r="J118" s="33"/>
      <c r="K118" s="5"/>
      <c r="L118" s="5"/>
      <c r="M118" s="5"/>
      <c r="N118" s="5"/>
      <c r="O118" s="5"/>
      <c r="P118" s="5"/>
      <c r="Q118" s="5"/>
      <c r="R118" s="24" t="str">
        <f t="shared" si="6"/>
        <v/>
      </c>
      <c r="S118" s="24" t="str">
        <f t="shared" si="7"/>
        <v/>
      </c>
      <c r="T118" t="str">
        <f>IF(OR(C118="",I118&lt;&gt;"ENTRADA"),"",UPPER(LEFT(SUBSTITUTE(C118," ",""),3))&amp;"-"&amp;TEXT(B118,"AAMMDD")&amp;"-"&amp;(COUNTIFS($C$5:C118,C118,$B$5:B118,B118,$I$5:I118,"ENTRADA")))</f>
        <v/>
      </c>
    </row>
    <row r="119" spans="1:20">
      <c r="A119" s="22" t="s">
        <v>196</v>
      </c>
      <c r="B119" s="5"/>
      <c r="C119" s="5"/>
      <c r="D119" s="5"/>
      <c r="E119" s="5"/>
      <c r="F119" s="5"/>
      <c r="G119" s="5"/>
      <c r="H119" s="22" t="str">
        <f t="shared" si="8"/>
        <v/>
      </c>
      <c r="I119" s="5"/>
      <c r="J119" s="33"/>
      <c r="K119" s="5"/>
      <c r="L119" s="5"/>
      <c r="M119" s="5"/>
      <c r="N119" s="5"/>
      <c r="O119" s="5"/>
      <c r="P119" s="5"/>
      <c r="Q119" s="5"/>
      <c r="R119" s="24" t="str">
        <f t="shared" si="6"/>
        <v/>
      </c>
      <c r="S119" s="24" t="str">
        <f t="shared" si="7"/>
        <v/>
      </c>
      <c r="T119" t="str">
        <f>IF(OR(C119="",I119&lt;&gt;"ENTRADA"),"",UPPER(LEFT(SUBSTITUTE(C119," ",""),3))&amp;"-"&amp;TEXT(B119,"AAMMDD")&amp;"-"&amp;(COUNTIFS($C$5:C119,C119,$B$5:B119,B119,$I$5:I119,"ENTRADA")))</f>
        <v/>
      </c>
    </row>
    <row r="120" spans="1:20">
      <c r="A120" s="22" t="s">
        <v>197</v>
      </c>
      <c r="B120" s="5"/>
      <c r="C120" s="5"/>
      <c r="D120" s="5"/>
      <c r="E120" s="5"/>
      <c r="F120" s="5"/>
      <c r="G120" s="5"/>
      <c r="H120" s="22" t="str">
        <f t="shared" si="8"/>
        <v/>
      </c>
      <c r="I120" s="5"/>
      <c r="J120" s="33"/>
      <c r="K120" s="5"/>
      <c r="L120" s="5"/>
      <c r="M120" s="5"/>
      <c r="N120" s="5"/>
      <c r="O120" s="5"/>
      <c r="P120" s="5"/>
      <c r="Q120" s="5"/>
      <c r="R120" s="24" t="str">
        <f t="shared" si="6"/>
        <v/>
      </c>
      <c r="S120" s="24" t="str">
        <f t="shared" si="7"/>
        <v/>
      </c>
      <c r="T120" t="str">
        <f>IF(OR(C120="",I120&lt;&gt;"ENTRADA"),"",UPPER(LEFT(SUBSTITUTE(C120," ",""),3))&amp;"-"&amp;TEXT(B120,"AAMMDD")&amp;"-"&amp;(COUNTIFS($C$5:C120,C120,$B$5:B120,B120,$I$5:I120,"ENTRADA")))</f>
        <v/>
      </c>
    </row>
    <row r="121" spans="1:20">
      <c r="A121" s="22" t="s">
        <v>198</v>
      </c>
      <c r="B121" s="5"/>
      <c r="C121" s="5"/>
      <c r="D121" s="5"/>
      <c r="E121" s="5"/>
      <c r="F121" s="5"/>
      <c r="G121" s="5"/>
      <c r="H121" s="22" t="str">
        <f t="shared" si="8"/>
        <v/>
      </c>
      <c r="I121" s="5"/>
      <c r="J121" s="33"/>
      <c r="K121" s="5"/>
      <c r="L121" s="5"/>
      <c r="M121" s="5"/>
      <c r="N121" s="5"/>
      <c r="O121" s="5"/>
      <c r="P121" s="5"/>
      <c r="Q121" s="5"/>
      <c r="R121" s="24" t="str">
        <f t="shared" si="6"/>
        <v/>
      </c>
      <c r="S121" s="24" t="str">
        <f t="shared" si="7"/>
        <v/>
      </c>
      <c r="T121" t="str">
        <f>IF(OR(C121="",I121&lt;&gt;"ENTRADA"),"",UPPER(LEFT(SUBSTITUTE(C121," ",""),3))&amp;"-"&amp;TEXT(B121,"AAMMDD")&amp;"-"&amp;(COUNTIFS($C$5:C121,C121,$B$5:B121,B121,$I$5:I121,"ENTRADA")))</f>
        <v/>
      </c>
    </row>
    <row r="122" spans="1:20">
      <c r="A122" s="22" t="s">
        <v>199</v>
      </c>
      <c r="B122" s="5"/>
      <c r="C122" s="5"/>
      <c r="D122" s="5"/>
      <c r="E122" s="5"/>
      <c r="F122" s="5"/>
      <c r="G122" s="5"/>
      <c r="H122" s="22" t="str">
        <f t="shared" si="8"/>
        <v/>
      </c>
      <c r="I122" s="5"/>
      <c r="J122" s="33"/>
      <c r="K122" s="5"/>
      <c r="L122" s="5"/>
      <c r="M122" s="5"/>
      <c r="N122" s="5"/>
      <c r="O122" s="5"/>
      <c r="P122" s="5"/>
      <c r="Q122" s="5"/>
      <c r="R122" s="24" t="str">
        <f t="shared" si="6"/>
        <v/>
      </c>
      <c r="S122" s="24" t="str">
        <f t="shared" si="7"/>
        <v/>
      </c>
      <c r="T122" t="str">
        <f>IF(OR(C122="",I122&lt;&gt;"ENTRADA"),"",UPPER(LEFT(SUBSTITUTE(C122," ",""),3))&amp;"-"&amp;TEXT(B122,"AAMMDD")&amp;"-"&amp;(COUNTIFS($C$5:C122,C122,$B$5:B122,B122,$I$5:I122,"ENTRADA")))</f>
        <v/>
      </c>
    </row>
    <row r="123" spans="1:20">
      <c r="A123" s="22" t="s">
        <v>200</v>
      </c>
      <c r="B123" s="5"/>
      <c r="C123" s="5"/>
      <c r="D123" s="5"/>
      <c r="E123" s="5"/>
      <c r="F123" s="5"/>
      <c r="G123" s="5"/>
      <c r="H123" s="22" t="str">
        <f t="shared" si="8"/>
        <v/>
      </c>
      <c r="I123" s="5"/>
      <c r="J123" s="33"/>
      <c r="K123" s="5"/>
      <c r="L123" s="5"/>
      <c r="M123" s="5"/>
      <c r="N123" s="5"/>
      <c r="O123" s="5"/>
      <c r="P123" s="5"/>
      <c r="Q123" s="5"/>
      <c r="R123" s="24" t="str">
        <f t="shared" si="6"/>
        <v/>
      </c>
      <c r="S123" s="24" t="str">
        <f t="shared" si="7"/>
        <v/>
      </c>
      <c r="T123" t="str">
        <f>IF(OR(C123="",I123&lt;&gt;"ENTRADA"),"",UPPER(LEFT(SUBSTITUTE(C123," ",""),3))&amp;"-"&amp;TEXT(B123,"AAMMDD")&amp;"-"&amp;(COUNTIFS($C$5:C123,C123,$B$5:B123,B123,$I$5:I123,"ENTRADA")))</f>
        <v/>
      </c>
    </row>
    <row r="124" spans="1:20">
      <c r="A124" s="22" t="s">
        <v>201</v>
      </c>
      <c r="B124" s="5"/>
      <c r="C124" s="5"/>
      <c r="D124" s="5"/>
      <c r="E124" s="5"/>
      <c r="F124" s="5"/>
      <c r="G124" s="5"/>
      <c r="H124" s="22" t="str">
        <f t="shared" si="8"/>
        <v/>
      </c>
      <c r="I124" s="5"/>
      <c r="J124" s="33"/>
      <c r="K124" s="5"/>
      <c r="L124" s="5"/>
      <c r="M124" s="5"/>
      <c r="N124" s="5"/>
      <c r="O124" s="5"/>
      <c r="P124" s="5"/>
      <c r="Q124" s="5"/>
      <c r="R124" s="24" t="str">
        <f t="shared" si="6"/>
        <v/>
      </c>
      <c r="S124" s="24" t="str">
        <f t="shared" si="7"/>
        <v/>
      </c>
      <c r="T124" t="str">
        <f>IF(OR(C124="",I124&lt;&gt;"ENTRADA"),"",UPPER(LEFT(SUBSTITUTE(C124," ",""),3))&amp;"-"&amp;TEXT(B124,"AAMMDD")&amp;"-"&amp;(COUNTIFS($C$5:C124,C124,$B$5:B124,B124,$I$5:I124,"ENTRADA")))</f>
        <v/>
      </c>
    </row>
    <row r="125" spans="1:20">
      <c r="A125" s="22" t="s">
        <v>202</v>
      </c>
      <c r="B125" s="5"/>
      <c r="C125" s="5"/>
      <c r="D125" s="5"/>
      <c r="E125" s="5"/>
      <c r="F125" s="5"/>
      <c r="G125" s="5"/>
      <c r="H125" s="22" t="str">
        <f t="shared" si="8"/>
        <v/>
      </c>
      <c r="I125" s="5"/>
      <c r="J125" s="33"/>
      <c r="K125" s="5"/>
      <c r="L125" s="5"/>
      <c r="M125" s="5"/>
      <c r="N125" s="5"/>
      <c r="O125" s="5"/>
      <c r="P125" s="5"/>
      <c r="Q125" s="5"/>
      <c r="R125" s="24" t="str">
        <f t="shared" si="6"/>
        <v/>
      </c>
      <c r="S125" s="24" t="str">
        <f t="shared" si="7"/>
        <v/>
      </c>
      <c r="T125" t="str">
        <f>IF(OR(C125="",I125&lt;&gt;"ENTRADA"),"",UPPER(LEFT(SUBSTITUTE(C125," ",""),3))&amp;"-"&amp;TEXT(B125,"AAMMDD")&amp;"-"&amp;(COUNTIFS($C$5:C125,C125,$B$5:B125,B125,$I$5:I125,"ENTRADA")))</f>
        <v/>
      </c>
    </row>
    <row r="126" spans="1:20">
      <c r="A126" s="22" t="s">
        <v>203</v>
      </c>
      <c r="B126" s="5"/>
      <c r="C126" s="5"/>
      <c r="D126" s="5"/>
      <c r="E126" s="5"/>
      <c r="F126" s="5"/>
      <c r="G126" s="5"/>
      <c r="H126" s="22" t="str">
        <f t="shared" si="8"/>
        <v/>
      </c>
      <c r="I126" s="5"/>
      <c r="J126" s="33"/>
      <c r="K126" s="5"/>
      <c r="L126" s="5"/>
      <c r="M126" s="5"/>
      <c r="N126" s="5"/>
      <c r="O126" s="5"/>
      <c r="P126" s="5"/>
      <c r="Q126" s="5"/>
      <c r="R126" s="24" t="str">
        <f t="shared" si="6"/>
        <v/>
      </c>
      <c r="S126" s="24" t="str">
        <f t="shared" si="7"/>
        <v/>
      </c>
      <c r="T126" t="str">
        <f>IF(OR(C126="",I126&lt;&gt;"ENTRADA"),"",UPPER(LEFT(SUBSTITUTE(C126," ",""),3))&amp;"-"&amp;TEXT(B126,"AAMMDD")&amp;"-"&amp;(COUNTIFS($C$5:C126,C126,$B$5:B126,B126,$I$5:I126,"ENTRADA")))</f>
        <v/>
      </c>
    </row>
    <row r="127" spans="1:20">
      <c r="A127" s="22" t="s">
        <v>204</v>
      </c>
      <c r="B127" s="5"/>
      <c r="C127" s="5"/>
      <c r="D127" s="5"/>
      <c r="E127" s="5"/>
      <c r="F127" s="5"/>
      <c r="G127" s="5"/>
      <c r="H127" s="22" t="str">
        <f t="shared" si="8"/>
        <v/>
      </c>
      <c r="I127" s="5"/>
      <c r="J127" s="33"/>
      <c r="K127" s="5"/>
      <c r="L127" s="5"/>
      <c r="M127" s="5"/>
      <c r="N127" s="5"/>
      <c r="O127" s="5"/>
      <c r="P127" s="5"/>
      <c r="Q127" s="5"/>
      <c r="R127" s="24" t="str">
        <f t="shared" si="6"/>
        <v/>
      </c>
      <c r="S127" s="24" t="str">
        <f t="shared" si="7"/>
        <v/>
      </c>
      <c r="T127" t="str">
        <f>IF(OR(C127="",I127&lt;&gt;"ENTRADA"),"",UPPER(LEFT(SUBSTITUTE(C127," ",""),3))&amp;"-"&amp;TEXT(B127,"AAMMDD")&amp;"-"&amp;(COUNTIFS($C$5:C127,C127,$B$5:B127,B127,$I$5:I127,"ENTRADA")))</f>
        <v/>
      </c>
    </row>
    <row r="128" spans="1:20">
      <c r="A128" s="22" t="s">
        <v>205</v>
      </c>
      <c r="B128" s="5"/>
      <c r="C128" s="5"/>
      <c r="D128" s="5"/>
      <c r="E128" s="5"/>
      <c r="F128" s="5"/>
      <c r="G128" s="5"/>
      <c r="H128" s="22" t="str">
        <f t="shared" si="8"/>
        <v/>
      </c>
      <c r="I128" s="5"/>
      <c r="J128" s="33"/>
      <c r="K128" s="5"/>
      <c r="L128" s="5"/>
      <c r="M128" s="5"/>
      <c r="N128" s="5"/>
      <c r="O128" s="5"/>
      <c r="P128" s="5"/>
      <c r="Q128" s="5"/>
      <c r="R128" s="24" t="str">
        <f t="shared" si="6"/>
        <v/>
      </c>
      <c r="S128" s="24" t="str">
        <f t="shared" si="7"/>
        <v/>
      </c>
      <c r="T128" t="str">
        <f>IF(OR(C128="",I128&lt;&gt;"ENTRADA"),"",UPPER(LEFT(SUBSTITUTE(C128," ",""),3))&amp;"-"&amp;TEXT(B128,"AAMMDD")&amp;"-"&amp;(COUNTIFS($C$5:C128,C128,$B$5:B128,B128,$I$5:I128,"ENTRADA")))</f>
        <v/>
      </c>
    </row>
    <row r="129" spans="1:20">
      <c r="A129" s="22" t="s">
        <v>206</v>
      </c>
      <c r="B129" s="5"/>
      <c r="C129" s="5"/>
      <c r="D129" s="5"/>
      <c r="E129" s="5"/>
      <c r="F129" s="5"/>
      <c r="G129" s="5"/>
      <c r="H129" s="22" t="str">
        <f t="shared" si="8"/>
        <v/>
      </c>
      <c r="I129" s="5"/>
      <c r="J129" s="33"/>
      <c r="K129" s="5"/>
      <c r="L129" s="5"/>
      <c r="M129" s="5"/>
      <c r="N129" s="5"/>
      <c r="O129" s="5"/>
      <c r="P129" s="5"/>
      <c r="Q129" s="5"/>
      <c r="R129" s="24" t="str">
        <f t="shared" si="6"/>
        <v/>
      </c>
      <c r="S129" s="24" t="str">
        <f t="shared" si="7"/>
        <v/>
      </c>
      <c r="T129" t="str">
        <f>IF(OR(C129="",I129&lt;&gt;"ENTRADA"),"",UPPER(LEFT(SUBSTITUTE(C129," ",""),3))&amp;"-"&amp;TEXT(B129,"AAMMDD")&amp;"-"&amp;(COUNTIFS($C$5:C129,C129,$B$5:B129,B129,$I$5:I129,"ENTRADA")))</f>
        <v/>
      </c>
    </row>
    <row r="130" spans="1:20">
      <c r="A130" s="22" t="s">
        <v>207</v>
      </c>
      <c r="B130" s="5"/>
      <c r="C130" s="5"/>
      <c r="D130" s="5"/>
      <c r="E130" s="5"/>
      <c r="F130" s="5"/>
      <c r="G130" s="5"/>
      <c r="H130" s="22" t="str">
        <f t="shared" si="8"/>
        <v/>
      </c>
      <c r="I130" s="5"/>
      <c r="J130" s="33"/>
      <c r="K130" s="5"/>
      <c r="L130" s="5"/>
      <c r="M130" s="5"/>
      <c r="N130" s="5"/>
      <c r="O130" s="5"/>
      <c r="P130" s="5"/>
      <c r="Q130" s="5"/>
      <c r="R130" s="24" t="str">
        <f t="shared" si="6"/>
        <v/>
      </c>
      <c r="S130" s="24" t="str">
        <f t="shared" si="7"/>
        <v/>
      </c>
      <c r="T130" t="str">
        <f>IF(OR(C130="",I130&lt;&gt;"ENTRADA"),"",UPPER(LEFT(SUBSTITUTE(C130," ",""),3))&amp;"-"&amp;TEXT(B130,"AAMMDD")&amp;"-"&amp;(COUNTIFS($C$5:C130,C130,$B$5:B130,B130,$I$5:I130,"ENTRADA")))</f>
        <v/>
      </c>
    </row>
    <row r="131" spans="1:20">
      <c r="A131" s="22" t="s">
        <v>208</v>
      </c>
      <c r="B131" s="5"/>
      <c r="C131" s="5"/>
      <c r="D131" s="5"/>
      <c r="E131" s="5"/>
      <c r="F131" s="5"/>
      <c r="G131" s="5"/>
      <c r="H131" s="22" t="str">
        <f t="shared" si="8"/>
        <v/>
      </c>
      <c r="I131" s="5"/>
      <c r="J131" s="33"/>
      <c r="K131" s="5"/>
      <c r="L131" s="5"/>
      <c r="M131" s="5"/>
      <c r="N131" s="5"/>
      <c r="O131" s="5"/>
      <c r="P131" s="5"/>
      <c r="Q131" s="5"/>
      <c r="R131" s="24" t="str">
        <f t="shared" si="6"/>
        <v/>
      </c>
      <c r="S131" s="24" t="str">
        <f t="shared" si="7"/>
        <v/>
      </c>
      <c r="T131" t="str">
        <f>IF(OR(C131="",I131&lt;&gt;"ENTRADA"),"",UPPER(LEFT(SUBSTITUTE(C131," ",""),3))&amp;"-"&amp;TEXT(B131,"AAMMDD")&amp;"-"&amp;(COUNTIFS($C$5:C131,C131,$B$5:B131,B131,$I$5:I131,"ENTRADA")))</f>
        <v/>
      </c>
    </row>
    <row r="132" spans="1:20">
      <c r="A132" s="22" t="s">
        <v>209</v>
      </c>
      <c r="B132" s="5"/>
      <c r="C132" s="5"/>
      <c r="D132" s="5"/>
      <c r="E132" s="5"/>
      <c r="F132" s="5"/>
      <c r="G132" s="5"/>
      <c r="H132" s="22" t="str">
        <f t="shared" si="8"/>
        <v/>
      </c>
      <c r="I132" s="5"/>
      <c r="J132" s="33"/>
      <c r="K132" s="5"/>
      <c r="L132" s="5"/>
      <c r="M132" s="5"/>
      <c r="N132" s="5"/>
      <c r="O132" s="5"/>
      <c r="P132" s="5"/>
      <c r="Q132" s="5"/>
      <c r="R132" s="24" t="str">
        <f t="shared" si="6"/>
        <v/>
      </c>
      <c r="S132" s="24" t="str">
        <f t="shared" si="7"/>
        <v/>
      </c>
      <c r="T132" t="str">
        <f>IF(OR(C132="",I132&lt;&gt;"ENTRADA"),"",UPPER(LEFT(SUBSTITUTE(C132," ",""),3))&amp;"-"&amp;TEXT(B132,"AAMMDD")&amp;"-"&amp;(COUNTIFS($C$5:C132,C132,$B$5:B132,B132,$I$5:I132,"ENTRADA")))</f>
        <v/>
      </c>
    </row>
    <row r="133" spans="1:20">
      <c r="A133" s="22" t="s">
        <v>210</v>
      </c>
      <c r="B133" s="5"/>
      <c r="C133" s="5"/>
      <c r="D133" s="5"/>
      <c r="E133" s="5"/>
      <c r="F133" s="5"/>
      <c r="G133" s="5"/>
      <c r="H133" s="22" t="str">
        <f t="shared" si="8"/>
        <v/>
      </c>
      <c r="I133" s="5"/>
      <c r="J133" s="33"/>
      <c r="K133" s="5"/>
      <c r="L133" s="5"/>
      <c r="M133" s="5"/>
      <c r="N133" s="5"/>
      <c r="O133" s="5"/>
      <c r="P133" s="5"/>
      <c r="Q133" s="5"/>
      <c r="R133" s="24" t="str">
        <f t="shared" si="6"/>
        <v/>
      </c>
      <c r="S133" s="24" t="str">
        <f t="shared" si="7"/>
        <v/>
      </c>
      <c r="T133" t="str">
        <f>IF(OR(C133="",I133&lt;&gt;"ENTRADA"),"",UPPER(LEFT(SUBSTITUTE(C133," ",""),3))&amp;"-"&amp;TEXT(B133,"AAMMDD")&amp;"-"&amp;(COUNTIFS($C$5:C133,C133,$B$5:B133,B133,$I$5:I133,"ENTRADA")))</f>
        <v/>
      </c>
    </row>
    <row r="134" spans="1:20">
      <c r="A134" s="22" t="s">
        <v>211</v>
      </c>
      <c r="B134" s="5"/>
      <c r="C134" s="5"/>
      <c r="D134" s="5"/>
      <c r="E134" s="5"/>
      <c r="F134" s="5"/>
      <c r="G134" s="5"/>
      <c r="H134" s="22" t="str">
        <f t="shared" si="8"/>
        <v/>
      </c>
      <c r="I134" s="5"/>
      <c r="J134" s="33"/>
      <c r="K134" s="5"/>
      <c r="L134" s="5"/>
      <c r="M134" s="5"/>
      <c r="N134" s="5"/>
      <c r="O134" s="5"/>
      <c r="P134" s="5"/>
      <c r="Q134" s="5"/>
      <c r="R134" s="24" t="str">
        <f t="shared" ref="R134:R197" si="9">IF(H134="","",H134&amp;I134)</f>
        <v/>
      </c>
      <c r="S134" s="24" t="str">
        <f t="shared" ref="S134:S197" si="10">IF(C134="","",C134&amp;I134)</f>
        <v/>
      </c>
      <c r="T134" t="str">
        <f>IF(OR(C134="",I134&lt;&gt;"ENTRADA"),"",UPPER(LEFT(SUBSTITUTE(C134," ",""),3))&amp;"-"&amp;TEXT(B134,"AAMMDD")&amp;"-"&amp;(COUNTIFS($C$5:C134,C134,$B$5:B134,B134,$I$5:I134,"ENTRADA")))</f>
        <v/>
      </c>
    </row>
    <row r="135" spans="1:20">
      <c r="A135" s="22" t="s">
        <v>212</v>
      </c>
      <c r="B135" s="5"/>
      <c r="C135" s="5"/>
      <c r="D135" s="5"/>
      <c r="E135" s="5"/>
      <c r="F135" s="5"/>
      <c r="G135" s="5"/>
      <c r="H135" s="22" t="str">
        <f t="shared" si="8"/>
        <v/>
      </c>
      <c r="I135" s="5"/>
      <c r="J135" s="33"/>
      <c r="K135" s="5"/>
      <c r="L135" s="5"/>
      <c r="M135" s="5"/>
      <c r="N135" s="5"/>
      <c r="O135" s="5"/>
      <c r="P135" s="5"/>
      <c r="Q135" s="5"/>
      <c r="R135" s="24" t="str">
        <f t="shared" si="9"/>
        <v/>
      </c>
      <c r="S135" s="24" t="str">
        <f t="shared" si="10"/>
        <v/>
      </c>
      <c r="T135" t="str">
        <f>IF(OR(C135="",I135&lt;&gt;"ENTRADA"),"",UPPER(LEFT(SUBSTITUTE(C135," ",""),3))&amp;"-"&amp;TEXT(B135,"AAMMDD")&amp;"-"&amp;(COUNTIFS($C$5:C135,C135,$B$5:B135,B135,$I$5:I135,"ENTRADA")))</f>
        <v/>
      </c>
    </row>
    <row r="136" spans="1:20">
      <c r="A136" s="22" t="s">
        <v>213</v>
      </c>
      <c r="B136" s="5"/>
      <c r="C136" s="5"/>
      <c r="D136" s="5"/>
      <c r="E136" s="5"/>
      <c r="F136" s="5"/>
      <c r="G136" s="5"/>
      <c r="H136" s="22" t="str">
        <f t="shared" si="8"/>
        <v/>
      </c>
      <c r="I136" s="5"/>
      <c r="J136" s="33"/>
      <c r="K136" s="5"/>
      <c r="L136" s="5"/>
      <c r="M136" s="5"/>
      <c r="N136" s="5"/>
      <c r="O136" s="5"/>
      <c r="P136" s="5"/>
      <c r="Q136" s="5"/>
      <c r="R136" s="24" t="str">
        <f t="shared" si="9"/>
        <v/>
      </c>
      <c r="S136" s="24" t="str">
        <f t="shared" si="10"/>
        <v/>
      </c>
      <c r="T136" t="str">
        <f>IF(OR(C136="",I136&lt;&gt;"ENTRADA"),"",UPPER(LEFT(SUBSTITUTE(C136," ",""),3))&amp;"-"&amp;TEXT(B136,"AAMMDD")&amp;"-"&amp;(COUNTIFS($C$5:C136,C136,$B$5:B136,B136,$I$5:I136,"ENTRADA")))</f>
        <v/>
      </c>
    </row>
    <row r="137" spans="1:20">
      <c r="A137" s="22" t="s">
        <v>214</v>
      </c>
      <c r="B137" s="5"/>
      <c r="C137" s="5"/>
      <c r="D137" s="5"/>
      <c r="E137" s="5"/>
      <c r="F137" s="5"/>
      <c r="G137" s="5"/>
      <c r="H137" s="22" t="str">
        <f t="shared" si="8"/>
        <v/>
      </c>
      <c r="I137" s="5"/>
      <c r="J137" s="33"/>
      <c r="K137" s="5"/>
      <c r="L137" s="5"/>
      <c r="M137" s="5"/>
      <c r="N137" s="5"/>
      <c r="O137" s="5"/>
      <c r="P137" s="5"/>
      <c r="Q137" s="5"/>
      <c r="R137" s="24" t="str">
        <f t="shared" si="9"/>
        <v/>
      </c>
      <c r="S137" s="24" t="str">
        <f t="shared" si="10"/>
        <v/>
      </c>
      <c r="T137" t="str">
        <f>IF(OR(C137="",I137&lt;&gt;"ENTRADA"),"",UPPER(LEFT(SUBSTITUTE(C137," ",""),3))&amp;"-"&amp;TEXT(B137,"AAMMDD")&amp;"-"&amp;(COUNTIFS($C$5:C137,C137,$B$5:B137,B137,$I$5:I137,"ENTRADA")))</f>
        <v/>
      </c>
    </row>
    <row r="138" spans="1:20">
      <c r="A138" s="22" t="s">
        <v>215</v>
      </c>
      <c r="B138" s="5"/>
      <c r="C138" s="5"/>
      <c r="D138" s="5"/>
      <c r="E138" s="5"/>
      <c r="F138" s="5"/>
      <c r="G138" s="5"/>
      <c r="H138" s="22" t="str">
        <f t="shared" si="8"/>
        <v/>
      </c>
      <c r="I138" s="5"/>
      <c r="J138" s="33"/>
      <c r="K138" s="5"/>
      <c r="L138" s="5"/>
      <c r="M138" s="5"/>
      <c r="N138" s="5"/>
      <c r="O138" s="5"/>
      <c r="P138" s="5"/>
      <c r="Q138" s="5"/>
      <c r="R138" s="24" t="str">
        <f t="shared" si="9"/>
        <v/>
      </c>
      <c r="S138" s="24" t="str">
        <f t="shared" si="10"/>
        <v/>
      </c>
      <c r="T138" t="str">
        <f>IF(OR(C138="",I138&lt;&gt;"ENTRADA"),"",UPPER(LEFT(SUBSTITUTE(C138," ",""),3))&amp;"-"&amp;TEXT(B138,"AAMMDD")&amp;"-"&amp;(COUNTIFS($C$5:C138,C138,$B$5:B138,B138,$I$5:I138,"ENTRADA")))</f>
        <v/>
      </c>
    </row>
    <row r="139" spans="1:20">
      <c r="A139" s="22" t="s">
        <v>216</v>
      </c>
      <c r="B139" s="5"/>
      <c r="C139" s="5"/>
      <c r="D139" s="5"/>
      <c r="E139" s="5"/>
      <c r="F139" s="5"/>
      <c r="G139" s="5"/>
      <c r="H139" s="22" t="str">
        <f t="shared" si="8"/>
        <v/>
      </c>
      <c r="I139" s="5"/>
      <c r="J139" s="33"/>
      <c r="K139" s="5"/>
      <c r="L139" s="5"/>
      <c r="M139" s="5"/>
      <c r="N139" s="5"/>
      <c r="O139" s="5"/>
      <c r="P139" s="5"/>
      <c r="Q139" s="5"/>
      <c r="R139" s="24" t="str">
        <f t="shared" si="9"/>
        <v/>
      </c>
      <c r="S139" s="24" t="str">
        <f t="shared" si="10"/>
        <v/>
      </c>
      <c r="T139" t="str">
        <f>IF(OR(C139="",I139&lt;&gt;"ENTRADA"),"",UPPER(LEFT(SUBSTITUTE(C139," ",""),3))&amp;"-"&amp;TEXT(B139,"AAMMDD")&amp;"-"&amp;(COUNTIFS($C$5:C139,C139,$B$5:B139,B139,$I$5:I139,"ENTRADA")))</f>
        <v/>
      </c>
    </row>
    <row r="140" spans="1:20">
      <c r="A140" s="22" t="s">
        <v>217</v>
      </c>
      <c r="B140" s="5"/>
      <c r="C140" s="5"/>
      <c r="D140" s="5"/>
      <c r="E140" s="5"/>
      <c r="F140" s="5"/>
      <c r="G140" s="5"/>
      <c r="H140" s="22" t="str">
        <f t="shared" si="8"/>
        <v/>
      </c>
      <c r="I140" s="5"/>
      <c r="J140" s="33"/>
      <c r="K140" s="5"/>
      <c r="L140" s="5"/>
      <c r="M140" s="5"/>
      <c r="N140" s="5"/>
      <c r="O140" s="5"/>
      <c r="P140" s="5"/>
      <c r="Q140" s="5"/>
      <c r="R140" s="24" t="str">
        <f t="shared" si="9"/>
        <v/>
      </c>
      <c r="S140" s="24" t="str">
        <f t="shared" si="10"/>
        <v/>
      </c>
      <c r="T140" t="str">
        <f>IF(OR(C140="",I140&lt;&gt;"ENTRADA"),"",UPPER(LEFT(SUBSTITUTE(C140," ",""),3))&amp;"-"&amp;TEXT(B140,"AAMMDD")&amp;"-"&amp;(COUNTIFS($C$5:C140,C140,$B$5:B140,B140,$I$5:I140,"ENTRADA")))</f>
        <v/>
      </c>
    </row>
    <row r="141" spans="1:20">
      <c r="A141" s="22" t="s">
        <v>218</v>
      </c>
      <c r="B141" s="5"/>
      <c r="C141" s="5"/>
      <c r="D141" s="5"/>
      <c r="E141" s="5"/>
      <c r="F141" s="5"/>
      <c r="G141" s="5"/>
      <c r="H141" s="22" t="str">
        <f t="shared" si="8"/>
        <v/>
      </c>
      <c r="I141" s="5"/>
      <c r="J141" s="33"/>
      <c r="K141" s="5"/>
      <c r="L141" s="5"/>
      <c r="M141" s="5"/>
      <c r="N141" s="5"/>
      <c r="O141" s="5"/>
      <c r="P141" s="5"/>
      <c r="Q141" s="5"/>
      <c r="R141" s="24" t="str">
        <f t="shared" si="9"/>
        <v/>
      </c>
      <c r="S141" s="24" t="str">
        <f t="shared" si="10"/>
        <v/>
      </c>
      <c r="T141" t="str">
        <f>IF(OR(C141="",I141&lt;&gt;"ENTRADA"),"",UPPER(LEFT(SUBSTITUTE(C141," ",""),3))&amp;"-"&amp;TEXT(B141,"AAMMDD")&amp;"-"&amp;(COUNTIFS($C$5:C141,C141,$B$5:B141,B141,$I$5:I141,"ENTRADA")))</f>
        <v/>
      </c>
    </row>
    <row r="142" spans="1:20">
      <c r="A142" s="22" t="s">
        <v>219</v>
      </c>
      <c r="B142" s="5"/>
      <c r="C142" s="5"/>
      <c r="D142" s="5"/>
      <c r="E142" s="5"/>
      <c r="F142" s="5"/>
      <c r="G142" s="5"/>
      <c r="H142" s="22" t="str">
        <f t="shared" si="8"/>
        <v/>
      </c>
      <c r="I142" s="5"/>
      <c r="J142" s="33"/>
      <c r="K142" s="5"/>
      <c r="L142" s="5"/>
      <c r="M142" s="5"/>
      <c r="N142" s="5"/>
      <c r="O142" s="5"/>
      <c r="P142" s="5"/>
      <c r="Q142" s="5"/>
      <c r="R142" s="24" t="str">
        <f t="shared" si="9"/>
        <v/>
      </c>
      <c r="S142" s="24" t="str">
        <f t="shared" si="10"/>
        <v/>
      </c>
      <c r="T142" t="str">
        <f>IF(OR(C142="",I142&lt;&gt;"ENTRADA"),"",UPPER(LEFT(SUBSTITUTE(C142," ",""),3))&amp;"-"&amp;TEXT(B142,"AAMMDD")&amp;"-"&amp;(COUNTIFS($C$5:C142,C142,$B$5:B142,B142,$I$5:I142,"ENTRADA")))</f>
        <v/>
      </c>
    </row>
    <row r="143" spans="1:20">
      <c r="A143" s="22" t="s">
        <v>220</v>
      </c>
      <c r="B143" s="5"/>
      <c r="C143" s="5"/>
      <c r="D143" s="5"/>
      <c r="E143" s="5"/>
      <c r="F143" s="5"/>
      <c r="G143" s="5"/>
      <c r="H143" s="22" t="str">
        <f t="shared" si="8"/>
        <v/>
      </c>
      <c r="I143" s="5"/>
      <c r="J143" s="33"/>
      <c r="K143" s="5"/>
      <c r="L143" s="5"/>
      <c r="M143" s="5"/>
      <c r="N143" s="5"/>
      <c r="O143" s="5"/>
      <c r="P143" s="5"/>
      <c r="Q143" s="5"/>
      <c r="R143" s="24" t="str">
        <f t="shared" si="9"/>
        <v/>
      </c>
      <c r="S143" s="24" t="str">
        <f t="shared" si="10"/>
        <v/>
      </c>
      <c r="T143" t="str">
        <f>IF(OR(C143="",I143&lt;&gt;"ENTRADA"),"",UPPER(LEFT(SUBSTITUTE(C143," ",""),3))&amp;"-"&amp;TEXT(B143,"AAMMDD")&amp;"-"&amp;(COUNTIFS($C$5:C143,C143,$B$5:B143,B143,$I$5:I143,"ENTRADA")))</f>
        <v/>
      </c>
    </row>
    <row r="144" spans="1:20">
      <c r="A144" s="22" t="s">
        <v>221</v>
      </c>
      <c r="B144" s="5"/>
      <c r="C144" s="5"/>
      <c r="D144" s="5"/>
      <c r="E144" s="5"/>
      <c r="F144" s="5"/>
      <c r="G144" s="5"/>
      <c r="H144" s="22" t="str">
        <f t="shared" ref="H144:H207" si="11">+T144</f>
        <v/>
      </c>
      <c r="I144" s="5"/>
      <c r="J144" s="33"/>
      <c r="K144" s="5"/>
      <c r="L144" s="5"/>
      <c r="M144" s="5"/>
      <c r="N144" s="5"/>
      <c r="O144" s="5"/>
      <c r="P144" s="5"/>
      <c r="Q144" s="5"/>
      <c r="R144" s="24" t="str">
        <f t="shared" si="9"/>
        <v/>
      </c>
      <c r="S144" s="24" t="str">
        <f t="shared" si="10"/>
        <v/>
      </c>
      <c r="T144" t="str">
        <f>IF(OR(C144="",I144&lt;&gt;"ENTRADA"),"",UPPER(LEFT(SUBSTITUTE(C144," ",""),3))&amp;"-"&amp;TEXT(B144,"AAMMDD")&amp;"-"&amp;(COUNTIFS($C$5:C144,C144,$B$5:B144,B144,$I$5:I144,"ENTRADA")))</f>
        <v/>
      </c>
    </row>
    <row r="145" spans="1:20">
      <c r="A145" s="22" t="s">
        <v>222</v>
      </c>
      <c r="B145" s="5"/>
      <c r="C145" s="5"/>
      <c r="D145" s="5"/>
      <c r="E145" s="5"/>
      <c r="F145" s="5"/>
      <c r="G145" s="5"/>
      <c r="H145" s="22" t="str">
        <f t="shared" si="11"/>
        <v/>
      </c>
      <c r="I145" s="5"/>
      <c r="J145" s="33"/>
      <c r="K145" s="5"/>
      <c r="L145" s="5"/>
      <c r="M145" s="5"/>
      <c r="N145" s="5"/>
      <c r="O145" s="5"/>
      <c r="P145" s="5"/>
      <c r="Q145" s="5"/>
      <c r="R145" s="24" t="str">
        <f t="shared" si="9"/>
        <v/>
      </c>
      <c r="S145" s="24" t="str">
        <f t="shared" si="10"/>
        <v/>
      </c>
      <c r="T145" t="str">
        <f>IF(OR(C145="",I145&lt;&gt;"ENTRADA"),"",UPPER(LEFT(SUBSTITUTE(C145," ",""),3))&amp;"-"&amp;TEXT(B145,"AAMMDD")&amp;"-"&amp;(COUNTIFS($C$5:C145,C145,$B$5:B145,B145,$I$5:I145,"ENTRADA")))</f>
        <v/>
      </c>
    </row>
    <row r="146" spans="1:20">
      <c r="A146" s="22" t="s">
        <v>223</v>
      </c>
      <c r="B146" s="5"/>
      <c r="C146" s="5"/>
      <c r="D146" s="5"/>
      <c r="E146" s="5"/>
      <c r="F146" s="5"/>
      <c r="G146" s="5"/>
      <c r="H146" s="22" t="str">
        <f t="shared" si="11"/>
        <v/>
      </c>
      <c r="I146" s="5"/>
      <c r="J146" s="33"/>
      <c r="K146" s="5"/>
      <c r="L146" s="5"/>
      <c r="M146" s="5"/>
      <c r="N146" s="5"/>
      <c r="O146" s="5"/>
      <c r="P146" s="5"/>
      <c r="Q146" s="5"/>
      <c r="R146" s="24" t="str">
        <f t="shared" si="9"/>
        <v/>
      </c>
      <c r="S146" s="24" t="str">
        <f t="shared" si="10"/>
        <v/>
      </c>
      <c r="T146" t="str">
        <f>IF(OR(C146="",I146&lt;&gt;"ENTRADA"),"",UPPER(LEFT(SUBSTITUTE(C146," ",""),3))&amp;"-"&amp;TEXT(B146,"AAMMDD")&amp;"-"&amp;(COUNTIFS($C$5:C146,C146,$B$5:B146,B146,$I$5:I146,"ENTRADA")))</f>
        <v/>
      </c>
    </row>
    <row r="147" spans="1:20">
      <c r="A147" s="22" t="s">
        <v>224</v>
      </c>
      <c r="B147" s="5"/>
      <c r="C147" s="5"/>
      <c r="D147" s="5"/>
      <c r="E147" s="5"/>
      <c r="F147" s="5"/>
      <c r="G147" s="5"/>
      <c r="H147" s="22" t="str">
        <f t="shared" si="11"/>
        <v/>
      </c>
      <c r="I147" s="5"/>
      <c r="J147" s="33"/>
      <c r="K147" s="5"/>
      <c r="L147" s="5"/>
      <c r="M147" s="5"/>
      <c r="N147" s="5"/>
      <c r="O147" s="5"/>
      <c r="P147" s="5"/>
      <c r="Q147" s="5"/>
      <c r="R147" s="24" t="str">
        <f t="shared" si="9"/>
        <v/>
      </c>
      <c r="S147" s="24" t="str">
        <f t="shared" si="10"/>
        <v/>
      </c>
      <c r="T147" t="str">
        <f>IF(OR(C147="",I147&lt;&gt;"ENTRADA"),"",UPPER(LEFT(SUBSTITUTE(C147," ",""),3))&amp;"-"&amp;TEXT(B147,"AAMMDD")&amp;"-"&amp;(COUNTIFS($C$5:C147,C147,$B$5:B147,B147,$I$5:I147,"ENTRADA")))</f>
        <v/>
      </c>
    </row>
    <row r="148" spans="1:20">
      <c r="A148" s="22" t="s">
        <v>225</v>
      </c>
      <c r="B148" s="5"/>
      <c r="C148" s="5"/>
      <c r="D148" s="5"/>
      <c r="E148" s="5"/>
      <c r="F148" s="5"/>
      <c r="G148" s="5"/>
      <c r="H148" s="22" t="str">
        <f t="shared" si="11"/>
        <v/>
      </c>
      <c r="I148" s="5"/>
      <c r="J148" s="33"/>
      <c r="K148" s="5"/>
      <c r="L148" s="5"/>
      <c r="M148" s="5"/>
      <c r="N148" s="5"/>
      <c r="O148" s="5"/>
      <c r="P148" s="5"/>
      <c r="Q148" s="5"/>
      <c r="R148" s="24" t="str">
        <f t="shared" si="9"/>
        <v/>
      </c>
      <c r="S148" s="24" t="str">
        <f t="shared" si="10"/>
        <v/>
      </c>
      <c r="T148" t="str">
        <f>IF(OR(C148="",I148&lt;&gt;"ENTRADA"),"",UPPER(LEFT(SUBSTITUTE(C148," ",""),3))&amp;"-"&amp;TEXT(B148,"AAMMDD")&amp;"-"&amp;(COUNTIFS($C$5:C148,C148,$B$5:B148,B148,$I$5:I148,"ENTRADA")))</f>
        <v/>
      </c>
    </row>
    <row r="149" spans="1:20">
      <c r="A149" s="22" t="s">
        <v>226</v>
      </c>
      <c r="B149" s="5"/>
      <c r="C149" s="5"/>
      <c r="D149" s="5"/>
      <c r="E149" s="5"/>
      <c r="F149" s="5"/>
      <c r="G149" s="5"/>
      <c r="H149" s="22" t="str">
        <f t="shared" si="11"/>
        <v/>
      </c>
      <c r="I149" s="5"/>
      <c r="J149" s="33"/>
      <c r="K149" s="5"/>
      <c r="L149" s="5"/>
      <c r="M149" s="5"/>
      <c r="N149" s="5"/>
      <c r="O149" s="5"/>
      <c r="P149" s="5"/>
      <c r="Q149" s="5"/>
      <c r="R149" s="24" t="str">
        <f t="shared" si="9"/>
        <v/>
      </c>
      <c r="S149" s="24" t="str">
        <f t="shared" si="10"/>
        <v/>
      </c>
      <c r="T149" t="str">
        <f>IF(OR(C149="",I149&lt;&gt;"ENTRADA"),"",UPPER(LEFT(SUBSTITUTE(C149," ",""),3))&amp;"-"&amp;TEXT(B149,"AAMMDD")&amp;"-"&amp;(COUNTIFS($C$5:C149,C149,$B$5:B149,B149,$I$5:I149,"ENTRADA")))</f>
        <v/>
      </c>
    </row>
    <row r="150" spans="1:20">
      <c r="A150" s="22" t="s">
        <v>227</v>
      </c>
      <c r="B150" s="5"/>
      <c r="C150" s="5"/>
      <c r="D150" s="5"/>
      <c r="E150" s="5"/>
      <c r="F150" s="5"/>
      <c r="G150" s="5"/>
      <c r="H150" s="22" t="str">
        <f t="shared" si="11"/>
        <v/>
      </c>
      <c r="I150" s="5"/>
      <c r="J150" s="33"/>
      <c r="K150" s="5"/>
      <c r="L150" s="5"/>
      <c r="M150" s="5"/>
      <c r="N150" s="5"/>
      <c r="O150" s="5"/>
      <c r="P150" s="5"/>
      <c r="Q150" s="5"/>
      <c r="R150" s="24" t="str">
        <f t="shared" si="9"/>
        <v/>
      </c>
      <c r="S150" s="24" t="str">
        <f t="shared" si="10"/>
        <v/>
      </c>
      <c r="T150" t="str">
        <f>IF(OR(C150="",I150&lt;&gt;"ENTRADA"),"",UPPER(LEFT(SUBSTITUTE(C150," ",""),3))&amp;"-"&amp;TEXT(B150,"AAMMDD")&amp;"-"&amp;(COUNTIFS($C$5:C150,C150,$B$5:B150,B150,$I$5:I150,"ENTRADA")))</f>
        <v/>
      </c>
    </row>
    <row r="151" spans="1:20">
      <c r="A151" s="22" t="s">
        <v>228</v>
      </c>
      <c r="B151" s="5"/>
      <c r="C151" s="5"/>
      <c r="D151" s="5"/>
      <c r="E151" s="5"/>
      <c r="F151" s="5"/>
      <c r="G151" s="5"/>
      <c r="H151" s="22" t="str">
        <f t="shared" si="11"/>
        <v/>
      </c>
      <c r="I151" s="5"/>
      <c r="J151" s="33"/>
      <c r="K151" s="5"/>
      <c r="L151" s="5"/>
      <c r="M151" s="5"/>
      <c r="N151" s="5"/>
      <c r="O151" s="5"/>
      <c r="P151" s="5"/>
      <c r="Q151" s="5"/>
      <c r="R151" s="24" t="str">
        <f t="shared" si="9"/>
        <v/>
      </c>
      <c r="S151" s="24" t="str">
        <f t="shared" si="10"/>
        <v/>
      </c>
      <c r="T151" t="str">
        <f>IF(OR(C151="",I151&lt;&gt;"ENTRADA"),"",UPPER(LEFT(SUBSTITUTE(C151," ",""),3))&amp;"-"&amp;TEXT(B151,"AAMMDD")&amp;"-"&amp;(COUNTIFS($C$5:C151,C151,$B$5:B151,B151,$I$5:I151,"ENTRADA")))</f>
        <v/>
      </c>
    </row>
    <row r="152" spans="1:20">
      <c r="A152" s="22" t="s">
        <v>229</v>
      </c>
      <c r="B152" s="5"/>
      <c r="C152" s="5"/>
      <c r="D152" s="5"/>
      <c r="E152" s="5"/>
      <c r="F152" s="5"/>
      <c r="G152" s="5"/>
      <c r="H152" s="22" t="str">
        <f t="shared" si="11"/>
        <v/>
      </c>
      <c r="I152" s="5"/>
      <c r="J152" s="33"/>
      <c r="K152" s="5"/>
      <c r="L152" s="5"/>
      <c r="M152" s="5"/>
      <c r="N152" s="5"/>
      <c r="O152" s="5"/>
      <c r="P152" s="5"/>
      <c r="Q152" s="5"/>
      <c r="R152" s="24" t="str">
        <f t="shared" si="9"/>
        <v/>
      </c>
      <c r="S152" s="24" t="str">
        <f t="shared" si="10"/>
        <v/>
      </c>
      <c r="T152" t="str">
        <f>IF(OR(C152="",I152&lt;&gt;"ENTRADA"),"",UPPER(LEFT(SUBSTITUTE(C152," ",""),3))&amp;"-"&amp;TEXT(B152,"AAMMDD")&amp;"-"&amp;(COUNTIFS($C$5:C152,C152,$B$5:B152,B152,$I$5:I152,"ENTRADA")))</f>
        <v/>
      </c>
    </row>
    <row r="153" spans="1:20">
      <c r="A153" s="22" t="s">
        <v>230</v>
      </c>
      <c r="B153" s="5"/>
      <c r="C153" s="5"/>
      <c r="D153" s="5"/>
      <c r="E153" s="5"/>
      <c r="F153" s="5"/>
      <c r="G153" s="5"/>
      <c r="H153" s="22" t="str">
        <f t="shared" si="11"/>
        <v/>
      </c>
      <c r="I153" s="5"/>
      <c r="J153" s="33"/>
      <c r="K153" s="5"/>
      <c r="L153" s="5"/>
      <c r="M153" s="5"/>
      <c r="N153" s="5"/>
      <c r="O153" s="5"/>
      <c r="P153" s="5"/>
      <c r="Q153" s="5"/>
      <c r="R153" s="24" t="str">
        <f t="shared" si="9"/>
        <v/>
      </c>
      <c r="S153" s="24" t="str">
        <f t="shared" si="10"/>
        <v/>
      </c>
      <c r="T153" t="str">
        <f>IF(OR(C153="",I153&lt;&gt;"ENTRADA"),"",UPPER(LEFT(SUBSTITUTE(C153," ",""),3))&amp;"-"&amp;TEXT(B153,"AAMMDD")&amp;"-"&amp;(COUNTIFS($C$5:C153,C153,$B$5:B153,B153,$I$5:I153,"ENTRADA")))</f>
        <v/>
      </c>
    </row>
    <row r="154" spans="1:20">
      <c r="A154" s="22" t="s">
        <v>231</v>
      </c>
      <c r="B154" s="5"/>
      <c r="C154" s="5"/>
      <c r="D154" s="5"/>
      <c r="E154" s="5"/>
      <c r="F154" s="5"/>
      <c r="G154" s="5"/>
      <c r="H154" s="22" t="str">
        <f t="shared" si="11"/>
        <v/>
      </c>
      <c r="I154" s="5"/>
      <c r="J154" s="33"/>
      <c r="K154" s="5"/>
      <c r="L154" s="5"/>
      <c r="M154" s="5"/>
      <c r="N154" s="5"/>
      <c r="O154" s="5"/>
      <c r="P154" s="5"/>
      <c r="Q154" s="5"/>
      <c r="R154" s="24" t="str">
        <f t="shared" si="9"/>
        <v/>
      </c>
      <c r="S154" s="24" t="str">
        <f t="shared" si="10"/>
        <v/>
      </c>
      <c r="T154" t="str">
        <f>IF(OR(C154="",I154&lt;&gt;"ENTRADA"),"",UPPER(LEFT(SUBSTITUTE(C154," ",""),3))&amp;"-"&amp;TEXT(B154,"AAMMDD")&amp;"-"&amp;(COUNTIFS($C$5:C154,C154,$B$5:B154,B154,$I$5:I154,"ENTRADA")))</f>
        <v/>
      </c>
    </row>
    <row r="155" spans="1:20">
      <c r="A155" s="22" t="s">
        <v>232</v>
      </c>
      <c r="B155" s="5"/>
      <c r="C155" s="5"/>
      <c r="D155" s="5"/>
      <c r="E155" s="5"/>
      <c r="F155" s="5"/>
      <c r="G155" s="5"/>
      <c r="H155" s="22" t="str">
        <f t="shared" si="11"/>
        <v/>
      </c>
      <c r="I155" s="5"/>
      <c r="J155" s="33"/>
      <c r="K155" s="5"/>
      <c r="L155" s="5"/>
      <c r="M155" s="5"/>
      <c r="N155" s="5"/>
      <c r="O155" s="5"/>
      <c r="P155" s="5"/>
      <c r="Q155" s="5"/>
      <c r="R155" s="24" t="str">
        <f t="shared" si="9"/>
        <v/>
      </c>
      <c r="S155" s="24" t="str">
        <f t="shared" si="10"/>
        <v/>
      </c>
      <c r="T155" t="str">
        <f>IF(OR(C155="",I155&lt;&gt;"ENTRADA"),"",UPPER(LEFT(SUBSTITUTE(C155," ",""),3))&amp;"-"&amp;TEXT(B155,"AAMMDD")&amp;"-"&amp;(COUNTIFS($C$5:C155,C155,$B$5:B155,B155,$I$5:I155,"ENTRADA")))</f>
        <v/>
      </c>
    </row>
    <row r="156" spans="1:20">
      <c r="A156" s="22" t="s">
        <v>233</v>
      </c>
      <c r="B156" s="5"/>
      <c r="C156" s="5"/>
      <c r="D156" s="5"/>
      <c r="E156" s="5"/>
      <c r="F156" s="5"/>
      <c r="G156" s="5"/>
      <c r="H156" s="22" t="str">
        <f t="shared" si="11"/>
        <v/>
      </c>
      <c r="I156" s="5"/>
      <c r="J156" s="33"/>
      <c r="K156" s="5"/>
      <c r="L156" s="5"/>
      <c r="M156" s="5"/>
      <c r="N156" s="5"/>
      <c r="O156" s="5"/>
      <c r="P156" s="5"/>
      <c r="Q156" s="5"/>
      <c r="R156" s="24" t="str">
        <f t="shared" si="9"/>
        <v/>
      </c>
      <c r="S156" s="24" t="str">
        <f t="shared" si="10"/>
        <v/>
      </c>
      <c r="T156" t="str">
        <f>IF(OR(C156="",I156&lt;&gt;"ENTRADA"),"",UPPER(LEFT(SUBSTITUTE(C156," ",""),3))&amp;"-"&amp;TEXT(B156,"AAMMDD")&amp;"-"&amp;(COUNTIFS($C$5:C156,C156,$B$5:B156,B156,$I$5:I156,"ENTRADA")))</f>
        <v/>
      </c>
    </row>
    <row r="157" spans="1:20">
      <c r="A157" s="22" t="s">
        <v>234</v>
      </c>
      <c r="B157" s="5"/>
      <c r="C157" s="5"/>
      <c r="D157" s="5"/>
      <c r="E157" s="5"/>
      <c r="F157" s="5"/>
      <c r="G157" s="5"/>
      <c r="H157" s="22" t="str">
        <f t="shared" si="11"/>
        <v/>
      </c>
      <c r="I157" s="5"/>
      <c r="J157" s="33"/>
      <c r="K157" s="5"/>
      <c r="L157" s="5"/>
      <c r="M157" s="5"/>
      <c r="N157" s="5"/>
      <c r="O157" s="5"/>
      <c r="P157" s="5"/>
      <c r="Q157" s="5"/>
      <c r="R157" s="24" t="str">
        <f t="shared" si="9"/>
        <v/>
      </c>
      <c r="S157" s="24" t="str">
        <f t="shared" si="10"/>
        <v/>
      </c>
      <c r="T157" t="str">
        <f>IF(OR(C157="",I157&lt;&gt;"ENTRADA"),"",UPPER(LEFT(SUBSTITUTE(C157," ",""),3))&amp;"-"&amp;TEXT(B157,"AAMMDD")&amp;"-"&amp;(COUNTIFS($C$5:C157,C157,$B$5:B157,B157,$I$5:I157,"ENTRADA")))</f>
        <v/>
      </c>
    </row>
    <row r="158" spans="1:20">
      <c r="A158" s="22" t="s">
        <v>235</v>
      </c>
      <c r="B158" s="5"/>
      <c r="C158" s="5"/>
      <c r="D158" s="5"/>
      <c r="E158" s="5"/>
      <c r="F158" s="5"/>
      <c r="G158" s="5"/>
      <c r="H158" s="22" t="str">
        <f t="shared" si="11"/>
        <v/>
      </c>
      <c r="I158" s="5"/>
      <c r="J158" s="33"/>
      <c r="K158" s="5"/>
      <c r="L158" s="5"/>
      <c r="M158" s="5"/>
      <c r="N158" s="5"/>
      <c r="O158" s="5"/>
      <c r="P158" s="5"/>
      <c r="Q158" s="5"/>
      <c r="R158" s="24" t="str">
        <f t="shared" si="9"/>
        <v/>
      </c>
      <c r="S158" s="24" t="str">
        <f t="shared" si="10"/>
        <v/>
      </c>
      <c r="T158" t="str">
        <f>IF(OR(C158="",I158&lt;&gt;"ENTRADA"),"",UPPER(LEFT(SUBSTITUTE(C158," ",""),3))&amp;"-"&amp;TEXT(B158,"AAMMDD")&amp;"-"&amp;(COUNTIFS($C$5:C158,C158,$B$5:B158,B158,$I$5:I158,"ENTRADA")))</f>
        <v/>
      </c>
    </row>
    <row r="159" spans="1:20">
      <c r="A159" s="22" t="s">
        <v>236</v>
      </c>
      <c r="B159" s="5"/>
      <c r="C159" s="5"/>
      <c r="D159" s="5"/>
      <c r="E159" s="5"/>
      <c r="F159" s="5"/>
      <c r="G159" s="5"/>
      <c r="H159" s="22" t="str">
        <f t="shared" si="11"/>
        <v/>
      </c>
      <c r="I159" s="5"/>
      <c r="J159" s="33"/>
      <c r="K159" s="5"/>
      <c r="L159" s="5"/>
      <c r="M159" s="5"/>
      <c r="N159" s="5"/>
      <c r="O159" s="5"/>
      <c r="P159" s="5"/>
      <c r="Q159" s="5"/>
      <c r="R159" s="24" t="str">
        <f t="shared" si="9"/>
        <v/>
      </c>
      <c r="S159" s="24" t="str">
        <f t="shared" si="10"/>
        <v/>
      </c>
      <c r="T159" t="str">
        <f>IF(OR(C159="",I159&lt;&gt;"ENTRADA"),"",UPPER(LEFT(SUBSTITUTE(C159," ",""),3))&amp;"-"&amp;TEXT(B159,"AAMMDD")&amp;"-"&amp;(COUNTIFS($C$5:C159,C159,$B$5:B159,B159,$I$5:I159,"ENTRADA")))</f>
        <v/>
      </c>
    </row>
    <row r="160" spans="1:20">
      <c r="A160" s="22" t="s">
        <v>237</v>
      </c>
      <c r="B160" s="5"/>
      <c r="C160" s="5"/>
      <c r="D160" s="5"/>
      <c r="E160" s="5"/>
      <c r="F160" s="5"/>
      <c r="G160" s="5"/>
      <c r="H160" s="22" t="str">
        <f t="shared" si="11"/>
        <v/>
      </c>
      <c r="I160" s="5"/>
      <c r="J160" s="33"/>
      <c r="K160" s="5"/>
      <c r="L160" s="5"/>
      <c r="M160" s="5"/>
      <c r="N160" s="5"/>
      <c r="O160" s="5"/>
      <c r="P160" s="5"/>
      <c r="Q160" s="5"/>
      <c r="R160" s="24" t="str">
        <f t="shared" si="9"/>
        <v/>
      </c>
      <c r="S160" s="24" t="str">
        <f t="shared" si="10"/>
        <v/>
      </c>
      <c r="T160" t="str">
        <f>IF(OR(C160="",I160&lt;&gt;"ENTRADA"),"",UPPER(LEFT(SUBSTITUTE(C160," ",""),3))&amp;"-"&amp;TEXT(B160,"AAMMDD")&amp;"-"&amp;(COUNTIFS($C$5:C160,C160,$B$5:B160,B160,$I$5:I160,"ENTRADA")))</f>
        <v/>
      </c>
    </row>
    <row r="161" spans="1:20">
      <c r="A161" s="22" t="s">
        <v>238</v>
      </c>
      <c r="B161" s="5"/>
      <c r="C161" s="5"/>
      <c r="D161" s="5"/>
      <c r="E161" s="5"/>
      <c r="F161" s="5"/>
      <c r="G161" s="5"/>
      <c r="H161" s="22" t="str">
        <f t="shared" si="11"/>
        <v/>
      </c>
      <c r="I161" s="5"/>
      <c r="J161" s="33"/>
      <c r="K161" s="5"/>
      <c r="L161" s="5"/>
      <c r="M161" s="5"/>
      <c r="N161" s="5"/>
      <c r="O161" s="5"/>
      <c r="P161" s="5"/>
      <c r="Q161" s="5"/>
      <c r="R161" s="24" t="str">
        <f t="shared" si="9"/>
        <v/>
      </c>
      <c r="S161" s="24" t="str">
        <f t="shared" si="10"/>
        <v/>
      </c>
      <c r="T161" t="str">
        <f>IF(OR(C161="",I161&lt;&gt;"ENTRADA"),"",UPPER(LEFT(SUBSTITUTE(C161," ",""),3))&amp;"-"&amp;TEXT(B161,"AAMMDD")&amp;"-"&amp;(COUNTIFS($C$5:C161,C161,$B$5:B161,B161,$I$5:I161,"ENTRADA")))</f>
        <v/>
      </c>
    </row>
    <row r="162" spans="1:20">
      <c r="A162" s="22" t="s">
        <v>239</v>
      </c>
      <c r="B162" s="5"/>
      <c r="C162" s="5"/>
      <c r="D162" s="5"/>
      <c r="E162" s="5"/>
      <c r="F162" s="5"/>
      <c r="G162" s="5"/>
      <c r="H162" s="22" t="str">
        <f t="shared" si="11"/>
        <v/>
      </c>
      <c r="I162" s="5"/>
      <c r="J162" s="33"/>
      <c r="K162" s="5"/>
      <c r="L162" s="5"/>
      <c r="M162" s="5"/>
      <c r="N162" s="5"/>
      <c r="O162" s="5"/>
      <c r="P162" s="5"/>
      <c r="Q162" s="5"/>
      <c r="R162" s="24" t="str">
        <f t="shared" si="9"/>
        <v/>
      </c>
      <c r="S162" s="24" t="str">
        <f t="shared" si="10"/>
        <v/>
      </c>
      <c r="T162" t="str">
        <f>IF(OR(C162="",I162&lt;&gt;"ENTRADA"),"",UPPER(LEFT(SUBSTITUTE(C162," ",""),3))&amp;"-"&amp;TEXT(B162,"AAMMDD")&amp;"-"&amp;(COUNTIFS($C$5:C162,C162,$B$5:B162,B162,$I$5:I162,"ENTRADA")))</f>
        <v/>
      </c>
    </row>
    <row r="163" spans="1:20">
      <c r="A163" s="22" t="s">
        <v>240</v>
      </c>
      <c r="B163" s="5"/>
      <c r="C163" s="5"/>
      <c r="D163" s="5"/>
      <c r="E163" s="5"/>
      <c r="F163" s="5"/>
      <c r="G163" s="5"/>
      <c r="H163" s="22" t="str">
        <f t="shared" si="11"/>
        <v/>
      </c>
      <c r="I163" s="5"/>
      <c r="J163" s="33"/>
      <c r="K163" s="5"/>
      <c r="L163" s="5"/>
      <c r="M163" s="5"/>
      <c r="N163" s="5"/>
      <c r="O163" s="5"/>
      <c r="P163" s="5"/>
      <c r="Q163" s="5"/>
      <c r="R163" s="24" t="str">
        <f t="shared" si="9"/>
        <v/>
      </c>
      <c r="S163" s="24" t="str">
        <f t="shared" si="10"/>
        <v/>
      </c>
      <c r="T163" t="str">
        <f>IF(OR(C163="",I163&lt;&gt;"ENTRADA"),"",UPPER(LEFT(SUBSTITUTE(C163," ",""),3))&amp;"-"&amp;TEXT(B163,"AAMMDD")&amp;"-"&amp;(COUNTIFS($C$5:C163,C163,$B$5:B163,B163,$I$5:I163,"ENTRADA")))</f>
        <v/>
      </c>
    </row>
    <row r="164" spans="1:20">
      <c r="A164" s="22" t="s">
        <v>241</v>
      </c>
      <c r="B164" s="5"/>
      <c r="C164" s="5"/>
      <c r="D164" s="5"/>
      <c r="E164" s="5"/>
      <c r="F164" s="5"/>
      <c r="G164" s="5"/>
      <c r="H164" s="22" t="str">
        <f t="shared" si="11"/>
        <v/>
      </c>
      <c r="I164" s="5"/>
      <c r="J164" s="33"/>
      <c r="K164" s="5"/>
      <c r="L164" s="5"/>
      <c r="M164" s="5"/>
      <c r="N164" s="5"/>
      <c r="O164" s="5"/>
      <c r="P164" s="5"/>
      <c r="Q164" s="5"/>
      <c r="R164" s="24" t="str">
        <f t="shared" si="9"/>
        <v/>
      </c>
      <c r="S164" s="24" t="str">
        <f t="shared" si="10"/>
        <v/>
      </c>
      <c r="T164" t="str">
        <f>IF(OR(C164="",I164&lt;&gt;"ENTRADA"),"",UPPER(LEFT(SUBSTITUTE(C164," ",""),3))&amp;"-"&amp;TEXT(B164,"AAMMDD")&amp;"-"&amp;(COUNTIFS($C$5:C164,C164,$B$5:B164,B164,$I$5:I164,"ENTRADA")))</f>
        <v/>
      </c>
    </row>
    <row r="165" spans="1:20">
      <c r="A165" s="22" t="s">
        <v>242</v>
      </c>
      <c r="B165" s="5"/>
      <c r="C165" s="5"/>
      <c r="D165" s="5"/>
      <c r="E165" s="5"/>
      <c r="F165" s="5"/>
      <c r="G165" s="5"/>
      <c r="H165" s="22" t="str">
        <f t="shared" si="11"/>
        <v/>
      </c>
      <c r="I165" s="5"/>
      <c r="J165" s="33"/>
      <c r="K165" s="5"/>
      <c r="L165" s="5"/>
      <c r="M165" s="5"/>
      <c r="N165" s="5"/>
      <c r="O165" s="5"/>
      <c r="P165" s="5"/>
      <c r="Q165" s="5"/>
      <c r="R165" s="24" t="str">
        <f t="shared" si="9"/>
        <v/>
      </c>
      <c r="S165" s="24" t="str">
        <f t="shared" si="10"/>
        <v/>
      </c>
      <c r="T165" t="str">
        <f>IF(OR(C165="",I165&lt;&gt;"ENTRADA"),"",UPPER(LEFT(SUBSTITUTE(C165," ",""),3))&amp;"-"&amp;TEXT(B165,"AAMMDD")&amp;"-"&amp;(COUNTIFS($C$5:C165,C165,$B$5:B165,B165,$I$5:I165,"ENTRADA")))</f>
        <v/>
      </c>
    </row>
    <row r="166" spans="1:20">
      <c r="A166" s="22" t="s">
        <v>243</v>
      </c>
      <c r="B166" s="5"/>
      <c r="C166" s="5"/>
      <c r="D166" s="5"/>
      <c r="E166" s="5"/>
      <c r="F166" s="5"/>
      <c r="G166" s="5"/>
      <c r="H166" s="22" t="str">
        <f t="shared" si="11"/>
        <v/>
      </c>
      <c r="I166" s="5"/>
      <c r="J166" s="33"/>
      <c r="K166" s="5"/>
      <c r="L166" s="5"/>
      <c r="M166" s="5"/>
      <c r="N166" s="5"/>
      <c r="O166" s="5"/>
      <c r="P166" s="5"/>
      <c r="Q166" s="5"/>
      <c r="R166" s="24" t="str">
        <f t="shared" si="9"/>
        <v/>
      </c>
      <c r="S166" s="24" t="str">
        <f t="shared" si="10"/>
        <v/>
      </c>
      <c r="T166" t="str">
        <f>IF(OR(C166="",I166&lt;&gt;"ENTRADA"),"",UPPER(LEFT(SUBSTITUTE(C166," ",""),3))&amp;"-"&amp;TEXT(B166,"AAMMDD")&amp;"-"&amp;(COUNTIFS($C$5:C166,C166,$B$5:B166,B166,$I$5:I166,"ENTRADA")))</f>
        <v/>
      </c>
    </row>
    <row r="167" spans="1:20">
      <c r="A167" s="22" t="s">
        <v>244</v>
      </c>
      <c r="B167" s="5"/>
      <c r="C167" s="5"/>
      <c r="D167" s="5"/>
      <c r="E167" s="5"/>
      <c r="F167" s="5"/>
      <c r="G167" s="5"/>
      <c r="H167" s="22" t="str">
        <f t="shared" si="11"/>
        <v/>
      </c>
      <c r="I167" s="5"/>
      <c r="J167" s="33"/>
      <c r="K167" s="5"/>
      <c r="L167" s="5"/>
      <c r="M167" s="5"/>
      <c r="N167" s="5"/>
      <c r="O167" s="5"/>
      <c r="P167" s="5"/>
      <c r="Q167" s="5"/>
      <c r="R167" s="24" t="str">
        <f t="shared" si="9"/>
        <v/>
      </c>
      <c r="S167" s="24" t="str">
        <f t="shared" si="10"/>
        <v/>
      </c>
      <c r="T167" t="str">
        <f>IF(OR(C167="",I167&lt;&gt;"ENTRADA"),"",UPPER(LEFT(SUBSTITUTE(C167," ",""),3))&amp;"-"&amp;TEXT(B167,"AAMMDD")&amp;"-"&amp;(COUNTIFS($C$5:C167,C167,$B$5:B167,B167,$I$5:I167,"ENTRADA")))</f>
        <v/>
      </c>
    </row>
    <row r="168" spans="1:20">
      <c r="A168" s="22" t="s">
        <v>245</v>
      </c>
      <c r="B168" s="5"/>
      <c r="C168" s="5"/>
      <c r="D168" s="5"/>
      <c r="E168" s="5"/>
      <c r="F168" s="5"/>
      <c r="G168" s="5"/>
      <c r="H168" s="22" t="str">
        <f t="shared" si="11"/>
        <v/>
      </c>
      <c r="I168" s="5"/>
      <c r="J168" s="33"/>
      <c r="K168" s="5"/>
      <c r="L168" s="5"/>
      <c r="M168" s="5"/>
      <c r="N168" s="5"/>
      <c r="O168" s="5"/>
      <c r="P168" s="5"/>
      <c r="Q168" s="5"/>
      <c r="R168" s="24" t="str">
        <f t="shared" si="9"/>
        <v/>
      </c>
      <c r="S168" s="24" t="str">
        <f t="shared" si="10"/>
        <v/>
      </c>
      <c r="T168" t="str">
        <f>IF(OR(C168="",I168&lt;&gt;"ENTRADA"),"",UPPER(LEFT(SUBSTITUTE(C168," ",""),3))&amp;"-"&amp;TEXT(B168,"AAMMDD")&amp;"-"&amp;(COUNTIFS($C$5:C168,C168,$B$5:B168,B168,$I$5:I168,"ENTRADA")))</f>
        <v/>
      </c>
    </row>
    <row r="169" spans="1:20">
      <c r="A169" s="22" t="s">
        <v>246</v>
      </c>
      <c r="B169" s="5"/>
      <c r="C169" s="5"/>
      <c r="D169" s="5"/>
      <c r="E169" s="5"/>
      <c r="F169" s="5"/>
      <c r="G169" s="5"/>
      <c r="H169" s="22" t="str">
        <f t="shared" si="11"/>
        <v/>
      </c>
      <c r="I169" s="5"/>
      <c r="J169" s="33"/>
      <c r="K169" s="5"/>
      <c r="L169" s="5"/>
      <c r="M169" s="5"/>
      <c r="N169" s="5"/>
      <c r="O169" s="5"/>
      <c r="P169" s="5"/>
      <c r="Q169" s="5"/>
      <c r="R169" s="24" t="str">
        <f t="shared" si="9"/>
        <v/>
      </c>
      <c r="S169" s="24" t="str">
        <f t="shared" si="10"/>
        <v/>
      </c>
      <c r="T169" t="str">
        <f>IF(OR(C169="",I169&lt;&gt;"ENTRADA"),"",UPPER(LEFT(SUBSTITUTE(C169," ",""),3))&amp;"-"&amp;TEXT(B169,"AAMMDD")&amp;"-"&amp;(COUNTIFS($C$5:C169,C169,$B$5:B169,B169,$I$5:I169,"ENTRADA")))</f>
        <v/>
      </c>
    </row>
    <row r="170" spans="1:20">
      <c r="A170" s="22" t="s">
        <v>247</v>
      </c>
      <c r="B170" s="5"/>
      <c r="C170" s="5"/>
      <c r="D170" s="5"/>
      <c r="E170" s="5"/>
      <c r="F170" s="5"/>
      <c r="G170" s="5"/>
      <c r="H170" s="22" t="str">
        <f t="shared" si="11"/>
        <v/>
      </c>
      <c r="I170" s="5"/>
      <c r="J170" s="33"/>
      <c r="K170" s="5"/>
      <c r="L170" s="5"/>
      <c r="M170" s="5"/>
      <c r="N170" s="5"/>
      <c r="O170" s="5"/>
      <c r="P170" s="5"/>
      <c r="Q170" s="5"/>
      <c r="R170" s="24" t="str">
        <f t="shared" si="9"/>
        <v/>
      </c>
      <c r="S170" s="24" t="str">
        <f t="shared" si="10"/>
        <v/>
      </c>
      <c r="T170" t="str">
        <f>IF(OR(C170="",I170&lt;&gt;"ENTRADA"),"",UPPER(LEFT(SUBSTITUTE(C170," ",""),3))&amp;"-"&amp;TEXT(B170,"AAMMDD")&amp;"-"&amp;(COUNTIFS($C$5:C170,C170,$B$5:B170,B170,$I$5:I170,"ENTRADA")))</f>
        <v/>
      </c>
    </row>
    <row r="171" spans="1:20">
      <c r="A171" s="22" t="s">
        <v>248</v>
      </c>
      <c r="B171" s="5"/>
      <c r="C171" s="5"/>
      <c r="D171" s="5"/>
      <c r="E171" s="5"/>
      <c r="F171" s="5"/>
      <c r="G171" s="5"/>
      <c r="H171" s="22" t="str">
        <f t="shared" si="11"/>
        <v/>
      </c>
      <c r="I171" s="5"/>
      <c r="J171" s="33"/>
      <c r="K171" s="5"/>
      <c r="L171" s="5"/>
      <c r="M171" s="5"/>
      <c r="N171" s="5"/>
      <c r="O171" s="5"/>
      <c r="P171" s="5"/>
      <c r="Q171" s="5"/>
      <c r="R171" s="24" t="str">
        <f t="shared" si="9"/>
        <v/>
      </c>
      <c r="S171" s="24" t="str">
        <f t="shared" si="10"/>
        <v/>
      </c>
      <c r="T171" t="str">
        <f>IF(OR(C171="",I171&lt;&gt;"ENTRADA"),"",UPPER(LEFT(SUBSTITUTE(C171," ",""),3))&amp;"-"&amp;TEXT(B171,"AAMMDD")&amp;"-"&amp;(COUNTIFS($C$5:C171,C171,$B$5:B171,B171,$I$5:I171,"ENTRADA")))</f>
        <v/>
      </c>
    </row>
    <row r="172" spans="1:20">
      <c r="A172" s="22" t="s">
        <v>249</v>
      </c>
      <c r="B172" s="5"/>
      <c r="C172" s="5"/>
      <c r="D172" s="5"/>
      <c r="E172" s="5"/>
      <c r="F172" s="5"/>
      <c r="G172" s="5"/>
      <c r="H172" s="22" t="str">
        <f t="shared" si="11"/>
        <v/>
      </c>
      <c r="I172" s="5"/>
      <c r="J172" s="33"/>
      <c r="K172" s="5"/>
      <c r="L172" s="5"/>
      <c r="M172" s="5"/>
      <c r="N172" s="5"/>
      <c r="O172" s="5"/>
      <c r="P172" s="5"/>
      <c r="Q172" s="5"/>
      <c r="R172" s="24" t="str">
        <f t="shared" si="9"/>
        <v/>
      </c>
      <c r="S172" s="24" t="str">
        <f t="shared" si="10"/>
        <v/>
      </c>
      <c r="T172" t="str">
        <f>IF(OR(C172="",I172&lt;&gt;"ENTRADA"),"",UPPER(LEFT(SUBSTITUTE(C172," ",""),3))&amp;"-"&amp;TEXT(B172,"AAMMDD")&amp;"-"&amp;(COUNTIFS($C$5:C172,C172,$B$5:B172,B172,$I$5:I172,"ENTRADA")))</f>
        <v/>
      </c>
    </row>
    <row r="173" spans="1:20">
      <c r="A173" s="22" t="s">
        <v>250</v>
      </c>
      <c r="B173" s="5"/>
      <c r="C173" s="5"/>
      <c r="D173" s="5"/>
      <c r="E173" s="5"/>
      <c r="F173" s="5"/>
      <c r="G173" s="5"/>
      <c r="H173" s="22" t="str">
        <f t="shared" si="11"/>
        <v/>
      </c>
      <c r="I173" s="5"/>
      <c r="J173" s="33"/>
      <c r="K173" s="5"/>
      <c r="L173" s="5"/>
      <c r="M173" s="5"/>
      <c r="N173" s="5"/>
      <c r="O173" s="5"/>
      <c r="P173" s="5"/>
      <c r="Q173" s="5"/>
      <c r="R173" s="24" t="str">
        <f t="shared" si="9"/>
        <v/>
      </c>
      <c r="S173" s="24" t="str">
        <f t="shared" si="10"/>
        <v/>
      </c>
      <c r="T173" t="str">
        <f>IF(OR(C173="",I173&lt;&gt;"ENTRADA"),"",UPPER(LEFT(SUBSTITUTE(C173," ",""),3))&amp;"-"&amp;TEXT(B173,"AAMMDD")&amp;"-"&amp;(COUNTIFS($C$5:C173,C173,$B$5:B173,B173,$I$5:I173,"ENTRADA")))</f>
        <v/>
      </c>
    </row>
    <row r="174" spans="1:20">
      <c r="A174" s="22" t="s">
        <v>251</v>
      </c>
      <c r="B174" s="5"/>
      <c r="C174" s="5"/>
      <c r="D174" s="5"/>
      <c r="E174" s="5"/>
      <c r="F174" s="5"/>
      <c r="G174" s="5"/>
      <c r="H174" s="22" t="str">
        <f t="shared" si="11"/>
        <v/>
      </c>
      <c r="I174" s="5"/>
      <c r="J174" s="33"/>
      <c r="K174" s="5"/>
      <c r="L174" s="5"/>
      <c r="M174" s="5"/>
      <c r="N174" s="5"/>
      <c r="O174" s="5"/>
      <c r="P174" s="5"/>
      <c r="Q174" s="5"/>
      <c r="R174" s="24" t="str">
        <f t="shared" si="9"/>
        <v/>
      </c>
      <c r="S174" s="24" t="str">
        <f t="shared" si="10"/>
        <v/>
      </c>
      <c r="T174" t="str">
        <f>IF(OR(C174="",I174&lt;&gt;"ENTRADA"),"",UPPER(LEFT(SUBSTITUTE(C174," ",""),3))&amp;"-"&amp;TEXT(B174,"AAMMDD")&amp;"-"&amp;(COUNTIFS($C$5:C174,C174,$B$5:B174,B174,$I$5:I174,"ENTRADA")))</f>
        <v/>
      </c>
    </row>
    <row r="175" spans="1:20">
      <c r="A175" s="22" t="s">
        <v>252</v>
      </c>
      <c r="B175" s="5"/>
      <c r="C175" s="5"/>
      <c r="D175" s="5"/>
      <c r="E175" s="5"/>
      <c r="F175" s="5"/>
      <c r="G175" s="5"/>
      <c r="H175" s="22" t="str">
        <f t="shared" si="11"/>
        <v/>
      </c>
      <c r="I175" s="5"/>
      <c r="J175" s="33"/>
      <c r="K175" s="5"/>
      <c r="L175" s="5"/>
      <c r="M175" s="5"/>
      <c r="N175" s="5"/>
      <c r="O175" s="5"/>
      <c r="P175" s="5"/>
      <c r="Q175" s="5"/>
      <c r="R175" s="24" t="str">
        <f t="shared" si="9"/>
        <v/>
      </c>
      <c r="S175" s="24" t="str">
        <f t="shared" si="10"/>
        <v/>
      </c>
      <c r="T175" t="str">
        <f>IF(OR(C175="",I175&lt;&gt;"ENTRADA"),"",UPPER(LEFT(SUBSTITUTE(C175," ",""),3))&amp;"-"&amp;TEXT(B175,"AAMMDD")&amp;"-"&amp;(COUNTIFS($C$5:C175,C175,$B$5:B175,B175,$I$5:I175,"ENTRADA")))</f>
        <v/>
      </c>
    </row>
    <row r="176" spans="1:20">
      <c r="A176" s="22" t="s">
        <v>253</v>
      </c>
      <c r="B176" s="5"/>
      <c r="C176" s="5"/>
      <c r="D176" s="5"/>
      <c r="E176" s="5"/>
      <c r="F176" s="5"/>
      <c r="G176" s="5"/>
      <c r="H176" s="22" t="str">
        <f t="shared" si="11"/>
        <v/>
      </c>
      <c r="I176" s="5"/>
      <c r="J176" s="33"/>
      <c r="K176" s="5"/>
      <c r="L176" s="5"/>
      <c r="M176" s="5"/>
      <c r="N176" s="5"/>
      <c r="O176" s="5"/>
      <c r="P176" s="5"/>
      <c r="Q176" s="5"/>
      <c r="R176" s="24" t="str">
        <f t="shared" si="9"/>
        <v/>
      </c>
      <c r="S176" s="24" t="str">
        <f t="shared" si="10"/>
        <v/>
      </c>
      <c r="T176" t="str">
        <f>IF(OR(C176="",I176&lt;&gt;"ENTRADA"),"",UPPER(LEFT(SUBSTITUTE(C176," ",""),3))&amp;"-"&amp;TEXT(B176,"AAMMDD")&amp;"-"&amp;(COUNTIFS($C$5:C176,C176,$B$5:B176,B176,$I$5:I176,"ENTRADA")))</f>
        <v/>
      </c>
    </row>
    <row r="177" spans="1:20">
      <c r="A177" s="22" t="s">
        <v>254</v>
      </c>
      <c r="B177" s="5"/>
      <c r="C177" s="5"/>
      <c r="D177" s="5"/>
      <c r="E177" s="5"/>
      <c r="F177" s="5"/>
      <c r="G177" s="5"/>
      <c r="H177" s="22" t="str">
        <f t="shared" si="11"/>
        <v/>
      </c>
      <c r="I177" s="5"/>
      <c r="J177" s="33"/>
      <c r="K177" s="5"/>
      <c r="L177" s="5"/>
      <c r="M177" s="5"/>
      <c r="N177" s="5"/>
      <c r="O177" s="5"/>
      <c r="P177" s="5"/>
      <c r="Q177" s="5"/>
      <c r="R177" s="24" t="str">
        <f t="shared" si="9"/>
        <v/>
      </c>
      <c r="S177" s="24" t="str">
        <f t="shared" si="10"/>
        <v/>
      </c>
      <c r="T177" t="str">
        <f>IF(OR(C177="",I177&lt;&gt;"ENTRADA"),"",UPPER(LEFT(SUBSTITUTE(C177," ",""),3))&amp;"-"&amp;TEXT(B177,"AAMMDD")&amp;"-"&amp;(COUNTIFS($C$5:C177,C177,$B$5:B177,B177,$I$5:I177,"ENTRADA")))</f>
        <v/>
      </c>
    </row>
    <row r="178" spans="1:20">
      <c r="A178" s="22" t="s">
        <v>255</v>
      </c>
      <c r="B178" s="5"/>
      <c r="C178" s="5"/>
      <c r="D178" s="5"/>
      <c r="E178" s="5"/>
      <c r="F178" s="5"/>
      <c r="G178" s="5"/>
      <c r="H178" s="22" t="str">
        <f t="shared" si="11"/>
        <v/>
      </c>
      <c r="I178" s="5"/>
      <c r="J178" s="33"/>
      <c r="K178" s="5"/>
      <c r="L178" s="5"/>
      <c r="M178" s="5"/>
      <c r="N178" s="5"/>
      <c r="O178" s="5"/>
      <c r="P178" s="5"/>
      <c r="Q178" s="5"/>
      <c r="R178" s="24" t="str">
        <f t="shared" si="9"/>
        <v/>
      </c>
      <c r="S178" s="24" t="str">
        <f t="shared" si="10"/>
        <v/>
      </c>
      <c r="T178" t="str">
        <f>IF(OR(C178="",I178&lt;&gt;"ENTRADA"),"",UPPER(LEFT(SUBSTITUTE(C178," ",""),3))&amp;"-"&amp;TEXT(B178,"AAMMDD")&amp;"-"&amp;(COUNTIFS($C$5:C178,C178,$B$5:B178,B178,$I$5:I178,"ENTRADA")))</f>
        <v/>
      </c>
    </row>
    <row r="179" spans="1:20">
      <c r="A179" s="22" t="s">
        <v>256</v>
      </c>
      <c r="B179" s="5"/>
      <c r="C179" s="5"/>
      <c r="D179" s="5"/>
      <c r="E179" s="5"/>
      <c r="F179" s="5"/>
      <c r="G179" s="5"/>
      <c r="H179" s="22" t="str">
        <f t="shared" si="11"/>
        <v/>
      </c>
      <c r="I179" s="5"/>
      <c r="J179" s="33"/>
      <c r="K179" s="5"/>
      <c r="L179" s="5"/>
      <c r="M179" s="5"/>
      <c r="N179" s="5"/>
      <c r="O179" s="5"/>
      <c r="P179" s="5"/>
      <c r="Q179" s="5"/>
      <c r="R179" s="24" t="str">
        <f t="shared" si="9"/>
        <v/>
      </c>
      <c r="S179" s="24" t="str">
        <f t="shared" si="10"/>
        <v/>
      </c>
      <c r="T179" t="str">
        <f>IF(OR(C179="",I179&lt;&gt;"ENTRADA"),"",UPPER(LEFT(SUBSTITUTE(C179," ",""),3))&amp;"-"&amp;TEXT(B179,"AAMMDD")&amp;"-"&amp;(COUNTIFS($C$5:C179,C179,$B$5:B179,B179,$I$5:I179,"ENTRADA")))</f>
        <v/>
      </c>
    </row>
    <row r="180" spans="1:20">
      <c r="A180" s="22" t="s">
        <v>257</v>
      </c>
      <c r="B180" s="5"/>
      <c r="C180" s="5"/>
      <c r="D180" s="5"/>
      <c r="E180" s="5"/>
      <c r="F180" s="5"/>
      <c r="G180" s="5"/>
      <c r="H180" s="22" t="str">
        <f t="shared" si="11"/>
        <v/>
      </c>
      <c r="I180" s="5"/>
      <c r="J180" s="33"/>
      <c r="K180" s="5"/>
      <c r="L180" s="5"/>
      <c r="M180" s="5"/>
      <c r="N180" s="5"/>
      <c r="O180" s="5"/>
      <c r="P180" s="5"/>
      <c r="Q180" s="5"/>
      <c r="R180" s="24" t="str">
        <f t="shared" si="9"/>
        <v/>
      </c>
      <c r="S180" s="24" t="str">
        <f t="shared" si="10"/>
        <v/>
      </c>
      <c r="T180" t="str">
        <f>IF(OR(C180="",I180&lt;&gt;"ENTRADA"),"",UPPER(LEFT(SUBSTITUTE(C180," ",""),3))&amp;"-"&amp;TEXT(B180,"AAMMDD")&amp;"-"&amp;(COUNTIFS($C$5:C180,C180,$B$5:B180,B180,$I$5:I180,"ENTRADA")))</f>
        <v/>
      </c>
    </row>
    <row r="181" spans="1:20">
      <c r="A181" s="22" t="s">
        <v>258</v>
      </c>
      <c r="B181" s="5"/>
      <c r="C181" s="5"/>
      <c r="D181" s="5"/>
      <c r="E181" s="5"/>
      <c r="F181" s="5"/>
      <c r="G181" s="5"/>
      <c r="H181" s="22" t="str">
        <f t="shared" si="11"/>
        <v/>
      </c>
      <c r="I181" s="5"/>
      <c r="J181" s="33"/>
      <c r="K181" s="5"/>
      <c r="L181" s="5"/>
      <c r="M181" s="5"/>
      <c r="N181" s="5"/>
      <c r="O181" s="5"/>
      <c r="P181" s="5"/>
      <c r="Q181" s="5"/>
      <c r="R181" s="24" t="str">
        <f t="shared" si="9"/>
        <v/>
      </c>
      <c r="S181" s="24" t="str">
        <f t="shared" si="10"/>
        <v/>
      </c>
      <c r="T181" t="str">
        <f>IF(OR(C181="",I181&lt;&gt;"ENTRADA"),"",UPPER(LEFT(SUBSTITUTE(C181," ",""),3))&amp;"-"&amp;TEXT(B181,"AAMMDD")&amp;"-"&amp;(COUNTIFS($C$5:C181,C181,$B$5:B181,B181,$I$5:I181,"ENTRADA")))</f>
        <v/>
      </c>
    </row>
    <row r="182" spans="1:20">
      <c r="A182" s="22" t="s">
        <v>259</v>
      </c>
      <c r="B182" s="5"/>
      <c r="C182" s="5"/>
      <c r="D182" s="5"/>
      <c r="E182" s="5"/>
      <c r="F182" s="5"/>
      <c r="G182" s="5"/>
      <c r="H182" s="22" t="str">
        <f t="shared" si="11"/>
        <v/>
      </c>
      <c r="I182" s="5"/>
      <c r="J182" s="33"/>
      <c r="K182" s="5"/>
      <c r="L182" s="5"/>
      <c r="M182" s="5"/>
      <c r="N182" s="5"/>
      <c r="O182" s="5"/>
      <c r="P182" s="5"/>
      <c r="Q182" s="5"/>
      <c r="R182" s="24" t="str">
        <f t="shared" si="9"/>
        <v/>
      </c>
      <c r="S182" s="24" t="str">
        <f t="shared" si="10"/>
        <v/>
      </c>
      <c r="T182" t="str">
        <f>IF(OR(C182="",I182&lt;&gt;"ENTRADA"),"",UPPER(LEFT(SUBSTITUTE(C182," ",""),3))&amp;"-"&amp;TEXT(B182,"AAMMDD")&amp;"-"&amp;(COUNTIFS($C$5:C182,C182,$B$5:B182,B182,$I$5:I182,"ENTRADA")))</f>
        <v/>
      </c>
    </row>
    <row r="183" spans="1:20">
      <c r="A183" s="22" t="s">
        <v>260</v>
      </c>
      <c r="B183" s="5"/>
      <c r="C183" s="5"/>
      <c r="D183" s="5"/>
      <c r="E183" s="5"/>
      <c r="F183" s="5"/>
      <c r="G183" s="5"/>
      <c r="H183" s="22" t="str">
        <f t="shared" si="11"/>
        <v/>
      </c>
      <c r="I183" s="5"/>
      <c r="J183" s="33"/>
      <c r="K183" s="5"/>
      <c r="L183" s="5"/>
      <c r="M183" s="5"/>
      <c r="N183" s="5"/>
      <c r="O183" s="5"/>
      <c r="P183" s="5"/>
      <c r="Q183" s="5"/>
      <c r="R183" s="24" t="str">
        <f t="shared" si="9"/>
        <v/>
      </c>
      <c r="S183" s="24" t="str">
        <f t="shared" si="10"/>
        <v/>
      </c>
      <c r="T183" t="str">
        <f>IF(OR(C183="",I183&lt;&gt;"ENTRADA"),"",UPPER(LEFT(SUBSTITUTE(C183," ",""),3))&amp;"-"&amp;TEXT(B183,"AAMMDD")&amp;"-"&amp;(COUNTIFS($C$5:C183,C183,$B$5:B183,B183,$I$5:I183,"ENTRADA")))</f>
        <v/>
      </c>
    </row>
    <row r="184" spans="1:20">
      <c r="A184" s="22" t="s">
        <v>261</v>
      </c>
      <c r="B184" s="5"/>
      <c r="C184" s="5"/>
      <c r="D184" s="5"/>
      <c r="E184" s="5"/>
      <c r="F184" s="5"/>
      <c r="G184" s="5"/>
      <c r="H184" s="22" t="str">
        <f t="shared" si="11"/>
        <v/>
      </c>
      <c r="I184" s="5"/>
      <c r="J184" s="33"/>
      <c r="K184" s="5"/>
      <c r="L184" s="5"/>
      <c r="M184" s="5"/>
      <c r="N184" s="5"/>
      <c r="O184" s="5"/>
      <c r="P184" s="5"/>
      <c r="Q184" s="5"/>
      <c r="R184" s="24" t="str">
        <f t="shared" si="9"/>
        <v/>
      </c>
      <c r="S184" s="24" t="str">
        <f t="shared" si="10"/>
        <v/>
      </c>
      <c r="T184" t="str">
        <f>IF(OR(C184="",I184&lt;&gt;"ENTRADA"),"",UPPER(LEFT(SUBSTITUTE(C184," ",""),3))&amp;"-"&amp;TEXT(B184,"AAMMDD")&amp;"-"&amp;(COUNTIFS($C$5:C184,C184,$B$5:B184,B184,$I$5:I184,"ENTRADA")))</f>
        <v/>
      </c>
    </row>
    <row r="185" spans="1:20">
      <c r="A185" s="22" t="s">
        <v>262</v>
      </c>
      <c r="B185" s="5"/>
      <c r="C185" s="5"/>
      <c r="D185" s="5"/>
      <c r="E185" s="5"/>
      <c r="F185" s="5"/>
      <c r="G185" s="5"/>
      <c r="H185" s="22" t="str">
        <f t="shared" si="11"/>
        <v/>
      </c>
      <c r="I185" s="5"/>
      <c r="J185" s="33"/>
      <c r="K185" s="5"/>
      <c r="L185" s="5"/>
      <c r="M185" s="5"/>
      <c r="N185" s="5"/>
      <c r="O185" s="5"/>
      <c r="P185" s="5"/>
      <c r="Q185" s="5"/>
      <c r="R185" s="24" t="str">
        <f t="shared" si="9"/>
        <v/>
      </c>
      <c r="S185" s="24" t="str">
        <f t="shared" si="10"/>
        <v/>
      </c>
      <c r="T185" t="str">
        <f>IF(OR(C185="",I185&lt;&gt;"ENTRADA"),"",UPPER(LEFT(SUBSTITUTE(C185," ",""),3))&amp;"-"&amp;TEXT(B185,"AAMMDD")&amp;"-"&amp;(COUNTIFS($C$5:C185,C185,$B$5:B185,B185,$I$5:I185,"ENTRADA")))</f>
        <v/>
      </c>
    </row>
    <row r="186" spans="1:20">
      <c r="A186" s="22" t="s">
        <v>263</v>
      </c>
      <c r="B186" s="5"/>
      <c r="C186" s="5"/>
      <c r="D186" s="5"/>
      <c r="E186" s="5"/>
      <c r="F186" s="5"/>
      <c r="G186" s="5"/>
      <c r="H186" s="22" t="str">
        <f t="shared" si="11"/>
        <v/>
      </c>
      <c r="I186" s="5"/>
      <c r="J186" s="33"/>
      <c r="K186" s="5"/>
      <c r="L186" s="5"/>
      <c r="M186" s="5"/>
      <c r="N186" s="5"/>
      <c r="O186" s="5"/>
      <c r="P186" s="5"/>
      <c r="Q186" s="5"/>
      <c r="R186" s="24" t="str">
        <f t="shared" si="9"/>
        <v/>
      </c>
      <c r="S186" s="24" t="str">
        <f t="shared" si="10"/>
        <v/>
      </c>
      <c r="T186" t="str">
        <f>IF(OR(C186="",I186&lt;&gt;"ENTRADA"),"",UPPER(LEFT(SUBSTITUTE(C186," ",""),3))&amp;"-"&amp;TEXT(B186,"AAMMDD")&amp;"-"&amp;(COUNTIFS($C$5:C186,C186,$B$5:B186,B186,$I$5:I186,"ENTRADA")))</f>
        <v/>
      </c>
    </row>
    <row r="187" spans="1:20">
      <c r="A187" s="22" t="s">
        <v>264</v>
      </c>
      <c r="B187" s="5"/>
      <c r="C187" s="5"/>
      <c r="D187" s="5"/>
      <c r="E187" s="5"/>
      <c r="F187" s="5"/>
      <c r="G187" s="5"/>
      <c r="H187" s="22" t="str">
        <f t="shared" si="11"/>
        <v/>
      </c>
      <c r="I187" s="5"/>
      <c r="J187" s="33"/>
      <c r="K187" s="5"/>
      <c r="L187" s="5"/>
      <c r="M187" s="5"/>
      <c r="N187" s="5"/>
      <c r="O187" s="5"/>
      <c r="P187" s="5"/>
      <c r="Q187" s="5"/>
      <c r="R187" s="24" t="str">
        <f t="shared" si="9"/>
        <v/>
      </c>
      <c r="S187" s="24" t="str">
        <f t="shared" si="10"/>
        <v/>
      </c>
      <c r="T187" t="str">
        <f>IF(OR(C187="",I187&lt;&gt;"ENTRADA"),"",UPPER(LEFT(SUBSTITUTE(C187," ",""),3))&amp;"-"&amp;TEXT(B187,"AAMMDD")&amp;"-"&amp;(COUNTIFS($C$5:C187,C187,$B$5:B187,B187,$I$5:I187,"ENTRADA")))</f>
        <v/>
      </c>
    </row>
    <row r="188" spans="1:20">
      <c r="A188" s="22" t="s">
        <v>265</v>
      </c>
      <c r="B188" s="5"/>
      <c r="C188" s="5"/>
      <c r="D188" s="5"/>
      <c r="E188" s="5"/>
      <c r="F188" s="5"/>
      <c r="G188" s="5"/>
      <c r="H188" s="22" t="str">
        <f t="shared" si="11"/>
        <v/>
      </c>
      <c r="I188" s="5"/>
      <c r="J188" s="33"/>
      <c r="K188" s="5"/>
      <c r="L188" s="5"/>
      <c r="M188" s="5"/>
      <c r="N188" s="5"/>
      <c r="O188" s="5"/>
      <c r="P188" s="5"/>
      <c r="Q188" s="5"/>
      <c r="R188" s="24" t="str">
        <f t="shared" si="9"/>
        <v/>
      </c>
      <c r="S188" s="24" t="str">
        <f t="shared" si="10"/>
        <v/>
      </c>
      <c r="T188" t="str">
        <f>IF(OR(C188="",I188&lt;&gt;"ENTRADA"),"",UPPER(LEFT(SUBSTITUTE(C188," ",""),3))&amp;"-"&amp;TEXT(B188,"AAMMDD")&amp;"-"&amp;(COUNTIFS($C$5:C188,C188,$B$5:B188,B188,$I$5:I188,"ENTRADA")))</f>
        <v/>
      </c>
    </row>
    <row r="189" spans="1:20">
      <c r="A189" s="22" t="s">
        <v>266</v>
      </c>
      <c r="B189" s="5"/>
      <c r="C189" s="5"/>
      <c r="D189" s="5"/>
      <c r="E189" s="5"/>
      <c r="F189" s="5"/>
      <c r="G189" s="5"/>
      <c r="H189" s="22" t="str">
        <f t="shared" si="11"/>
        <v/>
      </c>
      <c r="I189" s="5"/>
      <c r="J189" s="33"/>
      <c r="K189" s="5"/>
      <c r="L189" s="5"/>
      <c r="M189" s="5"/>
      <c r="N189" s="5"/>
      <c r="O189" s="5"/>
      <c r="P189" s="5"/>
      <c r="Q189" s="5"/>
      <c r="R189" s="24" t="str">
        <f t="shared" si="9"/>
        <v/>
      </c>
      <c r="S189" s="24" t="str">
        <f t="shared" si="10"/>
        <v/>
      </c>
      <c r="T189" t="str">
        <f>IF(OR(C189="",I189&lt;&gt;"ENTRADA"),"",UPPER(LEFT(SUBSTITUTE(C189," ",""),3))&amp;"-"&amp;TEXT(B189,"AAMMDD")&amp;"-"&amp;(COUNTIFS($C$5:C189,C189,$B$5:B189,B189,$I$5:I189,"ENTRADA")))</f>
        <v/>
      </c>
    </row>
    <row r="190" spans="1:20">
      <c r="A190" s="22" t="s">
        <v>267</v>
      </c>
      <c r="B190" s="5"/>
      <c r="C190" s="5"/>
      <c r="D190" s="5"/>
      <c r="E190" s="5"/>
      <c r="F190" s="5"/>
      <c r="G190" s="5"/>
      <c r="H190" s="22" t="str">
        <f t="shared" si="11"/>
        <v/>
      </c>
      <c r="I190" s="5"/>
      <c r="J190" s="33"/>
      <c r="K190" s="5"/>
      <c r="L190" s="5"/>
      <c r="M190" s="5"/>
      <c r="N190" s="5"/>
      <c r="O190" s="5"/>
      <c r="P190" s="5"/>
      <c r="Q190" s="5"/>
      <c r="R190" s="24" t="str">
        <f t="shared" si="9"/>
        <v/>
      </c>
      <c r="S190" s="24" t="str">
        <f t="shared" si="10"/>
        <v/>
      </c>
      <c r="T190" t="str">
        <f>IF(OR(C190="",I190&lt;&gt;"ENTRADA"),"",UPPER(LEFT(SUBSTITUTE(C190," ",""),3))&amp;"-"&amp;TEXT(B190,"AAMMDD")&amp;"-"&amp;(COUNTIFS($C$5:C190,C190,$B$5:B190,B190,$I$5:I190,"ENTRADA")))</f>
        <v/>
      </c>
    </row>
    <row r="191" spans="1:20">
      <c r="A191" s="22" t="s">
        <v>268</v>
      </c>
      <c r="B191" s="5"/>
      <c r="C191" s="5"/>
      <c r="D191" s="5"/>
      <c r="E191" s="5"/>
      <c r="F191" s="5"/>
      <c r="G191" s="5"/>
      <c r="H191" s="22" t="str">
        <f t="shared" si="11"/>
        <v/>
      </c>
      <c r="I191" s="5"/>
      <c r="J191" s="33"/>
      <c r="K191" s="5"/>
      <c r="L191" s="5"/>
      <c r="M191" s="5"/>
      <c r="N191" s="5"/>
      <c r="O191" s="5"/>
      <c r="P191" s="5"/>
      <c r="Q191" s="5"/>
      <c r="R191" s="24" t="str">
        <f t="shared" si="9"/>
        <v/>
      </c>
      <c r="S191" s="24" t="str">
        <f t="shared" si="10"/>
        <v/>
      </c>
      <c r="T191" t="str">
        <f>IF(OR(C191="",I191&lt;&gt;"ENTRADA"),"",UPPER(LEFT(SUBSTITUTE(C191," ",""),3))&amp;"-"&amp;TEXT(B191,"AAMMDD")&amp;"-"&amp;(COUNTIFS($C$5:C191,C191,$B$5:B191,B191,$I$5:I191,"ENTRADA")))</f>
        <v/>
      </c>
    </row>
    <row r="192" spans="1:20">
      <c r="A192" s="22" t="s">
        <v>269</v>
      </c>
      <c r="B192" s="5"/>
      <c r="C192" s="5"/>
      <c r="D192" s="5"/>
      <c r="E192" s="5"/>
      <c r="F192" s="5"/>
      <c r="G192" s="5"/>
      <c r="H192" s="22" t="str">
        <f t="shared" si="11"/>
        <v/>
      </c>
      <c r="I192" s="5"/>
      <c r="J192" s="33"/>
      <c r="K192" s="5"/>
      <c r="L192" s="5"/>
      <c r="M192" s="5"/>
      <c r="N192" s="5"/>
      <c r="O192" s="5"/>
      <c r="P192" s="5"/>
      <c r="Q192" s="5"/>
      <c r="R192" s="24" t="str">
        <f t="shared" si="9"/>
        <v/>
      </c>
      <c r="S192" s="24" t="str">
        <f t="shared" si="10"/>
        <v/>
      </c>
      <c r="T192" t="str">
        <f>IF(OR(C192="",I192&lt;&gt;"ENTRADA"),"",UPPER(LEFT(SUBSTITUTE(C192," ",""),3))&amp;"-"&amp;TEXT(B192,"AAMMDD")&amp;"-"&amp;(COUNTIFS($C$5:C192,C192,$B$5:B192,B192,$I$5:I192,"ENTRADA")))</f>
        <v/>
      </c>
    </row>
    <row r="193" spans="1:20">
      <c r="A193" s="22" t="s">
        <v>270</v>
      </c>
      <c r="B193" s="5"/>
      <c r="C193" s="5"/>
      <c r="D193" s="5"/>
      <c r="E193" s="5"/>
      <c r="F193" s="5"/>
      <c r="G193" s="5"/>
      <c r="H193" s="22" t="str">
        <f t="shared" si="11"/>
        <v/>
      </c>
      <c r="I193" s="5"/>
      <c r="J193" s="33"/>
      <c r="K193" s="5"/>
      <c r="L193" s="5"/>
      <c r="M193" s="5"/>
      <c r="N193" s="5"/>
      <c r="O193" s="5"/>
      <c r="P193" s="5"/>
      <c r="Q193" s="5"/>
      <c r="R193" s="24" t="str">
        <f t="shared" si="9"/>
        <v/>
      </c>
      <c r="S193" s="24" t="str">
        <f t="shared" si="10"/>
        <v/>
      </c>
      <c r="T193" t="str">
        <f>IF(OR(C193="",I193&lt;&gt;"ENTRADA"),"",UPPER(LEFT(SUBSTITUTE(C193," ",""),3))&amp;"-"&amp;TEXT(B193,"AAMMDD")&amp;"-"&amp;(COUNTIFS($C$5:C193,C193,$B$5:B193,B193,$I$5:I193,"ENTRADA")))</f>
        <v/>
      </c>
    </row>
    <row r="194" spans="1:20">
      <c r="A194" s="22" t="s">
        <v>271</v>
      </c>
      <c r="B194" s="5"/>
      <c r="C194" s="5"/>
      <c r="D194" s="5"/>
      <c r="E194" s="5"/>
      <c r="F194" s="5"/>
      <c r="G194" s="5"/>
      <c r="H194" s="22" t="str">
        <f t="shared" si="11"/>
        <v/>
      </c>
      <c r="I194" s="5"/>
      <c r="J194" s="33"/>
      <c r="K194" s="5"/>
      <c r="L194" s="5"/>
      <c r="M194" s="5"/>
      <c r="N194" s="5"/>
      <c r="O194" s="5"/>
      <c r="P194" s="5"/>
      <c r="Q194" s="5"/>
      <c r="R194" s="24" t="str">
        <f t="shared" si="9"/>
        <v/>
      </c>
      <c r="S194" s="24" t="str">
        <f t="shared" si="10"/>
        <v/>
      </c>
      <c r="T194" t="str">
        <f>IF(OR(C194="",I194&lt;&gt;"ENTRADA"),"",UPPER(LEFT(SUBSTITUTE(C194," ",""),3))&amp;"-"&amp;TEXT(B194,"AAMMDD")&amp;"-"&amp;(COUNTIFS($C$5:C194,C194,$B$5:B194,B194,$I$5:I194,"ENTRADA")))</f>
        <v/>
      </c>
    </row>
    <row r="195" spans="1:20">
      <c r="A195" s="22" t="s">
        <v>272</v>
      </c>
      <c r="B195" s="5"/>
      <c r="C195" s="5"/>
      <c r="D195" s="5"/>
      <c r="E195" s="5"/>
      <c r="F195" s="5"/>
      <c r="G195" s="5"/>
      <c r="H195" s="22" t="str">
        <f t="shared" si="11"/>
        <v/>
      </c>
      <c r="I195" s="5"/>
      <c r="J195" s="33"/>
      <c r="K195" s="5"/>
      <c r="L195" s="5"/>
      <c r="M195" s="5"/>
      <c r="N195" s="5"/>
      <c r="O195" s="5"/>
      <c r="P195" s="5"/>
      <c r="Q195" s="5"/>
      <c r="R195" s="24" t="str">
        <f t="shared" si="9"/>
        <v/>
      </c>
      <c r="S195" s="24" t="str">
        <f t="shared" si="10"/>
        <v/>
      </c>
      <c r="T195" t="str">
        <f>IF(OR(C195="",I195&lt;&gt;"ENTRADA"),"",UPPER(LEFT(SUBSTITUTE(C195," ",""),3))&amp;"-"&amp;TEXT(B195,"AAMMDD")&amp;"-"&amp;(COUNTIFS($C$5:C195,C195,$B$5:B195,B195,$I$5:I195,"ENTRADA")))</f>
        <v/>
      </c>
    </row>
    <row r="196" spans="1:20">
      <c r="A196" s="22" t="s">
        <v>273</v>
      </c>
      <c r="B196" s="5"/>
      <c r="C196" s="5"/>
      <c r="D196" s="5"/>
      <c r="E196" s="5"/>
      <c r="F196" s="5"/>
      <c r="G196" s="5"/>
      <c r="H196" s="22" t="str">
        <f t="shared" si="11"/>
        <v/>
      </c>
      <c r="I196" s="5"/>
      <c r="J196" s="33"/>
      <c r="K196" s="5"/>
      <c r="L196" s="5"/>
      <c r="M196" s="5"/>
      <c r="N196" s="5"/>
      <c r="O196" s="5"/>
      <c r="P196" s="5"/>
      <c r="Q196" s="5"/>
      <c r="R196" s="24" t="str">
        <f t="shared" si="9"/>
        <v/>
      </c>
      <c r="S196" s="24" t="str">
        <f t="shared" si="10"/>
        <v/>
      </c>
      <c r="T196" t="str">
        <f>IF(OR(C196="",I196&lt;&gt;"ENTRADA"),"",UPPER(LEFT(SUBSTITUTE(C196," ",""),3))&amp;"-"&amp;TEXT(B196,"AAMMDD")&amp;"-"&amp;(COUNTIFS($C$5:C196,C196,$B$5:B196,B196,$I$5:I196,"ENTRADA")))</f>
        <v/>
      </c>
    </row>
    <row r="197" spans="1:20">
      <c r="A197" s="22" t="s">
        <v>274</v>
      </c>
      <c r="B197" s="5"/>
      <c r="C197" s="5"/>
      <c r="D197" s="5"/>
      <c r="E197" s="5"/>
      <c r="F197" s="5"/>
      <c r="G197" s="5"/>
      <c r="H197" s="22" t="str">
        <f t="shared" si="11"/>
        <v/>
      </c>
      <c r="I197" s="5"/>
      <c r="J197" s="33"/>
      <c r="K197" s="5"/>
      <c r="L197" s="5"/>
      <c r="M197" s="5"/>
      <c r="N197" s="5"/>
      <c r="O197" s="5"/>
      <c r="P197" s="5"/>
      <c r="Q197" s="5"/>
      <c r="R197" s="24" t="str">
        <f t="shared" si="9"/>
        <v/>
      </c>
      <c r="S197" s="24" t="str">
        <f t="shared" si="10"/>
        <v/>
      </c>
      <c r="T197" t="str">
        <f>IF(OR(C197="",I197&lt;&gt;"ENTRADA"),"",UPPER(LEFT(SUBSTITUTE(C197," ",""),3))&amp;"-"&amp;TEXT(B197,"AAMMDD")&amp;"-"&amp;(COUNTIFS($C$5:C197,C197,$B$5:B197,B197,$I$5:I197,"ENTRADA")))</f>
        <v/>
      </c>
    </row>
    <row r="198" spans="1:20">
      <c r="A198" s="22" t="s">
        <v>275</v>
      </c>
      <c r="B198" s="5"/>
      <c r="C198" s="5"/>
      <c r="D198" s="5"/>
      <c r="E198" s="5"/>
      <c r="F198" s="5"/>
      <c r="G198" s="5"/>
      <c r="H198" s="22" t="str">
        <f t="shared" si="11"/>
        <v/>
      </c>
      <c r="I198" s="5"/>
      <c r="J198" s="33"/>
      <c r="K198" s="5"/>
      <c r="L198" s="5"/>
      <c r="M198" s="5"/>
      <c r="N198" s="5"/>
      <c r="O198" s="5"/>
      <c r="P198" s="5"/>
      <c r="Q198" s="5"/>
      <c r="R198" s="24" t="str">
        <f t="shared" ref="R198:R204" si="12">IF(H198="","",H198&amp;I198)</f>
        <v/>
      </c>
      <c r="S198" s="24" t="str">
        <f t="shared" ref="S198:S204" si="13">IF(C198="","",C198&amp;I198)</f>
        <v/>
      </c>
      <c r="T198" t="str">
        <f>IF(OR(C198="",I198&lt;&gt;"ENTRADA"),"",UPPER(LEFT(SUBSTITUTE(C198," ",""),3))&amp;"-"&amp;TEXT(B198,"AAMMDD")&amp;"-"&amp;(COUNTIFS($C$5:C198,C198,$B$5:B198,B198,$I$5:I198,"ENTRADA")))</f>
        <v/>
      </c>
    </row>
    <row r="199" spans="1:20">
      <c r="A199" s="22" t="s">
        <v>276</v>
      </c>
      <c r="B199" s="5"/>
      <c r="C199" s="5"/>
      <c r="D199" s="5"/>
      <c r="E199" s="5"/>
      <c r="F199" s="5"/>
      <c r="G199" s="5"/>
      <c r="H199" s="22" t="str">
        <f t="shared" si="11"/>
        <v/>
      </c>
      <c r="I199" s="5"/>
      <c r="J199" s="33"/>
      <c r="K199" s="5"/>
      <c r="L199" s="5"/>
      <c r="M199" s="5"/>
      <c r="N199" s="5"/>
      <c r="O199" s="5"/>
      <c r="P199" s="5"/>
      <c r="Q199" s="5"/>
      <c r="R199" s="24" t="str">
        <f t="shared" si="12"/>
        <v/>
      </c>
      <c r="S199" s="24" t="str">
        <f t="shared" si="13"/>
        <v/>
      </c>
      <c r="T199" t="str">
        <f>IF(OR(C199="",I199&lt;&gt;"ENTRADA"),"",UPPER(LEFT(SUBSTITUTE(C199," ",""),3))&amp;"-"&amp;TEXT(B199,"AAMMDD")&amp;"-"&amp;(COUNTIFS($C$5:C199,C199,$B$5:B199,B199,$I$5:I199,"ENTRADA")))</f>
        <v/>
      </c>
    </row>
    <row r="200" spans="1:20">
      <c r="A200" s="22" t="s">
        <v>277</v>
      </c>
      <c r="B200" s="5"/>
      <c r="C200" s="5"/>
      <c r="D200" s="5"/>
      <c r="E200" s="5"/>
      <c r="F200" s="5"/>
      <c r="G200" s="5"/>
      <c r="H200" s="22" t="str">
        <f t="shared" si="11"/>
        <v/>
      </c>
      <c r="I200" s="5"/>
      <c r="J200" s="33"/>
      <c r="K200" s="5"/>
      <c r="L200" s="5"/>
      <c r="M200" s="5"/>
      <c r="N200" s="5"/>
      <c r="O200" s="5"/>
      <c r="P200" s="5"/>
      <c r="Q200" s="5"/>
      <c r="R200" s="24" t="str">
        <f t="shared" si="12"/>
        <v/>
      </c>
      <c r="S200" s="24" t="str">
        <f t="shared" si="13"/>
        <v/>
      </c>
      <c r="T200" t="str">
        <f>IF(OR(C200="",I200&lt;&gt;"ENTRADA"),"",UPPER(LEFT(SUBSTITUTE(C200," ",""),3))&amp;"-"&amp;TEXT(B200,"AAMMDD")&amp;"-"&amp;(COUNTIFS($C$5:C200,C200,$B$5:B200,B200,$I$5:I200,"ENTRADA")))</f>
        <v/>
      </c>
    </row>
    <row r="201" spans="1:20">
      <c r="A201" s="22" t="s">
        <v>278</v>
      </c>
      <c r="B201" s="5"/>
      <c r="C201" s="5"/>
      <c r="D201" s="5"/>
      <c r="E201" s="5"/>
      <c r="F201" s="5"/>
      <c r="G201" s="5"/>
      <c r="H201" s="22" t="str">
        <f t="shared" si="11"/>
        <v/>
      </c>
      <c r="I201" s="5"/>
      <c r="J201" s="33"/>
      <c r="K201" s="5"/>
      <c r="L201" s="5"/>
      <c r="M201" s="5"/>
      <c r="N201" s="5"/>
      <c r="O201" s="5"/>
      <c r="P201" s="5"/>
      <c r="Q201" s="5"/>
      <c r="R201" s="24" t="str">
        <f t="shared" si="12"/>
        <v/>
      </c>
      <c r="S201" s="24" t="str">
        <f t="shared" si="13"/>
        <v/>
      </c>
      <c r="T201" t="str">
        <f>IF(OR(C201="",I201&lt;&gt;"ENTRADA"),"",UPPER(LEFT(SUBSTITUTE(C201," ",""),3))&amp;"-"&amp;TEXT(B201,"AAMMDD")&amp;"-"&amp;(COUNTIFS($C$5:C201,C201,$B$5:B201,B201,$I$5:I201,"ENTRADA")))</f>
        <v/>
      </c>
    </row>
    <row r="202" spans="1:20">
      <c r="A202" s="22" t="s">
        <v>279</v>
      </c>
      <c r="B202" s="5"/>
      <c r="C202" s="5"/>
      <c r="D202" s="5"/>
      <c r="E202" s="5"/>
      <c r="F202" s="5"/>
      <c r="G202" s="5"/>
      <c r="H202" s="22" t="str">
        <f t="shared" si="11"/>
        <v/>
      </c>
      <c r="I202" s="5"/>
      <c r="J202" s="33"/>
      <c r="K202" s="5"/>
      <c r="L202" s="5"/>
      <c r="M202" s="5"/>
      <c r="N202" s="5"/>
      <c r="O202" s="5"/>
      <c r="P202" s="5"/>
      <c r="Q202" s="5"/>
      <c r="R202" s="24" t="str">
        <f t="shared" si="12"/>
        <v/>
      </c>
      <c r="S202" s="24" t="str">
        <f t="shared" si="13"/>
        <v/>
      </c>
      <c r="T202" t="str">
        <f>IF(OR(C202="",I202&lt;&gt;"ENTRADA"),"",UPPER(LEFT(SUBSTITUTE(C202," ",""),3))&amp;"-"&amp;TEXT(B202,"AAMMDD")&amp;"-"&amp;(COUNTIFS($C$5:C202,C202,$B$5:B202,B202,$I$5:I202,"ENTRADA")))</f>
        <v/>
      </c>
    </row>
    <row r="203" spans="1:20">
      <c r="A203" s="22" t="s">
        <v>280</v>
      </c>
      <c r="B203" s="5"/>
      <c r="C203" s="5"/>
      <c r="D203" s="5"/>
      <c r="E203" s="5"/>
      <c r="F203" s="5"/>
      <c r="G203" s="5"/>
      <c r="H203" s="22" t="str">
        <f t="shared" si="11"/>
        <v/>
      </c>
      <c r="I203" s="5"/>
      <c r="J203" s="33"/>
      <c r="K203" s="5"/>
      <c r="L203" s="5"/>
      <c r="M203" s="5"/>
      <c r="N203" s="5"/>
      <c r="O203" s="5"/>
      <c r="P203" s="5"/>
      <c r="Q203" s="5"/>
      <c r="R203" s="24" t="str">
        <f t="shared" si="12"/>
        <v/>
      </c>
      <c r="S203" s="24" t="str">
        <f t="shared" si="13"/>
        <v/>
      </c>
      <c r="T203" t="str">
        <f>IF(OR(C203="",I203&lt;&gt;"ENTRADA"),"",UPPER(LEFT(SUBSTITUTE(C203," ",""),3))&amp;"-"&amp;TEXT(B203,"AAMMDD")&amp;"-"&amp;(COUNTIFS($C$5:C203,C203,$B$5:B203,B203,$I$5:I203,"ENTRADA")))</f>
        <v/>
      </c>
    </row>
    <row r="204" spans="1:20">
      <c r="A204" s="22" t="s">
        <v>281</v>
      </c>
      <c r="B204" s="5"/>
      <c r="C204" s="5"/>
      <c r="D204" s="5"/>
      <c r="E204" s="5"/>
      <c r="F204" s="5"/>
      <c r="G204" s="5"/>
      <c r="H204" s="22" t="str">
        <f t="shared" si="11"/>
        <v/>
      </c>
      <c r="I204" s="5"/>
      <c r="J204" s="33"/>
      <c r="K204" s="5"/>
      <c r="L204" s="5"/>
      <c r="M204" s="5"/>
      <c r="N204" s="5"/>
      <c r="O204" s="5"/>
      <c r="P204" s="5"/>
      <c r="Q204" s="5"/>
      <c r="R204" s="24" t="str">
        <f t="shared" si="12"/>
        <v/>
      </c>
      <c r="S204" s="24" t="str">
        <f t="shared" si="13"/>
        <v/>
      </c>
      <c r="T204" t="str">
        <f>IF(OR(C204="",I204&lt;&gt;"ENTRADA"),"",UPPER(LEFT(SUBSTITUTE(C204," ",""),3))&amp;"-"&amp;TEXT(B204,"AAMMDD")&amp;"-"&amp;(COUNTIFS($C$5:C204,C204,$B$5:B204,B204,$I$5:I204,"ENTRADA")))</f>
        <v/>
      </c>
    </row>
    <row r="205" spans="1:20">
      <c r="A205" s="22" t="s">
        <v>282</v>
      </c>
      <c r="H205" s="22" t="str">
        <f t="shared" si="11"/>
        <v/>
      </c>
      <c r="J205" s="32"/>
      <c r="T205" t="str">
        <f>IF(OR(C205="",I205&lt;&gt;"ENTRADA"),"",UPPER(LEFT(SUBSTITUTE(C205," ",""),3))&amp;"-"&amp;TEXT(B205,"AAMMDD")&amp;"-"&amp;(COUNTIFS($C$5:C205,C205,$B$5:B205,B205,$I$5:I205,"ENTRADA")))</f>
        <v/>
      </c>
    </row>
    <row r="206" spans="1:20">
      <c r="A206" s="22" t="s">
        <v>283</v>
      </c>
      <c r="H206" s="22" t="str">
        <f t="shared" si="11"/>
        <v/>
      </c>
      <c r="J206" s="32"/>
      <c r="T206" t="str">
        <f>IF(OR(C206="",I206&lt;&gt;"ENTRADA"),"",UPPER(LEFT(SUBSTITUTE(C206," ",""),3))&amp;"-"&amp;TEXT(B206,"AAMMDD")&amp;"-"&amp;(COUNTIFS($C$5:C206,C206,$B$5:B206,B206,$I$5:I206,"ENTRADA")))</f>
        <v/>
      </c>
    </row>
    <row r="207" spans="1:20">
      <c r="A207" s="22" t="s">
        <v>284</v>
      </c>
      <c r="H207" s="22" t="str">
        <f t="shared" si="11"/>
        <v/>
      </c>
      <c r="J207" s="32"/>
      <c r="T207" t="str">
        <f>IF(OR(C207="",I207&lt;&gt;"ENTRADA"),"",UPPER(LEFT(SUBSTITUTE(C207," ",""),3))&amp;"-"&amp;TEXT(B207,"AAMMDD")&amp;"-"&amp;(COUNTIFS($C$5:C207,C207,$B$5:B207,B207,$I$5:I207,"ENTRADA")))</f>
        <v/>
      </c>
    </row>
    <row r="208" spans="1:20">
      <c r="A208" s="22" t="s">
        <v>285</v>
      </c>
      <c r="H208" s="22" t="str">
        <f t="shared" ref="H208:H271" si="14">+T208</f>
        <v/>
      </c>
      <c r="J208" s="32"/>
      <c r="T208" t="str">
        <f>IF(OR(C208="",I208&lt;&gt;"ENTRADA"),"",UPPER(LEFT(SUBSTITUTE(C208," ",""),3))&amp;"-"&amp;TEXT(B208,"AAMMDD")&amp;"-"&amp;(COUNTIFS($C$5:C208,C208,$B$5:B208,B208,$I$5:I208,"ENTRADA")))</f>
        <v/>
      </c>
    </row>
    <row r="209" spans="1:20">
      <c r="A209" s="22" t="s">
        <v>286</v>
      </c>
      <c r="H209" s="22" t="str">
        <f t="shared" si="14"/>
        <v/>
      </c>
      <c r="J209" s="32"/>
      <c r="T209" t="str">
        <f>IF(OR(C209="",I209&lt;&gt;"ENTRADA"),"",UPPER(LEFT(SUBSTITUTE(C209," ",""),3))&amp;"-"&amp;TEXT(B209,"AAMMDD")&amp;"-"&amp;(COUNTIFS($C$5:C209,C209,$B$5:B209,B209,$I$5:I209,"ENTRADA")))</f>
        <v/>
      </c>
    </row>
    <row r="210" spans="1:20">
      <c r="A210" s="22" t="s">
        <v>287</v>
      </c>
      <c r="H210" s="22" t="str">
        <f t="shared" si="14"/>
        <v/>
      </c>
      <c r="J210" s="32"/>
      <c r="T210" t="str">
        <f>IF(OR(C210="",I210&lt;&gt;"ENTRADA"),"",UPPER(LEFT(SUBSTITUTE(C210," ",""),3))&amp;"-"&amp;TEXT(B210,"AAMMDD")&amp;"-"&amp;(COUNTIFS($C$5:C210,C210,$B$5:B210,B210,$I$5:I210,"ENTRADA")))</f>
        <v/>
      </c>
    </row>
    <row r="211" spans="1:20">
      <c r="A211" s="22" t="s">
        <v>288</v>
      </c>
      <c r="H211" s="22" t="str">
        <f t="shared" si="14"/>
        <v/>
      </c>
      <c r="J211" s="32"/>
      <c r="T211" t="str">
        <f>IF(OR(C211="",I211&lt;&gt;"ENTRADA"),"",UPPER(LEFT(SUBSTITUTE(C211," ",""),3))&amp;"-"&amp;TEXT(B211,"AAMMDD")&amp;"-"&amp;(COUNTIFS($C$5:C211,C211,$B$5:B211,B211,$I$5:I211,"ENTRADA")))</f>
        <v/>
      </c>
    </row>
    <row r="212" spans="1:20">
      <c r="A212" s="22" t="s">
        <v>289</v>
      </c>
      <c r="H212" s="22" t="str">
        <f t="shared" si="14"/>
        <v/>
      </c>
      <c r="J212" s="32"/>
      <c r="T212" t="str">
        <f>IF(OR(C212="",I212&lt;&gt;"ENTRADA"),"",UPPER(LEFT(SUBSTITUTE(C212," ",""),3))&amp;"-"&amp;TEXT(B212,"AAMMDD")&amp;"-"&amp;(COUNTIFS($C$5:C212,C212,$B$5:B212,B212,$I$5:I212,"ENTRADA")))</f>
        <v/>
      </c>
    </row>
    <row r="213" spans="1:20">
      <c r="A213" s="22" t="s">
        <v>290</v>
      </c>
      <c r="H213" s="22" t="str">
        <f t="shared" si="14"/>
        <v/>
      </c>
      <c r="J213" s="32"/>
      <c r="T213" t="str">
        <f>IF(OR(C213="",I213&lt;&gt;"ENTRADA"),"",UPPER(LEFT(SUBSTITUTE(C213," ",""),3))&amp;"-"&amp;TEXT(B213,"AAMMDD")&amp;"-"&amp;(COUNTIFS($C$5:C213,C213,$B$5:B213,B213,$I$5:I213,"ENTRADA")))</f>
        <v/>
      </c>
    </row>
    <row r="214" spans="1:20">
      <c r="A214" s="22" t="s">
        <v>291</v>
      </c>
      <c r="H214" s="22" t="str">
        <f t="shared" si="14"/>
        <v/>
      </c>
      <c r="J214" s="32"/>
      <c r="T214" t="str">
        <f>IF(OR(C214="",I214&lt;&gt;"ENTRADA"),"",UPPER(LEFT(SUBSTITUTE(C214," ",""),3))&amp;"-"&amp;TEXT(B214,"AAMMDD")&amp;"-"&amp;(COUNTIFS($C$5:C214,C214,$B$5:B214,B214,$I$5:I214,"ENTRADA")))</f>
        <v/>
      </c>
    </row>
    <row r="215" spans="1:20">
      <c r="A215" s="22" t="s">
        <v>292</v>
      </c>
      <c r="H215" s="22" t="str">
        <f t="shared" si="14"/>
        <v/>
      </c>
      <c r="J215" s="32"/>
      <c r="T215" t="str">
        <f>IF(OR(C215="",I215&lt;&gt;"ENTRADA"),"",UPPER(LEFT(SUBSTITUTE(C215," ",""),3))&amp;"-"&amp;TEXT(B215,"AAMMDD")&amp;"-"&amp;(COUNTIFS($C$5:C215,C215,$B$5:B215,B215,$I$5:I215,"ENTRADA")))</f>
        <v/>
      </c>
    </row>
    <row r="216" spans="1:20">
      <c r="A216" s="22" t="s">
        <v>293</v>
      </c>
      <c r="H216" s="22" t="str">
        <f t="shared" si="14"/>
        <v/>
      </c>
      <c r="J216" s="32"/>
      <c r="T216" t="str">
        <f>IF(OR(C216="",I216&lt;&gt;"ENTRADA"),"",UPPER(LEFT(SUBSTITUTE(C216," ",""),3))&amp;"-"&amp;TEXT(B216,"AAMMDD")&amp;"-"&amp;(COUNTIFS($C$5:C216,C216,$B$5:B216,B216,$I$5:I216,"ENTRADA")))</f>
        <v/>
      </c>
    </row>
    <row r="217" spans="1:20">
      <c r="A217" s="22" t="s">
        <v>294</v>
      </c>
      <c r="H217" s="22" t="str">
        <f t="shared" si="14"/>
        <v/>
      </c>
      <c r="J217" s="32"/>
      <c r="T217" t="str">
        <f>IF(OR(C217="",I217&lt;&gt;"ENTRADA"),"",UPPER(LEFT(SUBSTITUTE(C217," ",""),3))&amp;"-"&amp;TEXT(B217,"AAMMDD")&amp;"-"&amp;(COUNTIFS($C$5:C217,C217,$B$5:B217,B217,$I$5:I217,"ENTRADA")))</f>
        <v/>
      </c>
    </row>
    <row r="218" spans="1:20">
      <c r="A218" s="22" t="s">
        <v>295</v>
      </c>
      <c r="H218" s="22" t="str">
        <f t="shared" si="14"/>
        <v/>
      </c>
      <c r="J218" s="32"/>
      <c r="T218" t="str">
        <f>IF(OR(C218="",I218&lt;&gt;"ENTRADA"),"",UPPER(LEFT(SUBSTITUTE(C218," ",""),3))&amp;"-"&amp;TEXT(B218,"AAMMDD")&amp;"-"&amp;(COUNTIFS($C$5:C218,C218,$B$5:B218,B218,$I$5:I218,"ENTRADA")))</f>
        <v/>
      </c>
    </row>
    <row r="219" spans="1:20">
      <c r="A219" s="22" t="s">
        <v>296</v>
      </c>
      <c r="H219" s="22" t="str">
        <f t="shared" si="14"/>
        <v/>
      </c>
      <c r="J219" s="32"/>
      <c r="T219" t="str">
        <f>IF(OR(C219="",I219&lt;&gt;"ENTRADA"),"",UPPER(LEFT(SUBSTITUTE(C219," ",""),3))&amp;"-"&amp;TEXT(B219,"AAMMDD")&amp;"-"&amp;(COUNTIFS($C$5:C219,C219,$B$5:B219,B219,$I$5:I219,"ENTRADA")))</f>
        <v/>
      </c>
    </row>
    <row r="220" spans="1:20">
      <c r="A220" s="22" t="s">
        <v>297</v>
      </c>
      <c r="H220" s="22" t="str">
        <f t="shared" si="14"/>
        <v/>
      </c>
      <c r="J220" s="32"/>
      <c r="T220" t="str">
        <f>IF(OR(C220="",I220&lt;&gt;"ENTRADA"),"",UPPER(LEFT(SUBSTITUTE(C220," ",""),3))&amp;"-"&amp;TEXT(B220,"AAMMDD")&amp;"-"&amp;(COUNTIFS($C$5:C220,C220,$B$5:B220,B220,$I$5:I220,"ENTRADA")))</f>
        <v/>
      </c>
    </row>
    <row r="221" spans="1:20">
      <c r="A221" s="22" t="s">
        <v>298</v>
      </c>
      <c r="H221" s="22" t="str">
        <f t="shared" si="14"/>
        <v/>
      </c>
      <c r="J221" s="32"/>
      <c r="T221" t="str">
        <f>IF(OR(C221="",I221&lt;&gt;"ENTRADA"),"",UPPER(LEFT(SUBSTITUTE(C221," ",""),3))&amp;"-"&amp;TEXT(B221,"AAMMDD")&amp;"-"&amp;(COUNTIFS($C$5:C221,C221,$B$5:B221,B221,$I$5:I221,"ENTRADA")))</f>
        <v/>
      </c>
    </row>
    <row r="222" spans="1:20">
      <c r="A222" s="22" t="s">
        <v>299</v>
      </c>
      <c r="H222" s="22" t="str">
        <f t="shared" si="14"/>
        <v/>
      </c>
      <c r="J222" s="32"/>
      <c r="T222" t="str">
        <f>IF(OR(C222="",I222&lt;&gt;"ENTRADA"),"",UPPER(LEFT(SUBSTITUTE(C222," ",""),3))&amp;"-"&amp;TEXT(B222,"AAMMDD")&amp;"-"&amp;(COUNTIFS($C$5:C222,C222,$B$5:B222,B222,$I$5:I222,"ENTRADA")))</f>
        <v/>
      </c>
    </row>
    <row r="223" spans="1:20">
      <c r="A223" s="22" t="s">
        <v>300</v>
      </c>
      <c r="H223" s="22" t="str">
        <f t="shared" si="14"/>
        <v/>
      </c>
      <c r="J223" s="32"/>
      <c r="T223" t="str">
        <f>IF(OR(C223="",I223&lt;&gt;"ENTRADA"),"",UPPER(LEFT(SUBSTITUTE(C223," ",""),3))&amp;"-"&amp;TEXT(B223,"AAMMDD")&amp;"-"&amp;(COUNTIFS($C$5:C223,C223,$B$5:B223,B223,$I$5:I223,"ENTRADA")))</f>
        <v/>
      </c>
    </row>
    <row r="224" spans="1:20">
      <c r="A224" s="22" t="s">
        <v>301</v>
      </c>
      <c r="H224" s="22" t="str">
        <f t="shared" si="14"/>
        <v/>
      </c>
      <c r="J224" s="32"/>
      <c r="T224" t="str">
        <f>IF(OR(C224="",I224&lt;&gt;"ENTRADA"),"",UPPER(LEFT(SUBSTITUTE(C224," ",""),3))&amp;"-"&amp;TEXT(B224,"AAMMDD")&amp;"-"&amp;(COUNTIFS($C$5:C224,C224,$B$5:B224,B224,$I$5:I224,"ENTRADA")))</f>
        <v/>
      </c>
    </row>
    <row r="225" spans="1:20">
      <c r="A225" s="22" t="s">
        <v>302</v>
      </c>
      <c r="H225" s="22" t="str">
        <f t="shared" si="14"/>
        <v/>
      </c>
      <c r="J225" s="32"/>
      <c r="T225" t="str">
        <f>IF(OR(C225="",I225&lt;&gt;"ENTRADA"),"",UPPER(LEFT(SUBSTITUTE(C225," ",""),3))&amp;"-"&amp;TEXT(B225,"AAMMDD")&amp;"-"&amp;(COUNTIFS($C$5:C225,C225,$B$5:B225,B225,$I$5:I225,"ENTRADA")))</f>
        <v/>
      </c>
    </row>
    <row r="226" spans="1:20">
      <c r="A226" s="22" t="s">
        <v>303</v>
      </c>
      <c r="H226" s="22" t="str">
        <f t="shared" si="14"/>
        <v/>
      </c>
      <c r="J226" s="32"/>
      <c r="T226" t="str">
        <f>IF(OR(C226="",I226&lt;&gt;"ENTRADA"),"",UPPER(LEFT(SUBSTITUTE(C226," ",""),3))&amp;"-"&amp;TEXT(B226,"AAMMDD")&amp;"-"&amp;(COUNTIFS($C$5:C226,C226,$B$5:B226,B226,$I$5:I226,"ENTRADA")))</f>
        <v/>
      </c>
    </row>
    <row r="227" spans="1:20">
      <c r="A227" s="22" t="s">
        <v>304</v>
      </c>
      <c r="H227" s="22" t="str">
        <f t="shared" si="14"/>
        <v/>
      </c>
      <c r="J227" s="32"/>
      <c r="T227" t="str">
        <f>IF(OR(C227="",I227&lt;&gt;"ENTRADA"),"",UPPER(LEFT(SUBSTITUTE(C227," ",""),3))&amp;"-"&amp;TEXT(B227,"AAMMDD")&amp;"-"&amp;(COUNTIFS($C$5:C227,C227,$B$5:B227,B227,$I$5:I227,"ENTRADA")))</f>
        <v/>
      </c>
    </row>
    <row r="228" spans="1:20">
      <c r="A228" s="22" t="s">
        <v>305</v>
      </c>
      <c r="H228" s="22" t="str">
        <f t="shared" si="14"/>
        <v/>
      </c>
      <c r="J228" s="32"/>
      <c r="T228" t="str">
        <f>IF(OR(C228="",I228&lt;&gt;"ENTRADA"),"",UPPER(LEFT(SUBSTITUTE(C228," ",""),3))&amp;"-"&amp;TEXT(B228,"AAMMDD")&amp;"-"&amp;(COUNTIFS($C$5:C228,C228,$B$5:B228,B228,$I$5:I228,"ENTRADA")))</f>
        <v/>
      </c>
    </row>
    <row r="229" spans="1:20">
      <c r="A229" s="22" t="s">
        <v>306</v>
      </c>
      <c r="H229" s="22" t="str">
        <f t="shared" si="14"/>
        <v/>
      </c>
      <c r="J229" s="32"/>
      <c r="T229" t="str">
        <f>IF(OR(C229="",I229&lt;&gt;"ENTRADA"),"",UPPER(LEFT(SUBSTITUTE(C229," ",""),3))&amp;"-"&amp;TEXT(B229,"AAMMDD")&amp;"-"&amp;(COUNTIFS($C$5:C229,C229,$B$5:B229,B229,$I$5:I229,"ENTRADA")))</f>
        <v/>
      </c>
    </row>
    <row r="230" spans="1:20">
      <c r="A230" s="22" t="s">
        <v>307</v>
      </c>
      <c r="H230" s="22" t="str">
        <f t="shared" si="14"/>
        <v/>
      </c>
      <c r="J230" s="32"/>
      <c r="T230" t="str">
        <f>IF(OR(C230="",I230&lt;&gt;"ENTRADA"),"",UPPER(LEFT(SUBSTITUTE(C230," ",""),3))&amp;"-"&amp;TEXT(B230,"AAMMDD")&amp;"-"&amp;(COUNTIFS($C$5:C230,C230,$B$5:B230,B230,$I$5:I230,"ENTRADA")))</f>
        <v/>
      </c>
    </row>
    <row r="231" spans="1:20">
      <c r="A231" s="22" t="s">
        <v>308</v>
      </c>
      <c r="H231" s="22" t="str">
        <f t="shared" si="14"/>
        <v/>
      </c>
      <c r="J231" s="32"/>
      <c r="T231" t="str">
        <f>IF(OR(C231="",I231&lt;&gt;"ENTRADA"),"",UPPER(LEFT(SUBSTITUTE(C231," ",""),3))&amp;"-"&amp;TEXT(B231,"AAMMDD")&amp;"-"&amp;(COUNTIFS($C$5:C231,C231,$B$5:B231,B231,$I$5:I231,"ENTRADA")))</f>
        <v/>
      </c>
    </row>
    <row r="232" spans="1:20">
      <c r="A232" s="22" t="s">
        <v>309</v>
      </c>
      <c r="H232" s="22" t="str">
        <f t="shared" si="14"/>
        <v/>
      </c>
      <c r="J232" s="32"/>
      <c r="T232" t="str">
        <f>IF(OR(C232="",I232&lt;&gt;"ENTRADA"),"",UPPER(LEFT(SUBSTITUTE(C232," ",""),3))&amp;"-"&amp;TEXT(B232,"AAMMDD")&amp;"-"&amp;(COUNTIFS($C$5:C232,C232,$B$5:B232,B232,$I$5:I232,"ENTRADA")))</f>
        <v/>
      </c>
    </row>
    <row r="233" spans="1:20">
      <c r="A233" s="22" t="s">
        <v>310</v>
      </c>
      <c r="H233" s="22" t="str">
        <f t="shared" si="14"/>
        <v/>
      </c>
      <c r="J233" s="32"/>
      <c r="T233" t="str">
        <f>IF(OR(C233="",I233&lt;&gt;"ENTRADA"),"",UPPER(LEFT(SUBSTITUTE(C233," ",""),3))&amp;"-"&amp;TEXT(B233,"AAMMDD")&amp;"-"&amp;(COUNTIFS($C$5:C233,C233,$B$5:B233,B233,$I$5:I233,"ENTRADA")))</f>
        <v/>
      </c>
    </row>
    <row r="234" spans="1:20">
      <c r="A234" s="22" t="s">
        <v>311</v>
      </c>
      <c r="H234" s="22" t="str">
        <f t="shared" si="14"/>
        <v/>
      </c>
      <c r="J234" s="32"/>
      <c r="T234" t="str">
        <f>IF(OR(C234="",I234&lt;&gt;"ENTRADA"),"",UPPER(LEFT(SUBSTITUTE(C234," ",""),3))&amp;"-"&amp;TEXT(B234,"AAMMDD")&amp;"-"&amp;(COUNTIFS($C$5:C234,C234,$B$5:B234,B234,$I$5:I234,"ENTRADA")))</f>
        <v/>
      </c>
    </row>
    <row r="235" spans="1:20">
      <c r="A235" s="22" t="s">
        <v>312</v>
      </c>
      <c r="H235" s="22" t="str">
        <f t="shared" si="14"/>
        <v/>
      </c>
      <c r="J235" s="32"/>
      <c r="T235" t="str">
        <f>IF(OR(C235="",I235&lt;&gt;"ENTRADA"),"",UPPER(LEFT(SUBSTITUTE(C235," ",""),3))&amp;"-"&amp;TEXT(B235,"AAMMDD")&amp;"-"&amp;(COUNTIFS($C$5:C235,C235,$B$5:B235,B235,$I$5:I235,"ENTRADA")))</f>
        <v/>
      </c>
    </row>
    <row r="236" spans="1:20">
      <c r="A236" s="22" t="s">
        <v>313</v>
      </c>
      <c r="H236" s="22" t="str">
        <f t="shared" si="14"/>
        <v/>
      </c>
      <c r="J236" s="32"/>
      <c r="T236" t="str">
        <f>IF(OR(C236="",I236&lt;&gt;"ENTRADA"),"",UPPER(LEFT(SUBSTITUTE(C236," ",""),3))&amp;"-"&amp;TEXT(B236,"AAMMDD")&amp;"-"&amp;(COUNTIFS($C$5:C236,C236,$B$5:B236,B236,$I$5:I236,"ENTRADA")))</f>
        <v/>
      </c>
    </row>
    <row r="237" spans="1:20">
      <c r="A237" s="22" t="s">
        <v>314</v>
      </c>
      <c r="H237" s="22" t="str">
        <f t="shared" si="14"/>
        <v/>
      </c>
      <c r="J237" s="32"/>
      <c r="T237" t="str">
        <f>IF(OR(C237="",I237&lt;&gt;"ENTRADA"),"",UPPER(LEFT(SUBSTITUTE(C237," ",""),3))&amp;"-"&amp;TEXT(B237,"AAMMDD")&amp;"-"&amp;(COUNTIFS($C$5:C237,C237,$B$5:B237,B237,$I$5:I237,"ENTRADA")))</f>
        <v/>
      </c>
    </row>
    <row r="238" spans="1:20">
      <c r="A238" s="22" t="s">
        <v>315</v>
      </c>
      <c r="H238" s="22" t="str">
        <f t="shared" si="14"/>
        <v/>
      </c>
      <c r="J238" s="32"/>
      <c r="T238" t="str">
        <f>IF(OR(C238="",I238&lt;&gt;"ENTRADA"),"",UPPER(LEFT(SUBSTITUTE(C238," ",""),3))&amp;"-"&amp;TEXT(B238,"AAMMDD")&amp;"-"&amp;(COUNTIFS($C$5:C238,C238,$B$5:B238,B238,$I$5:I238,"ENTRADA")))</f>
        <v/>
      </c>
    </row>
    <row r="239" spans="1:20">
      <c r="A239" s="22" t="s">
        <v>316</v>
      </c>
      <c r="H239" s="22" t="str">
        <f t="shared" si="14"/>
        <v/>
      </c>
      <c r="J239" s="32"/>
      <c r="T239" t="str">
        <f>IF(OR(C239="",I239&lt;&gt;"ENTRADA"),"",UPPER(LEFT(SUBSTITUTE(C239," ",""),3))&amp;"-"&amp;TEXT(B239,"AAMMDD")&amp;"-"&amp;(COUNTIFS($C$5:C239,C239,$B$5:B239,B239,$I$5:I239,"ENTRADA")))</f>
        <v/>
      </c>
    </row>
    <row r="240" spans="1:20">
      <c r="A240" s="22" t="s">
        <v>317</v>
      </c>
      <c r="H240" s="22" t="str">
        <f t="shared" si="14"/>
        <v/>
      </c>
      <c r="J240" s="32"/>
      <c r="T240" t="str">
        <f>IF(OR(C240="",I240&lt;&gt;"ENTRADA"),"",UPPER(LEFT(SUBSTITUTE(C240," ",""),3))&amp;"-"&amp;TEXT(B240,"AAMMDD")&amp;"-"&amp;(COUNTIFS($C$5:C240,C240,$B$5:B240,B240,$I$5:I240,"ENTRADA")))</f>
        <v/>
      </c>
    </row>
    <row r="241" spans="1:20">
      <c r="A241" s="22" t="s">
        <v>318</v>
      </c>
      <c r="H241" s="22" t="str">
        <f t="shared" si="14"/>
        <v/>
      </c>
      <c r="J241" s="32"/>
      <c r="T241" t="str">
        <f>IF(OR(C241="",I241&lt;&gt;"ENTRADA"),"",UPPER(LEFT(SUBSTITUTE(C241," ",""),3))&amp;"-"&amp;TEXT(B241,"AAMMDD")&amp;"-"&amp;(COUNTIFS($C$5:C241,C241,$B$5:B241,B241,$I$5:I241,"ENTRADA")))</f>
        <v/>
      </c>
    </row>
    <row r="242" spans="1:20">
      <c r="A242" s="22" t="s">
        <v>319</v>
      </c>
      <c r="H242" s="22" t="str">
        <f t="shared" si="14"/>
        <v/>
      </c>
      <c r="J242" s="32"/>
      <c r="T242" t="str">
        <f>IF(OR(C242="",I242&lt;&gt;"ENTRADA"),"",UPPER(LEFT(SUBSTITUTE(C242," ",""),3))&amp;"-"&amp;TEXT(B242,"AAMMDD")&amp;"-"&amp;(COUNTIFS($C$5:C242,C242,$B$5:B242,B242,$I$5:I242,"ENTRADA")))</f>
        <v/>
      </c>
    </row>
    <row r="243" spans="1:20">
      <c r="A243" s="22" t="s">
        <v>320</v>
      </c>
      <c r="H243" s="22" t="str">
        <f t="shared" si="14"/>
        <v/>
      </c>
      <c r="J243" s="32"/>
      <c r="T243" t="str">
        <f>IF(OR(C243="",I243&lt;&gt;"ENTRADA"),"",UPPER(LEFT(SUBSTITUTE(C243," ",""),3))&amp;"-"&amp;TEXT(B243,"AAMMDD")&amp;"-"&amp;(COUNTIFS($C$5:C243,C243,$B$5:B243,B243,$I$5:I243,"ENTRADA")))</f>
        <v/>
      </c>
    </row>
    <row r="244" spans="1:20">
      <c r="A244" s="22" t="s">
        <v>321</v>
      </c>
      <c r="H244" s="22" t="str">
        <f t="shared" si="14"/>
        <v/>
      </c>
      <c r="J244" s="32"/>
      <c r="T244" t="str">
        <f>IF(OR(C244="",I244&lt;&gt;"ENTRADA"),"",UPPER(LEFT(SUBSTITUTE(C244," ",""),3))&amp;"-"&amp;TEXT(B244,"AAMMDD")&amp;"-"&amp;(COUNTIFS($C$5:C244,C244,$B$5:B244,B244,$I$5:I244,"ENTRADA")))</f>
        <v/>
      </c>
    </row>
    <row r="245" spans="1:20">
      <c r="A245" s="22" t="s">
        <v>322</v>
      </c>
      <c r="H245" s="22" t="str">
        <f t="shared" si="14"/>
        <v/>
      </c>
      <c r="J245" s="32"/>
      <c r="T245" t="str">
        <f>IF(OR(C245="",I245&lt;&gt;"ENTRADA"),"",UPPER(LEFT(SUBSTITUTE(C245," ",""),3))&amp;"-"&amp;TEXT(B245,"AAMMDD")&amp;"-"&amp;(COUNTIFS($C$5:C245,C245,$B$5:B245,B245,$I$5:I245,"ENTRADA")))</f>
        <v/>
      </c>
    </row>
    <row r="246" spans="1:20">
      <c r="A246" s="22" t="s">
        <v>323</v>
      </c>
      <c r="H246" s="22" t="str">
        <f t="shared" si="14"/>
        <v/>
      </c>
      <c r="J246" s="32"/>
      <c r="T246" t="str">
        <f>IF(OR(C246="",I246&lt;&gt;"ENTRADA"),"",UPPER(LEFT(SUBSTITUTE(C246," ",""),3))&amp;"-"&amp;TEXT(B246,"AAMMDD")&amp;"-"&amp;(COUNTIFS($C$5:C246,C246,$B$5:B246,B246,$I$5:I246,"ENTRADA")))</f>
        <v/>
      </c>
    </row>
    <row r="247" spans="1:20">
      <c r="A247" s="22" t="s">
        <v>324</v>
      </c>
      <c r="H247" s="22" t="str">
        <f t="shared" si="14"/>
        <v/>
      </c>
      <c r="J247" s="32"/>
      <c r="T247" t="str">
        <f>IF(OR(C247="",I247&lt;&gt;"ENTRADA"),"",UPPER(LEFT(SUBSTITUTE(C247," ",""),3))&amp;"-"&amp;TEXT(B247,"AAMMDD")&amp;"-"&amp;(COUNTIFS($C$5:C247,C247,$B$5:B247,B247,$I$5:I247,"ENTRADA")))</f>
        <v/>
      </c>
    </row>
    <row r="248" spans="1:20">
      <c r="A248" s="22" t="s">
        <v>325</v>
      </c>
      <c r="H248" s="22" t="str">
        <f t="shared" si="14"/>
        <v/>
      </c>
      <c r="J248" s="32"/>
      <c r="T248" t="str">
        <f>IF(OR(C248="",I248&lt;&gt;"ENTRADA"),"",UPPER(LEFT(SUBSTITUTE(C248," ",""),3))&amp;"-"&amp;TEXT(B248,"AAMMDD")&amp;"-"&amp;(COUNTIFS($C$5:C248,C248,$B$5:B248,B248,$I$5:I248,"ENTRADA")))</f>
        <v/>
      </c>
    </row>
    <row r="249" spans="1:20">
      <c r="A249" s="22" t="s">
        <v>326</v>
      </c>
      <c r="H249" s="22" t="str">
        <f t="shared" si="14"/>
        <v/>
      </c>
      <c r="J249" s="32"/>
      <c r="T249" t="str">
        <f>IF(OR(C249="",I249&lt;&gt;"ENTRADA"),"",UPPER(LEFT(SUBSTITUTE(C249," ",""),3))&amp;"-"&amp;TEXT(B249,"AAMMDD")&amp;"-"&amp;(COUNTIFS($C$5:C249,C249,$B$5:B249,B249,$I$5:I249,"ENTRADA")))</f>
        <v/>
      </c>
    </row>
    <row r="250" spans="1:20">
      <c r="A250" s="22" t="s">
        <v>327</v>
      </c>
      <c r="H250" s="22" t="str">
        <f t="shared" si="14"/>
        <v/>
      </c>
      <c r="J250" s="32"/>
      <c r="T250" t="str">
        <f>IF(OR(C250="",I250&lt;&gt;"ENTRADA"),"",UPPER(LEFT(SUBSTITUTE(C250," ",""),3))&amp;"-"&amp;TEXT(B250,"AAMMDD")&amp;"-"&amp;(COUNTIFS($C$5:C250,C250,$B$5:B250,B250,$I$5:I250,"ENTRADA")))</f>
        <v/>
      </c>
    </row>
    <row r="251" spans="1:20">
      <c r="A251" s="22" t="s">
        <v>328</v>
      </c>
      <c r="H251" s="22" t="str">
        <f t="shared" si="14"/>
        <v/>
      </c>
      <c r="J251" s="32"/>
      <c r="T251" t="str">
        <f>IF(OR(C251="",I251&lt;&gt;"ENTRADA"),"",UPPER(LEFT(SUBSTITUTE(C251," ",""),3))&amp;"-"&amp;TEXT(B251,"AAMMDD")&amp;"-"&amp;(COUNTIFS($C$5:C251,C251,$B$5:B251,B251,$I$5:I251,"ENTRADA")))</f>
        <v/>
      </c>
    </row>
    <row r="252" spans="1:20">
      <c r="A252" s="22" t="s">
        <v>329</v>
      </c>
      <c r="H252" s="22" t="str">
        <f t="shared" si="14"/>
        <v/>
      </c>
      <c r="J252" s="32"/>
      <c r="T252" t="str">
        <f>IF(OR(C252="",I252&lt;&gt;"ENTRADA"),"",UPPER(LEFT(SUBSTITUTE(C252," ",""),3))&amp;"-"&amp;TEXT(B252,"AAMMDD")&amp;"-"&amp;(COUNTIFS($C$5:C252,C252,$B$5:B252,B252,$I$5:I252,"ENTRADA")))</f>
        <v/>
      </c>
    </row>
    <row r="253" spans="1:20">
      <c r="A253" s="22" t="s">
        <v>330</v>
      </c>
      <c r="H253" s="22" t="str">
        <f t="shared" si="14"/>
        <v/>
      </c>
      <c r="J253" s="32"/>
      <c r="T253" t="str">
        <f>IF(OR(C253="",I253&lt;&gt;"ENTRADA"),"",UPPER(LEFT(SUBSTITUTE(C253," ",""),3))&amp;"-"&amp;TEXT(B253,"AAMMDD")&amp;"-"&amp;(COUNTIFS($C$5:C253,C253,$B$5:B253,B253,$I$5:I253,"ENTRADA")))</f>
        <v/>
      </c>
    </row>
    <row r="254" spans="1:20">
      <c r="A254" s="22" t="s">
        <v>331</v>
      </c>
      <c r="H254" s="22" t="str">
        <f t="shared" si="14"/>
        <v/>
      </c>
      <c r="J254" s="32"/>
      <c r="T254" t="str">
        <f>IF(OR(C254="",I254&lt;&gt;"ENTRADA"),"",UPPER(LEFT(SUBSTITUTE(C254," ",""),3))&amp;"-"&amp;TEXT(B254,"AAMMDD")&amp;"-"&amp;(COUNTIFS($C$5:C254,C254,$B$5:B254,B254,$I$5:I254,"ENTRADA")))</f>
        <v/>
      </c>
    </row>
    <row r="255" spans="1:20">
      <c r="A255" s="22" t="s">
        <v>332</v>
      </c>
      <c r="H255" s="22" t="str">
        <f t="shared" si="14"/>
        <v/>
      </c>
      <c r="J255" s="32"/>
      <c r="T255" t="str">
        <f>IF(OR(C255="",I255&lt;&gt;"ENTRADA"),"",UPPER(LEFT(SUBSTITUTE(C255," ",""),3))&amp;"-"&amp;TEXT(B255,"AAMMDD")&amp;"-"&amp;(COUNTIFS($C$5:C255,C255,$B$5:B255,B255,$I$5:I255,"ENTRADA")))</f>
        <v/>
      </c>
    </row>
    <row r="256" spans="1:20">
      <c r="A256" s="22" t="s">
        <v>333</v>
      </c>
      <c r="H256" s="22" t="str">
        <f t="shared" si="14"/>
        <v/>
      </c>
      <c r="J256" s="32"/>
      <c r="T256" t="str">
        <f>IF(OR(C256="",I256&lt;&gt;"ENTRADA"),"",UPPER(LEFT(SUBSTITUTE(C256," ",""),3))&amp;"-"&amp;TEXT(B256,"AAMMDD")&amp;"-"&amp;(COUNTIFS($C$5:C256,C256,$B$5:B256,B256,$I$5:I256,"ENTRADA")))</f>
        <v/>
      </c>
    </row>
    <row r="257" spans="1:20">
      <c r="A257" s="22" t="s">
        <v>334</v>
      </c>
      <c r="H257" s="22" t="str">
        <f t="shared" si="14"/>
        <v/>
      </c>
      <c r="J257" s="32"/>
      <c r="T257" t="str">
        <f>IF(OR(C257="",I257&lt;&gt;"ENTRADA"),"",UPPER(LEFT(SUBSTITUTE(C257," ",""),3))&amp;"-"&amp;TEXT(B257,"AAMMDD")&amp;"-"&amp;(COUNTIFS($C$5:C257,C257,$B$5:B257,B257,$I$5:I257,"ENTRADA")))</f>
        <v/>
      </c>
    </row>
    <row r="258" spans="1:20">
      <c r="A258" s="22" t="s">
        <v>335</v>
      </c>
      <c r="H258" s="22" t="str">
        <f t="shared" si="14"/>
        <v/>
      </c>
      <c r="J258" s="32"/>
      <c r="T258" t="str">
        <f>IF(OR(C258="",I258&lt;&gt;"ENTRADA"),"",UPPER(LEFT(SUBSTITUTE(C258," ",""),3))&amp;"-"&amp;TEXT(B258,"AAMMDD")&amp;"-"&amp;(COUNTIFS($C$5:C258,C258,$B$5:B258,B258,$I$5:I258,"ENTRADA")))</f>
        <v/>
      </c>
    </row>
    <row r="259" spans="1:20">
      <c r="A259" s="22" t="s">
        <v>336</v>
      </c>
      <c r="H259" s="22" t="str">
        <f t="shared" si="14"/>
        <v/>
      </c>
      <c r="J259" s="32"/>
      <c r="T259" t="str">
        <f>IF(OR(C259="",I259&lt;&gt;"ENTRADA"),"",UPPER(LEFT(SUBSTITUTE(C259," ",""),3))&amp;"-"&amp;TEXT(B259,"AAMMDD")&amp;"-"&amp;(COUNTIFS($C$5:C259,C259,$B$5:B259,B259,$I$5:I259,"ENTRADA")))</f>
        <v/>
      </c>
    </row>
    <row r="260" spans="1:20">
      <c r="A260" s="22" t="s">
        <v>337</v>
      </c>
      <c r="H260" s="22" t="str">
        <f t="shared" si="14"/>
        <v/>
      </c>
      <c r="J260" s="32"/>
      <c r="T260" t="str">
        <f>IF(OR(C260="",I260&lt;&gt;"ENTRADA"),"",UPPER(LEFT(SUBSTITUTE(C260," ",""),3))&amp;"-"&amp;TEXT(B260,"AAMMDD")&amp;"-"&amp;(COUNTIFS($C$5:C260,C260,$B$5:B260,B260,$I$5:I260,"ENTRADA")))</f>
        <v/>
      </c>
    </row>
    <row r="261" spans="1:20">
      <c r="A261" s="22" t="s">
        <v>338</v>
      </c>
      <c r="H261" s="22" t="str">
        <f t="shared" si="14"/>
        <v/>
      </c>
      <c r="J261" s="32"/>
      <c r="T261" t="str">
        <f>IF(OR(C261="",I261&lt;&gt;"ENTRADA"),"",UPPER(LEFT(SUBSTITUTE(C261," ",""),3))&amp;"-"&amp;TEXT(B261,"AAMMDD")&amp;"-"&amp;(COUNTIFS($C$5:C261,C261,$B$5:B261,B261,$I$5:I261,"ENTRADA")))</f>
        <v/>
      </c>
    </row>
    <row r="262" spans="1:20">
      <c r="A262" s="22" t="s">
        <v>339</v>
      </c>
      <c r="H262" s="22" t="str">
        <f t="shared" si="14"/>
        <v/>
      </c>
      <c r="J262" s="32"/>
      <c r="T262" t="str">
        <f>IF(OR(C262="",I262&lt;&gt;"ENTRADA"),"",UPPER(LEFT(SUBSTITUTE(C262," ",""),3))&amp;"-"&amp;TEXT(B262,"AAMMDD")&amp;"-"&amp;(COUNTIFS($C$5:C262,C262,$B$5:B262,B262,$I$5:I262,"ENTRADA")))</f>
        <v/>
      </c>
    </row>
    <row r="263" spans="1:20">
      <c r="A263" s="22" t="s">
        <v>340</v>
      </c>
      <c r="H263" s="22" t="str">
        <f t="shared" si="14"/>
        <v/>
      </c>
      <c r="J263" s="32"/>
      <c r="T263" t="str">
        <f>IF(OR(C263="",I263&lt;&gt;"ENTRADA"),"",UPPER(LEFT(SUBSTITUTE(C263," ",""),3))&amp;"-"&amp;TEXT(B263,"AAMMDD")&amp;"-"&amp;(COUNTIFS($C$5:C263,C263,$B$5:B263,B263,$I$5:I263,"ENTRADA")))</f>
        <v/>
      </c>
    </row>
    <row r="264" spans="1:20">
      <c r="A264" s="22" t="s">
        <v>341</v>
      </c>
      <c r="H264" s="22" t="str">
        <f t="shared" si="14"/>
        <v/>
      </c>
      <c r="J264" s="32"/>
      <c r="T264" t="str">
        <f>IF(OR(C264="",I264&lt;&gt;"ENTRADA"),"",UPPER(LEFT(SUBSTITUTE(C264," ",""),3))&amp;"-"&amp;TEXT(B264,"AAMMDD")&amp;"-"&amp;(COUNTIFS($C$5:C264,C264,$B$5:B264,B264,$I$5:I264,"ENTRADA")))</f>
        <v/>
      </c>
    </row>
    <row r="265" spans="1:20">
      <c r="A265" s="22" t="s">
        <v>342</v>
      </c>
      <c r="H265" s="22" t="str">
        <f t="shared" si="14"/>
        <v/>
      </c>
      <c r="J265" s="32"/>
      <c r="T265" t="str">
        <f>IF(OR(C265="",I265&lt;&gt;"ENTRADA"),"",UPPER(LEFT(SUBSTITUTE(C265," ",""),3))&amp;"-"&amp;TEXT(B265,"AAMMDD")&amp;"-"&amp;(COUNTIFS($C$5:C265,C265,$B$5:B265,B265,$I$5:I265,"ENTRADA")))</f>
        <v/>
      </c>
    </row>
    <row r="266" spans="1:20">
      <c r="A266" s="22" t="s">
        <v>343</v>
      </c>
      <c r="H266" s="22" t="str">
        <f t="shared" si="14"/>
        <v/>
      </c>
      <c r="J266" s="32"/>
      <c r="T266" t="str">
        <f>IF(OR(C266="",I266&lt;&gt;"ENTRADA"),"",UPPER(LEFT(SUBSTITUTE(C266," ",""),3))&amp;"-"&amp;TEXT(B266,"AAMMDD")&amp;"-"&amp;(COUNTIFS($C$5:C266,C266,$B$5:B266,B266,$I$5:I266,"ENTRADA")))</f>
        <v/>
      </c>
    </row>
    <row r="267" spans="1:20">
      <c r="A267" s="22" t="s">
        <v>344</v>
      </c>
      <c r="H267" s="22" t="str">
        <f t="shared" si="14"/>
        <v/>
      </c>
      <c r="J267" s="32"/>
      <c r="T267" t="str">
        <f>IF(OR(C267="",I267&lt;&gt;"ENTRADA"),"",UPPER(LEFT(SUBSTITUTE(C267," ",""),3))&amp;"-"&amp;TEXT(B267,"AAMMDD")&amp;"-"&amp;(COUNTIFS($C$5:C267,C267,$B$5:B267,B267,$I$5:I267,"ENTRADA")))</f>
        <v/>
      </c>
    </row>
    <row r="268" spans="1:20">
      <c r="A268" s="22" t="s">
        <v>345</v>
      </c>
      <c r="H268" s="22" t="str">
        <f t="shared" si="14"/>
        <v/>
      </c>
      <c r="J268" s="32"/>
      <c r="T268" t="str">
        <f>IF(OR(C268="",I268&lt;&gt;"ENTRADA"),"",UPPER(LEFT(SUBSTITUTE(C268," ",""),3))&amp;"-"&amp;TEXT(B268,"AAMMDD")&amp;"-"&amp;(COUNTIFS($C$5:C268,C268,$B$5:B268,B268,$I$5:I268,"ENTRADA")))</f>
        <v/>
      </c>
    </row>
    <row r="269" spans="1:20">
      <c r="A269" s="22" t="s">
        <v>346</v>
      </c>
      <c r="H269" s="22" t="str">
        <f t="shared" si="14"/>
        <v/>
      </c>
      <c r="J269" s="32"/>
      <c r="T269" t="str">
        <f>IF(OR(C269="",I269&lt;&gt;"ENTRADA"),"",UPPER(LEFT(SUBSTITUTE(C269," ",""),3))&amp;"-"&amp;TEXT(B269,"AAMMDD")&amp;"-"&amp;(COUNTIFS($C$5:C269,C269,$B$5:B269,B269,$I$5:I269,"ENTRADA")))</f>
        <v/>
      </c>
    </row>
    <row r="270" spans="1:20">
      <c r="A270" s="22" t="s">
        <v>347</v>
      </c>
      <c r="H270" s="22" t="str">
        <f t="shared" si="14"/>
        <v/>
      </c>
      <c r="J270" s="32"/>
      <c r="T270" t="str">
        <f>IF(OR(C270="",I270&lt;&gt;"ENTRADA"),"",UPPER(LEFT(SUBSTITUTE(C270," ",""),3))&amp;"-"&amp;TEXT(B270,"AAMMDD")&amp;"-"&amp;(COUNTIFS($C$5:C270,C270,$B$5:B270,B270,$I$5:I270,"ENTRADA")))</f>
        <v/>
      </c>
    </row>
    <row r="271" spans="1:20">
      <c r="A271" s="22" t="s">
        <v>348</v>
      </c>
      <c r="H271" s="22" t="str">
        <f t="shared" si="14"/>
        <v/>
      </c>
      <c r="J271" s="32"/>
      <c r="T271" t="str">
        <f>IF(OR(C271="",I271&lt;&gt;"ENTRADA"),"",UPPER(LEFT(SUBSTITUTE(C271," ",""),3))&amp;"-"&amp;TEXT(B271,"AAMMDD")&amp;"-"&amp;(COUNTIFS($C$5:C271,C271,$B$5:B271,B271,$I$5:I271,"ENTRADA")))</f>
        <v/>
      </c>
    </row>
    <row r="272" spans="1:20">
      <c r="A272" s="22" t="s">
        <v>349</v>
      </c>
      <c r="H272" s="22" t="str">
        <f t="shared" ref="H272:H335" si="15">+T272</f>
        <v/>
      </c>
      <c r="J272" s="32"/>
      <c r="T272" t="str">
        <f>IF(OR(C272="",I272&lt;&gt;"ENTRADA"),"",UPPER(LEFT(SUBSTITUTE(C272," ",""),3))&amp;"-"&amp;TEXT(B272,"AAMMDD")&amp;"-"&amp;(COUNTIFS($C$5:C272,C272,$B$5:B272,B272,$I$5:I272,"ENTRADA")))</f>
        <v/>
      </c>
    </row>
    <row r="273" spans="1:20">
      <c r="A273" s="22" t="s">
        <v>350</v>
      </c>
      <c r="H273" s="22" t="str">
        <f t="shared" si="15"/>
        <v/>
      </c>
      <c r="J273" s="32"/>
      <c r="T273" t="str">
        <f>IF(OR(C273="",I273&lt;&gt;"ENTRADA"),"",UPPER(LEFT(SUBSTITUTE(C273," ",""),3))&amp;"-"&amp;TEXT(B273,"AAMMDD")&amp;"-"&amp;(COUNTIFS($C$5:C273,C273,$B$5:B273,B273,$I$5:I273,"ENTRADA")))</f>
        <v/>
      </c>
    </row>
    <row r="274" spans="1:20">
      <c r="A274" s="22" t="s">
        <v>351</v>
      </c>
      <c r="H274" s="22" t="str">
        <f t="shared" si="15"/>
        <v/>
      </c>
      <c r="J274" s="32"/>
      <c r="T274" t="str">
        <f>IF(OR(C274="",I274&lt;&gt;"ENTRADA"),"",UPPER(LEFT(SUBSTITUTE(C274," ",""),3))&amp;"-"&amp;TEXT(B274,"AAMMDD")&amp;"-"&amp;(COUNTIFS($C$5:C274,C274,$B$5:B274,B274,$I$5:I274,"ENTRADA")))</f>
        <v/>
      </c>
    </row>
    <row r="275" spans="1:20">
      <c r="A275" s="22" t="s">
        <v>352</v>
      </c>
      <c r="H275" s="22" t="str">
        <f t="shared" si="15"/>
        <v/>
      </c>
      <c r="J275" s="32"/>
      <c r="T275" t="str">
        <f>IF(OR(C275="",I275&lt;&gt;"ENTRADA"),"",UPPER(LEFT(SUBSTITUTE(C275," ",""),3))&amp;"-"&amp;TEXT(B275,"AAMMDD")&amp;"-"&amp;(COUNTIFS($C$5:C275,C275,$B$5:B275,B275,$I$5:I275,"ENTRADA")))</f>
        <v/>
      </c>
    </row>
    <row r="276" spans="1:20">
      <c r="A276" s="22" t="s">
        <v>353</v>
      </c>
      <c r="H276" s="22" t="str">
        <f t="shared" si="15"/>
        <v/>
      </c>
      <c r="J276" s="32"/>
      <c r="T276" t="str">
        <f>IF(OR(C276="",I276&lt;&gt;"ENTRADA"),"",UPPER(LEFT(SUBSTITUTE(C276," ",""),3))&amp;"-"&amp;TEXT(B276,"AAMMDD")&amp;"-"&amp;(COUNTIFS($C$5:C276,C276,$B$5:B276,B276,$I$5:I276,"ENTRADA")))</f>
        <v/>
      </c>
    </row>
    <row r="277" spans="1:20">
      <c r="A277" s="22" t="s">
        <v>354</v>
      </c>
      <c r="H277" s="22" t="str">
        <f t="shared" si="15"/>
        <v/>
      </c>
      <c r="J277" s="32"/>
      <c r="T277" t="str">
        <f>IF(OR(C277="",I277&lt;&gt;"ENTRADA"),"",UPPER(LEFT(SUBSTITUTE(C277," ",""),3))&amp;"-"&amp;TEXT(B277,"AAMMDD")&amp;"-"&amp;(COUNTIFS($C$5:C277,C277,$B$5:B277,B277,$I$5:I277,"ENTRADA")))</f>
        <v/>
      </c>
    </row>
    <row r="278" spans="1:20">
      <c r="A278" s="22" t="s">
        <v>355</v>
      </c>
      <c r="H278" s="22" t="str">
        <f t="shared" si="15"/>
        <v/>
      </c>
      <c r="J278" s="32"/>
      <c r="T278" t="str">
        <f>IF(OR(C278="",I278&lt;&gt;"ENTRADA"),"",UPPER(LEFT(SUBSTITUTE(C278," ",""),3))&amp;"-"&amp;TEXT(B278,"AAMMDD")&amp;"-"&amp;(COUNTIFS($C$5:C278,C278,$B$5:B278,B278,$I$5:I278,"ENTRADA")))</f>
        <v/>
      </c>
    </row>
    <row r="279" spans="1:20">
      <c r="A279" s="22" t="s">
        <v>356</v>
      </c>
      <c r="H279" s="22" t="str">
        <f t="shared" si="15"/>
        <v/>
      </c>
      <c r="J279" s="32"/>
      <c r="T279" t="str">
        <f>IF(OR(C279="",I279&lt;&gt;"ENTRADA"),"",UPPER(LEFT(SUBSTITUTE(C279," ",""),3))&amp;"-"&amp;TEXT(B279,"AAMMDD")&amp;"-"&amp;(COUNTIFS($C$5:C279,C279,$B$5:B279,B279,$I$5:I279,"ENTRADA")))</f>
        <v/>
      </c>
    </row>
    <row r="280" spans="1:20">
      <c r="A280" s="22" t="s">
        <v>357</v>
      </c>
      <c r="H280" s="22" t="str">
        <f t="shared" si="15"/>
        <v/>
      </c>
      <c r="J280" s="32"/>
      <c r="T280" t="str">
        <f>IF(OR(C280="",I280&lt;&gt;"ENTRADA"),"",UPPER(LEFT(SUBSTITUTE(C280," ",""),3))&amp;"-"&amp;TEXT(B280,"AAMMDD")&amp;"-"&amp;(COUNTIFS($C$5:C280,C280,$B$5:B280,B280,$I$5:I280,"ENTRADA")))</f>
        <v/>
      </c>
    </row>
    <row r="281" spans="1:20">
      <c r="A281" s="22" t="s">
        <v>358</v>
      </c>
      <c r="H281" s="22" t="str">
        <f t="shared" si="15"/>
        <v/>
      </c>
      <c r="J281" s="32"/>
      <c r="T281" t="str">
        <f>IF(OR(C281="",I281&lt;&gt;"ENTRADA"),"",UPPER(LEFT(SUBSTITUTE(C281," ",""),3))&amp;"-"&amp;TEXT(B281,"AAMMDD")&amp;"-"&amp;(COUNTIFS($C$5:C281,C281,$B$5:B281,B281,$I$5:I281,"ENTRADA")))</f>
        <v/>
      </c>
    </row>
    <row r="282" spans="1:20">
      <c r="A282" s="22" t="s">
        <v>359</v>
      </c>
      <c r="H282" s="22" t="str">
        <f t="shared" si="15"/>
        <v/>
      </c>
      <c r="J282" s="32"/>
      <c r="T282" t="str">
        <f>IF(OR(C282="",I282&lt;&gt;"ENTRADA"),"",UPPER(LEFT(SUBSTITUTE(C282," ",""),3))&amp;"-"&amp;TEXT(B282,"AAMMDD")&amp;"-"&amp;(COUNTIFS($C$5:C282,C282,$B$5:B282,B282,$I$5:I282,"ENTRADA")))</f>
        <v/>
      </c>
    </row>
    <row r="283" spans="1:20">
      <c r="A283" s="22" t="s">
        <v>360</v>
      </c>
      <c r="H283" s="22" t="str">
        <f t="shared" si="15"/>
        <v/>
      </c>
      <c r="J283" s="32"/>
      <c r="T283" t="str">
        <f>IF(OR(C283="",I283&lt;&gt;"ENTRADA"),"",UPPER(LEFT(SUBSTITUTE(C283," ",""),3))&amp;"-"&amp;TEXT(B283,"AAMMDD")&amp;"-"&amp;(COUNTIFS($C$5:C283,C283,$B$5:B283,B283,$I$5:I283,"ENTRADA")))</f>
        <v/>
      </c>
    </row>
    <row r="284" spans="1:20">
      <c r="A284" s="22" t="s">
        <v>361</v>
      </c>
      <c r="H284" s="22" t="str">
        <f t="shared" si="15"/>
        <v/>
      </c>
      <c r="J284" s="32"/>
      <c r="T284" t="str">
        <f>IF(OR(C284="",I284&lt;&gt;"ENTRADA"),"",UPPER(LEFT(SUBSTITUTE(C284," ",""),3))&amp;"-"&amp;TEXT(B284,"AAMMDD")&amp;"-"&amp;(COUNTIFS($C$5:C284,C284,$B$5:B284,B284,$I$5:I284,"ENTRADA")))</f>
        <v/>
      </c>
    </row>
    <row r="285" spans="1:20">
      <c r="A285" s="22" t="s">
        <v>362</v>
      </c>
      <c r="H285" s="22" t="str">
        <f t="shared" si="15"/>
        <v/>
      </c>
      <c r="J285" s="32"/>
      <c r="T285" t="str">
        <f>IF(OR(C285="",I285&lt;&gt;"ENTRADA"),"",UPPER(LEFT(SUBSTITUTE(C285," ",""),3))&amp;"-"&amp;TEXT(B285,"AAMMDD")&amp;"-"&amp;(COUNTIFS($C$5:C285,C285,$B$5:B285,B285,$I$5:I285,"ENTRADA")))</f>
        <v/>
      </c>
    </row>
    <row r="286" spans="1:20">
      <c r="A286" s="22" t="s">
        <v>363</v>
      </c>
      <c r="H286" s="22" t="str">
        <f t="shared" si="15"/>
        <v/>
      </c>
      <c r="J286" s="32"/>
      <c r="T286" t="str">
        <f>IF(OR(C286="",I286&lt;&gt;"ENTRADA"),"",UPPER(LEFT(SUBSTITUTE(C286," ",""),3))&amp;"-"&amp;TEXT(B286,"AAMMDD")&amp;"-"&amp;(COUNTIFS($C$5:C286,C286,$B$5:B286,B286,$I$5:I286,"ENTRADA")))</f>
        <v/>
      </c>
    </row>
    <row r="287" spans="1:20">
      <c r="A287" s="22" t="s">
        <v>364</v>
      </c>
      <c r="H287" s="22" t="str">
        <f t="shared" si="15"/>
        <v/>
      </c>
      <c r="J287" s="32"/>
      <c r="T287" t="str">
        <f>IF(OR(C287="",I287&lt;&gt;"ENTRADA"),"",UPPER(LEFT(SUBSTITUTE(C287," ",""),3))&amp;"-"&amp;TEXT(B287,"AAMMDD")&amp;"-"&amp;(COUNTIFS($C$5:C287,C287,$B$5:B287,B287,$I$5:I287,"ENTRADA")))</f>
        <v/>
      </c>
    </row>
    <row r="288" spans="1:20">
      <c r="A288" s="22" t="s">
        <v>365</v>
      </c>
      <c r="H288" s="22" t="str">
        <f t="shared" si="15"/>
        <v/>
      </c>
      <c r="J288" s="32"/>
      <c r="T288" t="str">
        <f>IF(OR(C288="",I288&lt;&gt;"ENTRADA"),"",UPPER(LEFT(SUBSTITUTE(C288," ",""),3))&amp;"-"&amp;TEXT(B288,"AAMMDD")&amp;"-"&amp;(COUNTIFS($C$5:C288,C288,$B$5:B288,B288,$I$5:I288,"ENTRADA")))</f>
        <v/>
      </c>
    </row>
    <row r="289" spans="1:20">
      <c r="A289" s="22" t="s">
        <v>366</v>
      </c>
      <c r="H289" s="22" t="str">
        <f t="shared" si="15"/>
        <v/>
      </c>
      <c r="J289" s="32"/>
      <c r="T289" t="str">
        <f>IF(OR(C289="",I289&lt;&gt;"ENTRADA"),"",UPPER(LEFT(SUBSTITUTE(C289," ",""),3))&amp;"-"&amp;TEXT(B289,"AAMMDD")&amp;"-"&amp;(COUNTIFS($C$5:C289,C289,$B$5:B289,B289,$I$5:I289,"ENTRADA")))</f>
        <v/>
      </c>
    </row>
    <row r="290" spans="1:20">
      <c r="A290" s="22" t="s">
        <v>367</v>
      </c>
      <c r="H290" s="22" t="str">
        <f t="shared" si="15"/>
        <v/>
      </c>
      <c r="J290" s="32"/>
      <c r="T290" t="str">
        <f>IF(OR(C290="",I290&lt;&gt;"ENTRADA"),"",UPPER(LEFT(SUBSTITUTE(C290," ",""),3))&amp;"-"&amp;TEXT(B290,"AAMMDD")&amp;"-"&amp;(COUNTIFS($C$5:C290,C290,$B$5:B290,B290,$I$5:I290,"ENTRADA")))</f>
        <v/>
      </c>
    </row>
    <row r="291" spans="1:20">
      <c r="A291" s="22" t="s">
        <v>368</v>
      </c>
      <c r="H291" s="22" t="str">
        <f t="shared" si="15"/>
        <v/>
      </c>
      <c r="J291" s="32"/>
      <c r="T291" t="str">
        <f>IF(OR(C291="",I291&lt;&gt;"ENTRADA"),"",UPPER(LEFT(SUBSTITUTE(C291," ",""),3))&amp;"-"&amp;TEXT(B291,"AAMMDD")&amp;"-"&amp;(COUNTIFS($C$5:C291,C291,$B$5:B291,B291,$I$5:I291,"ENTRADA")))</f>
        <v/>
      </c>
    </row>
    <row r="292" spans="1:20">
      <c r="A292" s="22" t="s">
        <v>369</v>
      </c>
      <c r="H292" s="22" t="str">
        <f t="shared" si="15"/>
        <v/>
      </c>
      <c r="J292" s="32"/>
      <c r="T292" t="str">
        <f>IF(OR(C292="",I292&lt;&gt;"ENTRADA"),"",UPPER(LEFT(SUBSTITUTE(C292," ",""),3))&amp;"-"&amp;TEXT(B292,"AAMMDD")&amp;"-"&amp;(COUNTIFS($C$5:C292,C292,$B$5:B292,B292,$I$5:I292,"ENTRADA")))</f>
        <v/>
      </c>
    </row>
    <row r="293" spans="1:20">
      <c r="A293" s="22" t="s">
        <v>370</v>
      </c>
      <c r="H293" s="22" t="str">
        <f t="shared" si="15"/>
        <v/>
      </c>
      <c r="J293" s="32"/>
      <c r="T293" t="str">
        <f>IF(OR(C293="",I293&lt;&gt;"ENTRADA"),"",UPPER(LEFT(SUBSTITUTE(C293," ",""),3))&amp;"-"&amp;TEXT(B293,"AAMMDD")&amp;"-"&amp;(COUNTIFS($C$5:C293,C293,$B$5:B293,B293,$I$5:I293,"ENTRADA")))</f>
        <v/>
      </c>
    </row>
    <row r="294" spans="1:20">
      <c r="A294" s="22" t="s">
        <v>371</v>
      </c>
      <c r="H294" s="22" t="str">
        <f t="shared" si="15"/>
        <v/>
      </c>
      <c r="J294" s="32"/>
      <c r="T294" t="str">
        <f>IF(OR(C294="",I294&lt;&gt;"ENTRADA"),"",UPPER(LEFT(SUBSTITUTE(C294," ",""),3))&amp;"-"&amp;TEXT(B294,"AAMMDD")&amp;"-"&amp;(COUNTIFS($C$5:C294,C294,$B$5:B294,B294,$I$5:I294,"ENTRADA")))</f>
        <v/>
      </c>
    </row>
    <row r="295" spans="1:20">
      <c r="A295" s="22" t="s">
        <v>372</v>
      </c>
      <c r="H295" s="22" t="str">
        <f t="shared" si="15"/>
        <v/>
      </c>
      <c r="J295" s="32"/>
      <c r="T295" t="str">
        <f>IF(OR(C295="",I295&lt;&gt;"ENTRADA"),"",UPPER(LEFT(SUBSTITUTE(C295," ",""),3))&amp;"-"&amp;TEXT(B295,"AAMMDD")&amp;"-"&amp;(COUNTIFS($C$5:C295,C295,$B$5:B295,B295,$I$5:I295,"ENTRADA")))</f>
        <v/>
      </c>
    </row>
    <row r="296" spans="1:20">
      <c r="A296" s="22" t="s">
        <v>373</v>
      </c>
      <c r="H296" s="22" t="str">
        <f t="shared" si="15"/>
        <v/>
      </c>
      <c r="J296" s="32"/>
      <c r="T296" t="str">
        <f>IF(OR(C296="",I296&lt;&gt;"ENTRADA"),"",UPPER(LEFT(SUBSTITUTE(C296," ",""),3))&amp;"-"&amp;TEXT(B296,"AAMMDD")&amp;"-"&amp;(COUNTIFS($C$5:C296,C296,$B$5:B296,B296,$I$5:I296,"ENTRADA")))</f>
        <v/>
      </c>
    </row>
    <row r="297" spans="1:20">
      <c r="A297" s="22" t="s">
        <v>374</v>
      </c>
      <c r="H297" s="22" t="str">
        <f t="shared" si="15"/>
        <v/>
      </c>
      <c r="J297" s="32"/>
      <c r="T297" t="str">
        <f>IF(OR(C297="",I297&lt;&gt;"ENTRADA"),"",UPPER(LEFT(SUBSTITUTE(C297," ",""),3))&amp;"-"&amp;TEXT(B297,"AAMMDD")&amp;"-"&amp;(COUNTIFS($C$5:C297,C297,$B$5:B297,B297,$I$5:I297,"ENTRADA")))</f>
        <v/>
      </c>
    </row>
    <row r="298" spans="1:20">
      <c r="A298" s="22" t="s">
        <v>375</v>
      </c>
      <c r="H298" s="22" t="str">
        <f t="shared" si="15"/>
        <v/>
      </c>
      <c r="J298" s="32"/>
      <c r="T298" t="str">
        <f>IF(OR(C298="",I298&lt;&gt;"ENTRADA"),"",UPPER(LEFT(SUBSTITUTE(C298," ",""),3))&amp;"-"&amp;TEXT(B298,"AAMMDD")&amp;"-"&amp;(COUNTIFS($C$5:C298,C298,$B$5:B298,B298,$I$5:I298,"ENTRADA")))</f>
        <v/>
      </c>
    </row>
    <row r="299" spans="1:20">
      <c r="A299" s="22" t="s">
        <v>376</v>
      </c>
      <c r="H299" s="22" t="str">
        <f t="shared" si="15"/>
        <v/>
      </c>
      <c r="J299" s="32"/>
      <c r="T299" t="str">
        <f>IF(OR(C299="",I299&lt;&gt;"ENTRADA"),"",UPPER(LEFT(SUBSTITUTE(C299," ",""),3))&amp;"-"&amp;TEXT(B299,"AAMMDD")&amp;"-"&amp;(COUNTIFS($C$5:C299,C299,$B$5:B299,B299,$I$5:I299,"ENTRADA")))</f>
        <v/>
      </c>
    </row>
    <row r="300" spans="1:20">
      <c r="A300" s="22" t="s">
        <v>377</v>
      </c>
      <c r="H300" s="22" t="str">
        <f t="shared" si="15"/>
        <v/>
      </c>
      <c r="J300" s="32"/>
      <c r="T300" t="str">
        <f>IF(OR(C300="",I300&lt;&gt;"ENTRADA"),"",UPPER(LEFT(SUBSTITUTE(C300," ",""),3))&amp;"-"&amp;TEXT(B300,"AAMMDD")&amp;"-"&amp;(COUNTIFS($C$5:C300,C300,$B$5:B300,B300,$I$5:I300,"ENTRADA")))</f>
        <v/>
      </c>
    </row>
    <row r="301" spans="1:20">
      <c r="A301" s="22" t="s">
        <v>378</v>
      </c>
      <c r="H301" s="22" t="str">
        <f t="shared" si="15"/>
        <v/>
      </c>
      <c r="J301" s="32"/>
      <c r="T301" t="str">
        <f>IF(OR(C301="",I301&lt;&gt;"ENTRADA"),"",UPPER(LEFT(SUBSTITUTE(C301," ",""),3))&amp;"-"&amp;TEXT(B301,"AAMMDD")&amp;"-"&amp;(COUNTIFS($C$5:C301,C301,$B$5:B301,B301,$I$5:I301,"ENTRADA")))</f>
        <v/>
      </c>
    </row>
    <row r="302" spans="1:20">
      <c r="A302" s="22" t="s">
        <v>379</v>
      </c>
      <c r="H302" s="22" t="str">
        <f t="shared" si="15"/>
        <v/>
      </c>
      <c r="J302" s="32"/>
      <c r="T302" t="str">
        <f>IF(OR(C302="",I302&lt;&gt;"ENTRADA"),"",UPPER(LEFT(SUBSTITUTE(C302," ",""),3))&amp;"-"&amp;TEXT(B302,"AAMMDD")&amp;"-"&amp;(COUNTIFS($C$5:C302,C302,$B$5:B302,B302,$I$5:I302,"ENTRADA")))</f>
        <v/>
      </c>
    </row>
    <row r="303" spans="1:20">
      <c r="A303" s="22" t="s">
        <v>380</v>
      </c>
      <c r="H303" s="22" t="str">
        <f t="shared" si="15"/>
        <v/>
      </c>
      <c r="J303" s="32"/>
      <c r="T303" t="str">
        <f>IF(OR(C303="",I303&lt;&gt;"ENTRADA"),"",UPPER(LEFT(SUBSTITUTE(C303," ",""),3))&amp;"-"&amp;TEXT(B303,"AAMMDD")&amp;"-"&amp;(COUNTIFS($C$5:C303,C303,$B$5:B303,B303,$I$5:I303,"ENTRADA")))</f>
        <v/>
      </c>
    </row>
    <row r="304" spans="1:20">
      <c r="A304" s="22" t="s">
        <v>381</v>
      </c>
      <c r="H304" s="22" t="str">
        <f t="shared" si="15"/>
        <v/>
      </c>
      <c r="J304" s="32"/>
      <c r="T304" t="str">
        <f>IF(OR(C304="",I304&lt;&gt;"ENTRADA"),"",UPPER(LEFT(SUBSTITUTE(C304," ",""),3))&amp;"-"&amp;TEXT(B304,"AAMMDD")&amp;"-"&amp;(COUNTIFS($C$5:C304,C304,$B$5:B304,B304,$I$5:I304,"ENTRADA")))</f>
        <v/>
      </c>
    </row>
    <row r="305" spans="1:20">
      <c r="A305" s="22" t="s">
        <v>382</v>
      </c>
      <c r="H305" s="22" t="str">
        <f t="shared" si="15"/>
        <v/>
      </c>
      <c r="J305" s="32"/>
      <c r="T305" t="str">
        <f>IF(OR(C305="",I305&lt;&gt;"ENTRADA"),"",UPPER(LEFT(SUBSTITUTE(C305," ",""),3))&amp;"-"&amp;TEXT(B305,"AAMMDD")&amp;"-"&amp;(COUNTIFS($C$5:C305,C305,$B$5:B305,B305,$I$5:I305,"ENTRADA")))</f>
        <v/>
      </c>
    </row>
    <row r="306" spans="1:20">
      <c r="A306" s="22" t="s">
        <v>383</v>
      </c>
      <c r="H306" s="22" t="str">
        <f t="shared" si="15"/>
        <v/>
      </c>
      <c r="J306" s="32"/>
      <c r="T306" t="str">
        <f>IF(OR(C306="",I306&lt;&gt;"ENTRADA"),"",UPPER(LEFT(SUBSTITUTE(C306," ",""),3))&amp;"-"&amp;TEXT(B306,"AAMMDD")&amp;"-"&amp;(COUNTIFS($C$5:C306,C306,$B$5:B306,B306,$I$5:I306,"ENTRADA")))</f>
        <v/>
      </c>
    </row>
    <row r="307" spans="1:20">
      <c r="A307" s="22" t="s">
        <v>384</v>
      </c>
      <c r="H307" s="22" t="str">
        <f t="shared" si="15"/>
        <v/>
      </c>
      <c r="J307" s="32"/>
      <c r="T307" t="str">
        <f>IF(OR(C307="",I307&lt;&gt;"ENTRADA"),"",UPPER(LEFT(SUBSTITUTE(C307," ",""),3))&amp;"-"&amp;TEXT(B307,"AAMMDD")&amp;"-"&amp;(COUNTIFS($C$5:C307,C307,$B$5:B307,B307,$I$5:I307,"ENTRADA")))</f>
        <v/>
      </c>
    </row>
    <row r="308" spans="1:20">
      <c r="A308" s="22" t="s">
        <v>385</v>
      </c>
      <c r="H308" s="22" t="str">
        <f t="shared" si="15"/>
        <v/>
      </c>
      <c r="J308" s="32"/>
      <c r="T308" t="str">
        <f>IF(OR(C308="",I308&lt;&gt;"ENTRADA"),"",UPPER(LEFT(SUBSTITUTE(C308," ",""),3))&amp;"-"&amp;TEXT(B308,"AAMMDD")&amp;"-"&amp;(COUNTIFS($C$5:C308,C308,$B$5:B308,B308,$I$5:I308,"ENTRADA")))</f>
        <v/>
      </c>
    </row>
    <row r="309" spans="1:20">
      <c r="A309" s="22" t="s">
        <v>386</v>
      </c>
      <c r="H309" s="22" t="str">
        <f t="shared" si="15"/>
        <v/>
      </c>
      <c r="J309" s="32"/>
      <c r="T309" t="str">
        <f>IF(OR(C309="",I309&lt;&gt;"ENTRADA"),"",UPPER(LEFT(SUBSTITUTE(C309," ",""),3))&amp;"-"&amp;TEXT(B309,"AAMMDD")&amp;"-"&amp;(COUNTIFS($C$5:C309,C309,$B$5:B309,B309,$I$5:I309,"ENTRADA")))</f>
        <v/>
      </c>
    </row>
    <row r="310" spans="1:20">
      <c r="A310" s="22" t="s">
        <v>387</v>
      </c>
      <c r="H310" s="22" t="str">
        <f t="shared" si="15"/>
        <v/>
      </c>
      <c r="J310" s="32"/>
      <c r="T310" t="str">
        <f>IF(OR(C310="",I310&lt;&gt;"ENTRADA"),"",UPPER(LEFT(SUBSTITUTE(C310," ",""),3))&amp;"-"&amp;TEXT(B310,"AAMMDD")&amp;"-"&amp;(COUNTIFS($C$5:C310,C310,$B$5:B310,B310,$I$5:I310,"ENTRADA")))</f>
        <v/>
      </c>
    </row>
    <row r="311" spans="1:20">
      <c r="A311" s="22" t="s">
        <v>388</v>
      </c>
      <c r="H311" s="22" t="str">
        <f t="shared" si="15"/>
        <v/>
      </c>
      <c r="J311" s="32"/>
      <c r="T311" t="str">
        <f>IF(OR(C311="",I311&lt;&gt;"ENTRADA"),"",UPPER(LEFT(SUBSTITUTE(C311," ",""),3))&amp;"-"&amp;TEXT(B311,"AAMMDD")&amp;"-"&amp;(COUNTIFS($C$5:C311,C311,$B$5:B311,B311,$I$5:I311,"ENTRADA")))</f>
        <v/>
      </c>
    </row>
    <row r="312" spans="1:20">
      <c r="A312" s="22" t="s">
        <v>389</v>
      </c>
      <c r="H312" s="22" t="str">
        <f t="shared" si="15"/>
        <v/>
      </c>
      <c r="J312" s="32"/>
      <c r="T312" t="str">
        <f>IF(OR(C312="",I312&lt;&gt;"ENTRADA"),"",UPPER(LEFT(SUBSTITUTE(C312," ",""),3))&amp;"-"&amp;TEXT(B312,"AAMMDD")&amp;"-"&amp;(COUNTIFS($C$5:C312,C312,$B$5:B312,B312,$I$5:I312,"ENTRADA")))</f>
        <v/>
      </c>
    </row>
    <row r="313" spans="1:20">
      <c r="A313" s="22" t="s">
        <v>390</v>
      </c>
      <c r="H313" s="22" t="str">
        <f t="shared" si="15"/>
        <v/>
      </c>
      <c r="J313" s="32"/>
      <c r="T313" t="str">
        <f>IF(OR(C313="",I313&lt;&gt;"ENTRADA"),"",UPPER(LEFT(SUBSTITUTE(C313," ",""),3))&amp;"-"&amp;TEXT(B313,"AAMMDD")&amp;"-"&amp;(COUNTIFS($C$5:C313,C313,$B$5:B313,B313,$I$5:I313,"ENTRADA")))</f>
        <v/>
      </c>
    </row>
    <row r="314" spans="1:20">
      <c r="A314" s="22" t="s">
        <v>391</v>
      </c>
      <c r="H314" s="22" t="str">
        <f t="shared" si="15"/>
        <v/>
      </c>
      <c r="J314" s="32"/>
      <c r="T314" t="str">
        <f>IF(OR(C314="",I314&lt;&gt;"ENTRADA"),"",UPPER(LEFT(SUBSTITUTE(C314," ",""),3))&amp;"-"&amp;TEXT(B314,"AAMMDD")&amp;"-"&amp;(COUNTIFS($C$5:C314,C314,$B$5:B314,B314,$I$5:I314,"ENTRADA")))</f>
        <v/>
      </c>
    </row>
    <row r="315" spans="1:20">
      <c r="A315" s="22" t="s">
        <v>392</v>
      </c>
      <c r="H315" s="22" t="str">
        <f t="shared" si="15"/>
        <v/>
      </c>
      <c r="J315" s="32"/>
      <c r="T315" t="str">
        <f>IF(OR(C315="",I315&lt;&gt;"ENTRADA"),"",UPPER(LEFT(SUBSTITUTE(C315," ",""),3))&amp;"-"&amp;TEXT(B315,"AAMMDD")&amp;"-"&amp;(COUNTIFS($C$5:C315,C315,$B$5:B315,B315,$I$5:I315,"ENTRADA")))</f>
        <v/>
      </c>
    </row>
    <row r="316" spans="1:20">
      <c r="A316" s="22" t="s">
        <v>393</v>
      </c>
      <c r="H316" s="22" t="str">
        <f t="shared" si="15"/>
        <v/>
      </c>
      <c r="J316" s="32"/>
      <c r="T316" t="str">
        <f>IF(OR(C316="",I316&lt;&gt;"ENTRADA"),"",UPPER(LEFT(SUBSTITUTE(C316," ",""),3))&amp;"-"&amp;TEXT(B316,"AAMMDD")&amp;"-"&amp;(COUNTIFS($C$5:C316,C316,$B$5:B316,B316,$I$5:I316,"ENTRADA")))</f>
        <v/>
      </c>
    </row>
    <row r="317" spans="1:20">
      <c r="A317" s="22" t="s">
        <v>394</v>
      </c>
      <c r="H317" s="22" t="str">
        <f t="shared" si="15"/>
        <v/>
      </c>
      <c r="J317" s="32"/>
      <c r="T317" t="str">
        <f>IF(OR(C317="",I317&lt;&gt;"ENTRADA"),"",UPPER(LEFT(SUBSTITUTE(C317," ",""),3))&amp;"-"&amp;TEXT(B317,"AAMMDD")&amp;"-"&amp;(COUNTIFS($C$5:C317,C317,$B$5:B317,B317,$I$5:I317,"ENTRADA")))</f>
        <v/>
      </c>
    </row>
    <row r="318" spans="1:20">
      <c r="A318" s="22" t="s">
        <v>395</v>
      </c>
      <c r="H318" s="22" t="str">
        <f t="shared" si="15"/>
        <v/>
      </c>
      <c r="J318" s="32"/>
      <c r="T318" t="str">
        <f>IF(OR(C318="",I318&lt;&gt;"ENTRADA"),"",UPPER(LEFT(SUBSTITUTE(C318," ",""),3))&amp;"-"&amp;TEXT(B318,"AAMMDD")&amp;"-"&amp;(COUNTIFS($C$5:C318,C318,$B$5:B318,B318,$I$5:I318,"ENTRADA")))</f>
        <v/>
      </c>
    </row>
    <row r="319" spans="1:20">
      <c r="A319" s="22" t="s">
        <v>396</v>
      </c>
      <c r="H319" s="22" t="str">
        <f t="shared" si="15"/>
        <v/>
      </c>
      <c r="J319" s="32"/>
      <c r="T319" t="str">
        <f>IF(OR(C319="",I319&lt;&gt;"ENTRADA"),"",UPPER(LEFT(SUBSTITUTE(C319," ",""),3))&amp;"-"&amp;TEXT(B319,"AAMMDD")&amp;"-"&amp;(COUNTIFS($C$5:C319,C319,$B$5:B319,B319,$I$5:I319,"ENTRADA")))</f>
        <v/>
      </c>
    </row>
    <row r="320" spans="1:20">
      <c r="A320" s="22" t="s">
        <v>397</v>
      </c>
      <c r="H320" s="22" t="str">
        <f t="shared" si="15"/>
        <v/>
      </c>
      <c r="J320" s="32"/>
      <c r="T320" t="str">
        <f>IF(OR(C320="",I320&lt;&gt;"ENTRADA"),"",UPPER(LEFT(SUBSTITUTE(C320," ",""),3))&amp;"-"&amp;TEXT(B320,"AAMMDD")&amp;"-"&amp;(COUNTIFS($C$5:C320,C320,$B$5:B320,B320,$I$5:I320,"ENTRADA")))</f>
        <v/>
      </c>
    </row>
    <row r="321" spans="1:20">
      <c r="A321" s="22" t="s">
        <v>398</v>
      </c>
      <c r="H321" s="22" t="str">
        <f t="shared" si="15"/>
        <v/>
      </c>
      <c r="J321" s="32"/>
      <c r="T321" t="str">
        <f>IF(OR(C321="",I321&lt;&gt;"ENTRADA"),"",UPPER(LEFT(SUBSTITUTE(C321," ",""),3))&amp;"-"&amp;TEXT(B321,"AAMMDD")&amp;"-"&amp;(COUNTIFS($C$5:C321,C321,$B$5:B321,B321,$I$5:I321,"ENTRADA")))</f>
        <v/>
      </c>
    </row>
    <row r="322" spans="1:20">
      <c r="A322" s="22" t="s">
        <v>399</v>
      </c>
      <c r="H322" s="22" t="str">
        <f t="shared" si="15"/>
        <v/>
      </c>
      <c r="J322" s="32"/>
      <c r="T322" t="str">
        <f>IF(OR(C322="",I322&lt;&gt;"ENTRADA"),"",UPPER(LEFT(SUBSTITUTE(C322," ",""),3))&amp;"-"&amp;TEXT(B322,"AAMMDD")&amp;"-"&amp;(COUNTIFS($C$5:C322,C322,$B$5:B322,B322,$I$5:I322,"ENTRADA")))</f>
        <v/>
      </c>
    </row>
    <row r="323" spans="1:20">
      <c r="A323" s="22" t="s">
        <v>400</v>
      </c>
      <c r="H323" s="22" t="str">
        <f t="shared" si="15"/>
        <v/>
      </c>
      <c r="J323" s="32"/>
      <c r="T323" t="str">
        <f>IF(OR(C323="",I323&lt;&gt;"ENTRADA"),"",UPPER(LEFT(SUBSTITUTE(C323," ",""),3))&amp;"-"&amp;TEXT(B323,"AAMMDD")&amp;"-"&amp;(COUNTIFS($C$5:C323,C323,$B$5:B323,B323,$I$5:I323,"ENTRADA")))</f>
        <v/>
      </c>
    </row>
    <row r="324" spans="1:20">
      <c r="A324" s="22" t="s">
        <v>401</v>
      </c>
      <c r="H324" s="22" t="str">
        <f t="shared" si="15"/>
        <v/>
      </c>
      <c r="J324" s="32"/>
      <c r="T324" t="str">
        <f>IF(OR(C324="",I324&lt;&gt;"ENTRADA"),"",UPPER(LEFT(SUBSTITUTE(C324," ",""),3))&amp;"-"&amp;TEXT(B324,"AAMMDD")&amp;"-"&amp;(COUNTIFS($C$5:C324,C324,$B$5:B324,B324,$I$5:I324,"ENTRADA")))</f>
        <v/>
      </c>
    </row>
    <row r="325" spans="1:20">
      <c r="A325" s="22" t="s">
        <v>402</v>
      </c>
      <c r="H325" s="22" t="str">
        <f t="shared" si="15"/>
        <v/>
      </c>
      <c r="J325" s="32"/>
      <c r="T325" t="str">
        <f>IF(OR(C325="",I325&lt;&gt;"ENTRADA"),"",UPPER(LEFT(SUBSTITUTE(C325," ",""),3))&amp;"-"&amp;TEXT(B325,"AAMMDD")&amp;"-"&amp;(COUNTIFS($C$5:C325,C325,$B$5:B325,B325,$I$5:I325,"ENTRADA")))</f>
        <v/>
      </c>
    </row>
    <row r="326" spans="1:20">
      <c r="A326" s="22" t="s">
        <v>403</v>
      </c>
      <c r="H326" s="22" t="str">
        <f t="shared" si="15"/>
        <v/>
      </c>
      <c r="J326" s="32"/>
      <c r="T326" t="str">
        <f>IF(OR(C326="",I326&lt;&gt;"ENTRADA"),"",UPPER(LEFT(SUBSTITUTE(C326," ",""),3))&amp;"-"&amp;TEXT(B326,"AAMMDD")&amp;"-"&amp;(COUNTIFS($C$5:C326,C326,$B$5:B326,B326,$I$5:I326,"ENTRADA")))</f>
        <v/>
      </c>
    </row>
    <row r="327" spans="1:20">
      <c r="A327" s="22" t="s">
        <v>404</v>
      </c>
      <c r="H327" s="22" t="str">
        <f t="shared" si="15"/>
        <v/>
      </c>
      <c r="J327" s="32"/>
      <c r="T327" t="str">
        <f>IF(OR(C327="",I327&lt;&gt;"ENTRADA"),"",UPPER(LEFT(SUBSTITUTE(C327," ",""),3))&amp;"-"&amp;TEXT(B327,"AAMMDD")&amp;"-"&amp;(COUNTIFS($C$5:C327,C327,$B$5:B327,B327,$I$5:I327,"ENTRADA")))</f>
        <v/>
      </c>
    </row>
    <row r="328" spans="1:20">
      <c r="A328" s="22" t="s">
        <v>405</v>
      </c>
      <c r="H328" s="22" t="str">
        <f t="shared" si="15"/>
        <v/>
      </c>
      <c r="J328" s="32"/>
      <c r="T328" t="str">
        <f>IF(OR(C328="",I328&lt;&gt;"ENTRADA"),"",UPPER(LEFT(SUBSTITUTE(C328," ",""),3))&amp;"-"&amp;TEXT(B328,"AAMMDD")&amp;"-"&amp;(COUNTIFS($C$5:C328,C328,$B$5:B328,B328,$I$5:I328,"ENTRADA")))</f>
        <v/>
      </c>
    </row>
    <row r="329" spans="1:20">
      <c r="A329" s="22" t="s">
        <v>406</v>
      </c>
      <c r="H329" s="22" t="str">
        <f t="shared" si="15"/>
        <v/>
      </c>
      <c r="J329" s="32"/>
      <c r="T329" t="str">
        <f>IF(OR(C329="",I329&lt;&gt;"ENTRADA"),"",UPPER(LEFT(SUBSTITUTE(C329," ",""),3))&amp;"-"&amp;TEXT(B329,"AAMMDD")&amp;"-"&amp;(COUNTIFS($C$5:C329,C329,$B$5:B329,B329,$I$5:I329,"ENTRADA")))</f>
        <v/>
      </c>
    </row>
    <row r="330" spans="1:20">
      <c r="A330" s="22" t="s">
        <v>407</v>
      </c>
      <c r="H330" s="22" t="str">
        <f t="shared" si="15"/>
        <v/>
      </c>
      <c r="J330" s="32"/>
      <c r="T330" t="str">
        <f>IF(OR(C330="",I330&lt;&gt;"ENTRADA"),"",UPPER(LEFT(SUBSTITUTE(C330," ",""),3))&amp;"-"&amp;TEXT(B330,"AAMMDD")&amp;"-"&amp;(COUNTIFS($C$5:C330,C330,$B$5:B330,B330,$I$5:I330,"ENTRADA")))</f>
        <v/>
      </c>
    </row>
    <row r="331" spans="1:20">
      <c r="A331" s="22" t="s">
        <v>408</v>
      </c>
      <c r="H331" s="22" t="str">
        <f t="shared" si="15"/>
        <v/>
      </c>
      <c r="J331" s="32"/>
      <c r="T331" t="str">
        <f>IF(OR(C331="",I331&lt;&gt;"ENTRADA"),"",UPPER(LEFT(SUBSTITUTE(C331," ",""),3))&amp;"-"&amp;TEXT(B331,"AAMMDD")&amp;"-"&amp;(COUNTIFS($C$5:C331,C331,$B$5:B331,B331,$I$5:I331,"ENTRADA")))</f>
        <v/>
      </c>
    </row>
    <row r="332" spans="1:20">
      <c r="A332" s="22" t="s">
        <v>409</v>
      </c>
      <c r="H332" s="22" t="str">
        <f t="shared" si="15"/>
        <v/>
      </c>
      <c r="J332" s="32"/>
      <c r="T332" t="str">
        <f>IF(OR(C332="",I332&lt;&gt;"ENTRADA"),"",UPPER(LEFT(SUBSTITUTE(C332," ",""),3))&amp;"-"&amp;TEXT(B332,"AAMMDD")&amp;"-"&amp;(COUNTIFS($C$5:C332,C332,$B$5:B332,B332,$I$5:I332,"ENTRADA")))</f>
        <v/>
      </c>
    </row>
    <row r="333" spans="1:20">
      <c r="A333" s="22" t="s">
        <v>410</v>
      </c>
      <c r="H333" s="22" t="str">
        <f t="shared" si="15"/>
        <v/>
      </c>
      <c r="J333" s="32"/>
      <c r="T333" t="str">
        <f>IF(OR(C333="",I333&lt;&gt;"ENTRADA"),"",UPPER(LEFT(SUBSTITUTE(C333," ",""),3))&amp;"-"&amp;TEXT(B333,"AAMMDD")&amp;"-"&amp;(COUNTIFS($C$5:C333,C333,$B$5:B333,B333,$I$5:I333,"ENTRADA")))</f>
        <v/>
      </c>
    </row>
    <row r="334" spans="1:20">
      <c r="A334" s="22" t="s">
        <v>411</v>
      </c>
      <c r="H334" s="22" t="str">
        <f t="shared" si="15"/>
        <v/>
      </c>
      <c r="J334" s="32"/>
      <c r="T334" t="str">
        <f>IF(OR(C334="",I334&lt;&gt;"ENTRADA"),"",UPPER(LEFT(SUBSTITUTE(C334," ",""),3))&amp;"-"&amp;TEXT(B334,"AAMMDD")&amp;"-"&amp;(COUNTIFS($C$5:C334,C334,$B$5:B334,B334,$I$5:I334,"ENTRADA")))</f>
        <v/>
      </c>
    </row>
    <row r="335" spans="1:20">
      <c r="A335" s="22" t="s">
        <v>412</v>
      </c>
      <c r="H335" s="22" t="str">
        <f t="shared" si="15"/>
        <v/>
      </c>
      <c r="J335" s="32"/>
      <c r="T335" t="str">
        <f>IF(OR(C335="",I335&lt;&gt;"ENTRADA"),"",UPPER(LEFT(SUBSTITUTE(C335," ",""),3))&amp;"-"&amp;TEXT(B335,"AAMMDD")&amp;"-"&amp;(COUNTIFS($C$5:C335,C335,$B$5:B335,B335,$I$5:I335,"ENTRADA")))</f>
        <v/>
      </c>
    </row>
    <row r="336" spans="1:20">
      <c r="A336" s="22" t="s">
        <v>413</v>
      </c>
      <c r="H336" s="22" t="str">
        <f t="shared" ref="H336:H399" si="16">+T336</f>
        <v/>
      </c>
      <c r="J336" s="32"/>
      <c r="T336" t="str">
        <f>IF(OR(C336="",I336&lt;&gt;"ENTRADA"),"",UPPER(LEFT(SUBSTITUTE(C336," ",""),3))&amp;"-"&amp;TEXT(B336,"AAMMDD")&amp;"-"&amp;(COUNTIFS($C$5:C336,C336,$B$5:B336,B336,$I$5:I336,"ENTRADA")))</f>
        <v/>
      </c>
    </row>
    <row r="337" spans="1:20">
      <c r="A337" s="22" t="s">
        <v>414</v>
      </c>
      <c r="H337" s="22" t="str">
        <f t="shared" si="16"/>
        <v/>
      </c>
      <c r="J337" s="32"/>
      <c r="T337" t="str">
        <f>IF(OR(C337="",I337&lt;&gt;"ENTRADA"),"",UPPER(LEFT(SUBSTITUTE(C337," ",""),3))&amp;"-"&amp;TEXT(B337,"AAMMDD")&amp;"-"&amp;(COUNTIFS($C$5:C337,C337,$B$5:B337,B337,$I$5:I337,"ENTRADA")))</f>
        <v/>
      </c>
    </row>
    <row r="338" spans="1:20">
      <c r="A338" s="22" t="s">
        <v>415</v>
      </c>
      <c r="H338" s="22" t="str">
        <f t="shared" si="16"/>
        <v/>
      </c>
      <c r="J338" s="32"/>
      <c r="T338" t="str">
        <f>IF(OR(C338="",I338&lt;&gt;"ENTRADA"),"",UPPER(LEFT(SUBSTITUTE(C338," ",""),3))&amp;"-"&amp;TEXT(B338,"AAMMDD")&amp;"-"&amp;(COUNTIFS($C$5:C338,C338,$B$5:B338,B338,$I$5:I338,"ENTRADA")))</f>
        <v/>
      </c>
    </row>
    <row r="339" spans="1:20">
      <c r="A339" s="22" t="s">
        <v>416</v>
      </c>
      <c r="H339" s="22" t="str">
        <f t="shared" si="16"/>
        <v/>
      </c>
      <c r="J339" s="32"/>
      <c r="T339" t="str">
        <f>IF(OR(C339="",I339&lt;&gt;"ENTRADA"),"",UPPER(LEFT(SUBSTITUTE(C339," ",""),3))&amp;"-"&amp;TEXT(B339,"AAMMDD")&amp;"-"&amp;(COUNTIFS($C$5:C339,C339,$B$5:B339,B339,$I$5:I339,"ENTRADA")))</f>
        <v/>
      </c>
    </row>
    <row r="340" spans="1:20">
      <c r="A340" s="22" t="s">
        <v>417</v>
      </c>
      <c r="H340" s="22" t="str">
        <f t="shared" si="16"/>
        <v/>
      </c>
      <c r="J340" s="32"/>
      <c r="T340" t="str">
        <f>IF(OR(C340="",I340&lt;&gt;"ENTRADA"),"",UPPER(LEFT(SUBSTITUTE(C340," ",""),3))&amp;"-"&amp;TEXT(B340,"AAMMDD")&amp;"-"&amp;(COUNTIFS($C$5:C340,C340,$B$5:B340,B340,$I$5:I340,"ENTRADA")))</f>
        <v/>
      </c>
    </row>
    <row r="341" spans="1:20">
      <c r="A341" s="22" t="s">
        <v>418</v>
      </c>
      <c r="H341" s="22" t="str">
        <f t="shared" si="16"/>
        <v/>
      </c>
      <c r="J341" s="32"/>
      <c r="T341" t="str">
        <f>IF(OR(C341="",I341&lt;&gt;"ENTRADA"),"",UPPER(LEFT(SUBSTITUTE(C341," ",""),3))&amp;"-"&amp;TEXT(B341,"AAMMDD")&amp;"-"&amp;(COUNTIFS($C$5:C341,C341,$B$5:B341,B341,$I$5:I341,"ENTRADA")))</f>
        <v/>
      </c>
    </row>
    <row r="342" spans="1:20">
      <c r="A342" s="22" t="s">
        <v>419</v>
      </c>
      <c r="H342" s="22" t="str">
        <f t="shared" si="16"/>
        <v/>
      </c>
      <c r="J342" s="32"/>
      <c r="T342" t="str">
        <f>IF(OR(C342="",I342&lt;&gt;"ENTRADA"),"",UPPER(LEFT(SUBSTITUTE(C342," ",""),3))&amp;"-"&amp;TEXT(B342,"AAMMDD")&amp;"-"&amp;(COUNTIFS($C$5:C342,C342,$B$5:B342,B342,$I$5:I342,"ENTRADA")))</f>
        <v/>
      </c>
    </row>
    <row r="343" spans="1:20">
      <c r="A343" s="22" t="s">
        <v>420</v>
      </c>
      <c r="H343" s="22" t="str">
        <f t="shared" si="16"/>
        <v/>
      </c>
      <c r="J343" s="32"/>
      <c r="T343" t="str">
        <f>IF(OR(C343="",I343&lt;&gt;"ENTRADA"),"",UPPER(LEFT(SUBSTITUTE(C343," ",""),3))&amp;"-"&amp;TEXT(B343,"AAMMDD")&amp;"-"&amp;(COUNTIFS($C$5:C343,C343,$B$5:B343,B343,$I$5:I343,"ENTRADA")))</f>
        <v/>
      </c>
    </row>
    <row r="344" spans="1:20">
      <c r="A344" s="22" t="s">
        <v>421</v>
      </c>
      <c r="H344" s="22" t="str">
        <f t="shared" si="16"/>
        <v/>
      </c>
      <c r="J344" s="32"/>
      <c r="T344" t="str">
        <f>IF(OR(C344="",I344&lt;&gt;"ENTRADA"),"",UPPER(LEFT(SUBSTITUTE(C344," ",""),3))&amp;"-"&amp;TEXT(B344,"AAMMDD")&amp;"-"&amp;(COUNTIFS($C$5:C344,C344,$B$5:B344,B344,$I$5:I344,"ENTRADA")))</f>
        <v/>
      </c>
    </row>
    <row r="345" spans="1:20">
      <c r="A345" s="22" t="s">
        <v>422</v>
      </c>
      <c r="H345" s="22" t="str">
        <f t="shared" si="16"/>
        <v/>
      </c>
      <c r="J345" s="32"/>
      <c r="T345" t="str">
        <f>IF(OR(C345="",I345&lt;&gt;"ENTRADA"),"",UPPER(LEFT(SUBSTITUTE(C345," ",""),3))&amp;"-"&amp;TEXT(B345,"AAMMDD")&amp;"-"&amp;(COUNTIFS($C$5:C345,C345,$B$5:B345,B345,$I$5:I345,"ENTRADA")))</f>
        <v/>
      </c>
    </row>
    <row r="346" spans="1:20">
      <c r="A346" s="22" t="s">
        <v>423</v>
      </c>
      <c r="H346" s="22" t="str">
        <f t="shared" si="16"/>
        <v/>
      </c>
      <c r="J346" s="32"/>
      <c r="T346" t="str">
        <f>IF(OR(C346="",I346&lt;&gt;"ENTRADA"),"",UPPER(LEFT(SUBSTITUTE(C346," ",""),3))&amp;"-"&amp;TEXT(B346,"AAMMDD")&amp;"-"&amp;(COUNTIFS($C$5:C346,C346,$B$5:B346,B346,$I$5:I346,"ENTRADA")))</f>
        <v/>
      </c>
    </row>
    <row r="347" spans="1:20">
      <c r="A347" s="22" t="s">
        <v>424</v>
      </c>
      <c r="H347" s="22" t="str">
        <f t="shared" si="16"/>
        <v/>
      </c>
      <c r="J347" s="32"/>
      <c r="T347" t="str">
        <f>IF(OR(C347="",I347&lt;&gt;"ENTRADA"),"",UPPER(LEFT(SUBSTITUTE(C347," ",""),3))&amp;"-"&amp;TEXT(B347,"AAMMDD")&amp;"-"&amp;(COUNTIFS($C$5:C347,C347,$B$5:B347,B347,$I$5:I347,"ENTRADA")))</f>
        <v/>
      </c>
    </row>
    <row r="348" spans="1:20">
      <c r="A348" s="22" t="s">
        <v>425</v>
      </c>
      <c r="H348" s="22" t="str">
        <f t="shared" si="16"/>
        <v/>
      </c>
      <c r="J348" s="32"/>
      <c r="T348" t="str">
        <f>IF(OR(C348="",I348&lt;&gt;"ENTRADA"),"",UPPER(LEFT(SUBSTITUTE(C348," ",""),3))&amp;"-"&amp;TEXT(B348,"AAMMDD")&amp;"-"&amp;(COUNTIFS($C$5:C348,C348,$B$5:B348,B348,$I$5:I348,"ENTRADA")))</f>
        <v/>
      </c>
    </row>
    <row r="349" spans="1:20">
      <c r="A349" s="22" t="s">
        <v>426</v>
      </c>
      <c r="H349" s="22" t="str">
        <f t="shared" si="16"/>
        <v/>
      </c>
      <c r="J349" s="32"/>
      <c r="T349" t="str">
        <f>IF(OR(C349="",I349&lt;&gt;"ENTRADA"),"",UPPER(LEFT(SUBSTITUTE(C349," ",""),3))&amp;"-"&amp;TEXT(B349,"AAMMDD")&amp;"-"&amp;(COUNTIFS($C$5:C349,C349,$B$5:B349,B349,$I$5:I349,"ENTRADA")))</f>
        <v/>
      </c>
    </row>
    <row r="350" spans="1:20">
      <c r="A350" s="22" t="s">
        <v>427</v>
      </c>
      <c r="H350" s="22" t="str">
        <f t="shared" si="16"/>
        <v/>
      </c>
      <c r="J350" s="32"/>
      <c r="T350" t="str">
        <f>IF(OR(C350="",I350&lt;&gt;"ENTRADA"),"",UPPER(LEFT(SUBSTITUTE(C350," ",""),3))&amp;"-"&amp;TEXT(B350,"AAMMDD")&amp;"-"&amp;(COUNTIFS($C$5:C350,C350,$B$5:B350,B350,$I$5:I350,"ENTRADA")))</f>
        <v/>
      </c>
    </row>
    <row r="351" spans="1:20">
      <c r="A351" s="22" t="s">
        <v>428</v>
      </c>
      <c r="H351" s="22" t="str">
        <f t="shared" si="16"/>
        <v/>
      </c>
      <c r="J351" s="32"/>
      <c r="T351" t="str">
        <f>IF(OR(C351="",I351&lt;&gt;"ENTRADA"),"",UPPER(LEFT(SUBSTITUTE(C351," ",""),3))&amp;"-"&amp;TEXT(B351,"AAMMDD")&amp;"-"&amp;(COUNTIFS($C$5:C351,C351,$B$5:B351,B351,$I$5:I351,"ENTRADA")))</f>
        <v/>
      </c>
    </row>
    <row r="352" spans="1:20">
      <c r="A352" s="22" t="s">
        <v>429</v>
      </c>
      <c r="H352" s="22" t="str">
        <f t="shared" si="16"/>
        <v/>
      </c>
      <c r="J352" s="32"/>
      <c r="T352" t="str">
        <f>IF(OR(C352="",I352&lt;&gt;"ENTRADA"),"",UPPER(LEFT(SUBSTITUTE(C352," ",""),3))&amp;"-"&amp;TEXT(B352,"AAMMDD")&amp;"-"&amp;(COUNTIFS($C$5:C352,C352,$B$5:B352,B352,$I$5:I352,"ENTRADA")))</f>
        <v/>
      </c>
    </row>
    <row r="353" spans="1:20">
      <c r="A353" s="22" t="s">
        <v>430</v>
      </c>
      <c r="H353" s="22" t="str">
        <f t="shared" si="16"/>
        <v/>
      </c>
      <c r="J353" s="32"/>
      <c r="T353" t="str">
        <f>IF(OR(C353="",I353&lt;&gt;"ENTRADA"),"",UPPER(LEFT(SUBSTITUTE(C353," ",""),3))&amp;"-"&amp;TEXT(B353,"AAMMDD")&amp;"-"&amp;(COUNTIFS($C$5:C353,C353,$B$5:B353,B353,$I$5:I353,"ENTRADA")))</f>
        <v/>
      </c>
    </row>
    <row r="354" spans="1:20">
      <c r="A354" s="22" t="s">
        <v>431</v>
      </c>
      <c r="H354" s="22" t="str">
        <f t="shared" si="16"/>
        <v/>
      </c>
      <c r="J354" s="32"/>
      <c r="T354" t="str">
        <f>IF(OR(C354="",I354&lt;&gt;"ENTRADA"),"",UPPER(LEFT(SUBSTITUTE(C354," ",""),3))&amp;"-"&amp;TEXT(B354,"AAMMDD")&amp;"-"&amp;(COUNTIFS($C$5:C354,C354,$B$5:B354,B354,$I$5:I354,"ENTRADA")))</f>
        <v/>
      </c>
    </row>
    <row r="355" spans="1:20">
      <c r="A355" s="22" t="s">
        <v>432</v>
      </c>
      <c r="H355" s="22" t="str">
        <f t="shared" si="16"/>
        <v/>
      </c>
      <c r="J355" s="32"/>
      <c r="T355" t="str">
        <f>IF(OR(C355="",I355&lt;&gt;"ENTRADA"),"",UPPER(LEFT(SUBSTITUTE(C355," ",""),3))&amp;"-"&amp;TEXT(B355,"AAMMDD")&amp;"-"&amp;(COUNTIFS($C$5:C355,C355,$B$5:B355,B355,$I$5:I355,"ENTRADA")))</f>
        <v/>
      </c>
    </row>
    <row r="356" spans="1:20">
      <c r="A356" s="22" t="s">
        <v>433</v>
      </c>
      <c r="H356" s="22" t="str">
        <f t="shared" si="16"/>
        <v/>
      </c>
      <c r="J356" s="32"/>
      <c r="T356" t="str">
        <f>IF(OR(C356="",I356&lt;&gt;"ENTRADA"),"",UPPER(LEFT(SUBSTITUTE(C356," ",""),3))&amp;"-"&amp;TEXT(B356,"AAMMDD")&amp;"-"&amp;(COUNTIFS($C$5:C356,C356,$B$5:B356,B356,$I$5:I356,"ENTRADA")))</f>
        <v/>
      </c>
    </row>
    <row r="357" spans="1:20">
      <c r="A357" s="22" t="s">
        <v>434</v>
      </c>
      <c r="H357" s="22" t="str">
        <f t="shared" si="16"/>
        <v/>
      </c>
      <c r="J357" s="32"/>
      <c r="T357" t="str">
        <f>IF(OR(C357="",I357&lt;&gt;"ENTRADA"),"",UPPER(LEFT(SUBSTITUTE(C357," ",""),3))&amp;"-"&amp;TEXT(B357,"AAMMDD")&amp;"-"&amp;(COUNTIFS($C$5:C357,C357,$B$5:B357,B357,$I$5:I357,"ENTRADA")))</f>
        <v/>
      </c>
    </row>
    <row r="358" spans="1:20">
      <c r="A358" s="22" t="s">
        <v>435</v>
      </c>
      <c r="H358" s="22" t="str">
        <f t="shared" si="16"/>
        <v/>
      </c>
      <c r="J358" s="32"/>
      <c r="T358" t="str">
        <f>IF(OR(C358="",I358&lt;&gt;"ENTRADA"),"",UPPER(LEFT(SUBSTITUTE(C358," ",""),3))&amp;"-"&amp;TEXT(B358,"AAMMDD")&amp;"-"&amp;(COUNTIFS($C$5:C358,C358,$B$5:B358,B358,$I$5:I358,"ENTRADA")))</f>
        <v/>
      </c>
    </row>
    <row r="359" spans="1:20">
      <c r="A359" s="22" t="s">
        <v>436</v>
      </c>
      <c r="H359" s="22" t="str">
        <f t="shared" si="16"/>
        <v/>
      </c>
      <c r="J359" s="32"/>
      <c r="T359" t="str">
        <f>IF(OR(C359="",I359&lt;&gt;"ENTRADA"),"",UPPER(LEFT(SUBSTITUTE(C359," ",""),3))&amp;"-"&amp;TEXT(B359,"AAMMDD")&amp;"-"&amp;(COUNTIFS($C$5:C359,C359,$B$5:B359,B359,$I$5:I359,"ENTRADA")))</f>
        <v/>
      </c>
    </row>
    <row r="360" spans="1:20">
      <c r="A360" s="22" t="s">
        <v>437</v>
      </c>
      <c r="H360" s="22" t="str">
        <f t="shared" si="16"/>
        <v/>
      </c>
      <c r="J360" s="32"/>
      <c r="T360" t="str">
        <f>IF(OR(C360="",I360&lt;&gt;"ENTRADA"),"",UPPER(LEFT(SUBSTITUTE(C360," ",""),3))&amp;"-"&amp;TEXT(B360,"AAMMDD")&amp;"-"&amp;(COUNTIFS($C$5:C360,C360,$B$5:B360,B360,$I$5:I360,"ENTRADA")))</f>
        <v/>
      </c>
    </row>
    <row r="361" spans="1:20">
      <c r="A361" s="22" t="s">
        <v>438</v>
      </c>
      <c r="H361" s="22" t="str">
        <f t="shared" si="16"/>
        <v/>
      </c>
      <c r="J361" s="32"/>
      <c r="T361" t="str">
        <f>IF(OR(C361="",I361&lt;&gt;"ENTRADA"),"",UPPER(LEFT(SUBSTITUTE(C361," ",""),3))&amp;"-"&amp;TEXT(B361,"AAMMDD")&amp;"-"&amp;(COUNTIFS($C$5:C361,C361,$B$5:B361,B361,$I$5:I361,"ENTRADA")))</f>
        <v/>
      </c>
    </row>
    <row r="362" spans="1:20">
      <c r="A362" s="22" t="s">
        <v>439</v>
      </c>
      <c r="H362" s="22" t="str">
        <f t="shared" si="16"/>
        <v/>
      </c>
      <c r="J362" s="32"/>
      <c r="T362" t="str">
        <f>IF(OR(C362="",I362&lt;&gt;"ENTRADA"),"",UPPER(LEFT(SUBSTITUTE(C362," ",""),3))&amp;"-"&amp;TEXT(B362,"AAMMDD")&amp;"-"&amp;(COUNTIFS($C$5:C362,C362,$B$5:B362,B362,$I$5:I362,"ENTRADA")))</f>
        <v/>
      </c>
    </row>
    <row r="363" spans="1:20">
      <c r="A363" s="22" t="s">
        <v>440</v>
      </c>
      <c r="H363" s="22" t="str">
        <f t="shared" si="16"/>
        <v/>
      </c>
      <c r="J363" s="32"/>
      <c r="T363" t="str">
        <f>IF(OR(C363="",I363&lt;&gt;"ENTRADA"),"",UPPER(LEFT(SUBSTITUTE(C363," ",""),3))&amp;"-"&amp;TEXT(B363,"AAMMDD")&amp;"-"&amp;(COUNTIFS($C$5:C363,C363,$B$5:B363,B363,$I$5:I363,"ENTRADA")))</f>
        <v/>
      </c>
    </row>
    <row r="364" spans="1:20">
      <c r="A364" s="22" t="s">
        <v>441</v>
      </c>
      <c r="H364" s="22" t="str">
        <f t="shared" si="16"/>
        <v/>
      </c>
      <c r="J364" s="32"/>
      <c r="T364" t="str">
        <f>IF(OR(C364="",I364&lt;&gt;"ENTRADA"),"",UPPER(LEFT(SUBSTITUTE(C364," ",""),3))&amp;"-"&amp;TEXT(B364,"AAMMDD")&amp;"-"&amp;(COUNTIFS($C$5:C364,C364,$B$5:B364,B364,$I$5:I364,"ENTRADA")))</f>
        <v/>
      </c>
    </row>
    <row r="365" spans="1:20">
      <c r="A365" s="22" t="s">
        <v>442</v>
      </c>
      <c r="H365" s="22" t="str">
        <f t="shared" si="16"/>
        <v/>
      </c>
      <c r="J365" s="32"/>
      <c r="T365" t="str">
        <f>IF(OR(C365="",I365&lt;&gt;"ENTRADA"),"",UPPER(LEFT(SUBSTITUTE(C365," ",""),3))&amp;"-"&amp;TEXT(B365,"AAMMDD")&amp;"-"&amp;(COUNTIFS($C$5:C365,C365,$B$5:B365,B365,$I$5:I365,"ENTRADA")))</f>
        <v/>
      </c>
    </row>
    <row r="366" spans="1:20">
      <c r="A366" s="22" t="s">
        <v>443</v>
      </c>
      <c r="H366" s="22" t="str">
        <f t="shared" si="16"/>
        <v/>
      </c>
      <c r="J366" s="32"/>
      <c r="T366" t="str">
        <f>IF(OR(C366="",I366&lt;&gt;"ENTRADA"),"",UPPER(LEFT(SUBSTITUTE(C366," ",""),3))&amp;"-"&amp;TEXT(B366,"AAMMDD")&amp;"-"&amp;(COUNTIFS($C$5:C366,C366,$B$5:B366,B366,$I$5:I366,"ENTRADA")))</f>
        <v/>
      </c>
    </row>
    <row r="367" spans="1:20">
      <c r="A367" s="22" t="s">
        <v>444</v>
      </c>
      <c r="H367" s="22" t="str">
        <f t="shared" si="16"/>
        <v/>
      </c>
      <c r="J367" s="32"/>
      <c r="T367" t="str">
        <f>IF(OR(C367="",I367&lt;&gt;"ENTRADA"),"",UPPER(LEFT(SUBSTITUTE(C367," ",""),3))&amp;"-"&amp;TEXT(B367,"AAMMDD")&amp;"-"&amp;(COUNTIFS($C$5:C367,C367,$B$5:B367,B367,$I$5:I367,"ENTRADA")))</f>
        <v/>
      </c>
    </row>
    <row r="368" spans="1:20">
      <c r="A368" s="22" t="s">
        <v>445</v>
      </c>
      <c r="H368" s="22" t="str">
        <f t="shared" si="16"/>
        <v/>
      </c>
      <c r="J368" s="32"/>
      <c r="T368" t="str">
        <f>IF(OR(C368="",I368&lt;&gt;"ENTRADA"),"",UPPER(LEFT(SUBSTITUTE(C368," ",""),3))&amp;"-"&amp;TEXT(B368,"AAMMDD")&amp;"-"&amp;(COUNTIFS($C$5:C368,C368,$B$5:B368,B368,$I$5:I368,"ENTRADA")))</f>
        <v/>
      </c>
    </row>
    <row r="369" spans="1:20">
      <c r="A369" s="22" t="s">
        <v>446</v>
      </c>
      <c r="H369" s="22" t="str">
        <f t="shared" si="16"/>
        <v/>
      </c>
      <c r="J369" s="32"/>
      <c r="T369" t="str">
        <f>IF(OR(C369="",I369&lt;&gt;"ENTRADA"),"",UPPER(LEFT(SUBSTITUTE(C369," ",""),3))&amp;"-"&amp;TEXT(B369,"AAMMDD")&amp;"-"&amp;(COUNTIFS($C$5:C369,C369,$B$5:B369,B369,$I$5:I369,"ENTRADA")))</f>
        <v/>
      </c>
    </row>
    <row r="370" spans="1:20">
      <c r="A370" s="22" t="s">
        <v>447</v>
      </c>
      <c r="H370" s="22" t="str">
        <f t="shared" si="16"/>
        <v/>
      </c>
      <c r="J370" s="32"/>
      <c r="T370" t="str">
        <f>IF(OR(C370="",I370&lt;&gt;"ENTRADA"),"",UPPER(LEFT(SUBSTITUTE(C370," ",""),3))&amp;"-"&amp;TEXT(B370,"AAMMDD")&amp;"-"&amp;(COUNTIFS($C$5:C370,C370,$B$5:B370,B370,$I$5:I370,"ENTRADA")))</f>
        <v/>
      </c>
    </row>
    <row r="371" spans="1:20">
      <c r="A371" s="22" t="s">
        <v>448</v>
      </c>
      <c r="H371" s="22" t="str">
        <f t="shared" si="16"/>
        <v/>
      </c>
      <c r="J371" s="32"/>
      <c r="T371" t="str">
        <f>IF(OR(C371="",I371&lt;&gt;"ENTRADA"),"",UPPER(LEFT(SUBSTITUTE(C371," ",""),3))&amp;"-"&amp;TEXT(B371,"AAMMDD")&amp;"-"&amp;(COUNTIFS($C$5:C371,C371,$B$5:B371,B371,$I$5:I371,"ENTRADA")))</f>
        <v/>
      </c>
    </row>
    <row r="372" spans="1:20">
      <c r="A372" s="22" t="s">
        <v>449</v>
      </c>
      <c r="H372" s="22" t="str">
        <f t="shared" si="16"/>
        <v/>
      </c>
      <c r="J372" s="32"/>
      <c r="T372" t="str">
        <f>IF(OR(C372="",I372&lt;&gt;"ENTRADA"),"",UPPER(LEFT(SUBSTITUTE(C372," ",""),3))&amp;"-"&amp;TEXT(B372,"AAMMDD")&amp;"-"&amp;(COUNTIFS($C$5:C372,C372,$B$5:B372,B372,$I$5:I372,"ENTRADA")))</f>
        <v/>
      </c>
    </row>
    <row r="373" spans="1:20">
      <c r="A373" s="22" t="s">
        <v>450</v>
      </c>
      <c r="H373" s="22" t="str">
        <f t="shared" si="16"/>
        <v/>
      </c>
      <c r="J373" s="32"/>
      <c r="T373" t="str">
        <f>IF(OR(C373="",I373&lt;&gt;"ENTRADA"),"",UPPER(LEFT(SUBSTITUTE(C373," ",""),3))&amp;"-"&amp;TEXT(B373,"AAMMDD")&amp;"-"&amp;(COUNTIFS($C$5:C373,C373,$B$5:B373,B373,$I$5:I373,"ENTRADA")))</f>
        <v/>
      </c>
    </row>
    <row r="374" spans="1:20">
      <c r="A374" s="22" t="s">
        <v>451</v>
      </c>
      <c r="H374" s="22" t="str">
        <f t="shared" si="16"/>
        <v/>
      </c>
      <c r="J374" s="32"/>
      <c r="T374" t="str">
        <f>IF(OR(C374="",I374&lt;&gt;"ENTRADA"),"",UPPER(LEFT(SUBSTITUTE(C374," ",""),3))&amp;"-"&amp;TEXT(B374,"AAMMDD")&amp;"-"&amp;(COUNTIFS($C$5:C374,C374,$B$5:B374,B374,$I$5:I374,"ENTRADA")))</f>
        <v/>
      </c>
    </row>
    <row r="375" spans="1:20">
      <c r="A375" s="22" t="s">
        <v>452</v>
      </c>
      <c r="H375" s="22" t="str">
        <f t="shared" si="16"/>
        <v/>
      </c>
      <c r="J375" s="32"/>
      <c r="T375" t="str">
        <f>IF(OR(C375="",I375&lt;&gt;"ENTRADA"),"",UPPER(LEFT(SUBSTITUTE(C375," ",""),3))&amp;"-"&amp;TEXT(B375,"AAMMDD")&amp;"-"&amp;(COUNTIFS($C$5:C375,C375,$B$5:B375,B375,$I$5:I375,"ENTRADA")))</f>
        <v/>
      </c>
    </row>
    <row r="376" spans="1:20">
      <c r="A376" s="22" t="s">
        <v>453</v>
      </c>
      <c r="H376" s="22" t="str">
        <f t="shared" si="16"/>
        <v/>
      </c>
      <c r="J376" s="32"/>
      <c r="T376" t="str">
        <f>IF(OR(C376="",I376&lt;&gt;"ENTRADA"),"",UPPER(LEFT(SUBSTITUTE(C376," ",""),3))&amp;"-"&amp;TEXT(B376,"AAMMDD")&amp;"-"&amp;(COUNTIFS($C$5:C376,C376,$B$5:B376,B376,$I$5:I376,"ENTRADA")))</f>
        <v/>
      </c>
    </row>
    <row r="377" spans="1:20">
      <c r="A377" s="22" t="s">
        <v>454</v>
      </c>
      <c r="H377" s="22" t="str">
        <f t="shared" si="16"/>
        <v/>
      </c>
      <c r="J377" s="32"/>
      <c r="T377" t="str">
        <f>IF(OR(C377="",I377&lt;&gt;"ENTRADA"),"",UPPER(LEFT(SUBSTITUTE(C377," ",""),3))&amp;"-"&amp;TEXT(B377,"AAMMDD")&amp;"-"&amp;(COUNTIFS($C$5:C377,C377,$B$5:B377,B377,$I$5:I377,"ENTRADA")))</f>
        <v/>
      </c>
    </row>
    <row r="378" spans="1:20">
      <c r="A378" s="22" t="s">
        <v>455</v>
      </c>
      <c r="H378" s="22" t="str">
        <f t="shared" si="16"/>
        <v/>
      </c>
      <c r="J378" s="32"/>
      <c r="T378" t="str">
        <f>IF(OR(C378="",I378&lt;&gt;"ENTRADA"),"",UPPER(LEFT(SUBSTITUTE(C378," ",""),3))&amp;"-"&amp;TEXT(B378,"AAMMDD")&amp;"-"&amp;(COUNTIFS($C$5:C378,C378,$B$5:B378,B378,$I$5:I378,"ENTRADA")))</f>
        <v/>
      </c>
    </row>
    <row r="379" spans="1:20">
      <c r="A379" s="22" t="s">
        <v>456</v>
      </c>
      <c r="H379" s="22" t="str">
        <f t="shared" si="16"/>
        <v/>
      </c>
      <c r="J379" s="32"/>
      <c r="T379" t="str">
        <f>IF(OR(C379="",I379&lt;&gt;"ENTRADA"),"",UPPER(LEFT(SUBSTITUTE(C379," ",""),3))&amp;"-"&amp;TEXT(B379,"AAMMDD")&amp;"-"&amp;(COUNTIFS($C$5:C379,C379,$B$5:B379,B379,$I$5:I379,"ENTRADA")))</f>
        <v/>
      </c>
    </row>
    <row r="380" spans="1:20">
      <c r="A380" s="22" t="s">
        <v>457</v>
      </c>
      <c r="H380" s="22" t="str">
        <f t="shared" si="16"/>
        <v/>
      </c>
      <c r="J380" s="32"/>
      <c r="T380" t="str">
        <f>IF(OR(C380="",I380&lt;&gt;"ENTRADA"),"",UPPER(LEFT(SUBSTITUTE(C380," ",""),3))&amp;"-"&amp;TEXT(B380,"AAMMDD")&amp;"-"&amp;(COUNTIFS($C$5:C380,C380,$B$5:B380,B380,$I$5:I380,"ENTRADA")))</f>
        <v/>
      </c>
    </row>
    <row r="381" spans="1:20">
      <c r="A381" s="22" t="s">
        <v>458</v>
      </c>
      <c r="H381" s="22" t="str">
        <f t="shared" si="16"/>
        <v/>
      </c>
      <c r="J381" s="32"/>
      <c r="T381" t="str">
        <f>IF(OR(C381="",I381&lt;&gt;"ENTRADA"),"",UPPER(LEFT(SUBSTITUTE(C381," ",""),3))&amp;"-"&amp;TEXT(B381,"AAMMDD")&amp;"-"&amp;(COUNTIFS($C$5:C381,C381,$B$5:B381,B381,$I$5:I381,"ENTRADA")))</f>
        <v/>
      </c>
    </row>
    <row r="382" spans="1:20">
      <c r="A382" s="22" t="s">
        <v>459</v>
      </c>
      <c r="H382" s="22" t="str">
        <f t="shared" si="16"/>
        <v/>
      </c>
      <c r="J382" s="32"/>
      <c r="T382" t="str">
        <f>IF(OR(C382="",I382&lt;&gt;"ENTRADA"),"",UPPER(LEFT(SUBSTITUTE(C382," ",""),3))&amp;"-"&amp;TEXT(B382,"AAMMDD")&amp;"-"&amp;(COUNTIFS($C$5:C382,C382,$B$5:B382,B382,$I$5:I382,"ENTRADA")))</f>
        <v/>
      </c>
    </row>
    <row r="383" spans="1:20">
      <c r="A383" s="22" t="s">
        <v>460</v>
      </c>
      <c r="H383" s="22" t="str">
        <f t="shared" si="16"/>
        <v/>
      </c>
      <c r="J383" s="32"/>
      <c r="T383" t="str">
        <f>IF(OR(C383="",I383&lt;&gt;"ENTRADA"),"",UPPER(LEFT(SUBSTITUTE(C383," ",""),3))&amp;"-"&amp;TEXT(B383,"AAMMDD")&amp;"-"&amp;(COUNTIFS($C$5:C383,C383,$B$5:B383,B383,$I$5:I383,"ENTRADA")))</f>
        <v/>
      </c>
    </row>
    <row r="384" spans="1:20">
      <c r="A384" s="22" t="s">
        <v>461</v>
      </c>
      <c r="H384" s="22" t="str">
        <f t="shared" si="16"/>
        <v/>
      </c>
      <c r="J384" s="32"/>
      <c r="T384" t="str">
        <f>IF(OR(C384="",I384&lt;&gt;"ENTRADA"),"",UPPER(LEFT(SUBSTITUTE(C384," ",""),3))&amp;"-"&amp;TEXT(B384,"AAMMDD")&amp;"-"&amp;(COUNTIFS($C$5:C384,C384,$B$5:B384,B384,$I$5:I384,"ENTRADA")))</f>
        <v/>
      </c>
    </row>
    <row r="385" spans="1:20">
      <c r="A385" s="22" t="s">
        <v>462</v>
      </c>
      <c r="H385" s="22" t="str">
        <f t="shared" si="16"/>
        <v/>
      </c>
      <c r="J385" s="32"/>
      <c r="T385" t="str">
        <f>IF(OR(C385="",I385&lt;&gt;"ENTRADA"),"",UPPER(LEFT(SUBSTITUTE(C385," ",""),3))&amp;"-"&amp;TEXT(B385,"AAMMDD")&amp;"-"&amp;(COUNTIFS($C$5:C385,C385,$B$5:B385,B385,$I$5:I385,"ENTRADA")))</f>
        <v/>
      </c>
    </row>
    <row r="386" spans="1:20">
      <c r="A386" s="22" t="s">
        <v>463</v>
      </c>
      <c r="H386" s="22" t="str">
        <f t="shared" si="16"/>
        <v/>
      </c>
      <c r="J386" s="32"/>
      <c r="T386" t="str">
        <f>IF(OR(C386="",I386&lt;&gt;"ENTRADA"),"",UPPER(LEFT(SUBSTITUTE(C386," ",""),3))&amp;"-"&amp;TEXT(B386,"AAMMDD")&amp;"-"&amp;(COUNTIFS($C$5:C386,C386,$B$5:B386,B386,$I$5:I386,"ENTRADA")))</f>
        <v/>
      </c>
    </row>
    <row r="387" spans="1:20">
      <c r="A387" s="22" t="s">
        <v>464</v>
      </c>
      <c r="H387" s="22" t="str">
        <f t="shared" si="16"/>
        <v/>
      </c>
      <c r="J387" s="32"/>
      <c r="T387" t="str">
        <f>IF(OR(C387="",I387&lt;&gt;"ENTRADA"),"",UPPER(LEFT(SUBSTITUTE(C387," ",""),3))&amp;"-"&amp;TEXT(B387,"AAMMDD")&amp;"-"&amp;(COUNTIFS($C$5:C387,C387,$B$5:B387,B387,$I$5:I387,"ENTRADA")))</f>
        <v/>
      </c>
    </row>
    <row r="388" spans="1:20">
      <c r="A388" s="22" t="s">
        <v>465</v>
      </c>
      <c r="H388" s="22" t="str">
        <f t="shared" si="16"/>
        <v/>
      </c>
      <c r="J388" s="32"/>
      <c r="T388" t="str">
        <f>IF(OR(C388="",I388&lt;&gt;"ENTRADA"),"",UPPER(LEFT(SUBSTITUTE(C388," ",""),3))&amp;"-"&amp;TEXT(B388,"AAMMDD")&amp;"-"&amp;(COUNTIFS($C$5:C388,C388,$B$5:B388,B388,$I$5:I388,"ENTRADA")))</f>
        <v/>
      </c>
    </row>
    <row r="389" spans="1:20">
      <c r="A389" s="22" t="s">
        <v>466</v>
      </c>
      <c r="H389" s="22" t="str">
        <f t="shared" si="16"/>
        <v/>
      </c>
      <c r="J389" s="32"/>
      <c r="T389" t="str">
        <f>IF(OR(C389="",I389&lt;&gt;"ENTRADA"),"",UPPER(LEFT(SUBSTITUTE(C389," ",""),3))&amp;"-"&amp;TEXT(B389,"AAMMDD")&amp;"-"&amp;(COUNTIFS($C$5:C389,C389,$B$5:B389,B389,$I$5:I389,"ENTRADA")))</f>
        <v/>
      </c>
    </row>
    <row r="390" spans="1:20">
      <c r="A390" s="22" t="s">
        <v>467</v>
      </c>
      <c r="H390" s="22" t="str">
        <f t="shared" si="16"/>
        <v/>
      </c>
      <c r="J390" s="32"/>
      <c r="T390" t="str">
        <f>IF(OR(C390="",I390&lt;&gt;"ENTRADA"),"",UPPER(LEFT(SUBSTITUTE(C390," ",""),3))&amp;"-"&amp;TEXT(B390,"AAMMDD")&amp;"-"&amp;(COUNTIFS($C$5:C390,C390,$B$5:B390,B390,$I$5:I390,"ENTRADA")))</f>
        <v/>
      </c>
    </row>
    <row r="391" spans="1:20">
      <c r="A391" s="22" t="s">
        <v>468</v>
      </c>
      <c r="H391" s="22" t="str">
        <f t="shared" si="16"/>
        <v/>
      </c>
      <c r="J391" s="32"/>
      <c r="T391" t="str">
        <f>IF(OR(C391="",I391&lt;&gt;"ENTRADA"),"",UPPER(LEFT(SUBSTITUTE(C391," ",""),3))&amp;"-"&amp;TEXT(B391,"AAMMDD")&amp;"-"&amp;(COUNTIFS($C$5:C391,C391,$B$5:B391,B391,$I$5:I391,"ENTRADA")))</f>
        <v/>
      </c>
    </row>
    <row r="392" spans="1:20">
      <c r="A392" s="22" t="s">
        <v>469</v>
      </c>
      <c r="H392" s="22" t="str">
        <f t="shared" si="16"/>
        <v/>
      </c>
      <c r="J392" s="32"/>
      <c r="T392" t="str">
        <f>IF(OR(C392="",I392&lt;&gt;"ENTRADA"),"",UPPER(LEFT(SUBSTITUTE(C392," ",""),3))&amp;"-"&amp;TEXT(B392,"AAMMDD")&amp;"-"&amp;(COUNTIFS($C$5:C392,C392,$B$5:B392,B392,$I$5:I392,"ENTRADA")))</f>
        <v/>
      </c>
    </row>
    <row r="393" spans="1:20">
      <c r="A393" s="22" t="s">
        <v>470</v>
      </c>
      <c r="H393" s="22" t="str">
        <f t="shared" si="16"/>
        <v/>
      </c>
      <c r="J393" s="32"/>
      <c r="T393" t="str">
        <f>IF(OR(C393="",I393&lt;&gt;"ENTRADA"),"",UPPER(LEFT(SUBSTITUTE(C393," ",""),3))&amp;"-"&amp;TEXT(B393,"AAMMDD")&amp;"-"&amp;(COUNTIFS($C$5:C393,C393,$B$5:B393,B393,$I$5:I393,"ENTRADA")))</f>
        <v/>
      </c>
    </row>
    <row r="394" spans="1:20">
      <c r="A394" s="22" t="s">
        <v>471</v>
      </c>
      <c r="H394" s="22" t="str">
        <f t="shared" si="16"/>
        <v/>
      </c>
      <c r="J394" s="32"/>
      <c r="T394" t="str">
        <f>IF(OR(C394="",I394&lt;&gt;"ENTRADA"),"",UPPER(LEFT(SUBSTITUTE(C394," ",""),3))&amp;"-"&amp;TEXT(B394,"AAMMDD")&amp;"-"&amp;(COUNTIFS($C$5:C394,C394,$B$5:B394,B394,$I$5:I394,"ENTRADA")))</f>
        <v/>
      </c>
    </row>
    <row r="395" spans="1:20">
      <c r="A395" s="22" t="s">
        <v>472</v>
      </c>
      <c r="H395" s="22" t="str">
        <f t="shared" si="16"/>
        <v/>
      </c>
      <c r="J395" s="32"/>
      <c r="T395" t="str">
        <f>IF(OR(C395="",I395&lt;&gt;"ENTRADA"),"",UPPER(LEFT(SUBSTITUTE(C395," ",""),3))&amp;"-"&amp;TEXT(B395,"AAMMDD")&amp;"-"&amp;(COUNTIFS($C$5:C395,C395,$B$5:B395,B395,$I$5:I395,"ENTRADA")))</f>
        <v/>
      </c>
    </row>
    <row r="396" spans="1:20">
      <c r="A396" s="22" t="s">
        <v>473</v>
      </c>
      <c r="H396" s="22" t="str">
        <f t="shared" si="16"/>
        <v/>
      </c>
      <c r="J396" s="32"/>
      <c r="T396" t="str">
        <f>IF(OR(C396="",I396&lt;&gt;"ENTRADA"),"",UPPER(LEFT(SUBSTITUTE(C396," ",""),3))&amp;"-"&amp;TEXT(B396,"AAMMDD")&amp;"-"&amp;(COUNTIFS($C$5:C396,C396,$B$5:B396,B396,$I$5:I396,"ENTRADA")))</f>
        <v/>
      </c>
    </row>
    <row r="397" spans="1:20">
      <c r="A397" s="22" t="s">
        <v>474</v>
      </c>
      <c r="H397" s="22" t="str">
        <f t="shared" si="16"/>
        <v/>
      </c>
      <c r="J397" s="32"/>
      <c r="T397" t="str">
        <f>IF(OR(C397="",I397&lt;&gt;"ENTRADA"),"",UPPER(LEFT(SUBSTITUTE(C397," ",""),3))&amp;"-"&amp;TEXT(B397,"AAMMDD")&amp;"-"&amp;(COUNTIFS($C$5:C397,C397,$B$5:B397,B397,$I$5:I397,"ENTRADA")))</f>
        <v/>
      </c>
    </row>
    <row r="398" spans="1:20">
      <c r="A398" s="22" t="s">
        <v>475</v>
      </c>
      <c r="H398" s="22" t="str">
        <f t="shared" si="16"/>
        <v/>
      </c>
      <c r="J398" s="32"/>
      <c r="T398" t="str">
        <f>IF(OR(C398="",I398&lt;&gt;"ENTRADA"),"",UPPER(LEFT(SUBSTITUTE(C398," ",""),3))&amp;"-"&amp;TEXT(B398,"AAMMDD")&amp;"-"&amp;(COUNTIFS($C$5:C398,C398,$B$5:B398,B398,$I$5:I398,"ENTRADA")))</f>
        <v/>
      </c>
    </row>
    <row r="399" spans="1:20">
      <c r="A399" s="22" t="s">
        <v>476</v>
      </c>
      <c r="H399" s="22" t="str">
        <f t="shared" si="16"/>
        <v/>
      </c>
      <c r="J399" s="32"/>
      <c r="T399" t="str">
        <f>IF(OR(C399="",I399&lt;&gt;"ENTRADA"),"",UPPER(LEFT(SUBSTITUTE(C399," ",""),3))&amp;"-"&amp;TEXT(B399,"AAMMDD")&amp;"-"&amp;(COUNTIFS($C$5:C399,C399,$B$5:B399,B399,$I$5:I399,"ENTRADA")))</f>
        <v/>
      </c>
    </row>
    <row r="400" spans="1:20">
      <c r="A400" s="22" t="s">
        <v>477</v>
      </c>
      <c r="H400" s="22" t="str">
        <f t="shared" ref="H400:H463" si="17">+T400</f>
        <v/>
      </c>
      <c r="J400" s="32"/>
      <c r="T400" t="str">
        <f>IF(OR(C400="",I400&lt;&gt;"ENTRADA"),"",UPPER(LEFT(SUBSTITUTE(C400," ",""),3))&amp;"-"&amp;TEXT(B400,"AAMMDD")&amp;"-"&amp;(COUNTIFS($C$5:C400,C400,$B$5:B400,B400,$I$5:I400,"ENTRADA")))</f>
        <v/>
      </c>
    </row>
    <row r="401" spans="1:20">
      <c r="A401" s="22" t="s">
        <v>478</v>
      </c>
      <c r="H401" s="22" t="str">
        <f t="shared" si="17"/>
        <v/>
      </c>
      <c r="J401" s="32"/>
      <c r="T401" t="str">
        <f>IF(OR(C401="",I401&lt;&gt;"ENTRADA"),"",UPPER(LEFT(SUBSTITUTE(C401," ",""),3))&amp;"-"&amp;TEXT(B401,"AAMMDD")&amp;"-"&amp;(COUNTIFS($C$5:C401,C401,$B$5:B401,B401,$I$5:I401,"ENTRADA")))</f>
        <v/>
      </c>
    </row>
    <row r="402" spans="1:20">
      <c r="A402" s="22" t="s">
        <v>479</v>
      </c>
      <c r="H402" s="22" t="str">
        <f t="shared" si="17"/>
        <v/>
      </c>
      <c r="J402" s="32"/>
      <c r="T402" t="str">
        <f>IF(OR(C402="",I402&lt;&gt;"ENTRADA"),"",UPPER(LEFT(SUBSTITUTE(C402," ",""),3))&amp;"-"&amp;TEXT(B402,"AAMMDD")&amp;"-"&amp;(COUNTIFS($C$5:C402,C402,$B$5:B402,B402,$I$5:I402,"ENTRADA")))</f>
        <v/>
      </c>
    </row>
    <row r="403" spans="1:20">
      <c r="A403" s="22" t="s">
        <v>480</v>
      </c>
      <c r="H403" s="22" t="str">
        <f t="shared" si="17"/>
        <v/>
      </c>
      <c r="J403" s="32"/>
      <c r="T403" t="str">
        <f>IF(OR(C403="",I403&lt;&gt;"ENTRADA"),"",UPPER(LEFT(SUBSTITUTE(C403," ",""),3))&amp;"-"&amp;TEXT(B403,"AAMMDD")&amp;"-"&amp;(COUNTIFS($C$5:C403,C403,$B$5:B403,B403,$I$5:I403,"ENTRADA")))</f>
        <v/>
      </c>
    </row>
    <row r="404" spans="1:20">
      <c r="A404" s="22" t="s">
        <v>481</v>
      </c>
      <c r="H404" s="22" t="str">
        <f t="shared" si="17"/>
        <v/>
      </c>
      <c r="J404" s="32"/>
      <c r="T404" t="str">
        <f>IF(OR(C404="",I404&lt;&gt;"ENTRADA"),"",UPPER(LEFT(SUBSTITUTE(C404," ",""),3))&amp;"-"&amp;TEXT(B404,"AAMMDD")&amp;"-"&amp;(COUNTIFS($C$5:C404,C404,$B$5:B404,B404,$I$5:I404,"ENTRADA")))</f>
        <v/>
      </c>
    </row>
    <row r="405" spans="1:20">
      <c r="A405" s="22" t="s">
        <v>482</v>
      </c>
      <c r="H405" s="22" t="str">
        <f t="shared" si="17"/>
        <v/>
      </c>
      <c r="J405" s="32"/>
      <c r="T405" t="str">
        <f>IF(OR(C405="",I405&lt;&gt;"ENTRADA"),"",UPPER(LEFT(SUBSTITUTE(C405," ",""),3))&amp;"-"&amp;TEXT(B405,"AAMMDD")&amp;"-"&amp;(COUNTIFS($C$5:C405,C405,$B$5:B405,B405,$I$5:I405,"ENTRADA")))</f>
        <v/>
      </c>
    </row>
    <row r="406" spans="1:20">
      <c r="A406" s="22" t="s">
        <v>483</v>
      </c>
      <c r="H406" s="22" t="str">
        <f t="shared" si="17"/>
        <v/>
      </c>
      <c r="J406" s="32"/>
      <c r="T406" t="str">
        <f>IF(OR(C406="",I406&lt;&gt;"ENTRADA"),"",UPPER(LEFT(SUBSTITUTE(C406," ",""),3))&amp;"-"&amp;TEXT(B406,"AAMMDD")&amp;"-"&amp;(COUNTIFS($C$5:C406,C406,$B$5:B406,B406,$I$5:I406,"ENTRADA")))</f>
        <v/>
      </c>
    </row>
    <row r="407" spans="1:20">
      <c r="A407" s="22" t="s">
        <v>484</v>
      </c>
      <c r="H407" s="22" t="str">
        <f t="shared" si="17"/>
        <v/>
      </c>
      <c r="J407" s="32"/>
      <c r="T407" t="str">
        <f>IF(OR(C407="",I407&lt;&gt;"ENTRADA"),"",UPPER(LEFT(SUBSTITUTE(C407," ",""),3))&amp;"-"&amp;TEXT(B407,"AAMMDD")&amp;"-"&amp;(COUNTIFS($C$5:C407,C407,$B$5:B407,B407,$I$5:I407,"ENTRADA")))</f>
        <v/>
      </c>
    </row>
    <row r="408" spans="1:20">
      <c r="A408" s="22" t="s">
        <v>485</v>
      </c>
      <c r="H408" s="22" t="str">
        <f t="shared" si="17"/>
        <v/>
      </c>
      <c r="J408" s="32"/>
      <c r="T408" t="str">
        <f>IF(OR(C408="",I408&lt;&gt;"ENTRADA"),"",UPPER(LEFT(SUBSTITUTE(C408," ",""),3))&amp;"-"&amp;TEXT(B408,"AAMMDD")&amp;"-"&amp;(COUNTIFS($C$5:C408,C408,$B$5:B408,B408,$I$5:I408,"ENTRADA")))</f>
        <v/>
      </c>
    </row>
    <row r="409" spans="1:20">
      <c r="A409" s="22" t="s">
        <v>486</v>
      </c>
      <c r="H409" s="22" t="str">
        <f t="shared" si="17"/>
        <v/>
      </c>
      <c r="J409" s="32"/>
      <c r="T409" t="str">
        <f>IF(OR(C409="",I409&lt;&gt;"ENTRADA"),"",UPPER(LEFT(SUBSTITUTE(C409," ",""),3))&amp;"-"&amp;TEXT(B409,"AAMMDD")&amp;"-"&amp;(COUNTIFS($C$5:C409,C409,$B$5:B409,B409,$I$5:I409,"ENTRADA")))</f>
        <v/>
      </c>
    </row>
    <row r="410" spans="1:20">
      <c r="A410" s="22" t="s">
        <v>487</v>
      </c>
      <c r="H410" s="22" t="str">
        <f t="shared" si="17"/>
        <v/>
      </c>
      <c r="J410" s="32"/>
      <c r="T410" t="str">
        <f>IF(OR(C410="",I410&lt;&gt;"ENTRADA"),"",UPPER(LEFT(SUBSTITUTE(C410," ",""),3))&amp;"-"&amp;TEXT(B410,"AAMMDD")&amp;"-"&amp;(COUNTIFS($C$5:C410,C410,$B$5:B410,B410,$I$5:I410,"ENTRADA")))</f>
        <v/>
      </c>
    </row>
    <row r="411" spans="1:20">
      <c r="A411" s="22" t="s">
        <v>488</v>
      </c>
      <c r="H411" s="22" t="str">
        <f t="shared" si="17"/>
        <v/>
      </c>
      <c r="J411" s="32"/>
      <c r="T411" t="str">
        <f>IF(OR(C411="",I411&lt;&gt;"ENTRADA"),"",UPPER(LEFT(SUBSTITUTE(C411," ",""),3))&amp;"-"&amp;TEXT(B411,"AAMMDD")&amp;"-"&amp;(COUNTIFS($C$5:C411,C411,$B$5:B411,B411,$I$5:I411,"ENTRADA")))</f>
        <v/>
      </c>
    </row>
    <row r="412" spans="1:20">
      <c r="A412" s="22" t="s">
        <v>489</v>
      </c>
      <c r="H412" s="22" t="str">
        <f t="shared" si="17"/>
        <v/>
      </c>
      <c r="J412" s="32"/>
      <c r="T412" t="str">
        <f>IF(OR(C412="",I412&lt;&gt;"ENTRADA"),"",UPPER(LEFT(SUBSTITUTE(C412," ",""),3))&amp;"-"&amp;TEXT(B412,"AAMMDD")&amp;"-"&amp;(COUNTIFS($C$5:C412,C412,$B$5:B412,B412,$I$5:I412,"ENTRADA")))</f>
        <v/>
      </c>
    </row>
    <row r="413" spans="1:20">
      <c r="A413" s="22" t="s">
        <v>490</v>
      </c>
      <c r="H413" s="22" t="str">
        <f t="shared" si="17"/>
        <v/>
      </c>
      <c r="J413" s="32"/>
      <c r="T413" t="str">
        <f>IF(OR(C413="",I413&lt;&gt;"ENTRADA"),"",UPPER(LEFT(SUBSTITUTE(C413," ",""),3))&amp;"-"&amp;TEXT(B413,"AAMMDD")&amp;"-"&amp;(COUNTIFS($C$5:C413,C413,$B$5:B413,B413,$I$5:I413,"ENTRADA")))</f>
        <v/>
      </c>
    </row>
    <row r="414" spans="1:20">
      <c r="A414" s="22" t="s">
        <v>491</v>
      </c>
      <c r="H414" s="22" t="str">
        <f t="shared" si="17"/>
        <v/>
      </c>
      <c r="J414" s="32"/>
      <c r="T414" t="str">
        <f>IF(OR(C414="",I414&lt;&gt;"ENTRADA"),"",UPPER(LEFT(SUBSTITUTE(C414," ",""),3))&amp;"-"&amp;TEXT(B414,"AAMMDD")&amp;"-"&amp;(COUNTIFS($C$5:C414,C414,$B$5:B414,B414,$I$5:I414,"ENTRADA")))</f>
        <v/>
      </c>
    </row>
    <row r="415" spans="1:20">
      <c r="A415" s="22" t="s">
        <v>492</v>
      </c>
      <c r="H415" s="22" t="str">
        <f t="shared" si="17"/>
        <v/>
      </c>
      <c r="J415" s="32"/>
      <c r="T415" t="str">
        <f>IF(OR(C415="",I415&lt;&gt;"ENTRADA"),"",UPPER(LEFT(SUBSTITUTE(C415," ",""),3))&amp;"-"&amp;TEXT(B415,"AAMMDD")&amp;"-"&amp;(COUNTIFS($C$5:C415,C415,$B$5:B415,B415,$I$5:I415,"ENTRADA")))</f>
        <v/>
      </c>
    </row>
    <row r="416" spans="1:20">
      <c r="A416" s="22" t="s">
        <v>493</v>
      </c>
      <c r="H416" s="22" t="str">
        <f t="shared" si="17"/>
        <v/>
      </c>
      <c r="J416" s="32"/>
      <c r="T416" t="str">
        <f>IF(OR(C416="",I416&lt;&gt;"ENTRADA"),"",UPPER(LEFT(SUBSTITUTE(C416," ",""),3))&amp;"-"&amp;TEXT(B416,"AAMMDD")&amp;"-"&amp;(COUNTIFS($C$5:C416,C416,$B$5:B416,B416,$I$5:I416,"ENTRADA")))</f>
        <v/>
      </c>
    </row>
    <row r="417" spans="1:20">
      <c r="A417" s="22" t="s">
        <v>494</v>
      </c>
      <c r="H417" s="22" t="str">
        <f t="shared" si="17"/>
        <v/>
      </c>
      <c r="J417" s="32"/>
      <c r="T417" t="str">
        <f>IF(OR(C417="",I417&lt;&gt;"ENTRADA"),"",UPPER(LEFT(SUBSTITUTE(C417," ",""),3))&amp;"-"&amp;TEXT(B417,"AAMMDD")&amp;"-"&amp;(COUNTIFS($C$5:C417,C417,$B$5:B417,B417,$I$5:I417,"ENTRADA")))</f>
        <v/>
      </c>
    </row>
    <row r="418" spans="1:20">
      <c r="A418" s="22" t="s">
        <v>495</v>
      </c>
      <c r="H418" s="22" t="str">
        <f t="shared" si="17"/>
        <v/>
      </c>
      <c r="J418" s="32"/>
      <c r="T418" t="str">
        <f>IF(OR(C418="",I418&lt;&gt;"ENTRADA"),"",UPPER(LEFT(SUBSTITUTE(C418," ",""),3))&amp;"-"&amp;TEXT(B418,"AAMMDD")&amp;"-"&amp;(COUNTIFS($C$5:C418,C418,$B$5:B418,B418,$I$5:I418,"ENTRADA")))</f>
        <v/>
      </c>
    </row>
    <row r="419" spans="1:20">
      <c r="A419" s="22" t="s">
        <v>496</v>
      </c>
      <c r="H419" s="22" t="str">
        <f t="shared" si="17"/>
        <v/>
      </c>
      <c r="J419" s="32"/>
      <c r="T419" t="str">
        <f>IF(OR(C419="",I419&lt;&gt;"ENTRADA"),"",UPPER(LEFT(SUBSTITUTE(C419," ",""),3))&amp;"-"&amp;TEXT(B419,"AAMMDD")&amp;"-"&amp;(COUNTIFS($C$5:C419,C419,$B$5:B419,B419,$I$5:I419,"ENTRADA")))</f>
        <v/>
      </c>
    </row>
    <row r="420" spans="1:20">
      <c r="A420" s="22" t="s">
        <v>497</v>
      </c>
      <c r="H420" s="22" t="str">
        <f t="shared" si="17"/>
        <v/>
      </c>
      <c r="J420" s="32"/>
      <c r="T420" t="str">
        <f>IF(OR(C420="",I420&lt;&gt;"ENTRADA"),"",UPPER(LEFT(SUBSTITUTE(C420," ",""),3))&amp;"-"&amp;TEXT(B420,"AAMMDD")&amp;"-"&amp;(COUNTIFS($C$5:C420,C420,$B$5:B420,B420,$I$5:I420,"ENTRADA")))</f>
        <v/>
      </c>
    </row>
    <row r="421" spans="1:20">
      <c r="A421" s="22" t="s">
        <v>498</v>
      </c>
      <c r="H421" s="22" t="str">
        <f t="shared" si="17"/>
        <v/>
      </c>
      <c r="J421" s="32"/>
      <c r="T421" t="str">
        <f>IF(OR(C421="",I421&lt;&gt;"ENTRADA"),"",UPPER(LEFT(SUBSTITUTE(C421," ",""),3))&amp;"-"&amp;TEXT(B421,"AAMMDD")&amp;"-"&amp;(COUNTIFS($C$5:C421,C421,$B$5:B421,B421,$I$5:I421,"ENTRADA")))</f>
        <v/>
      </c>
    </row>
    <row r="422" spans="1:20">
      <c r="A422" s="22" t="s">
        <v>499</v>
      </c>
      <c r="H422" s="22" t="str">
        <f t="shared" si="17"/>
        <v/>
      </c>
      <c r="J422" s="32"/>
      <c r="T422" t="str">
        <f>IF(OR(C422="",I422&lt;&gt;"ENTRADA"),"",UPPER(LEFT(SUBSTITUTE(C422," ",""),3))&amp;"-"&amp;TEXT(B422,"AAMMDD")&amp;"-"&amp;(COUNTIFS($C$5:C422,C422,$B$5:B422,B422,$I$5:I422,"ENTRADA")))</f>
        <v/>
      </c>
    </row>
    <row r="423" spans="1:20">
      <c r="A423" s="22" t="s">
        <v>500</v>
      </c>
      <c r="H423" s="22" t="str">
        <f t="shared" si="17"/>
        <v/>
      </c>
      <c r="J423" s="32"/>
      <c r="T423" t="str">
        <f>IF(OR(C423="",I423&lt;&gt;"ENTRADA"),"",UPPER(LEFT(SUBSTITUTE(C423," ",""),3))&amp;"-"&amp;TEXT(B423,"AAMMDD")&amp;"-"&amp;(COUNTIFS($C$5:C423,C423,$B$5:B423,B423,$I$5:I423,"ENTRADA")))</f>
        <v/>
      </c>
    </row>
    <row r="424" spans="1:20">
      <c r="A424" s="22" t="s">
        <v>501</v>
      </c>
      <c r="H424" s="22" t="str">
        <f t="shared" si="17"/>
        <v/>
      </c>
      <c r="J424" s="32"/>
      <c r="T424" t="str">
        <f>IF(OR(C424="",I424&lt;&gt;"ENTRADA"),"",UPPER(LEFT(SUBSTITUTE(C424," ",""),3))&amp;"-"&amp;TEXT(B424,"AAMMDD")&amp;"-"&amp;(COUNTIFS($C$5:C424,C424,$B$5:B424,B424,$I$5:I424,"ENTRADA")))</f>
        <v/>
      </c>
    </row>
    <row r="425" spans="1:20">
      <c r="A425" s="22" t="s">
        <v>502</v>
      </c>
      <c r="H425" s="22" t="str">
        <f t="shared" si="17"/>
        <v/>
      </c>
      <c r="J425" s="32"/>
      <c r="T425" t="str">
        <f>IF(OR(C425="",I425&lt;&gt;"ENTRADA"),"",UPPER(LEFT(SUBSTITUTE(C425," ",""),3))&amp;"-"&amp;TEXT(B425,"AAMMDD")&amp;"-"&amp;(COUNTIFS($C$5:C425,C425,$B$5:B425,B425,$I$5:I425,"ENTRADA")))</f>
        <v/>
      </c>
    </row>
    <row r="426" spans="1:20">
      <c r="A426" s="22" t="s">
        <v>503</v>
      </c>
      <c r="H426" s="22" t="str">
        <f t="shared" si="17"/>
        <v/>
      </c>
      <c r="J426" s="32"/>
      <c r="T426" t="str">
        <f>IF(OR(C426="",I426&lt;&gt;"ENTRADA"),"",UPPER(LEFT(SUBSTITUTE(C426," ",""),3))&amp;"-"&amp;TEXT(B426,"AAMMDD")&amp;"-"&amp;(COUNTIFS($C$5:C426,C426,$B$5:B426,B426,$I$5:I426,"ENTRADA")))</f>
        <v/>
      </c>
    </row>
    <row r="427" spans="1:20">
      <c r="A427" s="22" t="s">
        <v>504</v>
      </c>
      <c r="H427" s="22" t="str">
        <f t="shared" si="17"/>
        <v/>
      </c>
      <c r="J427" s="32"/>
      <c r="T427" t="str">
        <f>IF(OR(C427="",I427&lt;&gt;"ENTRADA"),"",UPPER(LEFT(SUBSTITUTE(C427," ",""),3))&amp;"-"&amp;TEXT(B427,"AAMMDD")&amp;"-"&amp;(COUNTIFS($C$5:C427,C427,$B$5:B427,B427,$I$5:I427,"ENTRADA")))</f>
        <v/>
      </c>
    </row>
    <row r="428" spans="1:20">
      <c r="A428" s="22" t="s">
        <v>505</v>
      </c>
      <c r="H428" s="22" t="str">
        <f t="shared" si="17"/>
        <v/>
      </c>
      <c r="J428" s="32"/>
      <c r="T428" t="str">
        <f>IF(OR(C428="",I428&lt;&gt;"ENTRADA"),"",UPPER(LEFT(SUBSTITUTE(C428," ",""),3))&amp;"-"&amp;TEXT(B428,"AAMMDD")&amp;"-"&amp;(COUNTIFS($C$5:C428,C428,$B$5:B428,B428,$I$5:I428,"ENTRADA")))</f>
        <v/>
      </c>
    </row>
    <row r="429" spans="1:20">
      <c r="A429" s="22" t="s">
        <v>506</v>
      </c>
      <c r="H429" s="22" t="str">
        <f t="shared" si="17"/>
        <v/>
      </c>
      <c r="J429" s="32"/>
      <c r="T429" t="str">
        <f>IF(OR(C429="",I429&lt;&gt;"ENTRADA"),"",UPPER(LEFT(SUBSTITUTE(C429," ",""),3))&amp;"-"&amp;TEXT(B429,"AAMMDD")&amp;"-"&amp;(COUNTIFS($C$5:C429,C429,$B$5:B429,B429,$I$5:I429,"ENTRADA")))</f>
        <v/>
      </c>
    </row>
    <row r="430" spans="1:20">
      <c r="A430" s="22" t="s">
        <v>507</v>
      </c>
      <c r="H430" s="22" t="str">
        <f t="shared" si="17"/>
        <v/>
      </c>
      <c r="J430" s="32"/>
      <c r="T430" t="str">
        <f>IF(OR(C430="",I430&lt;&gt;"ENTRADA"),"",UPPER(LEFT(SUBSTITUTE(C430," ",""),3))&amp;"-"&amp;TEXT(B430,"AAMMDD")&amp;"-"&amp;(COUNTIFS($C$5:C430,C430,$B$5:B430,B430,$I$5:I430,"ENTRADA")))</f>
        <v/>
      </c>
    </row>
    <row r="431" spans="1:20">
      <c r="A431" s="22" t="s">
        <v>508</v>
      </c>
      <c r="H431" s="22" t="str">
        <f t="shared" si="17"/>
        <v/>
      </c>
      <c r="J431" s="32"/>
      <c r="T431" t="str">
        <f>IF(OR(C431="",I431&lt;&gt;"ENTRADA"),"",UPPER(LEFT(SUBSTITUTE(C431," ",""),3))&amp;"-"&amp;TEXT(B431,"AAMMDD")&amp;"-"&amp;(COUNTIFS($C$5:C431,C431,$B$5:B431,B431,$I$5:I431,"ENTRADA")))</f>
        <v/>
      </c>
    </row>
    <row r="432" spans="1:20">
      <c r="A432" s="22" t="s">
        <v>509</v>
      </c>
      <c r="H432" s="22" t="str">
        <f t="shared" si="17"/>
        <v/>
      </c>
      <c r="J432" s="32"/>
      <c r="T432" t="str">
        <f>IF(OR(C432="",I432&lt;&gt;"ENTRADA"),"",UPPER(LEFT(SUBSTITUTE(C432," ",""),3))&amp;"-"&amp;TEXT(B432,"AAMMDD")&amp;"-"&amp;(COUNTIFS($C$5:C432,C432,$B$5:B432,B432,$I$5:I432,"ENTRADA")))</f>
        <v/>
      </c>
    </row>
    <row r="433" spans="1:20">
      <c r="A433" s="22" t="s">
        <v>510</v>
      </c>
      <c r="H433" s="22" t="str">
        <f t="shared" si="17"/>
        <v/>
      </c>
      <c r="J433" s="32"/>
      <c r="T433" t="str">
        <f>IF(OR(C433="",I433&lt;&gt;"ENTRADA"),"",UPPER(LEFT(SUBSTITUTE(C433," ",""),3))&amp;"-"&amp;TEXT(B433,"AAMMDD")&amp;"-"&amp;(COUNTIFS($C$5:C433,C433,$B$5:B433,B433,$I$5:I433,"ENTRADA")))</f>
        <v/>
      </c>
    </row>
    <row r="434" spans="1:20">
      <c r="A434" s="22" t="s">
        <v>511</v>
      </c>
      <c r="H434" s="22" t="str">
        <f t="shared" si="17"/>
        <v/>
      </c>
      <c r="J434" s="32"/>
      <c r="T434" t="str">
        <f>IF(OR(C434="",I434&lt;&gt;"ENTRADA"),"",UPPER(LEFT(SUBSTITUTE(C434," ",""),3))&amp;"-"&amp;TEXT(B434,"AAMMDD")&amp;"-"&amp;(COUNTIFS($C$5:C434,C434,$B$5:B434,B434,$I$5:I434,"ENTRADA")))</f>
        <v/>
      </c>
    </row>
    <row r="435" spans="1:20">
      <c r="A435" s="22" t="s">
        <v>512</v>
      </c>
      <c r="H435" s="22" t="str">
        <f t="shared" si="17"/>
        <v/>
      </c>
      <c r="J435" s="32"/>
      <c r="T435" t="str">
        <f>IF(OR(C435="",I435&lt;&gt;"ENTRADA"),"",UPPER(LEFT(SUBSTITUTE(C435," ",""),3))&amp;"-"&amp;TEXT(B435,"AAMMDD")&amp;"-"&amp;(COUNTIFS($C$5:C435,C435,$B$5:B435,B435,$I$5:I435,"ENTRADA")))</f>
        <v/>
      </c>
    </row>
    <row r="436" spans="1:20">
      <c r="A436" s="22" t="s">
        <v>513</v>
      </c>
      <c r="H436" s="22" t="str">
        <f t="shared" si="17"/>
        <v/>
      </c>
      <c r="J436" s="32"/>
      <c r="T436" t="str">
        <f>IF(OR(C436="",I436&lt;&gt;"ENTRADA"),"",UPPER(LEFT(SUBSTITUTE(C436," ",""),3))&amp;"-"&amp;TEXT(B436,"AAMMDD")&amp;"-"&amp;(COUNTIFS($C$5:C436,C436,$B$5:B436,B436,$I$5:I436,"ENTRADA")))</f>
        <v/>
      </c>
    </row>
    <row r="437" spans="1:20">
      <c r="A437" s="22" t="s">
        <v>514</v>
      </c>
      <c r="H437" s="22" t="str">
        <f t="shared" si="17"/>
        <v/>
      </c>
      <c r="J437" s="32"/>
      <c r="T437" t="str">
        <f>IF(OR(C437="",I437&lt;&gt;"ENTRADA"),"",UPPER(LEFT(SUBSTITUTE(C437," ",""),3))&amp;"-"&amp;TEXT(B437,"AAMMDD")&amp;"-"&amp;(COUNTIFS($C$5:C437,C437,$B$5:B437,B437,$I$5:I437,"ENTRADA")))</f>
        <v/>
      </c>
    </row>
    <row r="438" spans="1:20">
      <c r="A438" s="22" t="s">
        <v>515</v>
      </c>
      <c r="H438" s="22" t="str">
        <f t="shared" si="17"/>
        <v/>
      </c>
      <c r="J438" s="32"/>
      <c r="T438" t="str">
        <f>IF(OR(C438="",I438&lt;&gt;"ENTRADA"),"",UPPER(LEFT(SUBSTITUTE(C438," ",""),3))&amp;"-"&amp;TEXT(B438,"AAMMDD")&amp;"-"&amp;(COUNTIFS($C$5:C438,C438,$B$5:B438,B438,$I$5:I438,"ENTRADA")))</f>
        <v/>
      </c>
    </row>
    <row r="439" spans="1:20">
      <c r="A439" s="22" t="s">
        <v>516</v>
      </c>
      <c r="H439" s="22" t="str">
        <f t="shared" si="17"/>
        <v/>
      </c>
      <c r="J439" s="32"/>
      <c r="T439" t="str">
        <f>IF(OR(C439="",I439&lt;&gt;"ENTRADA"),"",UPPER(LEFT(SUBSTITUTE(C439," ",""),3))&amp;"-"&amp;TEXT(B439,"AAMMDD")&amp;"-"&amp;(COUNTIFS($C$5:C439,C439,$B$5:B439,B439,$I$5:I439,"ENTRADA")))</f>
        <v/>
      </c>
    </row>
    <row r="440" spans="1:20">
      <c r="A440" s="22" t="s">
        <v>517</v>
      </c>
      <c r="H440" s="22" t="str">
        <f t="shared" si="17"/>
        <v/>
      </c>
      <c r="J440" s="32"/>
      <c r="T440" t="str">
        <f>IF(OR(C440="",I440&lt;&gt;"ENTRADA"),"",UPPER(LEFT(SUBSTITUTE(C440," ",""),3))&amp;"-"&amp;TEXT(B440,"AAMMDD")&amp;"-"&amp;(COUNTIFS($C$5:C440,C440,$B$5:B440,B440,$I$5:I440,"ENTRADA")))</f>
        <v/>
      </c>
    </row>
    <row r="441" spans="1:20">
      <c r="A441" s="22" t="s">
        <v>518</v>
      </c>
      <c r="H441" s="22" t="str">
        <f t="shared" si="17"/>
        <v/>
      </c>
      <c r="J441" s="32"/>
      <c r="T441" t="str">
        <f>IF(OR(C441="",I441&lt;&gt;"ENTRADA"),"",UPPER(LEFT(SUBSTITUTE(C441," ",""),3))&amp;"-"&amp;TEXT(B441,"AAMMDD")&amp;"-"&amp;(COUNTIFS($C$5:C441,C441,$B$5:B441,B441,$I$5:I441,"ENTRADA")))</f>
        <v/>
      </c>
    </row>
    <row r="442" spans="1:20">
      <c r="A442" s="22" t="s">
        <v>519</v>
      </c>
      <c r="H442" s="22" t="str">
        <f t="shared" si="17"/>
        <v/>
      </c>
      <c r="J442" s="32"/>
      <c r="T442" t="str">
        <f>IF(OR(C442="",I442&lt;&gt;"ENTRADA"),"",UPPER(LEFT(SUBSTITUTE(C442," ",""),3))&amp;"-"&amp;TEXT(B442,"AAMMDD")&amp;"-"&amp;(COUNTIFS($C$5:C442,C442,$B$5:B442,B442,$I$5:I442,"ENTRADA")))</f>
        <v/>
      </c>
    </row>
    <row r="443" spans="1:20">
      <c r="A443" s="22" t="s">
        <v>520</v>
      </c>
      <c r="H443" s="22" t="str">
        <f t="shared" si="17"/>
        <v/>
      </c>
      <c r="J443" s="32"/>
      <c r="T443" t="str">
        <f>IF(OR(C443="",I443&lt;&gt;"ENTRADA"),"",UPPER(LEFT(SUBSTITUTE(C443," ",""),3))&amp;"-"&amp;TEXT(B443,"AAMMDD")&amp;"-"&amp;(COUNTIFS($C$5:C443,C443,$B$5:B443,B443,$I$5:I443,"ENTRADA")))</f>
        <v/>
      </c>
    </row>
    <row r="444" spans="1:20">
      <c r="A444" s="22" t="s">
        <v>521</v>
      </c>
      <c r="H444" s="22" t="str">
        <f t="shared" si="17"/>
        <v/>
      </c>
      <c r="J444" s="32"/>
      <c r="T444" t="str">
        <f>IF(OR(C444="",I444&lt;&gt;"ENTRADA"),"",UPPER(LEFT(SUBSTITUTE(C444," ",""),3))&amp;"-"&amp;TEXT(B444,"AAMMDD")&amp;"-"&amp;(COUNTIFS($C$5:C444,C444,$B$5:B444,B444,$I$5:I444,"ENTRADA")))</f>
        <v/>
      </c>
    </row>
    <row r="445" spans="1:20">
      <c r="A445" s="22" t="s">
        <v>522</v>
      </c>
      <c r="H445" s="22" t="str">
        <f t="shared" si="17"/>
        <v/>
      </c>
      <c r="J445" s="32"/>
      <c r="T445" t="str">
        <f>IF(OR(C445="",I445&lt;&gt;"ENTRADA"),"",UPPER(LEFT(SUBSTITUTE(C445," ",""),3))&amp;"-"&amp;TEXT(B445,"AAMMDD")&amp;"-"&amp;(COUNTIFS($C$5:C445,C445,$B$5:B445,B445,$I$5:I445,"ENTRADA")))</f>
        <v/>
      </c>
    </row>
    <row r="446" spans="1:20">
      <c r="A446" s="22" t="s">
        <v>523</v>
      </c>
      <c r="H446" s="22" t="str">
        <f t="shared" si="17"/>
        <v/>
      </c>
      <c r="J446" s="32"/>
      <c r="T446" t="str">
        <f>IF(OR(C446="",I446&lt;&gt;"ENTRADA"),"",UPPER(LEFT(SUBSTITUTE(C446," ",""),3))&amp;"-"&amp;TEXT(B446,"AAMMDD")&amp;"-"&amp;(COUNTIFS($C$5:C446,C446,$B$5:B446,B446,$I$5:I446,"ENTRADA")))</f>
        <v/>
      </c>
    </row>
    <row r="447" spans="1:20">
      <c r="A447" s="22" t="s">
        <v>524</v>
      </c>
      <c r="H447" s="22" t="str">
        <f t="shared" si="17"/>
        <v/>
      </c>
      <c r="J447" s="32"/>
      <c r="T447" t="str">
        <f>IF(OR(C447="",I447&lt;&gt;"ENTRADA"),"",UPPER(LEFT(SUBSTITUTE(C447," ",""),3))&amp;"-"&amp;TEXT(B447,"AAMMDD")&amp;"-"&amp;(COUNTIFS($C$5:C447,C447,$B$5:B447,B447,$I$5:I447,"ENTRADA")))</f>
        <v/>
      </c>
    </row>
    <row r="448" spans="1:20">
      <c r="A448" s="22" t="s">
        <v>525</v>
      </c>
      <c r="H448" s="22" t="str">
        <f t="shared" si="17"/>
        <v/>
      </c>
      <c r="J448" s="32"/>
      <c r="T448" t="str">
        <f>IF(OR(C448="",I448&lt;&gt;"ENTRADA"),"",UPPER(LEFT(SUBSTITUTE(C448," ",""),3))&amp;"-"&amp;TEXT(B448,"AAMMDD")&amp;"-"&amp;(COUNTIFS($C$5:C448,C448,$B$5:B448,B448,$I$5:I448,"ENTRADA")))</f>
        <v/>
      </c>
    </row>
    <row r="449" spans="1:20">
      <c r="A449" s="22" t="s">
        <v>526</v>
      </c>
      <c r="H449" s="22" t="str">
        <f t="shared" si="17"/>
        <v/>
      </c>
      <c r="J449" s="32"/>
      <c r="T449" t="str">
        <f>IF(OR(C449="",I449&lt;&gt;"ENTRADA"),"",UPPER(LEFT(SUBSTITUTE(C449," ",""),3))&amp;"-"&amp;TEXT(B449,"AAMMDD")&amp;"-"&amp;(COUNTIFS($C$5:C449,C449,$B$5:B449,B449,$I$5:I449,"ENTRADA")))</f>
        <v/>
      </c>
    </row>
    <row r="450" spans="1:20">
      <c r="A450" s="22" t="s">
        <v>527</v>
      </c>
      <c r="H450" s="22" t="str">
        <f t="shared" si="17"/>
        <v/>
      </c>
      <c r="J450" s="32"/>
      <c r="T450" t="str">
        <f>IF(OR(C450="",I450&lt;&gt;"ENTRADA"),"",UPPER(LEFT(SUBSTITUTE(C450," ",""),3))&amp;"-"&amp;TEXT(B450,"AAMMDD")&amp;"-"&amp;(COUNTIFS($C$5:C450,C450,$B$5:B450,B450,$I$5:I450,"ENTRADA")))</f>
        <v/>
      </c>
    </row>
    <row r="451" spans="1:20">
      <c r="A451" s="22" t="s">
        <v>528</v>
      </c>
      <c r="H451" s="22" t="str">
        <f t="shared" si="17"/>
        <v/>
      </c>
      <c r="J451" s="32"/>
      <c r="T451" t="str">
        <f>IF(OR(C451="",I451&lt;&gt;"ENTRADA"),"",UPPER(LEFT(SUBSTITUTE(C451," ",""),3))&amp;"-"&amp;TEXT(B451,"AAMMDD")&amp;"-"&amp;(COUNTIFS($C$5:C451,C451,$B$5:B451,B451,$I$5:I451,"ENTRADA")))</f>
        <v/>
      </c>
    </row>
    <row r="452" spans="1:20">
      <c r="A452" s="22" t="s">
        <v>529</v>
      </c>
      <c r="H452" s="22" t="str">
        <f t="shared" si="17"/>
        <v/>
      </c>
      <c r="J452" s="32"/>
      <c r="T452" t="str">
        <f>IF(OR(C452="",I452&lt;&gt;"ENTRADA"),"",UPPER(LEFT(SUBSTITUTE(C452," ",""),3))&amp;"-"&amp;TEXT(B452,"AAMMDD")&amp;"-"&amp;(COUNTIFS($C$5:C452,C452,$B$5:B452,B452,$I$5:I452,"ENTRADA")))</f>
        <v/>
      </c>
    </row>
    <row r="453" spans="1:20">
      <c r="A453" s="22" t="s">
        <v>530</v>
      </c>
      <c r="H453" s="22" t="str">
        <f t="shared" si="17"/>
        <v/>
      </c>
      <c r="J453" s="32"/>
      <c r="T453" t="str">
        <f>IF(OR(C453="",I453&lt;&gt;"ENTRADA"),"",UPPER(LEFT(SUBSTITUTE(C453," ",""),3))&amp;"-"&amp;TEXT(B453,"AAMMDD")&amp;"-"&amp;(COUNTIFS($C$5:C453,C453,$B$5:B453,B453,$I$5:I453,"ENTRADA")))</f>
        <v/>
      </c>
    </row>
    <row r="454" spans="1:20">
      <c r="A454" s="22" t="s">
        <v>531</v>
      </c>
      <c r="H454" s="22" t="str">
        <f t="shared" si="17"/>
        <v/>
      </c>
      <c r="J454" s="32"/>
      <c r="T454" t="str">
        <f>IF(OR(C454="",I454&lt;&gt;"ENTRADA"),"",UPPER(LEFT(SUBSTITUTE(C454," ",""),3))&amp;"-"&amp;TEXT(B454,"AAMMDD")&amp;"-"&amp;(COUNTIFS($C$5:C454,C454,$B$5:B454,B454,$I$5:I454,"ENTRADA")))</f>
        <v/>
      </c>
    </row>
    <row r="455" spans="1:20">
      <c r="A455" s="22" t="s">
        <v>532</v>
      </c>
      <c r="H455" s="22" t="str">
        <f t="shared" si="17"/>
        <v/>
      </c>
      <c r="J455" s="32"/>
      <c r="T455" t="str">
        <f>IF(OR(C455="",I455&lt;&gt;"ENTRADA"),"",UPPER(LEFT(SUBSTITUTE(C455," ",""),3))&amp;"-"&amp;TEXT(B455,"AAMMDD")&amp;"-"&amp;(COUNTIFS($C$5:C455,C455,$B$5:B455,B455,$I$5:I455,"ENTRADA")))</f>
        <v/>
      </c>
    </row>
    <row r="456" spans="1:20">
      <c r="A456" s="22" t="s">
        <v>533</v>
      </c>
      <c r="H456" s="22" t="str">
        <f t="shared" si="17"/>
        <v/>
      </c>
      <c r="J456" s="32"/>
      <c r="T456" t="str">
        <f>IF(OR(C456="",I456&lt;&gt;"ENTRADA"),"",UPPER(LEFT(SUBSTITUTE(C456," ",""),3))&amp;"-"&amp;TEXT(B456,"AAMMDD")&amp;"-"&amp;(COUNTIFS($C$5:C456,C456,$B$5:B456,B456,$I$5:I456,"ENTRADA")))</f>
        <v/>
      </c>
    </row>
    <row r="457" spans="1:20">
      <c r="A457" s="22" t="s">
        <v>534</v>
      </c>
      <c r="H457" s="22" t="str">
        <f t="shared" si="17"/>
        <v/>
      </c>
      <c r="J457" s="32"/>
      <c r="T457" t="str">
        <f>IF(OR(C457="",I457&lt;&gt;"ENTRADA"),"",UPPER(LEFT(SUBSTITUTE(C457," ",""),3))&amp;"-"&amp;TEXT(B457,"AAMMDD")&amp;"-"&amp;(COUNTIFS($C$5:C457,C457,$B$5:B457,B457,$I$5:I457,"ENTRADA")))</f>
        <v/>
      </c>
    </row>
    <row r="458" spans="1:20">
      <c r="A458" s="22" t="s">
        <v>535</v>
      </c>
      <c r="H458" s="22" t="str">
        <f t="shared" si="17"/>
        <v/>
      </c>
      <c r="J458" s="32"/>
      <c r="T458" t="str">
        <f>IF(OR(C458="",I458&lt;&gt;"ENTRADA"),"",UPPER(LEFT(SUBSTITUTE(C458," ",""),3))&amp;"-"&amp;TEXT(B458,"AAMMDD")&amp;"-"&amp;(COUNTIFS($C$5:C458,C458,$B$5:B458,B458,$I$5:I458,"ENTRADA")))</f>
        <v/>
      </c>
    </row>
    <row r="459" spans="1:20">
      <c r="A459" s="22" t="s">
        <v>536</v>
      </c>
      <c r="H459" s="22" t="str">
        <f t="shared" si="17"/>
        <v/>
      </c>
      <c r="J459" s="32"/>
      <c r="T459" t="str">
        <f>IF(OR(C459="",I459&lt;&gt;"ENTRADA"),"",UPPER(LEFT(SUBSTITUTE(C459," ",""),3))&amp;"-"&amp;TEXT(B459,"AAMMDD")&amp;"-"&amp;(COUNTIFS($C$5:C459,C459,$B$5:B459,B459,$I$5:I459,"ENTRADA")))</f>
        <v/>
      </c>
    </row>
    <row r="460" spans="1:20">
      <c r="A460" s="22" t="s">
        <v>537</v>
      </c>
      <c r="H460" s="22" t="str">
        <f t="shared" si="17"/>
        <v/>
      </c>
      <c r="J460" s="32"/>
      <c r="T460" t="str">
        <f>IF(OR(C460="",I460&lt;&gt;"ENTRADA"),"",UPPER(LEFT(SUBSTITUTE(C460," ",""),3))&amp;"-"&amp;TEXT(B460,"AAMMDD")&amp;"-"&amp;(COUNTIFS($C$5:C460,C460,$B$5:B460,B460,$I$5:I460,"ENTRADA")))</f>
        <v/>
      </c>
    </row>
    <row r="461" spans="1:20">
      <c r="A461" s="22" t="s">
        <v>538</v>
      </c>
      <c r="H461" s="22" t="str">
        <f t="shared" si="17"/>
        <v/>
      </c>
      <c r="J461" s="32"/>
      <c r="T461" t="str">
        <f>IF(OR(C461="",I461&lt;&gt;"ENTRADA"),"",UPPER(LEFT(SUBSTITUTE(C461," ",""),3))&amp;"-"&amp;TEXT(B461,"AAMMDD")&amp;"-"&amp;(COUNTIFS($C$5:C461,C461,$B$5:B461,B461,$I$5:I461,"ENTRADA")))</f>
        <v/>
      </c>
    </row>
    <row r="462" spans="1:20">
      <c r="A462" s="22" t="s">
        <v>539</v>
      </c>
      <c r="H462" s="22" t="str">
        <f t="shared" si="17"/>
        <v/>
      </c>
      <c r="J462" s="32"/>
      <c r="T462" t="str">
        <f>IF(OR(C462="",I462&lt;&gt;"ENTRADA"),"",UPPER(LEFT(SUBSTITUTE(C462," ",""),3))&amp;"-"&amp;TEXT(B462,"AAMMDD")&amp;"-"&amp;(COUNTIFS($C$5:C462,C462,$B$5:B462,B462,$I$5:I462,"ENTRADA")))</f>
        <v/>
      </c>
    </row>
    <row r="463" spans="1:20">
      <c r="A463" s="22" t="s">
        <v>540</v>
      </c>
      <c r="H463" s="22" t="str">
        <f t="shared" si="17"/>
        <v/>
      </c>
      <c r="J463" s="32"/>
      <c r="T463" t="str">
        <f>IF(OR(C463="",I463&lt;&gt;"ENTRADA"),"",UPPER(LEFT(SUBSTITUTE(C463," ",""),3))&amp;"-"&amp;TEXT(B463,"AAMMDD")&amp;"-"&amp;(COUNTIFS($C$5:C463,C463,$B$5:B463,B463,$I$5:I463,"ENTRADA")))</f>
        <v/>
      </c>
    </row>
    <row r="464" spans="1:20">
      <c r="A464" s="22" t="s">
        <v>541</v>
      </c>
      <c r="H464" s="22" t="str">
        <f t="shared" ref="H464:H527" si="18">+T464</f>
        <v/>
      </c>
      <c r="J464" s="32"/>
      <c r="T464" t="str">
        <f>IF(OR(C464="",I464&lt;&gt;"ENTRADA"),"",UPPER(LEFT(SUBSTITUTE(C464," ",""),3))&amp;"-"&amp;TEXT(B464,"AAMMDD")&amp;"-"&amp;(COUNTIFS($C$5:C464,C464,$B$5:B464,B464,$I$5:I464,"ENTRADA")))</f>
        <v/>
      </c>
    </row>
    <row r="465" spans="1:20">
      <c r="A465" s="22" t="s">
        <v>542</v>
      </c>
      <c r="H465" s="22" t="str">
        <f t="shared" si="18"/>
        <v/>
      </c>
      <c r="J465" s="32"/>
      <c r="T465" t="str">
        <f>IF(OR(C465="",I465&lt;&gt;"ENTRADA"),"",UPPER(LEFT(SUBSTITUTE(C465," ",""),3))&amp;"-"&amp;TEXT(B465,"AAMMDD")&amp;"-"&amp;(COUNTIFS($C$5:C465,C465,$B$5:B465,B465,$I$5:I465,"ENTRADA")))</f>
        <v/>
      </c>
    </row>
    <row r="466" spans="1:20">
      <c r="A466" s="22" t="s">
        <v>543</v>
      </c>
      <c r="H466" s="22" t="str">
        <f t="shared" si="18"/>
        <v/>
      </c>
      <c r="J466" s="32"/>
      <c r="T466" t="str">
        <f>IF(OR(C466="",I466&lt;&gt;"ENTRADA"),"",UPPER(LEFT(SUBSTITUTE(C466," ",""),3))&amp;"-"&amp;TEXT(B466,"AAMMDD")&amp;"-"&amp;(COUNTIFS($C$5:C466,C466,$B$5:B466,B466,$I$5:I466,"ENTRADA")))</f>
        <v/>
      </c>
    </row>
    <row r="467" spans="1:20">
      <c r="A467" s="22" t="s">
        <v>544</v>
      </c>
      <c r="H467" s="22" t="str">
        <f t="shared" si="18"/>
        <v/>
      </c>
      <c r="J467" s="32"/>
      <c r="T467" t="str">
        <f>IF(OR(C467="",I467&lt;&gt;"ENTRADA"),"",UPPER(LEFT(SUBSTITUTE(C467," ",""),3))&amp;"-"&amp;TEXT(B467,"AAMMDD")&amp;"-"&amp;(COUNTIFS($C$5:C467,C467,$B$5:B467,B467,$I$5:I467,"ENTRADA")))</f>
        <v/>
      </c>
    </row>
    <row r="468" spans="1:20">
      <c r="A468" s="22" t="s">
        <v>545</v>
      </c>
      <c r="H468" s="22" t="str">
        <f t="shared" si="18"/>
        <v/>
      </c>
      <c r="J468" s="32"/>
      <c r="T468" t="str">
        <f>IF(OR(C468="",I468&lt;&gt;"ENTRADA"),"",UPPER(LEFT(SUBSTITUTE(C468," ",""),3))&amp;"-"&amp;TEXT(B468,"AAMMDD")&amp;"-"&amp;(COUNTIFS($C$5:C468,C468,$B$5:B468,B468,$I$5:I468,"ENTRADA")))</f>
        <v/>
      </c>
    </row>
    <row r="469" spans="1:20">
      <c r="A469" s="22" t="s">
        <v>546</v>
      </c>
      <c r="H469" s="22" t="str">
        <f t="shared" si="18"/>
        <v/>
      </c>
      <c r="J469" s="32"/>
      <c r="T469" t="str">
        <f>IF(OR(C469="",I469&lt;&gt;"ENTRADA"),"",UPPER(LEFT(SUBSTITUTE(C469," ",""),3))&amp;"-"&amp;TEXT(B469,"AAMMDD")&amp;"-"&amp;(COUNTIFS($C$5:C469,C469,$B$5:B469,B469,$I$5:I469,"ENTRADA")))</f>
        <v/>
      </c>
    </row>
    <row r="470" spans="1:20">
      <c r="A470" s="22" t="s">
        <v>547</v>
      </c>
      <c r="H470" s="22" t="str">
        <f t="shared" si="18"/>
        <v/>
      </c>
      <c r="J470" s="32"/>
      <c r="T470" t="str">
        <f>IF(OR(C470="",I470&lt;&gt;"ENTRADA"),"",UPPER(LEFT(SUBSTITUTE(C470," ",""),3))&amp;"-"&amp;TEXT(B470,"AAMMDD")&amp;"-"&amp;(COUNTIFS($C$5:C470,C470,$B$5:B470,B470,$I$5:I470,"ENTRADA")))</f>
        <v/>
      </c>
    </row>
    <row r="471" spans="1:20">
      <c r="A471" s="22" t="s">
        <v>548</v>
      </c>
      <c r="H471" s="22" t="str">
        <f t="shared" si="18"/>
        <v/>
      </c>
      <c r="J471" s="32"/>
      <c r="T471" t="str">
        <f>IF(OR(C471="",I471&lt;&gt;"ENTRADA"),"",UPPER(LEFT(SUBSTITUTE(C471," ",""),3))&amp;"-"&amp;TEXT(B471,"AAMMDD")&amp;"-"&amp;(COUNTIFS($C$5:C471,C471,$B$5:B471,B471,$I$5:I471,"ENTRADA")))</f>
        <v/>
      </c>
    </row>
    <row r="472" spans="1:20">
      <c r="A472" s="22" t="s">
        <v>549</v>
      </c>
      <c r="H472" s="22" t="str">
        <f t="shared" si="18"/>
        <v/>
      </c>
      <c r="J472" s="32"/>
      <c r="T472" t="str">
        <f>IF(OR(C472="",I472&lt;&gt;"ENTRADA"),"",UPPER(LEFT(SUBSTITUTE(C472," ",""),3))&amp;"-"&amp;TEXT(B472,"AAMMDD")&amp;"-"&amp;(COUNTIFS($C$5:C472,C472,$B$5:B472,B472,$I$5:I472,"ENTRADA")))</f>
        <v/>
      </c>
    </row>
    <row r="473" spans="1:20">
      <c r="A473" s="22" t="s">
        <v>550</v>
      </c>
      <c r="H473" s="22" t="str">
        <f t="shared" si="18"/>
        <v/>
      </c>
      <c r="J473" s="32"/>
      <c r="T473" t="str">
        <f>IF(OR(C473="",I473&lt;&gt;"ENTRADA"),"",UPPER(LEFT(SUBSTITUTE(C473," ",""),3))&amp;"-"&amp;TEXT(B473,"AAMMDD")&amp;"-"&amp;(COUNTIFS($C$5:C473,C473,$B$5:B473,B473,$I$5:I473,"ENTRADA")))</f>
        <v/>
      </c>
    </row>
    <row r="474" spans="1:20">
      <c r="A474" s="22" t="s">
        <v>551</v>
      </c>
      <c r="H474" s="22" t="str">
        <f t="shared" si="18"/>
        <v/>
      </c>
      <c r="J474" s="32"/>
      <c r="T474" t="str">
        <f>IF(OR(C474="",I474&lt;&gt;"ENTRADA"),"",UPPER(LEFT(SUBSTITUTE(C474," ",""),3))&amp;"-"&amp;TEXT(B474,"AAMMDD")&amp;"-"&amp;(COUNTIFS($C$5:C474,C474,$B$5:B474,B474,$I$5:I474,"ENTRADA")))</f>
        <v/>
      </c>
    </row>
    <row r="475" spans="1:20">
      <c r="A475" s="22" t="s">
        <v>552</v>
      </c>
      <c r="H475" s="22" t="str">
        <f t="shared" si="18"/>
        <v/>
      </c>
      <c r="J475" s="32"/>
      <c r="T475" t="str">
        <f>IF(OR(C475="",I475&lt;&gt;"ENTRADA"),"",UPPER(LEFT(SUBSTITUTE(C475," ",""),3))&amp;"-"&amp;TEXT(B475,"AAMMDD")&amp;"-"&amp;(COUNTIFS($C$5:C475,C475,$B$5:B475,B475,$I$5:I475,"ENTRADA")))</f>
        <v/>
      </c>
    </row>
    <row r="476" spans="1:20">
      <c r="A476" s="22" t="s">
        <v>553</v>
      </c>
      <c r="H476" s="22" t="str">
        <f t="shared" si="18"/>
        <v/>
      </c>
      <c r="J476" s="32"/>
      <c r="T476" t="str">
        <f>IF(OR(C476="",I476&lt;&gt;"ENTRADA"),"",UPPER(LEFT(SUBSTITUTE(C476," ",""),3))&amp;"-"&amp;TEXT(B476,"AAMMDD")&amp;"-"&amp;(COUNTIFS($C$5:C476,C476,$B$5:B476,B476,$I$5:I476,"ENTRADA")))</f>
        <v/>
      </c>
    </row>
    <row r="477" spans="1:20">
      <c r="A477" s="22" t="s">
        <v>554</v>
      </c>
      <c r="H477" s="22" t="str">
        <f t="shared" si="18"/>
        <v/>
      </c>
      <c r="J477" s="32"/>
      <c r="T477" t="str">
        <f>IF(OR(C477="",I477&lt;&gt;"ENTRADA"),"",UPPER(LEFT(SUBSTITUTE(C477," ",""),3))&amp;"-"&amp;TEXT(B477,"AAMMDD")&amp;"-"&amp;(COUNTIFS($C$5:C477,C477,$B$5:B477,B477,$I$5:I477,"ENTRADA")))</f>
        <v/>
      </c>
    </row>
    <row r="478" spans="1:20">
      <c r="A478" s="22" t="s">
        <v>555</v>
      </c>
      <c r="H478" s="22" t="str">
        <f t="shared" si="18"/>
        <v/>
      </c>
      <c r="J478" s="32"/>
      <c r="T478" t="str">
        <f>IF(OR(C478="",I478&lt;&gt;"ENTRADA"),"",UPPER(LEFT(SUBSTITUTE(C478," ",""),3))&amp;"-"&amp;TEXT(B478,"AAMMDD")&amp;"-"&amp;(COUNTIFS($C$5:C478,C478,$B$5:B478,B478,$I$5:I478,"ENTRADA")))</f>
        <v/>
      </c>
    </row>
    <row r="479" spans="1:20">
      <c r="A479" s="22" t="s">
        <v>556</v>
      </c>
      <c r="H479" s="22" t="str">
        <f t="shared" si="18"/>
        <v/>
      </c>
      <c r="J479" s="32"/>
      <c r="T479" t="str">
        <f>IF(OR(C479="",I479&lt;&gt;"ENTRADA"),"",UPPER(LEFT(SUBSTITUTE(C479," ",""),3))&amp;"-"&amp;TEXT(B479,"AAMMDD")&amp;"-"&amp;(COUNTIFS($C$5:C479,C479,$B$5:B479,B479,$I$5:I479,"ENTRADA")))</f>
        <v/>
      </c>
    </row>
    <row r="480" spans="1:20">
      <c r="A480" s="22" t="s">
        <v>557</v>
      </c>
      <c r="H480" s="22" t="str">
        <f t="shared" si="18"/>
        <v/>
      </c>
      <c r="J480" s="32"/>
      <c r="T480" t="str">
        <f>IF(OR(C480="",I480&lt;&gt;"ENTRADA"),"",UPPER(LEFT(SUBSTITUTE(C480," ",""),3))&amp;"-"&amp;TEXT(B480,"AAMMDD")&amp;"-"&amp;(COUNTIFS($C$5:C480,C480,$B$5:B480,B480,$I$5:I480,"ENTRADA")))</f>
        <v/>
      </c>
    </row>
    <row r="481" spans="1:20">
      <c r="A481" s="22" t="s">
        <v>558</v>
      </c>
      <c r="H481" s="22" t="str">
        <f t="shared" si="18"/>
        <v/>
      </c>
      <c r="J481" s="32"/>
      <c r="T481" t="str">
        <f>IF(OR(C481="",I481&lt;&gt;"ENTRADA"),"",UPPER(LEFT(SUBSTITUTE(C481," ",""),3))&amp;"-"&amp;TEXT(B481,"AAMMDD")&amp;"-"&amp;(COUNTIFS($C$5:C481,C481,$B$5:B481,B481,$I$5:I481,"ENTRADA")))</f>
        <v/>
      </c>
    </row>
    <row r="482" spans="1:20">
      <c r="A482" s="22" t="s">
        <v>559</v>
      </c>
      <c r="H482" s="22" t="str">
        <f t="shared" si="18"/>
        <v/>
      </c>
      <c r="J482" s="32"/>
      <c r="T482" t="str">
        <f>IF(OR(C482="",I482&lt;&gt;"ENTRADA"),"",UPPER(LEFT(SUBSTITUTE(C482," ",""),3))&amp;"-"&amp;TEXT(B482,"AAMMDD")&amp;"-"&amp;(COUNTIFS($C$5:C482,C482,$B$5:B482,B482,$I$5:I482,"ENTRADA")))</f>
        <v/>
      </c>
    </row>
    <row r="483" spans="1:20">
      <c r="A483" s="22" t="s">
        <v>560</v>
      </c>
      <c r="H483" s="22" t="str">
        <f t="shared" si="18"/>
        <v/>
      </c>
      <c r="J483" s="32"/>
      <c r="T483" t="str">
        <f>IF(OR(C483="",I483&lt;&gt;"ENTRADA"),"",UPPER(LEFT(SUBSTITUTE(C483," ",""),3))&amp;"-"&amp;TEXT(B483,"AAMMDD")&amp;"-"&amp;(COUNTIFS($C$5:C483,C483,$B$5:B483,B483,$I$5:I483,"ENTRADA")))</f>
        <v/>
      </c>
    </row>
    <row r="484" spans="1:20">
      <c r="A484" s="22" t="s">
        <v>561</v>
      </c>
      <c r="H484" s="22" t="str">
        <f t="shared" si="18"/>
        <v/>
      </c>
      <c r="J484" s="32"/>
      <c r="T484" t="str">
        <f>IF(OR(C484="",I484&lt;&gt;"ENTRADA"),"",UPPER(LEFT(SUBSTITUTE(C484," ",""),3))&amp;"-"&amp;TEXT(B484,"AAMMDD")&amp;"-"&amp;(COUNTIFS($C$5:C484,C484,$B$5:B484,B484,$I$5:I484,"ENTRADA")))</f>
        <v/>
      </c>
    </row>
    <row r="485" spans="1:20">
      <c r="A485" s="22" t="s">
        <v>562</v>
      </c>
      <c r="H485" s="22" t="str">
        <f t="shared" si="18"/>
        <v/>
      </c>
      <c r="J485" s="32"/>
      <c r="T485" t="str">
        <f>IF(OR(C485="",I485&lt;&gt;"ENTRADA"),"",UPPER(LEFT(SUBSTITUTE(C485," ",""),3))&amp;"-"&amp;TEXT(B485,"AAMMDD")&amp;"-"&amp;(COUNTIFS($C$5:C485,C485,$B$5:B485,B485,$I$5:I485,"ENTRADA")))</f>
        <v/>
      </c>
    </row>
    <row r="486" spans="1:20">
      <c r="A486" s="22" t="s">
        <v>563</v>
      </c>
      <c r="H486" s="22" t="str">
        <f t="shared" si="18"/>
        <v/>
      </c>
      <c r="J486" s="32"/>
      <c r="T486" t="str">
        <f>IF(OR(C486="",I486&lt;&gt;"ENTRADA"),"",UPPER(LEFT(SUBSTITUTE(C486," ",""),3))&amp;"-"&amp;TEXT(B486,"AAMMDD")&amp;"-"&amp;(COUNTIFS($C$5:C486,C486,$B$5:B486,B486,$I$5:I486,"ENTRADA")))</f>
        <v/>
      </c>
    </row>
    <row r="487" spans="1:20">
      <c r="A487" s="22" t="s">
        <v>564</v>
      </c>
      <c r="H487" s="22" t="str">
        <f t="shared" si="18"/>
        <v/>
      </c>
      <c r="J487" s="32"/>
      <c r="T487" t="str">
        <f>IF(OR(C487="",I487&lt;&gt;"ENTRADA"),"",UPPER(LEFT(SUBSTITUTE(C487," ",""),3))&amp;"-"&amp;TEXT(B487,"AAMMDD")&amp;"-"&amp;(COUNTIFS($C$5:C487,C487,$B$5:B487,B487,$I$5:I487,"ENTRADA")))</f>
        <v/>
      </c>
    </row>
    <row r="488" spans="1:20">
      <c r="A488" s="22" t="s">
        <v>565</v>
      </c>
      <c r="H488" s="22" t="str">
        <f t="shared" si="18"/>
        <v/>
      </c>
      <c r="J488" s="32"/>
      <c r="T488" t="str">
        <f>IF(OR(C488="",I488&lt;&gt;"ENTRADA"),"",UPPER(LEFT(SUBSTITUTE(C488," ",""),3))&amp;"-"&amp;TEXT(B488,"AAMMDD")&amp;"-"&amp;(COUNTIFS($C$5:C488,C488,$B$5:B488,B488,$I$5:I488,"ENTRADA")))</f>
        <v/>
      </c>
    </row>
    <row r="489" spans="1:20">
      <c r="A489" s="22" t="s">
        <v>566</v>
      </c>
      <c r="H489" s="22" t="str">
        <f t="shared" si="18"/>
        <v/>
      </c>
      <c r="J489" s="32"/>
      <c r="T489" t="str">
        <f>IF(OR(C489="",I489&lt;&gt;"ENTRADA"),"",UPPER(LEFT(SUBSTITUTE(C489," ",""),3))&amp;"-"&amp;TEXT(B489,"AAMMDD")&amp;"-"&amp;(COUNTIFS($C$5:C489,C489,$B$5:B489,B489,$I$5:I489,"ENTRADA")))</f>
        <v/>
      </c>
    </row>
    <row r="490" spans="1:20">
      <c r="A490" s="22" t="s">
        <v>567</v>
      </c>
      <c r="H490" s="22" t="str">
        <f t="shared" si="18"/>
        <v/>
      </c>
      <c r="J490" s="32"/>
      <c r="T490" t="str">
        <f>IF(OR(C490="",I490&lt;&gt;"ENTRADA"),"",UPPER(LEFT(SUBSTITUTE(C490," ",""),3))&amp;"-"&amp;TEXT(B490,"AAMMDD")&amp;"-"&amp;(COUNTIFS($C$5:C490,C490,$B$5:B490,B490,$I$5:I490,"ENTRADA")))</f>
        <v/>
      </c>
    </row>
    <row r="491" spans="1:20">
      <c r="A491" s="22" t="s">
        <v>568</v>
      </c>
      <c r="H491" s="22" t="str">
        <f t="shared" si="18"/>
        <v/>
      </c>
      <c r="J491" s="32"/>
      <c r="T491" t="str">
        <f>IF(OR(C491="",I491&lt;&gt;"ENTRADA"),"",UPPER(LEFT(SUBSTITUTE(C491," ",""),3))&amp;"-"&amp;TEXT(B491,"AAMMDD")&amp;"-"&amp;(COUNTIFS($C$5:C491,C491,$B$5:B491,B491,$I$5:I491,"ENTRADA")))</f>
        <v/>
      </c>
    </row>
    <row r="492" spans="1:20">
      <c r="A492" s="22" t="s">
        <v>569</v>
      </c>
      <c r="H492" s="22" t="str">
        <f t="shared" si="18"/>
        <v/>
      </c>
      <c r="J492" s="32"/>
      <c r="T492" t="str">
        <f>IF(OR(C492="",I492&lt;&gt;"ENTRADA"),"",UPPER(LEFT(SUBSTITUTE(C492," ",""),3))&amp;"-"&amp;TEXT(B492,"AAMMDD")&amp;"-"&amp;(COUNTIFS($C$5:C492,C492,$B$5:B492,B492,$I$5:I492,"ENTRADA")))</f>
        <v/>
      </c>
    </row>
    <row r="493" spans="1:20">
      <c r="A493" s="22" t="s">
        <v>570</v>
      </c>
      <c r="H493" s="22" t="str">
        <f t="shared" si="18"/>
        <v/>
      </c>
      <c r="J493" s="32"/>
      <c r="T493" t="str">
        <f>IF(OR(C493="",I493&lt;&gt;"ENTRADA"),"",UPPER(LEFT(SUBSTITUTE(C493," ",""),3))&amp;"-"&amp;TEXT(B493,"AAMMDD")&amp;"-"&amp;(COUNTIFS($C$5:C493,C493,$B$5:B493,B493,$I$5:I493,"ENTRADA")))</f>
        <v/>
      </c>
    </row>
    <row r="494" spans="1:20">
      <c r="A494" s="22" t="s">
        <v>571</v>
      </c>
      <c r="H494" s="22" t="str">
        <f t="shared" si="18"/>
        <v/>
      </c>
      <c r="J494" s="32"/>
      <c r="T494" t="str">
        <f>IF(OR(C494="",I494&lt;&gt;"ENTRADA"),"",UPPER(LEFT(SUBSTITUTE(C494," ",""),3))&amp;"-"&amp;TEXT(B494,"AAMMDD")&amp;"-"&amp;(COUNTIFS($C$5:C494,C494,$B$5:B494,B494,$I$5:I494,"ENTRADA")))</f>
        <v/>
      </c>
    </row>
    <row r="495" spans="1:20">
      <c r="A495" s="22" t="s">
        <v>572</v>
      </c>
      <c r="H495" s="22" t="str">
        <f t="shared" si="18"/>
        <v/>
      </c>
      <c r="J495" s="32"/>
      <c r="T495" t="str">
        <f>IF(OR(C495="",I495&lt;&gt;"ENTRADA"),"",UPPER(LEFT(SUBSTITUTE(C495," ",""),3))&amp;"-"&amp;TEXT(B495,"AAMMDD")&amp;"-"&amp;(COUNTIFS($C$5:C495,C495,$B$5:B495,B495,$I$5:I495,"ENTRADA")))</f>
        <v/>
      </c>
    </row>
    <row r="496" spans="1:20">
      <c r="A496" s="22" t="s">
        <v>573</v>
      </c>
      <c r="H496" s="22" t="str">
        <f t="shared" si="18"/>
        <v/>
      </c>
      <c r="J496" s="32"/>
      <c r="T496" t="str">
        <f>IF(OR(C496="",I496&lt;&gt;"ENTRADA"),"",UPPER(LEFT(SUBSTITUTE(C496," ",""),3))&amp;"-"&amp;TEXT(B496,"AAMMDD")&amp;"-"&amp;(COUNTIFS($C$5:C496,C496,$B$5:B496,B496,$I$5:I496,"ENTRADA")))</f>
        <v/>
      </c>
    </row>
    <row r="497" spans="1:20">
      <c r="A497" s="22" t="s">
        <v>574</v>
      </c>
      <c r="H497" s="22" t="str">
        <f t="shared" si="18"/>
        <v/>
      </c>
      <c r="J497" s="32"/>
      <c r="T497" t="str">
        <f>IF(OR(C497="",I497&lt;&gt;"ENTRADA"),"",UPPER(LEFT(SUBSTITUTE(C497," ",""),3))&amp;"-"&amp;TEXT(B497,"AAMMDD")&amp;"-"&amp;(COUNTIFS($C$5:C497,C497,$B$5:B497,B497,$I$5:I497,"ENTRADA")))</f>
        <v/>
      </c>
    </row>
    <row r="498" spans="1:20">
      <c r="A498" s="22" t="s">
        <v>575</v>
      </c>
      <c r="H498" s="22" t="str">
        <f t="shared" si="18"/>
        <v/>
      </c>
      <c r="J498" s="32"/>
      <c r="T498" t="str">
        <f>IF(OR(C498="",I498&lt;&gt;"ENTRADA"),"",UPPER(LEFT(SUBSTITUTE(C498," ",""),3))&amp;"-"&amp;TEXT(B498,"AAMMDD")&amp;"-"&amp;(COUNTIFS($C$5:C498,C498,$B$5:B498,B498,$I$5:I498,"ENTRADA")))</f>
        <v/>
      </c>
    </row>
    <row r="499" spans="1:20">
      <c r="A499" s="22" t="s">
        <v>576</v>
      </c>
      <c r="H499" s="22" t="str">
        <f t="shared" si="18"/>
        <v/>
      </c>
      <c r="J499" s="32"/>
      <c r="T499" t="str">
        <f>IF(OR(C499="",I499&lt;&gt;"ENTRADA"),"",UPPER(LEFT(SUBSTITUTE(C499," ",""),3))&amp;"-"&amp;TEXT(B499,"AAMMDD")&amp;"-"&amp;(COUNTIFS($C$5:C499,C499,$B$5:B499,B499,$I$5:I499,"ENTRADA")))</f>
        <v/>
      </c>
    </row>
    <row r="500" spans="1:20">
      <c r="A500" s="22" t="s">
        <v>577</v>
      </c>
      <c r="H500" s="22" t="str">
        <f t="shared" si="18"/>
        <v/>
      </c>
      <c r="J500" s="32"/>
      <c r="T500" t="str">
        <f>IF(OR(C500="",I500&lt;&gt;"ENTRADA"),"",UPPER(LEFT(SUBSTITUTE(C500," ",""),3))&amp;"-"&amp;TEXT(B500,"AAMMDD")&amp;"-"&amp;(COUNTIFS($C$5:C500,C500,$B$5:B500,B500,$I$5:I500,"ENTRADA")))</f>
        <v/>
      </c>
    </row>
    <row r="501" spans="1:20">
      <c r="A501" s="22" t="s">
        <v>578</v>
      </c>
      <c r="H501" s="22" t="str">
        <f t="shared" si="18"/>
        <v/>
      </c>
      <c r="J501" s="32"/>
      <c r="T501" t="str">
        <f>IF(OR(C501="",I501&lt;&gt;"ENTRADA"),"",UPPER(LEFT(SUBSTITUTE(C501," ",""),3))&amp;"-"&amp;TEXT(B501,"AAMMDD")&amp;"-"&amp;(COUNTIFS($C$5:C501,C501,$B$5:B501,B501,$I$5:I501,"ENTRADA")))</f>
        <v/>
      </c>
    </row>
    <row r="502" spans="1:20">
      <c r="A502" s="22" t="s">
        <v>579</v>
      </c>
      <c r="H502" s="22" t="str">
        <f t="shared" si="18"/>
        <v/>
      </c>
      <c r="J502" s="32"/>
      <c r="T502" t="str">
        <f>IF(OR(C502="",I502&lt;&gt;"ENTRADA"),"",UPPER(LEFT(SUBSTITUTE(C502," ",""),3))&amp;"-"&amp;TEXT(B502,"AAMMDD")&amp;"-"&amp;(COUNTIFS($C$5:C502,C502,$B$5:B502,B502,$I$5:I502,"ENTRADA")))</f>
        <v/>
      </c>
    </row>
    <row r="503" spans="1:20">
      <c r="A503" s="22" t="s">
        <v>580</v>
      </c>
      <c r="H503" s="22" t="str">
        <f t="shared" si="18"/>
        <v/>
      </c>
      <c r="J503" s="32"/>
      <c r="T503" t="str">
        <f>IF(OR(C503="",I503&lt;&gt;"ENTRADA"),"",UPPER(LEFT(SUBSTITUTE(C503," ",""),3))&amp;"-"&amp;TEXT(B503,"AAMMDD")&amp;"-"&amp;(COUNTIFS($C$5:C503,C503,$B$5:B503,B503,$I$5:I503,"ENTRADA")))</f>
        <v/>
      </c>
    </row>
    <row r="504" spans="1:20">
      <c r="A504" s="22" t="s">
        <v>581</v>
      </c>
      <c r="H504" s="22" t="str">
        <f t="shared" si="18"/>
        <v/>
      </c>
      <c r="J504" s="32"/>
      <c r="T504" t="str">
        <f>IF(OR(C504="",I504&lt;&gt;"ENTRADA"),"",UPPER(LEFT(SUBSTITUTE(C504," ",""),3))&amp;"-"&amp;TEXT(B504,"AAMMDD")&amp;"-"&amp;(COUNTIFS($C$5:C504,C504,$B$5:B504,B504,$I$5:I504,"ENTRADA")))</f>
        <v/>
      </c>
    </row>
    <row r="505" spans="1:20">
      <c r="A505" s="22" t="s">
        <v>582</v>
      </c>
      <c r="H505" s="22" t="str">
        <f t="shared" si="18"/>
        <v/>
      </c>
      <c r="J505" s="32"/>
      <c r="T505" t="str">
        <f>IF(OR(C505="",I505&lt;&gt;"ENTRADA"),"",UPPER(LEFT(SUBSTITUTE(C505," ",""),3))&amp;"-"&amp;TEXT(B505,"AAMMDD")&amp;"-"&amp;(COUNTIFS($C$5:C505,C505,$B$5:B505,B505,$I$5:I505,"ENTRADA")))</f>
        <v/>
      </c>
    </row>
    <row r="506" spans="1:20">
      <c r="A506" s="22" t="s">
        <v>583</v>
      </c>
      <c r="H506" s="22" t="str">
        <f t="shared" si="18"/>
        <v/>
      </c>
      <c r="J506" s="32"/>
      <c r="T506" t="str">
        <f>IF(OR(C506="",I506&lt;&gt;"ENTRADA"),"",UPPER(LEFT(SUBSTITUTE(C506," ",""),3))&amp;"-"&amp;TEXT(B506,"AAMMDD")&amp;"-"&amp;(COUNTIFS($C$5:C506,C506,$B$5:B506,B506,$I$5:I506,"ENTRADA")))</f>
        <v/>
      </c>
    </row>
    <row r="507" spans="1:20">
      <c r="A507" s="22" t="s">
        <v>584</v>
      </c>
      <c r="H507" s="22" t="str">
        <f t="shared" si="18"/>
        <v/>
      </c>
      <c r="J507" s="32"/>
      <c r="T507" t="str">
        <f>IF(OR(C507="",I507&lt;&gt;"ENTRADA"),"",UPPER(LEFT(SUBSTITUTE(C507," ",""),3))&amp;"-"&amp;TEXT(B507,"AAMMDD")&amp;"-"&amp;(COUNTIFS($C$5:C507,C507,$B$5:B507,B507,$I$5:I507,"ENTRADA")))</f>
        <v/>
      </c>
    </row>
    <row r="508" spans="1:20">
      <c r="A508" s="22" t="s">
        <v>585</v>
      </c>
      <c r="H508" s="22" t="str">
        <f t="shared" si="18"/>
        <v/>
      </c>
      <c r="J508" s="32"/>
      <c r="T508" t="str">
        <f>IF(OR(C508="",I508&lt;&gt;"ENTRADA"),"",UPPER(LEFT(SUBSTITUTE(C508," ",""),3))&amp;"-"&amp;TEXT(B508,"AAMMDD")&amp;"-"&amp;(COUNTIFS($C$5:C508,C508,$B$5:B508,B508,$I$5:I508,"ENTRADA")))</f>
        <v/>
      </c>
    </row>
    <row r="509" spans="1:20">
      <c r="A509" s="22" t="s">
        <v>586</v>
      </c>
      <c r="H509" s="22" t="str">
        <f t="shared" si="18"/>
        <v/>
      </c>
      <c r="J509" s="32"/>
      <c r="T509" t="str">
        <f>IF(OR(C509="",I509&lt;&gt;"ENTRADA"),"",UPPER(LEFT(SUBSTITUTE(C509," ",""),3))&amp;"-"&amp;TEXT(B509,"AAMMDD")&amp;"-"&amp;(COUNTIFS($C$5:C509,C509,$B$5:B509,B509,$I$5:I509,"ENTRADA")))</f>
        <v/>
      </c>
    </row>
    <row r="510" spans="1:20">
      <c r="A510" s="22" t="s">
        <v>587</v>
      </c>
      <c r="H510" s="22" t="str">
        <f t="shared" si="18"/>
        <v/>
      </c>
      <c r="J510" s="32"/>
      <c r="T510" t="str">
        <f>IF(OR(C510="",I510&lt;&gt;"ENTRADA"),"",UPPER(LEFT(SUBSTITUTE(C510," ",""),3))&amp;"-"&amp;TEXT(B510,"AAMMDD")&amp;"-"&amp;(COUNTIFS($C$5:C510,C510,$B$5:B510,B510,$I$5:I510,"ENTRADA")))</f>
        <v/>
      </c>
    </row>
    <row r="511" spans="1:20">
      <c r="A511" s="22" t="s">
        <v>588</v>
      </c>
      <c r="H511" s="22" t="str">
        <f t="shared" si="18"/>
        <v/>
      </c>
      <c r="J511" s="32"/>
      <c r="T511" t="str">
        <f>IF(OR(C511="",I511&lt;&gt;"ENTRADA"),"",UPPER(LEFT(SUBSTITUTE(C511," ",""),3))&amp;"-"&amp;TEXT(B511,"AAMMDD")&amp;"-"&amp;(COUNTIFS($C$5:C511,C511,$B$5:B511,B511,$I$5:I511,"ENTRADA")))</f>
        <v/>
      </c>
    </row>
    <row r="512" spans="1:20">
      <c r="A512" s="22" t="s">
        <v>589</v>
      </c>
      <c r="H512" s="22" t="str">
        <f t="shared" si="18"/>
        <v/>
      </c>
      <c r="J512" s="32"/>
      <c r="T512" t="str">
        <f>IF(OR(C512="",I512&lt;&gt;"ENTRADA"),"",UPPER(LEFT(SUBSTITUTE(C512," ",""),3))&amp;"-"&amp;TEXT(B512,"AAMMDD")&amp;"-"&amp;(COUNTIFS($C$5:C512,C512,$B$5:B512,B512,$I$5:I512,"ENTRADA")))</f>
        <v/>
      </c>
    </row>
    <row r="513" spans="1:20">
      <c r="A513" s="22" t="s">
        <v>590</v>
      </c>
      <c r="H513" s="22" t="str">
        <f t="shared" si="18"/>
        <v/>
      </c>
      <c r="J513" s="32"/>
      <c r="T513" t="str">
        <f>IF(OR(C513="",I513&lt;&gt;"ENTRADA"),"",UPPER(LEFT(SUBSTITUTE(C513," ",""),3))&amp;"-"&amp;TEXT(B513,"AAMMDD")&amp;"-"&amp;(COUNTIFS($C$5:C513,C513,$B$5:B513,B513,$I$5:I513,"ENTRADA")))</f>
        <v/>
      </c>
    </row>
    <row r="514" spans="1:20">
      <c r="A514" s="22" t="s">
        <v>591</v>
      </c>
      <c r="H514" s="22" t="str">
        <f t="shared" si="18"/>
        <v/>
      </c>
      <c r="J514" s="32"/>
      <c r="T514" t="str">
        <f>IF(OR(C514="",I514&lt;&gt;"ENTRADA"),"",UPPER(LEFT(SUBSTITUTE(C514," ",""),3))&amp;"-"&amp;TEXT(B514,"AAMMDD")&amp;"-"&amp;(COUNTIFS($C$5:C514,C514,$B$5:B514,B514,$I$5:I514,"ENTRADA")))</f>
        <v/>
      </c>
    </row>
    <row r="515" spans="1:20">
      <c r="A515" s="22" t="s">
        <v>592</v>
      </c>
      <c r="H515" s="22" t="str">
        <f t="shared" si="18"/>
        <v/>
      </c>
      <c r="J515" s="32"/>
      <c r="T515" t="str">
        <f>IF(OR(C515="",I515&lt;&gt;"ENTRADA"),"",UPPER(LEFT(SUBSTITUTE(C515," ",""),3))&amp;"-"&amp;TEXT(B515,"AAMMDD")&amp;"-"&amp;(COUNTIFS($C$5:C515,C515,$B$5:B515,B515,$I$5:I515,"ENTRADA")))</f>
        <v/>
      </c>
    </row>
    <row r="516" spans="1:20">
      <c r="A516" s="22" t="s">
        <v>593</v>
      </c>
      <c r="H516" s="22" t="str">
        <f t="shared" si="18"/>
        <v/>
      </c>
      <c r="J516" s="32"/>
      <c r="T516" t="str">
        <f>IF(OR(C516="",I516&lt;&gt;"ENTRADA"),"",UPPER(LEFT(SUBSTITUTE(C516," ",""),3))&amp;"-"&amp;TEXT(B516,"AAMMDD")&amp;"-"&amp;(COUNTIFS($C$5:C516,C516,$B$5:B516,B516,$I$5:I516,"ENTRADA")))</f>
        <v/>
      </c>
    </row>
    <row r="517" spans="1:20">
      <c r="A517" s="22" t="s">
        <v>594</v>
      </c>
      <c r="H517" s="22" t="str">
        <f t="shared" si="18"/>
        <v/>
      </c>
      <c r="J517" s="32"/>
      <c r="T517" t="str">
        <f>IF(OR(C517="",I517&lt;&gt;"ENTRADA"),"",UPPER(LEFT(SUBSTITUTE(C517," ",""),3))&amp;"-"&amp;TEXT(B517,"AAMMDD")&amp;"-"&amp;(COUNTIFS($C$5:C517,C517,$B$5:B517,B517,$I$5:I517,"ENTRADA")))</f>
        <v/>
      </c>
    </row>
    <row r="518" spans="1:20">
      <c r="A518" s="22" t="s">
        <v>595</v>
      </c>
      <c r="H518" s="22" t="str">
        <f t="shared" si="18"/>
        <v/>
      </c>
      <c r="J518" s="32"/>
      <c r="T518" t="str">
        <f>IF(OR(C518="",I518&lt;&gt;"ENTRADA"),"",UPPER(LEFT(SUBSTITUTE(C518," ",""),3))&amp;"-"&amp;TEXT(B518,"AAMMDD")&amp;"-"&amp;(COUNTIFS($C$5:C518,C518,$B$5:B518,B518,$I$5:I518,"ENTRADA")))</f>
        <v/>
      </c>
    </row>
    <row r="519" spans="1:20">
      <c r="A519" s="22" t="s">
        <v>596</v>
      </c>
      <c r="H519" s="22" t="str">
        <f t="shared" si="18"/>
        <v/>
      </c>
      <c r="J519" s="32"/>
      <c r="T519" t="str">
        <f>IF(OR(C519="",I519&lt;&gt;"ENTRADA"),"",UPPER(LEFT(SUBSTITUTE(C519," ",""),3))&amp;"-"&amp;TEXT(B519,"AAMMDD")&amp;"-"&amp;(COUNTIFS($C$5:C519,C519,$B$5:B519,B519,$I$5:I519,"ENTRADA")))</f>
        <v/>
      </c>
    </row>
    <row r="520" spans="1:20">
      <c r="A520" s="22" t="s">
        <v>597</v>
      </c>
      <c r="H520" s="22" t="str">
        <f t="shared" si="18"/>
        <v/>
      </c>
      <c r="J520" s="32"/>
      <c r="T520" t="str">
        <f>IF(OR(C520="",I520&lt;&gt;"ENTRADA"),"",UPPER(LEFT(SUBSTITUTE(C520," ",""),3))&amp;"-"&amp;TEXT(B520,"AAMMDD")&amp;"-"&amp;(COUNTIFS($C$5:C520,C520,$B$5:B520,B520,$I$5:I520,"ENTRADA")))</f>
        <v/>
      </c>
    </row>
    <row r="521" spans="1:20">
      <c r="A521" s="22" t="s">
        <v>598</v>
      </c>
      <c r="H521" s="22" t="str">
        <f t="shared" si="18"/>
        <v/>
      </c>
      <c r="J521" s="32"/>
      <c r="T521" t="str">
        <f>IF(OR(C521="",I521&lt;&gt;"ENTRADA"),"",UPPER(LEFT(SUBSTITUTE(C521," ",""),3))&amp;"-"&amp;TEXT(B521,"AAMMDD")&amp;"-"&amp;(COUNTIFS($C$5:C521,C521,$B$5:B521,B521,$I$5:I521,"ENTRADA")))</f>
        <v/>
      </c>
    </row>
    <row r="522" spans="1:20">
      <c r="A522" s="22" t="s">
        <v>599</v>
      </c>
      <c r="H522" s="22" t="str">
        <f t="shared" si="18"/>
        <v/>
      </c>
      <c r="J522" s="32"/>
      <c r="T522" t="str">
        <f>IF(OR(C522="",I522&lt;&gt;"ENTRADA"),"",UPPER(LEFT(SUBSTITUTE(C522," ",""),3))&amp;"-"&amp;TEXT(B522,"AAMMDD")&amp;"-"&amp;(COUNTIFS($C$5:C522,C522,$B$5:B522,B522,$I$5:I522,"ENTRADA")))</f>
        <v/>
      </c>
    </row>
    <row r="523" spans="1:20">
      <c r="A523" s="22" t="s">
        <v>600</v>
      </c>
      <c r="H523" s="22" t="str">
        <f t="shared" si="18"/>
        <v/>
      </c>
      <c r="J523" s="32"/>
      <c r="T523" t="str">
        <f>IF(OR(C523="",I523&lt;&gt;"ENTRADA"),"",UPPER(LEFT(SUBSTITUTE(C523," ",""),3))&amp;"-"&amp;TEXT(B523,"AAMMDD")&amp;"-"&amp;(COUNTIFS($C$5:C523,C523,$B$5:B523,B523,$I$5:I523,"ENTRADA")))</f>
        <v/>
      </c>
    </row>
    <row r="524" spans="1:20">
      <c r="A524" s="22" t="s">
        <v>601</v>
      </c>
      <c r="H524" s="22" t="str">
        <f t="shared" si="18"/>
        <v/>
      </c>
      <c r="J524" s="32"/>
      <c r="T524" t="str">
        <f>IF(OR(C524="",I524&lt;&gt;"ENTRADA"),"",UPPER(LEFT(SUBSTITUTE(C524," ",""),3))&amp;"-"&amp;TEXT(B524,"AAMMDD")&amp;"-"&amp;(COUNTIFS($C$5:C524,C524,$B$5:B524,B524,$I$5:I524,"ENTRADA")))</f>
        <v/>
      </c>
    </row>
    <row r="525" spans="1:20">
      <c r="A525" s="22" t="s">
        <v>602</v>
      </c>
      <c r="H525" s="22" t="str">
        <f t="shared" si="18"/>
        <v/>
      </c>
      <c r="J525" s="32"/>
      <c r="T525" t="str">
        <f>IF(OR(C525="",I525&lt;&gt;"ENTRADA"),"",UPPER(LEFT(SUBSTITUTE(C525," ",""),3))&amp;"-"&amp;TEXT(B525,"AAMMDD")&amp;"-"&amp;(COUNTIFS($C$5:C525,C525,$B$5:B525,B525,$I$5:I525,"ENTRADA")))</f>
        <v/>
      </c>
    </row>
    <row r="526" spans="1:20">
      <c r="A526" s="22" t="s">
        <v>603</v>
      </c>
      <c r="H526" s="22" t="str">
        <f t="shared" si="18"/>
        <v/>
      </c>
      <c r="J526" s="32"/>
      <c r="T526" t="str">
        <f>IF(OR(C526="",I526&lt;&gt;"ENTRADA"),"",UPPER(LEFT(SUBSTITUTE(C526," ",""),3))&amp;"-"&amp;TEXT(B526,"AAMMDD")&amp;"-"&amp;(COUNTIFS($C$5:C526,C526,$B$5:B526,B526,$I$5:I526,"ENTRADA")))</f>
        <v/>
      </c>
    </row>
    <row r="527" spans="1:20">
      <c r="A527" s="22" t="s">
        <v>604</v>
      </c>
      <c r="H527" s="22" t="str">
        <f t="shared" si="18"/>
        <v/>
      </c>
      <c r="J527" s="32"/>
      <c r="T527" t="str">
        <f>IF(OR(C527="",I527&lt;&gt;"ENTRADA"),"",UPPER(LEFT(SUBSTITUTE(C527," ",""),3))&amp;"-"&amp;TEXT(B527,"AAMMDD")&amp;"-"&amp;(COUNTIFS($C$5:C527,C527,$B$5:B527,B527,$I$5:I527,"ENTRADA")))</f>
        <v/>
      </c>
    </row>
    <row r="528" spans="1:20">
      <c r="A528" s="22" t="s">
        <v>605</v>
      </c>
      <c r="H528" s="22" t="str">
        <f t="shared" ref="H528:H591" si="19">+T528</f>
        <v/>
      </c>
      <c r="J528" s="32"/>
      <c r="T528" t="str">
        <f>IF(OR(C528="",I528&lt;&gt;"ENTRADA"),"",UPPER(LEFT(SUBSTITUTE(C528," ",""),3))&amp;"-"&amp;TEXT(B528,"AAMMDD")&amp;"-"&amp;(COUNTIFS($C$5:C528,C528,$B$5:B528,B528,$I$5:I528,"ENTRADA")))</f>
        <v/>
      </c>
    </row>
    <row r="529" spans="1:20">
      <c r="A529" s="22" t="s">
        <v>606</v>
      </c>
      <c r="H529" s="22" t="str">
        <f t="shared" si="19"/>
        <v/>
      </c>
      <c r="J529" s="32"/>
      <c r="T529" t="str">
        <f>IF(OR(C529="",I529&lt;&gt;"ENTRADA"),"",UPPER(LEFT(SUBSTITUTE(C529," ",""),3))&amp;"-"&amp;TEXT(B529,"AAMMDD")&amp;"-"&amp;(COUNTIFS($C$5:C529,C529,$B$5:B529,B529,$I$5:I529,"ENTRADA")))</f>
        <v/>
      </c>
    </row>
    <row r="530" spans="1:20">
      <c r="A530" s="22" t="s">
        <v>607</v>
      </c>
      <c r="H530" s="22" t="str">
        <f t="shared" si="19"/>
        <v/>
      </c>
      <c r="J530" s="32"/>
      <c r="T530" t="str">
        <f>IF(OR(C530="",I530&lt;&gt;"ENTRADA"),"",UPPER(LEFT(SUBSTITUTE(C530," ",""),3))&amp;"-"&amp;TEXT(B530,"AAMMDD")&amp;"-"&amp;(COUNTIFS($C$5:C530,C530,$B$5:B530,B530,$I$5:I530,"ENTRADA")))</f>
        <v/>
      </c>
    </row>
    <row r="531" spans="1:20">
      <c r="A531" s="22" t="s">
        <v>608</v>
      </c>
      <c r="H531" s="22" t="str">
        <f t="shared" si="19"/>
        <v/>
      </c>
      <c r="J531" s="32"/>
      <c r="T531" t="str">
        <f>IF(OR(C531="",I531&lt;&gt;"ENTRADA"),"",UPPER(LEFT(SUBSTITUTE(C531," ",""),3))&amp;"-"&amp;TEXT(B531,"AAMMDD")&amp;"-"&amp;(COUNTIFS($C$5:C531,C531,$B$5:B531,B531,$I$5:I531,"ENTRADA")))</f>
        <v/>
      </c>
    </row>
    <row r="532" spans="1:20">
      <c r="A532" s="22" t="s">
        <v>609</v>
      </c>
      <c r="H532" s="22" t="str">
        <f t="shared" si="19"/>
        <v/>
      </c>
      <c r="J532" s="32"/>
      <c r="T532" t="str">
        <f>IF(OR(C532="",I532&lt;&gt;"ENTRADA"),"",UPPER(LEFT(SUBSTITUTE(C532," ",""),3))&amp;"-"&amp;TEXT(B532,"AAMMDD")&amp;"-"&amp;(COUNTIFS($C$5:C532,C532,$B$5:B532,B532,$I$5:I532,"ENTRADA")))</f>
        <v/>
      </c>
    </row>
    <row r="533" spans="1:20">
      <c r="A533" s="22" t="s">
        <v>610</v>
      </c>
      <c r="H533" s="22" t="str">
        <f t="shared" si="19"/>
        <v/>
      </c>
      <c r="J533" s="32"/>
      <c r="T533" t="str">
        <f>IF(OR(C533="",I533&lt;&gt;"ENTRADA"),"",UPPER(LEFT(SUBSTITUTE(C533," ",""),3))&amp;"-"&amp;TEXT(B533,"AAMMDD")&amp;"-"&amp;(COUNTIFS($C$5:C533,C533,$B$5:B533,B533,$I$5:I533,"ENTRADA")))</f>
        <v/>
      </c>
    </row>
    <row r="534" spans="1:20">
      <c r="A534" s="22" t="s">
        <v>611</v>
      </c>
      <c r="H534" s="22" t="str">
        <f t="shared" si="19"/>
        <v/>
      </c>
      <c r="J534" s="32"/>
      <c r="T534" t="str">
        <f>IF(OR(C534="",I534&lt;&gt;"ENTRADA"),"",UPPER(LEFT(SUBSTITUTE(C534," ",""),3))&amp;"-"&amp;TEXT(B534,"AAMMDD")&amp;"-"&amp;(COUNTIFS($C$5:C534,C534,$B$5:B534,B534,$I$5:I534,"ENTRADA")))</f>
        <v/>
      </c>
    </row>
    <row r="535" spans="1:20">
      <c r="A535" s="22" t="s">
        <v>612</v>
      </c>
      <c r="H535" s="22" t="str">
        <f t="shared" si="19"/>
        <v/>
      </c>
      <c r="J535" s="32"/>
      <c r="T535" t="str">
        <f>IF(OR(C535="",I535&lt;&gt;"ENTRADA"),"",UPPER(LEFT(SUBSTITUTE(C535," ",""),3))&amp;"-"&amp;TEXT(B535,"AAMMDD")&amp;"-"&amp;(COUNTIFS($C$5:C535,C535,$B$5:B535,B535,$I$5:I535,"ENTRADA")))</f>
        <v/>
      </c>
    </row>
    <row r="536" spans="1:20">
      <c r="A536" s="22" t="s">
        <v>613</v>
      </c>
      <c r="H536" s="22" t="str">
        <f t="shared" si="19"/>
        <v/>
      </c>
      <c r="J536" s="32"/>
      <c r="T536" t="str">
        <f>IF(OR(C536="",I536&lt;&gt;"ENTRADA"),"",UPPER(LEFT(SUBSTITUTE(C536," ",""),3))&amp;"-"&amp;TEXT(B536,"AAMMDD")&amp;"-"&amp;(COUNTIFS($C$5:C536,C536,$B$5:B536,B536,$I$5:I536,"ENTRADA")))</f>
        <v/>
      </c>
    </row>
    <row r="537" spans="1:20">
      <c r="A537" s="22" t="s">
        <v>614</v>
      </c>
      <c r="H537" s="22" t="str">
        <f t="shared" si="19"/>
        <v/>
      </c>
      <c r="J537" s="32"/>
      <c r="T537" t="str">
        <f>IF(OR(C537="",I537&lt;&gt;"ENTRADA"),"",UPPER(LEFT(SUBSTITUTE(C537," ",""),3))&amp;"-"&amp;TEXT(B537,"AAMMDD")&amp;"-"&amp;(COUNTIFS($C$5:C537,C537,$B$5:B537,B537,$I$5:I537,"ENTRADA")))</f>
        <v/>
      </c>
    </row>
    <row r="538" spans="1:20">
      <c r="A538" s="22" t="s">
        <v>615</v>
      </c>
      <c r="H538" s="22" t="str">
        <f t="shared" si="19"/>
        <v/>
      </c>
      <c r="J538" s="32"/>
      <c r="T538" t="str">
        <f>IF(OR(C538="",I538&lt;&gt;"ENTRADA"),"",UPPER(LEFT(SUBSTITUTE(C538," ",""),3))&amp;"-"&amp;TEXT(B538,"AAMMDD")&amp;"-"&amp;(COUNTIFS($C$5:C538,C538,$B$5:B538,B538,$I$5:I538,"ENTRADA")))</f>
        <v/>
      </c>
    </row>
    <row r="539" spans="1:20">
      <c r="A539" s="22" t="s">
        <v>616</v>
      </c>
      <c r="H539" s="22" t="str">
        <f t="shared" si="19"/>
        <v/>
      </c>
      <c r="J539" s="32"/>
      <c r="T539" t="str">
        <f>IF(OR(C539="",I539&lt;&gt;"ENTRADA"),"",UPPER(LEFT(SUBSTITUTE(C539," ",""),3))&amp;"-"&amp;TEXT(B539,"AAMMDD")&amp;"-"&amp;(COUNTIFS($C$5:C539,C539,$B$5:B539,B539,$I$5:I539,"ENTRADA")))</f>
        <v/>
      </c>
    </row>
    <row r="540" spans="1:20">
      <c r="A540" s="22" t="s">
        <v>617</v>
      </c>
      <c r="H540" s="22" t="str">
        <f t="shared" si="19"/>
        <v/>
      </c>
      <c r="J540" s="32"/>
      <c r="T540" t="str">
        <f>IF(OR(C540="",I540&lt;&gt;"ENTRADA"),"",UPPER(LEFT(SUBSTITUTE(C540," ",""),3))&amp;"-"&amp;TEXT(B540,"AAMMDD")&amp;"-"&amp;(COUNTIFS($C$5:C540,C540,$B$5:B540,B540,$I$5:I540,"ENTRADA")))</f>
        <v/>
      </c>
    </row>
    <row r="541" spans="1:20">
      <c r="A541" s="22" t="s">
        <v>618</v>
      </c>
      <c r="H541" s="22" t="str">
        <f t="shared" si="19"/>
        <v/>
      </c>
      <c r="J541" s="32"/>
      <c r="T541" t="str">
        <f>IF(OR(C541="",I541&lt;&gt;"ENTRADA"),"",UPPER(LEFT(SUBSTITUTE(C541," ",""),3))&amp;"-"&amp;TEXT(B541,"AAMMDD")&amp;"-"&amp;(COUNTIFS($C$5:C541,C541,$B$5:B541,B541,$I$5:I541,"ENTRADA")))</f>
        <v/>
      </c>
    </row>
    <row r="542" spans="1:20">
      <c r="A542" s="22" t="s">
        <v>619</v>
      </c>
      <c r="H542" s="22" t="str">
        <f t="shared" si="19"/>
        <v/>
      </c>
      <c r="J542" s="32"/>
      <c r="T542" t="str">
        <f>IF(OR(C542="",I542&lt;&gt;"ENTRADA"),"",UPPER(LEFT(SUBSTITUTE(C542," ",""),3))&amp;"-"&amp;TEXT(B542,"AAMMDD")&amp;"-"&amp;(COUNTIFS($C$5:C542,C542,$B$5:B542,B542,$I$5:I542,"ENTRADA")))</f>
        <v/>
      </c>
    </row>
    <row r="543" spans="1:20">
      <c r="A543" s="22" t="s">
        <v>620</v>
      </c>
      <c r="H543" s="22" t="str">
        <f t="shared" si="19"/>
        <v/>
      </c>
      <c r="J543" s="32"/>
      <c r="T543" t="str">
        <f>IF(OR(C543="",I543&lt;&gt;"ENTRADA"),"",UPPER(LEFT(SUBSTITUTE(C543," ",""),3))&amp;"-"&amp;TEXT(B543,"AAMMDD")&amp;"-"&amp;(COUNTIFS($C$5:C543,C543,$B$5:B543,B543,$I$5:I543,"ENTRADA")))</f>
        <v/>
      </c>
    </row>
    <row r="544" spans="1:20">
      <c r="A544" s="22" t="s">
        <v>621</v>
      </c>
      <c r="H544" s="22" t="str">
        <f t="shared" si="19"/>
        <v/>
      </c>
      <c r="J544" s="32"/>
      <c r="T544" t="str">
        <f>IF(OR(C544="",I544&lt;&gt;"ENTRADA"),"",UPPER(LEFT(SUBSTITUTE(C544," ",""),3))&amp;"-"&amp;TEXT(B544,"AAMMDD")&amp;"-"&amp;(COUNTIFS($C$5:C544,C544,$B$5:B544,B544,$I$5:I544,"ENTRADA")))</f>
        <v/>
      </c>
    </row>
    <row r="545" spans="1:20">
      <c r="A545" s="22" t="s">
        <v>622</v>
      </c>
      <c r="H545" s="22" t="str">
        <f t="shared" si="19"/>
        <v/>
      </c>
      <c r="J545" s="32"/>
      <c r="T545" t="str">
        <f>IF(OR(C545="",I545&lt;&gt;"ENTRADA"),"",UPPER(LEFT(SUBSTITUTE(C545," ",""),3))&amp;"-"&amp;TEXT(B545,"AAMMDD")&amp;"-"&amp;(COUNTIFS($C$5:C545,C545,$B$5:B545,B545,$I$5:I545,"ENTRADA")))</f>
        <v/>
      </c>
    </row>
    <row r="546" spans="1:20">
      <c r="A546" s="22" t="s">
        <v>623</v>
      </c>
      <c r="H546" s="22" t="str">
        <f t="shared" si="19"/>
        <v/>
      </c>
      <c r="J546" s="32"/>
      <c r="T546" t="str">
        <f>IF(OR(C546="",I546&lt;&gt;"ENTRADA"),"",UPPER(LEFT(SUBSTITUTE(C546," ",""),3))&amp;"-"&amp;TEXT(B546,"AAMMDD")&amp;"-"&amp;(COUNTIFS($C$5:C546,C546,$B$5:B546,B546,$I$5:I546,"ENTRADA")))</f>
        <v/>
      </c>
    </row>
    <row r="547" spans="1:20">
      <c r="A547" s="22" t="s">
        <v>624</v>
      </c>
      <c r="H547" s="22" t="str">
        <f t="shared" si="19"/>
        <v/>
      </c>
      <c r="J547" s="32"/>
      <c r="T547" t="str">
        <f>IF(OR(C547="",I547&lt;&gt;"ENTRADA"),"",UPPER(LEFT(SUBSTITUTE(C547," ",""),3))&amp;"-"&amp;TEXT(B547,"AAMMDD")&amp;"-"&amp;(COUNTIFS($C$5:C547,C547,$B$5:B547,B547,$I$5:I547,"ENTRADA")))</f>
        <v/>
      </c>
    </row>
    <row r="548" spans="1:20">
      <c r="A548" s="22" t="s">
        <v>625</v>
      </c>
      <c r="H548" s="22" t="str">
        <f t="shared" si="19"/>
        <v/>
      </c>
      <c r="J548" s="32"/>
      <c r="T548" t="str">
        <f>IF(OR(C548="",I548&lt;&gt;"ENTRADA"),"",UPPER(LEFT(SUBSTITUTE(C548," ",""),3))&amp;"-"&amp;TEXT(B548,"AAMMDD")&amp;"-"&amp;(COUNTIFS($C$5:C548,C548,$B$5:B548,B548,$I$5:I548,"ENTRADA")))</f>
        <v/>
      </c>
    </row>
    <row r="549" spans="1:20">
      <c r="A549" s="22" t="s">
        <v>626</v>
      </c>
      <c r="H549" s="22" t="str">
        <f t="shared" si="19"/>
        <v/>
      </c>
      <c r="J549" s="32"/>
      <c r="T549" t="str">
        <f>IF(OR(C549="",I549&lt;&gt;"ENTRADA"),"",UPPER(LEFT(SUBSTITUTE(C549," ",""),3))&amp;"-"&amp;TEXT(B549,"AAMMDD")&amp;"-"&amp;(COUNTIFS($C$5:C549,C549,$B$5:B549,B549,$I$5:I549,"ENTRADA")))</f>
        <v/>
      </c>
    </row>
    <row r="550" spans="1:20">
      <c r="A550" s="22" t="s">
        <v>627</v>
      </c>
      <c r="H550" s="22" t="str">
        <f t="shared" si="19"/>
        <v/>
      </c>
      <c r="J550" s="32"/>
      <c r="T550" t="str">
        <f>IF(OR(C550="",I550&lt;&gt;"ENTRADA"),"",UPPER(LEFT(SUBSTITUTE(C550," ",""),3))&amp;"-"&amp;TEXT(B550,"AAMMDD")&amp;"-"&amp;(COUNTIFS($C$5:C550,C550,$B$5:B550,B550,$I$5:I550,"ENTRADA")))</f>
        <v/>
      </c>
    </row>
    <row r="551" spans="1:20">
      <c r="A551" s="22" t="s">
        <v>628</v>
      </c>
      <c r="H551" s="22" t="str">
        <f t="shared" si="19"/>
        <v/>
      </c>
      <c r="J551" s="32"/>
      <c r="T551" t="str">
        <f>IF(OR(C551="",I551&lt;&gt;"ENTRADA"),"",UPPER(LEFT(SUBSTITUTE(C551," ",""),3))&amp;"-"&amp;TEXT(B551,"AAMMDD")&amp;"-"&amp;(COUNTIFS($C$5:C551,C551,$B$5:B551,B551,$I$5:I551,"ENTRADA")))</f>
        <v/>
      </c>
    </row>
    <row r="552" spans="1:20">
      <c r="A552" s="22" t="s">
        <v>629</v>
      </c>
      <c r="H552" s="22" t="str">
        <f t="shared" si="19"/>
        <v/>
      </c>
      <c r="J552" s="32"/>
      <c r="T552" t="str">
        <f>IF(OR(C552="",I552&lt;&gt;"ENTRADA"),"",UPPER(LEFT(SUBSTITUTE(C552," ",""),3))&amp;"-"&amp;TEXT(B552,"AAMMDD")&amp;"-"&amp;(COUNTIFS($C$5:C552,C552,$B$5:B552,B552,$I$5:I552,"ENTRADA")))</f>
        <v/>
      </c>
    </row>
    <row r="553" spans="1:20">
      <c r="A553" s="22" t="s">
        <v>630</v>
      </c>
      <c r="H553" s="22" t="str">
        <f t="shared" si="19"/>
        <v/>
      </c>
      <c r="J553" s="32"/>
      <c r="T553" t="str">
        <f>IF(OR(C553="",I553&lt;&gt;"ENTRADA"),"",UPPER(LEFT(SUBSTITUTE(C553," ",""),3))&amp;"-"&amp;TEXT(B553,"AAMMDD")&amp;"-"&amp;(COUNTIFS($C$5:C553,C553,$B$5:B553,B553,$I$5:I553,"ENTRADA")))</f>
        <v/>
      </c>
    </row>
    <row r="554" spans="1:20">
      <c r="A554" s="22" t="s">
        <v>631</v>
      </c>
      <c r="H554" s="22" t="str">
        <f t="shared" si="19"/>
        <v/>
      </c>
      <c r="J554" s="32"/>
      <c r="T554" t="str">
        <f>IF(OR(C554="",I554&lt;&gt;"ENTRADA"),"",UPPER(LEFT(SUBSTITUTE(C554," ",""),3))&amp;"-"&amp;TEXT(B554,"AAMMDD")&amp;"-"&amp;(COUNTIFS($C$5:C554,C554,$B$5:B554,B554,$I$5:I554,"ENTRADA")))</f>
        <v/>
      </c>
    </row>
    <row r="555" spans="1:20">
      <c r="A555" s="22" t="s">
        <v>632</v>
      </c>
      <c r="H555" s="22" t="str">
        <f t="shared" si="19"/>
        <v/>
      </c>
      <c r="J555" s="32"/>
      <c r="T555" t="str">
        <f>IF(OR(C555="",I555&lt;&gt;"ENTRADA"),"",UPPER(LEFT(SUBSTITUTE(C555," ",""),3))&amp;"-"&amp;TEXT(B555,"AAMMDD")&amp;"-"&amp;(COUNTIFS($C$5:C555,C555,$B$5:B555,B555,$I$5:I555,"ENTRADA")))</f>
        <v/>
      </c>
    </row>
    <row r="556" spans="1:20">
      <c r="A556" s="22" t="s">
        <v>633</v>
      </c>
      <c r="H556" s="22" t="str">
        <f t="shared" si="19"/>
        <v/>
      </c>
      <c r="J556" s="32"/>
      <c r="T556" t="str">
        <f>IF(OR(C556="",I556&lt;&gt;"ENTRADA"),"",UPPER(LEFT(SUBSTITUTE(C556," ",""),3))&amp;"-"&amp;TEXT(B556,"AAMMDD")&amp;"-"&amp;(COUNTIFS($C$5:C556,C556,$B$5:B556,B556,$I$5:I556,"ENTRADA")))</f>
        <v/>
      </c>
    </row>
    <row r="557" spans="1:20">
      <c r="A557" s="22" t="s">
        <v>634</v>
      </c>
      <c r="H557" s="22" t="str">
        <f t="shared" si="19"/>
        <v/>
      </c>
      <c r="J557" s="32"/>
      <c r="T557" t="str">
        <f>IF(OR(C557="",I557&lt;&gt;"ENTRADA"),"",UPPER(LEFT(SUBSTITUTE(C557," ",""),3))&amp;"-"&amp;TEXT(B557,"AAMMDD")&amp;"-"&amp;(COUNTIFS($C$5:C557,C557,$B$5:B557,B557,$I$5:I557,"ENTRADA")))</f>
        <v/>
      </c>
    </row>
    <row r="558" spans="1:20">
      <c r="A558" s="22" t="s">
        <v>635</v>
      </c>
      <c r="H558" s="22" t="str">
        <f t="shared" si="19"/>
        <v/>
      </c>
      <c r="J558" s="32"/>
      <c r="T558" t="str">
        <f>IF(OR(C558="",I558&lt;&gt;"ENTRADA"),"",UPPER(LEFT(SUBSTITUTE(C558," ",""),3))&amp;"-"&amp;TEXT(B558,"AAMMDD")&amp;"-"&amp;(COUNTIFS($C$5:C558,C558,$B$5:B558,B558,$I$5:I558,"ENTRADA")))</f>
        <v/>
      </c>
    </row>
    <row r="559" spans="1:20">
      <c r="A559" s="22" t="s">
        <v>636</v>
      </c>
      <c r="H559" s="22" t="str">
        <f t="shared" si="19"/>
        <v/>
      </c>
      <c r="J559" s="32"/>
      <c r="T559" t="str">
        <f>IF(OR(C559="",I559&lt;&gt;"ENTRADA"),"",UPPER(LEFT(SUBSTITUTE(C559," ",""),3))&amp;"-"&amp;TEXT(B559,"AAMMDD")&amp;"-"&amp;(COUNTIFS($C$5:C559,C559,$B$5:B559,B559,$I$5:I559,"ENTRADA")))</f>
        <v/>
      </c>
    </row>
    <row r="560" spans="1:20">
      <c r="A560" s="22" t="s">
        <v>637</v>
      </c>
      <c r="H560" s="22" t="str">
        <f t="shared" si="19"/>
        <v/>
      </c>
      <c r="J560" s="32"/>
      <c r="T560" t="str">
        <f>IF(OR(C560="",I560&lt;&gt;"ENTRADA"),"",UPPER(LEFT(SUBSTITUTE(C560," ",""),3))&amp;"-"&amp;TEXT(B560,"AAMMDD")&amp;"-"&amp;(COUNTIFS($C$5:C560,C560,$B$5:B560,B560,$I$5:I560,"ENTRADA")))</f>
        <v/>
      </c>
    </row>
    <row r="561" spans="1:20">
      <c r="A561" s="22" t="s">
        <v>638</v>
      </c>
      <c r="H561" s="22" t="str">
        <f t="shared" si="19"/>
        <v/>
      </c>
      <c r="J561" s="32"/>
      <c r="T561" t="str">
        <f>IF(OR(C561="",I561&lt;&gt;"ENTRADA"),"",UPPER(LEFT(SUBSTITUTE(C561," ",""),3))&amp;"-"&amp;TEXT(B561,"AAMMDD")&amp;"-"&amp;(COUNTIFS($C$5:C561,C561,$B$5:B561,B561,$I$5:I561,"ENTRADA")))</f>
        <v/>
      </c>
    </row>
    <row r="562" spans="1:20">
      <c r="A562" s="22" t="s">
        <v>639</v>
      </c>
      <c r="H562" s="22" t="str">
        <f t="shared" si="19"/>
        <v/>
      </c>
      <c r="J562" s="32"/>
      <c r="T562" t="str">
        <f>IF(OR(C562="",I562&lt;&gt;"ENTRADA"),"",UPPER(LEFT(SUBSTITUTE(C562," ",""),3))&amp;"-"&amp;TEXT(B562,"AAMMDD")&amp;"-"&amp;(COUNTIFS($C$5:C562,C562,$B$5:B562,B562,$I$5:I562,"ENTRADA")))</f>
        <v/>
      </c>
    </row>
    <row r="563" spans="1:20">
      <c r="A563" s="22" t="s">
        <v>640</v>
      </c>
      <c r="H563" s="22" t="str">
        <f t="shared" si="19"/>
        <v/>
      </c>
      <c r="J563" s="32"/>
      <c r="T563" t="str">
        <f>IF(OR(C563="",I563&lt;&gt;"ENTRADA"),"",UPPER(LEFT(SUBSTITUTE(C563," ",""),3))&amp;"-"&amp;TEXT(B563,"AAMMDD")&amp;"-"&amp;(COUNTIFS($C$5:C563,C563,$B$5:B563,B563,$I$5:I563,"ENTRADA")))</f>
        <v/>
      </c>
    </row>
    <row r="564" spans="1:20">
      <c r="A564" s="22" t="s">
        <v>641</v>
      </c>
      <c r="H564" s="22" t="str">
        <f t="shared" si="19"/>
        <v/>
      </c>
      <c r="J564" s="32"/>
      <c r="T564" t="str">
        <f>IF(OR(C564="",I564&lt;&gt;"ENTRADA"),"",UPPER(LEFT(SUBSTITUTE(C564," ",""),3))&amp;"-"&amp;TEXT(B564,"AAMMDD")&amp;"-"&amp;(COUNTIFS($C$5:C564,C564,$B$5:B564,B564,$I$5:I564,"ENTRADA")))</f>
        <v/>
      </c>
    </row>
    <row r="565" spans="1:20">
      <c r="A565" s="22" t="s">
        <v>642</v>
      </c>
      <c r="H565" s="22" t="str">
        <f t="shared" si="19"/>
        <v/>
      </c>
      <c r="J565" s="32"/>
      <c r="T565" t="str">
        <f>IF(OR(C565="",I565&lt;&gt;"ENTRADA"),"",UPPER(LEFT(SUBSTITUTE(C565," ",""),3))&amp;"-"&amp;TEXT(B565,"AAMMDD")&amp;"-"&amp;(COUNTIFS($C$5:C565,C565,$B$5:B565,B565,$I$5:I565,"ENTRADA")))</f>
        <v/>
      </c>
    </row>
    <row r="566" spans="1:20">
      <c r="A566" s="22" t="s">
        <v>643</v>
      </c>
      <c r="H566" s="22" t="str">
        <f t="shared" si="19"/>
        <v/>
      </c>
      <c r="J566" s="32"/>
      <c r="T566" t="str">
        <f>IF(OR(C566="",I566&lt;&gt;"ENTRADA"),"",UPPER(LEFT(SUBSTITUTE(C566," ",""),3))&amp;"-"&amp;TEXT(B566,"AAMMDD")&amp;"-"&amp;(COUNTIFS($C$5:C566,C566,$B$5:B566,B566,$I$5:I566,"ENTRADA")))</f>
        <v/>
      </c>
    </row>
    <row r="567" spans="1:20">
      <c r="A567" s="22" t="s">
        <v>644</v>
      </c>
      <c r="H567" s="22" t="str">
        <f t="shared" si="19"/>
        <v/>
      </c>
      <c r="J567" s="32"/>
      <c r="T567" t="str">
        <f>IF(OR(C567="",I567&lt;&gt;"ENTRADA"),"",UPPER(LEFT(SUBSTITUTE(C567," ",""),3))&amp;"-"&amp;TEXT(B567,"AAMMDD")&amp;"-"&amp;(COUNTIFS($C$5:C567,C567,$B$5:B567,B567,$I$5:I567,"ENTRADA")))</f>
        <v/>
      </c>
    </row>
    <row r="568" spans="1:20">
      <c r="A568" s="22" t="s">
        <v>645</v>
      </c>
      <c r="H568" s="22" t="str">
        <f t="shared" si="19"/>
        <v/>
      </c>
      <c r="J568" s="32"/>
      <c r="T568" t="str">
        <f>IF(OR(C568="",I568&lt;&gt;"ENTRADA"),"",UPPER(LEFT(SUBSTITUTE(C568," ",""),3))&amp;"-"&amp;TEXT(B568,"AAMMDD")&amp;"-"&amp;(COUNTIFS($C$5:C568,C568,$B$5:B568,B568,$I$5:I568,"ENTRADA")))</f>
        <v/>
      </c>
    </row>
    <row r="569" spans="1:20">
      <c r="A569" s="22" t="s">
        <v>646</v>
      </c>
      <c r="H569" s="22" t="str">
        <f t="shared" si="19"/>
        <v/>
      </c>
      <c r="J569" s="32"/>
      <c r="T569" t="str">
        <f>IF(OR(C569="",I569&lt;&gt;"ENTRADA"),"",UPPER(LEFT(SUBSTITUTE(C569," ",""),3))&amp;"-"&amp;TEXT(B569,"AAMMDD")&amp;"-"&amp;(COUNTIFS($C$5:C569,C569,$B$5:B569,B569,$I$5:I569,"ENTRADA")))</f>
        <v/>
      </c>
    </row>
    <row r="570" spans="1:20">
      <c r="A570" s="22" t="s">
        <v>647</v>
      </c>
      <c r="H570" s="22" t="str">
        <f t="shared" si="19"/>
        <v/>
      </c>
      <c r="J570" s="32"/>
      <c r="T570" t="str">
        <f>IF(OR(C570="",I570&lt;&gt;"ENTRADA"),"",UPPER(LEFT(SUBSTITUTE(C570," ",""),3))&amp;"-"&amp;TEXT(B570,"AAMMDD")&amp;"-"&amp;(COUNTIFS($C$5:C570,C570,$B$5:B570,B570,$I$5:I570,"ENTRADA")))</f>
        <v/>
      </c>
    </row>
    <row r="571" spans="1:20">
      <c r="A571" s="22" t="s">
        <v>648</v>
      </c>
      <c r="H571" s="22" t="str">
        <f t="shared" si="19"/>
        <v/>
      </c>
      <c r="J571" s="32"/>
      <c r="T571" t="str">
        <f>IF(OR(C571="",I571&lt;&gt;"ENTRADA"),"",UPPER(LEFT(SUBSTITUTE(C571," ",""),3))&amp;"-"&amp;TEXT(B571,"AAMMDD")&amp;"-"&amp;(COUNTIFS($C$5:C571,C571,$B$5:B571,B571,$I$5:I571,"ENTRADA")))</f>
        <v/>
      </c>
    </row>
    <row r="572" spans="1:20">
      <c r="A572" s="22" t="s">
        <v>649</v>
      </c>
      <c r="H572" s="22" t="str">
        <f t="shared" si="19"/>
        <v/>
      </c>
      <c r="J572" s="32"/>
      <c r="T572" t="str">
        <f>IF(OR(C572="",I572&lt;&gt;"ENTRADA"),"",UPPER(LEFT(SUBSTITUTE(C572," ",""),3))&amp;"-"&amp;TEXT(B572,"AAMMDD")&amp;"-"&amp;(COUNTIFS($C$5:C572,C572,$B$5:B572,B572,$I$5:I572,"ENTRADA")))</f>
        <v/>
      </c>
    </row>
    <row r="573" spans="1:20">
      <c r="A573" s="22" t="s">
        <v>650</v>
      </c>
      <c r="H573" s="22" t="str">
        <f t="shared" si="19"/>
        <v/>
      </c>
      <c r="J573" s="32"/>
      <c r="T573" t="str">
        <f>IF(OR(C573="",I573&lt;&gt;"ENTRADA"),"",UPPER(LEFT(SUBSTITUTE(C573," ",""),3))&amp;"-"&amp;TEXT(B573,"AAMMDD")&amp;"-"&amp;(COUNTIFS($C$5:C573,C573,$B$5:B573,B573,$I$5:I573,"ENTRADA")))</f>
        <v/>
      </c>
    </row>
    <row r="574" spans="1:20">
      <c r="A574" s="22" t="s">
        <v>651</v>
      </c>
      <c r="H574" s="22" t="str">
        <f t="shared" si="19"/>
        <v/>
      </c>
      <c r="J574" s="32"/>
      <c r="T574" t="str">
        <f>IF(OR(C574="",I574&lt;&gt;"ENTRADA"),"",UPPER(LEFT(SUBSTITUTE(C574," ",""),3))&amp;"-"&amp;TEXT(B574,"AAMMDD")&amp;"-"&amp;(COUNTIFS($C$5:C574,C574,$B$5:B574,B574,$I$5:I574,"ENTRADA")))</f>
        <v/>
      </c>
    </row>
    <row r="575" spans="1:20">
      <c r="A575" s="22" t="s">
        <v>652</v>
      </c>
      <c r="H575" s="22" t="str">
        <f t="shared" si="19"/>
        <v/>
      </c>
      <c r="J575" s="32"/>
      <c r="T575" t="str">
        <f>IF(OR(C575="",I575&lt;&gt;"ENTRADA"),"",UPPER(LEFT(SUBSTITUTE(C575," ",""),3))&amp;"-"&amp;TEXT(B575,"AAMMDD")&amp;"-"&amp;(COUNTIFS($C$5:C575,C575,$B$5:B575,B575,$I$5:I575,"ENTRADA")))</f>
        <v/>
      </c>
    </row>
    <row r="576" spans="1:20">
      <c r="A576" s="22" t="s">
        <v>653</v>
      </c>
      <c r="H576" s="22" t="str">
        <f t="shared" si="19"/>
        <v/>
      </c>
      <c r="J576" s="32"/>
      <c r="T576" t="str">
        <f>IF(OR(C576="",I576&lt;&gt;"ENTRADA"),"",UPPER(LEFT(SUBSTITUTE(C576," ",""),3))&amp;"-"&amp;TEXT(B576,"AAMMDD")&amp;"-"&amp;(COUNTIFS($C$5:C576,C576,$B$5:B576,B576,$I$5:I576,"ENTRADA")))</f>
        <v/>
      </c>
    </row>
    <row r="577" spans="1:20">
      <c r="A577" s="22" t="s">
        <v>654</v>
      </c>
      <c r="H577" s="22" t="str">
        <f t="shared" si="19"/>
        <v/>
      </c>
      <c r="J577" s="32"/>
      <c r="T577" t="str">
        <f>IF(OR(C577="",I577&lt;&gt;"ENTRADA"),"",UPPER(LEFT(SUBSTITUTE(C577," ",""),3))&amp;"-"&amp;TEXT(B577,"AAMMDD")&amp;"-"&amp;(COUNTIFS($C$5:C577,C577,$B$5:B577,B577,$I$5:I577,"ENTRADA")))</f>
        <v/>
      </c>
    </row>
    <row r="578" spans="1:20">
      <c r="A578" s="22" t="s">
        <v>655</v>
      </c>
      <c r="H578" s="22" t="str">
        <f t="shared" si="19"/>
        <v/>
      </c>
      <c r="J578" s="32"/>
      <c r="T578" t="str">
        <f>IF(OR(C578="",I578&lt;&gt;"ENTRADA"),"",UPPER(LEFT(SUBSTITUTE(C578," ",""),3))&amp;"-"&amp;TEXT(B578,"AAMMDD")&amp;"-"&amp;(COUNTIFS($C$5:C578,C578,$B$5:B578,B578,$I$5:I578,"ENTRADA")))</f>
        <v/>
      </c>
    </row>
    <row r="579" spans="1:20">
      <c r="A579" s="22" t="s">
        <v>656</v>
      </c>
      <c r="H579" s="22" t="str">
        <f t="shared" si="19"/>
        <v/>
      </c>
      <c r="J579" s="32"/>
      <c r="T579" t="str">
        <f>IF(OR(C579="",I579&lt;&gt;"ENTRADA"),"",UPPER(LEFT(SUBSTITUTE(C579," ",""),3))&amp;"-"&amp;TEXT(B579,"AAMMDD")&amp;"-"&amp;(COUNTIFS($C$5:C579,C579,$B$5:B579,B579,$I$5:I579,"ENTRADA")))</f>
        <v/>
      </c>
    </row>
    <row r="580" spans="1:20">
      <c r="A580" s="22" t="s">
        <v>657</v>
      </c>
      <c r="H580" s="22" t="str">
        <f t="shared" si="19"/>
        <v/>
      </c>
      <c r="J580" s="32"/>
      <c r="T580" t="str">
        <f>IF(OR(C580="",I580&lt;&gt;"ENTRADA"),"",UPPER(LEFT(SUBSTITUTE(C580," ",""),3))&amp;"-"&amp;TEXT(B580,"AAMMDD")&amp;"-"&amp;(COUNTIFS($C$5:C580,C580,$B$5:B580,B580,$I$5:I580,"ENTRADA")))</f>
        <v/>
      </c>
    </row>
    <row r="581" spans="1:20">
      <c r="A581" s="22" t="s">
        <v>658</v>
      </c>
      <c r="H581" s="22" t="str">
        <f t="shared" si="19"/>
        <v/>
      </c>
      <c r="J581" s="32"/>
      <c r="T581" t="str">
        <f>IF(OR(C581="",I581&lt;&gt;"ENTRADA"),"",UPPER(LEFT(SUBSTITUTE(C581," ",""),3))&amp;"-"&amp;TEXT(B581,"AAMMDD")&amp;"-"&amp;(COUNTIFS($C$5:C581,C581,$B$5:B581,B581,$I$5:I581,"ENTRADA")))</f>
        <v/>
      </c>
    </row>
    <row r="582" spans="1:20">
      <c r="A582" s="22" t="s">
        <v>659</v>
      </c>
      <c r="H582" s="22" t="str">
        <f t="shared" si="19"/>
        <v/>
      </c>
      <c r="J582" s="32"/>
      <c r="T582" t="str">
        <f>IF(OR(C582="",I582&lt;&gt;"ENTRADA"),"",UPPER(LEFT(SUBSTITUTE(C582," ",""),3))&amp;"-"&amp;TEXT(B582,"AAMMDD")&amp;"-"&amp;(COUNTIFS($C$5:C582,C582,$B$5:B582,B582,$I$5:I582,"ENTRADA")))</f>
        <v/>
      </c>
    </row>
    <row r="583" spans="1:20">
      <c r="A583" s="22" t="s">
        <v>660</v>
      </c>
      <c r="H583" s="22" t="str">
        <f t="shared" si="19"/>
        <v/>
      </c>
      <c r="J583" s="32"/>
      <c r="T583" t="str">
        <f>IF(OR(C583="",I583&lt;&gt;"ENTRADA"),"",UPPER(LEFT(SUBSTITUTE(C583," ",""),3))&amp;"-"&amp;TEXT(B583,"AAMMDD")&amp;"-"&amp;(COUNTIFS($C$5:C583,C583,$B$5:B583,B583,$I$5:I583,"ENTRADA")))</f>
        <v/>
      </c>
    </row>
    <row r="584" spans="1:20">
      <c r="A584" s="22" t="s">
        <v>661</v>
      </c>
      <c r="H584" s="22" t="str">
        <f t="shared" si="19"/>
        <v/>
      </c>
      <c r="J584" s="32"/>
      <c r="T584" t="str">
        <f>IF(OR(C584="",I584&lt;&gt;"ENTRADA"),"",UPPER(LEFT(SUBSTITUTE(C584," ",""),3))&amp;"-"&amp;TEXT(B584,"AAMMDD")&amp;"-"&amp;(COUNTIFS($C$5:C584,C584,$B$5:B584,B584,$I$5:I584,"ENTRADA")))</f>
        <v/>
      </c>
    </row>
    <row r="585" spans="1:20">
      <c r="A585" s="22" t="s">
        <v>662</v>
      </c>
      <c r="H585" s="22" t="str">
        <f t="shared" si="19"/>
        <v/>
      </c>
      <c r="J585" s="32"/>
      <c r="T585" t="str">
        <f>IF(OR(C585="",I585&lt;&gt;"ENTRADA"),"",UPPER(LEFT(SUBSTITUTE(C585," ",""),3))&amp;"-"&amp;TEXT(B585,"AAMMDD")&amp;"-"&amp;(COUNTIFS($C$5:C585,C585,$B$5:B585,B585,$I$5:I585,"ENTRADA")))</f>
        <v/>
      </c>
    </row>
    <row r="586" spans="1:20">
      <c r="A586" s="22" t="s">
        <v>663</v>
      </c>
      <c r="H586" s="22" t="str">
        <f t="shared" si="19"/>
        <v/>
      </c>
      <c r="J586" s="32"/>
      <c r="T586" t="str">
        <f>IF(OR(C586="",I586&lt;&gt;"ENTRADA"),"",UPPER(LEFT(SUBSTITUTE(C586," ",""),3))&amp;"-"&amp;TEXT(B586,"AAMMDD")&amp;"-"&amp;(COUNTIFS($C$5:C586,C586,$B$5:B586,B586,$I$5:I586,"ENTRADA")))</f>
        <v/>
      </c>
    </row>
    <row r="587" spans="1:20">
      <c r="A587" s="22" t="s">
        <v>664</v>
      </c>
      <c r="H587" s="22" t="str">
        <f t="shared" si="19"/>
        <v/>
      </c>
      <c r="J587" s="32"/>
      <c r="T587" t="str">
        <f>IF(OR(C587="",I587&lt;&gt;"ENTRADA"),"",UPPER(LEFT(SUBSTITUTE(C587," ",""),3))&amp;"-"&amp;TEXT(B587,"AAMMDD")&amp;"-"&amp;(COUNTIFS($C$5:C587,C587,$B$5:B587,B587,$I$5:I587,"ENTRADA")))</f>
        <v/>
      </c>
    </row>
    <row r="588" spans="1:20">
      <c r="A588" s="22" t="s">
        <v>665</v>
      </c>
      <c r="H588" s="22" t="str">
        <f t="shared" si="19"/>
        <v/>
      </c>
      <c r="J588" s="32"/>
      <c r="T588" t="str">
        <f>IF(OR(C588="",I588&lt;&gt;"ENTRADA"),"",UPPER(LEFT(SUBSTITUTE(C588," ",""),3))&amp;"-"&amp;TEXT(B588,"AAMMDD")&amp;"-"&amp;(COUNTIFS($C$5:C588,C588,$B$5:B588,B588,$I$5:I588,"ENTRADA")))</f>
        <v/>
      </c>
    </row>
    <row r="589" spans="1:20">
      <c r="A589" s="22" t="s">
        <v>666</v>
      </c>
      <c r="H589" s="22" t="str">
        <f t="shared" si="19"/>
        <v/>
      </c>
      <c r="J589" s="32"/>
      <c r="T589" t="str">
        <f>IF(OR(C589="",I589&lt;&gt;"ENTRADA"),"",UPPER(LEFT(SUBSTITUTE(C589," ",""),3))&amp;"-"&amp;TEXT(B589,"AAMMDD")&amp;"-"&amp;(COUNTIFS($C$5:C589,C589,$B$5:B589,B589,$I$5:I589,"ENTRADA")))</f>
        <v/>
      </c>
    </row>
    <row r="590" spans="1:20">
      <c r="A590" s="22" t="s">
        <v>667</v>
      </c>
      <c r="H590" s="22" t="str">
        <f t="shared" si="19"/>
        <v/>
      </c>
      <c r="J590" s="32"/>
      <c r="T590" t="str">
        <f>IF(OR(C590="",I590&lt;&gt;"ENTRADA"),"",UPPER(LEFT(SUBSTITUTE(C590," ",""),3))&amp;"-"&amp;TEXT(B590,"AAMMDD")&amp;"-"&amp;(COUNTIFS($C$5:C590,C590,$B$5:B590,B590,$I$5:I590,"ENTRADA")))</f>
        <v/>
      </c>
    </row>
    <row r="591" spans="1:20">
      <c r="A591" s="22" t="s">
        <v>668</v>
      </c>
      <c r="H591" s="22" t="str">
        <f t="shared" si="19"/>
        <v/>
      </c>
      <c r="J591" s="32"/>
      <c r="T591" t="str">
        <f>IF(OR(C591="",I591&lt;&gt;"ENTRADA"),"",UPPER(LEFT(SUBSTITUTE(C591," ",""),3))&amp;"-"&amp;TEXT(B591,"AAMMDD")&amp;"-"&amp;(COUNTIFS($C$5:C591,C591,$B$5:B591,B591,$I$5:I591,"ENTRADA")))</f>
        <v/>
      </c>
    </row>
    <row r="592" spans="1:20">
      <c r="A592" s="22" t="s">
        <v>669</v>
      </c>
      <c r="H592" s="22" t="str">
        <f t="shared" ref="H592:H655" si="20">+T592</f>
        <v/>
      </c>
      <c r="J592" s="32"/>
      <c r="T592" t="str">
        <f>IF(OR(C592="",I592&lt;&gt;"ENTRADA"),"",UPPER(LEFT(SUBSTITUTE(C592," ",""),3))&amp;"-"&amp;TEXT(B592,"AAMMDD")&amp;"-"&amp;(COUNTIFS($C$5:C592,C592,$B$5:B592,B592,$I$5:I592,"ENTRADA")))</f>
        <v/>
      </c>
    </row>
    <row r="593" spans="1:20">
      <c r="A593" s="22" t="s">
        <v>670</v>
      </c>
      <c r="H593" s="22" t="str">
        <f t="shared" si="20"/>
        <v/>
      </c>
      <c r="J593" s="32"/>
      <c r="T593" t="str">
        <f>IF(OR(C593="",I593&lt;&gt;"ENTRADA"),"",UPPER(LEFT(SUBSTITUTE(C593," ",""),3))&amp;"-"&amp;TEXT(B593,"AAMMDD")&amp;"-"&amp;(COUNTIFS($C$5:C593,C593,$B$5:B593,B593,$I$5:I593,"ENTRADA")))</f>
        <v/>
      </c>
    </row>
    <row r="594" spans="1:20">
      <c r="A594" s="22" t="s">
        <v>671</v>
      </c>
      <c r="H594" s="22" t="str">
        <f t="shared" si="20"/>
        <v/>
      </c>
      <c r="J594" s="32"/>
      <c r="T594" t="str">
        <f>IF(OR(C594="",I594&lt;&gt;"ENTRADA"),"",UPPER(LEFT(SUBSTITUTE(C594," ",""),3))&amp;"-"&amp;TEXT(B594,"AAMMDD")&amp;"-"&amp;(COUNTIFS($C$5:C594,C594,$B$5:B594,B594,$I$5:I594,"ENTRADA")))</f>
        <v/>
      </c>
    </row>
    <row r="595" spans="1:20">
      <c r="A595" s="22" t="s">
        <v>672</v>
      </c>
      <c r="H595" s="22" t="str">
        <f t="shared" si="20"/>
        <v/>
      </c>
      <c r="J595" s="32"/>
      <c r="T595" t="str">
        <f>IF(OR(C595="",I595&lt;&gt;"ENTRADA"),"",UPPER(LEFT(SUBSTITUTE(C595," ",""),3))&amp;"-"&amp;TEXT(B595,"AAMMDD")&amp;"-"&amp;(COUNTIFS($C$5:C595,C595,$B$5:B595,B595,$I$5:I595,"ENTRADA")))</f>
        <v/>
      </c>
    </row>
    <row r="596" spans="1:20">
      <c r="A596" s="22" t="s">
        <v>673</v>
      </c>
      <c r="H596" s="22" t="str">
        <f t="shared" si="20"/>
        <v/>
      </c>
      <c r="J596" s="32"/>
      <c r="T596" t="str">
        <f>IF(OR(C596="",I596&lt;&gt;"ENTRADA"),"",UPPER(LEFT(SUBSTITUTE(C596," ",""),3))&amp;"-"&amp;TEXT(B596,"AAMMDD")&amp;"-"&amp;(COUNTIFS($C$5:C596,C596,$B$5:B596,B596,$I$5:I596,"ENTRADA")))</f>
        <v/>
      </c>
    </row>
    <row r="597" spans="1:20">
      <c r="A597" s="22" t="s">
        <v>674</v>
      </c>
      <c r="H597" s="22" t="str">
        <f t="shared" si="20"/>
        <v/>
      </c>
      <c r="J597" s="32"/>
      <c r="T597" t="str">
        <f>IF(OR(C597="",I597&lt;&gt;"ENTRADA"),"",UPPER(LEFT(SUBSTITUTE(C597," ",""),3))&amp;"-"&amp;TEXT(B597,"AAMMDD")&amp;"-"&amp;(COUNTIFS($C$5:C597,C597,$B$5:B597,B597,$I$5:I597,"ENTRADA")))</f>
        <v/>
      </c>
    </row>
    <row r="598" spans="1:20">
      <c r="A598" s="22" t="s">
        <v>675</v>
      </c>
      <c r="H598" s="22" t="str">
        <f t="shared" si="20"/>
        <v/>
      </c>
      <c r="J598" s="32"/>
      <c r="T598" t="str">
        <f>IF(OR(C598="",I598&lt;&gt;"ENTRADA"),"",UPPER(LEFT(SUBSTITUTE(C598," ",""),3))&amp;"-"&amp;TEXT(B598,"AAMMDD")&amp;"-"&amp;(COUNTIFS($C$5:C598,C598,$B$5:B598,B598,$I$5:I598,"ENTRADA")))</f>
        <v/>
      </c>
    </row>
    <row r="599" spans="1:20">
      <c r="A599" s="22" t="s">
        <v>676</v>
      </c>
      <c r="H599" s="22" t="str">
        <f t="shared" si="20"/>
        <v/>
      </c>
      <c r="J599" s="32"/>
      <c r="T599" t="str">
        <f>IF(OR(C599="",I599&lt;&gt;"ENTRADA"),"",UPPER(LEFT(SUBSTITUTE(C599," ",""),3))&amp;"-"&amp;TEXT(B599,"AAMMDD")&amp;"-"&amp;(COUNTIFS($C$5:C599,C599,$B$5:B599,B599,$I$5:I599,"ENTRADA")))</f>
        <v/>
      </c>
    </row>
    <row r="600" spans="1:20">
      <c r="A600" s="22" t="s">
        <v>677</v>
      </c>
      <c r="H600" s="22" t="str">
        <f t="shared" si="20"/>
        <v/>
      </c>
      <c r="J600" s="32"/>
      <c r="T600" t="str">
        <f>IF(OR(C600="",I600&lt;&gt;"ENTRADA"),"",UPPER(LEFT(SUBSTITUTE(C600," ",""),3))&amp;"-"&amp;TEXT(B600,"AAMMDD")&amp;"-"&amp;(COUNTIFS($C$5:C600,C600,$B$5:B600,B600,$I$5:I600,"ENTRADA")))</f>
        <v/>
      </c>
    </row>
    <row r="601" spans="1:20">
      <c r="A601" s="22" t="s">
        <v>678</v>
      </c>
      <c r="H601" s="22" t="str">
        <f t="shared" si="20"/>
        <v/>
      </c>
      <c r="J601" s="32"/>
      <c r="T601" t="str">
        <f>IF(OR(C601="",I601&lt;&gt;"ENTRADA"),"",UPPER(LEFT(SUBSTITUTE(C601," ",""),3))&amp;"-"&amp;TEXT(B601,"AAMMDD")&amp;"-"&amp;(COUNTIFS($C$5:C601,C601,$B$5:B601,B601,$I$5:I601,"ENTRADA")))</f>
        <v/>
      </c>
    </row>
    <row r="602" spans="1:20">
      <c r="A602" s="22" t="s">
        <v>679</v>
      </c>
      <c r="H602" s="22" t="str">
        <f t="shared" si="20"/>
        <v/>
      </c>
      <c r="J602" s="32"/>
      <c r="T602" t="str">
        <f>IF(OR(C602="",I602&lt;&gt;"ENTRADA"),"",UPPER(LEFT(SUBSTITUTE(C602," ",""),3))&amp;"-"&amp;TEXT(B602,"AAMMDD")&amp;"-"&amp;(COUNTIFS($C$5:C602,C602,$B$5:B602,B602,$I$5:I602,"ENTRADA")))</f>
        <v/>
      </c>
    </row>
    <row r="603" spans="1:20">
      <c r="A603" s="22" t="s">
        <v>680</v>
      </c>
      <c r="H603" s="22" t="str">
        <f t="shared" si="20"/>
        <v/>
      </c>
      <c r="J603" s="32"/>
      <c r="T603" t="str">
        <f>IF(OR(C603="",I603&lt;&gt;"ENTRADA"),"",UPPER(LEFT(SUBSTITUTE(C603," ",""),3))&amp;"-"&amp;TEXT(B603,"AAMMDD")&amp;"-"&amp;(COUNTIFS($C$5:C603,C603,$B$5:B603,B603,$I$5:I603,"ENTRADA")))</f>
        <v/>
      </c>
    </row>
    <row r="604" spans="1:20">
      <c r="A604" s="22" t="s">
        <v>681</v>
      </c>
      <c r="H604" s="22" t="str">
        <f t="shared" si="20"/>
        <v/>
      </c>
      <c r="J604" s="32"/>
      <c r="T604" t="str">
        <f>IF(OR(C604="",I604&lt;&gt;"ENTRADA"),"",UPPER(LEFT(SUBSTITUTE(C604," ",""),3))&amp;"-"&amp;TEXT(B604,"AAMMDD")&amp;"-"&amp;(COUNTIFS($C$5:C604,C604,$B$5:B604,B604,$I$5:I604,"ENTRADA")))</f>
        <v/>
      </c>
    </row>
    <row r="605" spans="1:20">
      <c r="A605" s="22" t="s">
        <v>682</v>
      </c>
      <c r="H605" s="22" t="str">
        <f t="shared" si="20"/>
        <v/>
      </c>
      <c r="J605" s="32"/>
      <c r="T605" t="str">
        <f>IF(OR(C605="",I605&lt;&gt;"ENTRADA"),"",UPPER(LEFT(SUBSTITUTE(C605," ",""),3))&amp;"-"&amp;TEXT(B605,"AAMMDD")&amp;"-"&amp;(COUNTIFS($C$5:C605,C605,$B$5:B605,B605,$I$5:I605,"ENTRADA")))</f>
        <v/>
      </c>
    </row>
    <row r="606" spans="1:20">
      <c r="A606" s="22" t="s">
        <v>683</v>
      </c>
      <c r="H606" s="22" t="str">
        <f t="shared" si="20"/>
        <v/>
      </c>
      <c r="J606" s="32"/>
      <c r="T606" t="str">
        <f>IF(OR(C606="",I606&lt;&gt;"ENTRADA"),"",UPPER(LEFT(SUBSTITUTE(C606," ",""),3))&amp;"-"&amp;TEXT(B606,"AAMMDD")&amp;"-"&amp;(COUNTIFS($C$5:C606,C606,$B$5:B606,B606,$I$5:I606,"ENTRADA")))</f>
        <v/>
      </c>
    </row>
    <row r="607" spans="1:20">
      <c r="A607" s="22" t="s">
        <v>684</v>
      </c>
      <c r="H607" s="22" t="str">
        <f t="shared" si="20"/>
        <v/>
      </c>
      <c r="J607" s="32"/>
      <c r="T607" t="str">
        <f>IF(OR(C607="",I607&lt;&gt;"ENTRADA"),"",UPPER(LEFT(SUBSTITUTE(C607," ",""),3))&amp;"-"&amp;TEXT(B607,"AAMMDD")&amp;"-"&amp;(COUNTIFS($C$5:C607,C607,$B$5:B607,B607,$I$5:I607,"ENTRADA")))</f>
        <v/>
      </c>
    </row>
    <row r="608" spans="1:20">
      <c r="A608" s="22" t="s">
        <v>685</v>
      </c>
      <c r="H608" s="22" t="str">
        <f t="shared" si="20"/>
        <v/>
      </c>
      <c r="J608" s="32"/>
      <c r="T608" t="str">
        <f>IF(OR(C608="",I608&lt;&gt;"ENTRADA"),"",UPPER(LEFT(SUBSTITUTE(C608," ",""),3))&amp;"-"&amp;TEXT(B608,"AAMMDD")&amp;"-"&amp;(COUNTIFS($C$5:C608,C608,$B$5:B608,B608,$I$5:I608,"ENTRADA")))</f>
        <v/>
      </c>
    </row>
    <row r="609" spans="1:20">
      <c r="A609" s="22" t="s">
        <v>686</v>
      </c>
      <c r="H609" s="22" t="str">
        <f t="shared" si="20"/>
        <v/>
      </c>
      <c r="J609" s="32"/>
      <c r="T609" t="str">
        <f>IF(OR(C609="",I609&lt;&gt;"ENTRADA"),"",UPPER(LEFT(SUBSTITUTE(C609," ",""),3))&amp;"-"&amp;TEXT(B609,"AAMMDD")&amp;"-"&amp;(COUNTIFS($C$5:C609,C609,$B$5:B609,B609,$I$5:I609,"ENTRADA")))</f>
        <v/>
      </c>
    </row>
    <row r="610" spans="1:20">
      <c r="A610" s="22" t="s">
        <v>687</v>
      </c>
      <c r="H610" s="22" t="str">
        <f t="shared" si="20"/>
        <v/>
      </c>
      <c r="J610" s="32"/>
      <c r="T610" t="str">
        <f>IF(OR(C610="",I610&lt;&gt;"ENTRADA"),"",UPPER(LEFT(SUBSTITUTE(C610," ",""),3))&amp;"-"&amp;TEXT(B610,"AAMMDD")&amp;"-"&amp;(COUNTIFS($C$5:C610,C610,$B$5:B610,B610,$I$5:I610,"ENTRADA")))</f>
        <v/>
      </c>
    </row>
    <row r="611" spans="1:20">
      <c r="A611" s="22" t="s">
        <v>688</v>
      </c>
      <c r="H611" s="22" t="str">
        <f t="shared" si="20"/>
        <v/>
      </c>
      <c r="J611" s="32"/>
      <c r="T611" t="str">
        <f>IF(OR(C611="",I611&lt;&gt;"ENTRADA"),"",UPPER(LEFT(SUBSTITUTE(C611," ",""),3))&amp;"-"&amp;TEXT(B611,"AAMMDD")&amp;"-"&amp;(COUNTIFS($C$5:C611,C611,$B$5:B611,B611,$I$5:I611,"ENTRADA")))</f>
        <v/>
      </c>
    </row>
    <row r="612" spans="1:20">
      <c r="A612" s="22" t="s">
        <v>689</v>
      </c>
      <c r="H612" s="22" t="str">
        <f t="shared" si="20"/>
        <v/>
      </c>
      <c r="J612" s="32"/>
      <c r="T612" t="str">
        <f>IF(OR(C612="",I612&lt;&gt;"ENTRADA"),"",UPPER(LEFT(SUBSTITUTE(C612," ",""),3))&amp;"-"&amp;TEXT(B612,"AAMMDD")&amp;"-"&amp;(COUNTIFS($C$5:C612,C612,$B$5:B612,B612,$I$5:I612,"ENTRADA")))</f>
        <v/>
      </c>
    </row>
    <row r="613" spans="1:20">
      <c r="A613" s="22" t="s">
        <v>690</v>
      </c>
      <c r="H613" s="22" t="str">
        <f t="shared" si="20"/>
        <v/>
      </c>
      <c r="J613" s="32"/>
      <c r="T613" t="str">
        <f>IF(OR(C613="",I613&lt;&gt;"ENTRADA"),"",UPPER(LEFT(SUBSTITUTE(C613," ",""),3))&amp;"-"&amp;TEXT(B613,"AAMMDD")&amp;"-"&amp;(COUNTIFS($C$5:C613,C613,$B$5:B613,B613,$I$5:I613,"ENTRADA")))</f>
        <v/>
      </c>
    </row>
    <row r="614" spans="1:20">
      <c r="A614" s="22" t="s">
        <v>691</v>
      </c>
      <c r="H614" s="22" t="str">
        <f t="shared" si="20"/>
        <v/>
      </c>
      <c r="J614" s="32"/>
      <c r="T614" t="str">
        <f>IF(OR(C614="",I614&lt;&gt;"ENTRADA"),"",UPPER(LEFT(SUBSTITUTE(C614," ",""),3))&amp;"-"&amp;TEXT(B614,"AAMMDD")&amp;"-"&amp;(COUNTIFS($C$5:C614,C614,$B$5:B614,B614,$I$5:I614,"ENTRADA")))</f>
        <v/>
      </c>
    </row>
    <row r="615" spans="1:20">
      <c r="A615" s="22" t="s">
        <v>692</v>
      </c>
      <c r="H615" s="22" t="str">
        <f t="shared" si="20"/>
        <v/>
      </c>
      <c r="J615" s="32"/>
      <c r="T615" t="str">
        <f>IF(OR(C615="",I615&lt;&gt;"ENTRADA"),"",UPPER(LEFT(SUBSTITUTE(C615," ",""),3))&amp;"-"&amp;TEXT(B615,"AAMMDD")&amp;"-"&amp;(COUNTIFS($C$5:C615,C615,$B$5:B615,B615,$I$5:I615,"ENTRADA")))</f>
        <v/>
      </c>
    </row>
    <row r="616" spans="1:20">
      <c r="A616" s="22" t="s">
        <v>693</v>
      </c>
      <c r="H616" s="22" t="str">
        <f t="shared" si="20"/>
        <v/>
      </c>
      <c r="J616" s="32"/>
      <c r="T616" t="str">
        <f>IF(OR(C616="",I616&lt;&gt;"ENTRADA"),"",UPPER(LEFT(SUBSTITUTE(C616," ",""),3))&amp;"-"&amp;TEXT(B616,"AAMMDD")&amp;"-"&amp;(COUNTIFS($C$5:C616,C616,$B$5:B616,B616,$I$5:I616,"ENTRADA")))</f>
        <v/>
      </c>
    </row>
    <row r="617" spans="1:20">
      <c r="A617" s="22" t="s">
        <v>694</v>
      </c>
      <c r="H617" s="22" t="str">
        <f t="shared" si="20"/>
        <v/>
      </c>
      <c r="J617" s="32"/>
      <c r="T617" t="str">
        <f>IF(OR(C617="",I617&lt;&gt;"ENTRADA"),"",UPPER(LEFT(SUBSTITUTE(C617," ",""),3))&amp;"-"&amp;TEXT(B617,"AAMMDD")&amp;"-"&amp;(COUNTIFS($C$5:C617,C617,$B$5:B617,B617,$I$5:I617,"ENTRADA")))</f>
        <v/>
      </c>
    </row>
    <row r="618" spans="1:20">
      <c r="A618" s="22" t="s">
        <v>695</v>
      </c>
      <c r="H618" s="22" t="str">
        <f t="shared" si="20"/>
        <v/>
      </c>
      <c r="J618" s="32"/>
      <c r="T618" t="str">
        <f>IF(OR(C618="",I618&lt;&gt;"ENTRADA"),"",UPPER(LEFT(SUBSTITUTE(C618," ",""),3))&amp;"-"&amp;TEXT(B618,"AAMMDD")&amp;"-"&amp;(COUNTIFS($C$5:C618,C618,$B$5:B618,B618,$I$5:I618,"ENTRADA")))</f>
        <v/>
      </c>
    </row>
    <row r="619" spans="1:20">
      <c r="A619" s="22" t="s">
        <v>696</v>
      </c>
      <c r="H619" s="22" t="str">
        <f t="shared" si="20"/>
        <v/>
      </c>
      <c r="J619" s="32"/>
      <c r="T619" t="str">
        <f>IF(OR(C619="",I619&lt;&gt;"ENTRADA"),"",UPPER(LEFT(SUBSTITUTE(C619," ",""),3))&amp;"-"&amp;TEXT(B619,"AAMMDD")&amp;"-"&amp;(COUNTIFS($C$5:C619,C619,$B$5:B619,B619,$I$5:I619,"ENTRADA")))</f>
        <v/>
      </c>
    </row>
    <row r="620" spans="1:20">
      <c r="A620" s="22" t="s">
        <v>697</v>
      </c>
      <c r="H620" s="22" t="str">
        <f t="shared" si="20"/>
        <v/>
      </c>
      <c r="J620" s="32"/>
      <c r="T620" t="str">
        <f>IF(OR(C620="",I620&lt;&gt;"ENTRADA"),"",UPPER(LEFT(SUBSTITUTE(C620," ",""),3))&amp;"-"&amp;TEXT(B620,"AAMMDD")&amp;"-"&amp;(COUNTIFS($C$5:C620,C620,$B$5:B620,B620,$I$5:I620,"ENTRADA")))</f>
        <v/>
      </c>
    </row>
    <row r="621" spans="1:20">
      <c r="A621" s="22" t="s">
        <v>698</v>
      </c>
      <c r="H621" s="22" t="str">
        <f t="shared" si="20"/>
        <v/>
      </c>
      <c r="J621" s="32"/>
      <c r="T621" t="str">
        <f>IF(OR(C621="",I621&lt;&gt;"ENTRADA"),"",UPPER(LEFT(SUBSTITUTE(C621," ",""),3))&amp;"-"&amp;TEXT(B621,"AAMMDD")&amp;"-"&amp;(COUNTIFS($C$5:C621,C621,$B$5:B621,B621,$I$5:I621,"ENTRADA")))</f>
        <v/>
      </c>
    </row>
    <row r="622" spans="1:20">
      <c r="A622" s="22" t="s">
        <v>699</v>
      </c>
      <c r="H622" s="22" t="str">
        <f t="shared" si="20"/>
        <v/>
      </c>
      <c r="J622" s="32"/>
      <c r="T622" t="str">
        <f>IF(OR(C622="",I622&lt;&gt;"ENTRADA"),"",UPPER(LEFT(SUBSTITUTE(C622," ",""),3))&amp;"-"&amp;TEXT(B622,"AAMMDD")&amp;"-"&amp;(COUNTIFS($C$5:C622,C622,$B$5:B622,B622,$I$5:I622,"ENTRADA")))</f>
        <v/>
      </c>
    </row>
    <row r="623" spans="1:20">
      <c r="A623" s="22" t="s">
        <v>700</v>
      </c>
      <c r="H623" s="22" t="str">
        <f t="shared" si="20"/>
        <v/>
      </c>
      <c r="J623" s="32"/>
      <c r="T623" t="str">
        <f>IF(OR(C623="",I623&lt;&gt;"ENTRADA"),"",UPPER(LEFT(SUBSTITUTE(C623," ",""),3))&amp;"-"&amp;TEXT(B623,"AAMMDD")&amp;"-"&amp;(COUNTIFS($C$5:C623,C623,$B$5:B623,B623,$I$5:I623,"ENTRADA")))</f>
        <v/>
      </c>
    </row>
    <row r="624" spans="1:20">
      <c r="A624" s="22" t="s">
        <v>701</v>
      </c>
      <c r="H624" s="22" t="str">
        <f t="shared" si="20"/>
        <v/>
      </c>
      <c r="J624" s="32"/>
      <c r="T624" t="str">
        <f>IF(OR(C624="",I624&lt;&gt;"ENTRADA"),"",UPPER(LEFT(SUBSTITUTE(C624," ",""),3))&amp;"-"&amp;TEXT(B624,"AAMMDD")&amp;"-"&amp;(COUNTIFS($C$5:C624,C624,$B$5:B624,B624,$I$5:I624,"ENTRADA")))</f>
        <v/>
      </c>
    </row>
    <row r="625" spans="1:20">
      <c r="A625" s="22" t="s">
        <v>702</v>
      </c>
      <c r="H625" s="22" t="str">
        <f t="shared" si="20"/>
        <v/>
      </c>
      <c r="J625" s="32"/>
      <c r="T625" t="str">
        <f>IF(OR(C625="",I625&lt;&gt;"ENTRADA"),"",UPPER(LEFT(SUBSTITUTE(C625," ",""),3))&amp;"-"&amp;TEXT(B625,"AAMMDD")&amp;"-"&amp;(COUNTIFS($C$5:C625,C625,$B$5:B625,B625,$I$5:I625,"ENTRADA")))</f>
        <v/>
      </c>
    </row>
    <row r="626" spans="1:20">
      <c r="A626" s="22" t="s">
        <v>703</v>
      </c>
      <c r="H626" s="22" t="str">
        <f t="shared" si="20"/>
        <v/>
      </c>
      <c r="J626" s="32"/>
      <c r="T626" t="str">
        <f>IF(OR(C626="",I626&lt;&gt;"ENTRADA"),"",UPPER(LEFT(SUBSTITUTE(C626," ",""),3))&amp;"-"&amp;TEXT(B626,"AAMMDD")&amp;"-"&amp;(COUNTIFS($C$5:C626,C626,$B$5:B626,B626,$I$5:I626,"ENTRADA")))</f>
        <v/>
      </c>
    </row>
    <row r="627" spans="1:20">
      <c r="A627" s="22" t="s">
        <v>704</v>
      </c>
      <c r="H627" s="22" t="str">
        <f t="shared" si="20"/>
        <v/>
      </c>
      <c r="J627" s="32"/>
      <c r="T627" t="str">
        <f>IF(OR(C627="",I627&lt;&gt;"ENTRADA"),"",UPPER(LEFT(SUBSTITUTE(C627," ",""),3))&amp;"-"&amp;TEXT(B627,"AAMMDD")&amp;"-"&amp;(COUNTIFS($C$5:C627,C627,$B$5:B627,B627,$I$5:I627,"ENTRADA")))</f>
        <v/>
      </c>
    </row>
    <row r="628" spans="1:20">
      <c r="A628" s="22" t="s">
        <v>705</v>
      </c>
      <c r="H628" s="22" t="str">
        <f t="shared" si="20"/>
        <v/>
      </c>
      <c r="J628" s="32"/>
      <c r="T628" t="str">
        <f>IF(OR(C628="",I628&lt;&gt;"ENTRADA"),"",UPPER(LEFT(SUBSTITUTE(C628," ",""),3))&amp;"-"&amp;TEXT(B628,"AAMMDD")&amp;"-"&amp;(COUNTIFS($C$5:C628,C628,$B$5:B628,B628,$I$5:I628,"ENTRADA")))</f>
        <v/>
      </c>
    </row>
    <row r="629" spans="1:20">
      <c r="A629" s="22" t="s">
        <v>706</v>
      </c>
      <c r="H629" s="22" t="str">
        <f t="shared" si="20"/>
        <v/>
      </c>
      <c r="J629" s="32"/>
      <c r="T629" t="str">
        <f>IF(OR(C629="",I629&lt;&gt;"ENTRADA"),"",UPPER(LEFT(SUBSTITUTE(C629," ",""),3))&amp;"-"&amp;TEXT(B629,"AAMMDD")&amp;"-"&amp;(COUNTIFS($C$5:C629,C629,$B$5:B629,B629,$I$5:I629,"ENTRADA")))</f>
        <v/>
      </c>
    </row>
    <row r="630" spans="1:20">
      <c r="A630" s="22" t="s">
        <v>707</v>
      </c>
      <c r="H630" s="22" t="str">
        <f t="shared" si="20"/>
        <v/>
      </c>
      <c r="J630" s="32"/>
      <c r="T630" t="str">
        <f>IF(OR(C630="",I630&lt;&gt;"ENTRADA"),"",UPPER(LEFT(SUBSTITUTE(C630," ",""),3))&amp;"-"&amp;TEXT(B630,"AAMMDD")&amp;"-"&amp;(COUNTIFS($C$5:C630,C630,$B$5:B630,B630,$I$5:I630,"ENTRADA")))</f>
        <v/>
      </c>
    </row>
    <row r="631" spans="1:20">
      <c r="A631" s="22" t="s">
        <v>708</v>
      </c>
      <c r="H631" s="22" t="str">
        <f t="shared" si="20"/>
        <v/>
      </c>
      <c r="J631" s="32"/>
      <c r="T631" t="str">
        <f>IF(OR(C631="",I631&lt;&gt;"ENTRADA"),"",UPPER(LEFT(SUBSTITUTE(C631," ",""),3))&amp;"-"&amp;TEXT(B631,"AAMMDD")&amp;"-"&amp;(COUNTIFS($C$5:C631,C631,$B$5:B631,B631,$I$5:I631,"ENTRADA")))</f>
        <v/>
      </c>
    </row>
    <row r="632" spans="1:20">
      <c r="A632" s="22" t="s">
        <v>709</v>
      </c>
      <c r="H632" s="22" t="str">
        <f t="shared" si="20"/>
        <v/>
      </c>
      <c r="J632" s="32"/>
      <c r="T632" t="str">
        <f>IF(OR(C632="",I632&lt;&gt;"ENTRADA"),"",UPPER(LEFT(SUBSTITUTE(C632," ",""),3))&amp;"-"&amp;TEXT(B632,"AAMMDD")&amp;"-"&amp;(COUNTIFS($C$5:C632,C632,$B$5:B632,B632,$I$5:I632,"ENTRADA")))</f>
        <v/>
      </c>
    </row>
    <row r="633" spans="1:20">
      <c r="A633" s="22" t="s">
        <v>710</v>
      </c>
      <c r="H633" s="22" t="str">
        <f t="shared" si="20"/>
        <v/>
      </c>
      <c r="J633" s="32"/>
      <c r="T633" t="str">
        <f>IF(OR(C633="",I633&lt;&gt;"ENTRADA"),"",UPPER(LEFT(SUBSTITUTE(C633," ",""),3))&amp;"-"&amp;TEXT(B633,"AAMMDD")&amp;"-"&amp;(COUNTIFS($C$5:C633,C633,$B$5:B633,B633,$I$5:I633,"ENTRADA")))</f>
        <v/>
      </c>
    </row>
    <row r="634" spans="1:20">
      <c r="A634" s="22" t="s">
        <v>711</v>
      </c>
      <c r="H634" s="22" t="str">
        <f t="shared" si="20"/>
        <v/>
      </c>
      <c r="J634" s="32"/>
      <c r="T634" t="str">
        <f>IF(OR(C634="",I634&lt;&gt;"ENTRADA"),"",UPPER(LEFT(SUBSTITUTE(C634," ",""),3))&amp;"-"&amp;TEXT(B634,"AAMMDD")&amp;"-"&amp;(COUNTIFS($C$5:C634,C634,$B$5:B634,B634,$I$5:I634,"ENTRADA")))</f>
        <v/>
      </c>
    </row>
    <row r="635" spans="1:20">
      <c r="A635" s="22" t="s">
        <v>712</v>
      </c>
      <c r="H635" s="22" t="str">
        <f t="shared" si="20"/>
        <v/>
      </c>
      <c r="J635" s="32"/>
      <c r="T635" t="str">
        <f>IF(OR(C635="",I635&lt;&gt;"ENTRADA"),"",UPPER(LEFT(SUBSTITUTE(C635," ",""),3))&amp;"-"&amp;TEXT(B635,"AAMMDD")&amp;"-"&amp;(COUNTIFS($C$5:C635,C635,$B$5:B635,B635,$I$5:I635,"ENTRADA")))</f>
        <v/>
      </c>
    </row>
    <row r="636" spans="1:20">
      <c r="A636" s="22" t="s">
        <v>713</v>
      </c>
      <c r="H636" s="22" t="str">
        <f t="shared" si="20"/>
        <v/>
      </c>
      <c r="J636" s="32"/>
      <c r="T636" t="str">
        <f>IF(OR(C636="",I636&lt;&gt;"ENTRADA"),"",UPPER(LEFT(SUBSTITUTE(C636," ",""),3))&amp;"-"&amp;TEXT(B636,"AAMMDD")&amp;"-"&amp;(COUNTIFS($C$5:C636,C636,$B$5:B636,B636,$I$5:I636,"ENTRADA")))</f>
        <v/>
      </c>
    </row>
    <row r="637" spans="1:20">
      <c r="A637" s="22" t="s">
        <v>714</v>
      </c>
      <c r="H637" s="22" t="str">
        <f t="shared" si="20"/>
        <v/>
      </c>
      <c r="J637" s="32"/>
      <c r="T637" t="str">
        <f>IF(OR(C637="",I637&lt;&gt;"ENTRADA"),"",UPPER(LEFT(SUBSTITUTE(C637," ",""),3))&amp;"-"&amp;TEXT(B637,"AAMMDD")&amp;"-"&amp;(COUNTIFS($C$5:C637,C637,$B$5:B637,B637,$I$5:I637,"ENTRADA")))</f>
        <v/>
      </c>
    </row>
    <row r="638" spans="1:20">
      <c r="A638" s="22" t="s">
        <v>715</v>
      </c>
      <c r="H638" s="22" t="str">
        <f t="shared" si="20"/>
        <v/>
      </c>
      <c r="J638" s="32"/>
      <c r="T638" t="str">
        <f>IF(OR(C638="",I638&lt;&gt;"ENTRADA"),"",UPPER(LEFT(SUBSTITUTE(C638," ",""),3))&amp;"-"&amp;TEXT(B638,"AAMMDD")&amp;"-"&amp;(COUNTIFS($C$5:C638,C638,$B$5:B638,B638,$I$5:I638,"ENTRADA")))</f>
        <v/>
      </c>
    </row>
    <row r="639" spans="1:20">
      <c r="A639" s="22" t="s">
        <v>716</v>
      </c>
      <c r="H639" s="22" t="str">
        <f t="shared" si="20"/>
        <v/>
      </c>
      <c r="J639" s="32"/>
      <c r="T639" t="str">
        <f>IF(OR(C639="",I639&lt;&gt;"ENTRADA"),"",UPPER(LEFT(SUBSTITUTE(C639," ",""),3))&amp;"-"&amp;TEXT(B639,"AAMMDD")&amp;"-"&amp;(COUNTIFS($C$5:C639,C639,$B$5:B639,B639,$I$5:I639,"ENTRADA")))</f>
        <v/>
      </c>
    </row>
    <row r="640" spans="1:20">
      <c r="A640" s="22" t="s">
        <v>717</v>
      </c>
      <c r="H640" s="22" t="str">
        <f t="shared" si="20"/>
        <v/>
      </c>
      <c r="J640" s="32"/>
      <c r="T640" t="str">
        <f>IF(OR(C640="",I640&lt;&gt;"ENTRADA"),"",UPPER(LEFT(SUBSTITUTE(C640," ",""),3))&amp;"-"&amp;TEXT(B640,"AAMMDD")&amp;"-"&amp;(COUNTIFS($C$5:C640,C640,$B$5:B640,B640,$I$5:I640,"ENTRADA")))</f>
        <v/>
      </c>
    </row>
    <row r="641" spans="1:20">
      <c r="A641" s="22" t="s">
        <v>718</v>
      </c>
      <c r="H641" s="22" t="str">
        <f t="shared" si="20"/>
        <v/>
      </c>
      <c r="J641" s="32"/>
      <c r="T641" t="str">
        <f>IF(OR(C641="",I641&lt;&gt;"ENTRADA"),"",UPPER(LEFT(SUBSTITUTE(C641," ",""),3))&amp;"-"&amp;TEXT(B641,"AAMMDD")&amp;"-"&amp;(COUNTIFS($C$5:C641,C641,$B$5:B641,B641,$I$5:I641,"ENTRADA")))</f>
        <v/>
      </c>
    </row>
    <row r="642" spans="1:20">
      <c r="A642" s="22" t="s">
        <v>719</v>
      </c>
      <c r="H642" s="22" t="str">
        <f t="shared" si="20"/>
        <v/>
      </c>
      <c r="J642" s="32"/>
      <c r="T642" t="str">
        <f>IF(OR(C642="",I642&lt;&gt;"ENTRADA"),"",UPPER(LEFT(SUBSTITUTE(C642," ",""),3))&amp;"-"&amp;TEXT(B642,"AAMMDD")&amp;"-"&amp;(COUNTIFS($C$5:C642,C642,$B$5:B642,B642,$I$5:I642,"ENTRADA")))</f>
        <v/>
      </c>
    </row>
    <row r="643" spans="1:20">
      <c r="A643" s="22" t="s">
        <v>720</v>
      </c>
      <c r="H643" s="22" t="str">
        <f t="shared" si="20"/>
        <v/>
      </c>
      <c r="J643" s="32"/>
      <c r="T643" t="str">
        <f>IF(OR(C643="",I643&lt;&gt;"ENTRADA"),"",UPPER(LEFT(SUBSTITUTE(C643," ",""),3))&amp;"-"&amp;TEXT(B643,"AAMMDD")&amp;"-"&amp;(COUNTIFS($C$5:C643,C643,$B$5:B643,B643,$I$5:I643,"ENTRADA")))</f>
        <v/>
      </c>
    </row>
    <row r="644" spans="1:20">
      <c r="A644" s="22" t="s">
        <v>721</v>
      </c>
      <c r="H644" s="22" t="str">
        <f t="shared" si="20"/>
        <v/>
      </c>
      <c r="J644" s="32"/>
      <c r="T644" t="str">
        <f>IF(OR(C644="",I644&lt;&gt;"ENTRADA"),"",UPPER(LEFT(SUBSTITUTE(C644," ",""),3))&amp;"-"&amp;TEXT(B644,"AAMMDD")&amp;"-"&amp;(COUNTIFS($C$5:C644,C644,$B$5:B644,B644,$I$5:I644,"ENTRADA")))</f>
        <v/>
      </c>
    </row>
    <row r="645" spans="1:20">
      <c r="A645" s="22" t="s">
        <v>722</v>
      </c>
      <c r="H645" s="22" t="str">
        <f t="shared" si="20"/>
        <v/>
      </c>
      <c r="J645" s="32"/>
      <c r="T645" t="str">
        <f>IF(OR(C645="",I645&lt;&gt;"ENTRADA"),"",UPPER(LEFT(SUBSTITUTE(C645," ",""),3))&amp;"-"&amp;TEXT(B645,"AAMMDD")&amp;"-"&amp;(COUNTIFS($C$5:C645,C645,$B$5:B645,B645,$I$5:I645,"ENTRADA")))</f>
        <v/>
      </c>
    </row>
    <row r="646" spans="1:20">
      <c r="A646" s="22" t="s">
        <v>723</v>
      </c>
      <c r="H646" s="22" t="str">
        <f t="shared" si="20"/>
        <v/>
      </c>
      <c r="J646" s="32"/>
      <c r="T646" t="str">
        <f>IF(OR(C646="",I646&lt;&gt;"ENTRADA"),"",UPPER(LEFT(SUBSTITUTE(C646," ",""),3))&amp;"-"&amp;TEXT(B646,"AAMMDD")&amp;"-"&amp;(COUNTIFS($C$5:C646,C646,$B$5:B646,B646,$I$5:I646,"ENTRADA")))</f>
        <v/>
      </c>
    </row>
    <row r="647" spans="1:20">
      <c r="A647" s="22" t="s">
        <v>724</v>
      </c>
      <c r="H647" s="22" t="str">
        <f t="shared" si="20"/>
        <v/>
      </c>
      <c r="J647" s="32"/>
      <c r="T647" t="str">
        <f>IF(OR(C647="",I647&lt;&gt;"ENTRADA"),"",UPPER(LEFT(SUBSTITUTE(C647," ",""),3))&amp;"-"&amp;TEXT(B647,"AAMMDD")&amp;"-"&amp;(COUNTIFS($C$5:C647,C647,$B$5:B647,B647,$I$5:I647,"ENTRADA")))</f>
        <v/>
      </c>
    </row>
    <row r="648" spans="1:20">
      <c r="A648" s="22" t="s">
        <v>725</v>
      </c>
      <c r="H648" s="22" t="str">
        <f t="shared" si="20"/>
        <v/>
      </c>
      <c r="J648" s="32"/>
      <c r="T648" t="str">
        <f>IF(OR(C648="",I648&lt;&gt;"ENTRADA"),"",UPPER(LEFT(SUBSTITUTE(C648," ",""),3))&amp;"-"&amp;TEXT(B648,"AAMMDD")&amp;"-"&amp;(COUNTIFS($C$5:C648,C648,$B$5:B648,B648,$I$5:I648,"ENTRADA")))</f>
        <v/>
      </c>
    </row>
    <row r="649" spans="1:20">
      <c r="A649" s="22" t="s">
        <v>726</v>
      </c>
      <c r="H649" s="22" t="str">
        <f t="shared" si="20"/>
        <v/>
      </c>
      <c r="J649" s="32"/>
      <c r="T649" t="str">
        <f>IF(OR(C649="",I649&lt;&gt;"ENTRADA"),"",UPPER(LEFT(SUBSTITUTE(C649," ",""),3))&amp;"-"&amp;TEXT(B649,"AAMMDD")&amp;"-"&amp;(COUNTIFS($C$5:C649,C649,$B$5:B649,B649,$I$5:I649,"ENTRADA")))</f>
        <v/>
      </c>
    </row>
    <row r="650" spans="1:20">
      <c r="A650" s="22" t="s">
        <v>727</v>
      </c>
      <c r="H650" s="22" t="str">
        <f t="shared" si="20"/>
        <v/>
      </c>
      <c r="J650" s="32"/>
      <c r="T650" t="str">
        <f>IF(OR(C650="",I650&lt;&gt;"ENTRADA"),"",UPPER(LEFT(SUBSTITUTE(C650," ",""),3))&amp;"-"&amp;TEXT(B650,"AAMMDD")&amp;"-"&amp;(COUNTIFS($C$5:C650,C650,$B$5:B650,B650,$I$5:I650,"ENTRADA")))</f>
        <v/>
      </c>
    </row>
    <row r="651" spans="1:20">
      <c r="A651" s="22" t="s">
        <v>728</v>
      </c>
      <c r="H651" s="22" t="str">
        <f t="shared" si="20"/>
        <v/>
      </c>
      <c r="J651" s="32"/>
      <c r="T651" t="str">
        <f>IF(OR(C651="",I651&lt;&gt;"ENTRADA"),"",UPPER(LEFT(SUBSTITUTE(C651," ",""),3))&amp;"-"&amp;TEXT(B651,"AAMMDD")&amp;"-"&amp;(COUNTIFS($C$5:C651,C651,$B$5:B651,B651,$I$5:I651,"ENTRADA")))</f>
        <v/>
      </c>
    </row>
    <row r="652" spans="1:20">
      <c r="A652" s="22" t="s">
        <v>729</v>
      </c>
      <c r="H652" s="22" t="str">
        <f t="shared" si="20"/>
        <v/>
      </c>
      <c r="J652" s="32"/>
      <c r="T652" t="str">
        <f>IF(OR(C652="",I652&lt;&gt;"ENTRADA"),"",UPPER(LEFT(SUBSTITUTE(C652," ",""),3))&amp;"-"&amp;TEXT(B652,"AAMMDD")&amp;"-"&amp;(COUNTIFS($C$5:C652,C652,$B$5:B652,B652,$I$5:I652,"ENTRADA")))</f>
        <v/>
      </c>
    </row>
    <row r="653" spans="1:20">
      <c r="A653" s="22" t="s">
        <v>730</v>
      </c>
      <c r="H653" s="22" t="str">
        <f t="shared" si="20"/>
        <v/>
      </c>
      <c r="J653" s="32"/>
      <c r="T653" t="str">
        <f>IF(OR(C653="",I653&lt;&gt;"ENTRADA"),"",UPPER(LEFT(SUBSTITUTE(C653," ",""),3))&amp;"-"&amp;TEXT(B653,"AAMMDD")&amp;"-"&amp;(COUNTIFS($C$5:C653,C653,$B$5:B653,B653,$I$5:I653,"ENTRADA")))</f>
        <v/>
      </c>
    </row>
    <row r="654" spans="1:20">
      <c r="A654" s="22" t="s">
        <v>731</v>
      </c>
      <c r="H654" s="22" t="str">
        <f t="shared" si="20"/>
        <v/>
      </c>
      <c r="J654" s="32"/>
      <c r="T654" t="str">
        <f>IF(OR(C654="",I654&lt;&gt;"ENTRADA"),"",UPPER(LEFT(SUBSTITUTE(C654," ",""),3))&amp;"-"&amp;TEXT(B654,"AAMMDD")&amp;"-"&amp;(COUNTIFS($C$5:C654,C654,$B$5:B654,B654,$I$5:I654,"ENTRADA")))</f>
        <v/>
      </c>
    </row>
    <row r="655" spans="1:20">
      <c r="A655" s="22" t="s">
        <v>732</v>
      </c>
      <c r="H655" s="22" t="str">
        <f t="shared" si="20"/>
        <v/>
      </c>
      <c r="J655" s="32"/>
      <c r="T655" t="str">
        <f>IF(OR(C655="",I655&lt;&gt;"ENTRADA"),"",UPPER(LEFT(SUBSTITUTE(C655," ",""),3))&amp;"-"&amp;TEXT(B655,"AAMMDD")&amp;"-"&amp;(COUNTIFS($C$5:C655,C655,$B$5:B655,B655,$I$5:I655,"ENTRADA")))</f>
        <v/>
      </c>
    </row>
    <row r="656" spans="1:20">
      <c r="A656" s="22" t="s">
        <v>733</v>
      </c>
      <c r="H656" s="22" t="str">
        <f t="shared" ref="H656:H719" si="21">+T656</f>
        <v/>
      </c>
      <c r="J656" s="32"/>
      <c r="T656" t="str">
        <f>IF(OR(C656="",I656&lt;&gt;"ENTRADA"),"",UPPER(LEFT(SUBSTITUTE(C656," ",""),3))&amp;"-"&amp;TEXT(B656,"AAMMDD")&amp;"-"&amp;(COUNTIFS($C$5:C656,C656,$B$5:B656,B656,$I$5:I656,"ENTRADA")))</f>
        <v/>
      </c>
    </row>
    <row r="657" spans="1:20">
      <c r="A657" s="22" t="s">
        <v>734</v>
      </c>
      <c r="H657" s="22" t="str">
        <f t="shared" si="21"/>
        <v/>
      </c>
      <c r="J657" s="32"/>
      <c r="T657" t="str">
        <f>IF(OR(C657="",I657&lt;&gt;"ENTRADA"),"",UPPER(LEFT(SUBSTITUTE(C657," ",""),3))&amp;"-"&amp;TEXT(B657,"AAMMDD")&amp;"-"&amp;(COUNTIFS($C$5:C657,C657,$B$5:B657,B657,$I$5:I657,"ENTRADA")))</f>
        <v/>
      </c>
    </row>
    <row r="658" spans="1:20">
      <c r="A658" s="22" t="s">
        <v>735</v>
      </c>
      <c r="H658" s="22" t="str">
        <f t="shared" si="21"/>
        <v/>
      </c>
      <c r="J658" s="32"/>
      <c r="T658" t="str">
        <f>IF(OR(C658="",I658&lt;&gt;"ENTRADA"),"",UPPER(LEFT(SUBSTITUTE(C658," ",""),3))&amp;"-"&amp;TEXT(B658,"AAMMDD")&amp;"-"&amp;(COUNTIFS($C$5:C658,C658,$B$5:B658,B658,$I$5:I658,"ENTRADA")))</f>
        <v/>
      </c>
    </row>
    <row r="659" spans="1:20">
      <c r="A659" s="22" t="s">
        <v>736</v>
      </c>
      <c r="H659" s="22" t="str">
        <f t="shared" si="21"/>
        <v/>
      </c>
      <c r="J659" s="32"/>
      <c r="T659" t="str">
        <f>IF(OR(C659="",I659&lt;&gt;"ENTRADA"),"",UPPER(LEFT(SUBSTITUTE(C659," ",""),3))&amp;"-"&amp;TEXT(B659,"AAMMDD")&amp;"-"&amp;(COUNTIFS($C$5:C659,C659,$B$5:B659,B659,$I$5:I659,"ENTRADA")))</f>
        <v/>
      </c>
    </row>
    <row r="660" spans="1:20">
      <c r="A660" s="22" t="s">
        <v>737</v>
      </c>
      <c r="H660" s="22" t="str">
        <f t="shared" si="21"/>
        <v/>
      </c>
      <c r="J660" s="32"/>
      <c r="T660" t="str">
        <f>IF(OR(C660="",I660&lt;&gt;"ENTRADA"),"",UPPER(LEFT(SUBSTITUTE(C660," ",""),3))&amp;"-"&amp;TEXT(B660,"AAMMDD")&amp;"-"&amp;(COUNTIFS($C$5:C660,C660,$B$5:B660,B660,$I$5:I660,"ENTRADA")))</f>
        <v/>
      </c>
    </row>
    <row r="661" spans="1:20">
      <c r="A661" s="22" t="s">
        <v>738</v>
      </c>
      <c r="H661" s="22" t="str">
        <f t="shared" si="21"/>
        <v/>
      </c>
      <c r="J661" s="32"/>
      <c r="T661" t="str">
        <f>IF(OR(C661="",I661&lt;&gt;"ENTRADA"),"",UPPER(LEFT(SUBSTITUTE(C661," ",""),3))&amp;"-"&amp;TEXT(B661,"AAMMDD")&amp;"-"&amp;(COUNTIFS($C$5:C661,C661,$B$5:B661,B661,$I$5:I661,"ENTRADA")))</f>
        <v/>
      </c>
    </row>
    <row r="662" spans="1:20">
      <c r="A662" s="22" t="s">
        <v>739</v>
      </c>
      <c r="H662" s="22" t="str">
        <f t="shared" si="21"/>
        <v/>
      </c>
      <c r="J662" s="32"/>
      <c r="T662" t="str">
        <f>IF(OR(C662="",I662&lt;&gt;"ENTRADA"),"",UPPER(LEFT(SUBSTITUTE(C662," ",""),3))&amp;"-"&amp;TEXT(B662,"AAMMDD")&amp;"-"&amp;(COUNTIFS($C$5:C662,C662,$B$5:B662,B662,$I$5:I662,"ENTRADA")))</f>
        <v/>
      </c>
    </row>
    <row r="663" spans="1:20">
      <c r="A663" s="22" t="s">
        <v>740</v>
      </c>
      <c r="H663" s="22" t="str">
        <f t="shared" si="21"/>
        <v/>
      </c>
      <c r="J663" s="32"/>
      <c r="T663" t="str">
        <f>IF(OR(C663="",I663&lt;&gt;"ENTRADA"),"",UPPER(LEFT(SUBSTITUTE(C663," ",""),3))&amp;"-"&amp;TEXT(B663,"AAMMDD")&amp;"-"&amp;(COUNTIFS($C$5:C663,C663,$B$5:B663,B663,$I$5:I663,"ENTRADA")))</f>
        <v/>
      </c>
    </row>
    <row r="664" spans="1:20">
      <c r="A664" s="22" t="s">
        <v>741</v>
      </c>
      <c r="H664" s="22" t="str">
        <f t="shared" si="21"/>
        <v/>
      </c>
      <c r="J664" s="32"/>
      <c r="T664" t="str">
        <f>IF(OR(C664="",I664&lt;&gt;"ENTRADA"),"",UPPER(LEFT(SUBSTITUTE(C664," ",""),3))&amp;"-"&amp;TEXT(B664,"AAMMDD")&amp;"-"&amp;(COUNTIFS($C$5:C664,C664,$B$5:B664,B664,$I$5:I664,"ENTRADA")))</f>
        <v/>
      </c>
    </row>
    <row r="665" spans="1:20">
      <c r="A665" s="22" t="s">
        <v>742</v>
      </c>
      <c r="H665" s="22" t="str">
        <f t="shared" si="21"/>
        <v/>
      </c>
      <c r="J665" s="32"/>
      <c r="T665" t="str">
        <f>IF(OR(C665="",I665&lt;&gt;"ENTRADA"),"",UPPER(LEFT(SUBSTITUTE(C665," ",""),3))&amp;"-"&amp;TEXT(B665,"AAMMDD")&amp;"-"&amp;(COUNTIFS($C$5:C665,C665,$B$5:B665,B665,$I$5:I665,"ENTRADA")))</f>
        <v/>
      </c>
    </row>
    <row r="666" spans="1:20">
      <c r="A666" s="22" t="s">
        <v>743</v>
      </c>
      <c r="H666" s="22" t="str">
        <f t="shared" si="21"/>
        <v/>
      </c>
      <c r="J666" s="32"/>
      <c r="T666" t="str">
        <f>IF(OR(C666="",I666&lt;&gt;"ENTRADA"),"",UPPER(LEFT(SUBSTITUTE(C666," ",""),3))&amp;"-"&amp;TEXT(B666,"AAMMDD")&amp;"-"&amp;(COUNTIFS($C$5:C666,C666,$B$5:B666,B666,$I$5:I666,"ENTRADA")))</f>
        <v/>
      </c>
    </row>
    <row r="667" spans="1:20">
      <c r="A667" s="22" t="s">
        <v>744</v>
      </c>
      <c r="H667" s="22" t="str">
        <f t="shared" si="21"/>
        <v/>
      </c>
      <c r="J667" s="32"/>
      <c r="T667" t="str">
        <f>IF(OR(C667="",I667&lt;&gt;"ENTRADA"),"",UPPER(LEFT(SUBSTITUTE(C667," ",""),3))&amp;"-"&amp;TEXT(B667,"AAMMDD")&amp;"-"&amp;(COUNTIFS($C$5:C667,C667,$B$5:B667,B667,$I$5:I667,"ENTRADA")))</f>
        <v/>
      </c>
    </row>
    <row r="668" spans="1:20">
      <c r="A668" s="22" t="s">
        <v>745</v>
      </c>
      <c r="H668" s="22" t="str">
        <f t="shared" si="21"/>
        <v/>
      </c>
      <c r="J668" s="32"/>
      <c r="T668" t="str">
        <f>IF(OR(C668="",I668&lt;&gt;"ENTRADA"),"",UPPER(LEFT(SUBSTITUTE(C668," ",""),3))&amp;"-"&amp;TEXT(B668,"AAMMDD")&amp;"-"&amp;(COUNTIFS($C$5:C668,C668,$B$5:B668,B668,$I$5:I668,"ENTRADA")))</f>
        <v/>
      </c>
    </row>
    <row r="669" spans="1:20">
      <c r="A669" s="22" t="s">
        <v>746</v>
      </c>
      <c r="H669" s="22" t="str">
        <f t="shared" si="21"/>
        <v/>
      </c>
      <c r="J669" s="32"/>
      <c r="T669" t="str">
        <f>IF(OR(C669="",I669&lt;&gt;"ENTRADA"),"",UPPER(LEFT(SUBSTITUTE(C669," ",""),3))&amp;"-"&amp;TEXT(B669,"AAMMDD")&amp;"-"&amp;(COUNTIFS($C$5:C669,C669,$B$5:B669,B669,$I$5:I669,"ENTRADA")))</f>
        <v/>
      </c>
    </row>
    <row r="670" spans="1:20">
      <c r="A670" s="22" t="s">
        <v>747</v>
      </c>
      <c r="H670" s="22" t="str">
        <f t="shared" si="21"/>
        <v/>
      </c>
      <c r="J670" s="32"/>
      <c r="T670" t="str">
        <f>IF(OR(C670="",I670&lt;&gt;"ENTRADA"),"",UPPER(LEFT(SUBSTITUTE(C670," ",""),3))&amp;"-"&amp;TEXT(B670,"AAMMDD")&amp;"-"&amp;(COUNTIFS($C$5:C670,C670,$B$5:B670,B670,$I$5:I670,"ENTRADA")))</f>
        <v/>
      </c>
    </row>
    <row r="671" spans="1:20">
      <c r="A671" s="22" t="s">
        <v>748</v>
      </c>
      <c r="H671" s="22" t="str">
        <f t="shared" si="21"/>
        <v/>
      </c>
      <c r="J671" s="32"/>
      <c r="T671" t="str">
        <f>IF(OR(C671="",I671&lt;&gt;"ENTRADA"),"",UPPER(LEFT(SUBSTITUTE(C671," ",""),3))&amp;"-"&amp;TEXT(B671,"AAMMDD")&amp;"-"&amp;(COUNTIFS($C$5:C671,C671,$B$5:B671,B671,$I$5:I671,"ENTRADA")))</f>
        <v/>
      </c>
    </row>
    <row r="672" spans="1:20">
      <c r="A672" s="22" t="s">
        <v>749</v>
      </c>
      <c r="H672" s="22" t="str">
        <f t="shared" si="21"/>
        <v/>
      </c>
      <c r="J672" s="32"/>
      <c r="T672" t="str">
        <f>IF(OR(C672="",I672&lt;&gt;"ENTRADA"),"",UPPER(LEFT(SUBSTITUTE(C672," ",""),3))&amp;"-"&amp;TEXT(B672,"AAMMDD")&amp;"-"&amp;(COUNTIFS($C$5:C672,C672,$B$5:B672,B672,$I$5:I672,"ENTRADA")))</f>
        <v/>
      </c>
    </row>
    <row r="673" spans="1:20">
      <c r="A673" s="22" t="s">
        <v>750</v>
      </c>
      <c r="H673" s="22" t="str">
        <f t="shared" si="21"/>
        <v/>
      </c>
      <c r="J673" s="32"/>
      <c r="T673" t="str">
        <f>IF(OR(C673="",I673&lt;&gt;"ENTRADA"),"",UPPER(LEFT(SUBSTITUTE(C673," ",""),3))&amp;"-"&amp;TEXT(B673,"AAMMDD")&amp;"-"&amp;(COUNTIFS($C$5:C673,C673,$B$5:B673,B673,$I$5:I673,"ENTRADA")))</f>
        <v/>
      </c>
    </row>
    <row r="674" spans="1:20">
      <c r="A674" s="22" t="s">
        <v>751</v>
      </c>
      <c r="H674" s="22" t="str">
        <f t="shared" si="21"/>
        <v/>
      </c>
      <c r="J674" s="32"/>
      <c r="T674" t="str">
        <f>IF(OR(C674="",I674&lt;&gt;"ENTRADA"),"",UPPER(LEFT(SUBSTITUTE(C674," ",""),3))&amp;"-"&amp;TEXT(B674,"AAMMDD")&amp;"-"&amp;(COUNTIFS($C$5:C674,C674,$B$5:B674,B674,$I$5:I674,"ENTRADA")))</f>
        <v/>
      </c>
    </row>
    <row r="675" spans="1:20">
      <c r="A675" s="22" t="s">
        <v>752</v>
      </c>
      <c r="H675" s="22" t="str">
        <f t="shared" si="21"/>
        <v/>
      </c>
      <c r="J675" s="32"/>
      <c r="T675" t="str">
        <f>IF(OR(C675="",I675&lt;&gt;"ENTRADA"),"",UPPER(LEFT(SUBSTITUTE(C675," ",""),3))&amp;"-"&amp;TEXT(B675,"AAMMDD")&amp;"-"&amp;(COUNTIFS($C$5:C675,C675,$B$5:B675,B675,$I$5:I675,"ENTRADA")))</f>
        <v/>
      </c>
    </row>
    <row r="676" spans="1:20">
      <c r="A676" s="22" t="s">
        <v>753</v>
      </c>
      <c r="H676" s="22" t="str">
        <f t="shared" si="21"/>
        <v/>
      </c>
      <c r="J676" s="32"/>
      <c r="T676" t="str">
        <f>IF(OR(C676="",I676&lt;&gt;"ENTRADA"),"",UPPER(LEFT(SUBSTITUTE(C676," ",""),3))&amp;"-"&amp;TEXT(B676,"AAMMDD")&amp;"-"&amp;(COUNTIFS($C$5:C676,C676,$B$5:B676,B676,$I$5:I676,"ENTRADA")))</f>
        <v/>
      </c>
    </row>
    <row r="677" spans="1:20">
      <c r="A677" s="22" t="s">
        <v>754</v>
      </c>
      <c r="H677" s="22" t="str">
        <f t="shared" si="21"/>
        <v/>
      </c>
      <c r="J677" s="32"/>
      <c r="T677" t="str">
        <f>IF(OR(C677="",I677&lt;&gt;"ENTRADA"),"",UPPER(LEFT(SUBSTITUTE(C677," ",""),3))&amp;"-"&amp;TEXT(B677,"AAMMDD")&amp;"-"&amp;(COUNTIFS($C$5:C677,C677,$B$5:B677,B677,$I$5:I677,"ENTRADA")))</f>
        <v/>
      </c>
    </row>
    <row r="678" spans="1:20">
      <c r="A678" s="22" t="s">
        <v>755</v>
      </c>
      <c r="H678" s="22" t="str">
        <f t="shared" si="21"/>
        <v/>
      </c>
      <c r="J678" s="32"/>
      <c r="T678" t="str">
        <f>IF(OR(C678="",I678&lt;&gt;"ENTRADA"),"",UPPER(LEFT(SUBSTITUTE(C678," ",""),3))&amp;"-"&amp;TEXT(B678,"AAMMDD")&amp;"-"&amp;(COUNTIFS($C$5:C678,C678,$B$5:B678,B678,$I$5:I678,"ENTRADA")))</f>
        <v/>
      </c>
    </row>
    <row r="679" spans="1:20">
      <c r="A679" s="22" t="s">
        <v>756</v>
      </c>
      <c r="H679" s="22" t="str">
        <f t="shared" si="21"/>
        <v/>
      </c>
      <c r="J679" s="32"/>
      <c r="T679" t="str">
        <f>IF(OR(C679="",I679&lt;&gt;"ENTRADA"),"",UPPER(LEFT(SUBSTITUTE(C679," ",""),3))&amp;"-"&amp;TEXT(B679,"AAMMDD")&amp;"-"&amp;(COUNTIFS($C$5:C679,C679,$B$5:B679,B679,$I$5:I679,"ENTRADA")))</f>
        <v/>
      </c>
    </row>
    <row r="680" spans="1:20">
      <c r="A680" s="22" t="s">
        <v>757</v>
      </c>
      <c r="H680" s="22" t="str">
        <f t="shared" si="21"/>
        <v/>
      </c>
      <c r="J680" s="32"/>
      <c r="T680" t="str">
        <f>IF(OR(C680="",I680&lt;&gt;"ENTRADA"),"",UPPER(LEFT(SUBSTITUTE(C680," ",""),3))&amp;"-"&amp;TEXT(B680,"AAMMDD")&amp;"-"&amp;(COUNTIFS($C$5:C680,C680,$B$5:B680,B680,$I$5:I680,"ENTRADA")))</f>
        <v/>
      </c>
    </row>
    <row r="681" spans="1:20">
      <c r="A681" s="22" t="s">
        <v>758</v>
      </c>
      <c r="H681" s="22" t="str">
        <f t="shared" si="21"/>
        <v/>
      </c>
      <c r="J681" s="32"/>
      <c r="T681" t="str">
        <f>IF(OR(C681="",I681&lt;&gt;"ENTRADA"),"",UPPER(LEFT(SUBSTITUTE(C681," ",""),3))&amp;"-"&amp;TEXT(B681,"AAMMDD")&amp;"-"&amp;(COUNTIFS($C$5:C681,C681,$B$5:B681,B681,$I$5:I681,"ENTRADA")))</f>
        <v/>
      </c>
    </row>
    <row r="682" spans="1:20">
      <c r="A682" s="22" t="s">
        <v>759</v>
      </c>
      <c r="H682" s="22" t="str">
        <f t="shared" si="21"/>
        <v/>
      </c>
      <c r="J682" s="32"/>
      <c r="T682" t="str">
        <f>IF(OR(C682="",I682&lt;&gt;"ENTRADA"),"",UPPER(LEFT(SUBSTITUTE(C682," ",""),3))&amp;"-"&amp;TEXT(B682,"AAMMDD")&amp;"-"&amp;(COUNTIFS($C$5:C682,C682,$B$5:B682,B682,$I$5:I682,"ENTRADA")))</f>
        <v/>
      </c>
    </row>
    <row r="683" spans="1:20">
      <c r="A683" s="22" t="s">
        <v>760</v>
      </c>
      <c r="H683" s="22" t="str">
        <f t="shared" si="21"/>
        <v/>
      </c>
      <c r="J683" s="32"/>
      <c r="T683" t="str">
        <f>IF(OR(C683="",I683&lt;&gt;"ENTRADA"),"",UPPER(LEFT(SUBSTITUTE(C683," ",""),3))&amp;"-"&amp;TEXT(B683,"AAMMDD")&amp;"-"&amp;(COUNTIFS($C$5:C683,C683,$B$5:B683,B683,$I$5:I683,"ENTRADA")))</f>
        <v/>
      </c>
    </row>
    <row r="684" spans="1:20">
      <c r="A684" s="22" t="s">
        <v>761</v>
      </c>
      <c r="H684" s="22" t="str">
        <f t="shared" si="21"/>
        <v/>
      </c>
      <c r="J684" s="32"/>
      <c r="T684" t="str">
        <f>IF(OR(C684="",I684&lt;&gt;"ENTRADA"),"",UPPER(LEFT(SUBSTITUTE(C684," ",""),3))&amp;"-"&amp;TEXT(B684,"AAMMDD")&amp;"-"&amp;(COUNTIFS($C$5:C684,C684,$B$5:B684,B684,$I$5:I684,"ENTRADA")))</f>
        <v/>
      </c>
    </row>
    <row r="685" spans="1:20">
      <c r="A685" s="22" t="s">
        <v>762</v>
      </c>
      <c r="H685" s="22" t="str">
        <f t="shared" si="21"/>
        <v/>
      </c>
      <c r="J685" s="32"/>
      <c r="T685" t="str">
        <f>IF(OR(C685="",I685&lt;&gt;"ENTRADA"),"",UPPER(LEFT(SUBSTITUTE(C685," ",""),3))&amp;"-"&amp;TEXT(B685,"AAMMDD")&amp;"-"&amp;(COUNTIFS($C$5:C685,C685,$B$5:B685,B685,$I$5:I685,"ENTRADA")))</f>
        <v/>
      </c>
    </row>
    <row r="686" spans="1:20">
      <c r="A686" s="22" t="s">
        <v>763</v>
      </c>
      <c r="H686" s="22" t="str">
        <f t="shared" si="21"/>
        <v/>
      </c>
      <c r="J686" s="32"/>
      <c r="T686" t="str">
        <f>IF(OR(C686="",I686&lt;&gt;"ENTRADA"),"",UPPER(LEFT(SUBSTITUTE(C686," ",""),3))&amp;"-"&amp;TEXT(B686,"AAMMDD")&amp;"-"&amp;(COUNTIFS($C$5:C686,C686,$B$5:B686,B686,$I$5:I686,"ENTRADA")))</f>
        <v/>
      </c>
    </row>
    <row r="687" spans="1:20">
      <c r="A687" s="22" t="s">
        <v>764</v>
      </c>
      <c r="H687" s="22" t="str">
        <f t="shared" si="21"/>
        <v/>
      </c>
      <c r="J687" s="32"/>
      <c r="T687" t="str">
        <f>IF(OR(C687="",I687&lt;&gt;"ENTRADA"),"",UPPER(LEFT(SUBSTITUTE(C687," ",""),3))&amp;"-"&amp;TEXT(B687,"AAMMDD")&amp;"-"&amp;(COUNTIFS($C$5:C687,C687,$B$5:B687,B687,$I$5:I687,"ENTRADA")))</f>
        <v/>
      </c>
    </row>
    <row r="688" spans="1:20">
      <c r="A688" s="22" t="s">
        <v>765</v>
      </c>
      <c r="H688" s="22" t="str">
        <f t="shared" si="21"/>
        <v/>
      </c>
      <c r="J688" s="32"/>
      <c r="T688" t="str">
        <f>IF(OR(C688="",I688&lt;&gt;"ENTRADA"),"",UPPER(LEFT(SUBSTITUTE(C688," ",""),3))&amp;"-"&amp;TEXT(B688,"AAMMDD")&amp;"-"&amp;(COUNTIFS($C$5:C688,C688,$B$5:B688,B688,$I$5:I688,"ENTRADA")))</f>
        <v/>
      </c>
    </row>
    <row r="689" spans="1:20">
      <c r="A689" s="22" t="s">
        <v>766</v>
      </c>
      <c r="H689" s="22" t="str">
        <f t="shared" si="21"/>
        <v/>
      </c>
      <c r="J689" s="32"/>
      <c r="T689" t="str">
        <f>IF(OR(C689="",I689&lt;&gt;"ENTRADA"),"",UPPER(LEFT(SUBSTITUTE(C689," ",""),3))&amp;"-"&amp;TEXT(B689,"AAMMDD")&amp;"-"&amp;(COUNTIFS($C$5:C689,C689,$B$5:B689,B689,$I$5:I689,"ENTRADA")))</f>
        <v/>
      </c>
    </row>
    <row r="690" spans="1:20">
      <c r="A690" s="22" t="s">
        <v>767</v>
      </c>
      <c r="H690" s="22" t="str">
        <f t="shared" si="21"/>
        <v/>
      </c>
      <c r="J690" s="32"/>
      <c r="T690" t="str">
        <f>IF(OR(C690="",I690&lt;&gt;"ENTRADA"),"",UPPER(LEFT(SUBSTITUTE(C690," ",""),3))&amp;"-"&amp;TEXT(B690,"AAMMDD")&amp;"-"&amp;(COUNTIFS($C$5:C690,C690,$B$5:B690,B690,$I$5:I690,"ENTRADA")))</f>
        <v/>
      </c>
    </row>
    <row r="691" spans="1:20">
      <c r="A691" s="22" t="s">
        <v>768</v>
      </c>
      <c r="H691" s="22" t="str">
        <f t="shared" si="21"/>
        <v/>
      </c>
      <c r="J691" s="32"/>
      <c r="T691" t="str">
        <f>IF(OR(C691="",I691&lt;&gt;"ENTRADA"),"",UPPER(LEFT(SUBSTITUTE(C691," ",""),3))&amp;"-"&amp;TEXT(B691,"AAMMDD")&amp;"-"&amp;(COUNTIFS($C$5:C691,C691,$B$5:B691,B691,$I$5:I691,"ENTRADA")))</f>
        <v/>
      </c>
    </row>
    <row r="692" spans="1:20">
      <c r="A692" s="22" t="s">
        <v>769</v>
      </c>
      <c r="H692" s="22" t="str">
        <f t="shared" si="21"/>
        <v/>
      </c>
      <c r="J692" s="32"/>
      <c r="T692" t="str">
        <f>IF(OR(C692="",I692&lt;&gt;"ENTRADA"),"",UPPER(LEFT(SUBSTITUTE(C692," ",""),3))&amp;"-"&amp;TEXT(B692,"AAMMDD")&amp;"-"&amp;(COUNTIFS($C$5:C692,C692,$B$5:B692,B692,$I$5:I692,"ENTRADA")))</f>
        <v/>
      </c>
    </row>
    <row r="693" spans="1:20">
      <c r="A693" s="22" t="s">
        <v>770</v>
      </c>
      <c r="H693" s="22" t="str">
        <f t="shared" si="21"/>
        <v/>
      </c>
      <c r="J693" s="32"/>
      <c r="T693" t="str">
        <f>IF(OR(C693="",I693&lt;&gt;"ENTRADA"),"",UPPER(LEFT(SUBSTITUTE(C693," ",""),3))&amp;"-"&amp;TEXT(B693,"AAMMDD")&amp;"-"&amp;(COUNTIFS($C$5:C693,C693,$B$5:B693,B693,$I$5:I693,"ENTRADA")))</f>
        <v/>
      </c>
    </row>
    <row r="694" spans="1:20">
      <c r="A694" s="22" t="s">
        <v>771</v>
      </c>
      <c r="H694" s="22" t="str">
        <f t="shared" si="21"/>
        <v/>
      </c>
      <c r="J694" s="32"/>
      <c r="T694" t="str">
        <f>IF(OR(C694="",I694&lt;&gt;"ENTRADA"),"",UPPER(LEFT(SUBSTITUTE(C694," ",""),3))&amp;"-"&amp;TEXT(B694,"AAMMDD")&amp;"-"&amp;(COUNTIFS($C$5:C694,C694,$B$5:B694,B694,$I$5:I694,"ENTRADA")))</f>
        <v/>
      </c>
    </row>
    <row r="695" spans="1:20">
      <c r="A695" s="22" t="s">
        <v>772</v>
      </c>
      <c r="H695" s="22" t="str">
        <f t="shared" si="21"/>
        <v/>
      </c>
      <c r="J695" s="32"/>
      <c r="T695" t="str">
        <f>IF(OR(C695="",I695&lt;&gt;"ENTRADA"),"",UPPER(LEFT(SUBSTITUTE(C695," ",""),3))&amp;"-"&amp;TEXT(B695,"AAMMDD")&amp;"-"&amp;(COUNTIFS($C$5:C695,C695,$B$5:B695,B695,$I$5:I695,"ENTRADA")))</f>
        <v/>
      </c>
    </row>
    <row r="696" spans="1:20">
      <c r="A696" s="22" t="s">
        <v>773</v>
      </c>
      <c r="H696" s="22" t="str">
        <f t="shared" si="21"/>
        <v/>
      </c>
      <c r="J696" s="32"/>
      <c r="T696" t="str">
        <f>IF(OR(C696="",I696&lt;&gt;"ENTRADA"),"",UPPER(LEFT(SUBSTITUTE(C696," ",""),3))&amp;"-"&amp;TEXT(B696,"AAMMDD")&amp;"-"&amp;(COUNTIFS($C$5:C696,C696,$B$5:B696,B696,$I$5:I696,"ENTRADA")))</f>
        <v/>
      </c>
    </row>
    <row r="697" spans="1:20">
      <c r="A697" s="22" t="s">
        <v>774</v>
      </c>
      <c r="H697" s="22" t="str">
        <f t="shared" si="21"/>
        <v/>
      </c>
      <c r="J697" s="32"/>
      <c r="T697" t="str">
        <f>IF(OR(C697="",I697&lt;&gt;"ENTRADA"),"",UPPER(LEFT(SUBSTITUTE(C697," ",""),3))&amp;"-"&amp;TEXT(B697,"AAMMDD")&amp;"-"&amp;(COUNTIFS($C$5:C697,C697,$B$5:B697,B697,$I$5:I697,"ENTRADA")))</f>
        <v/>
      </c>
    </row>
    <row r="698" spans="1:20">
      <c r="A698" s="22" t="s">
        <v>775</v>
      </c>
      <c r="H698" s="22" t="str">
        <f t="shared" si="21"/>
        <v/>
      </c>
      <c r="J698" s="32"/>
      <c r="T698" t="str">
        <f>IF(OR(C698="",I698&lt;&gt;"ENTRADA"),"",UPPER(LEFT(SUBSTITUTE(C698," ",""),3))&amp;"-"&amp;TEXT(B698,"AAMMDD")&amp;"-"&amp;(COUNTIFS($C$5:C698,C698,$B$5:B698,B698,$I$5:I698,"ENTRADA")))</f>
        <v/>
      </c>
    </row>
    <row r="699" spans="1:20">
      <c r="A699" s="22" t="s">
        <v>776</v>
      </c>
      <c r="H699" s="22" t="str">
        <f t="shared" si="21"/>
        <v/>
      </c>
      <c r="J699" s="32"/>
      <c r="T699" t="str">
        <f>IF(OR(C699="",I699&lt;&gt;"ENTRADA"),"",UPPER(LEFT(SUBSTITUTE(C699," ",""),3))&amp;"-"&amp;TEXT(B699,"AAMMDD")&amp;"-"&amp;(COUNTIFS($C$5:C699,C699,$B$5:B699,B699,$I$5:I699,"ENTRADA")))</f>
        <v/>
      </c>
    </row>
    <row r="700" spans="1:20">
      <c r="A700" s="22" t="s">
        <v>777</v>
      </c>
      <c r="H700" s="22" t="str">
        <f t="shared" si="21"/>
        <v/>
      </c>
      <c r="J700" s="32"/>
      <c r="T700" t="str">
        <f>IF(OR(C700="",I700&lt;&gt;"ENTRADA"),"",UPPER(LEFT(SUBSTITUTE(C700," ",""),3))&amp;"-"&amp;TEXT(B700,"AAMMDD")&amp;"-"&amp;(COUNTIFS($C$5:C700,C700,$B$5:B700,B700,$I$5:I700,"ENTRADA")))</f>
        <v/>
      </c>
    </row>
    <row r="701" spans="1:20">
      <c r="A701" s="22" t="s">
        <v>778</v>
      </c>
      <c r="H701" s="22" t="str">
        <f t="shared" si="21"/>
        <v/>
      </c>
      <c r="J701" s="32"/>
      <c r="T701" t="str">
        <f>IF(OR(C701="",I701&lt;&gt;"ENTRADA"),"",UPPER(LEFT(SUBSTITUTE(C701," ",""),3))&amp;"-"&amp;TEXT(B701,"AAMMDD")&amp;"-"&amp;(COUNTIFS($C$5:C701,C701,$B$5:B701,B701,$I$5:I701,"ENTRADA")))</f>
        <v/>
      </c>
    </row>
    <row r="702" spans="1:20">
      <c r="A702" s="22" t="s">
        <v>779</v>
      </c>
      <c r="H702" s="22" t="str">
        <f t="shared" si="21"/>
        <v/>
      </c>
      <c r="J702" s="32"/>
      <c r="T702" t="str">
        <f>IF(OR(C702="",I702&lt;&gt;"ENTRADA"),"",UPPER(LEFT(SUBSTITUTE(C702," ",""),3))&amp;"-"&amp;TEXT(B702,"AAMMDD")&amp;"-"&amp;(COUNTIFS($C$5:C702,C702,$B$5:B702,B702,$I$5:I702,"ENTRADA")))</f>
        <v/>
      </c>
    </row>
    <row r="703" spans="1:20">
      <c r="A703" s="22" t="s">
        <v>780</v>
      </c>
      <c r="H703" s="22" t="str">
        <f t="shared" si="21"/>
        <v/>
      </c>
      <c r="J703" s="32"/>
      <c r="T703" t="str">
        <f>IF(OR(C703="",I703&lt;&gt;"ENTRADA"),"",UPPER(LEFT(SUBSTITUTE(C703," ",""),3))&amp;"-"&amp;TEXT(B703,"AAMMDD")&amp;"-"&amp;(COUNTIFS($C$5:C703,C703,$B$5:B703,B703,$I$5:I703,"ENTRADA")))</f>
        <v/>
      </c>
    </row>
    <row r="704" spans="1:20">
      <c r="A704" s="22" t="s">
        <v>781</v>
      </c>
      <c r="H704" s="22" t="str">
        <f t="shared" si="21"/>
        <v/>
      </c>
      <c r="J704" s="32"/>
      <c r="T704" t="str">
        <f>IF(OR(C704="",I704&lt;&gt;"ENTRADA"),"",UPPER(LEFT(SUBSTITUTE(C704," ",""),3))&amp;"-"&amp;TEXT(B704,"AAMMDD")&amp;"-"&amp;(COUNTIFS($C$5:C704,C704,$B$5:B704,B704,$I$5:I704,"ENTRADA")))</f>
        <v/>
      </c>
    </row>
    <row r="705" spans="1:20">
      <c r="A705" s="22" t="s">
        <v>782</v>
      </c>
      <c r="H705" s="22" t="str">
        <f t="shared" si="21"/>
        <v/>
      </c>
      <c r="J705" s="32"/>
      <c r="T705" t="str">
        <f>IF(OR(C705="",I705&lt;&gt;"ENTRADA"),"",UPPER(LEFT(SUBSTITUTE(C705," ",""),3))&amp;"-"&amp;TEXT(B705,"AAMMDD")&amp;"-"&amp;(COUNTIFS($C$5:C705,C705,$B$5:B705,B705,$I$5:I705,"ENTRADA")))</f>
        <v/>
      </c>
    </row>
    <row r="706" spans="1:20">
      <c r="A706" s="22" t="s">
        <v>783</v>
      </c>
      <c r="H706" s="22" t="str">
        <f t="shared" si="21"/>
        <v/>
      </c>
      <c r="J706" s="32"/>
      <c r="T706" t="str">
        <f>IF(OR(C706="",I706&lt;&gt;"ENTRADA"),"",UPPER(LEFT(SUBSTITUTE(C706," ",""),3))&amp;"-"&amp;TEXT(B706,"AAMMDD")&amp;"-"&amp;(COUNTIFS($C$5:C706,C706,$B$5:B706,B706,$I$5:I706,"ENTRADA")))</f>
        <v/>
      </c>
    </row>
    <row r="707" spans="1:20">
      <c r="A707" s="22" t="s">
        <v>784</v>
      </c>
      <c r="H707" s="22" t="str">
        <f t="shared" si="21"/>
        <v/>
      </c>
      <c r="J707" s="32"/>
      <c r="T707" t="str">
        <f>IF(OR(C707="",I707&lt;&gt;"ENTRADA"),"",UPPER(LEFT(SUBSTITUTE(C707," ",""),3))&amp;"-"&amp;TEXT(B707,"AAMMDD")&amp;"-"&amp;(COUNTIFS($C$5:C707,C707,$B$5:B707,B707,$I$5:I707,"ENTRADA")))</f>
        <v/>
      </c>
    </row>
    <row r="708" spans="1:20">
      <c r="A708" s="22" t="s">
        <v>785</v>
      </c>
      <c r="H708" s="22" t="str">
        <f t="shared" si="21"/>
        <v/>
      </c>
      <c r="J708" s="32"/>
      <c r="T708" t="str">
        <f>IF(OR(C708="",I708&lt;&gt;"ENTRADA"),"",UPPER(LEFT(SUBSTITUTE(C708," ",""),3))&amp;"-"&amp;TEXT(B708,"AAMMDD")&amp;"-"&amp;(COUNTIFS($C$5:C708,C708,$B$5:B708,B708,$I$5:I708,"ENTRADA")))</f>
        <v/>
      </c>
    </row>
    <row r="709" spans="1:20">
      <c r="A709" s="22" t="s">
        <v>786</v>
      </c>
      <c r="H709" s="22" t="str">
        <f t="shared" si="21"/>
        <v/>
      </c>
      <c r="J709" s="32"/>
      <c r="T709" t="str">
        <f>IF(OR(C709="",I709&lt;&gt;"ENTRADA"),"",UPPER(LEFT(SUBSTITUTE(C709," ",""),3))&amp;"-"&amp;TEXT(B709,"AAMMDD")&amp;"-"&amp;(COUNTIFS($C$5:C709,C709,$B$5:B709,B709,$I$5:I709,"ENTRADA")))</f>
        <v/>
      </c>
    </row>
    <row r="710" spans="1:20">
      <c r="A710" s="22" t="s">
        <v>787</v>
      </c>
      <c r="H710" s="22" t="str">
        <f t="shared" si="21"/>
        <v/>
      </c>
      <c r="J710" s="32"/>
      <c r="T710" t="str">
        <f>IF(OR(C710="",I710&lt;&gt;"ENTRADA"),"",UPPER(LEFT(SUBSTITUTE(C710," ",""),3))&amp;"-"&amp;TEXT(B710,"AAMMDD")&amp;"-"&amp;(COUNTIFS($C$5:C710,C710,$B$5:B710,B710,$I$5:I710,"ENTRADA")))</f>
        <v/>
      </c>
    </row>
    <row r="711" spans="1:20">
      <c r="A711" s="22" t="s">
        <v>788</v>
      </c>
      <c r="H711" s="22" t="str">
        <f t="shared" si="21"/>
        <v/>
      </c>
      <c r="J711" s="32"/>
      <c r="T711" t="str">
        <f>IF(OR(C711="",I711&lt;&gt;"ENTRADA"),"",UPPER(LEFT(SUBSTITUTE(C711," ",""),3))&amp;"-"&amp;TEXT(B711,"AAMMDD")&amp;"-"&amp;(COUNTIFS($C$5:C711,C711,$B$5:B711,B711,$I$5:I711,"ENTRADA")))</f>
        <v/>
      </c>
    </row>
    <row r="712" spans="1:20">
      <c r="A712" s="22" t="s">
        <v>789</v>
      </c>
      <c r="H712" s="22" t="str">
        <f t="shared" si="21"/>
        <v/>
      </c>
      <c r="J712" s="32"/>
      <c r="T712" t="str">
        <f>IF(OR(C712="",I712&lt;&gt;"ENTRADA"),"",UPPER(LEFT(SUBSTITUTE(C712," ",""),3))&amp;"-"&amp;TEXT(B712,"AAMMDD")&amp;"-"&amp;(COUNTIFS($C$5:C712,C712,$B$5:B712,B712,$I$5:I712,"ENTRADA")))</f>
        <v/>
      </c>
    </row>
    <row r="713" spans="1:20">
      <c r="A713" s="22" t="s">
        <v>790</v>
      </c>
      <c r="H713" s="22" t="str">
        <f t="shared" si="21"/>
        <v/>
      </c>
      <c r="J713" s="32"/>
      <c r="T713" t="str">
        <f>IF(OR(C713="",I713&lt;&gt;"ENTRADA"),"",UPPER(LEFT(SUBSTITUTE(C713," ",""),3))&amp;"-"&amp;TEXT(B713,"AAMMDD")&amp;"-"&amp;(COUNTIFS($C$5:C713,C713,$B$5:B713,B713,$I$5:I713,"ENTRADA")))</f>
        <v/>
      </c>
    </row>
    <row r="714" spans="1:20">
      <c r="A714" s="22" t="s">
        <v>791</v>
      </c>
      <c r="H714" s="22" t="str">
        <f t="shared" si="21"/>
        <v/>
      </c>
      <c r="J714" s="32"/>
      <c r="T714" t="str">
        <f>IF(OR(C714="",I714&lt;&gt;"ENTRADA"),"",UPPER(LEFT(SUBSTITUTE(C714," ",""),3))&amp;"-"&amp;TEXT(B714,"AAMMDD")&amp;"-"&amp;(COUNTIFS($C$5:C714,C714,$B$5:B714,B714,$I$5:I714,"ENTRADA")))</f>
        <v/>
      </c>
    </row>
    <row r="715" spans="1:20">
      <c r="A715" s="22" t="s">
        <v>792</v>
      </c>
      <c r="H715" s="22" t="str">
        <f t="shared" si="21"/>
        <v/>
      </c>
      <c r="J715" s="32"/>
      <c r="T715" t="str">
        <f>IF(OR(C715="",I715&lt;&gt;"ENTRADA"),"",UPPER(LEFT(SUBSTITUTE(C715," ",""),3))&amp;"-"&amp;TEXT(B715,"AAMMDD")&amp;"-"&amp;(COUNTIFS($C$5:C715,C715,$B$5:B715,B715,$I$5:I715,"ENTRADA")))</f>
        <v/>
      </c>
    </row>
    <row r="716" spans="1:20">
      <c r="A716" s="22" t="s">
        <v>793</v>
      </c>
      <c r="H716" s="22" t="str">
        <f t="shared" si="21"/>
        <v/>
      </c>
      <c r="J716" s="32"/>
      <c r="T716" t="str">
        <f>IF(OR(C716="",I716&lt;&gt;"ENTRADA"),"",UPPER(LEFT(SUBSTITUTE(C716," ",""),3))&amp;"-"&amp;TEXT(B716,"AAMMDD")&amp;"-"&amp;(COUNTIFS($C$5:C716,C716,$B$5:B716,B716,$I$5:I716,"ENTRADA")))</f>
        <v/>
      </c>
    </row>
    <row r="717" spans="1:20">
      <c r="A717" s="22" t="s">
        <v>794</v>
      </c>
      <c r="H717" s="22" t="str">
        <f t="shared" si="21"/>
        <v/>
      </c>
      <c r="J717" s="32"/>
      <c r="T717" t="str">
        <f>IF(OR(C717="",I717&lt;&gt;"ENTRADA"),"",UPPER(LEFT(SUBSTITUTE(C717," ",""),3))&amp;"-"&amp;TEXT(B717,"AAMMDD")&amp;"-"&amp;(COUNTIFS($C$5:C717,C717,$B$5:B717,B717,$I$5:I717,"ENTRADA")))</f>
        <v/>
      </c>
    </row>
    <row r="718" spans="1:20">
      <c r="A718" s="22" t="s">
        <v>795</v>
      </c>
      <c r="H718" s="22" t="str">
        <f t="shared" si="21"/>
        <v/>
      </c>
      <c r="J718" s="32"/>
      <c r="T718" t="str">
        <f>IF(OR(C718="",I718&lt;&gt;"ENTRADA"),"",UPPER(LEFT(SUBSTITUTE(C718," ",""),3))&amp;"-"&amp;TEXT(B718,"AAMMDD")&amp;"-"&amp;(COUNTIFS($C$5:C718,C718,$B$5:B718,B718,$I$5:I718,"ENTRADA")))</f>
        <v/>
      </c>
    </row>
    <row r="719" spans="1:20">
      <c r="A719" s="22" t="s">
        <v>796</v>
      </c>
      <c r="H719" s="22" t="str">
        <f t="shared" si="21"/>
        <v/>
      </c>
      <c r="J719" s="32"/>
      <c r="T719" t="str">
        <f>IF(OR(C719="",I719&lt;&gt;"ENTRADA"),"",UPPER(LEFT(SUBSTITUTE(C719," ",""),3))&amp;"-"&amp;TEXT(B719,"AAMMDD")&amp;"-"&amp;(COUNTIFS($C$5:C719,C719,$B$5:B719,B719,$I$5:I719,"ENTRADA")))</f>
        <v/>
      </c>
    </row>
    <row r="720" spans="1:20">
      <c r="A720" s="22" t="s">
        <v>797</v>
      </c>
      <c r="H720" s="22" t="str">
        <f t="shared" ref="H720:H783" si="22">+T720</f>
        <v/>
      </c>
      <c r="J720" s="32"/>
      <c r="T720" t="str">
        <f>IF(OR(C720="",I720&lt;&gt;"ENTRADA"),"",UPPER(LEFT(SUBSTITUTE(C720," ",""),3))&amp;"-"&amp;TEXT(B720,"AAMMDD")&amp;"-"&amp;(COUNTIFS($C$5:C720,C720,$B$5:B720,B720,$I$5:I720,"ENTRADA")))</f>
        <v/>
      </c>
    </row>
    <row r="721" spans="1:20">
      <c r="A721" s="22" t="s">
        <v>798</v>
      </c>
      <c r="H721" s="22" t="str">
        <f t="shared" si="22"/>
        <v/>
      </c>
      <c r="J721" s="32"/>
      <c r="T721" t="str">
        <f>IF(OR(C721="",I721&lt;&gt;"ENTRADA"),"",UPPER(LEFT(SUBSTITUTE(C721," ",""),3))&amp;"-"&amp;TEXT(B721,"AAMMDD")&amp;"-"&amp;(COUNTIFS($C$5:C721,C721,$B$5:B721,B721,$I$5:I721,"ENTRADA")))</f>
        <v/>
      </c>
    </row>
    <row r="722" spans="1:20">
      <c r="A722" s="22" t="s">
        <v>799</v>
      </c>
      <c r="H722" s="22" t="str">
        <f t="shared" si="22"/>
        <v/>
      </c>
      <c r="J722" s="32"/>
      <c r="T722" t="str">
        <f>IF(OR(C722="",I722&lt;&gt;"ENTRADA"),"",UPPER(LEFT(SUBSTITUTE(C722," ",""),3))&amp;"-"&amp;TEXT(B722,"AAMMDD")&amp;"-"&amp;(COUNTIFS($C$5:C722,C722,$B$5:B722,B722,$I$5:I722,"ENTRADA")))</f>
        <v/>
      </c>
    </row>
    <row r="723" spans="1:20">
      <c r="A723" s="22" t="s">
        <v>800</v>
      </c>
      <c r="H723" s="22" t="str">
        <f t="shared" si="22"/>
        <v/>
      </c>
      <c r="J723" s="32"/>
      <c r="T723" t="str">
        <f>IF(OR(C723="",I723&lt;&gt;"ENTRADA"),"",UPPER(LEFT(SUBSTITUTE(C723," ",""),3))&amp;"-"&amp;TEXT(B723,"AAMMDD")&amp;"-"&amp;(COUNTIFS($C$5:C723,C723,$B$5:B723,B723,$I$5:I723,"ENTRADA")))</f>
        <v/>
      </c>
    </row>
    <row r="724" spans="1:20">
      <c r="A724" s="22" t="s">
        <v>801</v>
      </c>
      <c r="H724" s="22" t="str">
        <f t="shared" si="22"/>
        <v/>
      </c>
      <c r="J724" s="32"/>
      <c r="T724" t="str">
        <f>IF(OR(C724="",I724&lt;&gt;"ENTRADA"),"",UPPER(LEFT(SUBSTITUTE(C724," ",""),3))&amp;"-"&amp;TEXT(B724,"AAMMDD")&amp;"-"&amp;(COUNTIFS($C$5:C724,C724,$B$5:B724,B724,$I$5:I724,"ENTRADA")))</f>
        <v/>
      </c>
    </row>
    <row r="725" spans="1:20">
      <c r="A725" s="22" t="s">
        <v>802</v>
      </c>
      <c r="H725" s="22" t="str">
        <f t="shared" si="22"/>
        <v/>
      </c>
      <c r="J725" s="32"/>
      <c r="T725" t="str">
        <f>IF(OR(C725="",I725&lt;&gt;"ENTRADA"),"",UPPER(LEFT(SUBSTITUTE(C725," ",""),3))&amp;"-"&amp;TEXT(B725,"AAMMDD")&amp;"-"&amp;(COUNTIFS($C$5:C725,C725,$B$5:B725,B725,$I$5:I725,"ENTRADA")))</f>
        <v/>
      </c>
    </row>
    <row r="726" spans="1:20">
      <c r="A726" s="22" t="s">
        <v>803</v>
      </c>
      <c r="H726" s="22" t="str">
        <f t="shared" si="22"/>
        <v/>
      </c>
      <c r="J726" s="32"/>
      <c r="T726" t="str">
        <f>IF(OR(C726="",I726&lt;&gt;"ENTRADA"),"",UPPER(LEFT(SUBSTITUTE(C726," ",""),3))&amp;"-"&amp;TEXT(B726,"AAMMDD")&amp;"-"&amp;(COUNTIFS($C$5:C726,C726,$B$5:B726,B726,$I$5:I726,"ENTRADA")))</f>
        <v/>
      </c>
    </row>
    <row r="727" spans="1:20">
      <c r="A727" s="22" t="s">
        <v>804</v>
      </c>
      <c r="H727" s="22" t="str">
        <f t="shared" si="22"/>
        <v/>
      </c>
      <c r="J727" s="32"/>
      <c r="T727" t="str">
        <f>IF(OR(C727="",I727&lt;&gt;"ENTRADA"),"",UPPER(LEFT(SUBSTITUTE(C727," ",""),3))&amp;"-"&amp;TEXT(B727,"AAMMDD")&amp;"-"&amp;(COUNTIFS($C$5:C727,C727,$B$5:B727,B727,$I$5:I727,"ENTRADA")))</f>
        <v/>
      </c>
    </row>
    <row r="728" spans="1:20">
      <c r="A728" s="22" t="s">
        <v>805</v>
      </c>
      <c r="H728" s="22" t="str">
        <f t="shared" si="22"/>
        <v/>
      </c>
      <c r="J728" s="32"/>
      <c r="T728" t="str">
        <f>IF(OR(C728="",I728&lt;&gt;"ENTRADA"),"",UPPER(LEFT(SUBSTITUTE(C728," ",""),3))&amp;"-"&amp;TEXT(B728,"AAMMDD")&amp;"-"&amp;(COUNTIFS($C$5:C728,C728,$B$5:B728,B728,$I$5:I728,"ENTRADA")))</f>
        <v/>
      </c>
    </row>
    <row r="729" spans="1:20">
      <c r="A729" s="22" t="s">
        <v>806</v>
      </c>
      <c r="H729" s="22" t="str">
        <f t="shared" si="22"/>
        <v/>
      </c>
      <c r="J729" s="32"/>
      <c r="T729" t="str">
        <f>IF(OR(C729="",I729&lt;&gt;"ENTRADA"),"",UPPER(LEFT(SUBSTITUTE(C729," ",""),3))&amp;"-"&amp;TEXT(B729,"AAMMDD")&amp;"-"&amp;(COUNTIFS($C$5:C729,C729,$B$5:B729,B729,$I$5:I729,"ENTRADA")))</f>
        <v/>
      </c>
    </row>
    <row r="730" spans="1:20">
      <c r="A730" s="22" t="s">
        <v>807</v>
      </c>
      <c r="H730" s="22" t="str">
        <f t="shared" si="22"/>
        <v/>
      </c>
      <c r="J730" s="32"/>
      <c r="T730" t="str">
        <f>IF(OR(C730="",I730&lt;&gt;"ENTRADA"),"",UPPER(LEFT(SUBSTITUTE(C730," ",""),3))&amp;"-"&amp;TEXT(B730,"AAMMDD")&amp;"-"&amp;(COUNTIFS($C$5:C730,C730,$B$5:B730,B730,$I$5:I730,"ENTRADA")))</f>
        <v/>
      </c>
    </row>
    <row r="731" spans="1:20">
      <c r="A731" s="22" t="s">
        <v>808</v>
      </c>
      <c r="H731" s="22" t="str">
        <f t="shared" si="22"/>
        <v/>
      </c>
      <c r="J731" s="32"/>
      <c r="T731" t="str">
        <f>IF(OR(C731="",I731&lt;&gt;"ENTRADA"),"",UPPER(LEFT(SUBSTITUTE(C731," ",""),3))&amp;"-"&amp;TEXT(B731,"AAMMDD")&amp;"-"&amp;(COUNTIFS($C$5:C731,C731,$B$5:B731,B731,$I$5:I731,"ENTRADA")))</f>
        <v/>
      </c>
    </row>
    <row r="732" spans="1:20">
      <c r="A732" s="22" t="s">
        <v>809</v>
      </c>
      <c r="H732" s="22" t="str">
        <f t="shared" si="22"/>
        <v/>
      </c>
      <c r="J732" s="32"/>
      <c r="T732" t="str">
        <f>IF(OR(C732="",I732&lt;&gt;"ENTRADA"),"",UPPER(LEFT(SUBSTITUTE(C732," ",""),3))&amp;"-"&amp;TEXT(B732,"AAMMDD")&amp;"-"&amp;(COUNTIFS($C$5:C732,C732,$B$5:B732,B732,$I$5:I732,"ENTRADA")))</f>
        <v/>
      </c>
    </row>
    <row r="733" spans="1:20">
      <c r="A733" s="22" t="s">
        <v>810</v>
      </c>
      <c r="H733" s="22" t="str">
        <f t="shared" si="22"/>
        <v/>
      </c>
      <c r="J733" s="32"/>
      <c r="T733" t="str">
        <f>IF(OR(C733="",I733&lt;&gt;"ENTRADA"),"",UPPER(LEFT(SUBSTITUTE(C733," ",""),3))&amp;"-"&amp;TEXT(B733,"AAMMDD")&amp;"-"&amp;(COUNTIFS($C$5:C733,C733,$B$5:B733,B733,$I$5:I733,"ENTRADA")))</f>
        <v/>
      </c>
    </row>
    <row r="734" spans="1:20">
      <c r="A734" s="22" t="s">
        <v>811</v>
      </c>
      <c r="H734" s="22" t="str">
        <f t="shared" si="22"/>
        <v/>
      </c>
      <c r="J734" s="32"/>
      <c r="T734" t="str">
        <f>IF(OR(C734="",I734&lt;&gt;"ENTRADA"),"",UPPER(LEFT(SUBSTITUTE(C734," ",""),3))&amp;"-"&amp;TEXT(B734,"AAMMDD")&amp;"-"&amp;(COUNTIFS($C$5:C734,C734,$B$5:B734,B734,$I$5:I734,"ENTRADA")))</f>
        <v/>
      </c>
    </row>
    <row r="735" spans="1:20">
      <c r="A735" s="22" t="s">
        <v>812</v>
      </c>
      <c r="H735" s="22" t="str">
        <f t="shared" si="22"/>
        <v/>
      </c>
      <c r="J735" s="32"/>
      <c r="T735" t="str">
        <f>IF(OR(C735="",I735&lt;&gt;"ENTRADA"),"",UPPER(LEFT(SUBSTITUTE(C735," ",""),3))&amp;"-"&amp;TEXT(B735,"AAMMDD")&amp;"-"&amp;(COUNTIFS($C$5:C735,C735,$B$5:B735,B735,$I$5:I735,"ENTRADA")))</f>
        <v/>
      </c>
    </row>
    <row r="736" spans="1:20">
      <c r="A736" s="22" t="s">
        <v>813</v>
      </c>
      <c r="H736" s="22" t="str">
        <f t="shared" si="22"/>
        <v/>
      </c>
      <c r="J736" s="32"/>
      <c r="T736" t="str">
        <f>IF(OR(C736="",I736&lt;&gt;"ENTRADA"),"",UPPER(LEFT(SUBSTITUTE(C736," ",""),3))&amp;"-"&amp;TEXT(B736,"AAMMDD")&amp;"-"&amp;(COUNTIFS($C$5:C736,C736,$B$5:B736,B736,$I$5:I736,"ENTRADA")))</f>
        <v/>
      </c>
    </row>
    <row r="737" spans="1:20">
      <c r="A737" s="22" t="s">
        <v>814</v>
      </c>
      <c r="H737" s="22" t="str">
        <f t="shared" si="22"/>
        <v/>
      </c>
      <c r="J737" s="32"/>
      <c r="T737" t="str">
        <f>IF(OR(C737="",I737&lt;&gt;"ENTRADA"),"",UPPER(LEFT(SUBSTITUTE(C737," ",""),3))&amp;"-"&amp;TEXT(B737,"AAMMDD")&amp;"-"&amp;(COUNTIFS($C$5:C737,C737,$B$5:B737,B737,$I$5:I737,"ENTRADA")))</f>
        <v/>
      </c>
    </row>
    <row r="738" spans="1:20">
      <c r="A738" s="22" t="s">
        <v>815</v>
      </c>
      <c r="H738" s="22" t="str">
        <f t="shared" si="22"/>
        <v/>
      </c>
      <c r="J738" s="32"/>
      <c r="T738" t="str">
        <f>IF(OR(C738="",I738&lt;&gt;"ENTRADA"),"",UPPER(LEFT(SUBSTITUTE(C738," ",""),3))&amp;"-"&amp;TEXT(B738,"AAMMDD")&amp;"-"&amp;(COUNTIFS($C$5:C738,C738,$B$5:B738,B738,$I$5:I738,"ENTRADA")))</f>
        <v/>
      </c>
    </row>
    <row r="739" spans="1:20">
      <c r="A739" s="22" t="s">
        <v>816</v>
      </c>
      <c r="H739" s="22" t="str">
        <f t="shared" si="22"/>
        <v/>
      </c>
      <c r="J739" s="32"/>
      <c r="T739" t="str">
        <f>IF(OR(C739="",I739&lt;&gt;"ENTRADA"),"",UPPER(LEFT(SUBSTITUTE(C739," ",""),3))&amp;"-"&amp;TEXT(B739,"AAMMDD")&amp;"-"&amp;(COUNTIFS($C$5:C739,C739,$B$5:B739,B739,$I$5:I739,"ENTRADA")))</f>
        <v/>
      </c>
    </row>
    <row r="740" spans="1:20">
      <c r="A740" s="22" t="s">
        <v>817</v>
      </c>
      <c r="H740" s="22" t="str">
        <f t="shared" si="22"/>
        <v/>
      </c>
      <c r="J740" s="32"/>
      <c r="T740" t="str">
        <f>IF(OR(C740="",I740&lt;&gt;"ENTRADA"),"",UPPER(LEFT(SUBSTITUTE(C740," ",""),3))&amp;"-"&amp;TEXT(B740,"AAMMDD")&amp;"-"&amp;(COUNTIFS($C$5:C740,C740,$B$5:B740,B740,$I$5:I740,"ENTRADA")))</f>
        <v/>
      </c>
    </row>
    <row r="741" spans="1:20">
      <c r="A741" s="22" t="s">
        <v>818</v>
      </c>
      <c r="H741" s="22" t="str">
        <f t="shared" si="22"/>
        <v/>
      </c>
      <c r="J741" s="32"/>
      <c r="T741" t="str">
        <f>IF(OR(C741="",I741&lt;&gt;"ENTRADA"),"",UPPER(LEFT(SUBSTITUTE(C741," ",""),3))&amp;"-"&amp;TEXT(B741,"AAMMDD")&amp;"-"&amp;(COUNTIFS($C$5:C741,C741,$B$5:B741,B741,$I$5:I741,"ENTRADA")))</f>
        <v/>
      </c>
    </row>
    <row r="742" spans="1:20">
      <c r="A742" s="22" t="s">
        <v>819</v>
      </c>
      <c r="H742" s="22" t="str">
        <f t="shared" si="22"/>
        <v/>
      </c>
      <c r="J742" s="32"/>
      <c r="T742" t="str">
        <f>IF(OR(C742="",I742&lt;&gt;"ENTRADA"),"",UPPER(LEFT(SUBSTITUTE(C742," ",""),3))&amp;"-"&amp;TEXT(B742,"AAMMDD")&amp;"-"&amp;(COUNTIFS($C$5:C742,C742,$B$5:B742,B742,$I$5:I742,"ENTRADA")))</f>
        <v/>
      </c>
    </row>
    <row r="743" spans="1:20">
      <c r="A743" s="22" t="s">
        <v>820</v>
      </c>
      <c r="H743" s="22" t="str">
        <f t="shared" si="22"/>
        <v/>
      </c>
      <c r="J743" s="32"/>
      <c r="T743" t="str">
        <f>IF(OR(C743="",I743&lt;&gt;"ENTRADA"),"",UPPER(LEFT(SUBSTITUTE(C743," ",""),3))&amp;"-"&amp;TEXT(B743,"AAMMDD")&amp;"-"&amp;(COUNTIFS($C$5:C743,C743,$B$5:B743,B743,$I$5:I743,"ENTRADA")))</f>
        <v/>
      </c>
    </row>
    <row r="744" spans="1:20">
      <c r="A744" s="22" t="s">
        <v>821</v>
      </c>
      <c r="H744" s="22" t="str">
        <f t="shared" si="22"/>
        <v/>
      </c>
      <c r="J744" s="32"/>
      <c r="T744" t="str">
        <f>IF(OR(C744="",I744&lt;&gt;"ENTRADA"),"",UPPER(LEFT(SUBSTITUTE(C744," ",""),3))&amp;"-"&amp;TEXT(B744,"AAMMDD")&amp;"-"&amp;(COUNTIFS($C$5:C744,C744,$B$5:B744,B744,$I$5:I744,"ENTRADA")))</f>
        <v/>
      </c>
    </row>
    <row r="745" spans="1:20">
      <c r="A745" s="22" t="s">
        <v>822</v>
      </c>
      <c r="H745" s="22" t="str">
        <f t="shared" si="22"/>
        <v/>
      </c>
      <c r="J745" s="32"/>
      <c r="T745" t="str">
        <f>IF(OR(C745="",I745&lt;&gt;"ENTRADA"),"",UPPER(LEFT(SUBSTITUTE(C745," ",""),3))&amp;"-"&amp;TEXT(B745,"AAMMDD")&amp;"-"&amp;(COUNTIFS($C$5:C745,C745,$B$5:B745,B745,$I$5:I745,"ENTRADA")))</f>
        <v/>
      </c>
    </row>
    <row r="746" spans="1:20">
      <c r="A746" s="22" t="s">
        <v>823</v>
      </c>
      <c r="H746" s="22" t="str">
        <f t="shared" si="22"/>
        <v/>
      </c>
      <c r="J746" s="32"/>
      <c r="T746" t="str">
        <f>IF(OR(C746="",I746&lt;&gt;"ENTRADA"),"",UPPER(LEFT(SUBSTITUTE(C746," ",""),3))&amp;"-"&amp;TEXT(B746,"AAMMDD")&amp;"-"&amp;(COUNTIFS($C$5:C746,C746,$B$5:B746,B746,$I$5:I746,"ENTRADA")))</f>
        <v/>
      </c>
    </row>
    <row r="747" spans="1:20">
      <c r="A747" s="22" t="s">
        <v>824</v>
      </c>
      <c r="H747" s="22" t="str">
        <f t="shared" si="22"/>
        <v/>
      </c>
      <c r="J747" s="32"/>
      <c r="T747" t="str">
        <f>IF(OR(C747="",I747&lt;&gt;"ENTRADA"),"",UPPER(LEFT(SUBSTITUTE(C747," ",""),3))&amp;"-"&amp;TEXT(B747,"AAMMDD")&amp;"-"&amp;(COUNTIFS($C$5:C747,C747,$B$5:B747,B747,$I$5:I747,"ENTRADA")))</f>
        <v/>
      </c>
    </row>
    <row r="748" spans="1:20">
      <c r="A748" s="22" t="s">
        <v>825</v>
      </c>
      <c r="H748" s="22" t="str">
        <f t="shared" si="22"/>
        <v/>
      </c>
      <c r="J748" s="32"/>
      <c r="T748" t="str">
        <f>IF(OR(C748="",I748&lt;&gt;"ENTRADA"),"",UPPER(LEFT(SUBSTITUTE(C748," ",""),3))&amp;"-"&amp;TEXT(B748,"AAMMDD")&amp;"-"&amp;(COUNTIFS($C$5:C748,C748,$B$5:B748,B748,$I$5:I748,"ENTRADA")))</f>
        <v/>
      </c>
    </row>
    <row r="749" spans="1:20">
      <c r="A749" s="22" t="s">
        <v>826</v>
      </c>
      <c r="H749" s="22" t="str">
        <f t="shared" si="22"/>
        <v/>
      </c>
      <c r="J749" s="32"/>
      <c r="T749" t="str">
        <f>IF(OR(C749="",I749&lt;&gt;"ENTRADA"),"",UPPER(LEFT(SUBSTITUTE(C749," ",""),3))&amp;"-"&amp;TEXT(B749,"AAMMDD")&amp;"-"&amp;(COUNTIFS($C$5:C749,C749,$B$5:B749,B749,$I$5:I749,"ENTRADA")))</f>
        <v/>
      </c>
    </row>
    <row r="750" spans="1:20">
      <c r="A750" s="22" t="s">
        <v>827</v>
      </c>
      <c r="H750" s="22" t="str">
        <f t="shared" si="22"/>
        <v/>
      </c>
      <c r="J750" s="32"/>
      <c r="T750" t="str">
        <f>IF(OR(C750="",I750&lt;&gt;"ENTRADA"),"",UPPER(LEFT(SUBSTITUTE(C750," ",""),3))&amp;"-"&amp;TEXT(B750,"AAMMDD")&amp;"-"&amp;(COUNTIFS($C$5:C750,C750,$B$5:B750,B750,$I$5:I750,"ENTRADA")))</f>
        <v/>
      </c>
    </row>
    <row r="751" spans="1:20">
      <c r="A751" s="22" t="s">
        <v>828</v>
      </c>
      <c r="H751" s="22" t="str">
        <f t="shared" si="22"/>
        <v/>
      </c>
      <c r="J751" s="32"/>
      <c r="T751" t="str">
        <f>IF(OR(C751="",I751&lt;&gt;"ENTRADA"),"",UPPER(LEFT(SUBSTITUTE(C751," ",""),3))&amp;"-"&amp;TEXT(B751,"AAMMDD")&amp;"-"&amp;(COUNTIFS($C$5:C751,C751,$B$5:B751,B751,$I$5:I751,"ENTRADA")))</f>
        <v/>
      </c>
    </row>
    <row r="752" spans="1:20">
      <c r="A752" s="22" t="s">
        <v>829</v>
      </c>
      <c r="H752" s="22" t="str">
        <f t="shared" si="22"/>
        <v/>
      </c>
      <c r="J752" s="32"/>
      <c r="T752" t="str">
        <f>IF(OR(C752="",I752&lt;&gt;"ENTRADA"),"",UPPER(LEFT(SUBSTITUTE(C752," ",""),3))&amp;"-"&amp;TEXT(B752,"AAMMDD")&amp;"-"&amp;(COUNTIFS($C$5:C752,C752,$B$5:B752,B752,$I$5:I752,"ENTRADA")))</f>
        <v/>
      </c>
    </row>
    <row r="753" spans="1:20">
      <c r="A753" s="22" t="s">
        <v>830</v>
      </c>
      <c r="H753" s="22" t="str">
        <f t="shared" si="22"/>
        <v/>
      </c>
      <c r="J753" s="32"/>
      <c r="T753" t="str">
        <f>IF(OR(C753="",I753&lt;&gt;"ENTRADA"),"",UPPER(LEFT(SUBSTITUTE(C753," ",""),3))&amp;"-"&amp;TEXT(B753,"AAMMDD")&amp;"-"&amp;(COUNTIFS($C$5:C753,C753,$B$5:B753,B753,$I$5:I753,"ENTRADA")))</f>
        <v/>
      </c>
    </row>
    <row r="754" spans="1:20">
      <c r="A754" s="22" t="s">
        <v>831</v>
      </c>
      <c r="H754" s="22" t="str">
        <f t="shared" si="22"/>
        <v/>
      </c>
      <c r="J754" s="32"/>
      <c r="T754" t="str">
        <f>IF(OR(C754="",I754&lt;&gt;"ENTRADA"),"",UPPER(LEFT(SUBSTITUTE(C754," ",""),3))&amp;"-"&amp;TEXT(B754,"AAMMDD")&amp;"-"&amp;(COUNTIFS($C$5:C754,C754,$B$5:B754,B754,$I$5:I754,"ENTRADA")))</f>
        <v/>
      </c>
    </row>
    <row r="755" spans="1:20">
      <c r="A755" s="22" t="s">
        <v>832</v>
      </c>
      <c r="H755" s="22" t="str">
        <f t="shared" si="22"/>
        <v/>
      </c>
      <c r="J755" s="32"/>
      <c r="T755" t="str">
        <f>IF(OR(C755="",I755&lt;&gt;"ENTRADA"),"",UPPER(LEFT(SUBSTITUTE(C755," ",""),3))&amp;"-"&amp;TEXT(B755,"AAMMDD")&amp;"-"&amp;(COUNTIFS($C$5:C755,C755,$B$5:B755,B755,$I$5:I755,"ENTRADA")))</f>
        <v/>
      </c>
    </row>
    <row r="756" spans="1:20">
      <c r="A756" s="22" t="s">
        <v>833</v>
      </c>
      <c r="H756" s="22" t="str">
        <f t="shared" si="22"/>
        <v/>
      </c>
      <c r="J756" s="32"/>
      <c r="T756" t="str">
        <f>IF(OR(C756="",I756&lt;&gt;"ENTRADA"),"",UPPER(LEFT(SUBSTITUTE(C756," ",""),3))&amp;"-"&amp;TEXT(B756,"AAMMDD")&amp;"-"&amp;(COUNTIFS($C$5:C756,C756,$B$5:B756,B756,$I$5:I756,"ENTRADA")))</f>
        <v/>
      </c>
    </row>
    <row r="757" spans="1:20">
      <c r="A757" s="22" t="s">
        <v>834</v>
      </c>
      <c r="H757" s="22" t="str">
        <f t="shared" si="22"/>
        <v/>
      </c>
      <c r="J757" s="32"/>
      <c r="T757" t="str">
        <f>IF(OR(C757="",I757&lt;&gt;"ENTRADA"),"",UPPER(LEFT(SUBSTITUTE(C757," ",""),3))&amp;"-"&amp;TEXT(B757,"AAMMDD")&amp;"-"&amp;(COUNTIFS($C$5:C757,C757,$B$5:B757,B757,$I$5:I757,"ENTRADA")))</f>
        <v/>
      </c>
    </row>
    <row r="758" spans="1:20">
      <c r="A758" s="22" t="s">
        <v>835</v>
      </c>
      <c r="H758" s="22" t="str">
        <f t="shared" si="22"/>
        <v/>
      </c>
      <c r="J758" s="32"/>
      <c r="T758" t="str">
        <f>IF(OR(C758="",I758&lt;&gt;"ENTRADA"),"",UPPER(LEFT(SUBSTITUTE(C758," ",""),3))&amp;"-"&amp;TEXT(B758,"AAMMDD")&amp;"-"&amp;(COUNTIFS($C$5:C758,C758,$B$5:B758,B758,$I$5:I758,"ENTRADA")))</f>
        <v/>
      </c>
    </row>
    <row r="759" spans="1:20">
      <c r="A759" s="22" t="s">
        <v>836</v>
      </c>
      <c r="H759" s="22" t="str">
        <f t="shared" si="22"/>
        <v/>
      </c>
      <c r="J759" s="32"/>
      <c r="T759" t="str">
        <f>IF(OR(C759="",I759&lt;&gt;"ENTRADA"),"",UPPER(LEFT(SUBSTITUTE(C759," ",""),3))&amp;"-"&amp;TEXT(B759,"AAMMDD")&amp;"-"&amp;(COUNTIFS($C$5:C759,C759,$B$5:B759,B759,$I$5:I759,"ENTRADA")))</f>
        <v/>
      </c>
    </row>
    <row r="760" spans="1:20">
      <c r="A760" s="22" t="s">
        <v>837</v>
      </c>
      <c r="H760" s="22" t="str">
        <f t="shared" si="22"/>
        <v/>
      </c>
      <c r="J760" s="32"/>
      <c r="T760" t="str">
        <f>IF(OR(C760="",I760&lt;&gt;"ENTRADA"),"",UPPER(LEFT(SUBSTITUTE(C760," ",""),3))&amp;"-"&amp;TEXT(B760,"AAMMDD")&amp;"-"&amp;(COUNTIFS($C$5:C760,C760,$B$5:B760,B760,$I$5:I760,"ENTRADA")))</f>
        <v/>
      </c>
    </row>
    <row r="761" spans="1:20">
      <c r="A761" s="22" t="s">
        <v>838</v>
      </c>
      <c r="H761" s="22" t="str">
        <f t="shared" si="22"/>
        <v/>
      </c>
      <c r="J761" s="32"/>
      <c r="T761" t="str">
        <f>IF(OR(C761="",I761&lt;&gt;"ENTRADA"),"",UPPER(LEFT(SUBSTITUTE(C761," ",""),3))&amp;"-"&amp;TEXT(B761,"AAMMDD")&amp;"-"&amp;(COUNTIFS($C$5:C761,C761,$B$5:B761,B761,$I$5:I761,"ENTRADA")))</f>
        <v/>
      </c>
    </row>
    <row r="762" spans="1:20">
      <c r="A762" s="22" t="s">
        <v>839</v>
      </c>
      <c r="H762" s="22" t="str">
        <f t="shared" si="22"/>
        <v/>
      </c>
      <c r="J762" s="32"/>
      <c r="T762" t="str">
        <f>IF(OR(C762="",I762&lt;&gt;"ENTRADA"),"",UPPER(LEFT(SUBSTITUTE(C762," ",""),3))&amp;"-"&amp;TEXT(B762,"AAMMDD")&amp;"-"&amp;(COUNTIFS($C$5:C762,C762,$B$5:B762,B762,$I$5:I762,"ENTRADA")))</f>
        <v/>
      </c>
    </row>
    <row r="763" spans="1:20">
      <c r="A763" s="22" t="s">
        <v>840</v>
      </c>
      <c r="H763" s="22" t="str">
        <f t="shared" si="22"/>
        <v/>
      </c>
      <c r="J763" s="32"/>
      <c r="T763" t="str">
        <f>IF(OR(C763="",I763&lt;&gt;"ENTRADA"),"",UPPER(LEFT(SUBSTITUTE(C763," ",""),3))&amp;"-"&amp;TEXT(B763,"AAMMDD")&amp;"-"&amp;(COUNTIFS($C$5:C763,C763,$B$5:B763,B763,$I$5:I763,"ENTRADA")))</f>
        <v/>
      </c>
    </row>
    <row r="764" spans="1:20">
      <c r="A764" s="22" t="s">
        <v>841</v>
      </c>
      <c r="H764" s="22" t="str">
        <f t="shared" si="22"/>
        <v/>
      </c>
      <c r="J764" s="32"/>
      <c r="T764" t="str">
        <f>IF(OR(C764="",I764&lt;&gt;"ENTRADA"),"",UPPER(LEFT(SUBSTITUTE(C764," ",""),3))&amp;"-"&amp;TEXT(B764,"AAMMDD")&amp;"-"&amp;(COUNTIFS($C$5:C764,C764,$B$5:B764,B764,$I$5:I764,"ENTRADA")))</f>
        <v/>
      </c>
    </row>
    <row r="765" spans="1:20">
      <c r="A765" s="22" t="s">
        <v>842</v>
      </c>
      <c r="H765" s="22" t="str">
        <f t="shared" si="22"/>
        <v/>
      </c>
      <c r="J765" s="32"/>
      <c r="T765" t="str">
        <f>IF(OR(C765="",I765&lt;&gt;"ENTRADA"),"",UPPER(LEFT(SUBSTITUTE(C765," ",""),3))&amp;"-"&amp;TEXT(B765,"AAMMDD")&amp;"-"&amp;(COUNTIFS($C$5:C765,C765,$B$5:B765,B765,$I$5:I765,"ENTRADA")))</f>
        <v/>
      </c>
    </row>
    <row r="766" spans="1:20">
      <c r="A766" s="22" t="s">
        <v>843</v>
      </c>
      <c r="H766" s="22" t="str">
        <f t="shared" si="22"/>
        <v/>
      </c>
      <c r="J766" s="32"/>
      <c r="T766" t="str">
        <f>IF(OR(C766="",I766&lt;&gt;"ENTRADA"),"",UPPER(LEFT(SUBSTITUTE(C766," ",""),3))&amp;"-"&amp;TEXT(B766,"AAMMDD")&amp;"-"&amp;(COUNTIFS($C$5:C766,C766,$B$5:B766,B766,$I$5:I766,"ENTRADA")))</f>
        <v/>
      </c>
    </row>
    <row r="767" spans="1:20">
      <c r="A767" s="22" t="s">
        <v>844</v>
      </c>
      <c r="H767" s="22" t="str">
        <f t="shared" si="22"/>
        <v/>
      </c>
      <c r="J767" s="32"/>
      <c r="T767" t="str">
        <f>IF(OR(C767="",I767&lt;&gt;"ENTRADA"),"",UPPER(LEFT(SUBSTITUTE(C767," ",""),3))&amp;"-"&amp;TEXT(B767,"AAMMDD")&amp;"-"&amp;(COUNTIFS($C$5:C767,C767,$B$5:B767,B767,$I$5:I767,"ENTRADA")))</f>
        <v/>
      </c>
    </row>
    <row r="768" spans="1:20">
      <c r="A768" s="22" t="s">
        <v>845</v>
      </c>
      <c r="H768" s="22" t="str">
        <f t="shared" si="22"/>
        <v/>
      </c>
      <c r="J768" s="32"/>
      <c r="T768" t="str">
        <f>IF(OR(C768="",I768&lt;&gt;"ENTRADA"),"",UPPER(LEFT(SUBSTITUTE(C768," ",""),3))&amp;"-"&amp;TEXT(B768,"AAMMDD")&amp;"-"&amp;(COUNTIFS($C$5:C768,C768,$B$5:B768,B768,$I$5:I768,"ENTRADA")))</f>
        <v/>
      </c>
    </row>
    <row r="769" spans="1:20">
      <c r="A769" s="22" t="s">
        <v>846</v>
      </c>
      <c r="H769" s="22" t="str">
        <f t="shared" si="22"/>
        <v/>
      </c>
      <c r="J769" s="32"/>
      <c r="T769" t="str">
        <f>IF(OR(C769="",I769&lt;&gt;"ENTRADA"),"",UPPER(LEFT(SUBSTITUTE(C769," ",""),3))&amp;"-"&amp;TEXT(B769,"AAMMDD")&amp;"-"&amp;(COUNTIFS($C$5:C769,C769,$B$5:B769,B769,$I$5:I769,"ENTRADA")))</f>
        <v/>
      </c>
    </row>
    <row r="770" spans="1:20">
      <c r="A770" s="22" t="s">
        <v>847</v>
      </c>
      <c r="H770" s="22" t="str">
        <f t="shared" si="22"/>
        <v/>
      </c>
      <c r="J770" s="32"/>
      <c r="T770" t="str">
        <f>IF(OR(C770="",I770&lt;&gt;"ENTRADA"),"",UPPER(LEFT(SUBSTITUTE(C770," ",""),3))&amp;"-"&amp;TEXT(B770,"AAMMDD")&amp;"-"&amp;(COUNTIFS($C$5:C770,C770,$B$5:B770,B770,$I$5:I770,"ENTRADA")))</f>
        <v/>
      </c>
    </row>
    <row r="771" spans="1:20">
      <c r="A771" s="22" t="s">
        <v>848</v>
      </c>
      <c r="H771" s="22" t="str">
        <f t="shared" si="22"/>
        <v/>
      </c>
      <c r="J771" s="32"/>
      <c r="T771" t="str">
        <f>IF(OR(C771="",I771&lt;&gt;"ENTRADA"),"",UPPER(LEFT(SUBSTITUTE(C771," ",""),3))&amp;"-"&amp;TEXT(B771,"AAMMDD")&amp;"-"&amp;(COUNTIFS($C$5:C771,C771,$B$5:B771,B771,$I$5:I771,"ENTRADA")))</f>
        <v/>
      </c>
    </row>
    <row r="772" spans="1:20">
      <c r="A772" s="22" t="s">
        <v>849</v>
      </c>
      <c r="H772" s="22" t="str">
        <f t="shared" si="22"/>
        <v/>
      </c>
      <c r="J772" s="32"/>
      <c r="T772" t="str">
        <f>IF(OR(C772="",I772&lt;&gt;"ENTRADA"),"",UPPER(LEFT(SUBSTITUTE(C772," ",""),3))&amp;"-"&amp;TEXT(B772,"AAMMDD")&amp;"-"&amp;(COUNTIFS($C$5:C772,C772,$B$5:B772,B772,$I$5:I772,"ENTRADA")))</f>
        <v/>
      </c>
    </row>
    <row r="773" spans="1:20">
      <c r="A773" s="22" t="s">
        <v>850</v>
      </c>
      <c r="H773" s="22" t="str">
        <f t="shared" si="22"/>
        <v/>
      </c>
      <c r="J773" s="32"/>
      <c r="T773" t="str">
        <f>IF(OR(C773="",I773&lt;&gt;"ENTRADA"),"",UPPER(LEFT(SUBSTITUTE(C773," ",""),3))&amp;"-"&amp;TEXT(B773,"AAMMDD")&amp;"-"&amp;(COUNTIFS($C$5:C773,C773,$B$5:B773,B773,$I$5:I773,"ENTRADA")))</f>
        <v/>
      </c>
    </row>
    <row r="774" spans="1:20">
      <c r="A774" s="22" t="s">
        <v>851</v>
      </c>
      <c r="H774" s="22" t="str">
        <f t="shared" si="22"/>
        <v/>
      </c>
      <c r="J774" s="32"/>
      <c r="T774" t="str">
        <f>IF(OR(C774="",I774&lt;&gt;"ENTRADA"),"",UPPER(LEFT(SUBSTITUTE(C774," ",""),3))&amp;"-"&amp;TEXT(B774,"AAMMDD")&amp;"-"&amp;(COUNTIFS($C$5:C774,C774,$B$5:B774,B774,$I$5:I774,"ENTRADA")))</f>
        <v/>
      </c>
    </row>
    <row r="775" spans="1:20">
      <c r="A775" s="22" t="s">
        <v>852</v>
      </c>
      <c r="H775" s="22" t="str">
        <f t="shared" si="22"/>
        <v/>
      </c>
      <c r="J775" s="32"/>
      <c r="T775" t="str">
        <f>IF(OR(C775="",I775&lt;&gt;"ENTRADA"),"",UPPER(LEFT(SUBSTITUTE(C775," ",""),3))&amp;"-"&amp;TEXT(B775,"AAMMDD")&amp;"-"&amp;(COUNTIFS($C$5:C775,C775,$B$5:B775,B775,$I$5:I775,"ENTRADA")))</f>
        <v/>
      </c>
    </row>
    <row r="776" spans="1:20">
      <c r="A776" s="22" t="s">
        <v>853</v>
      </c>
      <c r="H776" s="22" t="str">
        <f t="shared" si="22"/>
        <v/>
      </c>
      <c r="J776" s="32"/>
      <c r="T776" t="str">
        <f>IF(OR(C776="",I776&lt;&gt;"ENTRADA"),"",UPPER(LEFT(SUBSTITUTE(C776," ",""),3))&amp;"-"&amp;TEXT(B776,"AAMMDD")&amp;"-"&amp;(COUNTIFS($C$5:C776,C776,$B$5:B776,B776,$I$5:I776,"ENTRADA")))</f>
        <v/>
      </c>
    </row>
    <row r="777" spans="1:20">
      <c r="A777" s="22" t="s">
        <v>854</v>
      </c>
      <c r="H777" s="22" t="str">
        <f t="shared" si="22"/>
        <v/>
      </c>
      <c r="J777" s="32"/>
      <c r="T777" t="str">
        <f>IF(OR(C777="",I777&lt;&gt;"ENTRADA"),"",UPPER(LEFT(SUBSTITUTE(C777," ",""),3))&amp;"-"&amp;TEXT(B777,"AAMMDD")&amp;"-"&amp;(COUNTIFS($C$5:C777,C777,$B$5:B777,B777,$I$5:I777,"ENTRADA")))</f>
        <v/>
      </c>
    </row>
    <row r="778" spans="1:20">
      <c r="A778" s="22" t="s">
        <v>855</v>
      </c>
      <c r="H778" s="22" t="str">
        <f t="shared" si="22"/>
        <v/>
      </c>
      <c r="J778" s="32"/>
      <c r="T778" t="str">
        <f>IF(OR(C778="",I778&lt;&gt;"ENTRADA"),"",UPPER(LEFT(SUBSTITUTE(C778," ",""),3))&amp;"-"&amp;TEXT(B778,"AAMMDD")&amp;"-"&amp;(COUNTIFS($C$5:C778,C778,$B$5:B778,B778,$I$5:I778,"ENTRADA")))</f>
        <v/>
      </c>
    </row>
    <row r="779" spans="1:20">
      <c r="A779" s="22" t="s">
        <v>856</v>
      </c>
      <c r="H779" s="22" t="str">
        <f t="shared" si="22"/>
        <v/>
      </c>
      <c r="J779" s="32"/>
      <c r="T779" t="str">
        <f>IF(OR(C779="",I779&lt;&gt;"ENTRADA"),"",UPPER(LEFT(SUBSTITUTE(C779," ",""),3))&amp;"-"&amp;TEXT(B779,"AAMMDD")&amp;"-"&amp;(COUNTIFS($C$5:C779,C779,$B$5:B779,B779,$I$5:I779,"ENTRADA")))</f>
        <v/>
      </c>
    </row>
    <row r="780" spans="1:20">
      <c r="A780" s="22" t="s">
        <v>857</v>
      </c>
      <c r="H780" s="22" t="str">
        <f t="shared" si="22"/>
        <v/>
      </c>
      <c r="J780" s="32"/>
      <c r="T780" t="str">
        <f>IF(OR(C780="",I780&lt;&gt;"ENTRADA"),"",UPPER(LEFT(SUBSTITUTE(C780," ",""),3))&amp;"-"&amp;TEXT(B780,"AAMMDD")&amp;"-"&amp;(COUNTIFS($C$5:C780,C780,$B$5:B780,B780,$I$5:I780,"ENTRADA")))</f>
        <v/>
      </c>
    </row>
    <row r="781" spans="1:20">
      <c r="A781" s="22" t="s">
        <v>858</v>
      </c>
      <c r="H781" s="22" t="str">
        <f t="shared" si="22"/>
        <v/>
      </c>
      <c r="J781" s="32"/>
      <c r="T781" t="str">
        <f>IF(OR(C781="",I781&lt;&gt;"ENTRADA"),"",UPPER(LEFT(SUBSTITUTE(C781," ",""),3))&amp;"-"&amp;TEXT(B781,"AAMMDD")&amp;"-"&amp;(COUNTIFS($C$5:C781,C781,$B$5:B781,B781,$I$5:I781,"ENTRADA")))</f>
        <v/>
      </c>
    </row>
    <row r="782" spans="1:20">
      <c r="A782" s="22" t="s">
        <v>859</v>
      </c>
      <c r="H782" s="22" t="str">
        <f t="shared" si="22"/>
        <v/>
      </c>
      <c r="J782" s="32"/>
      <c r="T782" t="str">
        <f>IF(OR(C782="",I782&lt;&gt;"ENTRADA"),"",UPPER(LEFT(SUBSTITUTE(C782," ",""),3))&amp;"-"&amp;TEXT(B782,"AAMMDD")&amp;"-"&amp;(COUNTIFS($C$5:C782,C782,$B$5:B782,B782,$I$5:I782,"ENTRADA")))</f>
        <v/>
      </c>
    </row>
    <row r="783" spans="1:20">
      <c r="A783" s="22" t="s">
        <v>860</v>
      </c>
      <c r="H783" s="22" t="str">
        <f t="shared" si="22"/>
        <v/>
      </c>
      <c r="J783" s="32"/>
      <c r="T783" t="str">
        <f>IF(OR(C783="",I783&lt;&gt;"ENTRADA"),"",UPPER(LEFT(SUBSTITUTE(C783," ",""),3))&amp;"-"&amp;TEXT(B783,"AAMMDD")&amp;"-"&amp;(COUNTIFS($C$5:C783,C783,$B$5:B783,B783,$I$5:I783,"ENTRADA")))</f>
        <v/>
      </c>
    </row>
    <row r="784" spans="1:20">
      <c r="A784" s="22" t="s">
        <v>861</v>
      </c>
      <c r="H784" s="22" t="str">
        <f t="shared" ref="H784:H847" si="23">+T784</f>
        <v/>
      </c>
      <c r="J784" s="32"/>
      <c r="T784" t="str">
        <f>IF(OR(C784="",I784&lt;&gt;"ENTRADA"),"",UPPER(LEFT(SUBSTITUTE(C784," ",""),3))&amp;"-"&amp;TEXT(B784,"AAMMDD")&amp;"-"&amp;(COUNTIFS($C$5:C784,C784,$B$5:B784,B784,$I$5:I784,"ENTRADA")))</f>
        <v/>
      </c>
    </row>
    <row r="785" spans="1:20">
      <c r="A785" s="22" t="s">
        <v>862</v>
      </c>
      <c r="H785" s="22" t="str">
        <f t="shared" si="23"/>
        <v/>
      </c>
      <c r="J785" s="32"/>
      <c r="T785" t="str">
        <f>IF(OR(C785="",I785&lt;&gt;"ENTRADA"),"",UPPER(LEFT(SUBSTITUTE(C785," ",""),3))&amp;"-"&amp;TEXT(B785,"AAMMDD")&amp;"-"&amp;(COUNTIFS($C$5:C785,C785,$B$5:B785,B785,$I$5:I785,"ENTRADA")))</f>
        <v/>
      </c>
    </row>
    <row r="786" spans="1:20">
      <c r="A786" s="22" t="s">
        <v>863</v>
      </c>
      <c r="H786" s="22" t="str">
        <f t="shared" si="23"/>
        <v/>
      </c>
      <c r="J786" s="32"/>
      <c r="T786" t="str">
        <f>IF(OR(C786="",I786&lt;&gt;"ENTRADA"),"",UPPER(LEFT(SUBSTITUTE(C786," ",""),3))&amp;"-"&amp;TEXT(B786,"AAMMDD")&amp;"-"&amp;(COUNTIFS($C$5:C786,C786,$B$5:B786,B786,$I$5:I786,"ENTRADA")))</f>
        <v/>
      </c>
    </row>
    <row r="787" spans="1:20">
      <c r="A787" s="22" t="s">
        <v>864</v>
      </c>
      <c r="H787" s="22" t="str">
        <f t="shared" si="23"/>
        <v/>
      </c>
      <c r="J787" s="32"/>
      <c r="T787" t="str">
        <f>IF(OR(C787="",I787&lt;&gt;"ENTRADA"),"",UPPER(LEFT(SUBSTITUTE(C787," ",""),3))&amp;"-"&amp;TEXT(B787,"AAMMDD")&amp;"-"&amp;(COUNTIFS($C$5:C787,C787,$B$5:B787,B787,$I$5:I787,"ENTRADA")))</f>
        <v/>
      </c>
    </row>
    <row r="788" spans="1:20">
      <c r="A788" s="22" t="s">
        <v>865</v>
      </c>
      <c r="H788" s="22" t="str">
        <f t="shared" si="23"/>
        <v/>
      </c>
      <c r="J788" s="32"/>
      <c r="T788" t="str">
        <f>IF(OR(C788="",I788&lt;&gt;"ENTRADA"),"",UPPER(LEFT(SUBSTITUTE(C788," ",""),3))&amp;"-"&amp;TEXT(B788,"AAMMDD")&amp;"-"&amp;(COUNTIFS($C$5:C788,C788,$B$5:B788,B788,$I$5:I788,"ENTRADA")))</f>
        <v/>
      </c>
    </row>
    <row r="789" spans="1:20">
      <c r="A789" s="22" t="s">
        <v>866</v>
      </c>
      <c r="H789" s="22" t="str">
        <f t="shared" si="23"/>
        <v/>
      </c>
      <c r="J789" s="32"/>
      <c r="T789" t="str">
        <f>IF(OR(C789="",I789&lt;&gt;"ENTRADA"),"",UPPER(LEFT(SUBSTITUTE(C789," ",""),3))&amp;"-"&amp;TEXT(B789,"AAMMDD")&amp;"-"&amp;(COUNTIFS($C$5:C789,C789,$B$5:B789,B789,$I$5:I789,"ENTRADA")))</f>
        <v/>
      </c>
    </row>
    <row r="790" spans="1:20">
      <c r="A790" s="22" t="s">
        <v>867</v>
      </c>
      <c r="H790" s="22" t="str">
        <f t="shared" si="23"/>
        <v/>
      </c>
      <c r="J790" s="32"/>
      <c r="T790" t="str">
        <f>IF(OR(C790="",I790&lt;&gt;"ENTRADA"),"",UPPER(LEFT(SUBSTITUTE(C790," ",""),3))&amp;"-"&amp;TEXT(B790,"AAMMDD")&amp;"-"&amp;(COUNTIFS($C$5:C790,C790,$B$5:B790,B790,$I$5:I790,"ENTRADA")))</f>
        <v/>
      </c>
    </row>
    <row r="791" spans="1:20">
      <c r="A791" s="22" t="s">
        <v>868</v>
      </c>
      <c r="H791" s="22" t="str">
        <f t="shared" si="23"/>
        <v/>
      </c>
      <c r="J791" s="32"/>
      <c r="T791" t="str">
        <f>IF(OR(C791="",I791&lt;&gt;"ENTRADA"),"",UPPER(LEFT(SUBSTITUTE(C791," ",""),3))&amp;"-"&amp;TEXT(B791,"AAMMDD")&amp;"-"&amp;(COUNTIFS($C$5:C791,C791,$B$5:B791,B791,$I$5:I791,"ENTRADA")))</f>
        <v/>
      </c>
    </row>
    <row r="792" spans="1:20">
      <c r="A792" s="22" t="s">
        <v>869</v>
      </c>
      <c r="H792" s="22" t="str">
        <f t="shared" si="23"/>
        <v/>
      </c>
      <c r="J792" s="32"/>
      <c r="T792" t="str">
        <f>IF(OR(C792="",I792&lt;&gt;"ENTRADA"),"",UPPER(LEFT(SUBSTITUTE(C792," ",""),3))&amp;"-"&amp;TEXT(B792,"AAMMDD")&amp;"-"&amp;(COUNTIFS($C$5:C792,C792,$B$5:B792,B792,$I$5:I792,"ENTRADA")))</f>
        <v/>
      </c>
    </row>
    <row r="793" spans="1:20">
      <c r="A793" s="22" t="s">
        <v>870</v>
      </c>
      <c r="H793" s="22" t="str">
        <f t="shared" si="23"/>
        <v/>
      </c>
      <c r="J793" s="32"/>
      <c r="T793" t="str">
        <f>IF(OR(C793="",I793&lt;&gt;"ENTRADA"),"",UPPER(LEFT(SUBSTITUTE(C793," ",""),3))&amp;"-"&amp;TEXT(B793,"AAMMDD")&amp;"-"&amp;(COUNTIFS($C$5:C793,C793,$B$5:B793,B793,$I$5:I793,"ENTRADA")))</f>
        <v/>
      </c>
    </row>
    <row r="794" spans="1:20">
      <c r="A794" s="22" t="s">
        <v>871</v>
      </c>
      <c r="H794" s="22" t="str">
        <f t="shared" si="23"/>
        <v/>
      </c>
      <c r="J794" s="32"/>
      <c r="T794" t="str">
        <f>IF(OR(C794="",I794&lt;&gt;"ENTRADA"),"",UPPER(LEFT(SUBSTITUTE(C794," ",""),3))&amp;"-"&amp;TEXT(B794,"AAMMDD")&amp;"-"&amp;(COUNTIFS($C$5:C794,C794,$B$5:B794,B794,$I$5:I794,"ENTRADA")))</f>
        <v/>
      </c>
    </row>
    <row r="795" spans="1:20">
      <c r="A795" s="22" t="s">
        <v>872</v>
      </c>
      <c r="H795" s="22" t="str">
        <f t="shared" si="23"/>
        <v/>
      </c>
      <c r="J795" s="32"/>
      <c r="T795" t="str">
        <f>IF(OR(C795="",I795&lt;&gt;"ENTRADA"),"",UPPER(LEFT(SUBSTITUTE(C795," ",""),3))&amp;"-"&amp;TEXT(B795,"AAMMDD")&amp;"-"&amp;(COUNTIFS($C$5:C795,C795,$B$5:B795,B795,$I$5:I795,"ENTRADA")))</f>
        <v/>
      </c>
    </row>
    <row r="796" spans="1:20">
      <c r="A796" s="22" t="s">
        <v>873</v>
      </c>
      <c r="H796" s="22" t="str">
        <f t="shared" si="23"/>
        <v/>
      </c>
      <c r="J796" s="32"/>
      <c r="T796" t="str">
        <f>IF(OR(C796="",I796&lt;&gt;"ENTRADA"),"",UPPER(LEFT(SUBSTITUTE(C796," ",""),3))&amp;"-"&amp;TEXT(B796,"AAMMDD")&amp;"-"&amp;(COUNTIFS($C$5:C796,C796,$B$5:B796,B796,$I$5:I796,"ENTRADA")))</f>
        <v/>
      </c>
    </row>
    <row r="797" spans="1:20">
      <c r="A797" s="22" t="s">
        <v>874</v>
      </c>
      <c r="H797" s="22" t="str">
        <f t="shared" si="23"/>
        <v/>
      </c>
      <c r="J797" s="32"/>
      <c r="T797" t="str">
        <f>IF(OR(C797="",I797&lt;&gt;"ENTRADA"),"",UPPER(LEFT(SUBSTITUTE(C797," ",""),3))&amp;"-"&amp;TEXT(B797,"AAMMDD")&amp;"-"&amp;(COUNTIFS($C$5:C797,C797,$B$5:B797,B797,$I$5:I797,"ENTRADA")))</f>
        <v/>
      </c>
    </row>
    <row r="798" spans="1:20">
      <c r="A798" s="22" t="s">
        <v>875</v>
      </c>
      <c r="H798" s="22" t="str">
        <f t="shared" si="23"/>
        <v/>
      </c>
      <c r="J798" s="32"/>
      <c r="T798" t="str">
        <f>IF(OR(C798="",I798&lt;&gt;"ENTRADA"),"",UPPER(LEFT(SUBSTITUTE(C798," ",""),3))&amp;"-"&amp;TEXT(B798,"AAMMDD")&amp;"-"&amp;(COUNTIFS($C$5:C798,C798,$B$5:B798,B798,$I$5:I798,"ENTRADA")))</f>
        <v/>
      </c>
    </row>
    <row r="799" spans="1:20">
      <c r="A799" s="22" t="s">
        <v>876</v>
      </c>
      <c r="H799" s="22" t="str">
        <f t="shared" si="23"/>
        <v/>
      </c>
      <c r="J799" s="32"/>
      <c r="T799" t="str">
        <f>IF(OR(C799="",I799&lt;&gt;"ENTRADA"),"",UPPER(LEFT(SUBSTITUTE(C799," ",""),3))&amp;"-"&amp;TEXT(B799,"AAMMDD")&amp;"-"&amp;(COUNTIFS($C$5:C799,C799,$B$5:B799,B799,$I$5:I799,"ENTRADA")))</f>
        <v/>
      </c>
    </row>
    <row r="800" spans="1:20">
      <c r="A800" s="22" t="s">
        <v>877</v>
      </c>
      <c r="H800" s="22" t="str">
        <f t="shared" si="23"/>
        <v/>
      </c>
      <c r="J800" s="32"/>
      <c r="T800" t="str">
        <f>IF(OR(C800="",I800&lt;&gt;"ENTRADA"),"",UPPER(LEFT(SUBSTITUTE(C800," ",""),3))&amp;"-"&amp;TEXT(B800,"AAMMDD")&amp;"-"&amp;(COUNTIFS($C$5:C800,C800,$B$5:B800,B800,$I$5:I800,"ENTRADA")))</f>
        <v/>
      </c>
    </row>
    <row r="801" spans="1:20">
      <c r="A801" s="22" t="s">
        <v>878</v>
      </c>
      <c r="H801" s="22" t="str">
        <f t="shared" si="23"/>
        <v/>
      </c>
      <c r="J801" s="32"/>
      <c r="T801" t="str">
        <f>IF(OR(C801="",I801&lt;&gt;"ENTRADA"),"",UPPER(LEFT(SUBSTITUTE(C801," ",""),3))&amp;"-"&amp;TEXT(B801,"AAMMDD")&amp;"-"&amp;(COUNTIFS($C$5:C801,C801,$B$5:B801,B801,$I$5:I801,"ENTRADA")))</f>
        <v/>
      </c>
    </row>
    <row r="802" spans="1:20">
      <c r="A802" s="22" t="s">
        <v>879</v>
      </c>
      <c r="H802" s="22" t="str">
        <f t="shared" si="23"/>
        <v/>
      </c>
      <c r="J802" s="32"/>
      <c r="T802" t="str">
        <f>IF(OR(C802="",I802&lt;&gt;"ENTRADA"),"",UPPER(LEFT(SUBSTITUTE(C802," ",""),3))&amp;"-"&amp;TEXT(B802,"AAMMDD")&amp;"-"&amp;(COUNTIFS($C$5:C802,C802,$B$5:B802,B802,$I$5:I802,"ENTRADA")))</f>
        <v/>
      </c>
    </row>
    <row r="803" spans="1:20">
      <c r="A803" s="22" t="s">
        <v>880</v>
      </c>
      <c r="H803" s="22" t="str">
        <f t="shared" si="23"/>
        <v/>
      </c>
      <c r="J803" s="32"/>
      <c r="T803" t="str">
        <f>IF(OR(C803="",I803&lt;&gt;"ENTRADA"),"",UPPER(LEFT(SUBSTITUTE(C803," ",""),3))&amp;"-"&amp;TEXT(B803,"AAMMDD")&amp;"-"&amp;(COUNTIFS($C$5:C803,C803,$B$5:B803,B803,$I$5:I803,"ENTRADA")))</f>
        <v/>
      </c>
    </row>
    <row r="804" spans="1:20">
      <c r="A804" s="22" t="s">
        <v>881</v>
      </c>
      <c r="H804" s="22" t="str">
        <f t="shared" si="23"/>
        <v/>
      </c>
      <c r="J804" s="32"/>
      <c r="T804" t="str">
        <f>IF(OR(C804="",I804&lt;&gt;"ENTRADA"),"",UPPER(LEFT(SUBSTITUTE(C804," ",""),3))&amp;"-"&amp;TEXT(B804,"AAMMDD")&amp;"-"&amp;(COUNTIFS($C$5:C804,C804,$B$5:B804,B804,$I$5:I804,"ENTRADA")))</f>
        <v/>
      </c>
    </row>
    <row r="805" spans="1:20">
      <c r="A805" s="22" t="s">
        <v>882</v>
      </c>
      <c r="H805" s="22" t="str">
        <f t="shared" si="23"/>
        <v/>
      </c>
      <c r="J805" s="32"/>
      <c r="T805" t="str">
        <f>IF(OR(C805="",I805&lt;&gt;"ENTRADA"),"",UPPER(LEFT(SUBSTITUTE(C805," ",""),3))&amp;"-"&amp;TEXT(B805,"AAMMDD")&amp;"-"&amp;(COUNTIFS($C$5:C805,C805,$B$5:B805,B805,$I$5:I805,"ENTRADA")))</f>
        <v/>
      </c>
    </row>
    <row r="806" spans="1:20">
      <c r="A806" s="22" t="s">
        <v>883</v>
      </c>
      <c r="H806" s="22" t="str">
        <f t="shared" si="23"/>
        <v/>
      </c>
      <c r="J806" s="32"/>
      <c r="T806" t="str">
        <f>IF(OR(C806="",I806&lt;&gt;"ENTRADA"),"",UPPER(LEFT(SUBSTITUTE(C806," ",""),3))&amp;"-"&amp;TEXT(B806,"AAMMDD")&amp;"-"&amp;(COUNTIFS($C$5:C806,C806,$B$5:B806,B806,$I$5:I806,"ENTRADA")))</f>
        <v/>
      </c>
    </row>
    <row r="807" spans="1:20">
      <c r="A807" s="22" t="s">
        <v>884</v>
      </c>
      <c r="H807" s="22" t="str">
        <f t="shared" si="23"/>
        <v/>
      </c>
      <c r="J807" s="32"/>
      <c r="T807" t="str">
        <f>IF(OR(C807="",I807&lt;&gt;"ENTRADA"),"",UPPER(LEFT(SUBSTITUTE(C807," ",""),3))&amp;"-"&amp;TEXT(B807,"AAMMDD")&amp;"-"&amp;(COUNTIFS($C$5:C807,C807,$B$5:B807,B807,$I$5:I807,"ENTRADA")))</f>
        <v/>
      </c>
    </row>
    <row r="808" spans="1:20">
      <c r="A808" s="22" t="s">
        <v>885</v>
      </c>
      <c r="H808" s="22" t="str">
        <f t="shared" si="23"/>
        <v/>
      </c>
      <c r="J808" s="32"/>
      <c r="T808" t="str">
        <f>IF(OR(C808="",I808&lt;&gt;"ENTRADA"),"",UPPER(LEFT(SUBSTITUTE(C808," ",""),3))&amp;"-"&amp;TEXT(B808,"AAMMDD")&amp;"-"&amp;(COUNTIFS($C$5:C808,C808,$B$5:B808,B808,$I$5:I808,"ENTRADA")))</f>
        <v/>
      </c>
    </row>
    <row r="809" spans="1:20">
      <c r="A809" s="22" t="s">
        <v>886</v>
      </c>
      <c r="H809" s="22" t="str">
        <f t="shared" si="23"/>
        <v/>
      </c>
      <c r="J809" s="32"/>
      <c r="T809" t="str">
        <f>IF(OR(C809="",I809&lt;&gt;"ENTRADA"),"",UPPER(LEFT(SUBSTITUTE(C809," ",""),3))&amp;"-"&amp;TEXT(B809,"AAMMDD")&amp;"-"&amp;(COUNTIFS($C$5:C809,C809,$B$5:B809,B809,$I$5:I809,"ENTRADA")))</f>
        <v/>
      </c>
    </row>
    <row r="810" spans="1:20">
      <c r="A810" s="22" t="s">
        <v>887</v>
      </c>
      <c r="H810" s="22" t="str">
        <f t="shared" si="23"/>
        <v/>
      </c>
      <c r="J810" s="32"/>
      <c r="T810" t="str">
        <f>IF(OR(C810="",I810&lt;&gt;"ENTRADA"),"",UPPER(LEFT(SUBSTITUTE(C810," ",""),3))&amp;"-"&amp;TEXT(B810,"AAMMDD")&amp;"-"&amp;(COUNTIFS($C$5:C810,C810,$B$5:B810,B810,$I$5:I810,"ENTRADA")))</f>
        <v/>
      </c>
    </row>
    <row r="811" spans="1:20">
      <c r="A811" s="22" t="s">
        <v>888</v>
      </c>
      <c r="H811" s="22" t="str">
        <f t="shared" si="23"/>
        <v/>
      </c>
      <c r="J811" s="32"/>
      <c r="T811" t="str">
        <f>IF(OR(C811="",I811&lt;&gt;"ENTRADA"),"",UPPER(LEFT(SUBSTITUTE(C811," ",""),3))&amp;"-"&amp;TEXT(B811,"AAMMDD")&amp;"-"&amp;(COUNTIFS($C$5:C811,C811,$B$5:B811,B811,$I$5:I811,"ENTRADA")))</f>
        <v/>
      </c>
    </row>
    <row r="812" spans="1:20">
      <c r="A812" s="22" t="s">
        <v>889</v>
      </c>
      <c r="H812" s="22" t="str">
        <f t="shared" si="23"/>
        <v/>
      </c>
      <c r="J812" s="32"/>
      <c r="T812" t="str">
        <f>IF(OR(C812="",I812&lt;&gt;"ENTRADA"),"",UPPER(LEFT(SUBSTITUTE(C812," ",""),3))&amp;"-"&amp;TEXT(B812,"AAMMDD")&amp;"-"&amp;(COUNTIFS($C$5:C812,C812,$B$5:B812,B812,$I$5:I812,"ENTRADA")))</f>
        <v/>
      </c>
    </row>
    <row r="813" spans="1:20">
      <c r="A813" s="22" t="s">
        <v>890</v>
      </c>
      <c r="H813" s="22" t="str">
        <f t="shared" si="23"/>
        <v/>
      </c>
      <c r="J813" s="32"/>
      <c r="T813" t="str">
        <f>IF(OR(C813="",I813&lt;&gt;"ENTRADA"),"",UPPER(LEFT(SUBSTITUTE(C813," ",""),3))&amp;"-"&amp;TEXT(B813,"AAMMDD")&amp;"-"&amp;(COUNTIFS($C$5:C813,C813,$B$5:B813,B813,$I$5:I813,"ENTRADA")))</f>
        <v/>
      </c>
    </row>
    <row r="814" spans="1:20">
      <c r="A814" s="22" t="s">
        <v>891</v>
      </c>
      <c r="H814" s="22" t="str">
        <f t="shared" si="23"/>
        <v/>
      </c>
      <c r="J814" s="32"/>
      <c r="T814" t="str">
        <f>IF(OR(C814="",I814&lt;&gt;"ENTRADA"),"",UPPER(LEFT(SUBSTITUTE(C814," ",""),3))&amp;"-"&amp;TEXT(B814,"AAMMDD")&amp;"-"&amp;(COUNTIFS($C$5:C814,C814,$B$5:B814,B814,$I$5:I814,"ENTRADA")))</f>
        <v/>
      </c>
    </row>
    <row r="815" spans="1:20">
      <c r="A815" s="22" t="s">
        <v>892</v>
      </c>
      <c r="H815" s="22" t="str">
        <f t="shared" si="23"/>
        <v/>
      </c>
      <c r="J815" s="32"/>
      <c r="T815" t="str">
        <f>IF(OR(C815="",I815&lt;&gt;"ENTRADA"),"",UPPER(LEFT(SUBSTITUTE(C815," ",""),3))&amp;"-"&amp;TEXT(B815,"AAMMDD")&amp;"-"&amp;(COUNTIFS($C$5:C815,C815,$B$5:B815,B815,$I$5:I815,"ENTRADA")))</f>
        <v/>
      </c>
    </row>
    <row r="816" spans="1:20">
      <c r="A816" s="22" t="s">
        <v>893</v>
      </c>
      <c r="H816" s="22" t="str">
        <f t="shared" si="23"/>
        <v/>
      </c>
      <c r="J816" s="32"/>
      <c r="T816" t="str">
        <f>IF(OR(C816="",I816&lt;&gt;"ENTRADA"),"",UPPER(LEFT(SUBSTITUTE(C816," ",""),3))&amp;"-"&amp;TEXT(B816,"AAMMDD")&amp;"-"&amp;(COUNTIFS($C$5:C816,C816,$B$5:B816,B816,$I$5:I816,"ENTRADA")))</f>
        <v/>
      </c>
    </row>
    <row r="817" spans="1:20">
      <c r="A817" s="22" t="s">
        <v>894</v>
      </c>
      <c r="H817" s="22" t="str">
        <f t="shared" si="23"/>
        <v/>
      </c>
      <c r="J817" s="32"/>
      <c r="T817" t="str">
        <f>IF(OR(C817="",I817&lt;&gt;"ENTRADA"),"",UPPER(LEFT(SUBSTITUTE(C817," ",""),3))&amp;"-"&amp;TEXT(B817,"AAMMDD")&amp;"-"&amp;(COUNTIFS($C$5:C817,C817,$B$5:B817,B817,$I$5:I817,"ENTRADA")))</f>
        <v/>
      </c>
    </row>
    <row r="818" spans="1:20">
      <c r="A818" s="22" t="s">
        <v>895</v>
      </c>
      <c r="H818" s="22" t="str">
        <f t="shared" si="23"/>
        <v/>
      </c>
      <c r="J818" s="32"/>
      <c r="T818" t="str">
        <f>IF(OR(C818="",I818&lt;&gt;"ENTRADA"),"",UPPER(LEFT(SUBSTITUTE(C818," ",""),3))&amp;"-"&amp;TEXT(B818,"AAMMDD")&amp;"-"&amp;(COUNTIFS($C$5:C818,C818,$B$5:B818,B818,$I$5:I818,"ENTRADA")))</f>
        <v/>
      </c>
    </row>
    <row r="819" spans="1:20">
      <c r="A819" s="22" t="s">
        <v>896</v>
      </c>
      <c r="H819" s="22" t="str">
        <f t="shared" si="23"/>
        <v/>
      </c>
      <c r="J819" s="32"/>
      <c r="T819" t="str">
        <f>IF(OR(C819="",I819&lt;&gt;"ENTRADA"),"",UPPER(LEFT(SUBSTITUTE(C819," ",""),3))&amp;"-"&amp;TEXT(B819,"AAMMDD")&amp;"-"&amp;(COUNTIFS($C$5:C819,C819,$B$5:B819,B819,$I$5:I819,"ENTRADA")))</f>
        <v/>
      </c>
    </row>
    <row r="820" spans="1:20">
      <c r="A820" s="22" t="s">
        <v>897</v>
      </c>
      <c r="H820" s="22" t="str">
        <f t="shared" si="23"/>
        <v/>
      </c>
      <c r="J820" s="32"/>
      <c r="T820" t="str">
        <f>IF(OR(C820="",I820&lt;&gt;"ENTRADA"),"",UPPER(LEFT(SUBSTITUTE(C820," ",""),3))&amp;"-"&amp;TEXT(B820,"AAMMDD")&amp;"-"&amp;(COUNTIFS($C$5:C820,C820,$B$5:B820,B820,$I$5:I820,"ENTRADA")))</f>
        <v/>
      </c>
    </row>
    <row r="821" spans="1:20">
      <c r="A821" s="22" t="s">
        <v>898</v>
      </c>
      <c r="H821" s="22" t="str">
        <f t="shared" si="23"/>
        <v/>
      </c>
      <c r="J821" s="32"/>
      <c r="T821" t="str">
        <f>IF(OR(C821="",I821&lt;&gt;"ENTRADA"),"",UPPER(LEFT(SUBSTITUTE(C821," ",""),3))&amp;"-"&amp;TEXT(B821,"AAMMDD")&amp;"-"&amp;(COUNTIFS($C$5:C821,C821,$B$5:B821,B821,$I$5:I821,"ENTRADA")))</f>
        <v/>
      </c>
    </row>
    <row r="822" spans="1:20">
      <c r="A822" s="22" t="s">
        <v>899</v>
      </c>
      <c r="H822" s="22" t="str">
        <f t="shared" si="23"/>
        <v/>
      </c>
      <c r="J822" s="32"/>
      <c r="T822" t="str">
        <f>IF(OR(C822="",I822&lt;&gt;"ENTRADA"),"",UPPER(LEFT(SUBSTITUTE(C822," ",""),3))&amp;"-"&amp;TEXT(B822,"AAMMDD")&amp;"-"&amp;(COUNTIFS($C$5:C822,C822,$B$5:B822,B822,$I$5:I822,"ENTRADA")))</f>
        <v/>
      </c>
    </row>
    <row r="823" spans="1:20">
      <c r="A823" s="22" t="s">
        <v>900</v>
      </c>
      <c r="H823" s="22" t="str">
        <f t="shared" si="23"/>
        <v/>
      </c>
      <c r="J823" s="32"/>
      <c r="T823" t="str">
        <f>IF(OR(C823="",I823&lt;&gt;"ENTRADA"),"",UPPER(LEFT(SUBSTITUTE(C823," ",""),3))&amp;"-"&amp;TEXT(B823,"AAMMDD")&amp;"-"&amp;(COUNTIFS($C$5:C823,C823,$B$5:B823,B823,$I$5:I823,"ENTRADA")))</f>
        <v/>
      </c>
    </row>
    <row r="824" spans="1:20">
      <c r="A824" s="22" t="s">
        <v>901</v>
      </c>
      <c r="H824" s="22" t="str">
        <f t="shared" si="23"/>
        <v/>
      </c>
      <c r="J824" s="32"/>
      <c r="T824" t="str">
        <f>IF(OR(C824="",I824&lt;&gt;"ENTRADA"),"",UPPER(LEFT(SUBSTITUTE(C824," ",""),3))&amp;"-"&amp;TEXT(B824,"AAMMDD")&amp;"-"&amp;(COUNTIFS($C$5:C824,C824,$B$5:B824,B824,$I$5:I824,"ENTRADA")))</f>
        <v/>
      </c>
    </row>
    <row r="825" spans="1:20">
      <c r="A825" s="22" t="s">
        <v>902</v>
      </c>
      <c r="H825" s="22" t="str">
        <f t="shared" si="23"/>
        <v/>
      </c>
      <c r="J825" s="32"/>
      <c r="T825" t="str">
        <f>IF(OR(C825="",I825&lt;&gt;"ENTRADA"),"",UPPER(LEFT(SUBSTITUTE(C825," ",""),3))&amp;"-"&amp;TEXT(B825,"AAMMDD")&amp;"-"&amp;(COUNTIFS($C$5:C825,C825,$B$5:B825,B825,$I$5:I825,"ENTRADA")))</f>
        <v/>
      </c>
    </row>
    <row r="826" spans="1:20">
      <c r="A826" s="22" t="s">
        <v>903</v>
      </c>
      <c r="H826" s="22" t="str">
        <f t="shared" si="23"/>
        <v/>
      </c>
      <c r="J826" s="32"/>
      <c r="T826" t="str">
        <f>IF(OR(C826="",I826&lt;&gt;"ENTRADA"),"",UPPER(LEFT(SUBSTITUTE(C826," ",""),3))&amp;"-"&amp;TEXT(B826,"AAMMDD")&amp;"-"&amp;(COUNTIFS($C$5:C826,C826,$B$5:B826,B826,$I$5:I826,"ENTRADA")))</f>
        <v/>
      </c>
    </row>
    <row r="827" spans="1:20">
      <c r="A827" s="22" t="s">
        <v>904</v>
      </c>
      <c r="H827" s="22" t="str">
        <f t="shared" si="23"/>
        <v/>
      </c>
      <c r="J827" s="32"/>
      <c r="T827" t="str">
        <f>IF(OR(C827="",I827&lt;&gt;"ENTRADA"),"",UPPER(LEFT(SUBSTITUTE(C827," ",""),3))&amp;"-"&amp;TEXT(B827,"AAMMDD")&amp;"-"&amp;(COUNTIFS($C$5:C827,C827,$B$5:B827,B827,$I$5:I827,"ENTRADA")))</f>
        <v/>
      </c>
    </row>
    <row r="828" spans="1:20">
      <c r="A828" s="22" t="s">
        <v>905</v>
      </c>
      <c r="H828" s="22" t="str">
        <f t="shared" si="23"/>
        <v/>
      </c>
      <c r="J828" s="32"/>
      <c r="T828" t="str">
        <f>IF(OR(C828="",I828&lt;&gt;"ENTRADA"),"",UPPER(LEFT(SUBSTITUTE(C828," ",""),3))&amp;"-"&amp;TEXT(B828,"AAMMDD")&amp;"-"&amp;(COUNTIFS($C$5:C828,C828,$B$5:B828,B828,$I$5:I828,"ENTRADA")))</f>
        <v/>
      </c>
    </row>
    <row r="829" spans="1:20">
      <c r="A829" s="22" t="s">
        <v>906</v>
      </c>
      <c r="H829" s="22" t="str">
        <f t="shared" si="23"/>
        <v/>
      </c>
      <c r="J829" s="32"/>
      <c r="T829" t="str">
        <f>IF(OR(C829="",I829&lt;&gt;"ENTRADA"),"",UPPER(LEFT(SUBSTITUTE(C829," ",""),3))&amp;"-"&amp;TEXT(B829,"AAMMDD")&amp;"-"&amp;(COUNTIFS($C$5:C829,C829,$B$5:B829,B829,$I$5:I829,"ENTRADA")))</f>
        <v/>
      </c>
    </row>
    <row r="830" spans="1:20">
      <c r="A830" s="22" t="s">
        <v>907</v>
      </c>
      <c r="H830" s="22" t="str">
        <f t="shared" si="23"/>
        <v/>
      </c>
      <c r="J830" s="32"/>
      <c r="T830" t="str">
        <f>IF(OR(C830="",I830&lt;&gt;"ENTRADA"),"",UPPER(LEFT(SUBSTITUTE(C830," ",""),3))&amp;"-"&amp;TEXT(B830,"AAMMDD")&amp;"-"&amp;(COUNTIFS($C$5:C830,C830,$B$5:B830,B830,$I$5:I830,"ENTRADA")))</f>
        <v/>
      </c>
    </row>
    <row r="831" spans="1:20">
      <c r="A831" s="22" t="s">
        <v>908</v>
      </c>
      <c r="H831" s="22" t="str">
        <f t="shared" si="23"/>
        <v/>
      </c>
      <c r="J831" s="32"/>
      <c r="T831" t="str">
        <f>IF(OR(C831="",I831&lt;&gt;"ENTRADA"),"",UPPER(LEFT(SUBSTITUTE(C831," ",""),3))&amp;"-"&amp;TEXT(B831,"AAMMDD")&amp;"-"&amp;(COUNTIFS($C$5:C831,C831,$B$5:B831,B831,$I$5:I831,"ENTRADA")))</f>
        <v/>
      </c>
    </row>
    <row r="832" spans="1:20">
      <c r="A832" s="22" t="s">
        <v>909</v>
      </c>
      <c r="H832" s="22" t="str">
        <f t="shared" si="23"/>
        <v/>
      </c>
      <c r="J832" s="32"/>
      <c r="T832" t="str">
        <f>IF(OR(C832="",I832&lt;&gt;"ENTRADA"),"",UPPER(LEFT(SUBSTITUTE(C832," ",""),3))&amp;"-"&amp;TEXT(B832,"AAMMDD")&amp;"-"&amp;(COUNTIFS($C$5:C832,C832,$B$5:B832,B832,$I$5:I832,"ENTRADA")))</f>
        <v/>
      </c>
    </row>
    <row r="833" spans="1:20">
      <c r="A833" s="22" t="s">
        <v>910</v>
      </c>
      <c r="H833" s="22" t="str">
        <f t="shared" si="23"/>
        <v/>
      </c>
      <c r="J833" s="32"/>
      <c r="T833" t="str">
        <f>IF(OR(C833="",I833&lt;&gt;"ENTRADA"),"",UPPER(LEFT(SUBSTITUTE(C833," ",""),3))&amp;"-"&amp;TEXT(B833,"AAMMDD")&amp;"-"&amp;(COUNTIFS($C$5:C833,C833,$B$5:B833,B833,$I$5:I833,"ENTRADA")))</f>
        <v/>
      </c>
    </row>
    <row r="834" spans="1:20">
      <c r="A834" s="22" t="s">
        <v>911</v>
      </c>
      <c r="H834" s="22" t="str">
        <f t="shared" si="23"/>
        <v/>
      </c>
      <c r="J834" s="32"/>
      <c r="T834" t="str">
        <f>IF(OR(C834="",I834&lt;&gt;"ENTRADA"),"",UPPER(LEFT(SUBSTITUTE(C834," ",""),3))&amp;"-"&amp;TEXT(B834,"AAMMDD")&amp;"-"&amp;(COUNTIFS($C$5:C834,C834,$B$5:B834,B834,$I$5:I834,"ENTRADA")))</f>
        <v/>
      </c>
    </row>
    <row r="835" spans="1:20">
      <c r="A835" s="22" t="s">
        <v>912</v>
      </c>
      <c r="H835" s="22" t="str">
        <f t="shared" si="23"/>
        <v/>
      </c>
      <c r="J835" s="32"/>
      <c r="T835" t="str">
        <f>IF(OR(C835="",I835&lt;&gt;"ENTRADA"),"",UPPER(LEFT(SUBSTITUTE(C835," ",""),3))&amp;"-"&amp;TEXT(B835,"AAMMDD")&amp;"-"&amp;(COUNTIFS($C$5:C835,C835,$B$5:B835,B835,$I$5:I835,"ENTRADA")))</f>
        <v/>
      </c>
    </row>
    <row r="836" spans="1:20">
      <c r="A836" s="22" t="s">
        <v>913</v>
      </c>
      <c r="H836" s="22" t="str">
        <f t="shared" si="23"/>
        <v/>
      </c>
      <c r="J836" s="32"/>
      <c r="T836" t="str">
        <f>IF(OR(C836="",I836&lt;&gt;"ENTRADA"),"",UPPER(LEFT(SUBSTITUTE(C836," ",""),3))&amp;"-"&amp;TEXT(B836,"AAMMDD")&amp;"-"&amp;(COUNTIFS($C$5:C836,C836,$B$5:B836,B836,$I$5:I836,"ENTRADA")))</f>
        <v/>
      </c>
    </row>
    <row r="837" spans="1:20">
      <c r="A837" s="22" t="s">
        <v>914</v>
      </c>
      <c r="H837" s="22" t="str">
        <f t="shared" si="23"/>
        <v/>
      </c>
      <c r="J837" s="32"/>
      <c r="T837" t="str">
        <f>IF(OR(C837="",I837&lt;&gt;"ENTRADA"),"",UPPER(LEFT(SUBSTITUTE(C837," ",""),3))&amp;"-"&amp;TEXT(B837,"AAMMDD")&amp;"-"&amp;(COUNTIFS($C$5:C837,C837,$B$5:B837,B837,$I$5:I837,"ENTRADA")))</f>
        <v/>
      </c>
    </row>
    <row r="838" spans="1:20">
      <c r="A838" s="22" t="s">
        <v>915</v>
      </c>
      <c r="H838" s="22" t="str">
        <f t="shared" si="23"/>
        <v/>
      </c>
      <c r="J838" s="32"/>
      <c r="T838" t="str">
        <f>IF(OR(C838="",I838&lt;&gt;"ENTRADA"),"",UPPER(LEFT(SUBSTITUTE(C838," ",""),3))&amp;"-"&amp;TEXT(B838,"AAMMDD")&amp;"-"&amp;(COUNTIFS($C$5:C838,C838,$B$5:B838,B838,$I$5:I838,"ENTRADA")))</f>
        <v/>
      </c>
    </row>
    <row r="839" spans="1:20">
      <c r="A839" s="22" t="s">
        <v>916</v>
      </c>
      <c r="H839" s="22" t="str">
        <f t="shared" si="23"/>
        <v/>
      </c>
      <c r="J839" s="32"/>
      <c r="T839" t="str">
        <f>IF(OR(C839="",I839&lt;&gt;"ENTRADA"),"",UPPER(LEFT(SUBSTITUTE(C839," ",""),3))&amp;"-"&amp;TEXT(B839,"AAMMDD")&amp;"-"&amp;(COUNTIFS($C$5:C839,C839,$B$5:B839,B839,$I$5:I839,"ENTRADA")))</f>
        <v/>
      </c>
    </row>
    <row r="840" spans="1:20">
      <c r="A840" s="22" t="s">
        <v>917</v>
      </c>
      <c r="H840" s="22" t="str">
        <f t="shared" si="23"/>
        <v/>
      </c>
      <c r="J840" s="32"/>
      <c r="T840" t="str">
        <f>IF(OR(C840="",I840&lt;&gt;"ENTRADA"),"",UPPER(LEFT(SUBSTITUTE(C840," ",""),3))&amp;"-"&amp;TEXT(B840,"AAMMDD")&amp;"-"&amp;(COUNTIFS($C$5:C840,C840,$B$5:B840,B840,$I$5:I840,"ENTRADA")))</f>
        <v/>
      </c>
    </row>
    <row r="841" spans="1:20">
      <c r="A841" s="22" t="s">
        <v>918</v>
      </c>
      <c r="H841" s="22" t="str">
        <f t="shared" si="23"/>
        <v/>
      </c>
      <c r="J841" s="32"/>
      <c r="T841" t="str">
        <f>IF(OR(C841="",I841&lt;&gt;"ENTRADA"),"",UPPER(LEFT(SUBSTITUTE(C841," ",""),3))&amp;"-"&amp;TEXT(B841,"AAMMDD")&amp;"-"&amp;(COUNTIFS($C$5:C841,C841,$B$5:B841,B841,$I$5:I841,"ENTRADA")))</f>
        <v/>
      </c>
    </row>
    <row r="842" spans="1:20">
      <c r="A842" s="22" t="s">
        <v>919</v>
      </c>
      <c r="H842" s="22" t="str">
        <f t="shared" si="23"/>
        <v/>
      </c>
      <c r="J842" s="32"/>
      <c r="T842" t="str">
        <f>IF(OR(C842="",I842&lt;&gt;"ENTRADA"),"",UPPER(LEFT(SUBSTITUTE(C842," ",""),3))&amp;"-"&amp;TEXT(B842,"AAMMDD")&amp;"-"&amp;(COUNTIFS($C$5:C842,C842,$B$5:B842,B842,$I$5:I842,"ENTRADA")))</f>
        <v/>
      </c>
    </row>
    <row r="843" spans="1:20">
      <c r="A843" s="22" t="s">
        <v>920</v>
      </c>
      <c r="H843" s="22" t="str">
        <f t="shared" si="23"/>
        <v/>
      </c>
      <c r="J843" s="32"/>
      <c r="T843" t="str">
        <f>IF(OR(C843="",I843&lt;&gt;"ENTRADA"),"",UPPER(LEFT(SUBSTITUTE(C843," ",""),3))&amp;"-"&amp;TEXT(B843,"AAMMDD")&amp;"-"&amp;(COUNTIFS($C$5:C843,C843,$B$5:B843,B843,$I$5:I843,"ENTRADA")))</f>
        <v/>
      </c>
    </row>
    <row r="844" spans="1:20">
      <c r="A844" s="22" t="s">
        <v>921</v>
      </c>
      <c r="H844" s="22" t="str">
        <f t="shared" si="23"/>
        <v/>
      </c>
      <c r="J844" s="32"/>
      <c r="T844" t="str">
        <f>IF(OR(C844="",I844&lt;&gt;"ENTRADA"),"",UPPER(LEFT(SUBSTITUTE(C844," ",""),3))&amp;"-"&amp;TEXT(B844,"AAMMDD")&amp;"-"&amp;(COUNTIFS($C$5:C844,C844,$B$5:B844,B844,$I$5:I844,"ENTRADA")))</f>
        <v/>
      </c>
    </row>
    <row r="845" spans="1:20">
      <c r="A845" s="22" t="s">
        <v>922</v>
      </c>
      <c r="H845" s="22" t="str">
        <f t="shared" si="23"/>
        <v/>
      </c>
      <c r="J845" s="32"/>
      <c r="T845" t="str">
        <f>IF(OR(C845="",I845&lt;&gt;"ENTRADA"),"",UPPER(LEFT(SUBSTITUTE(C845," ",""),3))&amp;"-"&amp;TEXT(B845,"AAMMDD")&amp;"-"&amp;(COUNTIFS($C$5:C845,C845,$B$5:B845,B845,$I$5:I845,"ENTRADA")))</f>
        <v/>
      </c>
    </row>
    <row r="846" spans="1:20">
      <c r="A846" s="22" t="s">
        <v>923</v>
      </c>
      <c r="H846" s="22" t="str">
        <f t="shared" si="23"/>
        <v/>
      </c>
      <c r="J846" s="32"/>
      <c r="T846" t="str">
        <f>IF(OR(C846="",I846&lt;&gt;"ENTRADA"),"",UPPER(LEFT(SUBSTITUTE(C846," ",""),3))&amp;"-"&amp;TEXT(B846,"AAMMDD")&amp;"-"&amp;(COUNTIFS($C$5:C846,C846,$B$5:B846,B846,$I$5:I846,"ENTRADA")))</f>
        <v/>
      </c>
    </row>
    <row r="847" spans="1:20">
      <c r="A847" s="22" t="s">
        <v>924</v>
      </c>
      <c r="H847" s="22" t="str">
        <f t="shared" si="23"/>
        <v/>
      </c>
      <c r="J847" s="32"/>
      <c r="T847" t="str">
        <f>IF(OR(C847="",I847&lt;&gt;"ENTRADA"),"",UPPER(LEFT(SUBSTITUTE(C847," ",""),3))&amp;"-"&amp;TEXT(B847,"AAMMDD")&amp;"-"&amp;(COUNTIFS($C$5:C847,C847,$B$5:B847,B847,$I$5:I847,"ENTRADA")))</f>
        <v/>
      </c>
    </row>
    <row r="848" spans="1:20">
      <c r="A848" s="22" t="s">
        <v>925</v>
      </c>
      <c r="H848" s="22" t="str">
        <f t="shared" ref="H848:H911" si="24">+T848</f>
        <v/>
      </c>
      <c r="J848" s="32"/>
      <c r="T848" t="str">
        <f>IF(OR(C848="",I848&lt;&gt;"ENTRADA"),"",UPPER(LEFT(SUBSTITUTE(C848," ",""),3))&amp;"-"&amp;TEXT(B848,"AAMMDD")&amp;"-"&amp;(COUNTIFS($C$5:C848,C848,$B$5:B848,B848,$I$5:I848,"ENTRADA")))</f>
        <v/>
      </c>
    </row>
    <row r="849" spans="1:20">
      <c r="A849" s="22" t="s">
        <v>926</v>
      </c>
      <c r="H849" s="22" t="str">
        <f t="shared" si="24"/>
        <v/>
      </c>
      <c r="J849" s="32"/>
      <c r="T849" t="str">
        <f>IF(OR(C849="",I849&lt;&gt;"ENTRADA"),"",UPPER(LEFT(SUBSTITUTE(C849," ",""),3))&amp;"-"&amp;TEXT(B849,"AAMMDD")&amp;"-"&amp;(COUNTIFS($C$5:C849,C849,$B$5:B849,B849,$I$5:I849,"ENTRADA")))</f>
        <v/>
      </c>
    </row>
    <row r="850" spans="1:20">
      <c r="A850" s="22" t="s">
        <v>927</v>
      </c>
      <c r="H850" s="22" t="str">
        <f t="shared" si="24"/>
        <v/>
      </c>
      <c r="J850" s="32"/>
      <c r="T850" t="str">
        <f>IF(OR(C850="",I850&lt;&gt;"ENTRADA"),"",UPPER(LEFT(SUBSTITUTE(C850," ",""),3))&amp;"-"&amp;TEXT(B850,"AAMMDD")&amp;"-"&amp;(COUNTIFS($C$5:C850,C850,$B$5:B850,B850,$I$5:I850,"ENTRADA")))</f>
        <v/>
      </c>
    </row>
    <row r="851" spans="1:20">
      <c r="A851" s="22" t="s">
        <v>928</v>
      </c>
      <c r="H851" s="22" t="str">
        <f t="shared" si="24"/>
        <v/>
      </c>
      <c r="J851" s="32"/>
      <c r="T851" t="str">
        <f>IF(OR(C851="",I851&lt;&gt;"ENTRADA"),"",UPPER(LEFT(SUBSTITUTE(C851," ",""),3))&amp;"-"&amp;TEXT(B851,"AAMMDD")&amp;"-"&amp;(COUNTIFS($C$5:C851,C851,$B$5:B851,B851,$I$5:I851,"ENTRADA")))</f>
        <v/>
      </c>
    </row>
    <row r="852" spans="1:20">
      <c r="A852" s="22" t="s">
        <v>929</v>
      </c>
      <c r="H852" s="22" t="str">
        <f t="shared" si="24"/>
        <v/>
      </c>
      <c r="J852" s="32"/>
      <c r="T852" t="str">
        <f>IF(OR(C852="",I852&lt;&gt;"ENTRADA"),"",UPPER(LEFT(SUBSTITUTE(C852," ",""),3))&amp;"-"&amp;TEXT(B852,"AAMMDD")&amp;"-"&amp;(COUNTIFS($C$5:C852,C852,$B$5:B852,B852,$I$5:I852,"ENTRADA")))</f>
        <v/>
      </c>
    </row>
    <row r="853" spans="1:20">
      <c r="A853" s="22" t="s">
        <v>930</v>
      </c>
      <c r="H853" s="22" t="str">
        <f t="shared" si="24"/>
        <v/>
      </c>
      <c r="J853" s="32"/>
      <c r="T853" t="str">
        <f>IF(OR(C853="",I853&lt;&gt;"ENTRADA"),"",UPPER(LEFT(SUBSTITUTE(C853," ",""),3))&amp;"-"&amp;TEXT(B853,"AAMMDD")&amp;"-"&amp;(COUNTIFS($C$5:C853,C853,$B$5:B853,B853,$I$5:I853,"ENTRADA")))</f>
        <v/>
      </c>
    </row>
    <row r="854" spans="1:20">
      <c r="A854" s="22" t="s">
        <v>931</v>
      </c>
      <c r="H854" s="22" t="str">
        <f t="shared" si="24"/>
        <v/>
      </c>
      <c r="J854" s="32"/>
      <c r="T854" t="str">
        <f>IF(OR(C854="",I854&lt;&gt;"ENTRADA"),"",UPPER(LEFT(SUBSTITUTE(C854," ",""),3))&amp;"-"&amp;TEXT(B854,"AAMMDD")&amp;"-"&amp;(COUNTIFS($C$5:C854,C854,$B$5:B854,B854,$I$5:I854,"ENTRADA")))</f>
        <v/>
      </c>
    </row>
    <row r="855" spans="1:20">
      <c r="A855" s="22" t="s">
        <v>932</v>
      </c>
      <c r="H855" s="22" t="str">
        <f t="shared" si="24"/>
        <v/>
      </c>
      <c r="J855" s="32"/>
      <c r="T855" t="str">
        <f>IF(OR(C855="",I855&lt;&gt;"ENTRADA"),"",UPPER(LEFT(SUBSTITUTE(C855," ",""),3))&amp;"-"&amp;TEXT(B855,"AAMMDD")&amp;"-"&amp;(COUNTIFS($C$5:C855,C855,$B$5:B855,B855,$I$5:I855,"ENTRADA")))</f>
        <v/>
      </c>
    </row>
    <row r="856" spans="1:20">
      <c r="A856" s="22" t="s">
        <v>933</v>
      </c>
      <c r="H856" s="22" t="str">
        <f t="shared" si="24"/>
        <v/>
      </c>
      <c r="J856" s="32"/>
      <c r="T856" t="str">
        <f>IF(OR(C856="",I856&lt;&gt;"ENTRADA"),"",UPPER(LEFT(SUBSTITUTE(C856," ",""),3))&amp;"-"&amp;TEXT(B856,"AAMMDD")&amp;"-"&amp;(COUNTIFS($C$5:C856,C856,$B$5:B856,B856,$I$5:I856,"ENTRADA")))</f>
        <v/>
      </c>
    </row>
    <row r="857" spans="1:20">
      <c r="A857" s="22" t="s">
        <v>934</v>
      </c>
      <c r="H857" s="22" t="str">
        <f t="shared" si="24"/>
        <v/>
      </c>
      <c r="J857" s="32"/>
      <c r="T857" t="str">
        <f>IF(OR(C857="",I857&lt;&gt;"ENTRADA"),"",UPPER(LEFT(SUBSTITUTE(C857," ",""),3))&amp;"-"&amp;TEXT(B857,"AAMMDD")&amp;"-"&amp;(COUNTIFS($C$5:C857,C857,$B$5:B857,B857,$I$5:I857,"ENTRADA")))</f>
        <v/>
      </c>
    </row>
    <row r="858" spans="1:20">
      <c r="A858" s="22" t="s">
        <v>935</v>
      </c>
      <c r="H858" s="22" t="str">
        <f t="shared" si="24"/>
        <v/>
      </c>
      <c r="J858" s="32"/>
      <c r="T858" t="str">
        <f>IF(OR(C858="",I858&lt;&gt;"ENTRADA"),"",UPPER(LEFT(SUBSTITUTE(C858," ",""),3))&amp;"-"&amp;TEXT(B858,"AAMMDD")&amp;"-"&amp;(COUNTIFS($C$5:C858,C858,$B$5:B858,B858,$I$5:I858,"ENTRADA")))</f>
        <v/>
      </c>
    </row>
    <row r="859" spans="1:20">
      <c r="A859" s="22" t="s">
        <v>936</v>
      </c>
      <c r="H859" s="22" t="str">
        <f t="shared" si="24"/>
        <v/>
      </c>
      <c r="J859" s="32"/>
      <c r="T859" t="str">
        <f>IF(OR(C859="",I859&lt;&gt;"ENTRADA"),"",UPPER(LEFT(SUBSTITUTE(C859," ",""),3))&amp;"-"&amp;TEXT(B859,"AAMMDD")&amp;"-"&amp;(COUNTIFS($C$5:C859,C859,$B$5:B859,B859,$I$5:I859,"ENTRADA")))</f>
        <v/>
      </c>
    </row>
    <row r="860" spans="1:20">
      <c r="A860" s="22" t="s">
        <v>937</v>
      </c>
      <c r="H860" s="22" t="str">
        <f t="shared" si="24"/>
        <v/>
      </c>
      <c r="J860" s="32"/>
      <c r="T860" t="str">
        <f>IF(OR(C860="",I860&lt;&gt;"ENTRADA"),"",UPPER(LEFT(SUBSTITUTE(C860," ",""),3))&amp;"-"&amp;TEXT(B860,"AAMMDD")&amp;"-"&amp;(COUNTIFS($C$5:C860,C860,$B$5:B860,B860,$I$5:I860,"ENTRADA")))</f>
        <v/>
      </c>
    </row>
    <row r="861" spans="1:20">
      <c r="A861" s="22" t="s">
        <v>938</v>
      </c>
      <c r="H861" s="22" t="str">
        <f t="shared" si="24"/>
        <v/>
      </c>
      <c r="J861" s="32"/>
      <c r="T861" t="str">
        <f>IF(OR(C861="",I861&lt;&gt;"ENTRADA"),"",UPPER(LEFT(SUBSTITUTE(C861," ",""),3))&amp;"-"&amp;TEXT(B861,"AAMMDD")&amp;"-"&amp;(COUNTIFS($C$5:C861,C861,$B$5:B861,B861,$I$5:I861,"ENTRADA")))</f>
        <v/>
      </c>
    </row>
    <row r="862" spans="1:20">
      <c r="A862" s="22" t="s">
        <v>939</v>
      </c>
      <c r="H862" s="22" t="str">
        <f t="shared" si="24"/>
        <v/>
      </c>
      <c r="J862" s="32"/>
      <c r="T862" t="str">
        <f>IF(OR(C862="",I862&lt;&gt;"ENTRADA"),"",UPPER(LEFT(SUBSTITUTE(C862," ",""),3))&amp;"-"&amp;TEXT(B862,"AAMMDD")&amp;"-"&amp;(COUNTIFS($C$5:C862,C862,$B$5:B862,B862,$I$5:I862,"ENTRADA")))</f>
        <v/>
      </c>
    </row>
    <row r="863" spans="1:20">
      <c r="A863" s="22" t="s">
        <v>940</v>
      </c>
      <c r="H863" s="22" t="str">
        <f t="shared" si="24"/>
        <v/>
      </c>
      <c r="J863" s="32"/>
      <c r="T863" t="str">
        <f>IF(OR(C863="",I863&lt;&gt;"ENTRADA"),"",UPPER(LEFT(SUBSTITUTE(C863," ",""),3))&amp;"-"&amp;TEXT(B863,"AAMMDD")&amp;"-"&amp;(COUNTIFS($C$5:C863,C863,$B$5:B863,B863,$I$5:I863,"ENTRADA")))</f>
        <v/>
      </c>
    </row>
    <row r="864" spans="1:20">
      <c r="A864" s="22" t="s">
        <v>941</v>
      </c>
      <c r="H864" s="22" t="str">
        <f t="shared" si="24"/>
        <v/>
      </c>
      <c r="J864" s="32"/>
      <c r="T864" t="str">
        <f>IF(OR(C864="",I864&lt;&gt;"ENTRADA"),"",UPPER(LEFT(SUBSTITUTE(C864," ",""),3))&amp;"-"&amp;TEXT(B864,"AAMMDD")&amp;"-"&amp;(COUNTIFS($C$5:C864,C864,$B$5:B864,B864,$I$5:I864,"ENTRADA")))</f>
        <v/>
      </c>
    </row>
    <row r="865" spans="1:20">
      <c r="A865" s="22" t="s">
        <v>942</v>
      </c>
      <c r="H865" s="22" t="str">
        <f t="shared" si="24"/>
        <v/>
      </c>
      <c r="J865" s="32"/>
      <c r="T865" t="str">
        <f>IF(OR(C865="",I865&lt;&gt;"ENTRADA"),"",UPPER(LEFT(SUBSTITUTE(C865," ",""),3))&amp;"-"&amp;TEXT(B865,"AAMMDD")&amp;"-"&amp;(COUNTIFS($C$5:C865,C865,$B$5:B865,B865,$I$5:I865,"ENTRADA")))</f>
        <v/>
      </c>
    </row>
    <row r="866" spans="1:20">
      <c r="A866" s="22" t="s">
        <v>943</v>
      </c>
      <c r="H866" s="22" t="str">
        <f t="shared" si="24"/>
        <v/>
      </c>
      <c r="J866" s="32"/>
      <c r="T866" t="str">
        <f>IF(OR(C866="",I866&lt;&gt;"ENTRADA"),"",UPPER(LEFT(SUBSTITUTE(C866," ",""),3))&amp;"-"&amp;TEXT(B866,"AAMMDD")&amp;"-"&amp;(COUNTIFS($C$5:C866,C866,$B$5:B866,B866,$I$5:I866,"ENTRADA")))</f>
        <v/>
      </c>
    </row>
    <row r="867" spans="1:20">
      <c r="A867" s="22" t="s">
        <v>944</v>
      </c>
      <c r="H867" s="22" t="str">
        <f t="shared" si="24"/>
        <v/>
      </c>
      <c r="J867" s="32"/>
      <c r="T867" t="str">
        <f>IF(OR(C867="",I867&lt;&gt;"ENTRADA"),"",UPPER(LEFT(SUBSTITUTE(C867," ",""),3))&amp;"-"&amp;TEXT(B867,"AAMMDD")&amp;"-"&amp;(COUNTIFS($C$5:C867,C867,$B$5:B867,B867,$I$5:I867,"ENTRADA")))</f>
        <v/>
      </c>
    </row>
    <row r="868" spans="1:20">
      <c r="A868" s="22" t="s">
        <v>945</v>
      </c>
      <c r="H868" s="22" t="str">
        <f t="shared" si="24"/>
        <v/>
      </c>
      <c r="J868" s="32"/>
      <c r="T868" t="str">
        <f>IF(OR(C868="",I868&lt;&gt;"ENTRADA"),"",UPPER(LEFT(SUBSTITUTE(C868," ",""),3))&amp;"-"&amp;TEXT(B868,"AAMMDD")&amp;"-"&amp;(COUNTIFS($C$5:C868,C868,$B$5:B868,B868,$I$5:I868,"ENTRADA")))</f>
        <v/>
      </c>
    </row>
    <row r="869" spans="1:20">
      <c r="A869" s="22" t="s">
        <v>946</v>
      </c>
      <c r="H869" s="22" t="str">
        <f t="shared" si="24"/>
        <v/>
      </c>
      <c r="J869" s="32"/>
      <c r="T869" t="str">
        <f>IF(OR(C869="",I869&lt;&gt;"ENTRADA"),"",UPPER(LEFT(SUBSTITUTE(C869," ",""),3))&amp;"-"&amp;TEXT(B869,"AAMMDD")&amp;"-"&amp;(COUNTIFS($C$5:C869,C869,$B$5:B869,B869,$I$5:I869,"ENTRADA")))</f>
        <v/>
      </c>
    </row>
    <row r="870" spans="1:20">
      <c r="A870" s="22" t="s">
        <v>947</v>
      </c>
      <c r="H870" s="22" t="str">
        <f t="shared" si="24"/>
        <v/>
      </c>
      <c r="J870" s="32"/>
      <c r="T870" t="str">
        <f>IF(OR(C870="",I870&lt;&gt;"ENTRADA"),"",UPPER(LEFT(SUBSTITUTE(C870," ",""),3))&amp;"-"&amp;TEXT(B870,"AAMMDD")&amp;"-"&amp;(COUNTIFS($C$5:C870,C870,$B$5:B870,B870,$I$5:I870,"ENTRADA")))</f>
        <v/>
      </c>
    </row>
    <row r="871" spans="1:20">
      <c r="A871" s="22" t="s">
        <v>948</v>
      </c>
      <c r="H871" s="22" t="str">
        <f t="shared" si="24"/>
        <v/>
      </c>
      <c r="J871" s="32"/>
      <c r="T871" t="str">
        <f>IF(OR(C871="",I871&lt;&gt;"ENTRADA"),"",UPPER(LEFT(SUBSTITUTE(C871," ",""),3))&amp;"-"&amp;TEXT(B871,"AAMMDD")&amp;"-"&amp;(COUNTIFS($C$5:C871,C871,$B$5:B871,B871,$I$5:I871,"ENTRADA")))</f>
        <v/>
      </c>
    </row>
    <row r="872" spans="1:20">
      <c r="A872" s="22" t="s">
        <v>949</v>
      </c>
      <c r="H872" s="22" t="str">
        <f t="shared" si="24"/>
        <v/>
      </c>
      <c r="J872" s="32"/>
      <c r="T872" t="str">
        <f>IF(OR(C872="",I872&lt;&gt;"ENTRADA"),"",UPPER(LEFT(SUBSTITUTE(C872," ",""),3))&amp;"-"&amp;TEXT(B872,"AAMMDD")&amp;"-"&amp;(COUNTIFS($C$5:C872,C872,$B$5:B872,B872,$I$5:I872,"ENTRADA")))</f>
        <v/>
      </c>
    </row>
    <row r="873" spans="1:20">
      <c r="A873" s="22" t="s">
        <v>950</v>
      </c>
      <c r="H873" s="22" t="str">
        <f t="shared" si="24"/>
        <v/>
      </c>
      <c r="J873" s="32"/>
      <c r="T873" t="str">
        <f>IF(OR(C873="",I873&lt;&gt;"ENTRADA"),"",UPPER(LEFT(SUBSTITUTE(C873," ",""),3))&amp;"-"&amp;TEXT(B873,"AAMMDD")&amp;"-"&amp;(COUNTIFS($C$5:C873,C873,$B$5:B873,B873,$I$5:I873,"ENTRADA")))</f>
        <v/>
      </c>
    </row>
    <row r="874" spans="1:20">
      <c r="A874" s="22" t="s">
        <v>951</v>
      </c>
      <c r="H874" s="22" t="str">
        <f t="shared" si="24"/>
        <v/>
      </c>
      <c r="J874" s="32"/>
      <c r="T874" t="str">
        <f>IF(OR(C874="",I874&lt;&gt;"ENTRADA"),"",UPPER(LEFT(SUBSTITUTE(C874," ",""),3))&amp;"-"&amp;TEXT(B874,"AAMMDD")&amp;"-"&amp;(COUNTIFS($C$5:C874,C874,$B$5:B874,B874,$I$5:I874,"ENTRADA")))</f>
        <v/>
      </c>
    </row>
    <row r="875" spans="1:20">
      <c r="A875" s="22" t="s">
        <v>952</v>
      </c>
      <c r="H875" s="22" t="str">
        <f t="shared" si="24"/>
        <v/>
      </c>
      <c r="J875" s="32"/>
      <c r="T875" t="str">
        <f>IF(OR(C875="",I875&lt;&gt;"ENTRADA"),"",UPPER(LEFT(SUBSTITUTE(C875," ",""),3))&amp;"-"&amp;TEXT(B875,"AAMMDD")&amp;"-"&amp;(COUNTIFS($C$5:C875,C875,$B$5:B875,B875,$I$5:I875,"ENTRADA")))</f>
        <v/>
      </c>
    </row>
    <row r="876" spans="1:20">
      <c r="A876" s="22" t="s">
        <v>953</v>
      </c>
      <c r="H876" s="22" t="str">
        <f t="shared" si="24"/>
        <v/>
      </c>
      <c r="J876" s="32"/>
      <c r="T876" t="str">
        <f>IF(OR(C876="",I876&lt;&gt;"ENTRADA"),"",UPPER(LEFT(SUBSTITUTE(C876," ",""),3))&amp;"-"&amp;TEXT(B876,"AAMMDD")&amp;"-"&amp;(COUNTIFS($C$5:C876,C876,$B$5:B876,B876,$I$5:I876,"ENTRADA")))</f>
        <v/>
      </c>
    </row>
    <row r="877" spans="1:20">
      <c r="A877" s="22" t="s">
        <v>954</v>
      </c>
      <c r="H877" s="22" t="str">
        <f t="shared" si="24"/>
        <v/>
      </c>
      <c r="J877" s="32"/>
      <c r="T877" t="str">
        <f>IF(OR(C877="",I877&lt;&gt;"ENTRADA"),"",UPPER(LEFT(SUBSTITUTE(C877," ",""),3))&amp;"-"&amp;TEXT(B877,"AAMMDD")&amp;"-"&amp;(COUNTIFS($C$5:C877,C877,$B$5:B877,B877,$I$5:I877,"ENTRADA")))</f>
        <v/>
      </c>
    </row>
    <row r="878" spans="1:20">
      <c r="A878" s="22" t="s">
        <v>955</v>
      </c>
      <c r="H878" s="22" t="str">
        <f t="shared" si="24"/>
        <v/>
      </c>
      <c r="J878" s="32"/>
      <c r="T878" t="str">
        <f>IF(OR(C878="",I878&lt;&gt;"ENTRADA"),"",UPPER(LEFT(SUBSTITUTE(C878," ",""),3))&amp;"-"&amp;TEXT(B878,"AAMMDD")&amp;"-"&amp;(COUNTIFS($C$5:C878,C878,$B$5:B878,B878,$I$5:I878,"ENTRADA")))</f>
        <v/>
      </c>
    </row>
    <row r="879" spans="1:20">
      <c r="A879" s="22" t="s">
        <v>956</v>
      </c>
      <c r="H879" s="22" t="str">
        <f t="shared" si="24"/>
        <v/>
      </c>
      <c r="J879" s="32"/>
      <c r="T879" t="str">
        <f>IF(OR(C879="",I879&lt;&gt;"ENTRADA"),"",UPPER(LEFT(SUBSTITUTE(C879," ",""),3))&amp;"-"&amp;TEXT(B879,"AAMMDD")&amp;"-"&amp;(COUNTIFS($C$5:C879,C879,$B$5:B879,B879,$I$5:I879,"ENTRADA")))</f>
        <v/>
      </c>
    </row>
    <row r="880" spans="1:20">
      <c r="A880" s="22" t="s">
        <v>957</v>
      </c>
      <c r="H880" s="22" t="str">
        <f t="shared" si="24"/>
        <v/>
      </c>
      <c r="J880" s="32"/>
      <c r="T880" t="str">
        <f>IF(OR(C880="",I880&lt;&gt;"ENTRADA"),"",UPPER(LEFT(SUBSTITUTE(C880," ",""),3))&amp;"-"&amp;TEXT(B880,"AAMMDD")&amp;"-"&amp;(COUNTIFS($C$5:C880,C880,$B$5:B880,B880,$I$5:I880,"ENTRADA")))</f>
        <v/>
      </c>
    </row>
    <row r="881" spans="1:20">
      <c r="A881" s="22" t="s">
        <v>958</v>
      </c>
      <c r="H881" s="22" t="str">
        <f t="shared" si="24"/>
        <v/>
      </c>
      <c r="J881" s="32"/>
      <c r="T881" t="str">
        <f>IF(OR(C881="",I881&lt;&gt;"ENTRADA"),"",UPPER(LEFT(SUBSTITUTE(C881," ",""),3))&amp;"-"&amp;TEXT(B881,"AAMMDD")&amp;"-"&amp;(COUNTIFS($C$5:C881,C881,$B$5:B881,B881,$I$5:I881,"ENTRADA")))</f>
        <v/>
      </c>
    </row>
    <row r="882" spans="1:20">
      <c r="A882" s="22" t="s">
        <v>959</v>
      </c>
      <c r="H882" s="22" t="str">
        <f t="shared" si="24"/>
        <v/>
      </c>
      <c r="J882" s="32"/>
      <c r="T882" t="str">
        <f>IF(OR(C882="",I882&lt;&gt;"ENTRADA"),"",UPPER(LEFT(SUBSTITUTE(C882," ",""),3))&amp;"-"&amp;TEXT(B882,"AAMMDD")&amp;"-"&amp;(COUNTIFS($C$5:C882,C882,$B$5:B882,B882,$I$5:I882,"ENTRADA")))</f>
        <v/>
      </c>
    </row>
    <row r="883" spans="1:20">
      <c r="A883" s="22" t="s">
        <v>960</v>
      </c>
      <c r="H883" s="22" t="str">
        <f t="shared" si="24"/>
        <v/>
      </c>
      <c r="J883" s="32"/>
      <c r="T883" t="str">
        <f>IF(OR(C883="",I883&lt;&gt;"ENTRADA"),"",UPPER(LEFT(SUBSTITUTE(C883," ",""),3))&amp;"-"&amp;TEXT(B883,"AAMMDD")&amp;"-"&amp;(COUNTIFS($C$5:C883,C883,$B$5:B883,B883,$I$5:I883,"ENTRADA")))</f>
        <v/>
      </c>
    </row>
    <row r="884" spans="1:20">
      <c r="A884" s="22" t="s">
        <v>961</v>
      </c>
      <c r="H884" s="22" t="str">
        <f t="shared" si="24"/>
        <v/>
      </c>
      <c r="J884" s="32"/>
      <c r="T884" t="str">
        <f>IF(OR(C884="",I884&lt;&gt;"ENTRADA"),"",UPPER(LEFT(SUBSTITUTE(C884," ",""),3))&amp;"-"&amp;TEXT(B884,"AAMMDD")&amp;"-"&amp;(COUNTIFS($C$5:C884,C884,$B$5:B884,B884,$I$5:I884,"ENTRADA")))</f>
        <v/>
      </c>
    </row>
    <row r="885" spans="1:20">
      <c r="A885" s="22" t="s">
        <v>962</v>
      </c>
      <c r="H885" s="22" t="str">
        <f t="shared" si="24"/>
        <v/>
      </c>
      <c r="J885" s="32"/>
      <c r="T885" t="str">
        <f>IF(OR(C885="",I885&lt;&gt;"ENTRADA"),"",UPPER(LEFT(SUBSTITUTE(C885," ",""),3))&amp;"-"&amp;TEXT(B885,"AAMMDD")&amp;"-"&amp;(COUNTIFS($C$5:C885,C885,$B$5:B885,B885,$I$5:I885,"ENTRADA")))</f>
        <v/>
      </c>
    </row>
    <row r="886" spans="1:20">
      <c r="A886" s="22" t="s">
        <v>963</v>
      </c>
      <c r="H886" s="22" t="str">
        <f t="shared" si="24"/>
        <v/>
      </c>
      <c r="J886" s="32"/>
      <c r="T886" t="str">
        <f>IF(OR(C886="",I886&lt;&gt;"ENTRADA"),"",UPPER(LEFT(SUBSTITUTE(C886," ",""),3))&amp;"-"&amp;TEXT(B886,"AAMMDD")&amp;"-"&amp;(COUNTIFS($C$5:C886,C886,$B$5:B886,B886,$I$5:I886,"ENTRADA")))</f>
        <v/>
      </c>
    </row>
    <row r="887" spans="1:20">
      <c r="A887" s="22" t="s">
        <v>964</v>
      </c>
      <c r="H887" s="22" t="str">
        <f t="shared" si="24"/>
        <v/>
      </c>
      <c r="J887" s="32"/>
      <c r="T887" t="str">
        <f>IF(OR(C887="",I887&lt;&gt;"ENTRADA"),"",UPPER(LEFT(SUBSTITUTE(C887," ",""),3))&amp;"-"&amp;TEXT(B887,"AAMMDD")&amp;"-"&amp;(COUNTIFS($C$5:C887,C887,$B$5:B887,B887,$I$5:I887,"ENTRADA")))</f>
        <v/>
      </c>
    </row>
    <row r="888" spans="1:20">
      <c r="A888" s="22" t="s">
        <v>965</v>
      </c>
      <c r="H888" s="22" t="str">
        <f t="shared" si="24"/>
        <v/>
      </c>
      <c r="J888" s="32"/>
      <c r="T888" t="str">
        <f>IF(OR(C888="",I888&lt;&gt;"ENTRADA"),"",UPPER(LEFT(SUBSTITUTE(C888," ",""),3))&amp;"-"&amp;TEXT(B888,"AAMMDD")&amp;"-"&amp;(COUNTIFS($C$5:C888,C888,$B$5:B888,B888,$I$5:I888,"ENTRADA")))</f>
        <v/>
      </c>
    </row>
    <row r="889" spans="1:20">
      <c r="A889" s="22" t="s">
        <v>966</v>
      </c>
      <c r="H889" s="22" t="str">
        <f t="shared" si="24"/>
        <v/>
      </c>
      <c r="J889" s="32"/>
      <c r="T889" t="str">
        <f>IF(OR(C889="",I889&lt;&gt;"ENTRADA"),"",UPPER(LEFT(SUBSTITUTE(C889," ",""),3))&amp;"-"&amp;TEXT(B889,"AAMMDD")&amp;"-"&amp;(COUNTIFS($C$5:C889,C889,$B$5:B889,B889,$I$5:I889,"ENTRADA")))</f>
        <v/>
      </c>
    </row>
    <row r="890" spans="1:20">
      <c r="A890" s="22" t="s">
        <v>967</v>
      </c>
      <c r="H890" s="22" t="str">
        <f t="shared" si="24"/>
        <v/>
      </c>
      <c r="J890" s="32"/>
      <c r="T890" t="str">
        <f>IF(OR(C890="",I890&lt;&gt;"ENTRADA"),"",UPPER(LEFT(SUBSTITUTE(C890," ",""),3))&amp;"-"&amp;TEXT(B890,"AAMMDD")&amp;"-"&amp;(COUNTIFS($C$5:C890,C890,$B$5:B890,B890,$I$5:I890,"ENTRADA")))</f>
        <v/>
      </c>
    </row>
    <row r="891" spans="1:20">
      <c r="A891" s="22" t="s">
        <v>968</v>
      </c>
      <c r="H891" s="22" t="str">
        <f t="shared" si="24"/>
        <v/>
      </c>
      <c r="J891" s="32"/>
      <c r="T891" t="str">
        <f>IF(OR(C891="",I891&lt;&gt;"ENTRADA"),"",UPPER(LEFT(SUBSTITUTE(C891," ",""),3))&amp;"-"&amp;TEXT(B891,"AAMMDD")&amp;"-"&amp;(COUNTIFS($C$5:C891,C891,$B$5:B891,B891,$I$5:I891,"ENTRADA")))</f>
        <v/>
      </c>
    </row>
    <row r="892" spans="1:20">
      <c r="A892" s="22" t="s">
        <v>969</v>
      </c>
      <c r="H892" s="22" t="str">
        <f t="shared" si="24"/>
        <v/>
      </c>
      <c r="J892" s="32"/>
      <c r="T892" t="str">
        <f>IF(OR(C892="",I892&lt;&gt;"ENTRADA"),"",UPPER(LEFT(SUBSTITUTE(C892," ",""),3))&amp;"-"&amp;TEXT(B892,"AAMMDD")&amp;"-"&amp;(COUNTIFS($C$5:C892,C892,$B$5:B892,B892,$I$5:I892,"ENTRADA")))</f>
        <v/>
      </c>
    </row>
    <row r="893" spans="1:20">
      <c r="A893" s="22" t="s">
        <v>970</v>
      </c>
      <c r="H893" s="22" t="str">
        <f t="shared" si="24"/>
        <v/>
      </c>
      <c r="J893" s="32"/>
      <c r="T893" t="str">
        <f>IF(OR(C893="",I893&lt;&gt;"ENTRADA"),"",UPPER(LEFT(SUBSTITUTE(C893," ",""),3))&amp;"-"&amp;TEXT(B893,"AAMMDD")&amp;"-"&amp;(COUNTIFS($C$5:C893,C893,$B$5:B893,B893,$I$5:I893,"ENTRADA")))</f>
        <v/>
      </c>
    </row>
    <row r="894" spans="1:20">
      <c r="A894" s="22" t="s">
        <v>971</v>
      </c>
      <c r="H894" s="22" t="str">
        <f t="shared" si="24"/>
        <v/>
      </c>
      <c r="J894" s="32"/>
      <c r="T894" t="str">
        <f>IF(OR(C894="",I894&lt;&gt;"ENTRADA"),"",UPPER(LEFT(SUBSTITUTE(C894," ",""),3))&amp;"-"&amp;TEXT(B894,"AAMMDD")&amp;"-"&amp;(COUNTIFS($C$5:C894,C894,$B$5:B894,B894,$I$5:I894,"ENTRADA")))</f>
        <v/>
      </c>
    </row>
    <row r="895" spans="1:20">
      <c r="A895" s="22" t="s">
        <v>972</v>
      </c>
      <c r="H895" s="22" t="str">
        <f t="shared" si="24"/>
        <v/>
      </c>
      <c r="J895" s="32"/>
      <c r="T895" t="str">
        <f>IF(OR(C895="",I895&lt;&gt;"ENTRADA"),"",UPPER(LEFT(SUBSTITUTE(C895," ",""),3))&amp;"-"&amp;TEXT(B895,"AAMMDD")&amp;"-"&amp;(COUNTIFS($C$5:C895,C895,$B$5:B895,B895,$I$5:I895,"ENTRADA")))</f>
        <v/>
      </c>
    </row>
    <row r="896" spans="1:20">
      <c r="A896" s="22" t="s">
        <v>973</v>
      </c>
      <c r="H896" s="22" t="str">
        <f t="shared" si="24"/>
        <v/>
      </c>
      <c r="J896" s="32"/>
      <c r="T896" t="str">
        <f>IF(OR(C896="",I896&lt;&gt;"ENTRADA"),"",UPPER(LEFT(SUBSTITUTE(C896," ",""),3))&amp;"-"&amp;TEXT(B896,"AAMMDD")&amp;"-"&amp;(COUNTIFS($C$5:C896,C896,$B$5:B896,B896,$I$5:I896,"ENTRADA")))</f>
        <v/>
      </c>
    </row>
    <row r="897" spans="1:20">
      <c r="A897" s="22" t="s">
        <v>974</v>
      </c>
      <c r="H897" s="22" t="str">
        <f t="shared" si="24"/>
        <v/>
      </c>
      <c r="J897" s="32"/>
      <c r="T897" t="str">
        <f>IF(OR(C897="",I897&lt;&gt;"ENTRADA"),"",UPPER(LEFT(SUBSTITUTE(C897," ",""),3))&amp;"-"&amp;TEXT(B897,"AAMMDD")&amp;"-"&amp;(COUNTIFS($C$5:C897,C897,$B$5:B897,B897,$I$5:I897,"ENTRADA")))</f>
        <v/>
      </c>
    </row>
    <row r="898" spans="1:20">
      <c r="A898" s="22" t="s">
        <v>975</v>
      </c>
      <c r="H898" s="22" t="str">
        <f t="shared" si="24"/>
        <v/>
      </c>
      <c r="J898" s="32"/>
      <c r="T898" t="str">
        <f>IF(OR(C898="",I898&lt;&gt;"ENTRADA"),"",UPPER(LEFT(SUBSTITUTE(C898," ",""),3))&amp;"-"&amp;TEXT(B898,"AAMMDD")&amp;"-"&amp;(COUNTIFS($C$5:C898,C898,$B$5:B898,B898,$I$5:I898,"ENTRADA")))</f>
        <v/>
      </c>
    </row>
    <row r="899" spans="1:20">
      <c r="A899" s="22" t="s">
        <v>976</v>
      </c>
      <c r="H899" s="22" t="str">
        <f t="shared" si="24"/>
        <v/>
      </c>
      <c r="J899" s="32"/>
      <c r="T899" t="str">
        <f>IF(OR(C899="",I899&lt;&gt;"ENTRADA"),"",UPPER(LEFT(SUBSTITUTE(C899," ",""),3))&amp;"-"&amp;TEXT(B899,"AAMMDD")&amp;"-"&amp;(COUNTIFS($C$5:C899,C899,$B$5:B899,B899,$I$5:I899,"ENTRADA")))</f>
        <v/>
      </c>
    </row>
    <row r="900" spans="1:20">
      <c r="A900" s="22" t="s">
        <v>977</v>
      </c>
      <c r="H900" s="22" t="str">
        <f t="shared" si="24"/>
        <v/>
      </c>
      <c r="J900" s="32"/>
      <c r="T900" t="str">
        <f>IF(OR(C900="",I900&lt;&gt;"ENTRADA"),"",UPPER(LEFT(SUBSTITUTE(C900," ",""),3))&amp;"-"&amp;TEXT(B900,"AAMMDD")&amp;"-"&amp;(COUNTIFS($C$5:C900,C900,$B$5:B900,B900,$I$5:I900,"ENTRADA")))</f>
        <v/>
      </c>
    </row>
    <row r="901" spans="1:20">
      <c r="A901" s="22" t="s">
        <v>978</v>
      </c>
      <c r="H901" s="22" t="str">
        <f t="shared" si="24"/>
        <v/>
      </c>
      <c r="J901" s="32"/>
      <c r="T901" t="str">
        <f>IF(OR(C901="",I901&lt;&gt;"ENTRADA"),"",UPPER(LEFT(SUBSTITUTE(C901," ",""),3))&amp;"-"&amp;TEXT(B901,"AAMMDD")&amp;"-"&amp;(COUNTIFS($C$5:C901,C901,$B$5:B901,B901,$I$5:I901,"ENTRADA")))</f>
        <v/>
      </c>
    </row>
    <row r="902" spans="1:20">
      <c r="A902" s="22" t="s">
        <v>979</v>
      </c>
      <c r="H902" s="22" t="str">
        <f t="shared" si="24"/>
        <v/>
      </c>
      <c r="J902" s="32"/>
      <c r="T902" t="str">
        <f>IF(OR(C902="",I902&lt;&gt;"ENTRADA"),"",UPPER(LEFT(SUBSTITUTE(C902," ",""),3))&amp;"-"&amp;TEXT(B902,"AAMMDD")&amp;"-"&amp;(COUNTIFS($C$5:C902,C902,$B$5:B902,B902,$I$5:I902,"ENTRADA")))</f>
        <v/>
      </c>
    </row>
    <row r="903" spans="1:20">
      <c r="A903" s="22" t="s">
        <v>980</v>
      </c>
      <c r="H903" s="22" t="str">
        <f t="shared" si="24"/>
        <v/>
      </c>
      <c r="J903" s="32"/>
      <c r="T903" t="str">
        <f>IF(OR(C903="",I903&lt;&gt;"ENTRADA"),"",UPPER(LEFT(SUBSTITUTE(C903," ",""),3))&amp;"-"&amp;TEXT(B903,"AAMMDD")&amp;"-"&amp;(COUNTIFS($C$5:C903,C903,$B$5:B903,B903,$I$5:I903,"ENTRADA")))</f>
        <v/>
      </c>
    </row>
    <row r="904" spans="1:20">
      <c r="A904" s="22" t="s">
        <v>981</v>
      </c>
      <c r="H904" s="22" t="str">
        <f t="shared" si="24"/>
        <v/>
      </c>
      <c r="J904" s="32"/>
      <c r="T904" t="str">
        <f>IF(OR(C904="",I904&lt;&gt;"ENTRADA"),"",UPPER(LEFT(SUBSTITUTE(C904," ",""),3))&amp;"-"&amp;TEXT(B904,"AAMMDD")&amp;"-"&amp;(COUNTIFS($C$5:C904,C904,$B$5:B904,B904,$I$5:I904,"ENTRADA")))</f>
        <v/>
      </c>
    </row>
    <row r="905" spans="1:20">
      <c r="A905" s="22" t="s">
        <v>982</v>
      </c>
      <c r="H905" s="22" t="str">
        <f t="shared" si="24"/>
        <v/>
      </c>
      <c r="J905" s="32"/>
      <c r="T905" t="str">
        <f>IF(OR(C905="",I905&lt;&gt;"ENTRADA"),"",UPPER(LEFT(SUBSTITUTE(C905," ",""),3))&amp;"-"&amp;TEXT(B905,"AAMMDD")&amp;"-"&amp;(COUNTIFS($C$5:C905,C905,$B$5:B905,B905,$I$5:I905,"ENTRADA")))</f>
        <v/>
      </c>
    </row>
    <row r="906" spans="1:20">
      <c r="A906" s="22" t="s">
        <v>983</v>
      </c>
      <c r="H906" s="22" t="str">
        <f t="shared" si="24"/>
        <v/>
      </c>
      <c r="J906" s="32"/>
      <c r="T906" t="str">
        <f>IF(OR(C906="",I906&lt;&gt;"ENTRADA"),"",UPPER(LEFT(SUBSTITUTE(C906," ",""),3))&amp;"-"&amp;TEXT(B906,"AAMMDD")&amp;"-"&amp;(COUNTIFS($C$5:C906,C906,$B$5:B906,B906,$I$5:I906,"ENTRADA")))</f>
        <v/>
      </c>
    </row>
    <row r="907" spans="1:20">
      <c r="A907" s="22" t="s">
        <v>984</v>
      </c>
      <c r="H907" s="22" t="str">
        <f t="shared" si="24"/>
        <v/>
      </c>
      <c r="J907" s="32"/>
      <c r="T907" t="str">
        <f>IF(OR(C907="",I907&lt;&gt;"ENTRADA"),"",UPPER(LEFT(SUBSTITUTE(C907," ",""),3))&amp;"-"&amp;TEXT(B907,"AAMMDD")&amp;"-"&amp;(COUNTIFS($C$5:C907,C907,$B$5:B907,B907,$I$5:I907,"ENTRADA")))</f>
        <v/>
      </c>
    </row>
    <row r="908" spans="1:20">
      <c r="A908" s="22" t="s">
        <v>985</v>
      </c>
      <c r="H908" s="22" t="str">
        <f t="shared" si="24"/>
        <v/>
      </c>
      <c r="J908" s="32"/>
      <c r="T908" t="str">
        <f>IF(OR(C908="",I908&lt;&gt;"ENTRADA"),"",UPPER(LEFT(SUBSTITUTE(C908," ",""),3))&amp;"-"&amp;TEXT(B908,"AAMMDD")&amp;"-"&amp;(COUNTIFS($C$5:C908,C908,$B$5:B908,B908,$I$5:I908,"ENTRADA")))</f>
        <v/>
      </c>
    </row>
    <row r="909" spans="1:20">
      <c r="A909" s="22" t="s">
        <v>986</v>
      </c>
      <c r="H909" s="22" t="str">
        <f t="shared" si="24"/>
        <v/>
      </c>
      <c r="J909" s="32"/>
      <c r="T909" t="str">
        <f>IF(OR(C909="",I909&lt;&gt;"ENTRADA"),"",UPPER(LEFT(SUBSTITUTE(C909," ",""),3))&amp;"-"&amp;TEXT(B909,"AAMMDD")&amp;"-"&amp;(COUNTIFS($C$5:C909,C909,$B$5:B909,B909,$I$5:I909,"ENTRADA")))</f>
        <v/>
      </c>
    </row>
    <row r="910" spans="1:20">
      <c r="A910" s="22" t="s">
        <v>987</v>
      </c>
      <c r="H910" s="22" t="str">
        <f t="shared" si="24"/>
        <v/>
      </c>
      <c r="J910" s="32"/>
      <c r="T910" t="str">
        <f>IF(OR(C910="",I910&lt;&gt;"ENTRADA"),"",UPPER(LEFT(SUBSTITUTE(C910," ",""),3))&amp;"-"&amp;TEXT(B910,"AAMMDD")&amp;"-"&amp;(COUNTIFS($C$5:C910,C910,$B$5:B910,B910,$I$5:I910,"ENTRADA")))</f>
        <v/>
      </c>
    </row>
    <row r="911" spans="1:20">
      <c r="A911" s="22" t="s">
        <v>988</v>
      </c>
      <c r="H911" s="22" t="str">
        <f t="shared" si="24"/>
        <v/>
      </c>
      <c r="J911" s="32"/>
      <c r="T911" t="str">
        <f>IF(OR(C911="",I911&lt;&gt;"ENTRADA"),"",UPPER(LEFT(SUBSTITUTE(C911," ",""),3))&amp;"-"&amp;TEXT(B911,"AAMMDD")&amp;"-"&amp;(COUNTIFS($C$5:C911,C911,$B$5:B911,B911,$I$5:I911,"ENTRADA")))</f>
        <v/>
      </c>
    </row>
    <row r="912" spans="1:20">
      <c r="A912" s="22" t="s">
        <v>989</v>
      </c>
      <c r="H912" s="22" t="str">
        <f t="shared" ref="H912:H975" si="25">+T912</f>
        <v/>
      </c>
      <c r="J912" s="32"/>
      <c r="T912" t="str">
        <f>IF(OR(C912="",I912&lt;&gt;"ENTRADA"),"",UPPER(LEFT(SUBSTITUTE(C912," ",""),3))&amp;"-"&amp;TEXT(B912,"AAMMDD")&amp;"-"&amp;(COUNTIFS($C$5:C912,C912,$B$5:B912,B912,$I$5:I912,"ENTRADA")))</f>
        <v/>
      </c>
    </row>
    <row r="913" spans="1:20">
      <c r="A913" s="22" t="s">
        <v>990</v>
      </c>
      <c r="H913" s="22" t="str">
        <f t="shared" si="25"/>
        <v/>
      </c>
      <c r="J913" s="32"/>
      <c r="T913" t="str">
        <f>IF(OR(C913="",I913&lt;&gt;"ENTRADA"),"",UPPER(LEFT(SUBSTITUTE(C913," ",""),3))&amp;"-"&amp;TEXT(B913,"AAMMDD")&amp;"-"&amp;(COUNTIFS($C$5:C913,C913,$B$5:B913,B913,$I$5:I913,"ENTRADA")))</f>
        <v/>
      </c>
    </row>
    <row r="914" spans="1:20">
      <c r="A914" s="22" t="s">
        <v>991</v>
      </c>
      <c r="H914" s="22" t="str">
        <f t="shared" si="25"/>
        <v/>
      </c>
      <c r="J914" s="32"/>
      <c r="T914" t="str">
        <f>IF(OR(C914="",I914&lt;&gt;"ENTRADA"),"",UPPER(LEFT(SUBSTITUTE(C914," ",""),3))&amp;"-"&amp;TEXT(B914,"AAMMDD")&amp;"-"&amp;(COUNTIFS($C$5:C914,C914,$B$5:B914,B914,$I$5:I914,"ENTRADA")))</f>
        <v/>
      </c>
    </row>
    <row r="915" spans="1:20">
      <c r="A915" s="22" t="s">
        <v>992</v>
      </c>
      <c r="H915" s="22" t="str">
        <f t="shared" si="25"/>
        <v/>
      </c>
      <c r="J915" s="32"/>
      <c r="T915" t="str">
        <f>IF(OR(C915="",I915&lt;&gt;"ENTRADA"),"",UPPER(LEFT(SUBSTITUTE(C915," ",""),3))&amp;"-"&amp;TEXT(B915,"AAMMDD")&amp;"-"&amp;(COUNTIFS($C$5:C915,C915,$B$5:B915,B915,$I$5:I915,"ENTRADA")))</f>
        <v/>
      </c>
    </row>
    <row r="916" spans="1:20">
      <c r="A916" s="22" t="s">
        <v>993</v>
      </c>
      <c r="H916" s="22" t="str">
        <f t="shared" si="25"/>
        <v/>
      </c>
      <c r="J916" s="32"/>
      <c r="T916" t="str">
        <f>IF(OR(C916="",I916&lt;&gt;"ENTRADA"),"",UPPER(LEFT(SUBSTITUTE(C916," ",""),3))&amp;"-"&amp;TEXT(B916,"AAMMDD")&amp;"-"&amp;(COUNTIFS($C$5:C916,C916,$B$5:B916,B916,$I$5:I916,"ENTRADA")))</f>
        <v/>
      </c>
    </row>
    <row r="917" spans="1:20">
      <c r="A917" s="22" t="s">
        <v>994</v>
      </c>
      <c r="H917" s="22" t="str">
        <f t="shared" si="25"/>
        <v/>
      </c>
      <c r="J917" s="32"/>
      <c r="T917" t="str">
        <f>IF(OR(C917="",I917&lt;&gt;"ENTRADA"),"",UPPER(LEFT(SUBSTITUTE(C917," ",""),3))&amp;"-"&amp;TEXT(B917,"AAMMDD")&amp;"-"&amp;(COUNTIFS($C$5:C917,C917,$B$5:B917,B917,$I$5:I917,"ENTRADA")))</f>
        <v/>
      </c>
    </row>
    <row r="918" spans="1:20">
      <c r="A918" s="22" t="s">
        <v>995</v>
      </c>
      <c r="H918" s="22" t="str">
        <f t="shared" si="25"/>
        <v/>
      </c>
      <c r="J918" s="32"/>
      <c r="T918" t="str">
        <f>IF(OR(C918="",I918&lt;&gt;"ENTRADA"),"",UPPER(LEFT(SUBSTITUTE(C918," ",""),3))&amp;"-"&amp;TEXT(B918,"AAMMDD")&amp;"-"&amp;(COUNTIFS($C$5:C918,C918,$B$5:B918,B918,$I$5:I918,"ENTRADA")))</f>
        <v/>
      </c>
    </row>
    <row r="919" spans="1:20">
      <c r="A919" s="22" t="s">
        <v>996</v>
      </c>
      <c r="H919" s="22" t="str">
        <f t="shared" si="25"/>
        <v/>
      </c>
      <c r="J919" s="32"/>
      <c r="T919" t="str">
        <f>IF(OR(C919="",I919&lt;&gt;"ENTRADA"),"",UPPER(LEFT(SUBSTITUTE(C919," ",""),3))&amp;"-"&amp;TEXT(B919,"AAMMDD")&amp;"-"&amp;(COUNTIFS($C$5:C919,C919,$B$5:B919,B919,$I$5:I919,"ENTRADA")))</f>
        <v/>
      </c>
    </row>
    <row r="920" spans="1:20">
      <c r="A920" s="22" t="s">
        <v>997</v>
      </c>
      <c r="H920" s="22" t="str">
        <f t="shared" si="25"/>
        <v/>
      </c>
      <c r="J920" s="32"/>
      <c r="T920" t="str">
        <f>IF(OR(C920="",I920&lt;&gt;"ENTRADA"),"",UPPER(LEFT(SUBSTITUTE(C920," ",""),3))&amp;"-"&amp;TEXT(B920,"AAMMDD")&amp;"-"&amp;(COUNTIFS($C$5:C920,C920,$B$5:B920,B920,$I$5:I920,"ENTRADA")))</f>
        <v/>
      </c>
    </row>
    <row r="921" spans="1:20">
      <c r="A921" s="22" t="s">
        <v>998</v>
      </c>
      <c r="H921" s="22" t="str">
        <f t="shared" si="25"/>
        <v/>
      </c>
      <c r="J921" s="32"/>
      <c r="T921" t="str">
        <f>IF(OR(C921="",I921&lt;&gt;"ENTRADA"),"",UPPER(LEFT(SUBSTITUTE(C921," ",""),3))&amp;"-"&amp;TEXT(B921,"AAMMDD")&amp;"-"&amp;(COUNTIFS($C$5:C921,C921,$B$5:B921,B921,$I$5:I921,"ENTRADA")))</f>
        <v/>
      </c>
    </row>
    <row r="922" spans="1:20">
      <c r="A922" s="22" t="s">
        <v>999</v>
      </c>
      <c r="H922" s="22" t="str">
        <f t="shared" si="25"/>
        <v/>
      </c>
      <c r="J922" s="32"/>
      <c r="T922" t="str">
        <f>IF(OR(C922="",I922&lt;&gt;"ENTRADA"),"",UPPER(LEFT(SUBSTITUTE(C922," ",""),3))&amp;"-"&amp;TEXT(B922,"AAMMDD")&amp;"-"&amp;(COUNTIFS($C$5:C922,C922,$B$5:B922,B922,$I$5:I922,"ENTRADA")))</f>
        <v/>
      </c>
    </row>
    <row r="923" spans="1:20">
      <c r="A923" s="22" t="s">
        <v>1000</v>
      </c>
      <c r="H923" s="22" t="str">
        <f t="shared" si="25"/>
        <v/>
      </c>
      <c r="J923" s="32"/>
      <c r="T923" t="str">
        <f>IF(OR(C923="",I923&lt;&gt;"ENTRADA"),"",UPPER(LEFT(SUBSTITUTE(C923," ",""),3))&amp;"-"&amp;TEXT(B923,"AAMMDD")&amp;"-"&amp;(COUNTIFS($C$5:C923,C923,$B$5:B923,B923,$I$5:I923,"ENTRADA")))</f>
        <v/>
      </c>
    </row>
    <row r="924" spans="1:20">
      <c r="A924" s="22" t="s">
        <v>1001</v>
      </c>
      <c r="H924" s="22" t="str">
        <f t="shared" si="25"/>
        <v/>
      </c>
      <c r="J924" s="32"/>
      <c r="T924" t="str">
        <f>IF(OR(C924="",I924&lt;&gt;"ENTRADA"),"",UPPER(LEFT(SUBSTITUTE(C924," ",""),3))&amp;"-"&amp;TEXT(B924,"AAMMDD")&amp;"-"&amp;(COUNTIFS($C$5:C924,C924,$B$5:B924,B924,$I$5:I924,"ENTRADA")))</f>
        <v/>
      </c>
    </row>
    <row r="925" spans="1:20">
      <c r="A925" s="22" t="s">
        <v>1002</v>
      </c>
      <c r="H925" s="22" t="str">
        <f t="shared" si="25"/>
        <v/>
      </c>
      <c r="J925" s="32"/>
      <c r="T925" t="str">
        <f>IF(OR(C925="",I925&lt;&gt;"ENTRADA"),"",UPPER(LEFT(SUBSTITUTE(C925," ",""),3))&amp;"-"&amp;TEXT(B925,"AAMMDD")&amp;"-"&amp;(COUNTIFS($C$5:C925,C925,$B$5:B925,B925,$I$5:I925,"ENTRADA")))</f>
        <v/>
      </c>
    </row>
    <row r="926" spans="1:20">
      <c r="A926" s="22" t="s">
        <v>1003</v>
      </c>
      <c r="H926" s="22" t="str">
        <f t="shared" si="25"/>
        <v/>
      </c>
      <c r="J926" s="32"/>
      <c r="T926" t="str">
        <f>IF(OR(C926="",I926&lt;&gt;"ENTRADA"),"",UPPER(LEFT(SUBSTITUTE(C926," ",""),3))&amp;"-"&amp;TEXT(B926,"AAMMDD")&amp;"-"&amp;(COUNTIFS($C$5:C926,C926,$B$5:B926,B926,$I$5:I926,"ENTRADA")))</f>
        <v/>
      </c>
    </row>
    <row r="927" spans="1:20">
      <c r="A927" s="22" t="s">
        <v>1004</v>
      </c>
      <c r="H927" s="22" t="str">
        <f t="shared" si="25"/>
        <v/>
      </c>
      <c r="J927" s="32"/>
      <c r="T927" t="str">
        <f>IF(OR(C927="",I927&lt;&gt;"ENTRADA"),"",UPPER(LEFT(SUBSTITUTE(C927," ",""),3))&amp;"-"&amp;TEXT(B927,"AAMMDD")&amp;"-"&amp;(COUNTIFS($C$5:C927,C927,$B$5:B927,B927,$I$5:I927,"ENTRADA")))</f>
        <v/>
      </c>
    </row>
    <row r="928" spans="1:20">
      <c r="A928" s="22" t="s">
        <v>1005</v>
      </c>
      <c r="H928" s="22" t="str">
        <f t="shared" si="25"/>
        <v/>
      </c>
      <c r="J928" s="32"/>
      <c r="T928" t="str">
        <f>IF(OR(C928="",I928&lt;&gt;"ENTRADA"),"",UPPER(LEFT(SUBSTITUTE(C928," ",""),3))&amp;"-"&amp;TEXT(B928,"AAMMDD")&amp;"-"&amp;(COUNTIFS($C$5:C928,C928,$B$5:B928,B928,$I$5:I928,"ENTRADA")))</f>
        <v/>
      </c>
    </row>
    <row r="929" spans="1:20">
      <c r="A929" s="22" t="s">
        <v>1006</v>
      </c>
      <c r="H929" s="22" t="str">
        <f t="shared" si="25"/>
        <v/>
      </c>
      <c r="J929" s="32"/>
      <c r="T929" t="str">
        <f>IF(OR(C929="",I929&lt;&gt;"ENTRADA"),"",UPPER(LEFT(SUBSTITUTE(C929," ",""),3))&amp;"-"&amp;TEXT(B929,"AAMMDD")&amp;"-"&amp;(COUNTIFS($C$5:C929,C929,$B$5:B929,B929,$I$5:I929,"ENTRADA")))</f>
        <v/>
      </c>
    </row>
    <row r="930" spans="1:20">
      <c r="A930" s="22" t="s">
        <v>1007</v>
      </c>
      <c r="H930" s="22" t="str">
        <f t="shared" si="25"/>
        <v/>
      </c>
      <c r="J930" s="32"/>
      <c r="T930" t="str">
        <f>IF(OR(C930="",I930&lt;&gt;"ENTRADA"),"",UPPER(LEFT(SUBSTITUTE(C930," ",""),3))&amp;"-"&amp;TEXT(B930,"AAMMDD")&amp;"-"&amp;(COUNTIFS($C$5:C930,C930,$B$5:B930,B930,$I$5:I930,"ENTRADA")))</f>
        <v/>
      </c>
    </row>
    <row r="931" spans="1:20">
      <c r="A931" s="22" t="s">
        <v>1008</v>
      </c>
      <c r="H931" s="22" t="str">
        <f t="shared" si="25"/>
        <v/>
      </c>
      <c r="J931" s="32"/>
      <c r="T931" t="str">
        <f>IF(OR(C931="",I931&lt;&gt;"ENTRADA"),"",UPPER(LEFT(SUBSTITUTE(C931," ",""),3))&amp;"-"&amp;TEXT(B931,"AAMMDD")&amp;"-"&amp;(COUNTIFS($C$5:C931,C931,$B$5:B931,B931,$I$5:I931,"ENTRADA")))</f>
        <v/>
      </c>
    </row>
    <row r="932" spans="1:20">
      <c r="A932" s="22" t="s">
        <v>1009</v>
      </c>
      <c r="H932" s="22" t="str">
        <f t="shared" si="25"/>
        <v/>
      </c>
      <c r="J932" s="32"/>
      <c r="T932" t="str">
        <f>IF(OR(C932="",I932&lt;&gt;"ENTRADA"),"",UPPER(LEFT(SUBSTITUTE(C932," ",""),3))&amp;"-"&amp;TEXT(B932,"AAMMDD")&amp;"-"&amp;(COUNTIFS($C$5:C932,C932,$B$5:B932,B932,$I$5:I932,"ENTRADA")))</f>
        <v/>
      </c>
    </row>
    <row r="933" spans="1:20">
      <c r="A933" s="22" t="s">
        <v>1010</v>
      </c>
      <c r="H933" s="22" t="str">
        <f t="shared" si="25"/>
        <v/>
      </c>
      <c r="J933" s="32"/>
      <c r="T933" t="str">
        <f>IF(OR(C933="",I933&lt;&gt;"ENTRADA"),"",UPPER(LEFT(SUBSTITUTE(C933," ",""),3))&amp;"-"&amp;TEXT(B933,"AAMMDD")&amp;"-"&amp;(COUNTIFS($C$5:C933,C933,$B$5:B933,B933,$I$5:I933,"ENTRADA")))</f>
        <v/>
      </c>
    </row>
    <row r="934" spans="1:20">
      <c r="A934" s="22" t="s">
        <v>1011</v>
      </c>
      <c r="H934" s="22" t="str">
        <f t="shared" si="25"/>
        <v/>
      </c>
      <c r="J934" s="32"/>
      <c r="T934" t="str">
        <f>IF(OR(C934="",I934&lt;&gt;"ENTRADA"),"",UPPER(LEFT(SUBSTITUTE(C934," ",""),3))&amp;"-"&amp;TEXT(B934,"AAMMDD")&amp;"-"&amp;(COUNTIFS($C$5:C934,C934,$B$5:B934,B934,$I$5:I934,"ENTRADA")))</f>
        <v/>
      </c>
    </row>
    <row r="935" spans="1:20">
      <c r="A935" s="22" t="s">
        <v>1012</v>
      </c>
      <c r="H935" s="22" t="str">
        <f t="shared" si="25"/>
        <v/>
      </c>
      <c r="J935" s="32"/>
      <c r="T935" t="str">
        <f>IF(OR(C935="",I935&lt;&gt;"ENTRADA"),"",UPPER(LEFT(SUBSTITUTE(C935," ",""),3))&amp;"-"&amp;TEXT(B935,"AAMMDD")&amp;"-"&amp;(COUNTIFS($C$5:C935,C935,$B$5:B935,B935,$I$5:I935,"ENTRADA")))</f>
        <v/>
      </c>
    </row>
    <row r="936" spans="1:20">
      <c r="A936" s="22" t="s">
        <v>1013</v>
      </c>
      <c r="H936" s="22" t="str">
        <f t="shared" si="25"/>
        <v/>
      </c>
      <c r="J936" s="32"/>
      <c r="T936" t="str">
        <f>IF(OR(C936="",I936&lt;&gt;"ENTRADA"),"",UPPER(LEFT(SUBSTITUTE(C936," ",""),3))&amp;"-"&amp;TEXT(B936,"AAMMDD")&amp;"-"&amp;(COUNTIFS($C$5:C936,C936,$B$5:B936,B936,$I$5:I936,"ENTRADA")))</f>
        <v/>
      </c>
    </row>
    <row r="937" spans="1:20">
      <c r="A937" s="22" t="s">
        <v>1014</v>
      </c>
      <c r="H937" s="22" t="str">
        <f t="shared" si="25"/>
        <v/>
      </c>
      <c r="J937" s="32"/>
      <c r="T937" t="str">
        <f>IF(OR(C937="",I937&lt;&gt;"ENTRADA"),"",UPPER(LEFT(SUBSTITUTE(C937," ",""),3))&amp;"-"&amp;TEXT(B937,"AAMMDD")&amp;"-"&amp;(COUNTIFS($C$5:C937,C937,$B$5:B937,B937,$I$5:I937,"ENTRADA")))</f>
        <v/>
      </c>
    </row>
    <row r="938" spans="1:20">
      <c r="A938" s="22" t="s">
        <v>1015</v>
      </c>
      <c r="H938" s="22" t="str">
        <f t="shared" si="25"/>
        <v/>
      </c>
      <c r="J938" s="32"/>
      <c r="T938" t="str">
        <f>IF(OR(C938="",I938&lt;&gt;"ENTRADA"),"",UPPER(LEFT(SUBSTITUTE(C938," ",""),3))&amp;"-"&amp;TEXT(B938,"AAMMDD")&amp;"-"&amp;(COUNTIFS($C$5:C938,C938,$B$5:B938,B938,$I$5:I938,"ENTRADA")))</f>
        <v/>
      </c>
    </row>
    <row r="939" spans="1:20">
      <c r="A939" s="22" t="s">
        <v>1016</v>
      </c>
      <c r="H939" s="22" t="str">
        <f t="shared" si="25"/>
        <v/>
      </c>
      <c r="J939" s="32"/>
      <c r="T939" t="str">
        <f>IF(OR(C939="",I939&lt;&gt;"ENTRADA"),"",UPPER(LEFT(SUBSTITUTE(C939," ",""),3))&amp;"-"&amp;TEXT(B939,"AAMMDD")&amp;"-"&amp;(COUNTIFS($C$5:C939,C939,$B$5:B939,B939,$I$5:I939,"ENTRADA")))</f>
        <v/>
      </c>
    </row>
    <row r="940" spans="1:20">
      <c r="A940" s="22" t="s">
        <v>1017</v>
      </c>
      <c r="H940" s="22" t="str">
        <f t="shared" si="25"/>
        <v/>
      </c>
      <c r="J940" s="32"/>
      <c r="T940" t="str">
        <f>IF(OR(C940="",I940&lt;&gt;"ENTRADA"),"",UPPER(LEFT(SUBSTITUTE(C940," ",""),3))&amp;"-"&amp;TEXT(B940,"AAMMDD")&amp;"-"&amp;(COUNTIFS($C$5:C940,C940,$B$5:B940,B940,$I$5:I940,"ENTRADA")))</f>
        <v/>
      </c>
    </row>
    <row r="941" spans="1:20">
      <c r="A941" s="22" t="s">
        <v>1018</v>
      </c>
      <c r="H941" s="22" t="str">
        <f t="shared" si="25"/>
        <v/>
      </c>
      <c r="J941" s="32"/>
      <c r="T941" t="str">
        <f>IF(OR(C941="",I941&lt;&gt;"ENTRADA"),"",UPPER(LEFT(SUBSTITUTE(C941," ",""),3))&amp;"-"&amp;TEXT(B941,"AAMMDD")&amp;"-"&amp;(COUNTIFS($C$5:C941,C941,$B$5:B941,B941,$I$5:I941,"ENTRADA")))</f>
        <v/>
      </c>
    </row>
    <row r="942" spans="1:20">
      <c r="A942" s="22" t="s">
        <v>1019</v>
      </c>
      <c r="H942" s="22" t="str">
        <f t="shared" si="25"/>
        <v/>
      </c>
      <c r="J942" s="32"/>
      <c r="T942" t="str">
        <f>IF(OR(C942="",I942&lt;&gt;"ENTRADA"),"",UPPER(LEFT(SUBSTITUTE(C942," ",""),3))&amp;"-"&amp;TEXT(B942,"AAMMDD")&amp;"-"&amp;(COUNTIFS($C$5:C942,C942,$B$5:B942,B942,$I$5:I942,"ENTRADA")))</f>
        <v/>
      </c>
    </row>
    <row r="943" spans="1:20">
      <c r="A943" s="22" t="s">
        <v>1020</v>
      </c>
      <c r="H943" s="22" t="str">
        <f t="shared" si="25"/>
        <v/>
      </c>
      <c r="J943" s="32"/>
      <c r="T943" t="str">
        <f>IF(OR(C943="",I943&lt;&gt;"ENTRADA"),"",UPPER(LEFT(SUBSTITUTE(C943," ",""),3))&amp;"-"&amp;TEXT(B943,"AAMMDD")&amp;"-"&amp;(COUNTIFS($C$5:C943,C943,$B$5:B943,B943,$I$5:I943,"ENTRADA")))</f>
        <v/>
      </c>
    </row>
    <row r="944" spans="1:20">
      <c r="A944" s="22" t="s">
        <v>1021</v>
      </c>
      <c r="H944" s="22" t="str">
        <f t="shared" si="25"/>
        <v/>
      </c>
      <c r="J944" s="32"/>
      <c r="T944" t="str">
        <f>IF(OR(C944="",I944&lt;&gt;"ENTRADA"),"",UPPER(LEFT(SUBSTITUTE(C944," ",""),3))&amp;"-"&amp;TEXT(B944,"AAMMDD")&amp;"-"&amp;(COUNTIFS($C$5:C944,C944,$B$5:B944,B944,$I$5:I944,"ENTRADA")))</f>
        <v/>
      </c>
    </row>
    <row r="945" spans="1:20">
      <c r="A945" s="22" t="s">
        <v>1022</v>
      </c>
      <c r="H945" s="22" t="str">
        <f t="shared" si="25"/>
        <v/>
      </c>
      <c r="J945" s="32"/>
      <c r="T945" t="str">
        <f>IF(OR(C945="",I945&lt;&gt;"ENTRADA"),"",UPPER(LEFT(SUBSTITUTE(C945," ",""),3))&amp;"-"&amp;TEXT(B945,"AAMMDD")&amp;"-"&amp;(COUNTIFS($C$5:C945,C945,$B$5:B945,B945,$I$5:I945,"ENTRADA")))</f>
        <v/>
      </c>
    </row>
    <row r="946" spans="1:20">
      <c r="A946" s="22" t="s">
        <v>1023</v>
      </c>
      <c r="H946" s="22" t="str">
        <f t="shared" si="25"/>
        <v/>
      </c>
      <c r="J946" s="32"/>
      <c r="T946" t="str">
        <f>IF(OR(C946="",I946&lt;&gt;"ENTRADA"),"",UPPER(LEFT(SUBSTITUTE(C946," ",""),3))&amp;"-"&amp;TEXT(B946,"AAMMDD")&amp;"-"&amp;(COUNTIFS($C$5:C946,C946,$B$5:B946,B946,$I$5:I946,"ENTRADA")))</f>
        <v/>
      </c>
    </row>
    <row r="947" spans="1:20">
      <c r="A947" s="22" t="s">
        <v>1024</v>
      </c>
      <c r="H947" s="22" t="str">
        <f t="shared" si="25"/>
        <v/>
      </c>
      <c r="J947" s="32"/>
      <c r="T947" t="str">
        <f>IF(OR(C947="",I947&lt;&gt;"ENTRADA"),"",UPPER(LEFT(SUBSTITUTE(C947," ",""),3))&amp;"-"&amp;TEXT(B947,"AAMMDD")&amp;"-"&amp;(COUNTIFS($C$5:C947,C947,$B$5:B947,B947,$I$5:I947,"ENTRADA")))</f>
        <v/>
      </c>
    </row>
    <row r="948" spans="1:20">
      <c r="A948" s="22" t="s">
        <v>1025</v>
      </c>
      <c r="H948" s="22" t="str">
        <f t="shared" si="25"/>
        <v/>
      </c>
      <c r="J948" s="32"/>
      <c r="T948" t="str">
        <f>IF(OR(C948="",I948&lt;&gt;"ENTRADA"),"",UPPER(LEFT(SUBSTITUTE(C948," ",""),3))&amp;"-"&amp;TEXT(B948,"AAMMDD")&amp;"-"&amp;(COUNTIFS($C$5:C948,C948,$B$5:B948,B948,$I$5:I948,"ENTRADA")))</f>
        <v/>
      </c>
    </row>
    <row r="949" spans="1:20">
      <c r="A949" s="22" t="s">
        <v>1026</v>
      </c>
      <c r="H949" s="22" t="str">
        <f t="shared" si="25"/>
        <v/>
      </c>
      <c r="J949" s="32"/>
      <c r="T949" t="str">
        <f>IF(OR(C949="",I949&lt;&gt;"ENTRADA"),"",UPPER(LEFT(SUBSTITUTE(C949," ",""),3))&amp;"-"&amp;TEXT(B949,"AAMMDD")&amp;"-"&amp;(COUNTIFS($C$5:C949,C949,$B$5:B949,B949,$I$5:I949,"ENTRADA")))</f>
        <v/>
      </c>
    </row>
    <row r="950" spans="1:20">
      <c r="A950" s="22" t="s">
        <v>1027</v>
      </c>
      <c r="H950" s="22" t="str">
        <f t="shared" si="25"/>
        <v/>
      </c>
      <c r="J950" s="32"/>
      <c r="T950" t="str">
        <f>IF(OR(C950="",I950&lt;&gt;"ENTRADA"),"",UPPER(LEFT(SUBSTITUTE(C950," ",""),3))&amp;"-"&amp;TEXT(B950,"AAMMDD")&amp;"-"&amp;(COUNTIFS($C$5:C950,C950,$B$5:B950,B950,$I$5:I950,"ENTRADA")))</f>
        <v/>
      </c>
    </row>
    <row r="951" spans="1:20">
      <c r="A951" s="22" t="s">
        <v>1028</v>
      </c>
      <c r="H951" s="22" t="str">
        <f t="shared" si="25"/>
        <v/>
      </c>
      <c r="J951" s="32"/>
      <c r="T951" t="str">
        <f>IF(OR(C951="",I951&lt;&gt;"ENTRADA"),"",UPPER(LEFT(SUBSTITUTE(C951," ",""),3))&amp;"-"&amp;TEXT(B951,"AAMMDD")&amp;"-"&amp;(COUNTIFS($C$5:C951,C951,$B$5:B951,B951,$I$5:I951,"ENTRADA")))</f>
        <v/>
      </c>
    </row>
    <row r="952" spans="1:20">
      <c r="A952" s="22" t="s">
        <v>1029</v>
      </c>
      <c r="H952" s="22" t="str">
        <f t="shared" si="25"/>
        <v/>
      </c>
      <c r="J952" s="32"/>
      <c r="T952" t="str">
        <f>IF(OR(C952="",I952&lt;&gt;"ENTRADA"),"",UPPER(LEFT(SUBSTITUTE(C952," ",""),3))&amp;"-"&amp;TEXT(B952,"AAMMDD")&amp;"-"&amp;(COUNTIFS($C$5:C952,C952,$B$5:B952,B952,$I$5:I952,"ENTRADA")))</f>
        <v/>
      </c>
    </row>
    <row r="953" spans="1:20">
      <c r="A953" s="22" t="s">
        <v>1030</v>
      </c>
      <c r="H953" s="22" t="str">
        <f t="shared" si="25"/>
        <v/>
      </c>
      <c r="J953" s="32"/>
      <c r="T953" t="str">
        <f>IF(OR(C953="",I953&lt;&gt;"ENTRADA"),"",UPPER(LEFT(SUBSTITUTE(C953," ",""),3))&amp;"-"&amp;TEXT(B953,"AAMMDD")&amp;"-"&amp;(COUNTIFS($C$5:C953,C953,$B$5:B953,B953,$I$5:I953,"ENTRADA")))</f>
        <v/>
      </c>
    </row>
    <row r="954" spans="1:20">
      <c r="A954" s="22" t="s">
        <v>1031</v>
      </c>
      <c r="H954" s="22" t="str">
        <f t="shared" si="25"/>
        <v/>
      </c>
      <c r="J954" s="32"/>
      <c r="T954" t="str">
        <f>IF(OR(C954="",I954&lt;&gt;"ENTRADA"),"",UPPER(LEFT(SUBSTITUTE(C954," ",""),3))&amp;"-"&amp;TEXT(B954,"AAMMDD")&amp;"-"&amp;(COUNTIFS($C$5:C954,C954,$B$5:B954,B954,$I$5:I954,"ENTRADA")))</f>
        <v/>
      </c>
    </row>
    <row r="955" spans="1:20">
      <c r="A955" s="22" t="s">
        <v>1032</v>
      </c>
      <c r="H955" s="22" t="str">
        <f t="shared" si="25"/>
        <v/>
      </c>
      <c r="J955" s="32"/>
      <c r="T955" t="str">
        <f>IF(OR(C955="",I955&lt;&gt;"ENTRADA"),"",UPPER(LEFT(SUBSTITUTE(C955," ",""),3))&amp;"-"&amp;TEXT(B955,"AAMMDD")&amp;"-"&amp;(COUNTIFS($C$5:C955,C955,$B$5:B955,B955,$I$5:I955,"ENTRADA")))</f>
        <v/>
      </c>
    </row>
    <row r="956" spans="1:20">
      <c r="A956" s="22" t="s">
        <v>1033</v>
      </c>
      <c r="H956" s="22" t="str">
        <f t="shared" si="25"/>
        <v/>
      </c>
      <c r="J956" s="32"/>
      <c r="T956" t="str">
        <f>IF(OR(C956="",I956&lt;&gt;"ENTRADA"),"",UPPER(LEFT(SUBSTITUTE(C956," ",""),3))&amp;"-"&amp;TEXT(B956,"AAMMDD")&amp;"-"&amp;(COUNTIFS($C$5:C956,C956,$B$5:B956,B956,$I$5:I956,"ENTRADA")))</f>
        <v/>
      </c>
    </row>
    <row r="957" spans="1:20">
      <c r="A957" s="22" t="s">
        <v>1034</v>
      </c>
      <c r="H957" s="22" t="str">
        <f t="shared" si="25"/>
        <v/>
      </c>
      <c r="J957" s="32"/>
      <c r="T957" t="str">
        <f>IF(OR(C957="",I957&lt;&gt;"ENTRADA"),"",UPPER(LEFT(SUBSTITUTE(C957," ",""),3))&amp;"-"&amp;TEXT(B957,"AAMMDD")&amp;"-"&amp;(COUNTIFS($C$5:C957,C957,$B$5:B957,B957,$I$5:I957,"ENTRADA")))</f>
        <v/>
      </c>
    </row>
    <row r="958" spans="1:20">
      <c r="A958" s="22" t="s">
        <v>1035</v>
      </c>
      <c r="H958" s="22" t="str">
        <f t="shared" si="25"/>
        <v/>
      </c>
      <c r="J958" s="32"/>
      <c r="T958" t="str">
        <f>IF(OR(C958="",I958&lt;&gt;"ENTRADA"),"",UPPER(LEFT(SUBSTITUTE(C958," ",""),3))&amp;"-"&amp;TEXT(B958,"AAMMDD")&amp;"-"&amp;(COUNTIFS($C$5:C958,C958,$B$5:B958,B958,$I$5:I958,"ENTRADA")))</f>
        <v/>
      </c>
    </row>
    <row r="959" spans="1:20">
      <c r="A959" s="22" t="s">
        <v>1036</v>
      </c>
      <c r="H959" s="22" t="str">
        <f t="shared" si="25"/>
        <v/>
      </c>
      <c r="J959" s="32"/>
      <c r="T959" t="str">
        <f>IF(OR(C959="",I959&lt;&gt;"ENTRADA"),"",UPPER(LEFT(SUBSTITUTE(C959," ",""),3))&amp;"-"&amp;TEXT(B959,"AAMMDD")&amp;"-"&amp;(COUNTIFS($C$5:C959,C959,$B$5:B959,B959,$I$5:I959,"ENTRADA")))</f>
        <v/>
      </c>
    </row>
    <row r="960" spans="1:20">
      <c r="A960" s="22" t="s">
        <v>1037</v>
      </c>
      <c r="H960" s="22" t="str">
        <f t="shared" si="25"/>
        <v/>
      </c>
      <c r="J960" s="32"/>
      <c r="T960" t="str">
        <f>IF(OR(C960="",I960&lt;&gt;"ENTRADA"),"",UPPER(LEFT(SUBSTITUTE(C960," ",""),3))&amp;"-"&amp;TEXT(B960,"AAMMDD")&amp;"-"&amp;(COUNTIFS($C$5:C960,C960,$B$5:B960,B960,$I$5:I960,"ENTRADA")))</f>
        <v/>
      </c>
    </row>
    <row r="961" spans="1:20">
      <c r="A961" s="22" t="s">
        <v>1038</v>
      </c>
      <c r="H961" s="22" t="str">
        <f t="shared" si="25"/>
        <v/>
      </c>
      <c r="J961" s="32"/>
      <c r="T961" t="str">
        <f>IF(OR(C961="",I961&lt;&gt;"ENTRADA"),"",UPPER(LEFT(SUBSTITUTE(C961," ",""),3))&amp;"-"&amp;TEXT(B961,"AAMMDD")&amp;"-"&amp;(COUNTIFS($C$5:C961,C961,$B$5:B961,B961,$I$5:I961,"ENTRADA")))</f>
        <v/>
      </c>
    </row>
    <row r="962" spans="1:20">
      <c r="A962" s="22" t="s">
        <v>1039</v>
      </c>
      <c r="H962" s="22" t="str">
        <f t="shared" si="25"/>
        <v/>
      </c>
      <c r="J962" s="32"/>
      <c r="T962" t="str">
        <f>IF(OR(C962="",I962&lt;&gt;"ENTRADA"),"",UPPER(LEFT(SUBSTITUTE(C962," ",""),3))&amp;"-"&amp;TEXT(B962,"AAMMDD")&amp;"-"&amp;(COUNTIFS($C$5:C962,C962,$B$5:B962,B962,$I$5:I962,"ENTRADA")))</f>
        <v/>
      </c>
    </row>
    <row r="963" spans="1:20">
      <c r="A963" s="22" t="s">
        <v>1040</v>
      </c>
      <c r="H963" s="22" t="str">
        <f t="shared" si="25"/>
        <v/>
      </c>
      <c r="J963" s="32"/>
      <c r="T963" t="str">
        <f>IF(OR(C963="",I963&lt;&gt;"ENTRADA"),"",UPPER(LEFT(SUBSTITUTE(C963," ",""),3))&amp;"-"&amp;TEXT(B963,"AAMMDD")&amp;"-"&amp;(COUNTIFS($C$5:C963,C963,$B$5:B963,B963,$I$5:I963,"ENTRADA")))</f>
        <v/>
      </c>
    </row>
    <row r="964" spans="1:20">
      <c r="A964" s="22" t="s">
        <v>1041</v>
      </c>
      <c r="H964" s="22" t="str">
        <f t="shared" si="25"/>
        <v/>
      </c>
      <c r="J964" s="32"/>
      <c r="T964" t="str">
        <f>IF(OR(C964="",I964&lt;&gt;"ENTRADA"),"",UPPER(LEFT(SUBSTITUTE(C964," ",""),3))&amp;"-"&amp;TEXT(B964,"AAMMDD")&amp;"-"&amp;(COUNTIFS($C$5:C964,C964,$B$5:B964,B964,$I$5:I964,"ENTRADA")))</f>
        <v/>
      </c>
    </row>
    <row r="965" spans="1:20">
      <c r="A965" s="22" t="s">
        <v>1042</v>
      </c>
      <c r="H965" s="22" t="str">
        <f t="shared" si="25"/>
        <v/>
      </c>
      <c r="J965" s="32"/>
      <c r="T965" t="str">
        <f>IF(OR(C965="",I965&lt;&gt;"ENTRADA"),"",UPPER(LEFT(SUBSTITUTE(C965," ",""),3))&amp;"-"&amp;TEXT(B965,"AAMMDD")&amp;"-"&amp;(COUNTIFS($C$5:C965,C965,$B$5:B965,B965,$I$5:I965,"ENTRADA")))</f>
        <v/>
      </c>
    </row>
    <row r="966" spans="1:20">
      <c r="A966" s="22" t="s">
        <v>1043</v>
      </c>
      <c r="H966" s="22" t="str">
        <f t="shared" si="25"/>
        <v/>
      </c>
      <c r="J966" s="32"/>
      <c r="T966" t="str">
        <f>IF(OR(C966="",I966&lt;&gt;"ENTRADA"),"",UPPER(LEFT(SUBSTITUTE(C966," ",""),3))&amp;"-"&amp;TEXT(B966,"AAMMDD")&amp;"-"&amp;(COUNTIFS($C$5:C966,C966,$B$5:B966,B966,$I$5:I966,"ENTRADA")))</f>
        <v/>
      </c>
    </row>
    <row r="967" spans="1:20">
      <c r="A967" s="22" t="s">
        <v>1044</v>
      </c>
      <c r="H967" s="22" t="str">
        <f t="shared" si="25"/>
        <v/>
      </c>
      <c r="J967" s="32"/>
      <c r="T967" t="str">
        <f>IF(OR(C967="",I967&lt;&gt;"ENTRADA"),"",UPPER(LEFT(SUBSTITUTE(C967," ",""),3))&amp;"-"&amp;TEXT(B967,"AAMMDD")&amp;"-"&amp;(COUNTIFS($C$5:C967,C967,$B$5:B967,B967,$I$5:I967,"ENTRADA")))</f>
        <v/>
      </c>
    </row>
    <row r="968" spans="1:20">
      <c r="A968" s="22" t="s">
        <v>1045</v>
      </c>
      <c r="H968" s="22" t="str">
        <f t="shared" si="25"/>
        <v/>
      </c>
      <c r="J968" s="32"/>
      <c r="T968" t="str">
        <f>IF(OR(C968="",I968&lt;&gt;"ENTRADA"),"",UPPER(LEFT(SUBSTITUTE(C968," ",""),3))&amp;"-"&amp;TEXT(B968,"AAMMDD")&amp;"-"&amp;(COUNTIFS($C$5:C968,C968,$B$5:B968,B968,$I$5:I968,"ENTRADA")))</f>
        <v/>
      </c>
    </row>
    <row r="969" spans="1:20">
      <c r="A969" s="22" t="s">
        <v>1046</v>
      </c>
      <c r="H969" s="22" t="str">
        <f t="shared" si="25"/>
        <v/>
      </c>
      <c r="J969" s="32"/>
      <c r="T969" t="str">
        <f>IF(OR(C969="",I969&lt;&gt;"ENTRADA"),"",UPPER(LEFT(SUBSTITUTE(C969," ",""),3))&amp;"-"&amp;TEXT(B969,"AAMMDD")&amp;"-"&amp;(COUNTIFS($C$5:C969,C969,$B$5:B969,B969,$I$5:I969,"ENTRADA")))</f>
        <v/>
      </c>
    </row>
    <row r="970" spans="1:20">
      <c r="A970" s="22" t="s">
        <v>1047</v>
      </c>
      <c r="H970" s="22" t="str">
        <f t="shared" si="25"/>
        <v/>
      </c>
      <c r="J970" s="32"/>
      <c r="T970" t="str">
        <f>IF(OR(C970="",I970&lt;&gt;"ENTRADA"),"",UPPER(LEFT(SUBSTITUTE(C970," ",""),3))&amp;"-"&amp;TEXT(B970,"AAMMDD")&amp;"-"&amp;(COUNTIFS($C$5:C970,C970,$B$5:B970,B970,$I$5:I970,"ENTRADA")))</f>
        <v/>
      </c>
    </row>
    <row r="971" spans="1:20">
      <c r="A971" s="22" t="s">
        <v>1048</v>
      </c>
      <c r="H971" s="22" t="str">
        <f t="shared" si="25"/>
        <v/>
      </c>
      <c r="J971" s="32"/>
      <c r="T971" t="str">
        <f>IF(OR(C971="",I971&lt;&gt;"ENTRADA"),"",UPPER(LEFT(SUBSTITUTE(C971," ",""),3))&amp;"-"&amp;TEXT(B971,"AAMMDD")&amp;"-"&amp;(COUNTIFS($C$5:C971,C971,$B$5:B971,B971,$I$5:I971,"ENTRADA")))</f>
        <v/>
      </c>
    </row>
    <row r="972" spans="1:20">
      <c r="A972" s="22" t="s">
        <v>1049</v>
      </c>
      <c r="H972" s="22" t="str">
        <f t="shared" si="25"/>
        <v/>
      </c>
      <c r="J972" s="32"/>
      <c r="T972" t="str">
        <f>IF(OR(C972="",I972&lt;&gt;"ENTRADA"),"",UPPER(LEFT(SUBSTITUTE(C972," ",""),3))&amp;"-"&amp;TEXT(B972,"AAMMDD")&amp;"-"&amp;(COUNTIFS($C$5:C972,C972,$B$5:B972,B972,$I$5:I972,"ENTRADA")))</f>
        <v/>
      </c>
    </row>
    <row r="973" spans="1:20">
      <c r="A973" s="22" t="s">
        <v>1050</v>
      </c>
      <c r="H973" s="22" t="str">
        <f t="shared" si="25"/>
        <v/>
      </c>
      <c r="J973" s="32"/>
      <c r="T973" t="str">
        <f>IF(OR(C973="",I973&lt;&gt;"ENTRADA"),"",UPPER(LEFT(SUBSTITUTE(C973," ",""),3))&amp;"-"&amp;TEXT(B973,"AAMMDD")&amp;"-"&amp;(COUNTIFS($C$5:C973,C973,$B$5:B973,B973,$I$5:I973,"ENTRADA")))</f>
        <v/>
      </c>
    </row>
    <row r="974" spans="1:20">
      <c r="A974" s="22" t="s">
        <v>1051</v>
      </c>
      <c r="H974" s="22" t="str">
        <f t="shared" si="25"/>
        <v/>
      </c>
      <c r="J974" s="32"/>
      <c r="T974" t="str">
        <f>IF(OR(C974="",I974&lt;&gt;"ENTRADA"),"",UPPER(LEFT(SUBSTITUTE(C974," ",""),3))&amp;"-"&amp;TEXT(B974,"AAMMDD")&amp;"-"&amp;(COUNTIFS($C$5:C974,C974,$B$5:B974,B974,$I$5:I974,"ENTRADA")))</f>
        <v/>
      </c>
    </row>
    <row r="975" spans="1:20">
      <c r="A975" s="22" t="s">
        <v>1052</v>
      </c>
      <c r="H975" s="22" t="str">
        <f t="shared" si="25"/>
        <v/>
      </c>
      <c r="J975" s="32"/>
      <c r="T975" t="str">
        <f>IF(OR(C975="",I975&lt;&gt;"ENTRADA"),"",UPPER(LEFT(SUBSTITUTE(C975," ",""),3))&amp;"-"&amp;TEXT(B975,"AAMMDD")&amp;"-"&amp;(COUNTIFS($C$5:C975,C975,$B$5:B975,B975,$I$5:I975,"ENTRADA")))</f>
        <v/>
      </c>
    </row>
    <row r="976" spans="1:20">
      <c r="A976" s="22" t="s">
        <v>1053</v>
      </c>
      <c r="H976" s="22" t="str">
        <f t="shared" ref="H976:H1039" si="26">+T976</f>
        <v/>
      </c>
      <c r="J976" s="32"/>
      <c r="T976" t="str">
        <f>IF(OR(C976="",I976&lt;&gt;"ENTRADA"),"",UPPER(LEFT(SUBSTITUTE(C976," ",""),3))&amp;"-"&amp;TEXT(B976,"AAMMDD")&amp;"-"&amp;(COUNTIFS($C$5:C976,C976,$B$5:B976,B976,$I$5:I976,"ENTRADA")))</f>
        <v/>
      </c>
    </row>
    <row r="977" spans="1:20">
      <c r="A977" s="22" t="s">
        <v>1054</v>
      </c>
      <c r="H977" s="22" t="str">
        <f t="shared" si="26"/>
        <v/>
      </c>
      <c r="J977" s="32"/>
      <c r="T977" t="str">
        <f>IF(OR(C977="",I977&lt;&gt;"ENTRADA"),"",UPPER(LEFT(SUBSTITUTE(C977," ",""),3))&amp;"-"&amp;TEXT(B977,"AAMMDD")&amp;"-"&amp;(COUNTIFS($C$5:C977,C977,$B$5:B977,B977,$I$5:I977,"ENTRADA")))</f>
        <v/>
      </c>
    </row>
    <row r="978" spans="1:20">
      <c r="A978" s="22" t="s">
        <v>1055</v>
      </c>
      <c r="H978" s="22" t="str">
        <f t="shared" si="26"/>
        <v/>
      </c>
      <c r="J978" s="32"/>
      <c r="T978" t="str">
        <f>IF(OR(C978="",I978&lt;&gt;"ENTRADA"),"",UPPER(LEFT(SUBSTITUTE(C978," ",""),3))&amp;"-"&amp;TEXT(B978,"AAMMDD")&amp;"-"&amp;(COUNTIFS($C$5:C978,C978,$B$5:B978,B978,$I$5:I978,"ENTRADA")))</f>
        <v/>
      </c>
    </row>
    <row r="979" spans="1:20">
      <c r="A979" s="22" t="s">
        <v>1056</v>
      </c>
      <c r="H979" s="22" t="str">
        <f t="shared" si="26"/>
        <v/>
      </c>
      <c r="J979" s="32"/>
      <c r="T979" t="str">
        <f>IF(OR(C979="",I979&lt;&gt;"ENTRADA"),"",UPPER(LEFT(SUBSTITUTE(C979," ",""),3))&amp;"-"&amp;TEXT(B979,"AAMMDD")&amp;"-"&amp;(COUNTIFS($C$5:C979,C979,$B$5:B979,B979,$I$5:I979,"ENTRADA")))</f>
        <v/>
      </c>
    </row>
    <row r="980" spans="1:20">
      <c r="A980" s="22" t="s">
        <v>1057</v>
      </c>
      <c r="H980" s="22" t="str">
        <f t="shared" si="26"/>
        <v/>
      </c>
      <c r="J980" s="32"/>
      <c r="T980" t="str">
        <f>IF(OR(C980="",I980&lt;&gt;"ENTRADA"),"",UPPER(LEFT(SUBSTITUTE(C980," ",""),3))&amp;"-"&amp;TEXT(B980,"AAMMDD")&amp;"-"&amp;(COUNTIFS($C$5:C980,C980,$B$5:B980,B980,$I$5:I980,"ENTRADA")))</f>
        <v/>
      </c>
    </row>
    <row r="981" spans="1:20">
      <c r="A981" s="22" t="s">
        <v>1058</v>
      </c>
      <c r="H981" s="22" t="str">
        <f t="shared" si="26"/>
        <v/>
      </c>
      <c r="J981" s="32"/>
      <c r="T981" t="str">
        <f>IF(OR(C981="",I981&lt;&gt;"ENTRADA"),"",UPPER(LEFT(SUBSTITUTE(C981," ",""),3))&amp;"-"&amp;TEXT(B981,"AAMMDD")&amp;"-"&amp;(COUNTIFS($C$5:C981,C981,$B$5:B981,B981,$I$5:I981,"ENTRADA")))</f>
        <v/>
      </c>
    </row>
    <row r="982" spans="1:20">
      <c r="A982" s="22" t="s">
        <v>1059</v>
      </c>
      <c r="H982" s="22" t="str">
        <f t="shared" si="26"/>
        <v/>
      </c>
      <c r="J982" s="32"/>
      <c r="T982" t="str">
        <f>IF(OR(C982="",I982&lt;&gt;"ENTRADA"),"",UPPER(LEFT(SUBSTITUTE(C982," ",""),3))&amp;"-"&amp;TEXT(B982,"AAMMDD")&amp;"-"&amp;(COUNTIFS($C$5:C982,C982,$B$5:B982,B982,$I$5:I982,"ENTRADA")))</f>
        <v/>
      </c>
    </row>
    <row r="983" spans="1:20">
      <c r="A983" s="22" t="s">
        <v>1060</v>
      </c>
      <c r="H983" s="22" t="str">
        <f t="shared" si="26"/>
        <v/>
      </c>
      <c r="J983" s="32"/>
      <c r="T983" t="str">
        <f>IF(OR(C983="",I983&lt;&gt;"ENTRADA"),"",UPPER(LEFT(SUBSTITUTE(C983," ",""),3))&amp;"-"&amp;TEXT(B983,"AAMMDD")&amp;"-"&amp;(COUNTIFS($C$5:C983,C983,$B$5:B983,B983,$I$5:I983,"ENTRADA")))</f>
        <v/>
      </c>
    </row>
    <row r="984" spans="1:20">
      <c r="A984" s="22" t="s">
        <v>1061</v>
      </c>
      <c r="H984" s="22" t="str">
        <f t="shared" si="26"/>
        <v/>
      </c>
      <c r="J984" s="32"/>
      <c r="T984" t="str">
        <f>IF(OR(C984="",I984&lt;&gt;"ENTRADA"),"",UPPER(LEFT(SUBSTITUTE(C984," ",""),3))&amp;"-"&amp;TEXT(B984,"AAMMDD")&amp;"-"&amp;(COUNTIFS($C$5:C984,C984,$B$5:B984,B984,$I$5:I984,"ENTRADA")))</f>
        <v/>
      </c>
    </row>
    <row r="985" spans="1:20">
      <c r="A985" s="22" t="s">
        <v>1062</v>
      </c>
      <c r="H985" s="22" t="str">
        <f t="shared" si="26"/>
        <v/>
      </c>
      <c r="J985" s="32"/>
      <c r="T985" t="str">
        <f>IF(OR(C985="",I985&lt;&gt;"ENTRADA"),"",UPPER(LEFT(SUBSTITUTE(C985," ",""),3))&amp;"-"&amp;TEXT(B985,"AAMMDD")&amp;"-"&amp;(COUNTIFS($C$5:C985,C985,$B$5:B985,B985,$I$5:I985,"ENTRADA")))</f>
        <v/>
      </c>
    </row>
    <row r="986" spans="1:20">
      <c r="A986" s="22" t="s">
        <v>1063</v>
      </c>
      <c r="H986" s="22" t="str">
        <f t="shared" si="26"/>
        <v/>
      </c>
      <c r="J986" s="32"/>
      <c r="T986" t="str">
        <f>IF(OR(C986="",I986&lt;&gt;"ENTRADA"),"",UPPER(LEFT(SUBSTITUTE(C986," ",""),3))&amp;"-"&amp;TEXT(B986,"AAMMDD")&amp;"-"&amp;(COUNTIFS($C$5:C986,C986,$B$5:B986,B986,$I$5:I986,"ENTRADA")))</f>
        <v/>
      </c>
    </row>
    <row r="987" spans="1:20">
      <c r="A987" s="22" t="s">
        <v>1064</v>
      </c>
      <c r="H987" s="22" t="str">
        <f t="shared" si="26"/>
        <v/>
      </c>
      <c r="J987" s="32"/>
      <c r="T987" t="str">
        <f>IF(OR(C987="",I987&lt;&gt;"ENTRADA"),"",UPPER(LEFT(SUBSTITUTE(C987," ",""),3))&amp;"-"&amp;TEXT(B987,"AAMMDD")&amp;"-"&amp;(COUNTIFS($C$5:C987,C987,$B$5:B987,B987,$I$5:I987,"ENTRADA")))</f>
        <v/>
      </c>
    </row>
    <row r="988" spans="1:20">
      <c r="A988" s="22" t="s">
        <v>1065</v>
      </c>
      <c r="H988" s="22" t="str">
        <f t="shared" si="26"/>
        <v/>
      </c>
      <c r="J988" s="32"/>
      <c r="T988" t="str">
        <f>IF(OR(C988="",I988&lt;&gt;"ENTRADA"),"",UPPER(LEFT(SUBSTITUTE(C988," ",""),3))&amp;"-"&amp;TEXT(B988,"AAMMDD")&amp;"-"&amp;(COUNTIFS($C$5:C988,C988,$B$5:B988,B988,$I$5:I988,"ENTRADA")))</f>
        <v/>
      </c>
    </row>
    <row r="989" spans="1:20">
      <c r="A989" s="22" t="s">
        <v>1066</v>
      </c>
      <c r="H989" s="22" t="str">
        <f t="shared" si="26"/>
        <v/>
      </c>
      <c r="J989" s="32"/>
      <c r="T989" t="str">
        <f>IF(OR(C989="",I989&lt;&gt;"ENTRADA"),"",UPPER(LEFT(SUBSTITUTE(C989," ",""),3))&amp;"-"&amp;TEXT(B989,"AAMMDD")&amp;"-"&amp;(COUNTIFS($C$5:C989,C989,$B$5:B989,B989,$I$5:I989,"ENTRADA")))</f>
        <v/>
      </c>
    </row>
    <row r="990" spans="1:20">
      <c r="A990" s="22" t="s">
        <v>1067</v>
      </c>
      <c r="H990" s="22" t="str">
        <f t="shared" si="26"/>
        <v/>
      </c>
      <c r="J990" s="32"/>
      <c r="T990" t="str">
        <f>IF(OR(C990="",I990&lt;&gt;"ENTRADA"),"",UPPER(LEFT(SUBSTITUTE(C990," ",""),3))&amp;"-"&amp;TEXT(B990,"AAMMDD")&amp;"-"&amp;(COUNTIFS($C$5:C990,C990,$B$5:B990,B990,$I$5:I990,"ENTRADA")))</f>
        <v/>
      </c>
    </row>
    <row r="991" spans="1:20">
      <c r="A991" s="22" t="s">
        <v>1068</v>
      </c>
      <c r="H991" s="22" t="str">
        <f t="shared" si="26"/>
        <v/>
      </c>
      <c r="J991" s="32"/>
      <c r="T991" t="str">
        <f>IF(OR(C991="",I991&lt;&gt;"ENTRADA"),"",UPPER(LEFT(SUBSTITUTE(C991," ",""),3))&amp;"-"&amp;TEXT(B991,"AAMMDD")&amp;"-"&amp;(COUNTIFS($C$5:C991,C991,$B$5:B991,B991,$I$5:I991,"ENTRADA")))</f>
        <v/>
      </c>
    </row>
    <row r="992" spans="1:20">
      <c r="A992" s="22" t="s">
        <v>1069</v>
      </c>
      <c r="H992" s="22" t="str">
        <f t="shared" si="26"/>
        <v/>
      </c>
      <c r="J992" s="32"/>
      <c r="T992" t="str">
        <f>IF(OR(C992="",I992&lt;&gt;"ENTRADA"),"",UPPER(LEFT(SUBSTITUTE(C992," ",""),3))&amp;"-"&amp;TEXT(B992,"AAMMDD")&amp;"-"&amp;(COUNTIFS($C$5:C992,C992,$B$5:B992,B992,$I$5:I992,"ENTRADA")))</f>
        <v/>
      </c>
    </row>
    <row r="993" spans="1:20">
      <c r="A993" s="22" t="s">
        <v>1070</v>
      </c>
      <c r="H993" s="22" t="str">
        <f t="shared" si="26"/>
        <v/>
      </c>
      <c r="J993" s="32"/>
      <c r="T993" t="str">
        <f>IF(OR(C993="",I993&lt;&gt;"ENTRADA"),"",UPPER(LEFT(SUBSTITUTE(C993," ",""),3))&amp;"-"&amp;TEXT(B993,"AAMMDD")&amp;"-"&amp;(COUNTIFS($C$5:C993,C993,$B$5:B993,B993,$I$5:I993,"ENTRADA")))</f>
        <v/>
      </c>
    </row>
    <row r="994" spans="1:20">
      <c r="A994" s="22" t="s">
        <v>1071</v>
      </c>
      <c r="H994" s="22" t="str">
        <f t="shared" si="26"/>
        <v/>
      </c>
      <c r="J994" s="32"/>
      <c r="T994" t="str">
        <f>IF(OR(C994="",I994&lt;&gt;"ENTRADA"),"",UPPER(LEFT(SUBSTITUTE(C994," ",""),3))&amp;"-"&amp;TEXT(B994,"AAMMDD")&amp;"-"&amp;(COUNTIFS($C$5:C994,C994,$B$5:B994,B994,$I$5:I994,"ENTRADA")))</f>
        <v/>
      </c>
    </row>
    <row r="995" spans="1:20">
      <c r="A995" s="22" t="s">
        <v>1072</v>
      </c>
      <c r="H995" s="22" t="str">
        <f t="shared" si="26"/>
        <v/>
      </c>
      <c r="J995" s="32"/>
      <c r="T995" t="str">
        <f>IF(OR(C995="",I995&lt;&gt;"ENTRADA"),"",UPPER(LEFT(SUBSTITUTE(C995," ",""),3))&amp;"-"&amp;TEXT(B995,"AAMMDD")&amp;"-"&amp;(COUNTIFS($C$5:C995,C995,$B$5:B995,B995,$I$5:I995,"ENTRADA")))</f>
        <v/>
      </c>
    </row>
    <row r="996" spans="1:20">
      <c r="A996" s="22" t="s">
        <v>1073</v>
      </c>
      <c r="H996" s="22" t="str">
        <f t="shared" si="26"/>
        <v/>
      </c>
      <c r="J996" s="32"/>
      <c r="T996" t="str">
        <f>IF(OR(C996="",I996&lt;&gt;"ENTRADA"),"",UPPER(LEFT(SUBSTITUTE(C996," ",""),3))&amp;"-"&amp;TEXT(B996,"AAMMDD")&amp;"-"&amp;(COUNTIFS($C$5:C996,C996,$B$5:B996,B996,$I$5:I996,"ENTRADA")))</f>
        <v/>
      </c>
    </row>
    <row r="997" spans="1:20">
      <c r="A997" s="22" t="s">
        <v>1074</v>
      </c>
      <c r="H997" s="22" t="str">
        <f t="shared" si="26"/>
        <v/>
      </c>
      <c r="J997" s="32"/>
      <c r="T997" t="str">
        <f>IF(OR(C997="",I997&lt;&gt;"ENTRADA"),"",UPPER(LEFT(SUBSTITUTE(C997," ",""),3))&amp;"-"&amp;TEXT(B997,"AAMMDD")&amp;"-"&amp;(COUNTIFS($C$5:C997,C997,$B$5:B997,B997,$I$5:I997,"ENTRADA")))</f>
        <v/>
      </c>
    </row>
    <row r="998" spans="1:20">
      <c r="A998" s="22" t="s">
        <v>1075</v>
      </c>
      <c r="H998" s="22" t="str">
        <f t="shared" si="26"/>
        <v/>
      </c>
      <c r="J998" s="32"/>
      <c r="T998" t="str">
        <f>IF(OR(C998="",I998&lt;&gt;"ENTRADA"),"",UPPER(LEFT(SUBSTITUTE(C998," ",""),3))&amp;"-"&amp;TEXT(B998,"AAMMDD")&amp;"-"&amp;(COUNTIFS($C$5:C998,C998,$B$5:B998,B998,$I$5:I998,"ENTRADA")))</f>
        <v/>
      </c>
    </row>
    <row r="999" spans="1:20">
      <c r="A999" s="22" t="s">
        <v>1076</v>
      </c>
      <c r="H999" s="22" t="str">
        <f t="shared" si="26"/>
        <v/>
      </c>
      <c r="J999" s="32"/>
      <c r="T999" t="str">
        <f>IF(OR(C999="",I999&lt;&gt;"ENTRADA"),"",UPPER(LEFT(SUBSTITUTE(C999," ",""),3))&amp;"-"&amp;TEXT(B999,"AAMMDD")&amp;"-"&amp;(COUNTIFS($C$5:C999,C999,$B$5:B999,B999,$I$5:I999,"ENTRADA")))</f>
        <v/>
      </c>
    </row>
    <row r="1000" spans="1:20">
      <c r="A1000" s="22" t="s">
        <v>1077</v>
      </c>
      <c r="H1000" s="22" t="str">
        <f t="shared" si="26"/>
        <v/>
      </c>
      <c r="J1000" s="32"/>
      <c r="T1000" t="str">
        <f>IF(OR(C1000="",I1000&lt;&gt;"ENTRADA"),"",UPPER(LEFT(SUBSTITUTE(C1000," ",""),3))&amp;"-"&amp;TEXT(B1000,"AAMMDD")&amp;"-"&amp;(COUNTIFS($C$5:C1000,C1000,$B$5:B1000,B1000,$I$5:I1000,"ENTRADA")))</f>
        <v/>
      </c>
    </row>
    <row r="1001" spans="1:20">
      <c r="A1001" s="22" t="s">
        <v>1078</v>
      </c>
      <c r="H1001" s="22" t="str">
        <f t="shared" si="26"/>
        <v/>
      </c>
      <c r="J1001" s="32"/>
      <c r="T1001" t="str">
        <f>IF(OR(C1001="",I1001&lt;&gt;"ENTRADA"),"",UPPER(LEFT(SUBSTITUTE(C1001," ",""),3))&amp;"-"&amp;TEXT(B1001,"AAMMDD")&amp;"-"&amp;(COUNTIFS($C$5:C1001,C1001,$B$5:B1001,B1001,$I$5:I1001,"ENTRADA")))</f>
        <v/>
      </c>
    </row>
    <row r="1002" spans="1:20">
      <c r="A1002" s="22" t="s">
        <v>1079</v>
      </c>
      <c r="H1002" s="22" t="str">
        <f t="shared" si="26"/>
        <v/>
      </c>
      <c r="J1002" s="32"/>
      <c r="T1002" t="str">
        <f>IF(OR(C1002="",I1002&lt;&gt;"ENTRADA"),"",UPPER(LEFT(SUBSTITUTE(C1002," ",""),3))&amp;"-"&amp;TEXT(B1002,"AAMMDD")&amp;"-"&amp;(COUNTIFS($C$5:C1002,C1002,$B$5:B1002,B1002,$I$5:I1002,"ENTRADA")))</f>
        <v/>
      </c>
    </row>
    <row r="1003" spans="1:20">
      <c r="A1003" s="22" t="s">
        <v>1080</v>
      </c>
      <c r="H1003" s="22" t="str">
        <f t="shared" si="26"/>
        <v/>
      </c>
      <c r="J1003" s="32"/>
      <c r="T1003" t="str">
        <f>IF(OR(C1003="",I1003&lt;&gt;"ENTRADA"),"",UPPER(LEFT(SUBSTITUTE(C1003," ",""),3))&amp;"-"&amp;TEXT(B1003,"AAMMDD")&amp;"-"&amp;(COUNTIFS($C$5:C1003,C1003,$B$5:B1003,B1003,$I$5:I1003,"ENTRADA")))</f>
        <v/>
      </c>
    </row>
    <row r="1004" spans="1:20">
      <c r="A1004" s="22" t="s">
        <v>1081</v>
      </c>
      <c r="H1004" s="22" t="str">
        <f t="shared" si="26"/>
        <v/>
      </c>
      <c r="J1004" s="32"/>
      <c r="T1004" t="str">
        <f>IF(OR(C1004="",I1004&lt;&gt;"ENTRADA"),"",UPPER(LEFT(SUBSTITUTE(C1004," ",""),3))&amp;"-"&amp;TEXT(B1004,"AAMMDD")&amp;"-"&amp;(COUNTIFS($C$5:C1004,C1004,$B$5:B1004,B1004,$I$5:I1004,"ENTRADA")))</f>
        <v/>
      </c>
    </row>
    <row r="1005" spans="1:20">
      <c r="A1005" s="22" t="s">
        <v>1082</v>
      </c>
      <c r="H1005" s="22" t="str">
        <f t="shared" si="26"/>
        <v/>
      </c>
      <c r="J1005" s="32"/>
      <c r="T1005" t="str">
        <f>IF(OR(C1005="",I1005&lt;&gt;"ENTRADA"),"",UPPER(LEFT(SUBSTITUTE(C1005," ",""),3))&amp;"-"&amp;TEXT(B1005,"AAMMDD")&amp;"-"&amp;(COUNTIFS($C$5:C1005,C1005,$B$5:B1005,B1005,$I$5:I1005,"ENTRADA")))</f>
        <v/>
      </c>
    </row>
    <row r="1006" spans="1:20">
      <c r="A1006" s="22" t="s">
        <v>1083</v>
      </c>
      <c r="H1006" s="22" t="str">
        <f t="shared" si="26"/>
        <v/>
      </c>
      <c r="J1006" s="32"/>
      <c r="T1006" t="str">
        <f>IF(OR(C1006="",I1006&lt;&gt;"ENTRADA"),"",UPPER(LEFT(SUBSTITUTE(C1006," ",""),3))&amp;"-"&amp;TEXT(B1006,"AAMMDD")&amp;"-"&amp;(COUNTIFS($C$5:C1006,C1006,$B$5:B1006,B1006,$I$5:I1006,"ENTRADA")))</f>
        <v/>
      </c>
    </row>
    <row r="1007" spans="1:20">
      <c r="A1007" s="22" t="s">
        <v>1084</v>
      </c>
      <c r="H1007" s="22" t="str">
        <f t="shared" si="26"/>
        <v/>
      </c>
      <c r="J1007" s="32"/>
      <c r="T1007" t="str">
        <f>IF(OR(C1007="",I1007&lt;&gt;"ENTRADA"),"",UPPER(LEFT(SUBSTITUTE(C1007," ",""),3))&amp;"-"&amp;TEXT(B1007,"AAMMDD")&amp;"-"&amp;(COUNTIFS($C$5:C1007,C1007,$B$5:B1007,B1007,$I$5:I1007,"ENTRADA")))</f>
        <v/>
      </c>
    </row>
    <row r="1008" spans="1:20">
      <c r="A1008" s="22" t="s">
        <v>1085</v>
      </c>
      <c r="H1008" s="22" t="str">
        <f t="shared" si="26"/>
        <v/>
      </c>
      <c r="J1008" s="32"/>
      <c r="T1008" t="str">
        <f>IF(OR(C1008="",I1008&lt;&gt;"ENTRADA"),"",UPPER(LEFT(SUBSTITUTE(C1008," ",""),3))&amp;"-"&amp;TEXT(B1008,"AAMMDD")&amp;"-"&amp;(COUNTIFS($C$5:C1008,C1008,$B$5:B1008,B1008,$I$5:I1008,"ENTRADA")))</f>
        <v/>
      </c>
    </row>
    <row r="1009" spans="1:20">
      <c r="A1009" s="22" t="s">
        <v>1086</v>
      </c>
      <c r="H1009" s="22" t="str">
        <f t="shared" si="26"/>
        <v/>
      </c>
      <c r="J1009" s="32"/>
      <c r="T1009" t="str">
        <f>IF(OR(C1009="",I1009&lt;&gt;"ENTRADA"),"",UPPER(LEFT(SUBSTITUTE(C1009," ",""),3))&amp;"-"&amp;TEXT(B1009,"AAMMDD")&amp;"-"&amp;(COUNTIFS($C$5:C1009,C1009,$B$5:B1009,B1009,$I$5:I1009,"ENTRADA")))</f>
        <v/>
      </c>
    </row>
    <row r="1010" spans="1:20">
      <c r="A1010" s="22" t="s">
        <v>1087</v>
      </c>
      <c r="H1010" s="22" t="str">
        <f t="shared" si="26"/>
        <v/>
      </c>
      <c r="J1010" s="32"/>
      <c r="T1010" t="str">
        <f>IF(OR(C1010="",I1010&lt;&gt;"ENTRADA"),"",UPPER(LEFT(SUBSTITUTE(C1010," ",""),3))&amp;"-"&amp;TEXT(B1010,"AAMMDD")&amp;"-"&amp;(COUNTIFS($C$5:C1010,C1010,$B$5:B1010,B1010,$I$5:I1010,"ENTRADA")))</f>
        <v/>
      </c>
    </row>
    <row r="1011" spans="1:20">
      <c r="A1011" s="22" t="s">
        <v>1088</v>
      </c>
      <c r="H1011" s="22" t="str">
        <f t="shared" si="26"/>
        <v/>
      </c>
      <c r="J1011" s="32"/>
      <c r="T1011" t="str">
        <f>IF(OR(C1011="",I1011&lt;&gt;"ENTRADA"),"",UPPER(LEFT(SUBSTITUTE(C1011," ",""),3))&amp;"-"&amp;TEXT(B1011,"AAMMDD")&amp;"-"&amp;(COUNTIFS($C$5:C1011,C1011,$B$5:B1011,B1011,$I$5:I1011,"ENTRADA")))</f>
        <v/>
      </c>
    </row>
    <row r="1012" spans="1:20">
      <c r="A1012" s="22" t="s">
        <v>1089</v>
      </c>
      <c r="H1012" s="22" t="str">
        <f t="shared" si="26"/>
        <v/>
      </c>
      <c r="J1012" s="32"/>
      <c r="T1012" t="str">
        <f>IF(OR(C1012="",I1012&lt;&gt;"ENTRADA"),"",UPPER(LEFT(SUBSTITUTE(C1012," ",""),3))&amp;"-"&amp;TEXT(B1012,"AAMMDD")&amp;"-"&amp;(COUNTIFS($C$5:C1012,C1012,$B$5:B1012,B1012,$I$5:I1012,"ENTRADA")))</f>
        <v/>
      </c>
    </row>
    <row r="1013" spans="1:20">
      <c r="A1013" s="22" t="s">
        <v>1090</v>
      </c>
      <c r="H1013" s="22" t="str">
        <f t="shared" si="26"/>
        <v/>
      </c>
      <c r="J1013" s="32"/>
      <c r="T1013" t="str">
        <f>IF(OR(C1013="",I1013&lt;&gt;"ENTRADA"),"",UPPER(LEFT(SUBSTITUTE(C1013," ",""),3))&amp;"-"&amp;TEXT(B1013,"AAMMDD")&amp;"-"&amp;(COUNTIFS($C$5:C1013,C1013,$B$5:B1013,B1013,$I$5:I1013,"ENTRADA")))</f>
        <v/>
      </c>
    </row>
    <row r="1014" spans="1:20">
      <c r="A1014" s="22" t="s">
        <v>1091</v>
      </c>
      <c r="H1014" s="22" t="str">
        <f t="shared" si="26"/>
        <v/>
      </c>
      <c r="J1014" s="32"/>
      <c r="T1014" t="str">
        <f>IF(OR(C1014="",I1014&lt;&gt;"ENTRADA"),"",UPPER(LEFT(SUBSTITUTE(C1014," ",""),3))&amp;"-"&amp;TEXT(B1014,"AAMMDD")&amp;"-"&amp;(COUNTIFS($C$5:C1014,C1014,$B$5:B1014,B1014,$I$5:I1014,"ENTRADA")))</f>
        <v/>
      </c>
    </row>
    <row r="1015" spans="1:20">
      <c r="A1015" s="22" t="s">
        <v>1092</v>
      </c>
      <c r="H1015" s="22" t="str">
        <f t="shared" si="26"/>
        <v/>
      </c>
      <c r="J1015" s="32"/>
      <c r="T1015" t="str">
        <f>IF(OR(C1015="",I1015&lt;&gt;"ENTRADA"),"",UPPER(LEFT(SUBSTITUTE(C1015," ",""),3))&amp;"-"&amp;TEXT(B1015,"AAMMDD")&amp;"-"&amp;(COUNTIFS($C$5:C1015,C1015,$B$5:B1015,B1015,$I$5:I1015,"ENTRADA")))</f>
        <v/>
      </c>
    </row>
    <row r="1016" spans="1:20">
      <c r="A1016" s="22" t="s">
        <v>1093</v>
      </c>
      <c r="H1016" s="22" t="str">
        <f t="shared" si="26"/>
        <v/>
      </c>
      <c r="J1016" s="32"/>
      <c r="T1016" t="str">
        <f>IF(OR(C1016="",I1016&lt;&gt;"ENTRADA"),"",UPPER(LEFT(SUBSTITUTE(C1016," ",""),3))&amp;"-"&amp;TEXT(B1016,"AAMMDD")&amp;"-"&amp;(COUNTIFS($C$5:C1016,C1016,$B$5:B1016,B1016,$I$5:I1016,"ENTRADA")))</f>
        <v/>
      </c>
    </row>
    <row r="1017" spans="1:20">
      <c r="A1017" s="22" t="s">
        <v>1094</v>
      </c>
      <c r="H1017" s="22" t="str">
        <f t="shared" si="26"/>
        <v/>
      </c>
      <c r="J1017" s="32"/>
      <c r="T1017" t="str">
        <f>IF(OR(C1017="",I1017&lt;&gt;"ENTRADA"),"",UPPER(LEFT(SUBSTITUTE(C1017," ",""),3))&amp;"-"&amp;TEXT(B1017,"AAMMDD")&amp;"-"&amp;(COUNTIFS($C$5:C1017,C1017,$B$5:B1017,B1017,$I$5:I1017,"ENTRADA")))</f>
        <v/>
      </c>
    </row>
    <row r="1018" spans="1:20">
      <c r="A1018" s="22" t="s">
        <v>1095</v>
      </c>
      <c r="H1018" s="22" t="str">
        <f t="shared" si="26"/>
        <v/>
      </c>
      <c r="J1018" s="32"/>
      <c r="T1018" t="str">
        <f>IF(OR(C1018="",I1018&lt;&gt;"ENTRADA"),"",UPPER(LEFT(SUBSTITUTE(C1018," ",""),3))&amp;"-"&amp;TEXT(B1018,"AAMMDD")&amp;"-"&amp;(COUNTIFS($C$5:C1018,C1018,$B$5:B1018,B1018,$I$5:I1018,"ENTRADA")))</f>
        <v/>
      </c>
    </row>
    <row r="1019" spans="1:20">
      <c r="A1019" s="22" t="s">
        <v>1096</v>
      </c>
      <c r="H1019" s="22" t="str">
        <f t="shared" si="26"/>
        <v/>
      </c>
      <c r="J1019" s="32"/>
      <c r="T1019" t="str">
        <f>IF(OR(C1019="",I1019&lt;&gt;"ENTRADA"),"",UPPER(LEFT(SUBSTITUTE(C1019," ",""),3))&amp;"-"&amp;TEXT(B1019,"AAMMDD")&amp;"-"&amp;(COUNTIFS($C$5:C1019,C1019,$B$5:B1019,B1019,$I$5:I1019,"ENTRADA")))</f>
        <v/>
      </c>
    </row>
    <row r="1020" spans="1:20">
      <c r="A1020" s="22" t="s">
        <v>1097</v>
      </c>
      <c r="H1020" s="22" t="str">
        <f t="shared" si="26"/>
        <v/>
      </c>
      <c r="J1020" s="32"/>
      <c r="T1020" t="str">
        <f>IF(OR(C1020="",I1020&lt;&gt;"ENTRADA"),"",UPPER(LEFT(SUBSTITUTE(C1020," ",""),3))&amp;"-"&amp;TEXT(B1020,"AAMMDD")&amp;"-"&amp;(COUNTIFS($C$5:C1020,C1020,$B$5:B1020,B1020,$I$5:I1020,"ENTRADA")))</f>
        <v/>
      </c>
    </row>
    <row r="1021" spans="1:20">
      <c r="A1021" s="22" t="s">
        <v>1098</v>
      </c>
      <c r="H1021" s="22" t="str">
        <f t="shared" si="26"/>
        <v/>
      </c>
      <c r="J1021" s="32"/>
      <c r="T1021" t="str">
        <f>IF(OR(C1021="",I1021&lt;&gt;"ENTRADA"),"",UPPER(LEFT(SUBSTITUTE(C1021," ",""),3))&amp;"-"&amp;TEXT(B1021,"AAMMDD")&amp;"-"&amp;(COUNTIFS($C$5:C1021,C1021,$B$5:B1021,B1021,$I$5:I1021,"ENTRADA")))</f>
        <v/>
      </c>
    </row>
    <row r="1022" spans="1:20">
      <c r="A1022" s="22" t="s">
        <v>1099</v>
      </c>
      <c r="H1022" s="22" t="str">
        <f t="shared" si="26"/>
        <v/>
      </c>
      <c r="J1022" s="32"/>
      <c r="T1022" t="str">
        <f>IF(OR(C1022="",I1022&lt;&gt;"ENTRADA"),"",UPPER(LEFT(SUBSTITUTE(C1022," ",""),3))&amp;"-"&amp;TEXT(B1022,"AAMMDD")&amp;"-"&amp;(COUNTIFS($C$5:C1022,C1022,$B$5:B1022,B1022,$I$5:I1022,"ENTRADA")))</f>
        <v/>
      </c>
    </row>
    <row r="1023" spans="1:20">
      <c r="A1023" s="22" t="s">
        <v>1100</v>
      </c>
      <c r="H1023" s="22" t="str">
        <f t="shared" si="26"/>
        <v/>
      </c>
      <c r="J1023" s="32"/>
      <c r="T1023" t="str">
        <f>IF(OR(C1023="",I1023&lt;&gt;"ENTRADA"),"",UPPER(LEFT(SUBSTITUTE(C1023," ",""),3))&amp;"-"&amp;TEXT(B1023,"AAMMDD")&amp;"-"&amp;(COUNTIFS($C$5:C1023,C1023,$B$5:B1023,B1023,$I$5:I1023,"ENTRADA")))</f>
        <v/>
      </c>
    </row>
    <row r="1024" spans="1:20">
      <c r="A1024" s="22" t="s">
        <v>1101</v>
      </c>
      <c r="H1024" s="22" t="str">
        <f t="shared" si="26"/>
        <v/>
      </c>
      <c r="J1024" s="32"/>
      <c r="T1024" t="str">
        <f>IF(OR(C1024="",I1024&lt;&gt;"ENTRADA"),"",UPPER(LEFT(SUBSTITUTE(C1024," ",""),3))&amp;"-"&amp;TEXT(B1024,"AAMMDD")&amp;"-"&amp;(COUNTIFS($C$5:C1024,C1024,$B$5:B1024,B1024,$I$5:I1024,"ENTRADA")))</f>
        <v/>
      </c>
    </row>
    <row r="1025" spans="1:20">
      <c r="A1025" s="22" t="s">
        <v>1102</v>
      </c>
      <c r="H1025" s="22" t="str">
        <f t="shared" si="26"/>
        <v/>
      </c>
      <c r="J1025" s="32"/>
      <c r="T1025" t="str">
        <f>IF(OR(C1025="",I1025&lt;&gt;"ENTRADA"),"",UPPER(LEFT(SUBSTITUTE(C1025," ",""),3))&amp;"-"&amp;TEXT(B1025,"AAMMDD")&amp;"-"&amp;(COUNTIFS($C$5:C1025,C1025,$B$5:B1025,B1025,$I$5:I1025,"ENTRADA")))</f>
        <v/>
      </c>
    </row>
    <row r="1026" spans="1:20">
      <c r="A1026" s="22" t="s">
        <v>1103</v>
      </c>
      <c r="H1026" s="22" t="str">
        <f t="shared" si="26"/>
        <v/>
      </c>
      <c r="J1026" s="32"/>
      <c r="T1026" t="str">
        <f>IF(OR(C1026="",I1026&lt;&gt;"ENTRADA"),"",UPPER(LEFT(SUBSTITUTE(C1026," ",""),3))&amp;"-"&amp;TEXT(B1026,"AAMMDD")&amp;"-"&amp;(COUNTIFS($C$5:C1026,C1026,$B$5:B1026,B1026,$I$5:I1026,"ENTRADA")))</f>
        <v/>
      </c>
    </row>
    <row r="1027" spans="1:20">
      <c r="A1027" s="22" t="s">
        <v>1104</v>
      </c>
      <c r="H1027" s="22" t="str">
        <f t="shared" si="26"/>
        <v/>
      </c>
      <c r="J1027" s="32"/>
      <c r="T1027" t="str">
        <f>IF(OR(C1027="",I1027&lt;&gt;"ENTRADA"),"",UPPER(LEFT(SUBSTITUTE(C1027," ",""),3))&amp;"-"&amp;TEXT(B1027,"AAMMDD")&amp;"-"&amp;(COUNTIFS($C$5:C1027,C1027,$B$5:B1027,B1027,$I$5:I1027,"ENTRADA")))</f>
        <v/>
      </c>
    </row>
    <row r="1028" spans="1:20">
      <c r="A1028" s="22" t="s">
        <v>1105</v>
      </c>
      <c r="H1028" s="22" t="str">
        <f t="shared" si="26"/>
        <v/>
      </c>
      <c r="J1028" s="32"/>
      <c r="T1028" t="str">
        <f>IF(OR(C1028="",I1028&lt;&gt;"ENTRADA"),"",UPPER(LEFT(SUBSTITUTE(C1028," ",""),3))&amp;"-"&amp;TEXT(B1028,"AAMMDD")&amp;"-"&amp;(COUNTIFS($C$5:C1028,C1028,$B$5:B1028,B1028,$I$5:I1028,"ENTRADA")))</f>
        <v/>
      </c>
    </row>
    <row r="1029" spans="1:20">
      <c r="A1029" s="22" t="s">
        <v>1106</v>
      </c>
      <c r="H1029" s="22" t="str">
        <f t="shared" si="26"/>
        <v/>
      </c>
      <c r="J1029" s="32"/>
      <c r="T1029" t="str">
        <f>IF(OR(C1029="",I1029&lt;&gt;"ENTRADA"),"",UPPER(LEFT(SUBSTITUTE(C1029," ",""),3))&amp;"-"&amp;TEXT(B1029,"AAMMDD")&amp;"-"&amp;(COUNTIFS($C$5:C1029,C1029,$B$5:B1029,B1029,$I$5:I1029,"ENTRADA")))</f>
        <v/>
      </c>
    </row>
    <row r="1030" spans="1:20">
      <c r="A1030" s="22" t="s">
        <v>1107</v>
      </c>
      <c r="H1030" s="22" t="str">
        <f t="shared" si="26"/>
        <v/>
      </c>
      <c r="J1030" s="32"/>
      <c r="T1030" t="str">
        <f>IF(OR(C1030="",I1030&lt;&gt;"ENTRADA"),"",UPPER(LEFT(SUBSTITUTE(C1030," ",""),3))&amp;"-"&amp;TEXT(B1030,"AAMMDD")&amp;"-"&amp;(COUNTIFS($C$5:C1030,C1030,$B$5:B1030,B1030,$I$5:I1030,"ENTRADA")))</f>
        <v/>
      </c>
    </row>
    <row r="1031" spans="1:20">
      <c r="A1031" s="22" t="s">
        <v>1108</v>
      </c>
      <c r="H1031" s="22" t="str">
        <f t="shared" si="26"/>
        <v/>
      </c>
      <c r="J1031" s="32"/>
      <c r="T1031" t="str">
        <f>IF(OR(C1031="",I1031&lt;&gt;"ENTRADA"),"",UPPER(LEFT(SUBSTITUTE(C1031," ",""),3))&amp;"-"&amp;TEXT(B1031,"AAMMDD")&amp;"-"&amp;(COUNTIFS($C$5:C1031,C1031,$B$5:B1031,B1031,$I$5:I1031,"ENTRADA")))</f>
        <v/>
      </c>
    </row>
    <row r="1032" spans="1:20">
      <c r="A1032" s="22" t="s">
        <v>1109</v>
      </c>
      <c r="H1032" s="22" t="str">
        <f t="shared" si="26"/>
        <v/>
      </c>
      <c r="J1032" s="32"/>
      <c r="T1032" t="str">
        <f>IF(OR(C1032="",I1032&lt;&gt;"ENTRADA"),"",UPPER(LEFT(SUBSTITUTE(C1032," ",""),3))&amp;"-"&amp;TEXT(B1032,"AAMMDD")&amp;"-"&amp;(COUNTIFS($C$5:C1032,C1032,$B$5:B1032,B1032,$I$5:I1032,"ENTRADA")))</f>
        <v/>
      </c>
    </row>
    <row r="1033" spans="1:20">
      <c r="A1033" s="22" t="s">
        <v>1110</v>
      </c>
      <c r="H1033" s="22" t="str">
        <f t="shared" si="26"/>
        <v/>
      </c>
      <c r="J1033" s="32"/>
      <c r="T1033" t="str">
        <f>IF(OR(C1033="",I1033&lt;&gt;"ENTRADA"),"",UPPER(LEFT(SUBSTITUTE(C1033," ",""),3))&amp;"-"&amp;TEXT(B1033,"AAMMDD")&amp;"-"&amp;(COUNTIFS($C$5:C1033,C1033,$B$5:B1033,B1033,$I$5:I1033,"ENTRADA")))</f>
        <v/>
      </c>
    </row>
    <row r="1034" spans="1:20">
      <c r="A1034" s="22" t="s">
        <v>1111</v>
      </c>
      <c r="H1034" s="22" t="str">
        <f t="shared" si="26"/>
        <v/>
      </c>
      <c r="J1034" s="32"/>
      <c r="T1034" t="str">
        <f>IF(OR(C1034="",I1034&lt;&gt;"ENTRADA"),"",UPPER(LEFT(SUBSTITUTE(C1034," ",""),3))&amp;"-"&amp;TEXT(B1034,"AAMMDD")&amp;"-"&amp;(COUNTIFS($C$5:C1034,C1034,$B$5:B1034,B1034,$I$5:I1034,"ENTRADA")))</f>
        <v/>
      </c>
    </row>
    <row r="1035" spans="1:20">
      <c r="A1035" s="22" t="s">
        <v>1112</v>
      </c>
      <c r="H1035" s="22" t="str">
        <f t="shared" si="26"/>
        <v/>
      </c>
      <c r="J1035" s="32"/>
      <c r="T1035" t="str">
        <f>IF(OR(C1035="",I1035&lt;&gt;"ENTRADA"),"",UPPER(LEFT(SUBSTITUTE(C1035," ",""),3))&amp;"-"&amp;TEXT(B1035,"AAMMDD")&amp;"-"&amp;(COUNTIFS($C$5:C1035,C1035,$B$5:B1035,B1035,$I$5:I1035,"ENTRADA")))</f>
        <v/>
      </c>
    </row>
    <row r="1036" spans="1:20">
      <c r="A1036" s="22" t="s">
        <v>1113</v>
      </c>
      <c r="H1036" s="22" t="str">
        <f t="shared" si="26"/>
        <v/>
      </c>
      <c r="J1036" s="32"/>
      <c r="T1036" t="str">
        <f>IF(OR(C1036="",I1036&lt;&gt;"ENTRADA"),"",UPPER(LEFT(SUBSTITUTE(C1036," ",""),3))&amp;"-"&amp;TEXT(B1036,"AAMMDD")&amp;"-"&amp;(COUNTIFS($C$5:C1036,C1036,$B$5:B1036,B1036,$I$5:I1036,"ENTRADA")))</f>
        <v/>
      </c>
    </row>
    <row r="1037" spans="1:20">
      <c r="A1037" s="22" t="s">
        <v>1114</v>
      </c>
      <c r="H1037" s="22" t="str">
        <f t="shared" si="26"/>
        <v/>
      </c>
      <c r="J1037" s="32"/>
      <c r="T1037" t="str">
        <f>IF(OR(C1037="",I1037&lt;&gt;"ENTRADA"),"",UPPER(LEFT(SUBSTITUTE(C1037," ",""),3))&amp;"-"&amp;TEXT(B1037,"AAMMDD")&amp;"-"&amp;(COUNTIFS($C$5:C1037,C1037,$B$5:B1037,B1037,$I$5:I1037,"ENTRADA")))</f>
        <v/>
      </c>
    </row>
    <row r="1038" spans="1:20">
      <c r="A1038" s="22" t="s">
        <v>1115</v>
      </c>
      <c r="H1038" s="22" t="str">
        <f t="shared" si="26"/>
        <v/>
      </c>
      <c r="J1038" s="32"/>
      <c r="T1038" t="str">
        <f>IF(OR(C1038="",I1038&lt;&gt;"ENTRADA"),"",UPPER(LEFT(SUBSTITUTE(C1038," ",""),3))&amp;"-"&amp;TEXT(B1038,"AAMMDD")&amp;"-"&amp;(COUNTIFS($C$5:C1038,C1038,$B$5:B1038,B1038,$I$5:I1038,"ENTRADA")))</f>
        <v/>
      </c>
    </row>
    <row r="1039" spans="1:20">
      <c r="A1039" s="22" t="s">
        <v>1116</v>
      </c>
      <c r="H1039" s="22" t="str">
        <f t="shared" si="26"/>
        <v/>
      </c>
      <c r="J1039" s="32"/>
      <c r="T1039" t="str">
        <f>IF(OR(C1039="",I1039&lt;&gt;"ENTRADA"),"",UPPER(LEFT(SUBSTITUTE(C1039," ",""),3))&amp;"-"&amp;TEXT(B1039,"AAMMDD")&amp;"-"&amp;(COUNTIFS($C$5:C1039,C1039,$B$5:B1039,B1039,$I$5:I1039,"ENTRADA")))</f>
        <v/>
      </c>
    </row>
    <row r="1040" spans="1:20">
      <c r="A1040" s="22" t="s">
        <v>1117</v>
      </c>
      <c r="H1040" s="22" t="str">
        <f t="shared" ref="H1040:H1103" si="27">+T1040</f>
        <v/>
      </c>
      <c r="J1040" s="32"/>
      <c r="T1040" t="str">
        <f>IF(OR(C1040="",I1040&lt;&gt;"ENTRADA"),"",UPPER(LEFT(SUBSTITUTE(C1040," ",""),3))&amp;"-"&amp;TEXT(B1040,"AAMMDD")&amp;"-"&amp;(COUNTIFS($C$5:C1040,C1040,$B$5:B1040,B1040,$I$5:I1040,"ENTRADA")))</f>
        <v/>
      </c>
    </row>
    <row r="1041" spans="1:20">
      <c r="A1041" s="22" t="s">
        <v>1118</v>
      </c>
      <c r="H1041" s="22" t="str">
        <f t="shared" si="27"/>
        <v/>
      </c>
      <c r="J1041" s="32"/>
      <c r="T1041" t="str">
        <f>IF(OR(C1041="",I1041&lt;&gt;"ENTRADA"),"",UPPER(LEFT(SUBSTITUTE(C1041," ",""),3))&amp;"-"&amp;TEXT(B1041,"AAMMDD")&amp;"-"&amp;(COUNTIFS($C$5:C1041,C1041,$B$5:B1041,B1041,$I$5:I1041,"ENTRADA")))</f>
        <v/>
      </c>
    </row>
    <row r="1042" spans="1:20">
      <c r="A1042" s="22" t="s">
        <v>1119</v>
      </c>
      <c r="H1042" s="22" t="str">
        <f t="shared" si="27"/>
        <v/>
      </c>
      <c r="J1042" s="32"/>
      <c r="T1042" t="str">
        <f>IF(OR(C1042="",I1042&lt;&gt;"ENTRADA"),"",UPPER(LEFT(SUBSTITUTE(C1042," ",""),3))&amp;"-"&amp;TEXT(B1042,"AAMMDD")&amp;"-"&amp;(COUNTIFS($C$5:C1042,C1042,$B$5:B1042,B1042,$I$5:I1042,"ENTRADA")))</f>
        <v/>
      </c>
    </row>
    <row r="1043" spans="1:20">
      <c r="A1043" s="22" t="s">
        <v>1120</v>
      </c>
      <c r="H1043" s="22" t="str">
        <f t="shared" si="27"/>
        <v/>
      </c>
      <c r="J1043" s="32"/>
      <c r="T1043" t="str">
        <f>IF(OR(C1043="",I1043&lt;&gt;"ENTRADA"),"",UPPER(LEFT(SUBSTITUTE(C1043," ",""),3))&amp;"-"&amp;TEXT(B1043,"AAMMDD")&amp;"-"&amp;(COUNTIFS($C$5:C1043,C1043,$B$5:B1043,B1043,$I$5:I1043,"ENTRADA")))</f>
        <v/>
      </c>
    </row>
    <row r="1044" spans="1:20">
      <c r="A1044" s="22" t="s">
        <v>1121</v>
      </c>
      <c r="H1044" s="22" t="str">
        <f t="shared" si="27"/>
        <v/>
      </c>
      <c r="J1044" s="32"/>
      <c r="T1044" t="str">
        <f>IF(OR(C1044="",I1044&lt;&gt;"ENTRADA"),"",UPPER(LEFT(SUBSTITUTE(C1044," ",""),3))&amp;"-"&amp;TEXT(B1044,"AAMMDD")&amp;"-"&amp;(COUNTIFS($C$5:C1044,C1044,$B$5:B1044,B1044,$I$5:I1044,"ENTRADA")))</f>
        <v/>
      </c>
    </row>
    <row r="1045" spans="1:20">
      <c r="A1045" s="22" t="s">
        <v>1122</v>
      </c>
      <c r="H1045" s="22" t="str">
        <f t="shared" si="27"/>
        <v/>
      </c>
      <c r="J1045" s="32"/>
      <c r="T1045" t="str">
        <f>IF(OR(C1045="",I1045&lt;&gt;"ENTRADA"),"",UPPER(LEFT(SUBSTITUTE(C1045," ",""),3))&amp;"-"&amp;TEXT(B1045,"AAMMDD")&amp;"-"&amp;(COUNTIFS($C$5:C1045,C1045,$B$5:B1045,B1045,$I$5:I1045,"ENTRADA")))</f>
        <v/>
      </c>
    </row>
    <row r="1046" spans="1:20">
      <c r="A1046" s="22" t="s">
        <v>1123</v>
      </c>
      <c r="H1046" s="22" t="str">
        <f t="shared" si="27"/>
        <v/>
      </c>
      <c r="J1046" s="32"/>
      <c r="T1046" t="str">
        <f>IF(OR(C1046="",I1046&lt;&gt;"ENTRADA"),"",UPPER(LEFT(SUBSTITUTE(C1046," ",""),3))&amp;"-"&amp;TEXT(B1046,"AAMMDD")&amp;"-"&amp;(COUNTIFS($C$5:C1046,C1046,$B$5:B1046,B1046,$I$5:I1046,"ENTRADA")))</f>
        <v/>
      </c>
    </row>
    <row r="1047" spans="1:20">
      <c r="A1047" s="22" t="s">
        <v>1124</v>
      </c>
      <c r="H1047" s="22" t="str">
        <f t="shared" si="27"/>
        <v/>
      </c>
      <c r="J1047" s="32"/>
      <c r="T1047" t="str">
        <f>IF(OR(C1047="",I1047&lt;&gt;"ENTRADA"),"",UPPER(LEFT(SUBSTITUTE(C1047," ",""),3))&amp;"-"&amp;TEXT(B1047,"AAMMDD")&amp;"-"&amp;(COUNTIFS($C$5:C1047,C1047,$B$5:B1047,B1047,$I$5:I1047,"ENTRADA")))</f>
        <v/>
      </c>
    </row>
    <row r="1048" spans="1:20">
      <c r="A1048" s="22" t="s">
        <v>1125</v>
      </c>
      <c r="H1048" s="22" t="str">
        <f t="shared" si="27"/>
        <v/>
      </c>
      <c r="J1048" s="32"/>
      <c r="T1048" t="str">
        <f>IF(OR(C1048="",I1048&lt;&gt;"ENTRADA"),"",UPPER(LEFT(SUBSTITUTE(C1048," ",""),3))&amp;"-"&amp;TEXT(B1048,"AAMMDD")&amp;"-"&amp;(COUNTIFS($C$5:C1048,C1048,$B$5:B1048,B1048,$I$5:I1048,"ENTRADA")))</f>
        <v/>
      </c>
    </row>
    <row r="1049" spans="1:20">
      <c r="A1049" s="22" t="s">
        <v>1126</v>
      </c>
      <c r="H1049" s="22" t="str">
        <f t="shared" si="27"/>
        <v/>
      </c>
      <c r="J1049" s="32"/>
      <c r="T1049" t="str">
        <f>IF(OR(C1049="",I1049&lt;&gt;"ENTRADA"),"",UPPER(LEFT(SUBSTITUTE(C1049," ",""),3))&amp;"-"&amp;TEXT(B1049,"AAMMDD")&amp;"-"&amp;(COUNTIFS($C$5:C1049,C1049,$B$5:B1049,B1049,$I$5:I1049,"ENTRADA")))</f>
        <v/>
      </c>
    </row>
    <row r="1050" spans="1:20">
      <c r="A1050" s="22" t="s">
        <v>1127</v>
      </c>
      <c r="H1050" s="22" t="str">
        <f t="shared" si="27"/>
        <v/>
      </c>
      <c r="J1050" s="32"/>
      <c r="T1050" t="str">
        <f>IF(OR(C1050="",I1050&lt;&gt;"ENTRADA"),"",UPPER(LEFT(SUBSTITUTE(C1050," ",""),3))&amp;"-"&amp;TEXT(B1050,"AAMMDD")&amp;"-"&amp;(COUNTIFS($C$5:C1050,C1050,$B$5:B1050,B1050,$I$5:I1050,"ENTRADA")))</f>
        <v/>
      </c>
    </row>
    <row r="1051" spans="1:20">
      <c r="A1051" s="22" t="s">
        <v>1128</v>
      </c>
      <c r="H1051" s="22" t="str">
        <f t="shared" si="27"/>
        <v/>
      </c>
      <c r="J1051" s="32"/>
      <c r="T1051" t="str">
        <f>IF(OR(C1051="",I1051&lt;&gt;"ENTRADA"),"",UPPER(LEFT(SUBSTITUTE(C1051," ",""),3))&amp;"-"&amp;TEXT(B1051,"AAMMDD")&amp;"-"&amp;(COUNTIFS($C$5:C1051,C1051,$B$5:B1051,B1051,$I$5:I1051,"ENTRADA")))</f>
        <v/>
      </c>
    </row>
    <row r="1052" spans="1:20">
      <c r="A1052" s="22" t="s">
        <v>1129</v>
      </c>
      <c r="H1052" s="22" t="str">
        <f t="shared" si="27"/>
        <v/>
      </c>
      <c r="J1052" s="32"/>
      <c r="T1052" t="str">
        <f>IF(OR(C1052="",I1052&lt;&gt;"ENTRADA"),"",UPPER(LEFT(SUBSTITUTE(C1052," ",""),3))&amp;"-"&amp;TEXT(B1052,"AAMMDD")&amp;"-"&amp;(COUNTIFS($C$5:C1052,C1052,$B$5:B1052,B1052,$I$5:I1052,"ENTRADA")))</f>
        <v/>
      </c>
    </row>
    <row r="1053" spans="1:20">
      <c r="A1053" s="22" t="s">
        <v>1130</v>
      </c>
      <c r="H1053" s="22" t="str">
        <f t="shared" si="27"/>
        <v/>
      </c>
      <c r="J1053" s="32"/>
      <c r="T1053" t="str">
        <f>IF(OR(C1053="",I1053&lt;&gt;"ENTRADA"),"",UPPER(LEFT(SUBSTITUTE(C1053," ",""),3))&amp;"-"&amp;TEXT(B1053,"AAMMDD")&amp;"-"&amp;(COUNTIFS($C$5:C1053,C1053,$B$5:B1053,B1053,$I$5:I1053,"ENTRADA")))</f>
        <v/>
      </c>
    </row>
    <row r="1054" spans="1:20">
      <c r="A1054" s="22" t="s">
        <v>1131</v>
      </c>
      <c r="H1054" s="22" t="str">
        <f t="shared" si="27"/>
        <v/>
      </c>
      <c r="J1054" s="32"/>
      <c r="T1054" t="str">
        <f>IF(OR(C1054="",I1054&lt;&gt;"ENTRADA"),"",UPPER(LEFT(SUBSTITUTE(C1054," ",""),3))&amp;"-"&amp;TEXT(B1054,"AAMMDD")&amp;"-"&amp;(COUNTIFS($C$5:C1054,C1054,$B$5:B1054,B1054,$I$5:I1054,"ENTRADA")))</f>
        <v/>
      </c>
    </row>
    <row r="1055" spans="1:20">
      <c r="A1055" s="22" t="s">
        <v>1132</v>
      </c>
      <c r="H1055" s="22" t="str">
        <f t="shared" si="27"/>
        <v/>
      </c>
      <c r="J1055" s="32"/>
      <c r="T1055" t="str">
        <f>IF(OR(C1055="",I1055&lt;&gt;"ENTRADA"),"",UPPER(LEFT(SUBSTITUTE(C1055," ",""),3))&amp;"-"&amp;TEXT(B1055,"AAMMDD")&amp;"-"&amp;(COUNTIFS($C$5:C1055,C1055,$B$5:B1055,B1055,$I$5:I1055,"ENTRADA")))</f>
        <v/>
      </c>
    </row>
    <row r="1056" spans="1:20">
      <c r="A1056" s="22" t="s">
        <v>1133</v>
      </c>
      <c r="H1056" s="22" t="str">
        <f t="shared" si="27"/>
        <v/>
      </c>
      <c r="J1056" s="32"/>
      <c r="T1056" t="str">
        <f>IF(OR(C1056="",I1056&lt;&gt;"ENTRADA"),"",UPPER(LEFT(SUBSTITUTE(C1056," ",""),3))&amp;"-"&amp;TEXT(B1056,"AAMMDD")&amp;"-"&amp;(COUNTIFS($C$5:C1056,C1056,$B$5:B1056,B1056,$I$5:I1056,"ENTRADA")))</f>
        <v/>
      </c>
    </row>
    <row r="1057" spans="1:20">
      <c r="A1057" s="22" t="s">
        <v>1134</v>
      </c>
      <c r="H1057" s="22" t="str">
        <f t="shared" si="27"/>
        <v/>
      </c>
      <c r="J1057" s="32"/>
      <c r="T1057" t="str">
        <f>IF(OR(C1057="",I1057&lt;&gt;"ENTRADA"),"",UPPER(LEFT(SUBSTITUTE(C1057," ",""),3))&amp;"-"&amp;TEXT(B1057,"AAMMDD")&amp;"-"&amp;(COUNTIFS($C$5:C1057,C1057,$B$5:B1057,B1057,$I$5:I1057,"ENTRADA")))</f>
        <v/>
      </c>
    </row>
    <row r="1058" spans="1:20">
      <c r="A1058" s="22" t="s">
        <v>1135</v>
      </c>
      <c r="H1058" s="22" t="str">
        <f t="shared" si="27"/>
        <v/>
      </c>
      <c r="J1058" s="32"/>
      <c r="T1058" t="str">
        <f>IF(OR(C1058="",I1058&lt;&gt;"ENTRADA"),"",UPPER(LEFT(SUBSTITUTE(C1058," ",""),3))&amp;"-"&amp;TEXT(B1058,"AAMMDD")&amp;"-"&amp;(COUNTIFS($C$5:C1058,C1058,$B$5:B1058,B1058,$I$5:I1058,"ENTRADA")))</f>
        <v/>
      </c>
    </row>
    <row r="1059" spans="1:20">
      <c r="A1059" s="22" t="s">
        <v>1136</v>
      </c>
      <c r="H1059" s="22" t="str">
        <f t="shared" si="27"/>
        <v/>
      </c>
      <c r="J1059" s="32"/>
      <c r="T1059" t="str">
        <f>IF(OR(C1059="",I1059&lt;&gt;"ENTRADA"),"",UPPER(LEFT(SUBSTITUTE(C1059," ",""),3))&amp;"-"&amp;TEXT(B1059,"AAMMDD")&amp;"-"&amp;(COUNTIFS($C$5:C1059,C1059,$B$5:B1059,B1059,$I$5:I1059,"ENTRADA")))</f>
        <v/>
      </c>
    </row>
    <row r="1060" spans="1:20">
      <c r="A1060" s="22" t="s">
        <v>1137</v>
      </c>
      <c r="H1060" s="22" t="str">
        <f t="shared" si="27"/>
        <v/>
      </c>
      <c r="J1060" s="32"/>
      <c r="T1060" t="str">
        <f>IF(OR(C1060="",I1060&lt;&gt;"ENTRADA"),"",UPPER(LEFT(SUBSTITUTE(C1060," ",""),3))&amp;"-"&amp;TEXT(B1060,"AAMMDD")&amp;"-"&amp;(COUNTIFS($C$5:C1060,C1060,$B$5:B1060,B1060,$I$5:I1060,"ENTRADA")))</f>
        <v/>
      </c>
    </row>
    <row r="1061" spans="1:20">
      <c r="A1061" s="22" t="s">
        <v>1138</v>
      </c>
      <c r="H1061" s="22" t="str">
        <f t="shared" si="27"/>
        <v/>
      </c>
      <c r="J1061" s="32"/>
      <c r="T1061" t="str">
        <f>IF(OR(C1061="",I1061&lt;&gt;"ENTRADA"),"",UPPER(LEFT(SUBSTITUTE(C1061," ",""),3))&amp;"-"&amp;TEXT(B1061,"AAMMDD")&amp;"-"&amp;(COUNTIFS($C$5:C1061,C1061,$B$5:B1061,B1061,$I$5:I1061,"ENTRADA")))</f>
        <v/>
      </c>
    </row>
    <row r="1062" spans="1:20">
      <c r="A1062" s="22" t="s">
        <v>1139</v>
      </c>
      <c r="H1062" s="22" t="str">
        <f t="shared" si="27"/>
        <v/>
      </c>
      <c r="J1062" s="32"/>
      <c r="T1062" t="str">
        <f>IF(OR(C1062="",I1062&lt;&gt;"ENTRADA"),"",UPPER(LEFT(SUBSTITUTE(C1062," ",""),3))&amp;"-"&amp;TEXT(B1062,"AAMMDD")&amp;"-"&amp;(COUNTIFS($C$5:C1062,C1062,$B$5:B1062,B1062,$I$5:I1062,"ENTRADA")))</f>
        <v/>
      </c>
    </row>
    <row r="1063" spans="1:20">
      <c r="A1063" s="22" t="s">
        <v>1140</v>
      </c>
      <c r="H1063" s="22" t="str">
        <f t="shared" si="27"/>
        <v/>
      </c>
      <c r="J1063" s="32"/>
      <c r="T1063" t="str">
        <f>IF(OR(C1063="",I1063&lt;&gt;"ENTRADA"),"",UPPER(LEFT(SUBSTITUTE(C1063," ",""),3))&amp;"-"&amp;TEXT(B1063,"AAMMDD")&amp;"-"&amp;(COUNTIFS($C$5:C1063,C1063,$B$5:B1063,B1063,$I$5:I1063,"ENTRADA")))</f>
        <v/>
      </c>
    </row>
    <row r="1064" spans="1:20">
      <c r="A1064" s="22" t="s">
        <v>1141</v>
      </c>
      <c r="H1064" s="22" t="str">
        <f t="shared" si="27"/>
        <v/>
      </c>
      <c r="J1064" s="32"/>
      <c r="T1064" t="str">
        <f>IF(OR(C1064="",I1064&lt;&gt;"ENTRADA"),"",UPPER(LEFT(SUBSTITUTE(C1064," ",""),3))&amp;"-"&amp;TEXT(B1064,"AAMMDD")&amp;"-"&amp;(COUNTIFS($C$5:C1064,C1064,$B$5:B1064,B1064,$I$5:I1064,"ENTRADA")))</f>
        <v/>
      </c>
    </row>
    <row r="1065" spans="1:20">
      <c r="A1065" s="22" t="s">
        <v>1142</v>
      </c>
      <c r="H1065" s="22" t="str">
        <f t="shared" si="27"/>
        <v/>
      </c>
      <c r="J1065" s="32"/>
      <c r="T1065" t="str">
        <f>IF(OR(C1065="",I1065&lt;&gt;"ENTRADA"),"",UPPER(LEFT(SUBSTITUTE(C1065," ",""),3))&amp;"-"&amp;TEXT(B1065,"AAMMDD")&amp;"-"&amp;(COUNTIFS($C$5:C1065,C1065,$B$5:B1065,B1065,$I$5:I1065,"ENTRADA")))</f>
        <v/>
      </c>
    </row>
    <row r="1066" spans="1:20">
      <c r="A1066" s="22" t="s">
        <v>1143</v>
      </c>
      <c r="H1066" s="22" t="str">
        <f t="shared" si="27"/>
        <v/>
      </c>
      <c r="J1066" s="32"/>
      <c r="T1066" t="str">
        <f>IF(OR(C1066="",I1066&lt;&gt;"ENTRADA"),"",UPPER(LEFT(SUBSTITUTE(C1066," ",""),3))&amp;"-"&amp;TEXT(B1066,"AAMMDD")&amp;"-"&amp;(COUNTIFS($C$5:C1066,C1066,$B$5:B1066,B1066,$I$5:I1066,"ENTRADA")))</f>
        <v/>
      </c>
    </row>
    <row r="1067" spans="1:20">
      <c r="A1067" s="22" t="s">
        <v>1144</v>
      </c>
      <c r="H1067" s="22" t="str">
        <f t="shared" si="27"/>
        <v/>
      </c>
      <c r="J1067" s="32"/>
      <c r="T1067" t="str">
        <f>IF(OR(C1067="",I1067&lt;&gt;"ENTRADA"),"",UPPER(LEFT(SUBSTITUTE(C1067," ",""),3))&amp;"-"&amp;TEXT(B1067,"AAMMDD")&amp;"-"&amp;(COUNTIFS($C$5:C1067,C1067,$B$5:B1067,B1067,$I$5:I1067,"ENTRADA")))</f>
        <v/>
      </c>
    </row>
    <row r="1068" spans="1:20">
      <c r="A1068" s="22" t="s">
        <v>1145</v>
      </c>
      <c r="H1068" s="22" t="str">
        <f t="shared" si="27"/>
        <v/>
      </c>
      <c r="J1068" s="32"/>
      <c r="T1068" t="str">
        <f>IF(OR(C1068="",I1068&lt;&gt;"ENTRADA"),"",UPPER(LEFT(SUBSTITUTE(C1068," ",""),3))&amp;"-"&amp;TEXT(B1068,"AAMMDD")&amp;"-"&amp;(COUNTIFS($C$5:C1068,C1068,$B$5:B1068,B1068,$I$5:I1068,"ENTRADA")))</f>
        <v/>
      </c>
    </row>
    <row r="1069" spans="1:20">
      <c r="A1069" s="22" t="s">
        <v>1146</v>
      </c>
      <c r="H1069" s="22" t="str">
        <f t="shared" si="27"/>
        <v/>
      </c>
      <c r="J1069" s="32"/>
      <c r="T1069" t="str">
        <f>IF(OR(C1069="",I1069&lt;&gt;"ENTRADA"),"",UPPER(LEFT(SUBSTITUTE(C1069," ",""),3))&amp;"-"&amp;TEXT(B1069,"AAMMDD")&amp;"-"&amp;(COUNTIFS($C$5:C1069,C1069,$B$5:B1069,B1069,$I$5:I1069,"ENTRADA")))</f>
        <v/>
      </c>
    </row>
    <row r="1070" spans="1:20">
      <c r="A1070" s="22" t="s">
        <v>1147</v>
      </c>
      <c r="H1070" s="22" t="str">
        <f t="shared" si="27"/>
        <v/>
      </c>
      <c r="J1070" s="32"/>
      <c r="T1070" t="str">
        <f>IF(OR(C1070="",I1070&lt;&gt;"ENTRADA"),"",UPPER(LEFT(SUBSTITUTE(C1070," ",""),3))&amp;"-"&amp;TEXT(B1070,"AAMMDD")&amp;"-"&amp;(COUNTIFS($C$5:C1070,C1070,$B$5:B1070,B1070,$I$5:I1070,"ENTRADA")))</f>
        <v/>
      </c>
    </row>
    <row r="1071" spans="1:20">
      <c r="A1071" s="22" t="s">
        <v>1148</v>
      </c>
      <c r="H1071" s="22" t="str">
        <f t="shared" si="27"/>
        <v/>
      </c>
      <c r="J1071" s="32"/>
      <c r="T1071" t="str">
        <f>IF(OR(C1071="",I1071&lt;&gt;"ENTRADA"),"",UPPER(LEFT(SUBSTITUTE(C1071," ",""),3))&amp;"-"&amp;TEXT(B1071,"AAMMDD")&amp;"-"&amp;(COUNTIFS($C$5:C1071,C1071,$B$5:B1071,B1071,$I$5:I1071,"ENTRADA")))</f>
        <v/>
      </c>
    </row>
    <row r="1072" spans="1:20">
      <c r="A1072" s="22" t="s">
        <v>1149</v>
      </c>
      <c r="H1072" s="22" t="str">
        <f t="shared" si="27"/>
        <v/>
      </c>
      <c r="J1072" s="32"/>
      <c r="T1072" t="str">
        <f>IF(OR(C1072="",I1072&lt;&gt;"ENTRADA"),"",UPPER(LEFT(SUBSTITUTE(C1072," ",""),3))&amp;"-"&amp;TEXT(B1072,"AAMMDD")&amp;"-"&amp;(COUNTIFS($C$5:C1072,C1072,$B$5:B1072,B1072,$I$5:I1072,"ENTRADA")))</f>
        <v/>
      </c>
    </row>
    <row r="1073" spans="1:20">
      <c r="A1073" s="22" t="s">
        <v>1150</v>
      </c>
      <c r="H1073" s="22" t="str">
        <f t="shared" si="27"/>
        <v/>
      </c>
      <c r="J1073" s="32"/>
      <c r="T1073" t="str">
        <f>IF(OR(C1073="",I1073&lt;&gt;"ENTRADA"),"",UPPER(LEFT(SUBSTITUTE(C1073," ",""),3))&amp;"-"&amp;TEXT(B1073,"AAMMDD")&amp;"-"&amp;(COUNTIFS($C$5:C1073,C1073,$B$5:B1073,B1073,$I$5:I1073,"ENTRADA")))</f>
        <v/>
      </c>
    </row>
    <row r="1074" spans="1:20">
      <c r="A1074" s="22" t="s">
        <v>1151</v>
      </c>
      <c r="H1074" s="22" t="str">
        <f t="shared" si="27"/>
        <v/>
      </c>
      <c r="J1074" s="32"/>
      <c r="T1074" t="str">
        <f>IF(OR(C1074="",I1074&lt;&gt;"ENTRADA"),"",UPPER(LEFT(SUBSTITUTE(C1074," ",""),3))&amp;"-"&amp;TEXT(B1074,"AAMMDD")&amp;"-"&amp;(COUNTIFS($C$5:C1074,C1074,$B$5:B1074,B1074,$I$5:I1074,"ENTRADA")))</f>
        <v/>
      </c>
    </row>
    <row r="1075" spans="1:20">
      <c r="A1075" s="22" t="s">
        <v>1152</v>
      </c>
      <c r="H1075" s="22" t="str">
        <f t="shared" si="27"/>
        <v/>
      </c>
      <c r="J1075" s="32"/>
      <c r="T1075" t="str">
        <f>IF(OR(C1075="",I1075&lt;&gt;"ENTRADA"),"",UPPER(LEFT(SUBSTITUTE(C1075," ",""),3))&amp;"-"&amp;TEXT(B1075,"AAMMDD")&amp;"-"&amp;(COUNTIFS($C$5:C1075,C1075,$B$5:B1075,B1075,$I$5:I1075,"ENTRADA")))</f>
        <v/>
      </c>
    </row>
    <row r="1076" spans="1:20">
      <c r="A1076" s="22" t="s">
        <v>1153</v>
      </c>
      <c r="H1076" s="22" t="str">
        <f t="shared" si="27"/>
        <v/>
      </c>
      <c r="J1076" s="32"/>
      <c r="T1076" t="str">
        <f>IF(OR(C1076="",I1076&lt;&gt;"ENTRADA"),"",UPPER(LEFT(SUBSTITUTE(C1076," ",""),3))&amp;"-"&amp;TEXT(B1076,"AAMMDD")&amp;"-"&amp;(COUNTIFS($C$5:C1076,C1076,$B$5:B1076,B1076,$I$5:I1076,"ENTRADA")))</f>
        <v/>
      </c>
    </row>
    <row r="1077" spans="1:20">
      <c r="A1077" s="22" t="s">
        <v>1154</v>
      </c>
      <c r="H1077" s="22" t="str">
        <f t="shared" si="27"/>
        <v/>
      </c>
      <c r="J1077" s="32"/>
      <c r="T1077" t="str">
        <f>IF(OR(C1077="",I1077&lt;&gt;"ENTRADA"),"",UPPER(LEFT(SUBSTITUTE(C1077," ",""),3))&amp;"-"&amp;TEXT(B1077,"AAMMDD")&amp;"-"&amp;(COUNTIFS($C$5:C1077,C1077,$B$5:B1077,B1077,$I$5:I1077,"ENTRADA")))</f>
        <v/>
      </c>
    </row>
    <row r="1078" spans="1:20">
      <c r="A1078" s="22" t="s">
        <v>1155</v>
      </c>
      <c r="H1078" s="22" t="str">
        <f t="shared" si="27"/>
        <v/>
      </c>
      <c r="J1078" s="32"/>
      <c r="T1078" t="str">
        <f>IF(OR(C1078="",I1078&lt;&gt;"ENTRADA"),"",UPPER(LEFT(SUBSTITUTE(C1078," ",""),3))&amp;"-"&amp;TEXT(B1078,"AAMMDD")&amp;"-"&amp;(COUNTIFS($C$5:C1078,C1078,$B$5:B1078,B1078,$I$5:I1078,"ENTRADA")))</f>
        <v/>
      </c>
    </row>
    <row r="1079" spans="1:20">
      <c r="A1079" s="22" t="s">
        <v>1156</v>
      </c>
      <c r="H1079" s="22" t="str">
        <f t="shared" si="27"/>
        <v/>
      </c>
      <c r="J1079" s="32"/>
      <c r="T1079" t="str">
        <f>IF(OR(C1079="",I1079&lt;&gt;"ENTRADA"),"",UPPER(LEFT(SUBSTITUTE(C1079," ",""),3))&amp;"-"&amp;TEXT(B1079,"AAMMDD")&amp;"-"&amp;(COUNTIFS($C$5:C1079,C1079,$B$5:B1079,B1079,$I$5:I1079,"ENTRADA")))</f>
        <v/>
      </c>
    </row>
    <row r="1080" spans="1:20">
      <c r="A1080" s="22" t="s">
        <v>1157</v>
      </c>
      <c r="H1080" s="22" t="str">
        <f t="shared" si="27"/>
        <v/>
      </c>
      <c r="J1080" s="32"/>
      <c r="T1080" t="str">
        <f>IF(OR(C1080="",I1080&lt;&gt;"ENTRADA"),"",UPPER(LEFT(SUBSTITUTE(C1080," ",""),3))&amp;"-"&amp;TEXT(B1080,"AAMMDD")&amp;"-"&amp;(COUNTIFS($C$5:C1080,C1080,$B$5:B1080,B1080,$I$5:I1080,"ENTRADA")))</f>
        <v/>
      </c>
    </row>
    <row r="1081" spans="1:20">
      <c r="A1081" s="22" t="s">
        <v>1158</v>
      </c>
      <c r="H1081" s="22" t="str">
        <f t="shared" si="27"/>
        <v/>
      </c>
      <c r="J1081" s="32"/>
      <c r="T1081" t="str">
        <f>IF(OR(C1081="",I1081&lt;&gt;"ENTRADA"),"",UPPER(LEFT(SUBSTITUTE(C1081," ",""),3))&amp;"-"&amp;TEXT(B1081,"AAMMDD")&amp;"-"&amp;(COUNTIFS($C$5:C1081,C1081,$B$5:B1081,B1081,$I$5:I1081,"ENTRADA")))</f>
        <v/>
      </c>
    </row>
    <row r="1082" spans="1:20">
      <c r="A1082" s="22" t="s">
        <v>1159</v>
      </c>
      <c r="H1082" s="22" t="str">
        <f t="shared" si="27"/>
        <v/>
      </c>
      <c r="J1082" s="32"/>
      <c r="T1082" t="str">
        <f>IF(OR(C1082="",I1082&lt;&gt;"ENTRADA"),"",UPPER(LEFT(SUBSTITUTE(C1082," ",""),3))&amp;"-"&amp;TEXT(B1082,"AAMMDD")&amp;"-"&amp;(COUNTIFS($C$5:C1082,C1082,$B$5:B1082,B1082,$I$5:I1082,"ENTRADA")))</f>
        <v/>
      </c>
    </row>
    <row r="1083" spans="1:20">
      <c r="A1083" s="22" t="s">
        <v>1160</v>
      </c>
      <c r="H1083" s="22" t="str">
        <f t="shared" si="27"/>
        <v/>
      </c>
      <c r="J1083" s="32"/>
      <c r="T1083" t="str">
        <f>IF(OR(C1083="",I1083&lt;&gt;"ENTRADA"),"",UPPER(LEFT(SUBSTITUTE(C1083," ",""),3))&amp;"-"&amp;TEXT(B1083,"AAMMDD")&amp;"-"&amp;(COUNTIFS($C$5:C1083,C1083,$B$5:B1083,B1083,$I$5:I1083,"ENTRADA")))</f>
        <v/>
      </c>
    </row>
    <row r="1084" spans="1:20">
      <c r="A1084" s="22" t="s">
        <v>1161</v>
      </c>
      <c r="H1084" s="22" t="str">
        <f t="shared" si="27"/>
        <v/>
      </c>
      <c r="J1084" s="32"/>
      <c r="T1084" t="str">
        <f>IF(OR(C1084="",I1084&lt;&gt;"ENTRADA"),"",UPPER(LEFT(SUBSTITUTE(C1084," ",""),3))&amp;"-"&amp;TEXT(B1084,"AAMMDD")&amp;"-"&amp;(COUNTIFS($C$5:C1084,C1084,$B$5:B1084,B1084,$I$5:I1084,"ENTRADA")))</f>
        <v/>
      </c>
    </row>
    <row r="1085" spans="1:20">
      <c r="A1085" s="22" t="s">
        <v>1162</v>
      </c>
      <c r="H1085" s="22" t="str">
        <f t="shared" si="27"/>
        <v/>
      </c>
      <c r="J1085" s="32"/>
      <c r="T1085" t="str">
        <f>IF(OR(C1085="",I1085&lt;&gt;"ENTRADA"),"",UPPER(LEFT(SUBSTITUTE(C1085," ",""),3))&amp;"-"&amp;TEXT(B1085,"AAMMDD")&amp;"-"&amp;(COUNTIFS($C$5:C1085,C1085,$B$5:B1085,B1085,$I$5:I1085,"ENTRADA")))</f>
        <v/>
      </c>
    </row>
    <row r="1086" spans="1:20">
      <c r="A1086" s="22" t="s">
        <v>1163</v>
      </c>
      <c r="H1086" s="22" t="str">
        <f t="shared" si="27"/>
        <v/>
      </c>
      <c r="J1086" s="32"/>
      <c r="T1086" t="str">
        <f>IF(OR(C1086="",I1086&lt;&gt;"ENTRADA"),"",UPPER(LEFT(SUBSTITUTE(C1086," ",""),3))&amp;"-"&amp;TEXT(B1086,"AAMMDD")&amp;"-"&amp;(COUNTIFS($C$5:C1086,C1086,$B$5:B1086,B1086,$I$5:I1086,"ENTRADA")))</f>
        <v/>
      </c>
    </row>
    <row r="1087" spans="1:20">
      <c r="A1087" s="22" t="s">
        <v>1164</v>
      </c>
      <c r="H1087" s="22" t="str">
        <f t="shared" si="27"/>
        <v/>
      </c>
      <c r="J1087" s="32"/>
      <c r="T1087" t="str">
        <f>IF(OR(C1087="",I1087&lt;&gt;"ENTRADA"),"",UPPER(LEFT(SUBSTITUTE(C1087," ",""),3))&amp;"-"&amp;TEXT(B1087,"AAMMDD")&amp;"-"&amp;(COUNTIFS($C$5:C1087,C1087,$B$5:B1087,B1087,$I$5:I1087,"ENTRADA")))</f>
        <v/>
      </c>
    </row>
    <row r="1088" spans="1:20">
      <c r="A1088" s="22" t="s">
        <v>1165</v>
      </c>
      <c r="H1088" s="22" t="str">
        <f t="shared" si="27"/>
        <v/>
      </c>
      <c r="J1088" s="32"/>
      <c r="T1088" t="str">
        <f>IF(OR(C1088="",I1088&lt;&gt;"ENTRADA"),"",UPPER(LEFT(SUBSTITUTE(C1088," ",""),3))&amp;"-"&amp;TEXT(B1088,"AAMMDD")&amp;"-"&amp;(COUNTIFS($C$5:C1088,C1088,$B$5:B1088,B1088,$I$5:I1088,"ENTRADA")))</f>
        <v/>
      </c>
    </row>
    <row r="1089" spans="1:20">
      <c r="A1089" s="22" t="s">
        <v>1166</v>
      </c>
      <c r="H1089" s="22" t="str">
        <f t="shared" si="27"/>
        <v/>
      </c>
      <c r="J1089" s="32"/>
      <c r="T1089" t="str">
        <f>IF(OR(C1089="",I1089&lt;&gt;"ENTRADA"),"",UPPER(LEFT(SUBSTITUTE(C1089," ",""),3))&amp;"-"&amp;TEXT(B1089,"AAMMDD")&amp;"-"&amp;(COUNTIFS($C$5:C1089,C1089,$B$5:B1089,B1089,$I$5:I1089,"ENTRADA")))</f>
        <v/>
      </c>
    </row>
    <row r="1090" spans="1:20">
      <c r="A1090" s="22" t="s">
        <v>1167</v>
      </c>
      <c r="H1090" s="22" t="str">
        <f t="shared" si="27"/>
        <v/>
      </c>
      <c r="J1090" s="32"/>
      <c r="T1090" t="str">
        <f>IF(OR(C1090="",I1090&lt;&gt;"ENTRADA"),"",UPPER(LEFT(SUBSTITUTE(C1090," ",""),3))&amp;"-"&amp;TEXT(B1090,"AAMMDD")&amp;"-"&amp;(COUNTIFS($C$5:C1090,C1090,$B$5:B1090,B1090,$I$5:I1090,"ENTRADA")))</f>
        <v/>
      </c>
    </row>
    <row r="1091" spans="1:20">
      <c r="A1091" s="22" t="s">
        <v>1168</v>
      </c>
      <c r="H1091" s="22" t="str">
        <f t="shared" si="27"/>
        <v/>
      </c>
      <c r="J1091" s="32"/>
      <c r="T1091" t="str">
        <f>IF(OR(C1091="",I1091&lt;&gt;"ENTRADA"),"",UPPER(LEFT(SUBSTITUTE(C1091," ",""),3))&amp;"-"&amp;TEXT(B1091,"AAMMDD")&amp;"-"&amp;(COUNTIFS($C$5:C1091,C1091,$B$5:B1091,B1091,$I$5:I1091,"ENTRADA")))</f>
        <v/>
      </c>
    </row>
    <row r="1092" spans="1:20">
      <c r="A1092" s="22" t="s">
        <v>1169</v>
      </c>
      <c r="H1092" s="22" t="str">
        <f t="shared" si="27"/>
        <v/>
      </c>
      <c r="J1092" s="32"/>
      <c r="T1092" t="str">
        <f>IF(OR(C1092="",I1092&lt;&gt;"ENTRADA"),"",UPPER(LEFT(SUBSTITUTE(C1092," ",""),3))&amp;"-"&amp;TEXT(B1092,"AAMMDD")&amp;"-"&amp;(COUNTIFS($C$5:C1092,C1092,$B$5:B1092,B1092,$I$5:I1092,"ENTRADA")))</f>
        <v/>
      </c>
    </row>
    <row r="1093" spans="1:20">
      <c r="A1093" s="22" t="s">
        <v>1170</v>
      </c>
      <c r="H1093" s="22" t="str">
        <f t="shared" si="27"/>
        <v/>
      </c>
      <c r="J1093" s="32"/>
      <c r="T1093" t="str">
        <f>IF(OR(C1093="",I1093&lt;&gt;"ENTRADA"),"",UPPER(LEFT(SUBSTITUTE(C1093," ",""),3))&amp;"-"&amp;TEXT(B1093,"AAMMDD")&amp;"-"&amp;(COUNTIFS($C$5:C1093,C1093,$B$5:B1093,B1093,$I$5:I1093,"ENTRADA")))</f>
        <v/>
      </c>
    </row>
    <row r="1094" spans="1:20">
      <c r="A1094" s="22" t="s">
        <v>1171</v>
      </c>
      <c r="H1094" s="22" t="str">
        <f t="shared" si="27"/>
        <v/>
      </c>
      <c r="J1094" s="32"/>
      <c r="T1094" t="str">
        <f>IF(OR(C1094="",I1094&lt;&gt;"ENTRADA"),"",UPPER(LEFT(SUBSTITUTE(C1094," ",""),3))&amp;"-"&amp;TEXT(B1094,"AAMMDD")&amp;"-"&amp;(COUNTIFS($C$5:C1094,C1094,$B$5:B1094,B1094,$I$5:I1094,"ENTRADA")))</f>
        <v/>
      </c>
    </row>
    <row r="1095" spans="1:20">
      <c r="A1095" s="22" t="s">
        <v>1172</v>
      </c>
      <c r="H1095" s="22" t="str">
        <f t="shared" si="27"/>
        <v/>
      </c>
      <c r="J1095" s="32"/>
      <c r="T1095" t="str">
        <f>IF(OR(C1095="",I1095&lt;&gt;"ENTRADA"),"",UPPER(LEFT(SUBSTITUTE(C1095," ",""),3))&amp;"-"&amp;TEXT(B1095,"AAMMDD")&amp;"-"&amp;(COUNTIFS($C$5:C1095,C1095,$B$5:B1095,B1095,$I$5:I1095,"ENTRADA")))</f>
        <v/>
      </c>
    </row>
    <row r="1096" spans="1:20">
      <c r="A1096" s="22" t="s">
        <v>1173</v>
      </c>
      <c r="H1096" s="22" t="str">
        <f t="shared" si="27"/>
        <v/>
      </c>
      <c r="J1096" s="32"/>
      <c r="T1096" t="str">
        <f>IF(OR(C1096="",I1096&lt;&gt;"ENTRADA"),"",UPPER(LEFT(SUBSTITUTE(C1096," ",""),3))&amp;"-"&amp;TEXT(B1096,"AAMMDD")&amp;"-"&amp;(COUNTIFS($C$5:C1096,C1096,$B$5:B1096,B1096,$I$5:I1096,"ENTRADA")))</f>
        <v/>
      </c>
    </row>
    <row r="1097" spans="1:20">
      <c r="A1097" s="22" t="s">
        <v>1174</v>
      </c>
      <c r="H1097" s="22" t="str">
        <f t="shared" si="27"/>
        <v/>
      </c>
      <c r="J1097" s="32"/>
      <c r="T1097" t="str">
        <f>IF(OR(C1097="",I1097&lt;&gt;"ENTRADA"),"",UPPER(LEFT(SUBSTITUTE(C1097," ",""),3))&amp;"-"&amp;TEXT(B1097,"AAMMDD")&amp;"-"&amp;(COUNTIFS($C$5:C1097,C1097,$B$5:B1097,B1097,$I$5:I1097,"ENTRADA")))</f>
        <v/>
      </c>
    </row>
    <row r="1098" spans="1:20">
      <c r="A1098" s="22" t="s">
        <v>1175</v>
      </c>
      <c r="H1098" s="22" t="str">
        <f t="shared" si="27"/>
        <v/>
      </c>
      <c r="J1098" s="32"/>
      <c r="T1098" t="str">
        <f>IF(OR(C1098="",I1098&lt;&gt;"ENTRADA"),"",UPPER(LEFT(SUBSTITUTE(C1098," ",""),3))&amp;"-"&amp;TEXT(B1098,"AAMMDD")&amp;"-"&amp;(COUNTIFS($C$5:C1098,C1098,$B$5:B1098,B1098,$I$5:I1098,"ENTRADA")))</f>
        <v/>
      </c>
    </row>
    <row r="1099" spans="1:20">
      <c r="A1099" s="22" t="s">
        <v>1176</v>
      </c>
      <c r="H1099" s="22" t="str">
        <f t="shared" si="27"/>
        <v/>
      </c>
      <c r="J1099" s="32"/>
      <c r="T1099" t="str">
        <f>IF(OR(C1099="",I1099&lt;&gt;"ENTRADA"),"",UPPER(LEFT(SUBSTITUTE(C1099," ",""),3))&amp;"-"&amp;TEXT(B1099,"AAMMDD")&amp;"-"&amp;(COUNTIFS($C$5:C1099,C1099,$B$5:B1099,B1099,$I$5:I1099,"ENTRADA")))</f>
        <v/>
      </c>
    </row>
    <row r="1100" spans="1:20">
      <c r="A1100" s="22" t="s">
        <v>1177</v>
      </c>
      <c r="H1100" s="22" t="str">
        <f t="shared" si="27"/>
        <v/>
      </c>
      <c r="J1100" s="32"/>
      <c r="T1100" t="str">
        <f>IF(OR(C1100="",I1100&lt;&gt;"ENTRADA"),"",UPPER(LEFT(SUBSTITUTE(C1100," ",""),3))&amp;"-"&amp;TEXT(B1100,"AAMMDD")&amp;"-"&amp;(COUNTIFS($C$5:C1100,C1100,$B$5:B1100,B1100,$I$5:I1100,"ENTRADA")))</f>
        <v/>
      </c>
    </row>
    <row r="1101" spans="1:20">
      <c r="A1101" s="22" t="s">
        <v>1178</v>
      </c>
      <c r="H1101" s="22" t="str">
        <f t="shared" si="27"/>
        <v/>
      </c>
      <c r="J1101" s="32"/>
      <c r="T1101" t="str">
        <f>IF(OR(C1101="",I1101&lt;&gt;"ENTRADA"),"",UPPER(LEFT(SUBSTITUTE(C1101," ",""),3))&amp;"-"&amp;TEXT(B1101,"AAMMDD")&amp;"-"&amp;(COUNTIFS($C$5:C1101,C1101,$B$5:B1101,B1101,$I$5:I1101,"ENTRADA")))</f>
        <v/>
      </c>
    </row>
    <row r="1102" spans="1:20">
      <c r="A1102" s="22" t="s">
        <v>1179</v>
      </c>
      <c r="H1102" s="22" t="str">
        <f t="shared" si="27"/>
        <v/>
      </c>
      <c r="J1102" s="32"/>
      <c r="T1102" t="str">
        <f>IF(OR(C1102="",I1102&lt;&gt;"ENTRADA"),"",UPPER(LEFT(SUBSTITUTE(C1102," ",""),3))&amp;"-"&amp;TEXT(B1102,"AAMMDD")&amp;"-"&amp;(COUNTIFS($C$5:C1102,C1102,$B$5:B1102,B1102,$I$5:I1102,"ENTRADA")))</f>
        <v/>
      </c>
    </row>
    <row r="1103" spans="1:20">
      <c r="A1103" s="22" t="s">
        <v>1180</v>
      </c>
      <c r="H1103" s="22" t="str">
        <f t="shared" si="27"/>
        <v/>
      </c>
      <c r="J1103" s="32"/>
      <c r="T1103" t="str">
        <f>IF(OR(C1103="",I1103&lt;&gt;"ENTRADA"),"",UPPER(LEFT(SUBSTITUTE(C1103," ",""),3))&amp;"-"&amp;TEXT(B1103,"AAMMDD")&amp;"-"&amp;(COUNTIFS($C$5:C1103,C1103,$B$5:B1103,B1103,$I$5:I1103,"ENTRADA")))</f>
        <v/>
      </c>
    </row>
    <row r="1104" spans="1:20">
      <c r="A1104" s="22" t="s">
        <v>1181</v>
      </c>
      <c r="H1104" s="22" t="str">
        <f t="shared" ref="H1104:H1167" si="28">+T1104</f>
        <v/>
      </c>
      <c r="J1104" s="32"/>
      <c r="T1104" t="str">
        <f>IF(OR(C1104="",I1104&lt;&gt;"ENTRADA"),"",UPPER(LEFT(SUBSTITUTE(C1104," ",""),3))&amp;"-"&amp;TEXT(B1104,"AAMMDD")&amp;"-"&amp;(COUNTIFS($C$5:C1104,C1104,$B$5:B1104,B1104,$I$5:I1104,"ENTRADA")))</f>
        <v/>
      </c>
    </row>
    <row r="1105" spans="1:20">
      <c r="A1105" s="22" t="s">
        <v>1182</v>
      </c>
      <c r="H1105" s="22" t="str">
        <f t="shared" si="28"/>
        <v/>
      </c>
      <c r="J1105" s="32"/>
      <c r="T1105" t="str">
        <f>IF(OR(C1105="",I1105&lt;&gt;"ENTRADA"),"",UPPER(LEFT(SUBSTITUTE(C1105," ",""),3))&amp;"-"&amp;TEXT(B1105,"AAMMDD")&amp;"-"&amp;(COUNTIFS($C$5:C1105,C1105,$B$5:B1105,B1105,$I$5:I1105,"ENTRADA")))</f>
        <v/>
      </c>
    </row>
    <row r="1106" spans="1:20">
      <c r="A1106" s="22" t="s">
        <v>1183</v>
      </c>
      <c r="H1106" s="22" t="str">
        <f t="shared" si="28"/>
        <v/>
      </c>
      <c r="J1106" s="32"/>
      <c r="T1106" t="str">
        <f>IF(OR(C1106="",I1106&lt;&gt;"ENTRADA"),"",UPPER(LEFT(SUBSTITUTE(C1106," ",""),3))&amp;"-"&amp;TEXT(B1106,"AAMMDD")&amp;"-"&amp;(COUNTIFS($C$5:C1106,C1106,$B$5:B1106,B1106,$I$5:I1106,"ENTRADA")))</f>
        <v/>
      </c>
    </row>
    <row r="1107" spans="1:20">
      <c r="A1107" s="22" t="s">
        <v>1184</v>
      </c>
      <c r="H1107" s="22" t="str">
        <f t="shared" si="28"/>
        <v/>
      </c>
      <c r="J1107" s="32"/>
      <c r="T1107" t="str">
        <f>IF(OR(C1107="",I1107&lt;&gt;"ENTRADA"),"",UPPER(LEFT(SUBSTITUTE(C1107," ",""),3))&amp;"-"&amp;TEXT(B1107,"AAMMDD")&amp;"-"&amp;(COUNTIFS($C$5:C1107,C1107,$B$5:B1107,B1107,$I$5:I1107,"ENTRADA")))</f>
        <v/>
      </c>
    </row>
    <row r="1108" spans="1:20">
      <c r="A1108" s="22" t="s">
        <v>1185</v>
      </c>
      <c r="H1108" s="22" t="str">
        <f t="shared" si="28"/>
        <v/>
      </c>
      <c r="J1108" s="32"/>
      <c r="T1108" t="str">
        <f>IF(OR(C1108="",I1108&lt;&gt;"ENTRADA"),"",UPPER(LEFT(SUBSTITUTE(C1108," ",""),3))&amp;"-"&amp;TEXT(B1108,"AAMMDD")&amp;"-"&amp;(COUNTIFS($C$5:C1108,C1108,$B$5:B1108,B1108,$I$5:I1108,"ENTRADA")))</f>
        <v/>
      </c>
    </row>
    <row r="1109" spans="1:20">
      <c r="A1109" s="22" t="s">
        <v>1186</v>
      </c>
      <c r="H1109" s="22" t="str">
        <f t="shared" si="28"/>
        <v/>
      </c>
      <c r="J1109" s="32"/>
      <c r="T1109" t="str">
        <f>IF(OR(C1109="",I1109&lt;&gt;"ENTRADA"),"",UPPER(LEFT(SUBSTITUTE(C1109," ",""),3))&amp;"-"&amp;TEXT(B1109,"AAMMDD")&amp;"-"&amp;(COUNTIFS($C$5:C1109,C1109,$B$5:B1109,B1109,$I$5:I1109,"ENTRADA")))</f>
        <v/>
      </c>
    </row>
    <row r="1110" spans="1:20">
      <c r="A1110" s="22" t="s">
        <v>1187</v>
      </c>
      <c r="H1110" s="22" t="str">
        <f t="shared" si="28"/>
        <v/>
      </c>
      <c r="J1110" s="32"/>
      <c r="T1110" t="str">
        <f>IF(OR(C1110="",I1110&lt;&gt;"ENTRADA"),"",UPPER(LEFT(SUBSTITUTE(C1110," ",""),3))&amp;"-"&amp;TEXT(B1110,"AAMMDD")&amp;"-"&amp;(COUNTIFS($C$5:C1110,C1110,$B$5:B1110,B1110,$I$5:I1110,"ENTRADA")))</f>
        <v/>
      </c>
    </row>
    <row r="1111" spans="1:20">
      <c r="A1111" s="22" t="s">
        <v>1188</v>
      </c>
      <c r="H1111" s="22" t="str">
        <f t="shared" si="28"/>
        <v/>
      </c>
      <c r="J1111" s="32"/>
      <c r="T1111" t="str">
        <f>IF(OR(C1111="",I1111&lt;&gt;"ENTRADA"),"",UPPER(LEFT(SUBSTITUTE(C1111," ",""),3))&amp;"-"&amp;TEXT(B1111,"AAMMDD")&amp;"-"&amp;(COUNTIFS($C$5:C1111,C1111,$B$5:B1111,B1111,$I$5:I1111,"ENTRADA")))</f>
        <v/>
      </c>
    </row>
    <row r="1112" spans="1:20">
      <c r="A1112" s="22" t="s">
        <v>1189</v>
      </c>
      <c r="H1112" s="22" t="str">
        <f t="shared" si="28"/>
        <v/>
      </c>
      <c r="J1112" s="32"/>
      <c r="T1112" t="str">
        <f>IF(OR(C1112="",I1112&lt;&gt;"ENTRADA"),"",UPPER(LEFT(SUBSTITUTE(C1112," ",""),3))&amp;"-"&amp;TEXT(B1112,"AAMMDD")&amp;"-"&amp;(COUNTIFS($C$5:C1112,C1112,$B$5:B1112,B1112,$I$5:I1112,"ENTRADA")))</f>
        <v/>
      </c>
    </row>
    <row r="1113" spans="1:20">
      <c r="A1113" s="22" t="s">
        <v>1190</v>
      </c>
      <c r="H1113" s="22" t="str">
        <f t="shared" si="28"/>
        <v/>
      </c>
      <c r="J1113" s="32"/>
      <c r="T1113" t="str">
        <f>IF(OR(C1113="",I1113&lt;&gt;"ENTRADA"),"",UPPER(LEFT(SUBSTITUTE(C1113," ",""),3))&amp;"-"&amp;TEXT(B1113,"AAMMDD")&amp;"-"&amp;(COUNTIFS($C$5:C1113,C1113,$B$5:B1113,B1113,$I$5:I1113,"ENTRADA")))</f>
        <v/>
      </c>
    </row>
    <row r="1114" spans="1:20">
      <c r="A1114" s="22" t="s">
        <v>1191</v>
      </c>
      <c r="H1114" s="22" t="str">
        <f t="shared" si="28"/>
        <v/>
      </c>
      <c r="J1114" s="32"/>
      <c r="T1114" t="str">
        <f>IF(OR(C1114="",I1114&lt;&gt;"ENTRADA"),"",UPPER(LEFT(SUBSTITUTE(C1114," ",""),3))&amp;"-"&amp;TEXT(B1114,"AAMMDD")&amp;"-"&amp;(COUNTIFS($C$5:C1114,C1114,$B$5:B1114,B1114,$I$5:I1114,"ENTRADA")))</f>
        <v/>
      </c>
    </row>
    <row r="1115" spans="1:20">
      <c r="A1115" s="22" t="s">
        <v>1192</v>
      </c>
      <c r="H1115" s="22" t="str">
        <f t="shared" si="28"/>
        <v/>
      </c>
      <c r="J1115" s="32"/>
      <c r="T1115" t="str">
        <f>IF(OR(C1115="",I1115&lt;&gt;"ENTRADA"),"",UPPER(LEFT(SUBSTITUTE(C1115," ",""),3))&amp;"-"&amp;TEXT(B1115,"AAMMDD")&amp;"-"&amp;(COUNTIFS($C$5:C1115,C1115,$B$5:B1115,B1115,$I$5:I1115,"ENTRADA")))</f>
        <v/>
      </c>
    </row>
    <row r="1116" spans="1:20">
      <c r="A1116" s="22" t="s">
        <v>1193</v>
      </c>
      <c r="H1116" s="22" t="str">
        <f t="shared" si="28"/>
        <v/>
      </c>
      <c r="J1116" s="32"/>
      <c r="T1116" t="str">
        <f>IF(OR(C1116="",I1116&lt;&gt;"ENTRADA"),"",UPPER(LEFT(SUBSTITUTE(C1116," ",""),3))&amp;"-"&amp;TEXT(B1116,"AAMMDD")&amp;"-"&amp;(COUNTIFS($C$5:C1116,C1116,$B$5:B1116,B1116,$I$5:I1116,"ENTRADA")))</f>
        <v/>
      </c>
    </row>
    <row r="1117" spans="1:20">
      <c r="A1117" s="22" t="s">
        <v>1194</v>
      </c>
      <c r="H1117" s="22" t="str">
        <f t="shared" si="28"/>
        <v/>
      </c>
      <c r="J1117" s="32"/>
      <c r="T1117" t="str">
        <f>IF(OR(C1117="",I1117&lt;&gt;"ENTRADA"),"",UPPER(LEFT(SUBSTITUTE(C1117," ",""),3))&amp;"-"&amp;TEXT(B1117,"AAMMDD")&amp;"-"&amp;(COUNTIFS($C$5:C1117,C1117,$B$5:B1117,B1117,$I$5:I1117,"ENTRADA")))</f>
        <v/>
      </c>
    </row>
    <row r="1118" spans="1:20">
      <c r="A1118" s="22" t="s">
        <v>1195</v>
      </c>
      <c r="H1118" s="22" t="str">
        <f t="shared" si="28"/>
        <v/>
      </c>
      <c r="J1118" s="32"/>
      <c r="T1118" t="str">
        <f>IF(OR(C1118="",I1118&lt;&gt;"ENTRADA"),"",UPPER(LEFT(SUBSTITUTE(C1118," ",""),3))&amp;"-"&amp;TEXT(B1118,"AAMMDD")&amp;"-"&amp;(COUNTIFS($C$5:C1118,C1118,$B$5:B1118,B1118,$I$5:I1118,"ENTRADA")))</f>
        <v/>
      </c>
    </row>
    <row r="1119" spans="1:20">
      <c r="A1119" s="22" t="s">
        <v>1196</v>
      </c>
      <c r="H1119" s="22" t="str">
        <f t="shared" si="28"/>
        <v/>
      </c>
      <c r="J1119" s="32"/>
      <c r="T1119" t="str">
        <f>IF(OR(C1119="",I1119&lt;&gt;"ENTRADA"),"",UPPER(LEFT(SUBSTITUTE(C1119," ",""),3))&amp;"-"&amp;TEXT(B1119,"AAMMDD")&amp;"-"&amp;(COUNTIFS($C$5:C1119,C1119,$B$5:B1119,B1119,$I$5:I1119,"ENTRADA")))</f>
        <v/>
      </c>
    </row>
    <row r="1120" spans="1:20">
      <c r="A1120" s="22" t="s">
        <v>1197</v>
      </c>
      <c r="H1120" s="22" t="str">
        <f t="shared" si="28"/>
        <v/>
      </c>
      <c r="J1120" s="32"/>
      <c r="T1120" t="str">
        <f>IF(OR(C1120="",I1120&lt;&gt;"ENTRADA"),"",UPPER(LEFT(SUBSTITUTE(C1120," ",""),3))&amp;"-"&amp;TEXT(B1120,"AAMMDD")&amp;"-"&amp;(COUNTIFS($C$5:C1120,C1120,$B$5:B1120,B1120,$I$5:I1120,"ENTRADA")))</f>
        <v/>
      </c>
    </row>
    <row r="1121" spans="1:20">
      <c r="A1121" s="22" t="s">
        <v>1198</v>
      </c>
      <c r="H1121" s="22" t="str">
        <f t="shared" si="28"/>
        <v/>
      </c>
      <c r="J1121" s="32"/>
      <c r="T1121" t="str">
        <f>IF(OR(C1121="",I1121&lt;&gt;"ENTRADA"),"",UPPER(LEFT(SUBSTITUTE(C1121," ",""),3))&amp;"-"&amp;TEXT(B1121,"AAMMDD")&amp;"-"&amp;(COUNTIFS($C$5:C1121,C1121,$B$5:B1121,B1121,$I$5:I1121,"ENTRADA")))</f>
        <v/>
      </c>
    </row>
    <row r="1122" spans="1:20">
      <c r="A1122" s="22" t="s">
        <v>1199</v>
      </c>
      <c r="H1122" s="22" t="str">
        <f t="shared" si="28"/>
        <v/>
      </c>
      <c r="J1122" s="32"/>
      <c r="T1122" t="str">
        <f>IF(OR(C1122="",I1122&lt;&gt;"ENTRADA"),"",UPPER(LEFT(SUBSTITUTE(C1122," ",""),3))&amp;"-"&amp;TEXT(B1122,"AAMMDD")&amp;"-"&amp;(COUNTIFS($C$5:C1122,C1122,$B$5:B1122,B1122,$I$5:I1122,"ENTRADA")))</f>
        <v/>
      </c>
    </row>
    <row r="1123" spans="1:20">
      <c r="A1123" s="22" t="s">
        <v>1200</v>
      </c>
      <c r="H1123" s="22" t="str">
        <f t="shared" si="28"/>
        <v/>
      </c>
      <c r="J1123" s="32"/>
      <c r="T1123" t="str">
        <f>IF(OR(C1123="",I1123&lt;&gt;"ENTRADA"),"",UPPER(LEFT(SUBSTITUTE(C1123," ",""),3))&amp;"-"&amp;TEXT(B1123,"AAMMDD")&amp;"-"&amp;(COUNTIFS($C$5:C1123,C1123,$B$5:B1123,B1123,$I$5:I1123,"ENTRADA")))</f>
        <v/>
      </c>
    </row>
    <row r="1124" spans="1:20">
      <c r="A1124" s="22" t="s">
        <v>1201</v>
      </c>
      <c r="H1124" s="22" t="str">
        <f t="shared" si="28"/>
        <v/>
      </c>
      <c r="J1124" s="32"/>
      <c r="T1124" t="str">
        <f>IF(OR(C1124="",I1124&lt;&gt;"ENTRADA"),"",UPPER(LEFT(SUBSTITUTE(C1124," ",""),3))&amp;"-"&amp;TEXT(B1124,"AAMMDD")&amp;"-"&amp;(COUNTIFS($C$5:C1124,C1124,$B$5:B1124,B1124,$I$5:I1124,"ENTRADA")))</f>
        <v/>
      </c>
    </row>
    <row r="1125" spans="1:20">
      <c r="A1125" s="22" t="s">
        <v>1202</v>
      </c>
      <c r="H1125" s="22" t="str">
        <f t="shared" si="28"/>
        <v/>
      </c>
      <c r="J1125" s="32"/>
      <c r="T1125" t="str">
        <f>IF(OR(C1125="",I1125&lt;&gt;"ENTRADA"),"",UPPER(LEFT(SUBSTITUTE(C1125," ",""),3))&amp;"-"&amp;TEXT(B1125,"AAMMDD")&amp;"-"&amp;(COUNTIFS($C$5:C1125,C1125,$B$5:B1125,B1125,$I$5:I1125,"ENTRADA")))</f>
        <v/>
      </c>
    </row>
    <row r="1126" spans="1:20">
      <c r="A1126" s="22" t="s">
        <v>1203</v>
      </c>
      <c r="H1126" s="22" t="str">
        <f t="shared" si="28"/>
        <v/>
      </c>
      <c r="J1126" s="32"/>
      <c r="T1126" t="str">
        <f>IF(OR(C1126="",I1126&lt;&gt;"ENTRADA"),"",UPPER(LEFT(SUBSTITUTE(C1126," ",""),3))&amp;"-"&amp;TEXT(B1126,"AAMMDD")&amp;"-"&amp;(COUNTIFS($C$5:C1126,C1126,$B$5:B1126,B1126,$I$5:I1126,"ENTRADA")))</f>
        <v/>
      </c>
    </row>
    <row r="1127" spans="1:20">
      <c r="A1127" s="22" t="s">
        <v>1204</v>
      </c>
      <c r="H1127" s="22" t="str">
        <f t="shared" si="28"/>
        <v/>
      </c>
      <c r="J1127" s="32"/>
      <c r="T1127" t="str">
        <f>IF(OR(C1127="",I1127&lt;&gt;"ENTRADA"),"",UPPER(LEFT(SUBSTITUTE(C1127," ",""),3))&amp;"-"&amp;TEXT(B1127,"AAMMDD")&amp;"-"&amp;(COUNTIFS($C$5:C1127,C1127,$B$5:B1127,B1127,$I$5:I1127,"ENTRADA")))</f>
        <v/>
      </c>
    </row>
    <row r="1128" spans="1:20">
      <c r="A1128" s="22" t="s">
        <v>1205</v>
      </c>
      <c r="H1128" s="22" t="str">
        <f t="shared" si="28"/>
        <v/>
      </c>
      <c r="J1128" s="32"/>
      <c r="T1128" t="str">
        <f>IF(OR(C1128="",I1128&lt;&gt;"ENTRADA"),"",UPPER(LEFT(SUBSTITUTE(C1128," ",""),3))&amp;"-"&amp;TEXT(B1128,"AAMMDD")&amp;"-"&amp;(COUNTIFS($C$5:C1128,C1128,$B$5:B1128,B1128,$I$5:I1128,"ENTRADA")))</f>
        <v/>
      </c>
    </row>
    <row r="1129" spans="1:20">
      <c r="A1129" s="22" t="s">
        <v>1206</v>
      </c>
      <c r="H1129" s="22" t="str">
        <f t="shared" si="28"/>
        <v/>
      </c>
      <c r="J1129" s="32"/>
      <c r="T1129" t="str">
        <f>IF(OR(C1129="",I1129&lt;&gt;"ENTRADA"),"",UPPER(LEFT(SUBSTITUTE(C1129," ",""),3))&amp;"-"&amp;TEXT(B1129,"AAMMDD")&amp;"-"&amp;(COUNTIFS($C$5:C1129,C1129,$B$5:B1129,B1129,$I$5:I1129,"ENTRADA")))</f>
        <v/>
      </c>
    </row>
    <row r="1130" spans="1:20">
      <c r="A1130" s="22" t="s">
        <v>1207</v>
      </c>
      <c r="H1130" s="22" t="str">
        <f t="shared" si="28"/>
        <v/>
      </c>
      <c r="J1130" s="32"/>
      <c r="T1130" t="str">
        <f>IF(OR(C1130="",I1130&lt;&gt;"ENTRADA"),"",UPPER(LEFT(SUBSTITUTE(C1130," ",""),3))&amp;"-"&amp;TEXT(B1130,"AAMMDD")&amp;"-"&amp;(COUNTIFS($C$5:C1130,C1130,$B$5:B1130,B1130,$I$5:I1130,"ENTRADA")))</f>
        <v/>
      </c>
    </row>
    <row r="1131" spans="1:20">
      <c r="A1131" s="22" t="s">
        <v>1208</v>
      </c>
      <c r="H1131" s="22" t="str">
        <f t="shared" si="28"/>
        <v/>
      </c>
      <c r="J1131" s="32"/>
      <c r="T1131" t="str">
        <f>IF(OR(C1131="",I1131&lt;&gt;"ENTRADA"),"",UPPER(LEFT(SUBSTITUTE(C1131," ",""),3))&amp;"-"&amp;TEXT(B1131,"AAMMDD")&amp;"-"&amp;(COUNTIFS($C$5:C1131,C1131,$B$5:B1131,B1131,$I$5:I1131,"ENTRADA")))</f>
        <v/>
      </c>
    </row>
    <row r="1132" spans="1:20">
      <c r="A1132" s="22" t="s">
        <v>1209</v>
      </c>
      <c r="H1132" s="22" t="str">
        <f t="shared" si="28"/>
        <v/>
      </c>
      <c r="J1132" s="32"/>
      <c r="T1132" t="str">
        <f>IF(OR(C1132="",I1132&lt;&gt;"ENTRADA"),"",UPPER(LEFT(SUBSTITUTE(C1132," ",""),3))&amp;"-"&amp;TEXT(B1132,"AAMMDD")&amp;"-"&amp;(COUNTIFS($C$5:C1132,C1132,$B$5:B1132,B1132,$I$5:I1132,"ENTRADA")))</f>
        <v/>
      </c>
    </row>
    <row r="1133" spans="1:20">
      <c r="A1133" s="22" t="s">
        <v>1210</v>
      </c>
      <c r="H1133" s="22" t="str">
        <f t="shared" si="28"/>
        <v/>
      </c>
      <c r="J1133" s="32"/>
      <c r="T1133" t="str">
        <f>IF(OR(C1133="",I1133&lt;&gt;"ENTRADA"),"",UPPER(LEFT(SUBSTITUTE(C1133," ",""),3))&amp;"-"&amp;TEXT(B1133,"AAMMDD")&amp;"-"&amp;(COUNTIFS($C$5:C1133,C1133,$B$5:B1133,B1133,$I$5:I1133,"ENTRADA")))</f>
        <v/>
      </c>
    </row>
    <row r="1134" spans="1:20">
      <c r="A1134" s="22" t="s">
        <v>1211</v>
      </c>
      <c r="H1134" s="22" t="str">
        <f t="shared" si="28"/>
        <v/>
      </c>
      <c r="J1134" s="32"/>
      <c r="T1134" t="str">
        <f>IF(OR(C1134="",I1134&lt;&gt;"ENTRADA"),"",UPPER(LEFT(SUBSTITUTE(C1134," ",""),3))&amp;"-"&amp;TEXT(B1134,"AAMMDD")&amp;"-"&amp;(COUNTIFS($C$5:C1134,C1134,$B$5:B1134,B1134,$I$5:I1134,"ENTRADA")))</f>
        <v/>
      </c>
    </row>
    <row r="1135" spans="1:20">
      <c r="A1135" s="22" t="s">
        <v>1212</v>
      </c>
      <c r="H1135" s="22" t="str">
        <f t="shared" si="28"/>
        <v/>
      </c>
      <c r="J1135" s="32"/>
      <c r="T1135" t="str">
        <f>IF(OR(C1135="",I1135&lt;&gt;"ENTRADA"),"",UPPER(LEFT(SUBSTITUTE(C1135," ",""),3))&amp;"-"&amp;TEXT(B1135,"AAMMDD")&amp;"-"&amp;(COUNTIFS($C$5:C1135,C1135,$B$5:B1135,B1135,$I$5:I1135,"ENTRADA")))</f>
        <v/>
      </c>
    </row>
    <row r="1136" spans="1:20">
      <c r="A1136" s="22" t="s">
        <v>1213</v>
      </c>
      <c r="H1136" s="22" t="str">
        <f t="shared" si="28"/>
        <v/>
      </c>
      <c r="J1136" s="32"/>
      <c r="T1136" t="str">
        <f>IF(OR(C1136="",I1136&lt;&gt;"ENTRADA"),"",UPPER(LEFT(SUBSTITUTE(C1136," ",""),3))&amp;"-"&amp;TEXT(B1136,"AAMMDD")&amp;"-"&amp;(COUNTIFS($C$5:C1136,C1136,$B$5:B1136,B1136,$I$5:I1136,"ENTRADA")))</f>
        <v/>
      </c>
    </row>
    <row r="1137" spans="1:20">
      <c r="A1137" s="22" t="s">
        <v>1214</v>
      </c>
      <c r="H1137" s="22" t="str">
        <f t="shared" si="28"/>
        <v/>
      </c>
      <c r="J1137" s="32"/>
      <c r="T1137" t="str">
        <f>IF(OR(C1137="",I1137&lt;&gt;"ENTRADA"),"",UPPER(LEFT(SUBSTITUTE(C1137," ",""),3))&amp;"-"&amp;TEXT(B1137,"AAMMDD")&amp;"-"&amp;(COUNTIFS($C$5:C1137,C1137,$B$5:B1137,B1137,$I$5:I1137,"ENTRADA")))</f>
        <v/>
      </c>
    </row>
    <row r="1138" spans="1:20">
      <c r="A1138" s="22" t="s">
        <v>1215</v>
      </c>
      <c r="H1138" s="22" t="str">
        <f t="shared" si="28"/>
        <v/>
      </c>
      <c r="J1138" s="32"/>
      <c r="T1138" t="str">
        <f>IF(OR(C1138="",I1138&lt;&gt;"ENTRADA"),"",UPPER(LEFT(SUBSTITUTE(C1138," ",""),3))&amp;"-"&amp;TEXT(B1138,"AAMMDD")&amp;"-"&amp;(COUNTIFS($C$5:C1138,C1138,$B$5:B1138,B1138,$I$5:I1138,"ENTRADA")))</f>
        <v/>
      </c>
    </row>
    <row r="1139" spans="1:20">
      <c r="A1139" s="22" t="s">
        <v>1216</v>
      </c>
      <c r="H1139" s="22" t="str">
        <f t="shared" si="28"/>
        <v/>
      </c>
      <c r="J1139" s="32"/>
      <c r="T1139" t="str">
        <f>IF(OR(C1139="",I1139&lt;&gt;"ENTRADA"),"",UPPER(LEFT(SUBSTITUTE(C1139," ",""),3))&amp;"-"&amp;TEXT(B1139,"AAMMDD")&amp;"-"&amp;(COUNTIFS($C$5:C1139,C1139,$B$5:B1139,B1139,$I$5:I1139,"ENTRADA")))</f>
        <v/>
      </c>
    </row>
    <row r="1140" spans="1:20">
      <c r="A1140" s="22" t="s">
        <v>1217</v>
      </c>
      <c r="H1140" s="22" t="str">
        <f t="shared" si="28"/>
        <v/>
      </c>
      <c r="J1140" s="32"/>
      <c r="T1140" t="str">
        <f>IF(OR(C1140="",I1140&lt;&gt;"ENTRADA"),"",UPPER(LEFT(SUBSTITUTE(C1140," ",""),3))&amp;"-"&amp;TEXT(B1140,"AAMMDD")&amp;"-"&amp;(COUNTIFS($C$5:C1140,C1140,$B$5:B1140,B1140,$I$5:I1140,"ENTRADA")))</f>
        <v/>
      </c>
    </row>
    <row r="1141" spans="1:20">
      <c r="A1141" s="22" t="s">
        <v>1218</v>
      </c>
      <c r="H1141" s="22" t="str">
        <f t="shared" si="28"/>
        <v/>
      </c>
      <c r="J1141" s="32"/>
      <c r="T1141" t="str">
        <f>IF(OR(C1141="",I1141&lt;&gt;"ENTRADA"),"",UPPER(LEFT(SUBSTITUTE(C1141," ",""),3))&amp;"-"&amp;TEXT(B1141,"AAMMDD")&amp;"-"&amp;(COUNTIFS($C$5:C1141,C1141,$B$5:B1141,B1141,$I$5:I1141,"ENTRADA")))</f>
        <v/>
      </c>
    </row>
    <row r="1142" spans="1:20">
      <c r="A1142" s="22" t="s">
        <v>1219</v>
      </c>
      <c r="H1142" s="22" t="str">
        <f t="shared" si="28"/>
        <v/>
      </c>
      <c r="J1142" s="32"/>
      <c r="T1142" t="str">
        <f>IF(OR(C1142="",I1142&lt;&gt;"ENTRADA"),"",UPPER(LEFT(SUBSTITUTE(C1142," ",""),3))&amp;"-"&amp;TEXT(B1142,"AAMMDD")&amp;"-"&amp;(COUNTIFS($C$5:C1142,C1142,$B$5:B1142,B1142,$I$5:I1142,"ENTRADA")))</f>
        <v/>
      </c>
    </row>
    <row r="1143" spans="1:20">
      <c r="A1143" s="22" t="s">
        <v>1220</v>
      </c>
      <c r="H1143" s="22" t="str">
        <f t="shared" si="28"/>
        <v/>
      </c>
      <c r="J1143" s="32"/>
      <c r="T1143" t="str">
        <f>IF(OR(C1143="",I1143&lt;&gt;"ENTRADA"),"",UPPER(LEFT(SUBSTITUTE(C1143," ",""),3))&amp;"-"&amp;TEXT(B1143,"AAMMDD")&amp;"-"&amp;(COUNTIFS($C$5:C1143,C1143,$B$5:B1143,B1143,$I$5:I1143,"ENTRADA")))</f>
        <v/>
      </c>
    </row>
    <row r="1144" spans="1:20">
      <c r="A1144" s="22" t="s">
        <v>1221</v>
      </c>
      <c r="H1144" s="22" t="str">
        <f t="shared" si="28"/>
        <v/>
      </c>
      <c r="J1144" s="32"/>
      <c r="T1144" t="str">
        <f>IF(OR(C1144="",I1144&lt;&gt;"ENTRADA"),"",UPPER(LEFT(SUBSTITUTE(C1144," ",""),3))&amp;"-"&amp;TEXT(B1144,"AAMMDD")&amp;"-"&amp;(COUNTIFS($C$5:C1144,C1144,$B$5:B1144,B1144,$I$5:I1144,"ENTRADA")))</f>
        <v/>
      </c>
    </row>
    <row r="1145" spans="1:20">
      <c r="A1145" s="22" t="s">
        <v>1222</v>
      </c>
      <c r="H1145" s="22" t="str">
        <f t="shared" si="28"/>
        <v/>
      </c>
      <c r="J1145" s="32"/>
      <c r="T1145" t="str">
        <f>IF(OR(C1145="",I1145&lt;&gt;"ENTRADA"),"",UPPER(LEFT(SUBSTITUTE(C1145," ",""),3))&amp;"-"&amp;TEXT(B1145,"AAMMDD")&amp;"-"&amp;(COUNTIFS($C$5:C1145,C1145,$B$5:B1145,B1145,$I$5:I1145,"ENTRADA")))</f>
        <v/>
      </c>
    </row>
    <row r="1146" spans="1:20">
      <c r="A1146" s="22" t="s">
        <v>1223</v>
      </c>
      <c r="H1146" s="22" t="str">
        <f t="shared" si="28"/>
        <v/>
      </c>
      <c r="J1146" s="32"/>
      <c r="T1146" t="str">
        <f>IF(OR(C1146="",I1146&lt;&gt;"ENTRADA"),"",UPPER(LEFT(SUBSTITUTE(C1146," ",""),3))&amp;"-"&amp;TEXT(B1146,"AAMMDD")&amp;"-"&amp;(COUNTIFS($C$5:C1146,C1146,$B$5:B1146,B1146,$I$5:I1146,"ENTRADA")))</f>
        <v/>
      </c>
    </row>
    <row r="1147" spans="1:20">
      <c r="A1147" s="22" t="s">
        <v>1224</v>
      </c>
      <c r="H1147" s="22" t="str">
        <f t="shared" si="28"/>
        <v/>
      </c>
      <c r="J1147" s="32"/>
      <c r="T1147" t="str">
        <f>IF(OR(C1147="",I1147&lt;&gt;"ENTRADA"),"",UPPER(LEFT(SUBSTITUTE(C1147," ",""),3))&amp;"-"&amp;TEXT(B1147,"AAMMDD")&amp;"-"&amp;(COUNTIFS($C$5:C1147,C1147,$B$5:B1147,B1147,$I$5:I1147,"ENTRADA")))</f>
        <v/>
      </c>
    </row>
    <row r="1148" spans="1:20">
      <c r="A1148" s="22" t="s">
        <v>1225</v>
      </c>
      <c r="H1148" s="22" t="str">
        <f t="shared" si="28"/>
        <v/>
      </c>
      <c r="J1148" s="32"/>
      <c r="T1148" t="str">
        <f>IF(OR(C1148="",I1148&lt;&gt;"ENTRADA"),"",UPPER(LEFT(SUBSTITUTE(C1148," ",""),3))&amp;"-"&amp;TEXT(B1148,"AAMMDD")&amp;"-"&amp;(COUNTIFS($C$5:C1148,C1148,$B$5:B1148,B1148,$I$5:I1148,"ENTRADA")))</f>
        <v/>
      </c>
    </row>
    <row r="1149" spans="1:20">
      <c r="A1149" s="22" t="s">
        <v>1226</v>
      </c>
      <c r="H1149" s="22" t="str">
        <f t="shared" si="28"/>
        <v/>
      </c>
      <c r="J1149" s="32"/>
      <c r="T1149" t="str">
        <f>IF(OR(C1149="",I1149&lt;&gt;"ENTRADA"),"",UPPER(LEFT(SUBSTITUTE(C1149," ",""),3))&amp;"-"&amp;TEXT(B1149,"AAMMDD")&amp;"-"&amp;(COUNTIFS($C$5:C1149,C1149,$B$5:B1149,B1149,$I$5:I1149,"ENTRADA")))</f>
        <v/>
      </c>
    </row>
    <row r="1150" spans="1:20">
      <c r="A1150" s="22" t="s">
        <v>1227</v>
      </c>
      <c r="H1150" s="22" t="str">
        <f t="shared" si="28"/>
        <v/>
      </c>
      <c r="J1150" s="32"/>
      <c r="T1150" t="str">
        <f>IF(OR(C1150="",I1150&lt;&gt;"ENTRADA"),"",UPPER(LEFT(SUBSTITUTE(C1150," ",""),3))&amp;"-"&amp;TEXT(B1150,"AAMMDD")&amp;"-"&amp;(COUNTIFS($C$5:C1150,C1150,$B$5:B1150,B1150,$I$5:I1150,"ENTRADA")))</f>
        <v/>
      </c>
    </row>
    <row r="1151" spans="1:20">
      <c r="A1151" s="22" t="s">
        <v>1228</v>
      </c>
      <c r="H1151" s="22" t="str">
        <f t="shared" si="28"/>
        <v/>
      </c>
      <c r="J1151" s="32"/>
      <c r="T1151" t="str">
        <f>IF(OR(C1151="",I1151&lt;&gt;"ENTRADA"),"",UPPER(LEFT(SUBSTITUTE(C1151," ",""),3))&amp;"-"&amp;TEXT(B1151,"AAMMDD")&amp;"-"&amp;(COUNTIFS($C$5:C1151,C1151,$B$5:B1151,B1151,$I$5:I1151,"ENTRADA")))</f>
        <v/>
      </c>
    </row>
    <row r="1152" spans="1:20">
      <c r="A1152" s="22" t="s">
        <v>1229</v>
      </c>
      <c r="H1152" s="22" t="str">
        <f t="shared" si="28"/>
        <v/>
      </c>
      <c r="J1152" s="32"/>
      <c r="T1152" t="str">
        <f>IF(OR(C1152="",I1152&lt;&gt;"ENTRADA"),"",UPPER(LEFT(SUBSTITUTE(C1152," ",""),3))&amp;"-"&amp;TEXT(B1152,"AAMMDD")&amp;"-"&amp;(COUNTIFS($C$5:C1152,C1152,$B$5:B1152,B1152,$I$5:I1152,"ENTRADA")))</f>
        <v/>
      </c>
    </row>
    <row r="1153" spans="1:20">
      <c r="A1153" s="22" t="s">
        <v>1230</v>
      </c>
      <c r="H1153" s="22" t="str">
        <f t="shared" si="28"/>
        <v/>
      </c>
      <c r="J1153" s="32"/>
      <c r="T1153" t="str">
        <f>IF(OR(C1153="",I1153&lt;&gt;"ENTRADA"),"",UPPER(LEFT(SUBSTITUTE(C1153," ",""),3))&amp;"-"&amp;TEXT(B1153,"AAMMDD")&amp;"-"&amp;(COUNTIFS($C$5:C1153,C1153,$B$5:B1153,B1153,$I$5:I1153,"ENTRADA")))</f>
        <v/>
      </c>
    </row>
    <row r="1154" spans="1:20">
      <c r="A1154" s="22" t="s">
        <v>1231</v>
      </c>
      <c r="H1154" s="22" t="str">
        <f t="shared" si="28"/>
        <v/>
      </c>
      <c r="J1154" s="32"/>
      <c r="T1154" t="str">
        <f>IF(OR(C1154="",I1154&lt;&gt;"ENTRADA"),"",UPPER(LEFT(SUBSTITUTE(C1154," ",""),3))&amp;"-"&amp;TEXT(B1154,"AAMMDD")&amp;"-"&amp;(COUNTIFS($C$5:C1154,C1154,$B$5:B1154,B1154,$I$5:I1154,"ENTRADA")))</f>
        <v/>
      </c>
    </row>
    <row r="1155" spans="1:20">
      <c r="A1155" s="22" t="s">
        <v>1232</v>
      </c>
      <c r="H1155" s="22" t="str">
        <f t="shared" si="28"/>
        <v/>
      </c>
      <c r="J1155" s="32"/>
      <c r="T1155" t="str">
        <f>IF(OR(C1155="",I1155&lt;&gt;"ENTRADA"),"",UPPER(LEFT(SUBSTITUTE(C1155," ",""),3))&amp;"-"&amp;TEXT(B1155,"AAMMDD")&amp;"-"&amp;(COUNTIFS($C$5:C1155,C1155,$B$5:B1155,B1155,$I$5:I1155,"ENTRADA")))</f>
        <v/>
      </c>
    </row>
    <row r="1156" spans="1:20">
      <c r="A1156" s="22" t="s">
        <v>1233</v>
      </c>
      <c r="H1156" s="22" t="str">
        <f t="shared" si="28"/>
        <v/>
      </c>
      <c r="J1156" s="32"/>
      <c r="T1156" t="str">
        <f>IF(OR(C1156="",I1156&lt;&gt;"ENTRADA"),"",UPPER(LEFT(SUBSTITUTE(C1156," ",""),3))&amp;"-"&amp;TEXT(B1156,"AAMMDD")&amp;"-"&amp;(COUNTIFS($C$5:C1156,C1156,$B$5:B1156,B1156,$I$5:I1156,"ENTRADA")))</f>
        <v/>
      </c>
    </row>
    <row r="1157" spans="1:20">
      <c r="A1157" s="22" t="s">
        <v>1234</v>
      </c>
      <c r="H1157" s="22" t="str">
        <f t="shared" si="28"/>
        <v/>
      </c>
      <c r="J1157" s="32"/>
      <c r="T1157" t="str">
        <f>IF(OR(C1157="",I1157&lt;&gt;"ENTRADA"),"",UPPER(LEFT(SUBSTITUTE(C1157," ",""),3))&amp;"-"&amp;TEXT(B1157,"AAMMDD")&amp;"-"&amp;(COUNTIFS($C$5:C1157,C1157,$B$5:B1157,B1157,$I$5:I1157,"ENTRADA")))</f>
        <v/>
      </c>
    </row>
    <row r="1158" spans="1:20">
      <c r="A1158" s="22" t="s">
        <v>1235</v>
      </c>
      <c r="H1158" s="22" t="str">
        <f t="shared" si="28"/>
        <v/>
      </c>
      <c r="J1158" s="32"/>
      <c r="T1158" t="str">
        <f>IF(OR(C1158="",I1158&lt;&gt;"ENTRADA"),"",UPPER(LEFT(SUBSTITUTE(C1158," ",""),3))&amp;"-"&amp;TEXT(B1158,"AAMMDD")&amp;"-"&amp;(COUNTIFS($C$5:C1158,C1158,$B$5:B1158,B1158,$I$5:I1158,"ENTRADA")))</f>
        <v/>
      </c>
    </row>
    <row r="1159" spans="1:20">
      <c r="A1159" s="22" t="s">
        <v>1236</v>
      </c>
      <c r="H1159" s="22" t="str">
        <f t="shared" si="28"/>
        <v/>
      </c>
      <c r="J1159" s="32"/>
      <c r="T1159" t="str">
        <f>IF(OR(C1159="",I1159&lt;&gt;"ENTRADA"),"",UPPER(LEFT(SUBSTITUTE(C1159," ",""),3))&amp;"-"&amp;TEXT(B1159,"AAMMDD")&amp;"-"&amp;(COUNTIFS($C$5:C1159,C1159,$B$5:B1159,B1159,$I$5:I1159,"ENTRADA")))</f>
        <v/>
      </c>
    </row>
    <row r="1160" spans="1:20">
      <c r="A1160" s="22" t="s">
        <v>1237</v>
      </c>
      <c r="H1160" s="22" t="str">
        <f t="shared" si="28"/>
        <v/>
      </c>
      <c r="J1160" s="32"/>
      <c r="T1160" t="str">
        <f>IF(OR(C1160="",I1160&lt;&gt;"ENTRADA"),"",UPPER(LEFT(SUBSTITUTE(C1160," ",""),3))&amp;"-"&amp;TEXT(B1160,"AAMMDD")&amp;"-"&amp;(COUNTIFS($C$5:C1160,C1160,$B$5:B1160,B1160,$I$5:I1160,"ENTRADA")))</f>
        <v/>
      </c>
    </row>
    <row r="1161" spans="1:20">
      <c r="A1161" s="22" t="s">
        <v>1238</v>
      </c>
      <c r="H1161" s="22" t="str">
        <f t="shared" si="28"/>
        <v/>
      </c>
      <c r="J1161" s="32"/>
      <c r="T1161" t="str">
        <f>IF(OR(C1161="",I1161&lt;&gt;"ENTRADA"),"",UPPER(LEFT(SUBSTITUTE(C1161," ",""),3))&amp;"-"&amp;TEXT(B1161,"AAMMDD")&amp;"-"&amp;(COUNTIFS($C$5:C1161,C1161,$B$5:B1161,B1161,$I$5:I1161,"ENTRADA")))</f>
        <v/>
      </c>
    </row>
    <row r="1162" spans="1:20">
      <c r="A1162" s="22" t="s">
        <v>1239</v>
      </c>
      <c r="H1162" s="22" t="str">
        <f t="shared" si="28"/>
        <v/>
      </c>
      <c r="J1162" s="32"/>
      <c r="T1162" t="str">
        <f>IF(OR(C1162="",I1162&lt;&gt;"ENTRADA"),"",UPPER(LEFT(SUBSTITUTE(C1162," ",""),3))&amp;"-"&amp;TEXT(B1162,"AAMMDD")&amp;"-"&amp;(COUNTIFS($C$5:C1162,C1162,$B$5:B1162,B1162,$I$5:I1162,"ENTRADA")))</f>
        <v/>
      </c>
    </row>
    <row r="1163" spans="1:20">
      <c r="A1163" s="22" t="s">
        <v>1240</v>
      </c>
      <c r="H1163" s="22" t="str">
        <f t="shared" si="28"/>
        <v/>
      </c>
      <c r="J1163" s="32"/>
      <c r="T1163" t="str">
        <f>IF(OR(C1163="",I1163&lt;&gt;"ENTRADA"),"",UPPER(LEFT(SUBSTITUTE(C1163," ",""),3))&amp;"-"&amp;TEXT(B1163,"AAMMDD")&amp;"-"&amp;(COUNTIFS($C$5:C1163,C1163,$B$5:B1163,B1163,$I$5:I1163,"ENTRADA")))</f>
        <v/>
      </c>
    </row>
    <row r="1164" spans="1:20">
      <c r="A1164" s="22" t="s">
        <v>1241</v>
      </c>
      <c r="H1164" s="22" t="str">
        <f t="shared" si="28"/>
        <v/>
      </c>
      <c r="J1164" s="32"/>
      <c r="T1164" t="str">
        <f>IF(OR(C1164="",I1164&lt;&gt;"ENTRADA"),"",UPPER(LEFT(SUBSTITUTE(C1164," ",""),3))&amp;"-"&amp;TEXT(B1164,"AAMMDD")&amp;"-"&amp;(COUNTIFS($C$5:C1164,C1164,$B$5:B1164,B1164,$I$5:I1164,"ENTRADA")))</f>
        <v/>
      </c>
    </row>
    <row r="1165" spans="1:20">
      <c r="A1165" s="22" t="s">
        <v>1242</v>
      </c>
      <c r="H1165" s="22" t="str">
        <f t="shared" si="28"/>
        <v/>
      </c>
      <c r="J1165" s="32"/>
      <c r="T1165" t="str">
        <f>IF(OR(C1165="",I1165&lt;&gt;"ENTRADA"),"",UPPER(LEFT(SUBSTITUTE(C1165," ",""),3))&amp;"-"&amp;TEXT(B1165,"AAMMDD")&amp;"-"&amp;(COUNTIFS($C$5:C1165,C1165,$B$5:B1165,B1165,$I$5:I1165,"ENTRADA")))</f>
        <v/>
      </c>
    </row>
    <row r="1166" spans="1:20">
      <c r="A1166" s="22" t="s">
        <v>1243</v>
      </c>
      <c r="H1166" s="22" t="str">
        <f t="shared" si="28"/>
        <v/>
      </c>
      <c r="J1166" s="32"/>
      <c r="T1166" t="str">
        <f>IF(OR(C1166="",I1166&lt;&gt;"ENTRADA"),"",UPPER(LEFT(SUBSTITUTE(C1166," ",""),3))&amp;"-"&amp;TEXT(B1166,"AAMMDD")&amp;"-"&amp;(COUNTIFS($C$5:C1166,C1166,$B$5:B1166,B1166,$I$5:I1166,"ENTRADA")))</f>
        <v/>
      </c>
    </row>
    <row r="1167" spans="1:20">
      <c r="A1167" s="22" t="s">
        <v>1244</v>
      </c>
      <c r="H1167" s="22" t="str">
        <f t="shared" si="28"/>
        <v/>
      </c>
      <c r="J1167" s="32"/>
      <c r="T1167" t="str">
        <f>IF(OR(C1167="",I1167&lt;&gt;"ENTRADA"),"",UPPER(LEFT(SUBSTITUTE(C1167," ",""),3))&amp;"-"&amp;TEXT(B1167,"AAMMDD")&amp;"-"&amp;(COUNTIFS($C$5:C1167,C1167,$B$5:B1167,B1167,$I$5:I1167,"ENTRADA")))</f>
        <v/>
      </c>
    </row>
    <row r="1168" spans="1:20">
      <c r="A1168" s="22" t="s">
        <v>1245</v>
      </c>
      <c r="H1168" s="22" t="str">
        <f t="shared" ref="H1168:H1231" si="29">+T1168</f>
        <v/>
      </c>
      <c r="J1168" s="32"/>
      <c r="T1168" t="str">
        <f>IF(OR(C1168="",I1168&lt;&gt;"ENTRADA"),"",UPPER(LEFT(SUBSTITUTE(C1168," ",""),3))&amp;"-"&amp;TEXT(B1168,"AAMMDD")&amp;"-"&amp;(COUNTIFS($C$5:C1168,C1168,$B$5:B1168,B1168,$I$5:I1168,"ENTRADA")))</f>
        <v/>
      </c>
    </row>
    <row r="1169" spans="1:20">
      <c r="A1169" s="22" t="s">
        <v>1246</v>
      </c>
      <c r="H1169" s="22" t="str">
        <f t="shared" si="29"/>
        <v/>
      </c>
      <c r="J1169" s="32"/>
      <c r="T1169" t="str">
        <f>IF(OR(C1169="",I1169&lt;&gt;"ENTRADA"),"",UPPER(LEFT(SUBSTITUTE(C1169," ",""),3))&amp;"-"&amp;TEXT(B1169,"AAMMDD")&amp;"-"&amp;(COUNTIFS($C$5:C1169,C1169,$B$5:B1169,B1169,$I$5:I1169,"ENTRADA")))</f>
        <v/>
      </c>
    </row>
    <row r="1170" spans="1:20">
      <c r="A1170" s="22" t="s">
        <v>1247</v>
      </c>
      <c r="H1170" s="22" t="str">
        <f t="shared" si="29"/>
        <v/>
      </c>
      <c r="J1170" s="32"/>
      <c r="T1170" t="str">
        <f>IF(OR(C1170="",I1170&lt;&gt;"ENTRADA"),"",UPPER(LEFT(SUBSTITUTE(C1170," ",""),3))&amp;"-"&amp;TEXT(B1170,"AAMMDD")&amp;"-"&amp;(COUNTIFS($C$5:C1170,C1170,$B$5:B1170,B1170,$I$5:I1170,"ENTRADA")))</f>
        <v/>
      </c>
    </row>
    <row r="1171" spans="1:20">
      <c r="A1171" s="22" t="s">
        <v>1248</v>
      </c>
      <c r="H1171" s="22" t="str">
        <f t="shared" si="29"/>
        <v/>
      </c>
      <c r="J1171" s="32"/>
      <c r="T1171" t="str">
        <f>IF(OR(C1171="",I1171&lt;&gt;"ENTRADA"),"",UPPER(LEFT(SUBSTITUTE(C1171," ",""),3))&amp;"-"&amp;TEXT(B1171,"AAMMDD")&amp;"-"&amp;(COUNTIFS($C$5:C1171,C1171,$B$5:B1171,B1171,$I$5:I1171,"ENTRADA")))</f>
        <v/>
      </c>
    </row>
    <row r="1172" spans="1:20">
      <c r="A1172" s="22" t="s">
        <v>1249</v>
      </c>
      <c r="H1172" s="22" t="str">
        <f t="shared" si="29"/>
        <v/>
      </c>
      <c r="J1172" s="32"/>
      <c r="T1172" t="str">
        <f>IF(OR(C1172="",I1172&lt;&gt;"ENTRADA"),"",UPPER(LEFT(SUBSTITUTE(C1172," ",""),3))&amp;"-"&amp;TEXT(B1172,"AAMMDD")&amp;"-"&amp;(COUNTIFS($C$5:C1172,C1172,$B$5:B1172,B1172,$I$5:I1172,"ENTRADA")))</f>
        <v/>
      </c>
    </row>
    <row r="1173" spans="1:20">
      <c r="A1173" s="22" t="s">
        <v>1250</v>
      </c>
      <c r="H1173" s="22" t="str">
        <f t="shared" si="29"/>
        <v/>
      </c>
      <c r="J1173" s="32"/>
      <c r="T1173" t="str">
        <f>IF(OR(C1173="",I1173&lt;&gt;"ENTRADA"),"",UPPER(LEFT(SUBSTITUTE(C1173," ",""),3))&amp;"-"&amp;TEXT(B1173,"AAMMDD")&amp;"-"&amp;(COUNTIFS($C$5:C1173,C1173,$B$5:B1173,B1173,$I$5:I1173,"ENTRADA")))</f>
        <v/>
      </c>
    </row>
    <row r="1174" spans="1:20">
      <c r="A1174" s="22" t="s">
        <v>1251</v>
      </c>
      <c r="H1174" s="22" t="str">
        <f t="shared" si="29"/>
        <v/>
      </c>
      <c r="J1174" s="32"/>
      <c r="T1174" t="str">
        <f>IF(OR(C1174="",I1174&lt;&gt;"ENTRADA"),"",UPPER(LEFT(SUBSTITUTE(C1174," ",""),3))&amp;"-"&amp;TEXT(B1174,"AAMMDD")&amp;"-"&amp;(COUNTIFS($C$5:C1174,C1174,$B$5:B1174,B1174,$I$5:I1174,"ENTRADA")))</f>
        <v/>
      </c>
    </row>
    <row r="1175" spans="1:20">
      <c r="A1175" s="22" t="s">
        <v>1252</v>
      </c>
      <c r="H1175" s="22" t="str">
        <f t="shared" si="29"/>
        <v/>
      </c>
      <c r="J1175" s="32"/>
      <c r="T1175" t="str">
        <f>IF(OR(C1175="",I1175&lt;&gt;"ENTRADA"),"",UPPER(LEFT(SUBSTITUTE(C1175," ",""),3))&amp;"-"&amp;TEXT(B1175,"AAMMDD")&amp;"-"&amp;(COUNTIFS($C$5:C1175,C1175,$B$5:B1175,B1175,$I$5:I1175,"ENTRADA")))</f>
        <v/>
      </c>
    </row>
    <row r="1176" spans="1:20">
      <c r="A1176" s="22" t="s">
        <v>1253</v>
      </c>
      <c r="H1176" s="22" t="str">
        <f t="shared" si="29"/>
        <v/>
      </c>
      <c r="J1176" s="32"/>
      <c r="T1176" t="str">
        <f>IF(OR(C1176="",I1176&lt;&gt;"ENTRADA"),"",UPPER(LEFT(SUBSTITUTE(C1176," ",""),3))&amp;"-"&amp;TEXT(B1176,"AAMMDD")&amp;"-"&amp;(COUNTIFS($C$5:C1176,C1176,$B$5:B1176,B1176,$I$5:I1176,"ENTRADA")))</f>
        <v/>
      </c>
    </row>
    <row r="1177" spans="1:20">
      <c r="A1177" s="22" t="s">
        <v>1254</v>
      </c>
      <c r="H1177" s="22" t="str">
        <f t="shared" si="29"/>
        <v/>
      </c>
      <c r="J1177" s="32"/>
      <c r="T1177" t="str">
        <f>IF(OR(C1177="",I1177&lt;&gt;"ENTRADA"),"",UPPER(LEFT(SUBSTITUTE(C1177," ",""),3))&amp;"-"&amp;TEXT(B1177,"AAMMDD")&amp;"-"&amp;(COUNTIFS($C$5:C1177,C1177,$B$5:B1177,B1177,$I$5:I1177,"ENTRADA")))</f>
        <v/>
      </c>
    </row>
    <row r="1178" spans="1:20">
      <c r="A1178" s="22" t="s">
        <v>1255</v>
      </c>
      <c r="H1178" s="22" t="str">
        <f t="shared" si="29"/>
        <v/>
      </c>
      <c r="J1178" s="32"/>
      <c r="T1178" t="str">
        <f>IF(OR(C1178="",I1178&lt;&gt;"ENTRADA"),"",UPPER(LEFT(SUBSTITUTE(C1178," ",""),3))&amp;"-"&amp;TEXT(B1178,"AAMMDD")&amp;"-"&amp;(COUNTIFS($C$5:C1178,C1178,$B$5:B1178,B1178,$I$5:I1178,"ENTRADA")))</f>
        <v/>
      </c>
    </row>
    <row r="1179" spans="1:20">
      <c r="A1179" s="22" t="s">
        <v>1256</v>
      </c>
      <c r="H1179" s="22" t="str">
        <f t="shared" si="29"/>
        <v/>
      </c>
      <c r="J1179" s="32"/>
      <c r="T1179" t="str">
        <f>IF(OR(C1179="",I1179&lt;&gt;"ENTRADA"),"",UPPER(LEFT(SUBSTITUTE(C1179," ",""),3))&amp;"-"&amp;TEXT(B1179,"AAMMDD")&amp;"-"&amp;(COUNTIFS($C$5:C1179,C1179,$B$5:B1179,B1179,$I$5:I1179,"ENTRADA")))</f>
        <v/>
      </c>
    </row>
    <row r="1180" spans="1:20">
      <c r="A1180" s="22" t="s">
        <v>1257</v>
      </c>
      <c r="H1180" s="22" t="str">
        <f t="shared" si="29"/>
        <v/>
      </c>
      <c r="J1180" s="32"/>
      <c r="T1180" t="str">
        <f>IF(OR(C1180="",I1180&lt;&gt;"ENTRADA"),"",UPPER(LEFT(SUBSTITUTE(C1180," ",""),3))&amp;"-"&amp;TEXT(B1180,"AAMMDD")&amp;"-"&amp;(COUNTIFS($C$5:C1180,C1180,$B$5:B1180,B1180,$I$5:I1180,"ENTRADA")))</f>
        <v/>
      </c>
    </row>
    <row r="1181" spans="1:20">
      <c r="A1181" s="22" t="s">
        <v>1258</v>
      </c>
      <c r="H1181" s="22" t="str">
        <f t="shared" si="29"/>
        <v/>
      </c>
      <c r="J1181" s="32"/>
      <c r="T1181" t="str">
        <f>IF(OR(C1181="",I1181&lt;&gt;"ENTRADA"),"",UPPER(LEFT(SUBSTITUTE(C1181," ",""),3))&amp;"-"&amp;TEXT(B1181,"AAMMDD")&amp;"-"&amp;(COUNTIFS($C$5:C1181,C1181,$B$5:B1181,B1181,$I$5:I1181,"ENTRADA")))</f>
        <v/>
      </c>
    </row>
    <row r="1182" spans="1:20">
      <c r="A1182" s="22" t="s">
        <v>1259</v>
      </c>
      <c r="H1182" s="22" t="str">
        <f t="shared" si="29"/>
        <v/>
      </c>
      <c r="J1182" s="32"/>
      <c r="T1182" t="str">
        <f>IF(OR(C1182="",I1182&lt;&gt;"ENTRADA"),"",UPPER(LEFT(SUBSTITUTE(C1182," ",""),3))&amp;"-"&amp;TEXT(B1182,"AAMMDD")&amp;"-"&amp;(COUNTIFS($C$5:C1182,C1182,$B$5:B1182,B1182,$I$5:I1182,"ENTRADA")))</f>
        <v/>
      </c>
    </row>
    <row r="1183" spans="1:20">
      <c r="A1183" s="22" t="s">
        <v>1260</v>
      </c>
      <c r="H1183" s="22" t="str">
        <f t="shared" si="29"/>
        <v/>
      </c>
      <c r="J1183" s="32"/>
      <c r="T1183" t="str">
        <f>IF(OR(C1183="",I1183&lt;&gt;"ENTRADA"),"",UPPER(LEFT(SUBSTITUTE(C1183," ",""),3))&amp;"-"&amp;TEXT(B1183,"AAMMDD")&amp;"-"&amp;(COUNTIFS($C$5:C1183,C1183,$B$5:B1183,B1183,$I$5:I1183,"ENTRADA")))</f>
        <v/>
      </c>
    </row>
    <row r="1184" spans="1:20">
      <c r="A1184" s="22" t="s">
        <v>1261</v>
      </c>
      <c r="H1184" s="22" t="str">
        <f t="shared" si="29"/>
        <v/>
      </c>
      <c r="J1184" s="32"/>
      <c r="T1184" t="str">
        <f>IF(OR(C1184="",I1184&lt;&gt;"ENTRADA"),"",UPPER(LEFT(SUBSTITUTE(C1184," ",""),3))&amp;"-"&amp;TEXT(B1184,"AAMMDD")&amp;"-"&amp;(COUNTIFS($C$5:C1184,C1184,$B$5:B1184,B1184,$I$5:I1184,"ENTRADA")))</f>
        <v/>
      </c>
    </row>
    <row r="1185" spans="1:20">
      <c r="A1185" s="22" t="s">
        <v>1262</v>
      </c>
      <c r="H1185" s="22" t="str">
        <f t="shared" si="29"/>
        <v/>
      </c>
      <c r="J1185" s="32"/>
      <c r="T1185" t="str">
        <f>IF(OR(C1185="",I1185&lt;&gt;"ENTRADA"),"",UPPER(LEFT(SUBSTITUTE(C1185," ",""),3))&amp;"-"&amp;TEXT(B1185,"AAMMDD")&amp;"-"&amp;(COUNTIFS($C$5:C1185,C1185,$B$5:B1185,B1185,$I$5:I1185,"ENTRADA")))</f>
        <v/>
      </c>
    </row>
    <row r="1186" spans="1:20">
      <c r="A1186" s="22" t="s">
        <v>1263</v>
      </c>
      <c r="H1186" s="22" t="str">
        <f t="shared" si="29"/>
        <v/>
      </c>
      <c r="J1186" s="32"/>
      <c r="T1186" t="str">
        <f>IF(OR(C1186="",I1186&lt;&gt;"ENTRADA"),"",UPPER(LEFT(SUBSTITUTE(C1186," ",""),3))&amp;"-"&amp;TEXT(B1186,"AAMMDD")&amp;"-"&amp;(COUNTIFS($C$5:C1186,C1186,$B$5:B1186,B1186,$I$5:I1186,"ENTRADA")))</f>
        <v/>
      </c>
    </row>
    <row r="1187" spans="1:20">
      <c r="A1187" s="22" t="s">
        <v>1264</v>
      </c>
      <c r="H1187" s="22" t="str">
        <f t="shared" si="29"/>
        <v/>
      </c>
      <c r="J1187" s="32"/>
      <c r="T1187" t="str">
        <f>IF(OR(C1187="",I1187&lt;&gt;"ENTRADA"),"",UPPER(LEFT(SUBSTITUTE(C1187," ",""),3))&amp;"-"&amp;TEXT(B1187,"AAMMDD")&amp;"-"&amp;(COUNTIFS($C$5:C1187,C1187,$B$5:B1187,B1187,$I$5:I1187,"ENTRADA")))</f>
        <v/>
      </c>
    </row>
    <row r="1188" spans="1:20">
      <c r="A1188" s="22" t="s">
        <v>1265</v>
      </c>
      <c r="H1188" s="22" t="str">
        <f t="shared" si="29"/>
        <v/>
      </c>
      <c r="J1188" s="32"/>
      <c r="T1188" t="str">
        <f>IF(OR(C1188="",I1188&lt;&gt;"ENTRADA"),"",UPPER(LEFT(SUBSTITUTE(C1188," ",""),3))&amp;"-"&amp;TEXT(B1188,"AAMMDD")&amp;"-"&amp;(COUNTIFS($C$5:C1188,C1188,$B$5:B1188,B1188,$I$5:I1188,"ENTRADA")))</f>
        <v/>
      </c>
    </row>
    <row r="1189" spans="1:20">
      <c r="A1189" s="22" t="s">
        <v>1266</v>
      </c>
      <c r="H1189" s="22" t="str">
        <f t="shared" si="29"/>
        <v/>
      </c>
      <c r="J1189" s="32"/>
      <c r="T1189" t="str">
        <f>IF(OR(C1189="",I1189&lt;&gt;"ENTRADA"),"",UPPER(LEFT(SUBSTITUTE(C1189," ",""),3))&amp;"-"&amp;TEXT(B1189,"AAMMDD")&amp;"-"&amp;(COUNTIFS($C$5:C1189,C1189,$B$5:B1189,B1189,$I$5:I1189,"ENTRADA")))</f>
        <v/>
      </c>
    </row>
    <row r="1190" spans="1:20">
      <c r="A1190" s="22" t="s">
        <v>1267</v>
      </c>
      <c r="H1190" s="22" t="str">
        <f t="shared" si="29"/>
        <v/>
      </c>
      <c r="J1190" s="32"/>
      <c r="T1190" t="str">
        <f>IF(OR(C1190="",I1190&lt;&gt;"ENTRADA"),"",UPPER(LEFT(SUBSTITUTE(C1190," ",""),3))&amp;"-"&amp;TEXT(B1190,"AAMMDD")&amp;"-"&amp;(COUNTIFS($C$5:C1190,C1190,$B$5:B1190,B1190,$I$5:I1190,"ENTRADA")))</f>
        <v/>
      </c>
    </row>
    <row r="1191" spans="1:20">
      <c r="A1191" s="22" t="s">
        <v>1268</v>
      </c>
      <c r="H1191" s="22" t="str">
        <f t="shared" si="29"/>
        <v/>
      </c>
      <c r="J1191" s="32"/>
      <c r="T1191" t="str">
        <f>IF(OR(C1191="",I1191&lt;&gt;"ENTRADA"),"",UPPER(LEFT(SUBSTITUTE(C1191," ",""),3))&amp;"-"&amp;TEXT(B1191,"AAMMDD")&amp;"-"&amp;(COUNTIFS($C$5:C1191,C1191,$B$5:B1191,B1191,$I$5:I1191,"ENTRADA")))</f>
        <v/>
      </c>
    </row>
    <row r="1192" spans="1:20">
      <c r="A1192" s="22" t="s">
        <v>1269</v>
      </c>
      <c r="H1192" s="22" t="str">
        <f t="shared" si="29"/>
        <v/>
      </c>
      <c r="J1192" s="32"/>
      <c r="T1192" t="str">
        <f>IF(OR(C1192="",I1192&lt;&gt;"ENTRADA"),"",UPPER(LEFT(SUBSTITUTE(C1192," ",""),3))&amp;"-"&amp;TEXT(B1192,"AAMMDD")&amp;"-"&amp;(COUNTIFS($C$5:C1192,C1192,$B$5:B1192,B1192,$I$5:I1192,"ENTRADA")))</f>
        <v/>
      </c>
    </row>
    <row r="1193" spans="1:20">
      <c r="A1193" s="22" t="s">
        <v>1270</v>
      </c>
      <c r="H1193" s="22" t="str">
        <f t="shared" si="29"/>
        <v/>
      </c>
      <c r="J1193" s="32"/>
      <c r="T1193" t="str">
        <f>IF(OR(C1193="",I1193&lt;&gt;"ENTRADA"),"",UPPER(LEFT(SUBSTITUTE(C1193," ",""),3))&amp;"-"&amp;TEXT(B1193,"AAMMDD")&amp;"-"&amp;(COUNTIFS($C$5:C1193,C1193,$B$5:B1193,B1193,$I$5:I1193,"ENTRADA")))</f>
        <v/>
      </c>
    </row>
    <row r="1194" spans="1:20">
      <c r="A1194" s="22" t="s">
        <v>1271</v>
      </c>
      <c r="H1194" s="22" t="str">
        <f t="shared" si="29"/>
        <v/>
      </c>
      <c r="J1194" s="32"/>
      <c r="T1194" t="str">
        <f>IF(OR(C1194="",I1194&lt;&gt;"ENTRADA"),"",UPPER(LEFT(SUBSTITUTE(C1194," ",""),3))&amp;"-"&amp;TEXT(B1194,"AAMMDD")&amp;"-"&amp;(COUNTIFS($C$5:C1194,C1194,$B$5:B1194,B1194,$I$5:I1194,"ENTRADA")))</f>
        <v/>
      </c>
    </row>
    <row r="1195" spans="1:20">
      <c r="A1195" s="22" t="s">
        <v>1272</v>
      </c>
      <c r="H1195" s="22" t="str">
        <f t="shared" si="29"/>
        <v/>
      </c>
      <c r="J1195" s="32"/>
      <c r="T1195" t="str">
        <f>IF(OR(C1195="",I1195&lt;&gt;"ENTRADA"),"",UPPER(LEFT(SUBSTITUTE(C1195," ",""),3))&amp;"-"&amp;TEXT(B1195,"AAMMDD")&amp;"-"&amp;(COUNTIFS($C$5:C1195,C1195,$B$5:B1195,B1195,$I$5:I1195,"ENTRADA")))</f>
        <v/>
      </c>
    </row>
    <row r="1196" spans="1:20">
      <c r="A1196" s="22" t="s">
        <v>1273</v>
      </c>
      <c r="H1196" s="22" t="str">
        <f t="shared" si="29"/>
        <v/>
      </c>
      <c r="J1196" s="32"/>
      <c r="T1196" t="str">
        <f>IF(OR(C1196="",I1196&lt;&gt;"ENTRADA"),"",UPPER(LEFT(SUBSTITUTE(C1196," ",""),3))&amp;"-"&amp;TEXT(B1196,"AAMMDD")&amp;"-"&amp;(COUNTIFS($C$5:C1196,C1196,$B$5:B1196,B1196,$I$5:I1196,"ENTRADA")))</f>
        <v/>
      </c>
    </row>
    <row r="1197" spans="1:20">
      <c r="A1197" s="22" t="s">
        <v>1274</v>
      </c>
      <c r="H1197" s="22" t="str">
        <f t="shared" si="29"/>
        <v/>
      </c>
      <c r="J1197" s="32"/>
      <c r="T1197" t="str">
        <f>IF(OR(C1197="",I1197&lt;&gt;"ENTRADA"),"",UPPER(LEFT(SUBSTITUTE(C1197," ",""),3))&amp;"-"&amp;TEXT(B1197,"AAMMDD")&amp;"-"&amp;(COUNTIFS($C$5:C1197,C1197,$B$5:B1197,B1197,$I$5:I1197,"ENTRADA")))</f>
        <v/>
      </c>
    </row>
    <row r="1198" spans="1:20">
      <c r="A1198" s="22" t="s">
        <v>1275</v>
      </c>
      <c r="H1198" s="22" t="str">
        <f t="shared" si="29"/>
        <v/>
      </c>
      <c r="J1198" s="32"/>
      <c r="T1198" t="str">
        <f>IF(OR(C1198="",I1198&lt;&gt;"ENTRADA"),"",UPPER(LEFT(SUBSTITUTE(C1198," ",""),3))&amp;"-"&amp;TEXT(B1198,"AAMMDD")&amp;"-"&amp;(COUNTIFS($C$5:C1198,C1198,$B$5:B1198,B1198,$I$5:I1198,"ENTRADA")))</f>
        <v/>
      </c>
    </row>
    <row r="1199" spans="1:20">
      <c r="A1199" s="22" t="s">
        <v>1276</v>
      </c>
      <c r="H1199" s="22" t="str">
        <f t="shared" si="29"/>
        <v/>
      </c>
      <c r="J1199" s="32"/>
      <c r="T1199" t="str">
        <f>IF(OR(C1199="",I1199&lt;&gt;"ENTRADA"),"",UPPER(LEFT(SUBSTITUTE(C1199," ",""),3))&amp;"-"&amp;TEXT(B1199,"AAMMDD")&amp;"-"&amp;(COUNTIFS($C$5:C1199,C1199,$B$5:B1199,B1199,$I$5:I1199,"ENTRADA")))</f>
        <v/>
      </c>
    </row>
    <row r="1200" spans="1:20">
      <c r="A1200" s="22" t="s">
        <v>1277</v>
      </c>
      <c r="H1200" s="22" t="str">
        <f t="shared" si="29"/>
        <v/>
      </c>
      <c r="J1200" s="32"/>
      <c r="T1200" t="str">
        <f>IF(OR(C1200="",I1200&lt;&gt;"ENTRADA"),"",UPPER(LEFT(SUBSTITUTE(C1200," ",""),3))&amp;"-"&amp;TEXT(B1200,"AAMMDD")&amp;"-"&amp;(COUNTIFS($C$5:C1200,C1200,$B$5:B1200,B1200,$I$5:I1200,"ENTRADA")))</f>
        <v/>
      </c>
    </row>
    <row r="1201" spans="1:20">
      <c r="A1201" s="22" t="s">
        <v>1278</v>
      </c>
      <c r="H1201" s="22" t="str">
        <f t="shared" si="29"/>
        <v/>
      </c>
      <c r="J1201" s="32"/>
      <c r="T1201" t="str">
        <f>IF(OR(C1201="",I1201&lt;&gt;"ENTRADA"),"",UPPER(LEFT(SUBSTITUTE(C1201," ",""),3))&amp;"-"&amp;TEXT(B1201,"AAMMDD")&amp;"-"&amp;(COUNTIFS($C$5:C1201,C1201,$B$5:B1201,B1201,$I$5:I1201,"ENTRADA")))</f>
        <v/>
      </c>
    </row>
    <row r="1202" spans="1:20">
      <c r="A1202" s="22" t="s">
        <v>1279</v>
      </c>
      <c r="H1202" s="22" t="str">
        <f t="shared" si="29"/>
        <v/>
      </c>
      <c r="J1202" s="32"/>
      <c r="T1202" t="str">
        <f>IF(OR(C1202="",I1202&lt;&gt;"ENTRADA"),"",UPPER(LEFT(SUBSTITUTE(C1202," ",""),3))&amp;"-"&amp;TEXT(B1202,"AAMMDD")&amp;"-"&amp;(COUNTIFS($C$5:C1202,C1202,$B$5:B1202,B1202,$I$5:I1202,"ENTRADA")))</f>
        <v/>
      </c>
    </row>
    <row r="1203" spans="1:20">
      <c r="A1203" s="22" t="s">
        <v>1280</v>
      </c>
      <c r="H1203" s="22" t="str">
        <f t="shared" si="29"/>
        <v/>
      </c>
      <c r="J1203" s="32"/>
      <c r="T1203" t="str">
        <f>IF(OR(C1203="",I1203&lt;&gt;"ENTRADA"),"",UPPER(LEFT(SUBSTITUTE(C1203," ",""),3))&amp;"-"&amp;TEXT(B1203,"AAMMDD")&amp;"-"&amp;(COUNTIFS($C$5:C1203,C1203,$B$5:B1203,B1203,$I$5:I1203,"ENTRADA")))</f>
        <v/>
      </c>
    </row>
    <row r="1204" spans="1:20">
      <c r="A1204" s="22" t="s">
        <v>1281</v>
      </c>
      <c r="H1204" s="22" t="str">
        <f t="shared" si="29"/>
        <v/>
      </c>
      <c r="J1204" s="32"/>
      <c r="T1204" t="str">
        <f>IF(OR(C1204="",I1204&lt;&gt;"ENTRADA"),"",UPPER(LEFT(SUBSTITUTE(C1204," ",""),3))&amp;"-"&amp;TEXT(B1204,"AAMMDD")&amp;"-"&amp;(COUNTIFS($C$5:C1204,C1204,$B$5:B1204,B1204,$I$5:I1204,"ENTRADA")))</f>
        <v/>
      </c>
    </row>
    <row r="1205" spans="1:20">
      <c r="A1205" s="22" t="s">
        <v>1282</v>
      </c>
      <c r="H1205" s="22" t="str">
        <f t="shared" si="29"/>
        <v/>
      </c>
      <c r="J1205" s="32"/>
      <c r="T1205" t="str">
        <f>IF(OR(C1205="",I1205&lt;&gt;"ENTRADA"),"",UPPER(LEFT(SUBSTITUTE(C1205," ",""),3))&amp;"-"&amp;TEXT(B1205,"AAMMDD")&amp;"-"&amp;(COUNTIFS($C$5:C1205,C1205,$B$5:B1205,B1205,$I$5:I1205,"ENTRADA")))</f>
        <v/>
      </c>
    </row>
    <row r="1206" spans="1:20">
      <c r="A1206" s="22" t="s">
        <v>1283</v>
      </c>
      <c r="H1206" s="22" t="str">
        <f t="shared" si="29"/>
        <v/>
      </c>
      <c r="J1206" s="32"/>
      <c r="T1206" t="str">
        <f>IF(OR(C1206="",I1206&lt;&gt;"ENTRADA"),"",UPPER(LEFT(SUBSTITUTE(C1206," ",""),3))&amp;"-"&amp;TEXT(B1206,"AAMMDD")&amp;"-"&amp;(COUNTIFS($C$5:C1206,C1206,$B$5:B1206,B1206,$I$5:I1206,"ENTRADA")))</f>
        <v/>
      </c>
    </row>
    <row r="1207" spans="1:20">
      <c r="A1207" s="22" t="s">
        <v>1284</v>
      </c>
      <c r="H1207" s="22" t="str">
        <f t="shared" si="29"/>
        <v/>
      </c>
      <c r="J1207" s="32"/>
      <c r="T1207" t="str">
        <f>IF(OR(C1207="",I1207&lt;&gt;"ENTRADA"),"",UPPER(LEFT(SUBSTITUTE(C1207," ",""),3))&amp;"-"&amp;TEXT(B1207,"AAMMDD")&amp;"-"&amp;(COUNTIFS($C$5:C1207,C1207,$B$5:B1207,B1207,$I$5:I1207,"ENTRADA")))</f>
        <v/>
      </c>
    </row>
    <row r="1208" spans="1:20">
      <c r="A1208" s="22" t="s">
        <v>1285</v>
      </c>
      <c r="H1208" s="22" t="str">
        <f t="shared" si="29"/>
        <v/>
      </c>
      <c r="J1208" s="32"/>
      <c r="T1208" t="str">
        <f>IF(OR(C1208="",I1208&lt;&gt;"ENTRADA"),"",UPPER(LEFT(SUBSTITUTE(C1208," ",""),3))&amp;"-"&amp;TEXT(B1208,"AAMMDD")&amp;"-"&amp;(COUNTIFS($C$5:C1208,C1208,$B$5:B1208,B1208,$I$5:I1208,"ENTRADA")))</f>
        <v/>
      </c>
    </row>
    <row r="1209" spans="1:20">
      <c r="A1209" s="22" t="s">
        <v>1286</v>
      </c>
      <c r="H1209" s="22" t="str">
        <f t="shared" si="29"/>
        <v/>
      </c>
      <c r="J1209" s="32"/>
      <c r="T1209" t="str">
        <f>IF(OR(C1209="",I1209&lt;&gt;"ENTRADA"),"",UPPER(LEFT(SUBSTITUTE(C1209," ",""),3))&amp;"-"&amp;TEXT(B1209,"AAMMDD")&amp;"-"&amp;(COUNTIFS($C$5:C1209,C1209,$B$5:B1209,B1209,$I$5:I1209,"ENTRADA")))</f>
        <v/>
      </c>
    </row>
    <row r="1210" spans="1:20">
      <c r="A1210" s="22" t="s">
        <v>1287</v>
      </c>
      <c r="H1210" s="22" t="str">
        <f t="shared" si="29"/>
        <v/>
      </c>
      <c r="J1210" s="32"/>
      <c r="T1210" t="str">
        <f>IF(OR(C1210="",I1210&lt;&gt;"ENTRADA"),"",UPPER(LEFT(SUBSTITUTE(C1210," ",""),3))&amp;"-"&amp;TEXT(B1210,"AAMMDD")&amp;"-"&amp;(COUNTIFS($C$5:C1210,C1210,$B$5:B1210,B1210,$I$5:I1210,"ENTRADA")))</f>
        <v/>
      </c>
    </row>
    <row r="1211" spans="1:20">
      <c r="A1211" s="22" t="s">
        <v>1288</v>
      </c>
      <c r="H1211" s="22" t="str">
        <f t="shared" si="29"/>
        <v/>
      </c>
      <c r="J1211" s="32"/>
      <c r="T1211" t="str">
        <f>IF(OR(C1211="",I1211&lt;&gt;"ENTRADA"),"",UPPER(LEFT(SUBSTITUTE(C1211," ",""),3))&amp;"-"&amp;TEXT(B1211,"AAMMDD")&amp;"-"&amp;(COUNTIFS($C$5:C1211,C1211,$B$5:B1211,B1211,$I$5:I1211,"ENTRADA")))</f>
        <v/>
      </c>
    </row>
    <row r="1212" spans="1:20">
      <c r="A1212" s="22" t="s">
        <v>1289</v>
      </c>
      <c r="H1212" s="22" t="str">
        <f t="shared" si="29"/>
        <v/>
      </c>
      <c r="J1212" s="32"/>
      <c r="T1212" t="str">
        <f>IF(OR(C1212="",I1212&lt;&gt;"ENTRADA"),"",UPPER(LEFT(SUBSTITUTE(C1212," ",""),3))&amp;"-"&amp;TEXT(B1212,"AAMMDD")&amp;"-"&amp;(COUNTIFS($C$5:C1212,C1212,$B$5:B1212,B1212,$I$5:I1212,"ENTRADA")))</f>
        <v/>
      </c>
    </row>
    <row r="1213" spans="1:20">
      <c r="A1213" s="22" t="s">
        <v>1290</v>
      </c>
      <c r="H1213" s="22" t="str">
        <f t="shared" si="29"/>
        <v/>
      </c>
      <c r="J1213" s="32"/>
      <c r="T1213" t="str">
        <f>IF(OR(C1213="",I1213&lt;&gt;"ENTRADA"),"",UPPER(LEFT(SUBSTITUTE(C1213," ",""),3))&amp;"-"&amp;TEXT(B1213,"AAMMDD")&amp;"-"&amp;(COUNTIFS($C$5:C1213,C1213,$B$5:B1213,B1213,$I$5:I1213,"ENTRADA")))</f>
        <v/>
      </c>
    </row>
    <row r="1214" spans="1:20">
      <c r="A1214" s="22" t="s">
        <v>1291</v>
      </c>
      <c r="H1214" s="22" t="str">
        <f t="shared" si="29"/>
        <v/>
      </c>
      <c r="J1214" s="32"/>
      <c r="T1214" t="str">
        <f>IF(OR(C1214="",I1214&lt;&gt;"ENTRADA"),"",UPPER(LEFT(SUBSTITUTE(C1214," ",""),3))&amp;"-"&amp;TEXT(B1214,"AAMMDD")&amp;"-"&amp;(COUNTIFS($C$5:C1214,C1214,$B$5:B1214,B1214,$I$5:I1214,"ENTRADA")))</f>
        <v/>
      </c>
    </row>
    <row r="1215" spans="1:20">
      <c r="A1215" s="22" t="s">
        <v>1292</v>
      </c>
      <c r="H1215" s="22" t="str">
        <f t="shared" si="29"/>
        <v/>
      </c>
      <c r="J1215" s="32"/>
      <c r="T1215" t="str">
        <f>IF(OR(C1215="",I1215&lt;&gt;"ENTRADA"),"",UPPER(LEFT(SUBSTITUTE(C1215," ",""),3))&amp;"-"&amp;TEXT(B1215,"AAMMDD")&amp;"-"&amp;(COUNTIFS($C$5:C1215,C1215,$B$5:B1215,B1215,$I$5:I1215,"ENTRADA")))</f>
        <v/>
      </c>
    </row>
    <row r="1216" spans="1:20">
      <c r="A1216" s="22" t="s">
        <v>1293</v>
      </c>
      <c r="H1216" s="22" t="str">
        <f t="shared" si="29"/>
        <v/>
      </c>
      <c r="J1216" s="32"/>
      <c r="T1216" t="str">
        <f>IF(OR(C1216="",I1216&lt;&gt;"ENTRADA"),"",UPPER(LEFT(SUBSTITUTE(C1216," ",""),3))&amp;"-"&amp;TEXT(B1216,"AAMMDD")&amp;"-"&amp;(COUNTIFS($C$5:C1216,C1216,$B$5:B1216,B1216,$I$5:I1216,"ENTRADA")))</f>
        <v/>
      </c>
    </row>
    <row r="1217" spans="1:20">
      <c r="A1217" s="22" t="s">
        <v>1294</v>
      </c>
      <c r="H1217" s="22" t="str">
        <f t="shared" si="29"/>
        <v/>
      </c>
      <c r="J1217" s="32"/>
      <c r="T1217" t="str">
        <f>IF(OR(C1217="",I1217&lt;&gt;"ENTRADA"),"",UPPER(LEFT(SUBSTITUTE(C1217," ",""),3))&amp;"-"&amp;TEXT(B1217,"AAMMDD")&amp;"-"&amp;(COUNTIFS($C$5:C1217,C1217,$B$5:B1217,B1217,$I$5:I1217,"ENTRADA")))</f>
        <v/>
      </c>
    </row>
    <row r="1218" spans="1:20">
      <c r="A1218" s="22" t="s">
        <v>1295</v>
      </c>
      <c r="H1218" s="22" t="str">
        <f t="shared" si="29"/>
        <v/>
      </c>
      <c r="J1218" s="32"/>
      <c r="T1218" t="str">
        <f>IF(OR(C1218="",I1218&lt;&gt;"ENTRADA"),"",UPPER(LEFT(SUBSTITUTE(C1218," ",""),3))&amp;"-"&amp;TEXT(B1218,"AAMMDD")&amp;"-"&amp;(COUNTIFS($C$5:C1218,C1218,$B$5:B1218,B1218,$I$5:I1218,"ENTRADA")))</f>
        <v/>
      </c>
    </row>
    <row r="1219" spans="1:20">
      <c r="A1219" s="22" t="s">
        <v>1296</v>
      </c>
      <c r="H1219" s="22" t="str">
        <f t="shared" si="29"/>
        <v/>
      </c>
      <c r="J1219" s="32"/>
      <c r="T1219" t="str">
        <f>IF(OR(C1219="",I1219&lt;&gt;"ENTRADA"),"",UPPER(LEFT(SUBSTITUTE(C1219," ",""),3))&amp;"-"&amp;TEXT(B1219,"AAMMDD")&amp;"-"&amp;(COUNTIFS($C$5:C1219,C1219,$B$5:B1219,B1219,$I$5:I1219,"ENTRADA")))</f>
        <v/>
      </c>
    </row>
    <row r="1220" spans="1:20">
      <c r="A1220" s="22" t="s">
        <v>1297</v>
      </c>
      <c r="H1220" s="22" t="str">
        <f t="shared" si="29"/>
        <v/>
      </c>
      <c r="J1220" s="32"/>
      <c r="T1220" t="str">
        <f>IF(OR(C1220="",I1220&lt;&gt;"ENTRADA"),"",UPPER(LEFT(SUBSTITUTE(C1220," ",""),3))&amp;"-"&amp;TEXT(B1220,"AAMMDD")&amp;"-"&amp;(COUNTIFS($C$5:C1220,C1220,$B$5:B1220,B1220,$I$5:I1220,"ENTRADA")))</f>
        <v/>
      </c>
    </row>
    <row r="1221" spans="1:20">
      <c r="A1221" s="22" t="s">
        <v>1298</v>
      </c>
      <c r="H1221" s="22" t="str">
        <f t="shared" si="29"/>
        <v/>
      </c>
      <c r="J1221" s="32"/>
      <c r="T1221" t="str">
        <f>IF(OR(C1221="",I1221&lt;&gt;"ENTRADA"),"",UPPER(LEFT(SUBSTITUTE(C1221," ",""),3))&amp;"-"&amp;TEXT(B1221,"AAMMDD")&amp;"-"&amp;(COUNTIFS($C$5:C1221,C1221,$B$5:B1221,B1221,$I$5:I1221,"ENTRADA")))</f>
        <v/>
      </c>
    </row>
    <row r="1222" spans="1:20">
      <c r="A1222" s="22" t="s">
        <v>1299</v>
      </c>
      <c r="H1222" s="22" t="str">
        <f t="shared" si="29"/>
        <v/>
      </c>
      <c r="J1222" s="32"/>
      <c r="T1222" t="str">
        <f>IF(OR(C1222="",I1222&lt;&gt;"ENTRADA"),"",UPPER(LEFT(SUBSTITUTE(C1222," ",""),3))&amp;"-"&amp;TEXT(B1222,"AAMMDD")&amp;"-"&amp;(COUNTIFS($C$5:C1222,C1222,$B$5:B1222,B1222,$I$5:I1222,"ENTRADA")))</f>
        <v/>
      </c>
    </row>
    <row r="1223" spans="1:20">
      <c r="A1223" s="22" t="s">
        <v>1300</v>
      </c>
      <c r="H1223" s="22" t="str">
        <f t="shared" si="29"/>
        <v/>
      </c>
      <c r="J1223" s="32"/>
      <c r="T1223" t="str">
        <f>IF(OR(C1223="",I1223&lt;&gt;"ENTRADA"),"",UPPER(LEFT(SUBSTITUTE(C1223," ",""),3))&amp;"-"&amp;TEXT(B1223,"AAMMDD")&amp;"-"&amp;(COUNTIFS($C$5:C1223,C1223,$B$5:B1223,B1223,$I$5:I1223,"ENTRADA")))</f>
        <v/>
      </c>
    </row>
    <row r="1224" spans="1:20">
      <c r="A1224" s="22" t="s">
        <v>1301</v>
      </c>
      <c r="H1224" s="22" t="str">
        <f t="shared" si="29"/>
        <v/>
      </c>
      <c r="J1224" s="32"/>
      <c r="T1224" t="str">
        <f>IF(OR(C1224="",I1224&lt;&gt;"ENTRADA"),"",UPPER(LEFT(SUBSTITUTE(C1224," ",""),3))&amp;"-"&amp;TEXT(B1224,"AAMMDD")&amp;"-"&amp;(COUNTIFS($C$5:C1224,C1224,$B$5:B1224,B1224,$I$5:I1224,"ENTRADA")))</f>
        <v/>
      </c>
    </row>
    <row r="1225" spans="1:20">
      <c r="A1225" s="22" t="s">
        <v>1302</v>
      </c>
      <c r="H1225" s="22" t="str">
        <f t="shared" si="29"/>
        <v/>
      </c>
      <c r="J1225" s="32"/>
      <c r="T1225" t="str">
        <f>IF(OR(C1225="",I1225&lt;&gt;"ENTRADA"),"",UPPER(LEFT(SUBSTITUTE(C1225," ",""),3))&amp;"-"&amp;TEXT(B1225,"AAMMDD")&amp;"-"&amp;(COUNTIFS($C$5:C1225,C1225,$B$5:B1225,B1225,$I$5:I1225,"ENTRADA")))</f>
        <v/>
      </c>
    </row>
    <row r="1226" spans="1:20">
      <c r="A1226" s="22" t="s">
        <v>1303</v>
      </c>
      <c r="H1226" s="22" t="str">
        <f t="shared" si="29"/>
        <v/>
      </c>
      <c r="J1226" s="32"/>
      <c r="T1226" t="str">
        <f>IF(OR(C1226="",I1226&lt;&gt;"ENTRADA"),"",UPPER(LEFT(SUBSTITUTE(C1226," ",""),3))&amp;"-"&amp;TEXT(B1226,"AAMMDD")&amp;"-"&amp;(COUNTIFS($C$5:C1226,C1226,$B$5:B1226,B1226,$I$5:I1226,"ENTRADA")))</f>
        <v/>
      </c>
    </row>
    <row r="1227" spans="1:20">
      <c r="A1227" s="22" t="s">
        <v>1304</v>
      </c>
      <c r="H1227" s="22" t="str">
        <f t="shared" si="29"/>
        <v/>
      </c>
      <c r="J1227" s="32"/>
      <c r="T1227" t="str">
        <f>IF(OR(C1227="",I1227&lt;&gt;"ENTRADA"),"",UPPER(LEFT(SUBSTITUTE(C1227," ",""),3))&amp;"-"&amp;TEXT(B1227,"AAMMDD")&amp;"-"&amp;(COUNTIFS($C$5:C1227,C1227,$B$5:B1227,B1227,$I$5:I1227,"ENTRADA")))</f>
        <v/>
      </c>
    </row>
    <row r="1228" spans="1:20">
      <c r="A1228" s="22" t="s">
        <v>1305</v>
      </c>
      <c r="H1228" s="22" t="str">
        <f t="shared" si="29"/>
        <v/>
      </c>
      <c r="J1228" s="32"/>
      <c r="T1228" t="str">
        <f>IF(OR(C1228="",I1228&lt;&gt;"ENTRADA"),"",UPPER(LEFT(SUBSTITUTE(C1228," ",""),3))&amp;"-"&amp;TEXT(B1228,"AAMMDD")&amp;"-"&amp;(COUNTIFS($C$5:C1228,C1228,$B$5:B1228,B1228,$I$5:I1228,"ENTRADA")))</f>
        <v/>
      </c>
    </row>
    <row r="1229" spans="1:20">
      <c r="A1229" s="22" t="s">
        <v>1306</v>
      </c>
      <c r="H1229" s="22" t="str">
        <f t="shared" si="29"/>
        <v/>
      </c>
      <c r="J1229" s="32"/>
      <c r="T1229" t="str">
        <f>IF(OR(C1229="",I1229&lt;&gt;"ENTRADA"),"",UPPER(LEFT(SUBSTITUTE(C1229," ",""),3))&amp;"-"&amp;TEXT(B1229,"AAMMDD")&amp;"-"&amp;(COUNTIFS($C$5:C1229,C1229,$B$5:B1229,B1229,$I$5:I1229,"ENTRADA")))</f>
        <v/>
      </c>
    </row>
    <row r="1230" spans="1:20">
      <c r="A1230" s="22" t="s">
        <v>1307</v>
      </c>
      <c r="H1230" s="22" t="str">
        <f t="shared" si="29"/>
        <v/>
      </c>
      <c r="J1230" s="32"/>
      <c r="T1230" t="str">
        <f>IF(OR(C1230="",I1230&lt;&gt;"ENTRADA"),"",UPPER(LEFT(SUBSTITUTE(C1230," ",""),3))&amp;"-"&amp;TEXT(B1230,"AAMMDD")&amp;"-"&amp;(COUNTIFS($C$5:C1230,C1230,$B$5:B1230,B1230,$I$5:I1230,"ENTRADA")))</f>
        <v/>
      </c>
    </row>
    <row r="1231" spans="1:20">
      <c r="A1231" s="22" t="s">
        <v>1308</v>
      </c>
      <c r="H1231" s="22" t="str">
        <f t="shared" si="29"/>
        <v/>
      </c>
      <c r="J1231" s="32"/>
      <c r="T1231" t="str">
        <f>IF(OR(C1231="",I1231&lt;&gt;"ENTRADA"),"",UPPER(LEFT(SUBSTITUTE(C1231," ",""),3))&amp;"-"&amp;TEXT(B1231,"AAMMDD")&amp;"-"&amp;(COUNTIFS($C$5:C1231,C1231,$B$5:B1231,B1231,$I$5:I1231,"ENTRADA")))</f>
        <v/>
      </c>
    </row>
    <row r="1232" spans="1:20">
      <c r="A1232" s="22" t="s">
        <v>1309</v>
      </c>
      <c r="H1232" s="22" t="str">
        <f t="shared" ref="H1232:H1295" si="30">+T1232</f>
        <v/>
      </c>
      <c r="J1232" s="32"/>
      <c r="T1232" t="str">
        <f>IF(OR(C1232="",I1232&lt;&gt;"ENTRADA"),"",UPPER(LEFT(SUBSTITUTE(C1232," ",""),3))&amp;"-"&amp;TEXT(B1232,"AAMMDD")&amp;"-"&amp;(COUNTIFS($C$5:C1232,C1232,$B$5:B1232,B1232,$I$5:I1232,"ENTRADA")))</f>
        <v/>
      </c>
    </row>
    <row r="1233" spans="1:20">
      <c r="A1233" s="22" t="s">
        <v>1310</v>
      </c>
      <c r="H1233" s="22" t="str">
        <f t="shared" si="30"/>
        <v/>
      </c>
      <c r="J1233" s="32"/>
      <c r="T1233" t="str">
        <f>IF(OR(C1233="",I1233&lt;&gt;"ENTRADA"),"",UPPER(LEFT(SUBSTITUTE(C1233," ",""),3))&amp;"-"&amp;TEXT(B1233,"AAMMDD")&amp;"-"&amp;(COUNTIFS($C$5:C1233,C1233,$B$5:B1233,B1233,$I$5:I1233,"ENTRADA")))</f>
        <v/>
      </c>
    </row>
    <row r="1234" spans="1:20">
      <c r="A1234" s="22" t="s">
        <v>1311</v>
      </c>
      <c r="H1234" s="22" t="str">
        <f t="shared" si="30"/>
        <v/>
      </c>
      <c r="J1234" s="32"/>
      <c r="T1234" t="str">
        <f>IF(OR(C1234="",I1234&lt;&gt;"ENTRADA"),"",UPPER(LEFT(SUBSTITUTE(C1234," ",""),3))&amp;"-"&amp;TEXT(B1234,"AAMMDD")&amp;"-"&amp;(COUNTIFS($C$5:C1234,C1234,$B$5:B1234,B1234,$I$5:I1234,"ENTRADA")))</f>
        <v/>
      </c>
    </row>
    <row r="1235" spans="1:20">
      <c r="A1235" s="22" t="s">
        <v>1312</v>
      </c>
      <c r="H1235" s="22" t="str">
        <f t="shared" si="30"/>
        <v/>
      </c>
      <c r="J1235" s="32"/>
      <c r="T1235" t="str">
        <f>IF(OR(C1235="",I1235&lt;&gt;"ENTRADA"),"",UPPER(LEFT(SUBSTITUTE(C1235," ",""),3))&amp;"-"&amp;TEXT(B1235,"AAMMDD")&amp;"-"&amp;(COUNTIFS($C$5:C1235,C1235,$B$5:B1235,B1235,$I$5:I1235,"ENTRADA")))</f>
        <v/>
      </c>
    </row>
    <row r="1236" spans="1:20">
      <c r="A1236" s="22" t="s">
        <v>1313</v>
      </c>
      <c r="H1236" s="22" t="str">
        <f t="shared" si="30"/>
        <v/>
      </c>
      <c r="J1236" s="32"/>
      <c r="T1236" t="str">
        <f>IF(OR(C1236="",I1236&lt;&gt;"ENTRADA"),"",UPPER(LEFT(SUBSTITUTE(C1236," ",""),3))&amp;"-"&amp;TEXT(B1236,"AAMMDD")&amp;"-"&amp;(COUNTIFS($C$5:C1236,C1236,$B$5:B1236,B1236,$I$5:I1236,"ENTRADA")))</f>
        <v/>
      </c>
    </row>
    <row r="1237" spans="1:20">
      <c r="A1237" s="22" t="s">
        <v>1314</v>
      </c>
      <c r="H1237" s="22" t="str">
        <f t="shared" si="30"/>
        <v/>
      </c>
      <c r="J1237" s="32"/>
      <c r="T1237" t="str">
        <f>IF(OR(C1237="",I1237&lt;&gt;"ENTRADA"),"",UPPER(LEFT(SUBSTITUTE(C1237," ",""),3))&amp;"-"&amp;TEXT(B1237,"AAMMDD")&amp;"-"&amp;(COUNTIFS($C$5:C1237,C1237,$B$5:B1237,B1237,$I$5:I1237,"ENTRADA")))</f>
        <v/>
      </c>
    </row>
    <row r="1238" spans="1:20">
      <c r="A1238" s="22" t="s">
        <v>1315</v>
      </c>
      <c r="H1238" s="22" t="str">
        <f t="shared" si="30"/>
        <v/>
      </c>
      <c r="J1238" s="32"/>
      <c r="T1238" t="str">
        <f>IF(OR(C1238="",I1238&lt;&gt;"ENTRADA"),"",UPPER(LEFT(SUBSTITUTE(C1238," ",""),3))&amp;"-"&amp;TEXT(B1238,"AAMMDD")&amp;"-"&amp;(COUNTIFS($C$5:C1238,C1238,$B$5:B1238,B1238,$I$5:I1238,"ENTRADA")))</f>
        <v/>
      </c>
    </row>
    <row r="1239" spans="1:20">
      <c r="A1239" s="22" t="s">
        <v>1316</v>
      </c>
      <c r="H1239" s="22" t="str">
        <f t="shared" si="30"/>
        <v/>
      </c>
      <c r="J1239" s="32"/>
      <c r="T1239" t="str">
        <f>IF(OR(C1239="",I1239&lt;&gt;"ENTRADA"),"",UPPER(LEFT(SUBSTITUTE(C1239," ",""),3))&amp;"-"&amp;TEXT(B1239,"AAMMDD")&amp;"-"&amp;(COUNTIFS($C$5:C1239,C1239,$B$5:B1239,B1239,$I$5:I1239,"ENTRADA")))</f>
        <v/>
      </c>
    </row>
    <row r="1240" spans="1:20">
      <c r="A1240" s="22" t="s">
        <v>1317</v>
      </c>
      <c r="H1240" s="22" t="str">
        <f t="shared" si="30"/>
        <v/>
      </c>
      <c r="J1240" s="32"/>
      <c r="T1240" t="str">
        <f>IF(OR(C1240="",I1240&lt;&gt;"ENTRADA"),"",UPPER(LEFT(SUBSTITUTE(C1240," ",""),3))&amp;"-"&amp;TEXT(B1240,"AAMMDD")&amp;"-"&amp;(COUNTIFS($C$5:C1240,C1240,$B$5:B1240,B1240,$I$5:I1240,"ENTRADA")))</f>
        <v/>
      </c>
    </row>
    <row r="1241" spans="1:20">
      <c r="A1241" s="22" t="s">
        <v>1318</v>
      </c>
      <c r="H1241" s="22" t="str">
        <f t="shared" si="30"/>
        <v/>
      </c>
      <c r="J1241" s="32"/>
      <c r="T1241" t="str">
        <f>IF(OR(C1241="",I1241&lt;&gt;"ENTRADA"),"",UPPER(LEFT(SUBSTITUTE(C1241," ",""),3))&amp;"-"&amp;TEXT(B1241,"AAMMDD")&amp;"-"&amp;(COUNTIFS($C$5:C1241,C1241,$B$5:B1241,B1241,$I$5:I1241,"ENTRADA")))</f>
        <v/>
      </c>
    </row>
    <row r="1242" spans="1:20">
      <c r="A1242" s="22" t="s">
        <v>1319</v>
      </c>
      <c r="H1242" s="22" t="str">
        <f t="shared" si="30"/>
        <v/>
      </c>
      <c r="J1242" s="32"/>
      <c r="T1242" t="str">
        <f>IF(OR(C1242="",I1242&lt;&gt;"ENTRADA"),"",UPPER(LEFT(SUBSTITUTE(C1242," ",""),3))&amp;"-"&amp;TEXT(B1242,"AAMMDD")&amp;"-"&amp;(COUNTIFS($C$5:C1242,C1242,$B$5:B1242,B1242,$I$5:I1242,"ENTRADA")))</f>
        <v/>
      </c>
    </row>
    <row r="1243" spans="1:20">
      <c r="A1243" s="22" t="s">
        <v>1320</v>
      </c>
      <c r="H1243" s="22" t="str">
        <f t="shared" si="30"/>
        <v/>
      </c>
      <c r="J1243" s="32"/>
      <c r="T1243" t="str">
        <f>IF(OR(C1243="",I1243&lt;&gt;"ENTRADA"),"",UPPER(LEFT(SUBSTITUTE(C1243," ",""),3))&amp;"-"&amp;TEXT(B1243,"AAMMDD")&amp;"-"&amp;(COUNTIFS($C$5:C1243,C1243,$B$5:B1243,B1243,$I$5:I1243,"ENTRADA")))</f>
        <v/>
      </c>
    </row>
    <row r="1244" spans="1:20">
      <c r="A1244" s="22" t="s">
        <v>1321</v>
      </c>
      <c r="H1244" s="22" t="str">
        <f t="shared" si="30"/>
        <v/>
      </c>
      <c r="J1244" s="32"/>
      <c r="T1244" t="str">
        <f>IF(OR(C1244="",I1244&lt;&gt;"ENTRADA"),"",UPPER(LEFT(SUBSTITUTE(C1244," ",""),3))&amp;"-"&amp;TEXT(B1244,"AAMMDD")&amp;"-"&amp;(COUNTIFS($C$5:C1244,C1244,$B$5:B1244,B1244,$I$5:I1244,"ENTRADA")))</f>
        <v/>
      </c>
    </row>
    <row r="1245" spans="1:20">
      <c r="A1245" s="22" t="s">
        <v>1322</v>
      </c>
      <c r="H1245" s="22" t="str">
        <f t="shared" si="30"/>
        <v/>
      </c>
      <c r="J1245" s="32"/>
      <c r="T1245" t="str">
        <f>IF(OR(C1245="",I1245&lt;&gt;"ENTRADA"),"",UPPER(LEFT(SUBSTITUTE(C1245," ",""),3))&amp;"-"&amp;TEXT(B1245,"AAMMDD")&amp;"-"&amp;(COUNTIFS($C$5:C1245,C1245,$B$5:B1245,B1245,$I$5:I1245,"ENTRADA")))</f>
        <v/>
      </c>
    </row>
    <row r="1246" spans="1:20">
      <c r="A1246" s="22" t="s">
        <v>1323</v>
      </c>
      <c r="H1246" s="22" t="str">
        <f t="shared" si="30"/>
        <v/>
      </c>
      <c r="J1246" s="32"/>
      <c r="T1246" t="str">
        <f>IF(OR(C1246="",I1246&lt;&gt;"ENTRADA"),"",UPPER(LEFT(SUBSTITUTE(C1246," ",""),3))&amp;"-"&amp;TEXT(B1246,"AAMMDD")&amp;"-"&amp;(COUNTIFS($C$5:C1246,C1246,$B$5:B1246,B1246,$I$5:I1246,"ENTRADA")))</f>
        <v/>
      </c>
    </row>
    <row r="1247" spans="1:20">
      <c r="A1247" s="22" t="s">
        <v>1324</v>
      </c>
      <c r="H1247" s="22" t="str">
        <f t="shared" si="30"/>
        <v/>
      </c>
      <c r="J1247" s="32"/>
      <c r="T1247" t="str">
        <f>IF(OR(C1247="",I1247&lt;&gt;"ENTRADA"),"",UPPER(LEFT(SUBSTITUTE(C1247," ",""),3))&amp;"-"&amp;TEXT(B1247,"AAMMDD")&amp;"-"&amp;(COUNTIFS($C$5:C1247,C1247,$B$5:B1247,B1247,$I$5:I1247,"ENTRADA")))</f>
        <v/>
      </c>
    </row>
    <row r="1248" spans="1:20">
      <c r="A1248" s="22" t="s">
        <v>1325</v>
      </c>
      <c r="H1248" s="22" t="str">
        <f t="shared" si="30"/>
        <v/>
      </c>
      <c r="J1248" s="32"/>
      <c r="T1248" t="str">
        <f>IF(OR(C1248="",I1248&lt;&gt;"ENTRADA"),"",UPPER(LEFT(SUBSTITUTE(C1248," ",""),3))&amp;"-"&amp;TEXT(B1248,"AAMMDD")&amp;"-"&amp;(COUNTIFS($C$5:C1248,C1248,$B$5:B1248,B1248,$I$5:I1248,"ENTRADA")))</f>
        <v/>
      </c>
    </row>
    <row r="1249" spans="1:20">
      <c r="A1249" s="22" t="s">
        <v>1326</v>
      </c>
      <c r="H1249" s="22" t="str">
        <f t="shared" si="30"/>
        <v/>
      </c>
      <c r="J1249" s="32"/>
      <c r="T1249" t="str">
        <f>IF(OR(C1249="",I1249&lt;&gt;"ENTRADA"),"",UPPER(LEFT(SUBSTITUTE(C1249," ",""),3))&amp;"-"&amp;TEXT(B1249,"AAMMDD")&amp;"-"&amp;(COUNTIFS($C$5:C1249,C1249,$B$5:B1249,B1249,$I$5:I1249,"ENTRADA")))</f>
        <v/>
      </c>
    </row>
    <row r="1250" spans="1:20">
      <c r="A1250" s="22" t="s">
        <v>1327</v>
      </c>
      <c r="H1250" s="22" t="str">
        <f t="shared" si="30"/>
        <v/>
      </c>
      <c r="J1250" s="32"/>
      <c r="T1250" t="str">
        <f>IF(OR(C1250="",I1250&lt;&gt;"ENTRADA"),"",UPPER(LEFT(SUBSTITUTE(C1250," ",""),3))&amp;"-"&amp;TEXT(B1250,"AAMMDD")&amp;"-"&amp;(COUNTIFS($C$5:C1250,C1250,$B$5:B1250,B1250,$I$5:I1250,"ENTRADA")))</f>
        <v/>
      </c>
    </row>
    <row r="1251" spans="1:20">
      <c r="A1251" s="22" t="s">
        <v>1328</v>
      </c>
      <c r="H1251" s="22" t="str">
        <f t="shared" si="30"/>
        <v/>
      </c>
      <c r="J1251" s="32"/>
      <c r="T1251" t="str">
        <f>IF(OR(C1251="",I1251&lt;&gt;"ENTRADA"),"",UPPER(LEFT(SUBSTITUTE(C1251," ",""),3))&amp;"-"&amp;TEXT(B1251,"AAMMDD")&amp;"-"&amp;(COUNTIFS($C$5:C1251,C1251,$B$5:B1251,B1251,$I$5:I1251,"ENTRADA")))</f>
        <v/>
      </c>
    </row>
    <row r="1252" spans="1:20">
      <c r="A1252" s="22" t="s">
        <v>1329</v>
      </c>
      <c r="H1252" s="22" t="str">
        <f t="shared" si="30"/>
        <v/>
      </c>
      <c r="J1252" s="32"/>
      <c r="T1252" t="str">
        <f>IF(OR(C1252="",I1252&lt;&gt;"ENTRADA"),"",UPPER(LEFT(SUBSTITUTE(C1252," ",""),3))&amp;"-"&amp;TEXT(B1252,"AAMMDD")&amp;"-"&amp;(COUNTIFS($C$5:C1252,C1252,$B$5:B1252,B1252,$I$5:I1252,"ENTRADA")))</f>
        <v/>
      </c>
    </row>
    <row r="1253" spans="1:20">
      <c r="A1253" s="22" t="s">
        <v>1330</v>
      </c>
      <c r="H1253" s="22" t="str">
        <f t="shared" si="30"/>
        <v/>
      </c>
      <c r="J1253" s="32"/>
      <c r="T1253" t="str">
        <f>IF(OR(C1253="",I1253&lt;&gt;"ENTRADA"),"",UPPER(LEFT(SUBSTITUTE(C1253," ",""),3))&amp;"-"&amp;TEXT(B1253,"AAMMDD")&amp;"-"&amp;(COUNTIFS($C$5:C1253,C1253,$B$5:B1253,B1253,$I$5:I1253,"ENTRADA")))</f>
        <v/>
      </c>
    </row>
    <row r="1254" spans="1:20">
      <c r="A1254" s="22" t="s">
        <v>1331</v>
      </c>
      <c r="H1254" s="22" t="str">
        <f t="shared" si="30"/>
        <v/>
      </c>
      <c r="J1254" s="32"/>
      <c r="T1254" t="str">
        <f>IF(OR(C1254="",I1254&lt;&gt;"ENTRADA"),"",UPPER(LEFT(SUBSTITUTE(C1254," ",""),3))&amp;"-"&amp;TEXT(B1254,"AAMMDD")&amp;"-"&amp;(COUNTIFS($C$5:C1254,C1254,$B$5:B1254,B1254,$I$5:I1254,"ENTRADA")))</f>
        <v/>
      </c>
    </row>
    <row r="1255" spans="1:20">
      <c r="A1255" s="22" t="s">
        <v>1332</v>
      </c>
      <c r="H1255" s="22" t="str">
        <f t="shared" si="30"/>
        <v/>
      </c>
      <c r="J1255" s="32"/>
      <c r="T1255" t="str">
        <f>IF(OR(C1255="",I1255&lt;&gt;"ENTRADA"),"",UPPER(LEFT(SUBSTITUTE(C1255," ",""),3))&amp;"-"&amp;TEXT(B1255,"AAMMDD")&amp;"-"&amp;(COUNTIFS($C$5:C1255,C1255,$B$5:B1255,B1255,$I$5:I1255,"ENTRADA")))</f>
        <v/>
      </c>
    </row>
    <row r="1256" spans="1:20">
      <c r="A1256" s="22" t="s">
        <v>1333</v>
      </c>
      <c r="H1256" s="22" t="str">
        <f t="shared" si="30"/>
        <v/>
      </c>
      <c r="J1256" s="32"/>
      <c r="T1256" t="str">
        <f>IF(OR(C1256="",I1256&lt;&gt;"ENTRADA"),"",UPPER(LEFT(SUBSTITUTE(C1256," ",""),3))&amp;"-"&amp;TEXT(B1256,"AAMMDD")&amp;"-"&amp;(COUNTIFS($C$5:C1256,C1256,$B$5:B1256,B1256,$I$5:I1256,"ENTRADA")))</f>
        <v/>
      </c>
    </row>
    <row r="1257" spans="1:20">
      <c r="A1257" s="22" t="s">
        <v>1334</v>
      </c>
      <c r="H1257" s="22" t="str">
        <f t="shared" si="30"/>
        <v/>
      </c>
      <c r="J1257" s="32"/>
      <c r="T1257" t="str">
        <f>IF(OR(C1257="",I1257&lt;&gt;"ENTRADA"),"",UPPER(LEFT(SUBSTITUTE(C1257," ",""),3))&amp;"-"&amp;TEXT(B1257,"AAMMDD")&amp;"-"&amp;(COUNTIFS($C$5:C1257,C1257,$B$5:B1257,B1257,$I$5:I1257,"ENTRADA")))</f>
        <v/>
      </c>
    </row>
    <row r="1258" spans="1:20">
      <c r="A1258" s="22" t="s">
        <v>1335</v>
      </c>
      <c r="H1258" s="22" t="str">
        <f t="shared" si="30"/>
        <v/>
      </c>
      <c r="J1258" s="32"/>
      <c r="T1258" t="str">
        <f>IF(OR(C1258="",I1258&lt;&gt;"ENTRADA"),"",UPPER(LEFT(SUBSTITUTE(C1258," ",""),3))&amp;"-"&amp;TEXT(B1258,"AAMMDD")&amp;"-"&amp;(COUNTIFS($C$5:C1258,C1258,$B$5:B1258,B1258,$I$5:I1258,"ENTRADA")))</f>
        <v/>
      </c>
    </row>
    <row r="1259" spans="1:20">
      <c r="A1259" s="22" t="s">
        <v>1336</v>
      </c>
      <c r="H1259" s="22" t="str">
        <f t="shared" si="30"/>
        <v/>
      </c>
      <c r="J1259" s="32"/>
      <c r="T1259" t="str">
        <f>IF(OR(C1259="",I1259&lt;&gt;"ENTRADA"),"",UPPER(LEFT(SUBSTITUTE(C1259," ",""),3))&amp;"-"&amp;TEXT(B1259,"AAMMDD")&amp;"-"&amp;(COUNTIFS($C$5:C1259,C1259,$B$5:B1259,B1259,$I$5:I1259,"ENTRADA")))</f>
        <v/>
      </c>
    </row>
    <row r="1260" spans="1:20">
      <c r="A1260" s="22" t="s">
        <v>1337</v>
      </c>
      <c r="H1260" s="22" t="str">
        <f t="shared" si="30"/>
        <v/>
      </c>
      <c r="J1260" s="32"/>
      <c r="T1260" t="str">
        <f>IF(OR(C1260="",I1260&lt;&gt;"ENTRADA"),"",UPPER(LEFT(SUBSTITUTE(C1260," ",""),3))&amp;"-"&amp;TEXT(B1260,"AAMMDD")&amp;"-"&amp;(COUNTIFS($C$5:C1260,C1260,$B$5:B1260,B1260,$I$5:I1260,"ENTRADA")))</f>
        <v/>
      </c>
    </row>
    <row r="1261" spans="1:20">
      <c r="A1261" s="22" t="s">
        <v>1338</v>
      </c>
      <c r="H1261" s="22" t="str">
        <f t="shared" si="30"/>
        <v/>
      </c>
      <c r="J1261" s="32"/>
      <c r="T1261" t="str">
        <f>IF(OR(C1261="",I1261&lt;&gt;"ENTRADA"),"",UPPER(LEFT(SUBSTITUTE(C1261," ",""),3))&amp;"-"&amp;TEXT(B1261,"AAMMDD")&amp;"-"&amp;(COUNTIFS($C$5:C1261,C1261,$B$5:B1261,B1261,$I$5:I1261,"ENTRADA")))</f>
        <v/>
      </c>
    </row>
    <row r="1262" spans="1:20">
      <c r="A1262" s="22" t="s">
        <v>1339</v>
      </c>
      <c r="H1262" s="22" t="str">
        <f t="shared" si="30"/>
        <v/>
      </c>
      <c r="J1262" s="32"/>
      <c r="T1262" t="str">
        <f>IF(OR(C1262="",I1262&lt;&gt;"ENTRADA"),"",UPPER(LEFT(SUBSTITUTE(C1262," ",""),3))&amp;"-"&amp;TEXT(B1262,"AAMMDD")&amp;"-"&amp;(COUNTIFS($C$5:C1262,C1262,$B$5:B1262,B1262,$I$5:I1262,"ENTRADA")))</f>
        <v/>
      </c>
    </row>
    <row r="1263" spans="1:20">
      <c r="A1263" s="22" t="s">
        <v>1340</v>
      </c>
      <c r="H1263" s="22" t="str">
        <f t="shared" si="30"/>
        <v/>
      </c>
      <c r="J1263" s="32"/>
      <c r="T1263" t="str">
        <f>IF(OR(C1263="",I1263&lt;&gt;"ENTRADA"),"",UPPER(LEFT(SUBSTITUTE(C1263," ",""),3))&amp;"-"&amp;TEXT(B1263,"AAMMDD")&amp;"-"&amp;(COUNTIFS($C$5:C1263,C1263,$B$5:B1263,B1263,$I$5:I1263,"ENTRADA")))</f>
        <v/>
      </c>
    </row>
    <row r="1264" spans="1:20">
      <c r="A1264" s="22" t="s">
        <v>1341</v>
      </c>
      <c r="H1264" s="22" t="str">
        <f t="shared" si="30"/>
        <v/>
      </c>
      <c r="J1264" s="32"/>
      <c r="T1264" t="str">
        <f>IF(OR(C1264="",I1264&lt;&gt;"ENTRADA"),"",UPPER(LEFT(SUBSTITUTE(C1264," ",""),3))&amp;"-"&amp;TEXT(B1264,"AAMMDD")&amp;"-"&amp;(COUNTIFS($C$5:C1264,C1264,$B$5:B1264,B1264,$I$5:I1264,"ENTRADA")))</f>
        <v/>
      </c>
    </row>
    <row r="1265" spans="1:20">
      <c r="A1265" s="22" t="s">
        <v>1342</v>
      </c>
      <c r="H1265" s="22" t="str">
        <f t="shared" si="30"/>
        <v/>
      </c>
      <c r="J1265" s="32"/>
      <c r="T1265" t="str">
        <f>IF(OR(C1265="",I1265&lt;&gt;"ENTRADA"),"",UPPER(LEFT(SUBSTITUTE(C1265," ",""),3))&amp;"-"&amp;TEXT(B1265,"AAMMDD")&amp;"-"&amp;(COUNTIFS($C$5:C1265,C1265,$B$5:B1265,B1265,$I$5:I1265,"ENTRADA")))</f>
        <v/>
      </c>
    </row>
    <row r="1266" spans="1:20">
      <c r="A1266" s="22" t="s">
        <v>1343</v>
      </c>
      <c r="H1266" s="22" t="str">
        <f t="shared" si="30"/>
        <v/>
      </c>
      <c r="J1266" s="32"/>
      <c r="T1266" t="str">
        <f>IF(OR(C1266="",I1266&lt;&gt;"ENTRADA"),"",UPPER(LEFT(SUBSTITUTE(C1266," ",""),3))&amp;"-"&amp;TEXT(B1266,"AAMMDD")&amp;"-"&amp;(COUNTIFS($C$5:C1266,C1266,$B$5:B1266,B1266,$I$5:I1266,"ENTRADA")))</f>
        <v/>
      </c>
    </row>
    <row r="1267" spans="1:20">
      <c r="A1267" s="22" t="s">
        <v>1344</v>
      </c>
      <c r="H1267" s="22" t="str">
        <f t="shared" si="30"/>
        <v/>
      </c>
      <c r="J1267" s="32"/>
      <c r="T1267" t="str">
        <f>IF(OR(C1267="",I1267&lt;&gt;"ENTRADA"),"",UPPER(LEFT(SUBSTITUTE(C1267," ",""),3))&amp;"-"&amp;TEXT(B1267,"AAMMDD")&amp;"-"&amp;(COUNTIFS($C$5:C1267,C1267,$B$5:B1267,B1267,$I$5:I1267,"ENTRADA")))</f>
        <v/>
      </c>
    </row>
    <row r="1268" spans="1:20">
      <c r="A1268" s="22" t="s">
        <v>1345</v>
      </c>
      <c r="H1268" s="22" t="str">
        <f t="shared" si="30"/>
        <v/>
      </c>
      <c r="J1268" s="32"/>
      <c r="T1268" t="str">
        <f>IF(OR(C1268="",I1268&lt;&gt;"ENTRADA"),"",UPPER(LEFT(SUBSTITUTE(C1268," ",""),3))&amp;"-"&amp;TEXT(B1268,"AAMMDD")&amp;"-"&amp;(COUNTIFS($C$5:C1268,C1268,$B$5:B1268,B1268,$I$5:I1268,"ENTRADA")))</f>
        <v/>
      </c>
    </row>
    <row r="1269" spans="1:20">
      <c r="A1269" s="22" t="s">
        <v>1346</v>
      </c>
      <c r="H1269" s="22" t="str">
        <f t="shared" si="30"/>
        <v/>
      </c>
      <c r="J1269" s="32"/>
      <c r="T1269" t="str">
        <f>IF(OR(C1269="",I1269&lt;&gt;"ENTRADA"),"",UPPER(LEFT(SUBSTITUTE(C1269," ",""),3))&amp;"-"&amp;TEXT(B1269,"AAMMDD")&amp;"-"&amp;(COUNTIFS($C$5:C1269,C1269,$B$5:B1269,B1269,$I$5:I1269,"ENTRADA")))</f>
        <v/>
      </c>
    </row>
    <row r="1270" spans="1:20">
      <c r="A1270" s="22" t="s">
        <v>1347</v>
      </c>
      <c r="H1270" s="22" t="str">
        <f t="shared" si="30"/>
        <v/>
      </c>
      <c r="J1270" s="32"/>
      <c r="T1270" t="str">
        <f>IF(OR(C1270="",I1270&lt;&gt;"ENTRADA"),"",UPPER(LEFT(SUBSTITUTE(C1270," ",""),3))&amp;"-"&amp;TEXT(B1270,"AAMMDD")&amp;"-"&amp;(COUNTIFS($C$5:C1270,C1270,$B$5:B1270,B1270,$I$5:I1270,"ENTRADA")))</f>
        <v/>
      </c>
    </row>
    <row r="1271" spans="1:20">
      <c r="A1271" s="22" t="s">
        <v>1348</v>
      </c>
      <c r="H1271" s="22" t="str">
        <f t="shared" si="30"/>
        <v/>
      </c>
      <c r="J1271" s="32"/>
      <c r="T1271" t="str">
        <f>IF(OR(C1271="",I1271&lt;&gt;"ENTRADA"),"",UPPER(LEFT(SUBSTITUTE(C1271," ",""),3))&amp;"-"&amp;TEXT(B1271,"AAMMDD")&amp;"-"&amp;(COUNTIFS($C$5:C1271,C1271,$B$5:B1271,B1271,$I$5:I1271,"ENTRADA")))</f>
        <v/>
      </c>
    </row>
    <row r="1272" spans="1:20">
      <c r="A1272" s="22" t="s">
        <v>1349</v>
      </c>
      <c r="H1272" s="22" t="str">
        <f t="shared" si="30"/>
        <v/>
      </c>
      <c r="J1272" s="32"/>
      <c r="T1272" t="str">
        <f>IF(OR(C1272="",I1272&lt;&gt;"ENTRADA"),"",UPPER(LEFT(SUBSTITUTE(C1272," ",""),3))&amp;"-"&amp;TEXT(B1272,"AAMMDD")&amp;"-"&amp;(COUNTIFS($C$5:C1272,C1272,$B$5:B1272,B1272,$I$5:I1272,"ENTRADA")))</f>
        <v/>
      </c>
    </row>
    <row r="1273" spans="1:20">
      <c r="A1273" s="22" t="s">
        <v>1350</v>
      </c>
      <c r="H1273" s="22" t="str">
        <f t="shared" si="30"/>
        <v/>
      </c>
      <c r="J1273" s="32"/>
      <c r="T1273" t="str">
        <f>IF(OR(C1273="",I1273&lt;&gt;"ENTRADA"),"",UPPER(LEFT(SUBSTITUTE(C1273," ",""),3))&amp;"-"&amp;TEXT(B1273,"AAMMDD")&amp;"-"&amp;(COUNTIFS($C$5:C1273,C1273,$B$5:B1273,B1273,$I$5:I1273,"ENTRADA")))</f>
        <v/>
      </c>
    </row>
    <row r="1274" spans="1:20">
      <c r="A1274" s="22" t="s">
        <v>1351</v>
      </c>
      <c r="H1274" s="22" t="str">
        <f t="shared" si="30"/>
        <v/>
      </c>
      <c r="J1274" s="32"/>
      <c r="T1274" t="str">
        <f>IF(OR(C1274="",I1274&lt;&gt;"ENTRADA"),"",UPPER(LEFT(SUBSTITUTE(C1274," ",""),3))&amp;"-"&amp;TEXT(B1274,"AAMMDD")&amp;"-"&amp;(COUNTIFS($C$5:C1274,C1274,$B$5:B1274,B1274,$I$5:I1274,"ENTRADA")))</f>
        <v/>
      </c>
    </row>
    <row r="1275" spans="1:20">
      <c r="A1275" s="22" t="s">
        <v>1352</v>
      </c>
      <c r="H1275" s="22" t="str">
        <f t="shared" si="30"/>
        <v/>
      </c>
      <c r="J1275" s="32"/>
      <c r="T1275" t="str">
        <f>IF(OR(C1275="",I1275&lt;&gt;"ENTRADA"),"",UPPER(LEFT(SUBSTITUTE(C1275," ",""),3))&amp;"-"&amp;TEXT(B1275,"AAMMDD")&amp;"-"&amp;(COUNTIFS($C$5:C1275,C1275,$B$5:B1275,B1275,$I$5:I1275,"ENTRADA")))</f>
        <v/>
      </c>
    </row>
    <row r="1276" spans="1:20">
      <c r="A1276" s="22" t="s">
        <v>1353</v>
      </c>
      <c r="H1276" s="22" t="str">
        <f t="shared" si="30"/>
        <v/>
      </c>
      <c r="J1276" s="32"/>
      <c r="T1276" t="str">
        <f>IF(OR(C1276="",I1276&lt;&gt;"ENTRADA"),"",UPPER(LEFT(SUBSTITUTE(C1276," ",""),3))&amp;"-"&amp;TEXT(B1276,"AAMMDD")&amp;"-"&amp;(COUNTIFS($C$5:C1276,C1276,$B$5:B1276,B1276,$I$5:I1276,"ENTRADA")))</f>
        <v/>
      </c>
    </row>
    <row r="1277" spans="1:20">
      <c r="A1277" s="22" t="s">
        <v>1354</v>
      </c>
      <c r="H1277" s="22" t="str">
        <f t="shared" si="30"/>
        <v/>
      </c>
      <c r="J1277" s="32"/>
      <c r="T1277" t="str">
        <f>IF(OR(C1277="",I1277&lt;&gt;"ENTRADA"),"",UPPER(LEFT(SUBSTITUTE(C1277," ",""),3))&amp;"-"&amp;TEXT(B1277,"AAMMDD")&amp;"-"&amp;(COUNTIFS($C$5:C1277,C1277,$B$5:B1277,B1277,$I$5:I1277,"ENTRADA")))</f>
        <v/>
      </c>
    </row>
    <row r="1278" spans="1:20">
      <c r="A1278" s="22" t="s">
        <v>1355</v>
      </c>
      <c r="H1278" s="22" t="str">
        <f t="shared" si="30"/>
        <v/>
      </c>
      <c r="J1278" s="32"/>
      <c r="T1278" t="str">
        <f>IF(OR(C1278="",I1278&lt;&gt;"ENTRADA"),"",UPPER(LEFT(SUBSTITUTE(C1278," ",""),3))&amp;"-"&amp;TEXT(B1278,"AAMMDD")&amp;"-"&amp;(COUNTIFS($C$5:C1278,C1278,$B$5:B1278,B1278,$I$5:I1278,"ENTRADA")))</f>
        <v/>
      </c>
    </row>
    <row r="1279" spans="1:20">
      <c r="A1279" s="22" t="s">
        <v>1356</v>
      </c>
      <c r="H1279" s="22" t="str">
        <f t="shared" si="30"/>
        <v/>
      </c>
      <c r="J1279" s="32"/>
      <c r="T1279" t="str">
        <f>IF(OR(C1279="",I1279&lt;&gt;"ENTRADA"),"",UPPER(LEFT(SUBSTITUTE(C1279," ",""),3))&amp;"-"&amp;TEXT(B1279,"AAMMDD")&amp;"-"&amp;(COUNTIFS($C$5:C1279,C1279,$B$5:B1279,B1279,$I$5:I1279,"ENTRADA")))</f>
        <v/>
      </c>
    </row>
    <row r="1280" spans="1:20">
      <c r="A1280" s="22" t="s">
        <v>1357</v>
      </c>
      <c r="H1280" s="22" t="str">
        <f t="shared" si="30"/>
        <v/>
      </c>
      <c r="J1280" s="32"/>
      <c r="T1280" t="str">
        <f>IF(OR(C1280="",I1280&lt;&gt;"ENTRADA"),"",UPPER(LEFT(SUBSTITUTE(C1280," ",""),3))&amp;"-"&amp;TEXT(B1280,"AAMMDD")&amp;"-"&amp;(COUNTIFS($C$5:C1280,C1280,$B$5:B1280,B1280,$I$5:I1280,"ENTRADA")))</f>
        <v/>
      </c>
    </row>
    <row r="1281" spans="1:20">
      <c r="A1281" s="22" t="s">
        <v>1358</v>
      </c>
      <c r="H1281" s="22" t="str">
        <f t="shared" si="30"/>
        <v/>
      </c>
      <c r="J1281" s="32"/>
      <c r="T1281" t="str">
        <f>IF(OR(C1281="",I1281&lt;&gt;"ENTRADA"),"",UPPER(LEFT(SUBSTITUTE(C1281," ",""),3))&amp;"-"&amp;TEXT(B1281,"AAMMDD")&amp;"-"&amp;(COUNTIFS($C$5:C1281,C1281,$B$5:B1281,B1281,$I$5:I1281,"ENTRADA")))</f>
        <v/>
      </c>
    </row>
    <row r="1282" spans="1:20">
      <c r="A1282" s="22" t="s">
        <v>1359</v>
      </c>
      <c r="H1282" s="22" t="str">
        <f t="shared" si="30"/>
        <v/>
      </c>
      <c r="J1282" s="32"/>
      <c r="T1282" t="str">
        <f>IF(OR(C1282="",I1282&lt;&gt;"ENTRADA"),"",UPPER(LEFT(SUBSTITUTE(C1282," ",""),3))&amp;"-"&amp;TEXT(B1282,"AAMMDD")&amp;"-"&amp;(COUNTIFS($C$5:C1282,C1282,$B$5:B1282,B1282,$I$5:I1282,"ENTRADA")))</f>
        <v/>
      </c>
    </row>
    <row r="1283" spans="1:20">
      <c r="A1283" s="22" t="s">
        <v>1360</v>
      </c>
      <c r="H1283" s="22" t="str">
        <f t="shared" si="30"/>
        <v/>
      </c>
      <c r="J1283" s="32"/>
      <c r="T1283" t="str">
        <f>IF(OR(C1283="",I1283&lt;&gt;"ENTRADA"),"",UPPER(LEFT(SUBSTITUTE(C1283," ",""),3))&amp;"-"&amp;TEXT(B1283,"AAMMDD")&amp;"-"&amp;(COUNTIFS($C$5:C1283,C1283,$B$5:B1283,B1283,$I$5:I1283,"ENTRADA")))</f>
        <v/>
      </c>
    </row>
    <row r="1284" spans="1:20">
      <c r="A1284" s="22" t="s">
        <v>1361</v>
      </c>
      <c r="H1284" s="22" t="str">
        <f t="shared" si="30"/>
        <v/>
      </c>
      <c r="J1284" s="32"/>
      <c r="T1284" t="str">
        <f>IF(OR(C1284="",I1284&lt;&gt;"ENTRADA"),"",UPPER(LEFT(SUBSTITUTE(C1284," ",""),3))&amp;"-"&amp;TEXT(B1284,"AAMMDD")&amp;"-"&amp;(COUNTIFS($C$5:C1284,C1284,$B$5:B1284,B1284,$I$5:I1284,"ENTRADA")))</f>
        <v/>
      </c>
    </row>
    <row r="1285" spans="1:20">
      <c r="A1285" s="22" t="s">
        <v>1362</v>
      </c>
      <c r="H1285" s="22" t="str">
        <f t="shared" si="30"/>
        <v/>
      </c>
      <c r="J1285" s="32"/>
      <c r="T1285" t="str">
        <f>IF(OR(C1285="",I1285&lt;&gt;"ENTRADA"),"",UPPER(LEFT(SUBSTITUTE(C1285," ",""),3))&amp;"-"&amp;TEXT(B1285,"AAMMDD")&amp;"-"&amp;(COUNTIFS($C$5:C1285,C1285,$B$5:B1285,B1285,$I$5:I1285,"ENTRADA")))</f>
        <v/>
      </c>
    </row>
    <row r="1286" spans="1:20">
      <c r="A1286" s="22" t="s">
        <v>1363</v>
      </c>
      <c r="H1286" s="22" t="str">
        <f t="shared" si="30"/>
        <v/>
      </c>
      <c r="J1286" s="32"/>
      <c r="T1286" t="str">
        <f>IF(OR(C1286="",I1286&lt;&gt;"ENTRADA"),"",UPPER(LEFT(SUBSTITUTE(C1286," ",""),3))&amp;"-"&amp;TEXT(B1286,"AAMMDD")&amp;"-"&amp;(COUNTIFS($C$5:C1286,C1286,$B$5:B1286,B1286,$I$5:I1286,"ENTRADA")))</f>
        <v/>
      </c>
    </row>
    <row r="1287" spans="1:20">
      <c r="A1287" s="22" t="s">
        <v>1364</v>
      </c>
      <c r="H1287" s="22" t="str">
        <f t="shared" si="30"/>
        <v/>
      </c>
      <c r="J1287" s="32"/>
      <c r="T1287" t="str">
        <f>IF(OR(C1287="",I1287&lt;&gt;"ENTRADA"),"",UPPER(LEFT(SUBSTITUTE(C1287," ",""),3))&amp;"-"&amp;TEXT(B1287,"AAMMDD")&amp;"-"&amp;(COUNTIFS($C$5:C1287,C1287,$B$5:B1287,B1287,$I$5:I1287,"ENTRADA")))</f>
        <v/>
      </c>
    </row>
    <row r="1288" spans="1:20">
      <c r="A1288" s="22" t="s">
        <v>1365</v>
      </c>
      <c r="H1288" s="22" t="str">
        <f t="shared" si="30"/>
        <v/>
      </c>
      <c r="J1288" s="32"/>
      <c r="T1288" t="str">
        <f>IF(OR(C1288="",I1288&lt;&gt;"ENTRADA"),"",UPPER(LEFT(SUBSTITUTE(C1288," ",""),3))&amp;"-"&amp;TEXT(B1288,"AAMMDD")&amp;"-"&amp;(COUNTIFS($C$5:C1288,C1288,$B$5:B1288,B1288,$I$5:I1288,"ENTRADA")))</f>
        <v/>
      </c>
    </row>
    <row r="1289" spans="1:20">
      <c r="A1289" s="22" t="s">
        <v>1366</v>
      </c>
      <c r="H1289" s="22" t="str">
        <f t="shared" si="30"/>
        <v/>
      </c>
      <c r="J1289" s="32"/>
      <c r="T1289" t="str">
        <f>IF(OR(C1289="",I1289&lt;&gt;"ENTRADA"),"",UPPER(LEFT(SUBSTITUTE(C1289," ",""),3))&amp;"-"&amp;TEXT(B1289,"AAMMDD")&amp;"-"&amp;(COUNTIFS($C$5:C1289,C1289,$B$5:B1289,B1289,$I$5:I1289,"ENTRADA")))</f>
        <v/>
      </c>
    </row>
    <row r="1290" spans="1:20">
      <c r="A1290" s="22" t="s">
        <v>1367</v>
      </c>
      <c r="H1290" s="22" t="str">
        <f t="shared" si="30"/>
        <v/>
      </c>
      <c r="J1290" s="32"/>
      <c r="T1290" t="str">
        <f>IF(OR(C1290="",I1290&lt;&gt;"ENTRADA"),"",UPPER(LEFT(SUBSTITUTE(C1290," ",""),3))&amp;"-"&amp;TEXT(B1290,"AAMMDD")&amp;"-"&amp;(COUNTIFS($C$5:C1290,C1290,$B$5:B1290,B1290,$I$5:I1290,"ENTRADA")))</f>
        <v/>
      </c>
    </row>
    <row r="1291" spans="1:20">
      <c r="A1291" s="22" t="s">
        <v>1368</v>
      </c>
      <c r="H1291" s="22" t="str">
        <f t="shared" si="30"/>
        <v/>
      </c>
      <c r="J1291" s="32"/>
      <c r="T1291" t="str">
        <f>IF(OR(C1291="",I1291&lt;&gt;"ENTRADA"),"",UPPER(LEFT(SUBSTITUTE(C1291," ",""),3))&amp;"-"&amp;TEXT(B1291,"AAMMDD")&amp;"-"&amp;(COUNTIFS($C$5:C1291,C1291,$B$5:B1291,B1291,$I$5:I1291,"ENTRADA")))</f>
        <v/>
      </c>
    </row>
    <row r="1292" spans="1:20">
      <c r="A1292" s="22" t="s">
        <v>1369</v>
      </c>
      <c r="H1292" s="22" t="str">
        <f t="shared" si="30"/>
        <v/>
      </c>
      <c r="J1292" s="32"/>
      <c r="T1292" t="str">
        <f>IF(OR(C1292="",I1292&lt;&gt;"ENTRADA"),"",UPPER(LEFT(SUBSTITUTE(C1292," ",""),3))&amp;"-"&amp;TEXT(B1292,"AAMMDD")&amp;"-"&amp;(COUNTIFS($C$5:C1292,C1292,$B$5:B1292,B1292,$I$5:I1292,"ENTRADA")))</f>
        <v/>
      </c>
    </row>
    <row r="1293" spans="1:20">
      <c r="A1293" s="22" t="s">
        <v>1370</v>
      </c>
      <c r="H1293" s="22" t="str">
        <f t="shared" si="30"/>
        <v/>
      </c>
      <c r="J1293" s="32"/>
      <c r="T1293" t="str">
        <f>IF(OR(C1293="",I1293&lt;&gt;"ENTRADA"),"",UPPER(LEFT(SUBSTITUTE(C1293," ",""),3))&amp;"-"&amp;TEXT(B1293,"AAMMDD")&amp;"-"&amp;(COUNTIFS($C$5:C1293,C1293,$B$5:B1293,B1293,$I$5:I1293,"ENTRADA")))</f>
        <v/>
      </c>
    </row>
    <row r="1294" spans="1:20">
      <c r="A1294" s="22" t="s">
        <v>1371</v>
      </c>
      <c r="H1294" s="22" t="str">
        <f t="shared" si="30"/>
        <v/>
      </c>
      <c r="J1294" s="32"/>
      <c r="T1294" t="str">
        <f>IF(OR(C1294="",I1294&lt;&gt;"ENTRADA"),"",UPPER(LEFT(SUBSTITUTE(C1294," ",""),3))&amp;"-"&amp;TEXT(B1294,"AAMMDD")&amp;"-"&amp;(COUNTIFS($C$5:C1294,C1294,$B$5:B1294,B1294,$I$5:I1294,"ENTRADA")))</f>
        <v/>
      </c>
    </row>
    <row r="1295" spans="1:20">
      <c r="A1295" s="22" t="s">
        <v>1372</v>
      </c>
      <c r="H1295" s="22" t="str">
        <f t="shared" si="30"/>
        <v/>
      </c>
      <c r="J1295" s="32"/>
      <c r="T1295" t="str">
        <f>IF(OR(C1295="",I1295&lt;&gt;"ENTRADA"),"",UPPER(LEFT(SUBSTITUTE(C1295," ",""),3))&amp;"-"&amp;TEXT(B1295,"AAMMDD")&amp;"-"&amp;(COUNTIFS($C$5:C1295,C1295,$B$5:B1295,B1295,$I$5:I1295,"ENTRADA")))</f>
        <v/>
      </c>
    </row>
    <row r="1296" spans="1:20">
      <c r="A1296" s="22" t="s">
        <v>1373</v>
      </c>
      <c r="H1296" s="22" t="str">
        <f t="shared" ref="H1296:H1359" si="31">+T1296</f>
        <v/>
      </c>
      <c r="J1296" s="32"/>
      <c r="T1296" t="str">
        <f>IF(OR(C1296="",I1296&lt;&gt;"ENTRADA"),"",UPPER(LEFT(SUBSTITUTE(C1296," ",""),3))&amp;"-"&amp;TEXT(B1296,"AAMMDD")&amp;"-"&amp;(COUNTIFS($C$5:C1296,C1296,$B$5:B1296,B1296,$I$5:I1296,"ENTRADA")))</f>
        <v/>
      </c>
    </row>
    <row r="1297" spans="1:20">
      <c r="A1297" s="22" t="s">
        <v>1374</v>
      </c>
      <c r="H1297" s="22" t="str">
        <f t="shared" si="31"/>
        <v/>
      </c>
      <c r="J1297" s="32"/>
      <c r="T1297" t="str">
        <f>IF(OR(C1297="",I1297&lt;&gt;"ENTRADA"),"",UPPER(LEFT(SUBSTITUTE(C1297," ",""),3))&amp;"-"&amp;TEXT(B1297,"AAMMDD")&amp;"-"&amp;(COUNTIFS($C$5:C1297,C1297,$B$5:B1297,B1297,$I$5:I1297,"ENTRADA")))</f>
        <v/>
      </c>
    </row>
    <row r="1298" spans="1:20">
      <c r="A1298" s="22" t="s">
        <v>1375</v>
      </c>
      <c r="H1298" s="22" t="str">
        <f t="shared" si="31"/>
        <v/>
      </c>
      <c r="J1298" s="32"/>
      <c r="T1298" t="str">
        <f>IF(OR(C1298="",I1298&lt;&gt;"ENTRADA"),"",UPPER(LEFT(SUBSTITUTE(C1298," ",""),3))&amp;"-"&amp;TEXT(B1298,"AAMMDD")&amp;"-"&amp;(COUNTIFS($C$5:C1298,C1298,$B$5:B1298,B1298,$I$5:I1298,"ENTRADA")))</f>
        <v/>
      </c>
    </row>
    <row r="1299" spans="1:20">
      <c r="A1299" s="22" t="s">
        <v>1376</v>
      </c>
      <c r="H1299" s="22" t="str">
        <f t="shared" si="31"/>
        <v/>
      </c>
      <c r="J1299" s="32"/>
      <c r="T1299" t="str">
        <f>IF(OR(C1299="",I1299&lt;&gt;"ENTRADA"),"",UPPER(LEFT(SUBSTITUTE(C1299," ",""),3))&amp;"-"&amp;TEXT(B1299,"AAMMDD")&amp;"-"&amp;(COUNTIFS($C$5:C1299,C1299,$B$5:B1299,B1299,$I$5:I1299,"ENTRADA")))</f>
        <v/>
      </c>
    </row>
    <row r="1300" spans="1:20">
      <c r="A1300" s="22" t="s">
        <v>1377</v>
      </c>
      <c r="H1300" s="22" t="str">
        <f t="shared" si="31"/>
        <v/>
      </c>
      <c r="J1300" s="32"/>
      <c r="T1300" t="str">
        <f>IF(OR(C1300="",I1300&lt;&gt;"ENTRADA"),"",UPPER(LEFT(SUBSTITUTE(C1300," ",""),3))&amp;"-"&amp;TEXT(B1300,"AAMMDD")&amp;"-"&amp;(COUNTIFS($C$5:C1300,C1300,$B$5:B1300,B1300,$I$5:I1300,"ENTRADA")))</f>
        <v/>
      </c>
    </row>
    <row r="1301" spans="1:20">
      <c r="A1301" s="22" t="s">
        <v>1378</v>
      </c>
      <c r="H1301" s="22" t="str">
        <f t="shared" si="31"/>
        <v/>
      </c>
      <c r="J1301" s="32"/>
      <c r="T1301" t="str">
        <f>IF(OR(C1301="",I1301&lt;&gt;"ENTRADA"),"",UPPER(LEFT(SUBSTITUTE(C1301," ",""),3))&amp;"-"&amp;TEXT(B1301,"AAMMDD")&amp;"-"&amp;(COUNTIFS($C$5:C1301,C1301,$B$5:B1301,B1301,$I$5:I1301,"ENTRADA")))</f>
        <v/>
      </c>
    </row>
    <row r="1302" spans="1:20">
      <c r="A1302" s="22" t="s">
        <v>1379</v>
      </c>
      <c r="H1302" s="22" t="str">
        <f t="shared" si="31"/>
        <v/>
      </c>
      <c r="J1302" s="32"/>
      <c r="T1302" t="str">
        <f>IF(OR(C1302="",I1302&lt;&gt;"ENTRADA"),"",UPPER(LEFT(SUBSTITUTE(C1302," ",""),3))&amp;"-"&amp;TEXT(B1302,"AAMMDD")&amp;"-"&amp;(COUNTIFS($C$5:C1302,C1302,$B$5:B1302,B1302,$I$5:I1302,"ENTRADA")))</f>
        <v/>
      </c>
    </row>
    <row r="1303" spans="1:20">
      <c r="A1303" s="22" t="s">
        <v>1380</v>
      </c>
      <c r="H1303" s="22" t="str">
        <f t="shared" si="31"/>
        <v/>
      </c>
      <c r="J1303" s="32"/>
      <c r="T1303" t="str">
        <f>IF(OR(C1303="",I1303&lt;&gt;"ENTRADA"),"",UPPER(LEFT(SUBSTITUTE(C1303," ",""),3))&amp;"-"&amp;TEXT(B1303,"AAMMDD")&amp;"-"&amp;(COUNTIFS($C$5:C1303,C1303,$B$5:B1303,B1303,$I$5:I1303,"ENTRADA")))</f>
        <v/>
      </c>
    </row>
    <row r="1304" spans="1:20">
      <c r="A1304" s="22" t="s">
        <v>1381</v>
      </c>
      <c r="H1304" s="22" t="str">
        <f t="shared" si="31"/>
        <v/>
      </c>
      <c r="J1304" s="32"/>
      <c r="T1304" t="str">
        <f>IF(OR(C1304="",I1304&lt;&gt;"ENTRADA"),"",UPPER(LEFT(SUBSTITUTE(C1304," ",""),3))&amp;"-"&amp;TEXT(B1304,"AAMMDD")&amp;"-"&amp;(COUNTIFS($C$5:C1304,C1304,$B$5:B1304,B1304,$I$5:I1304,"ENTRADA")))</f>
        <v/>
      </c>
    </row>
    <row r="1305" spans="1:20">
      <c r="A1305" s="22" t="s">
        <v>1382</v>
      </c>
      <c r="H1305" s="22" t="str">
        <f t="shared" si="31"/>
        <v/>
      </c>
      <c r="J1305" s="32"/>
      <c r="T1305" t="str">
        <f>IF(OR(C1305="",I1305&lt;&gt;"ENTRADA"),"",UPPER(LEFT(SUBSTITUTE(C1305," ",""),3))&amp;"-"&amp;TEXT(B1305,"AAMMDD")&amp;"-"&amp;(COUNTIFS($C$5:C1305,C1305,$B$5:B1305,B1305,$I$5:I1305,"ENTRADA")))</f>
        <v/>
      </c>
    </row>
    <row r="1306" spans="1:20">
      <c r="A1306" s="22" t="s">
        <v>1383</v>
      </c>
      <c r="H1306" s="22" t="str">
        <f t="shared" si="31"/>
        <v/>
      </c>
      <c r="J1306" s="32"/>
      <c r="T1306" t="str">
        <f>IF(OR(C1306="",I1306&lt;&gt;"ENTRADA"),"",UPPER(LEFT(SUBSTITUTE(C1306," ",""),3))&amp;"-"&amp;TEXT(B1306,"AAMMDD")&amp;"-"&amp;(COUNTIFS($C$5:C1306,C1306,$B$5:B1306,B1306,$I$5:I1306,"ENTRADA")))</f>
        <v/>
      </c>
    </row>
    <row r="1307" spans="1:20">
      <c r="A1307" s="22" t="s">
        <v>1384</v>
      </c>
      <c r="H1307" s="22" t="str">
        <f t="shared" si="31"/>
        <v/>
      </c>
      <c r="J1307" s="32"/>
      <c r="T1307" t="str">
        <f>IF(OR(C1307="",I1307&lt;&gt;"ENTRADA"),"",UPPER(LEFT(SUBSTITUTE(C1307," ",""),3))&amp;"-"&amp;TEXT(B1307,"AAMMDD")&amp;"-"&amp;(COUNTIFS($C$5:C1307,C1307,$B$5:B1307,B1307,$I$5:I1307,"ENTRADA")))</f>
        <v/>
      </c>
    </row>
    <row r="1308" spans="1:20">
      <c r="A1308" s="22" t="s">
        <v>1385</v>
      </c>
      <c r="H1308" s="22" t="str">
        <f t="shared" si="31"/>
        <v/>
      </c>
      <c r="J1308" s="32"/>
      <c r="T1308" t="str">
        <f>IF(OR(C1308="",I1308&lt;&gt;"ENTRADA"),"",UPPER(LEFT(SUBSTITUTE(C1308," ",""),3))&amp;"-"&amp;TEXT(B1308,"AAMMDD")&amp;"-"&amp;(COUNTIFS($C$5:C1308,C1308,$B$5:B1308,B1308,$I$5:I1308,"ENTRADA")))</f>
        <v/>
      </c>
    </row>
    <row r="1309" spans="1:20">
      <c r="A1309" s="22" t="s">
        <v>1386</v>
      </c>
      <c r="H1309" s="22" t="str">
        <f t="shared" si="31"/>
        <v/>
      </c>
      <c r="J1309" s="32"/>
      <c r="T1309" t="str">
        <f>IF(OR(C1309="",I1309&lt;&gt;"ENTRADA"),"",UPPER(LEFT(SUBSTITUTE(C1309," ",""),3))&amp;"-"&amp;TEXT(B1309,"AAMMDD")&amp;"-"&amp;(COUNTIFS($C$5:C1309,C1309,$B$5:B1309,B1309,$I$5:I1309,"ENTRADA")))</f>
        <v/>
      </c>
    </row>
    <row r="1310" spans="1:20">
      <c r="A1310" s="22" t="s">
        <v>1387</v>
      </c>
      <c r="H1310" s="22" t="str">
        <f t="shared" si="31"/>
        <v/>
      </c>
      <c r="J1310" s="32"/>
      <c r="T1310" t="str">
        <f>IF(OR(C1310="",I1310&lt;&gt;"ENTRADA"),"",UPPER(LEFT(SUBSTITUTE(C1310," ",""),3))&amp;"-"&amp;TEXT(B1310,"AAMMDD")&amp;"-"&amp;(COUNTIFS($C$5:C1310,C1310,$B$5:B1310,B1310,$I$5:I1310,"ENTRADA")))</f>
        <v/>
      </c>
    </row>
    <row r="1311" spans="1:20">
      <c r="A1311" s="22" t="s">
        <v>1388</v>
      </c>
      <c r="H1311" s="22" t="str">
        <f t="shared" si="31"/>
        <v/>
      </c>
      <c r="J1311" s="32"/>
      <c r="T1311" t="str">
        <f>IF(OR(C1311="",I1311&lt;&gt;"ENTRADA"),"",UPPER(LEFT(SUBSTITUTE(C1311," ",""),3))&amp;"-"&amp;TEXT(B1311,"AAMMDD")&amp;"-"&amp;(COUNTIFS($C$5:C1311,C1311,$B$5:B1311,B1311,$I$5:I1311,"ENTRADA")))</f>
        <v/>
      </c>
    </row>
    <row r="1312" spans="1:20">
      <c r="A1312" s="22" t="s">
        <v>1389</v>
      </c>
      <c r="H1312" s="22" t="str">
        <f t="shared" si="31"/>
        <v/>
      </c>
      <c r="J1312" s="32"/>
      <c r="T1312" t="str">
        <f>IF(OR(C1312="",I1312&lt;&gt;"ENTRADA"),"",UPPER(LEFT(SUBSTITUTE(C1312," ",""),3))&amp;"-"&amp;TEXT(B1312,"AAMMDD")&amp;"-"&amp;(COUNTIFS($C$5:C1312,C1312,$B$5:B1312,B1312,$I$5:I1312,"ENTRADA")))</f>
        <v/>
      </c>
    </row>
    <row r="1313" spans="1:20">
      <c r="A1313" s="22" t="s">
        <v>1390</v>
      </c>
      <c r="H1313" s="22" t="str">
        <f t="shared" si="31"/>
        <v/>
      </c>
      <c r="J1313" s="32"/>
      <c r="T1313" t="str">
        <f>IF(OR(C1313="",I1313&lt;&gt;"ENTRADA"),"",UPPER(LEFT(SUBSTITUTE(C1313," ",""),3))&amp;"-"&amp;TEXT(B1313,"AAMMDD")&amp;"-"&amp;(COUNTIFS($C$5:C1313,C1313,$B$5:B1313,B1313,$I$5:I1313,"ENTRADA")))</f>
        <v/>
      </c>
    </row>
    <row r="1314" spans="1:20">
      <c r="A1314" s="22" t="s">
        <v>1391</v>
      </c>
      <c r="H1314" s="22" t="str">
        <f t="shared" si="31"/>
        <v/>
      </c>
      <c r="J1314" s="32"/>
      <c r="T1314" t="str">
        <f>IF(OR(C1314="",I1314&lt;&gt;"ENTRADA"),"",UPPER(LEFT(SUBSTITUTE(C1314," ",""),3))&amp;"-"&amp;TEXT(B1314,"AAMMDD")&amp;"-"&amp;(COUNTIFS($C$5:C1314,C1314,$B$5:B1314,B1314,$I$5:I1314,"ENTRADA")))</f>
        <v/>
      </c>
    </row>
    <row r="1315" spans="1:20">
      <c r="A1315" s="22" t="s">
        <v>1392</v>
      </c>
      <c r="H1315" s="22" t="str">
        <f t="shared" si="31"/>
        <v/>
      </c>
      <c r="J1315" s="32"/>
      <c r="T1315" t="str">
        <f>IF(OR(C1315="",I1315&lt;&gt;"ENTRADA"),"",UPPER(LEFT(SUBSTITUTE(C1315," ",""),3))&amp;"-"&amp;TEXT(B1315,"AAMMDD")&amp;"-"&amp;(COUNTIFS($C$5:C1315,C1315,$B$5:B1315,B1315,$I$5:I1315,"ENTRADA")))</f>
        <v/>
      </c>
    </row>
    <row r="1316" spans="1:20">
      <c r="A1316" s="22" t="s">
        <v>1393</v>
      </c>
      <c r="H1316" s="22" t="str">
        <f t="shared" si="31"/>
        <v/>
      </c>
      <c r="J1316" s="32"/>
      <c r="T1316" t="str">
        <f>IF(OR(C1316="",I1316&lt;&gt;"ENTRADA"),"",UPPER(LEFT(SUBSTITUTE(C1316," ",""),3))&amp;"-"&amp;TEXT(B1316,"AAMMDD")&amp;"-"&amp;(COUNTIFS($C$5:C1316,C1316,$B$5:B1316,B1316,$I$5:I1316,"ENTRADA")))</f>
        <v/>
      </c>
    </row>
    <row r="1317" spans="1:20">
      <c r="A1317" s="22" t="s">
        <v>1394</v>
      </c>
      <c r="H1317" s="22" t="str">
        <f t="shared" si="31"/>
        <v/>
      </c>
      <c r="J1317" s="32"/>
      <c r="T1317" t="str">
        <f>IF(OR(C1317="",I1317&lt;&gt;"ENTRADA"),"",UPPER(LEFT(SUBSTITUTE(C1317," ",""),3))&amp;"-"&amp;TEXT(B1317,"AAMMDD")&amp;"-"&amp;(COUNTIFS($C$5:C1317,C1317,$B$5:B1317,B1317,$I$5:I1317,"ENTRADA")))</f>
        <v/>
      </c>
    </row>
    <row r="1318" spans="1:20">
      <c r="A1318" s="22" t="s">
        <v>1395</v>
      </c>
      <c r="H1318" s="22" t="str">
        <f t="shared" si="31"/>
        <v/>
      </c>
      <c r="J1318" s="32"/>
      <c r="T1318" t="str">
        <f>IF(OR(C1318="",I1318&lt;&gt;"ENTRADA"),"",UPPER(LEFT(SUBSTITUTE(C1318," ",""),3))&amp;"-"&amp;TEXT(B1318,"AAMMDD")&amp;"-"&amp;(COUNTIFS($C$5:C1318,C1318,$B$5:B1318,B1318,$I$5:I1318,"ENTRADA")))</f>
        <v/>
      </c>
    </row>
    <row r="1319" spans="1:20">
      <c r="A1319" s="22" t="s">
        <v>1396</v>
      </c>
      <c r="H1319" s="22" t="str">
        <f t="shared" si="31"/>
        <v/>
      </c>
      <c r="J1319" s="32"/>
      <c r="T1319" t="str">
        <f>IF(OR(C1319="",I1319&lt;&gt;"ENTRADA"),"",UPPER(LEFT(SUBSTITUTE(C1319," ",""),3))&amp;"-"&amp;TEXT(B1319,"AAMMDD")&amp;"-"&amp;(COUNTIFS($C$5:C1319,C1319,$B$5:B1319,B1319,$I$5:I1319,"ENTRADA")))</f>
        <v/>
      </c>
    </row>
    <row r="1320" spans="1:20">
      <c r="A1320" s="22" t="s">
        <v>1397</v>
      </c>
      <c r="H1320" s="22" t="str">
        <f t="shared" si="31"/>
        <v/>
      </c>
      <c r="J1320" s="32"/>
      <c r="T1320" t="str">
        <f>IF(OR(C1320="",I1320&lt;&gt;"ENTRADA"),"",UPPER(LEFT(SUBSTITUTE(C1320," ",""),3))&amp;"-"&amp;TEXT(B1320,"AAMMDD")&amp;"-"&amp;(COUNTIFS($C$5:C1320,C1320,$B$5:B1320,B1320,$I$5:I1320,"ENTRADA")))</f>
        <v/>
      </c>
    </row>
    <row r="1321" spans="1:20">
      <c r="A1321" s="22" t="s">
        <v>1398</v>
      </c>
      <c r="H1321" s="22" t="str">
        <f t="shared" si="31"/>
        <v/>
      </c>
      <c r="J1321" s="32"/>
      <c r="T1321" t="str">
        <f>IF(OR(C1321="",I1321&lt;&gt;"ENTRADA"),"",UPPER(LEFT(SUBSTITUTE(C1321," ",""),3))&amp;"-"&amp;TEXT(B1321,"AAMMDD")&amp;"-"&amp;(COUNTIFS($C$5:C1321,C1321,$B$5:B1321,B1321,$I$5:I1321,"ENTRADA")))</f>
        <v/>
      </c>
    </row>
    <row r="1322" spans="1:20">
      <c r="A1322" s="22" t="s">
        <v>1399</v>
      </c>
      <c r="H1322" s="22" t="str">
        <f t="shared" si="31"/>
        <v/>
      </c>
      <c r="J1322" s="32"/>
      <c r="T1322" t="str">
        <f>IF(OR(C1322="",I1322&lt;&gt;"ENTRADA"),"",UPPER(LEFT(SUBSTITUTE(C1322," ",""),3))&amp;"-"&amp;TEXT(B1322,"AAMMDD")&amp;"-"&amp;(COUNTIFS($C$5:C1322,C1322,$B$5:B1322,B1322,$I$5:I1322,"ENTRADA")))</f>
        <v/>
      </c>
    </row>
    <row r="1323" spans="1:20">
      <c r="A1323" s="22" t="s">
        <v>1400</v>
      </c>
      <c r="H1323" s="22" t="str">
        <f t="shared" si="31"/>
        <v/>
      </c>
      <c r="J1323" s="32"/>
      <c r="T1323" t="str">
        <f>IF(OR(C1323="",I1323&lt;&gt;"ENTRADA"),"",UPPER(LEFT(SUBSTITUTE(C1323," ",""),3))&amp;"-"&amp;TEXT(B1323,"AAMMDD")&amp;"-"&amp;(COUNTIFS($C$5:C1323,C1323,$B$5:B1323,B1323,$I$5:I1323,"ENTRADA")))</f>
        <v/>
      </c>
    </row>
    <row r="1324" spans="1:20">
      <c r="A1324" s="22" t="s">
        <v>1401</v>
      </c>
      <c r="H1324" s="22" t="str">
        <f t="shared" si="31"/>
        <v/>
      </c>
      <c r="J1324" s="32"/>
      <c r="T1324" t="str">
        <f>IF(OR(C1324="",I1324&lt;&gt;"ENTRADA"),"",UPPER(LEFT(SUBSTITUTE(C1324," ",""),3))&amp;"-"&amp;TEXT(B1324,"AAMMDD")&amp;"-"&amp;(COUNTIFS($C$5:C1324,C1324,$B$5:B1324,B1324,$I$5:I1324,"ENTRADA")))</f>
        <v/>
      </c>
    </row>
    <row r="1325" spans="1:20">
      <c r="A1325" s="22" t="s">
        <v>1402</v>
      </c>
      <c r="H1325" s="22" t="str">
        <f t="shared" si="31"/>
        <v/>
      </c>
      <c r="J1325" s="32"/>
      <c r="T1325" t="str">
        <f>IF(OR(C1325="",I1325&lt;&gt;"ENTRADA"),"",UPPER(LEFT(SUBSTITUTE(C1325," ",""),3))&amp;"-"&amp;TEXT(B1325,"AAMMDD")&amp;"-"&amp;(COUNTIFS($C$5:C1325,C1325,$B$5:B1325,B1325,$I$5:I1325,"ENTRADA")))</f>
        <v/>
      </c>
    </row>
    <row r="1326" spans="1:20">
      <c r="A1326" s="22" t="s">
        <v>1403</v>
      </c>
      <c r="H1326" s="22" t="str">
        <f t="shared" si="31"/>
        <v/>
      </c>
      <c r="J1326" s="32"/>
      <c r="T1326" t="str">
        <f>IF(OR(C1326="",I1326&lt;&gt;"ENTRADA"),"",UPPER(LEFT(SUBSTITUTE(C1326," ",""),3))&amp;"-"&amp;TEXT(B1326,"AAMMDD")&amp;"-"&amp;(COUNTIFS($C$5:C1326,C1326,$B$5:B1326,B1326,$I$5:I1326,"ENTRADA")))</f>
        <v/>
      </c>
    </row>
    <row r="1327" spans="1:20">
      <c r="A1327" s="22" t="s">
        <v>1404</v>
      </c>
      <c r="H1327" s="22" t="str">
        <f t="shared" si="31"/>
        <v/>
      </c>
      <c r="J1327" s="32"/>
      <c r="T1327" t="str">
        <f>IF(OR(C1327="",I1327&lt;&gt;"ENTRADA"),"",UPPER(LEFT(SUBSTITUTE(C1327," ",""),3))&amp;"-"&amp;TEXT(B1327,"AAMMDD")&amp;"-"&amp;(COUNTIFS($C$5:C1327,C1327,$B$5:B1327,B1327,$I$5:I1327,"ENTRADA")))</f>
        <v/>
      </c>
    </row>
    <row r="1328" spans="1:20">
      <c r="A1328" s="22" t="s">
        <v>1405</v>
      </c>
      <c r="H1328" s="22" t="str">
        <f t="shared" si="31"/>
        <v/>
      </c>
      <c r="J1328" s="32"/>
      <c r="T1328" t="str">
        <f>IF(OR(C1328="",I1328&lt;&gt;"ENTRADA"),"",UPPER(LEFT(SUBSTITUTE(C1328," ",""),3))&amp;"-"&amp;TEXT(B1328,"AAMMDD")&amp;"-"&amp;(COUNTIFS($C$5:C1328,C1328,$B$5:B1328,B1328,$I$5:I1328,"ENTRADA")))</f>
        <v/>
      </c>
    </row>
    <row r="1329" spans="1:20">
      <c r="A1329" s="22" t="s">
        <v>1406</v>
      </c>
      <c r="H1329" s="22" t="str">
        <f t="shared" si="31"/>
        <v/>
      </c>
      <c r="J1329" s="32"/>
      <c r="T1329" t="str">
        <f>IF(OR(C1329="",I1329&lt;&gt;"ENTRADA"),"",UPPER(LEFT(SUBSTITUTE(C1329," ",""),3))&amp;"-"&amp;TEXT(B1329,"AAMMDD")&amp;"-"&amp;(COUNTIFS($C$5:C1329,C1329,$B$5:B1329,B1329,$I$5:I1329,"ENTRADA")))</f>
        <v/>
      </c>
    </row>
    <row r="1330" spans="1:20">
      <c r="A1330" s="22" t="s">
        <v>1407</v>
      </c>
      <c r="H1330" s="22" t="str">
        <f t="shared" si="31"/>
        <v/>
      </c>
      <c r="J1330" s="32"/>
      <c r="T1330" t="str">
        <f>IF(OR(C1330="",I1330&lt;&gt;"ENTRADA"),"",UPPER(LEFT(SUBSTITUTE(C1330," ",""),3))&amp;"-"&amp;TEXT(B1330,"AAMMDD")&amp;"-"&amp;(COUNTIFS($C$5:C1330,C1330,$B$5:B1330,B1330,$I$5:I1330,"ENTRADA")))</f>
        <v/>
      </c>
    </row>
    <row r="1331" spans="1:20">
      <c r="A1331" s="22" t="s">
        <v>1408</v>
      </c>
      <c r="H1331" s="22" t="str">
        <f t="shared" si="31"/>
        <v/>
      </c>
      <c r="J1331" s="32"/>
      <c r="T1331" t="str">
        <f>IF(OR(C1331="",I1331&lt;&gt;"ENTRADA"),"",UPPER(LEFT(SUBSTITUTE(C1331," ",""),3))&amp;"-"&amp;TEXT(B1331,"AAMMDD")&amp;"-"&amp;(COUNTIFS($C$5:C1331,C1331,$B$5:B1331,B1331,$I$5:I1331,"ENTRADA")))</f>
        <v/>
      </c>
    </row>
    <row r="1332" spans="1:20">
      <c r="A1332" s="22" t="s">
        <v>1409</v>
      </c>
      <c r="H1332" s="22" t="str">
        <f t="shared" si="31"/>
        <v/>
      </c>
      <c r="J1332" s="32"/>
      <c r="T1332" t="str">
        <f>IF(OR(C1332="",I1332&lt;&gt;"ENTRADA"),"",UPPER(LEFT(SUBSTITUTE(C1332," ",""),3))&amp;"-"&amp;TEXT(B1332,"AAMMDD")&amp;"-"&amp;(COUNTIFS($C$5:C1332,C1332,$B$5:B1332,B1332,$I$5:I1332,"ENTRADA")))</f>
        <v/>
      </c>
    </row>
    <row r="1333" spans="1:20">
      <c r="A1333" s="22" t="s">
        <v>1410</v>
      </c>
      <c r="H1333" s="22" t="str">
        <f t="shared" si="31"/>
        <v/>
      </c>
      <c r="J1333" s="32"/>
      <c r="T1333" t="str">
        <f>IF(OR(C1333="",I1333&lt;&gt;"ENTRADA"),"",UPPER(LEFT(SUBSTITUTE(C1333," ",""),3))&amp;"-"&amp;TEXT(B1333,"AAMMDD")&amp;"-"&amp;(COUNTIFS($C$5:C1333,C1333,$B$5:B1333,B1333,$I$5:I1333,"ENTRADA")))</f>
        <v/>
      </c>
    </row>
    <row r="1334" spans="1:20">
      <c r="A1334" s="22" t="s">
        <v>1411</v>
      </c>
      <c r="H1334" s="22" t="str">
        <f t="shared" si="31"/>
        <v/>
      </c>
      <c r="J1334" s="32"/>
      <c r="T1334" t="str">
        <f>IF(OR(C1334="",I1334&lt;&gt;"ENTRADA"),"",UPPER(LEFT(SUBSTITUTE(C1334," ",""),3))&amp;"-"&amp;TEXT(B1334,"AAMMDD")&amp;"-"&amp;(COUNTIFS($C$5:C1334,C1334,$B$5:B1334,B1334,$I$5:I1334,"ENTRADA")))</f>
        <v/>
      </c>
    </row>
    <row r="1335" spans="1:20">
      <c r="A1335" s="22" t="s">
        <v>1412</v>
      </c>
      <c r="H1335" s="22" t="str">
        <f t="shared" si="31"/>
        <v/>
      </c>
      <c r="J1335" s="32"/>
      <c r="T1335" t="str">
        <f>IF(OR(C1335="",I1335&lt;&gt;"ENTRADA"),"",UPPER(LEFT(SUBSTITUTE(C1335," ",""),3))&amp;"-"&amp;TEXT(B1335,"AAMMDD")&amp;"-"&amp;(COUNTIFS($C$5:C1335,C1335,$B$5:B1335,B1335,$I$5:I1335,"ENTRADA")))</f>
        <v/>
      </c>
    </row>
    <row r="1336" spans="1:20">
      <c r="A1336" s="22" t="s">
        <v>1413</v>
      </c>
      <c r="H1336" s="22" t="str">
        <f t="shared" si="31"/>
        <v/>
      </c>
      <c r="J1336" s="32"/>
      <c r="T1336" t="str">
        <f>IF(OR(C1336="",I1336&lt;&gt;"ENTRADA"),"",UPPER(LEFT(SUBSTITUTE(C1336," ",""),3))&amp;"-"&amp;TEXT(B1336,"AAMMDD")&amp;"-"&amp;(COUNTIFS($C$5:C1336,C1336,$B$5:B1336,B1336,$I$5:I1336,"ENTRADA")))</f>
        <v/>
      </c>
    </row>
    <row r="1337" spans="1:20">
      <c r="A1337" s="22" t="s">
        <v>1414</v>
      </c>
      <c r="H1337" s="22" t="str">
        <f t="shared" si="31"/>
        <v/>
      </c>
      <c r="J1337" s="32"/>
      <c r="T1337" t="str">
        <f>IF(OR(C1337="",I1337&lt;&gt;"ENTRADA"),"",UPPER(LEFT(SUBSTITUTE(C1337," ",""),3))&amp;"-"&amp;TEXT(B1337,"AAMMDD")&amp;"-"&amp;(COUNTIFS($C$5:C1337,C1337,$B$5:B1337,B1337,$I$5:I1337,"ENTRADA")))</f>
        <v/>
      </c>
    </row>
    <row r="1338" spans="1:20">
      <c r="A1338" s="22" t="s">
        <v>1415</v>
      </c>
      <c r="H1338" s="22" t="str">
        <f t="shared" si="31"/>
        <v/>
      </c>
      <c r="J1338" s="32"/>
      <c r="T1338" t="str">
        <f>IF(OR(C1338="",I1338&lt;&gt;"ENTRADA"),"",UPPER(LEFT(SUBSTITUTE(C1338," ",""),3))&amp;"-"&amp;TEXT(B1338,"AAMMDD")&amp;"-"&amp;(COUNTIFS($C$5:C1338,C1338,$B$5:B1338,B1338,$I$5:I1338,"ENTRADA")))</f>
        <v/>
      </c>
    </row>
    <row r="1339" spans="1:20">
      <c r="A1339" s="22" t="s">
        <v>1416</v>
      </c>
      <c r="H1339" s="22" t="str">
        <f t="shared" si="31"/>
        <v/>
      </c>
      <c r="J1339" s="32"/>
      <c r="T1339" t="str">
        <f>IF(OR(C1339="",I1339&lt;&gt;"ENTRADA"),"",UPPER(LEFT(SUBSTITUTE(C1339," ",""),3))&amp;"-"&amp;TEXT(B1339,"AAMMDD")&amp;"-"&amp;(COUNTIFS($C$5:C1339,C1339,$B$5:B1339,B1339,$I$5:I1339,"ENTRADA")))</f>
        <v/>
      </c>
    </row>
    <row r="1340" spans="1:20">
      <c r="A1340" s="22" t="s">
        <v>1417</v>
      </c>
      <c r="H1340" s="22" t="str">
        <f t="shared" si="31"/>
        <v/>
      </c>
      <c r="J1340" s="32"/>
      <c r="T1340" t="str">
        <f>IF(OR(C1340="",I1340&lt;&gt;"ENTRADA"),"",UPPER(LEFT(SUBSTITUTE(C1340," ",""),3))&amp;"-"&amp;TEXT(B1340,"AAMMDD")&amp;"-"&amp;(COUNTIFS($C$5:C1340,C1340,$B$5:B1340,B1340,$I$5:I1340,"ENTRADA")))</f>
        <v/>
      </c>
    </row>
    <row r="1341" spans="1:20">
      <c r="A1341" s="22" t="s">
        <v>1418</v>
      </c>
      <c r="H1341" s="22" t="str">
        <f t="shared" si="31"/>
        <v/>
      </c>
      <c r="J1341" s="32"/>
      <c r="T1341" t="str">
        <f>IF(OR(C1341="",I1341&lt;&gt;"ENTRADA"),"",UPPER(LEFT(SUBSTITUTE(C1341," ",""),3))&amp;"-"&amp;TEXT(B1341,"AAMMDD")&amp;"-"&amp;(COUNTIFS($C$5:C1341,C1341,$B$5:B1341,B1341,$I$5:I1341,"ENTRADA")))</f>
        <v/>
      </c>
    </row>
    <row r="1342" spans="1:20">
      <c r="A1342" s="22" t="s">
        <v>1419</v>
      </c>
      <c r="H1342" s="22" t="str">
        <f t="shared" si="31"/>
        <v/>
      </c>
      <c r="J1342" s="32"/>
      <c r="T1342" t="str">
        <f>IF(OR(C1342="",I1342&lt;&gt;"ENTRADA"),"",UPPER(LEFT(SUBSTITUTE(C1342," ",""),3))&amp;"-"&amp;TEXT(B1342,"AAMMDD")&amp;"-"&amp;(COUNTIFS($C$5:C1342,C1342,$B$5:B1342,B1342,$I$5:I1342,"ENTRADA")))</f>
        <v/>
      </c>
    </row>
    <row r="1343" spans="1:20">
      <c r="A1343" s="22" t="s">
        <v>1420</v>
      </c>
      <c r="H1343" s="22" t="str">
        <f t="shared" si="31"/>
        <v/>
      </c>
      <c r="J1343" s="32"/>
      <c r="T1343" t="str">
        <f>IF(OR(C1343="",I1343&lt;&gt;"ENTRADA"),"",UPPER(LEFT(SUBSTITUTE(C1343," ",""),3))&amp;"-"&amp;TEXT(B1343,"AAMMDD")&amp;"-"&amp;(COUNTIFS($C$5:C1343,C1343,$B$5:B1343,B1343,$I$5:I1343,"ENTRADA")))</f>
        <v/>
      </c>
    </row>
    <row r="1344" spans="1:20">
      <c r="A1344" s="22" t="s">
        <v>1421</v>
      </c>
      <c r="H1344" s="22" t="str">
        <f t="shared" si="31"/>
        <v/>
      </c>
      <c r="J1344" s="32"/>
      <c r="T1344" t="str">
        <f>IF(OR(C1344="",I1344&lt;&gt;"ENTRADA"),"",UPPER(LEFT(SUBSTITUTE(C1344," ",""),3))&amp;"-"&amp;TEXT(B1344,"AAMMDD")&amp;"-"&amp;(COUNTIFS($C$5:C1344,C1344,$B$5:B1344,B1344,$I$5:I1344,"ENTRADA")))</f>
        <v/>
      </c>
    </row>
    <row r="1345" spans="1:20">
      <c r="A1345" s="22" t="s">
        <v>1422</v>
      </c>
      <c r="H1345" s="22" t="str">
        <f t="shared" si="31"/>
        <v/>
      </c>
      <c r="J1345" s="32"/>
      <c r="T1345" t="str">
        <f>IF(OR(C1345="",I1345&lt;&gt;"ENTRADA"),"",UPPER(LEFT(SUBSTITUTE(C1345," ",""),3))&amp;"-"&amp;TEXT(B1345,"AAMMDD")&amp;"-"&amp;(COUNTIFS($C$5:C1345,C1345,$B$5:B1345,B1345,$I$5:I1345,"ENTRADA")))</f>
        <v/>
      </c>
    </row>
    <row r="1346" spans="1:20">
      <c r="A1346" s="22" t="s">
        <v>1423</v>
      </c>
      <c r="H1346" s="22" t="str">
        <f t="shared" si="31"/>
        <v/>
      </c>
      <c r="J1346" s="32"/>
      <c r="T1346" t="str">
        <f>IF(OR(C1346="",I1346&lt;&gt;"ENTRADA"),"",UPPER(LEFT(SUBSTITUTE(C1346," ",""),3))&amp;"-"&amp;TEXT(B1346,"AAMMDD")&amp;"-"&amp;(COUNTIFS($C$5:C1346,C1346,$B$5:B1346,B1346,$I$5:I1346,"ENTRADA")))</f>
        <v/>
      </c>
    </row>
    <row r="1347" spans="1:20">
      <c r="A1347" s="22" t="s">
        <v>1424</v>
      </c>
      <c r="H1347" s="22" t="str">
        <f t="shared" si="31"/>
        <v/>
      </c>
      <c r="J1347" s="32"/>
      <c r="T1347" t="str">
        <f>IF(OR(C1347="",I1347&lt;&gt;"ENTRADA"),"",UPPER(LEFT(SUBSTITUTE(C1347," ",""),3))&amp;"-"&amp;TEXT(B1347,"AAMMDD")&amp;"-"&amp;(COUNTIFS($C$5:C1347,C1347,$B$5:B1347,B1347,$I$5:I1347,"ENTRADA")))</f>
        <v/>
      </c>
    </row>
    <row r="1348" spans="1:20">
      <c r="A1348" s="22" t="s">
        <v>1425</v>
      </c>
      <c r="H1348" s="22" t="str">
        <f t="shared" si="31"/>
        <v/>
      </c>
      <c r="J1348" s="32"/>
      <c r="T1348" t="str">
        <f>IF(OR(C1348="",I1348&lt;&gt;"ENTRADA"),"",UPPER(LEFT(SUBSTITUTE(C1348," ",""),3))&amp;"-"&amp;TEXT(B1348,"AAMMDD")&amp;"-"&amp;(COUNTIFS($C$5:C1348,C1348,$B$5:B1348,B1348,$I$5:I1348,"ENTRADA")))</f>
        <v/>
      </c>
    </row>
    <row r="1349" spans="1:20">
      <c r="A1349" s="22" t="s">
        <v>1426</v>
      </c>
      <c r="H1349" s="22" t="str">
        <f t="shared" si="31"/>
        <v/>
      </c>
      <c r="J1349" s="32"/>
      <c r="T1349" t="str">
        <f>IF(OR(C1349="",I1349&lt;&gt;"ENTRADA"),"",UPPER(LEFT(SUBSTITUTE(C1349," ",""),3))&amp;"-"&amp;TEXT(B1349,"AAMMDD")&amp;"-"&amp;(COUNTIFS($C$5:C1349,C1349,$B$5:B1349,B1349,$I$5:I1349,"ENTRADA")))</f>
        <v/>
      </c>
    </row>
    <row r="1350" spans="1:20">
      <c r="A1350" s="22" t="s">
        <v>1427</v>
      </c>
      <c r="H1350" s="22" t="str">
        <f t="shared" si="31"/>
        <v/>
      </c>
      <c r="J1350" s="32"/>
      <c r="T1350" t="str">
        <f>IF(OR(C1350="",I1350&lt;&gt;"ENTRADA"),"",UPPER(LEFT(SUBSTITUTE(C1350," ",""),3))&amp;"-"&amp;TEXT(B1350,"AAMMDD")&amp;"-"&amp;(COUNTIFS($C$5:C1350,C1350,$B$5:B1350,B1350,$I$5:I1350,"ENTRADA")))</f>
        <v/>
      </c>
    </row>
    <row r="1351" spans="1:20">
      <c r="A1351" s="22" t="s">
        <v>1428</v>
      </c>
      <c r="H1351" s="22" t="str">
        <f t="shared" si="31"/>
        <v/>
      </c>
      <c r="J1351" s="32"/>
      <c r="T1351" t="str">
        <f>IF(OR(C1351="",I1351&lt;&gt;"ENTRADA"),"",UPPER(LEFT(SUBSTITUTE(C1351," ",""),3))&amp;"-"&amp;TEXT(B1351,"AAMMDD")&amp;"-"&amp;(COUNTIFS($C$5:C1351,C1351,$B$5:B1351,B1351,$I$5:I1351,"ENTRADA")))</f>
        <v/>
      </c>
    </row>
    <row r="1352" spans="1:20">
      <c r="A1352" s="22" t="s">
        <v>1429</v>
      </c>
      <c r="H1352" s="22" t="str">
        <f t="shared" si="31"/>
        <v/>
      </c>
      <c r="J1352" s="32"/>
      <c r="T1352" t="str">
        <f>IF(OR(C1352="",I1352&lt;&gt;"ENTRADA"),"",UPPER(LEFT(SUBSTITUTE(C1352," ",""),3))&amp;"-"&amp;TEXT(B1352,"AAMMDD")&amp;"-"&amp;(COUNTIFS($C$5:C1352,C1352,$B$5:B1352,B1352,$I$5:I1352,"ENTRADA")))</f>
        <v/>
      </c>
    </row>
    <row r="1353" spans="1:20">
      <c r="A1353" s="22" t="s">
        <v>1430</v>
      </c>
      <c r="H1353" s="22" t="str">
        <f t="shared" si="31"/>
        <v/>
      </c>
      <c r="J1353" s="32"/>
      <c r="T1353" t="str">
        <f>IF(OR(C1353="",I1353&lt;&gt;"ENTRADA"),"",UPPER(LEFT(SUBSTITUTE(C1353," ",""),3))&amp;"-"&amp;TEXT(B1353,"AAMMDD")&amp;"-"&amp;(COUNTIFS($C$5:C1353,C1353,$B$5:B1353,B1353,$I$5:I1353,"ENTRADA")))</f>
        <v/>
      </c>
    </row>
    <row r="1354" spans="1:20">
      <c r="A1354" s="22" t="s">
        <v>1431</v>
      </c>
      <c r="H1354" s="22" t="str">
        <f t="shared" si="31"/>
        <v/>
      </c>
      <c r="J1354" s="32"/>
      <c r="T1354" t="str">
        <f>IF(OR(C1354="",I1354&lt;&gt;"ENTRADA"),"",UPPER(LEFT(SUBSTITUTE(C1354," ",""),3))&amp;"-"&amp;TEXT(B1354,"AAMMDD")&amp;"-"&amp;(COUNTIFS($C$5:C1354,C1354,$B$5:B1354,B1354,$I$5:I1354,"ENTRADA")))</f>
        <v/>
      </c>
    </row>
    <row r="1355" spans="1:20">
      <c r="A1355" s="22" t="s">
        <v>1432</v>
      </c>
      <c r="H1355" s="22" t="str">
        <f t="shared" si="31"/>
        <v/>
      </c>
      <c r="J1355" s="32"/>
      <c r="T1355" t="str">
        <f>IF(OR(C1355="",I1355&lt;&gt;"ENTRADA"),"",UPPER(LEFT(SUBSTITUTE(C1355," ",""),3))&amp;"-"&amp;TEXT(B1355,"AAMMDD")&amp;"-"&amp;(COUNTIFS($C$5:C1355,C1355,$B$5:B1355,B1355,$I$5:I1355,"ENTRADA")))</f>
        <v/>
      </c>
    </row>
    <row r="1356" spans="1:20">
      <c r="A1356" s="22" t="s">
        <v>1433</v>
      </c>
      <c r="H1356" s="22" t="str">
        <f t="shared" si="31"/>
        <v/>
      </c>
      <c r="J1356" s="32"/>
      <c r="T1356" t="str">
        <f>IF(OR(C1356="",I1356&lt;&gt;"ENTRADA"),"",UPPER(LEFT(SUBSTITUTE(C1356," ",""),3))&amp;"-"&amp;TEXT(B1356,"AAMMDD")&amp;"-"&amp;(COUNTIFS($C$5:C1356,C1356,$B$5:B1356,B1356,$I$5:I1356,"ENTRADA")))</f>
        <v/>
      </c>
    </row>
    <row r="1357" spans="1:20">
      <c r="A1357" s="22" t="s">
        <v>1434</v>
      </c>
      <c r="H1357" s="22" t="str">
        <f t="shared" si="31"/>
        <v/>
      </c>
      <c r="J1357" s="32"/>
      <c r="T1357" t="str">
        <f>IF(OR(C1357="",I1357&lt;&gt;"ENTRADA"),"",UPPER(LEFT(SUBSTITUTE(C1357," ",""),3))&amp;"-"&amp;TEXT(B1357,"AAMMDD")&amp;"-"&amp;(COUNTIFS($C$5:C1357,C1357,$B$5:B1357,B1357,$I$5:I1357,"ENTRADA")))</f>
        <v/>
      </c>
    </row>
    <row r="1358" spans="1:20">
      <c r="A1358" s="22" t="s">
        <v>1435</v>
      </c>
      <c r="H1358" s="22" t="str">
        <f t="shared" si="31"/>
        <v/>
      </c>
      <c r="J1358" s="32"/>
      <c r="T1358" t="str">
        <f>IF(OR(C1358="",I1358&lt;&gt;"ENTRADA"),"",UPPER(LEFT(SUBSTITUTE(C1358," ",""),3))&amp;"-"&amp;TEXT(B1358,"AAMMDD")&amp;"-"&amp;(COUNTIFS($C$5:C1358,C1358,$B$5:B1358,B1358,$I$5:I1358,"ENTRADA")))</f>
        <v/>
      </c>
    </row>
    <row r="1359" spans="1:20">
      <c r="A1359" s="22" t="s">
        <v>1436</v>
      </c>
      <c r="H1359" s="22" t="str">
        <f t="shared" si="31"/>
        <v/>
      </c>
      <c r="J1359" s="32"/>
      <c r="T1359" t="str">
        <f>IF(OR(C1359="",I1359&lt;&gt;"ENTRADA"),"",UPPER(LEFT(SUBSTITUTE(C1359," ",""),3))&amp;"-"&amp;TEXT(B1359,"AAMMDD")&amp;"-"&amp;(COUNTIFS($C$5:C1359,C1359,$B$5:B1359,B1359,$I$5:I1359,"ENTRADA")))</f>
        <v/>
      </c>
    </row>
    <row r="1360" spans="1:20">
      <c r="A1360" s="22" t="s">
        <v>1437</v>
      </c>
      <c r="H1360" s="22" t="str">
        <f t="shared" ref="H1360:H1423" si="32">+T1360</f>
        <v/>
      </c>
      <c r="J1360" s="32"/>
      <c r="T1360" t="str">
        <f>IF(OR(C1360="",I1360&lt;&gt;"ENTRADA"),"",UPPER(LEFT(SUBSTITUTE(C1360," ",""),3))&amp;"-"&amp;TEXT(B1360,"AAMMDD")&amp;"-"&amp;(COUNTIFS($C$5:C1360,C1360,$B$5:B1360,B1360,$I$5:I1360,"ENTRADA")))</f>
        <v/>
      </c>
    </row>
    <row r="1361" spans="1:20">
      <c r="A1361" s="22" t="s">
        <v>1438</v>
      </c>
      <c r="H1361" s="22" t="str">
        <f t="shared" si="32"/>
        <v/>
      </c>
      <c r="J1361" s="32"/>
      <c r="T1361" t="str">
        <f>IF(OR(C1361="",I1361&lt;&gt;"ENTRADA"),"",UPPER(LEFT(SUBSTITUTE(C1361," ",""),3))&amp;"-"&amp;TEXT(B1361,"AAMMDD")&amp;"-"&amp;(COUNTIFS($C$5:C1361,C1361,$B$5:B1361,B1361,$I$5:I1361,"ENTRADA")))</f>
        <v/>
      </c>
    </row>
    <row r="1362" spans="1:20">
      <c r="A1362" s="22" t="s">
        <v>1439</v>
      </c>
      <c r="H1362" s="22" t="str">
        <f t="shared" si="32"/>
        <v/>
      </c>
      <c r="J1362" s="32"/>
      <c r="T1362" t="str">
        <f>IF(OR(C1362="",I1362&lt;&gt;"ENTRADA"),"",UPPER(LEFT(SUBSTITUTE(C1362," ",""),3))&amp;"-"&amp;TEXT(B1362,"AAMMDD")&amp;"-"&amp;(COUNTIFS($C$5:C1362,C1362,$B$5:B1362,B1362,$I$5:I1362,"ENTRADA")))</f>
        <v/>
      </c>
    </row>
    <row r="1363" spans="1:20">
      <c r="A1363" s="22" t="s">
        <v>1440</v>
      </c>
      <c r="H1363" s="22" t="str">
        <f t="shared" si="32"/>
        <v/>
      </c>
      <c r="J1363" s="32"/>
      <c r="T1363" t="str">
        <f>IF(OR(C1363="",I1363&lt;&gt;"ENTRADA"),"",UPPER(LEFT(SUBSTITUTE(C1363," ",""),3))&amp;"-"&amp;TEXT(B1363,"AAMMDD")&amp;"-"&amp;(COUNTIFS($C$5:C1363,C1363,$B$5:B1363,B1363,$I$5:I1363,"ENTRADA")))</f>
        <v/>
      </c>
    </row>
    <row r="1364" spans="1:20">
      <c r="A1364" s="22" t="s">
        <v>1441</v>
      </c>
      <c r="H1364" s="22" t="str">
        <f t="shared" si="32"/>
        <v/>
      </c>
      <c r="J1364" s="32"/>
      <c r="T1364" t="str">
        <f>IF(OR(C1364="",I1364&lt;&gt;"ENTRADA"),"",UPPER(LEFT(SUBSTITUTE(C1364," ",""),3))&amp;"-"&amp;TEXT(B1364,"AAMMDD")&amp;"-"&amp;(COUNTIFS($C$5:C1364,C1364,$B$5:B1364,B1364,$I$5:I1364,"ENTRADA")))</f>
        <v/>
      </c>
    </row>
    <row r="1365" spans="1:20">
      <c r="A1365" s="22" t="s">
        <v>1442</v>
      </c>
      <c r="H1365" s="22" t="str">
        <f t="shared" si="32"/>
        <v/>
      </c>
      <c r="J1365" s="32"/>
      <c r="T1365" t="str">
        <f>IF(OR(C1365="",I1365&lt;&gt;"ENTRADA"),"",UPPER(LEFT(SUBSTITUTE(C1365," ",""),3))&amp;"-"&amp;TEXT(B1365,"AAMMDD")&amp;"-"&amp;(COUNTIFS($C$5:C1365,C1365,$B$5:B1365,B1365,$I$5:I1365,"ENTRADA")))</f>
        <v/>
      </c>
    </row>
    <row r="1366" spans="1:20">
      <c r="A1366" s="22" t="s">
        <v>1443</v>
      </c>
      <c r="H1366" s="22" t="str">
        <f t="shared" si="32"/>
        <v/>
      </c>
      <c r="J1366" s="32"/>
      <c r="T1366" t="str">
        <f>IF(OR(C1366="",I1366&lt;&gt;"ENTRADA"),"",UPPER(LEFT(SUBSTITUTE(C1366," ",""),3))&amp;"-"&amp;TEXT(B1366,"AAMMDD")&amp;"-"&amp;(COUNTIFS($C$5:C1366,C1366,$B$5:B1366,B1366,$I$5:I1366,"ENTRADA")))</f>
        <v/>
      </c>
    </row>
    <row r="1367" spans="1:20">
      <c r="A1367" s="22" t="s">
        <v>1444</v>
      </c>
      <c r="H1367" s="22" t="str">
        <f t="shared" si="32"/>
        <v/>
      </c>
      <c r="J1367" s="32"/>
      <c r="T1367" t="str">
        <f>IF(OR(C1367="",I1367&lt;&gt;"ENTRADA"),"",UPPER(LEFT(SUBSTITUTE(C1367," ",""),3))&amp;"-"&amp;TEXT(B1367,"AAMMDD")&amp;"-"&amp;(COUNTIFS($C$5:C1367,C1367,$B$5:B1367,B1367,$I$5:I1367,"ENTRADA")))</f>
        <v/>
      </c>
    </row>
    <row r="1368" spans="1:20">
      <c r="A1368" s="22" t="s">
        <v>1445</v>
      </c>
      <c r="H1368" s="22" t="str">
        <f t="shared" si="32"/>
        <v/>
      </c>
      <c r="J1368" s="32"/>
      <c r="T1368" t="str">
        <f>IF(OR(C1368="",I1368&lt;&gt;"ENTRADA"),"",UPPER(LEFT(SUBSTITUTE(C1368," ",""),3))&amp;"-"&amp;TEXT(B1368,"AAMMDD")&amp;"-"&amp;(COUNTIFS($C$5:C1368,C1368,$B$5:B1368,B1368,$I$5:I1368,"ENTRADA")))</f>
        <v/>
      </c>
    </row>
    <row r="1369" spans="1:20">
      <c r="A1369" s="22" t="s">
        <v>1446</v>
      </c>
      <c r="H1369" s="22" t="str">
        <f t="shared" si="32"/>
        <v/>
      </c>
      <c r="J1369" s="32"/>
      <c r="T1369" t="str">
        <f>IF(OR(C1369="",I1369&lt;&gt;"ENTRADA"),"",UPPER(LEFT(SUBSTITUTE(C1369," ",""),3))&amp;"-"&amp;TEXT(B1369,"AAMMDD")&amp;"-"&amp;(COUNTIFS($C$5:C1369,C1369,$B$5:B1369,B1369,$I$5:I1369,"ENTRADA")))</f>
        <v/>
      </c>
    </row>
    <row r="1370" spans="1:20">
      <c r="A1370" s="22" t="s">
        <v>1447</v>
      </c>
      <c r="H1370" s="22" t="str">
        <f t="shared" si="32"/>
        <v/>
      </c>
      <c r="J1370" s="32"/>
      <c r="T1370" t="str">
        <f>IF(OR(C1370="",I1370&lt;&gt;"ENTRADA"),"",UPPER(LEFT(SUBSTITUTE(C1370," ",""),3))&amp;"-"&amp;TEXT(B1370,"AAMMDD")&amp;"-"&amp;(COUNTIFS($C$5:C1370,C1370,$B$5:B1370,B1370,$I$5:I1370,"ENTRADA")))</f>
        <v/>
      </c>
    </row>
    <row r="1371" spans="1:20">
      <c r="A1371" s="22" t="s">
        <v>1448</v>
      </c>
      <c r="H1371" s="22" t="str">
        <f t="shared" si="32"/>
        <v/>
      </c>
      <c r="J1371" s="32"/>
      <c r="T1371" t="str">
        <f>IF(OR(C1371="",I1371&lt;&gt;"ENTRADA"),"",UPPER(LEFT(SUBSTITUTE(C1371," ",""),3))&amp;"-"&amp;TEXT(B1371,"AAMMDD")&amp;"-"&amp;(COUNTIFS($C$5:C1371,C1371,$B$5:B1371,B1371,$I$5:I1371,"ENTRADA")))</f>
        <v/>
      </c>
    </row>
    <row r="1372" spans="1:20">
      <c r="A1372" s="22" t="s">
        <v>1449</v>
      </c>
      <c r="H1372" s="22" t="str">
        <f t="shared" si="32"/>
        <v/>
      </c>
      <c r="J1372" s="32"/>
      <c r="T1372" t="str">
        <f>IF(OR(C1372="",I1372&lt;&gt;"ENTRADA"),"",UPPER(LEFT(SUBSTITUTE(C1372," ",""),3))&amp;"-"&amp;TEXT(B1372,"AAMMDD")&amp;"-"&amp;(COUNTIFS($C$5:C1372,C1372,$B$5:B1372,B1372,$I$5:I1372,"ENTRADA")))</f>
        <v/>
      </c>
    </row>
    <row r="1373" spans="1:20">
      <c r="A1373" s="22" t="s">
        <v>1450</v>
      </c>
      <c r="H1373" s="22" t="str">
        <f t="shared" si="32"/>
        <v/>
      </c>
      <c r="J1373" s="32"/>
      <c r="T1373" t="str">
        <f>IF(OR(C1373="",I1373&lt;&gt;"ENTRADA"),"",UPPER(LEFT(SUBSTITUTE(C1373," ",""),3))&amp;"-"&amp;TEXT(B1373,"AAMMDD")&amp;"-"&amp;(COUNTIFS($C$5:C1373,C1373,$B$5:B1373,B1373,$I$5:I1373,"ENTRADA")))</f>
        <v/>
      </c>
    </row>
    <row r="1374" spans="1:20">
      <c r="A1374" s="22" t="s">
        <v>1451</v>
      </c>
      <c r="H1374" s="22" t="str">
        <f t="shared" si="32"/>
        <v/>
      </c>
      <c r="J1374" s="32"/>
      <c r="T1374" t="str">
        <f>IF(OR(C1374="",I1374&lt;&gt;"ENTRADA"),"",UPPER(LEFT(SUBSTITUTE(C1374," ",""),3))&amp;"-"&amp;TEXT(B1374,"AAMMDD")&amp;"-"&amp;(COUNTIFS($C$5:C1374,C1374,$B$5:B1374,B1374,$I$5:I1374,"ENTRADA")))</f>
        <v/>
      </c>
    </row>
    <row r="1375" spans="1:20">
      <c r="A1375" s="22" t="s">
        <v>1452</v>
      </c>
      <c r="H1375" s="22" t="str">
        <f t="shared" si="32"/>
        <v/>
      </c>
      <c r="J1375" s="32"/>
      <c r="T1375" t="str">
        <f>IF(OR(C1375="",I1375&lt;&gt;"ENTRADA"),"",UPPER(LEFT(SUBSTITUTE(C1375," ",""),3))&amp;"-"&amp;TEXT(B1375,"AAMMDD")&amp;"-"&amp;(COUNTIFS($C$5:C1375,C1375,$B$5:B1375,B1375,$I$5:I1375,"ENTRADA")))</f>
        <v/>
      </c>
    </row>
    <row r="1376" spans="1:20">
      <c r="A1376" s="22" t="s">
        <v>1453</v>
      </c>
      <c r="H1376" s="22" t="str">
        <f t="shared" si="32"/>
        <v/>
      </c>
      <c r="J1376" s="32"/>
      <c r="T1376" t="str">
        <f>IF(OR(C1376="",I1376&lt;&gt;"ENTRADA"),"",UPPER(LEFT(SUBSTITUTE(C1376," ",""),3))&amp;"-"&amp;TEXT(B1376,"AAMMDD")&amp;"-"&amp;(COUNTIFS($C$5:C1376,C1376,$B$5:B1376,B1376,$I$5:I1376,"ENTRADA")))</f>
        <v/>
      </c>
    </row>
    <row r="1377" spans="1:20">
      <c r="A1377" s="22" t="s">
        <v>1454</v>
      </c>
      <c r="H1377" s="22" t="str">
        <f t="shared" si="32"/>
        <v/>
      </c>
      <c r="J1377" s="32"/>
      <c r="T1377" t="str">
        <f>IF(OR(C1377="",I1377&lt;&gt;"ENTRADA"),"",UPPER(LEFT(SUBSTITUTE(C1377," ",""),3))&amp;"-"&amp;TEXT(B1377,"AAMMDD")&amp;"-"&amp;(COUNTIFS($C$5:C1377,C1377,$B$5:B1377,B1377,$I$5:I1377,"ENTRADA")))</f>
        <v/>
      </c>
    </row>
    <row r="1378" spans="1:20">
      <c r="A1378" s="22" t="s">
        <v>1455</v>
      </c>
      <c r="H1378" s="22" t="str">
        <f t="shared" si="32"/>
        <v/>
      </c>
      <c r="J1378" s="32"/>
      <c r="T1378" t="str">
        <f>IF(OR(C1378="",I1378&lt;&gt;"ENTRADA"),"",UPPER(LEFT(SUBSTITUTE(C1378," ",""),3))&amp;"-"&amp;TEXT(B1378,"AAMMDD")&amp;"-"&amp;(COUNTIFS($C$5:C1378,C1378,$B$5:B1378,B1378,$I$5:I1378,"ENTRADA")))</f>
        <v/>
      </c>
    </row>
    <row r="1379" spans="1:20">
      <c r="A1379" s="22" t="s">
        <v>1456</v>
      </c>
      <c r="H1379" s="22" t="str">
        <f t="shared" si="32"/>
        <v/>
      </c>
      <c r="J1379" s="32"/>
      <c r="T1379" t="str">
        <f>IF(OR(C1379="",I1379&lt;&gt;"ENTRADA"),"",UPPER(LEFT(SUBSTITUTE(C1379," ",""),3))&amp;"-"&amp;TEXT(B1379,"AAMMDD")&amp;"-"&amp;(COUNTIFS($C$5:C1379,C1379,$B$5:B1379,B1379,$I$5:I1379,"ENTRADA")))</f>
        <v/>
      </c>
    </row>
    <row r="1380" spans="1:20">
      <c r="A1380" s="22" t="s">
        <v>1457</v>
      </c>
      <c r="H1380" s="22" t="str">
        <f t="shared" si="32"/>
        <v/>
      </c>
      <c r="J1380" s="32"/>
      <c r="T1380" t="str">
        <f>IF(OR(C1380="",I1380&lt;&gt;"ENTRADA"),"",UPPER(LEFT(SUBSTITUTE(C1380," ",""),3))&amp;"-"&amp;TEXT(B1380,"AAMMDD")&amp;"-"&amp;(COUNTIFS($C$5:C1380,C1380,$B$5:B1380,B1380,$I$5:I1380,"ENTRADA")))</f>
        <v/>
      </c>
    </row>
    <row r="1381" spans="1:20">
      <c r="A1381" s="22" t="s">
        <v>1458</v>
      </c>
      <c r="H1381" s="22" t="str">
        <f t="shared" si="32"/>
        <v/>
      </c>
      <c r="J1381" s="32"/>
      <c r="T1381" t="str">
        <f>IF(OR(C1381="",I1381&lt;&gt;"ENTRADA"),"",UPPER(LEFT(SUBSTITUTE(C1381," ",""),3))&amp;"-"&amp;TEXT(B1381,"AAMMDD")&amp;"-"&amp;(COUNTIFS($C$5:C1381,C1381,$B$5:B1381,B1381,$I$5:I1381,"ENTRADA")))</f>
        <v/>
      </c>
    </row>
    <row r="1382" spans="1:20">
      <c r="A1382" s="22" t="s">
        <v>1459</v>
      </c>
      <c r="H1382" s="22" t="str">
        <f t="shared" si="32"/>
        <v/>
      </c>
      <c r="J1382" s="32"/>
      <c r="T1382" t="str">
        <f>IF(OR(C1382="",I1382&lt;&gt;"ENTRADA"),"",UPPER(LEFT(SUBSTITUTE(C1382," ",""),3))&amp;"-"&amp;TEXT(B1382,"AAMMDD")&amp;"-"&amp;(COUNTIFS($C$5:C1382,C1382,$B$5:B1382,B1382,$I$5:I1382,"ENTRADA")))</f>
        <v/>
      </c>
    </row>
    <row r="1383" spans="1:20">
      <c r="A1383" s="22" t="s">
        <v>1460</v>
      </c>
      <c r="H1383" s="22" t="str">
        <f t="shared" si="32"/>
        <v/>
      </c>
      <c r="J1383" s="32"/>
      <c r="T1383" t="str">
        <f>IF(OR(C1383="",I1383&lt;&gt;"ENTRADA"),"",UPPER(LEFT(SUBSTITUTE(C1383," ",""),3))&amp;"-"&amp;TEXT(B1383,"AAMMDD")&amp;"-"&amp;(COUNTIFS($C$5:C1383,C1383,$B$5:B1383,B1383,$I$5:I1383,"ENTRADA")))</f>
        <v/>
      </c>
    </row>
    <row r="1384" spans="1:20">
      <c r="A1384" s="22" t="s">
        <v>1461</v>
      </c>
      <c r="H1384" s="22" t="str">
        <f t="shared" si="32"/>
        <v/>
      </c>
      <c r="J1384" s="32"/>
      <c r="T1384" t="str">
        <f>IF(OR(C1384="",I1384&lt;&gt;"ENTRADA"),"",UPPER(LEFT(SUBSTITUTE(C1384," ",""),3))&amp;"-"&amp;TEXT(B1384,"AAMMDD")&amp;"-"&amp;(COUNTIFS($C$5:C1384,C1384,$B$5:B1384,B1384,$I$5:I1384,"ENTRADA")))</f>
        <v/>
      </c>
    </row>
    <row r="1385" spans="1:20">
      <c r="A1385" s="22" t="s">
        <v>1462</v>
      </c>
      <c r="H1385" s="22" t="str">
        <f t="shared" si="32"/>
        <v/>
      </c>
      <c r="J1385" s="32"/>
      <c r="T1385" t="str">
        <f>IF(OR(C1385="",I1385&lt;&gt;"ENTRADA"),"",UPPER(LEFT(SUBSTITUTE(C1385," ",""),3))&amp;"-"&amp;TEXT(B1385,"AAMMDD")&amp;"-"&amp;(COUNTIFS($C$5:C1385,C1385,$B$5:B1385,B1385,$I$5:I1385,"ENTRADA")))</f>
        <v/>
      </c>
    </row>
    <row r="1386" spans="1:20">
      <c r="A1386" s="22" t="s">
        <v>1463</v>
      </c>
      <c r="H1386" s="22" t="str">
        <f t="shared" si="32"/>
        <v/>
      </c>
      <c r="J1386" s="32"/>
      <c r="T1386" t="str">
        <f>IF(OR(C1386="",I1386&lt;&gt;"ENTRADA"),"",UPPER(LEFT(SUBSTITUTE(C1386," ",""),3))&amp;"-"&amp;TEXT(B1386,"AAMMDD")&amp;"-"&amp;(COUNTIFS($C$5:C1386,C1386,$B$5:B1386,B1386,$I$5:I1386,"ENTRADA")))</f>
        <v/>
      </c>
    </row>
    <row r="1387" spans="1:20">
      <c r="A1387" s="22" t="s">
        <v>1464</v>
      </c>
      <c r="H1387" s="22" t="str">
        <f t="shared" si="32"/>
        <v/>
      </c>
      <c r="J1387" s="32"/>
      <c r="T1387" t="str">
        <f>IF(OR(C1387="",I1387&lt;&gt;"ENTRADA"),"",UPPER(LEFT(SUBSTITUTE(C1387," ",""),3))&amp;"-"&amp;TEXT(B1387,"AAMMDD")&amp;"-"&amp;(COUNTIFS($C$5:C1387,C1387,$B$5:B1387,B1387,$I$5:I1387,"ENTRADA")))</f>
        <v/>
      </c>
    </row>
    <row r="1388" spans="1:20">
      <c r="A1388" s="22" t="s">
        <v>1465</v>
      </c>
      <c r="H1388" s="22" t="str">
        <f t="shared" si="32"/>
        <v/>
      </c>
      <c r="J1388" s="32"/>
      <c r="T1388" t="str">
        <f>IF(OR(C1388="",I1388&lt;&gt;"ENTRADA"),"",UPPER(LEFT(SUBSTITUTE(C1388," ",""),3))&amp;"-"&amp;TEXT(B1388,"AAMMDD")&amp;"-"&amp;(COUNTIFS($C$5:C1388,C1388,$B$5:B1388,B1388,$I$5:I1388,"ENTRADA")))</f>
        <v/>
      </c>
    </row>
    <row r="1389" spans="1:20">
      <c r="A1389" s="22" t="s">
        <v>1466</v>
      </c>
      <c r="H1389" s="22" t="str">
        <f t="shared" si="32"/>
        <v/>
      </c>
      <c r="J1389" s="32"/>
      <c r="T1389" t="str">
        <f>IF(OR(C1389="",I1389&lt;&gt;"ENTRADA"),"",UPPER(LEFT(SUBSTITUTE(C1389," ",""),3))&amp;"-"&amp;TEXT(B1389,"AAMMDD")&amp;"-"&amp;(COUNTIFS($C$5:C1389,C1389,$B$5:B1389,B1389,$I$5:I1389,"ENTRADA")))</f>
        <v/>
      </c>
    </row>
    <row r="1390" spans="1:20">
      <c r="A1390" s="22" t="s">
        <v>1467</v>
      </c>
      <c r="H1390" s="22" t="str">
        <f t="shared" si="32"/>
        <v/>
      </c>
      <c r="J1390" s="32"/>
      <c r="T1390" t="str">
        <f>IF(OR(C1390="",I1390&lt;&gt;"ENTRADA"),"",UPPER(LEFT(SUBSTITUTE(C1390," ",""),3))&amp;"-"&amp;TEXT(B1390,"AAMMDD")&amp;"-"&amp;(COUNTIFS($C$5:C1390,C1390,$B$5:B1390,B1390,$I$5:I1390,"ENTRADA")))</f>
        <v/>
      </c>
    </row>
    <row r="1391" spans="1:20">
      <c r="A1391" s="22" t="s">
        <v>1468</v>
      </c>
      <c r="H1391" s="22" t="str">
        <f t="shared" si="32"/>
        <v/>
      </c>
      <c r="J1391" s="32"/>
      <c r="T1391" t="str">
        <f>IF(OR(C1391="",I1391&lt;&gt;"ENTRADA"),"",UPPER(LEFT(SUBSTITUTE(C1391," ",""),3))&amp;"-"&amp;TEXT(B1391,"AAMMDD")&amp;"-"&amp;(COUNTIFS($C$5:C1391,C1391,$B$5:B1391,B1391,$I$5:I1391,"ENTRADA")))</f>
        <v/>
      </c>
    </row>
    <row r="1392" spans="1:20">
      <c r="A1392" s="22" t="s">
        <v>1469</v>
      </c>
      <c r="H1392" s="22" t="str">
        <f t="shared" si="32"/>
        <v/>
      </c>
      <c r="J1392" s="32"/>
      <c r="T1392" t="str">
        <f>IF(OR(C1392="",I1392&lt;&gt;"ENTRADA"),"",UPPER(LEFT(SUBSTITUTE(C1392," ",""),3))&amp;"-"&amp;TEXT(B1392,"AAMMDD")&amp;"-"&amp;(COUNTIFS($C$5:C1392,C1392,$B$5:B1392,B1392,$I$5:I1392,"ENTRADA")))</f>
        <v/>
      </c>
    </row>
    <row r="1393" spans="1:20">
      <c r="A1393" s="22" t="s">
        <v>1470</v>
      </c>
      <c r="H1393" s="22" t="str">
        <f t="shared" si="32"/>
        <v/>
      </c>
      <c r="J1393" s="32"/>
      <c r="T1393" t="str">
        <f>IF(OR(C1393="",I1393&lt;&gt;"ENTRADA"),"",UPPER(LEFT(SUBSTITUTE(C1393," ",""),3))&amp;"-"&amp;TEXT(B1393,"AAMMDD")&amp;"-"&amp;(COUNTIFS($C$5:C1393,C1393,$B$5:B1393,B1393,$I$5:I1393,"ENTRADA")))</f>
        <v/>
      </c>
    </row>
    <row r="1394" spans="1:20">
      <c r="A1394" s="22" t="s">
        <v>1471</v>
      </c>
      <c r="H1394" s="22" t="str">
        <f t="shared" si="32"/>
        <v/>
      </c>
      <c r="J1394" s="32"/>
      <c r="T1394" t="str">
        <f>IF(OR(C1394="",I1394&lt;&gt;"ENTRADA"),"",UPPER(LEFT(SUBSTITUTE(C1394," ",""),3))&amp;"-"&amp;TEXT(B1394,"AAMMDD")&amp;"-"&amp;(COUNTIFS($C$5:C1394,C1394,$B$5:B1394,B1394,$I$5:I1394,"ENTRADA")))</f>
        <v/>
      </c>
    </row>
    <row r="1395" spans="1:20">
      <c r="A1395" s="22" t="s">
        <v>1472</v>
      </c>
      <c r="H1395" s="22" t="str">
        <f t="shared" si="32"/>
        <v/>
      </c>
      <c r="J1395" s="32"/>
      <c r="T1395" t="str">
        <f>IF(OR(C1395="",I1395&lt;&gt;"ENTRADA"),"",UPPER(LEFT(SUBSTITUTE(C1395," ",""),3))&amp;"-"&amp;TEXT(B1395,"AAMMDD")&amp;"-"&amp;(COUNTIFS($C$5:C1395,C1395,$B$5:B1395,B1395,$I$5:I1395,"ENTRADA")))</f>
        <v/>
      </c>
    </row>
    <row r="1396" spans="1:20">
      <c r="A1396" s="22" t="s">
        <v>1473</v>
      </c>
      <c r="H1396" s="22" t="str">
        <f t="shared" si="32"/>
        <v/>
      </c>
      <c r="J1396" s="32"/>
      <c r="T1396" t="str">
        <f>IF(OR(C1396="",I1396&lt;&gt;"ENTRADA"),"",UPPER(LEFT(SUBSTITUTE(C1396," ",""),3))&amp;"-"&amp;TEXT(B1396,"AAMMDD")&amp;"-"&amp;(COUNTIFS($C$5:C1396,C1396,$B$5:B1396,B1396,$I$5:I1396,"ENTRADA")))</f>
        <v/>
      </c>
    </row>
    <row r="1397" spans="1:20">
      <c r="A1397" s="22" t="s">
        <v>1474</v>
      </c>
      <c r="H1397" s="22" t="str">
        <f t="shared" si="32"/>
        <v/>
      </c>
      <c r="J1397" s="32"/>
      <c r="T1397" t="str">
        <f>IF(OR(C1397="",I1397&lt;&gt;"ENTRADA"),"",UPPER(LEFT(SUBSTITUTE(C1397," ",""),3))&amp;"-"&amp;TEXT(B1397,"AAMMDD")&amp;"-"&amp;(COUNTIFS($C$5:C1397,C1397,$B$5:B1397,B1397,$I$5:I1397,"ENTRADA")))</f>
        <v/>
      </c>
    </row>
    <row r="1398" spans="1:20">
      <c r="A1398" s="22" t="s">
        <v>1475</v>
      </c>
      <c r="H1398" s="22" t="str">
        <f t="shared" si="32"/>
        <v/>
      </c>
      <c r="J1398" s="32"/>
      <c r="T1398" t="str">
        <f>IF(OR(C1398="",I1398&lt;&gt;"ENTRADA"),"",UPPER(LEFT(SUBSTITUTE(C1398," ",""),3))&amp;"-"&amp;TEXT(B1398,"AAMMDD")&amp;"-"&amp;(COUNTIFS($C$5:C1398,C1398,$B$5:B1398,B1398,$I$5:I1398,"ENTRADA")))</f>
        <v/>
      </c>
    </row>
    <row r="1399" spans="1:20">
      <c r="A1399" s="22" t="s">
        <v>1476</v>
      </c>
      <c r="H1399" s="22" t="str">
        <f t="shared" si="32"/>
        <v/>
      </c>
      <c r="J1399" s="32"/>
      <c r="T1399" t="str">
        <f>IF(OR(C1399="",I1399&lt;&gt;"ENTRADA"),"",UPPER(LEFT(SUBSTITUTE(C1399," ",""),3))&amp;"-"&amp;TEXT(B1399,"AAMMDD")&amp;"-"&amp;(COUNTIFS($C$5:C1399,C1399,$B$5:B1399,B1399,$I$5:I1399,"ENTRADA")))</f>
        <v/>
      </c>
    </row>
    <row r="1400" spans="1:20">
      <c r="A1400" s="22" t="s">
        <v>1477</v>
      </c>
      <c r="H1400" s="22" t="str">
        <f t="shared" si="32"/>
        <v/>
      </c>
      <c r="J1400" s="32"/>
      <c r="T1400" t="str">
        <f>IF(OR(C1400="",I1400&lt;&gt;"ENTRADA"),"",UPPER(LEFT(SUBSTITUTE(C1400," ",""),3))&amp;"-"&amp;TEXT(B1400,"AAMMDD")&amp;"-"&amp;(COUNTIFS($C$5:C1400,C1400,$B$5:B1400,B1400,$I$5:I1400,"ENTRADA")))</f>
        <v/>
      </c>
    </row>
    <row r="1401" spans="1:20">
      <c r="A1401" s="22" t="s">
        <v>1478</v>
      </c>
      <c r="H1401" s="22" t="str">
        <f t="shared" si="32"/>
        <v/>
      </c>
      <c r="J1401" s="32"/>
      <c r="T1401" t="str">
        <f>IF(OR(C1401="",I1401&lt;&gt;"ENTRADA"),"",UPPER(LEFT(SUBSTITUTE(C1401," ",""),3))&amp;"-"&amp;TEXT(B1401,"AAMMDD")&amp;"-"&amp;(COUNTIFS($C$5:C1401,C1401,$B$5:B1401,B1401,$I$5:I1401,"ENTRADA")))</f>
        <v/>
      </c>
    </row>
    <row r="1402" spans="1:20">
      <c r="A1402" s="22" t="s">
        <v>1479</v>
      </c>
      <c r="H1402" s="22" t="str">
        <f t="shared" si="32"/>
        <v/>
      </c>
      <c r="J1402" s="32"/>
      <c r="T1402" t="str">
        <f>IF(OR(C1402="",I1402&lt;&gt;"ENTRADA"),"",UPPER(LEFT(SUBSTITUTE(C1402," ",""),3))&amp;"-"&amp;TEXT(B1402,"AAMMDD")&amp;"-"&amp;(COUNTIFS($C$5:C1402,C1402,$B$5:B1402,B1402,$I$5:I1402,"ENTRADA")))</f>
        <v/>
      </c>
    </row>
    <row r="1403" spans="1:20">
      <c r="A1403" s="22" t="s">
        <v>1480</v>
      </c>
      <c r="H1403" s="22" t="str">
        <f t="shared" si="32"/>
        <v/>
      </c>
      <c r="J1403" s="32"/>
      <c r="T1403" t="str">
        <f>IF(OR(C1403="",I1403&lt;&gt;"ENTRADA"),"",UPPER(LEFT(SUBSTITUTE(C1403," ",""),3))&amp;"-"&amp;TEXT(B1403,"AAMMDD")&amp;"-"&amp;(COUNTIFS($C$5:C1403,C1403,$B$5:B1403,B1403,$I$5:I1403,"ENTRADA")))</f>
        <v/>
      </c>
    </row>
    <row r="1404" spans="1:20">
      <c r="A1404" s="22" t="s">
        <v>1481</v>
      </c>
      <c r="H1404" s="22" t="str">
        <f t="shared" si="32"/>
        <v/>
      </c>
      <c r="J1404" s="32"/>
      <c r="T1404" t="str">
        <f>IF(OR(C1404="",I1404&lt;&gt;"ENTRADA"),"",UPPER(LEFT(SUBSTITUTE(C1404," ",""),3))&amp;"-"&amp;TEXT(B1404,"AAMMDD")&amp;"-"&amp;(COUNTIFS($C$5:C1404,C1404,$B$5:B1404,B1404,$I$5:I1404,"ENTRADA")))</f>
        <v/>
      </c>
    </row>
    <row r="1405" spans="1:20">
      <c r="A1405" s="22" t="s">
        <v>1482</v>
      </c>
      <c r="H1405" s="22" t="str">
        <f t="shared" si="32"/>
        <v/>
      </c>
      <c r="J1405" s="32"/>
      <c r="T1405" t="str">
        <f>IF(OR(C1405="",I1405&lt;&gt;"ENTRADA"),"",UPPER(LEFT(SUBSTITUTE(C1405," ",""),3))&amp;"-"&amp;TEXT(B1405,"AAMMDD")&amp;"-"&amp;(COUNTIFS($C$5:C1405,C1405,$B$5:B1405,B1405,$I$5:I1405,"ENTRADA")))</f>
        <v/>
      </c>
    </row>
    <row r="1406" spans="1:20">
      <c r="A1406" s="22" t="s">
        <v>1483</v>
      </c>
      <c r="H1406" s="22" t="str">
        <f t="shared" si="32"/>
        <v/>
      </c>
      <c r="J1406" s="32"/>
      <c r="T1406" t="str">
        <f>IF(OR(C1406="",I1406&lt;&gt;"ENTRADA"),"",UPPER(LEFT(SUBSTITUTE(C1406," ",""),3))&amp;"-"&amp;TEXT(B1406,"AAMMDD")&amp;"-"&amp;(COUNTIFS($C$5:C1406,C1406,$B$5:B1406,B1406,$I$5:I1406,"ENTRADA")))</f>
        <v/>
      </c>
    </row>
    <row r="1407" spans="1:20">
      <c r="A1407" s="22" t="s">
        <v>1484</v>
      </c>
      <c r="H1407" s="22" t="str">
        <f t="shared" si="32"/>
        <v/>
      </c>
      <c r="J1407" s="32"/>
      <c r="T1407" t="str">
        <f>IF(OR(C1407="",I1407&lt;&gt;"ENTRADA"),"",UPPER(LEFT(SUBSTITUTE(C1407," ",""),3))&amp;"-"&amp;TEXT(B1407,"AAMMDD")&amp;"-"&amp;(COUNTIFS($C$5:C1407,C1407,$B$5:B1407,B1407,$I$5:I1407,"ENTRADA")))</f>
        <v/>
      </c>
    </row>
    <row r="1408" spans="1:20">
      <c r="A1408" s="22" t="s">
        <v>1485</v>
      </c>
      <c r="H1408" s="22" t="str">
        <f t="shared" si="32"/>
        <v/>
      </c>
      <c r="J1408" s="32"/>
      <c r="T1408" t="str">
        <f>IF(OR(C1408="",I1408&lt;&gt;"ENTRADA"),"",UPPER(LEFT(SUBSTITUTE(C1408," ",""),3))&amp;"-"&amp;TEXT(B1408,"AAMMDD")&amp;"-"&amp;(COUNTIFS($C$5:C1408,C1408,$B$5:B1408,B1408,$I$5:I1408,"ENTRADA")))</f>
        <v/>
      </c>
    </row>
    <row r="1409" spans="1:20">
      <c r="A1409" s="22" t="s">
        <v>1486</v>
      </c>
      <c r="H1409" s="22" t="str">
        <f t="shared" si="32"/>
        <v/>
      </c>
      <c r="J1409" s="32"/>
      <c r="T1409" t="str">
        <f>IF(OR(C1409="",I1409&lt;&gt;"ENTRADA"),"",UPPER(LEFT(SUBSTITUTE(C1409," ",""),3))&amp;"-"&amp;TEXT(B1409,"AAMMDD")&amp;"-"&amp;(COUNTIFS($C$5:C1409,C1409,$B$5:B1409,B1409,$I$5:I1409,"ENTRADA")))</f>
        <v/>
      </c>
    </row>
    <row r="1410" spans="1:20">
      <c r="A1410" s="22" t="s">
        <v>1487</v>
      </c>
      <c r="H1410" s="22" t="str">
        <f t="shared" si="32"/>
        <v/>
      </c>
      <c r="J1410" s="32"/>
      <c r="T1410" t="str">
        <f>IF(OR(C1410="",I1410&lt;&gt;"ENTRADA"),"",UPPER(LEFT(SUBSTITUTE(C1410," ",""),3))&amp;"-"&amp;TEXT(B1410,"AAMMDD")&amp;"-"&amp;(COUNTIFS($C$5:C1410,C1410,$B$5:B1410,B1410,$I$5:I1410,"ENTRADA")))</f>
        <v/>
      </c>
    </row>
    <row r="1411" spans="1:20">
      <c r="A1411" s="22" t="s">
        <v>1488</v>
      </c>
      <c r="H1411" s="22" t="str">
        <f t="shared" si="32"/>
        <v/>
      </c>
      <c r="J1411" s="32"/>
      <c r="T1411" t="str">
        <f>IF(OR(C1411="",I1411&lt;&gt;"ENTRADA"),"",UPPER(LEFT(SUBSTITUTE(C1411," ",""),3))&amp;"-"&amp;TEXT(B1411,"AAMMDD")&amp;"-"&amp;(COUNTIFS($C$5:C1411,C1411,$B$5:B1411,B1411,$I$5:I1411,"ENTRADA")))</f>
        <v/>
      </c>
    </row>
    <row r="1412" spans="1:20">
      <c r="A1412" s="22" t="s">
        <v>1489</v>
      </c>
      <c r="H1412" s="22" t="str">
        <f t="shared" si="32"/>
        <v/>
      </c>
      <c r="J1412" s="32"/>
      <c r="T1412" t="str">
        <f>IF(OR(C1412="",I1412&lt;&gt;"ENTRADA"),"",UPPER(LEFT(SUBSTITUTE(C1412," ",""),3))&amp;"-"&amp;TEXT(B1412,"AAMMDD")&amp;"-"&amp;(COUNTIFS($C$5:C1412,C1412,$B$5:B1412,B1412,$I$5:I1412,"ENTRADA")))</f>
        <v/>
      </c>
    </row>
    <row r="1413" spans="1:20">
      <c r="A1413" s="22" t="s">
        <v>1490</v>
      </c>
      <c r="H1413" s="22" t="str">
        <f t="shared" si="32"/>
        <v/>
      </c>
      <c r="J1413" s="32"/>
      <c r="T1413" t="str">
        <f>IF(OR(C1413="",I1413&lt;&gt;"ENTRADA"),"",UPPER(LEFT(SUBSTITUTE(C1413," ",""),3))&amp;"-"&amp;TEXT(B1413,"AAMMDD")&amp;"-"&amp;(COUNTIFS($C$5:C1413,C1413,$B$5:B1413,B1413,$I$5:I1413,"ENTRADA")))</f>
        <v/>
      </c>
    </row>
    <row r="1414" spans="1:20">
      <c r="A1414" s="22" t="s">
        <v>1491</v>
      </c>
      <c r="H1414" s="22" t="str">
        <f t="shared" si="32"/>
        <v/>
      </c>
      <c r="J1414" s="32"/>
      <c r="T1414" t="str">
        <f>IF(OR(C1414="",I1414&lt;&gt;"ENTRADA"),"",UPPER(LEFT(SUBSTITUTE(C1414," ",""),3))&amp;"-"&amp;TEXT(B1414,"AAMMDD")&amp;"-"&amp;(COUNTIFS($C$5:C1414,C1414,$B$5:B1414,B1414,$I$5:I1414,"ENTRADA")))</f>
        <v/>
      </c>
    </row>
    <row r="1415" spans="1:20">
      <c r="A1415" s="22" t="s">
        <v>1492</v>
      </c>
      <c r="H1415" s="22" t="str">
        <f t="shared" si="32"/>
        <v/>
      </c>
      <c r="J1415" s="32"/>
      <c r="T1415" t="str">
        <f>IF(OR(C1415="",I1415&lt;&gt;"ENTRADA"),"",UPPER(LEFT(SUBSTITUTE(C1415," ",""),3))&amp;"-"&amp;TEXT(B1415,"AAMMDD")&amp;"-"&amp;(COUNTIFS($C$5:C1415,C1415,$B$5:B1415,B1415,$I$5:I1415,"ENTRADA")))</f>
        <v/>
      </c>
    </row>
    <row r="1416" spans="1:20">
      <c r="A1416" s="22" t="s">
        <v>1493</v>
      </c>
      <c r="H1416" s="22" t="str">
        <f t="shared" si="32"/>
        <v/>
      </c>
      <c r="J1416" s="32"/>
      <c r="T1416" t="str">
        <f>IF(OR(C1416="",I1416&lt;&gt;"ENTRADA"),"",UPPER(LEFT(SUBSTITUTE(C1416," ",""),3))&amp;"-"&amp;TEXT(B1416,"AAMMDD")&amp;"-"&amp;(COUNTIFS($C$5:C1416,C1416,$B$5:B1416,B1416,$I$5:I1416,"ENTRADA")))</f>
        <v/>
      </c>
    </row>
    <row r="1417" spans="1:20">
      <c r="A1417" s="22" t="s">
        <v>1494</v>
      </c>
      <c r="H1417" s="22" t="str">
        <f t="shared" si="32"/>
        <v/>
      </c>
      <c r="J1417" s="32"/>
      <c r="T1417" t="str">
        <f>IF(OR(C1417="",I1417&lt;&gt;"ENTRADA"),"",UPPER(LEFT(SUBSTITUTE(C1417," ",""),3))&amp;"-"&amp;TEXT(B1417,"AAMMDD")&amp;"-"&amp;(COUNTIFS($C$5:C1417,C1417,$B$5:B1417,B1417,$I$5:I1417,"ENTRADA")))</f>
        <v/>
      </c>
    </row>
    <row r="1418" spans="1:20">
      <c r="A1418" s="22" t="s">
        <v>1495</v>
      </c>
      <c r="H1418" s="22" t="str">
        <f t="shared" si="32"/>
        <v/>
      </c>
      <c r="J1418" s="32"/>
      <c r="T1418" t="str">
        <f>IF(OR(C1418="",I1418&lt;&gt;"ENTRADA"),"",UPPER(LEFT(SUBSTITUTE(C1418," ",""),3))&amp;"-"&amp;TEXT(B1418,"AAMMDD")&amp;"-"&amp;(COUNTIFS($C$5:C1418,C1418,$B$5:B1418,B1418,$I$5:I1418,"ENTRADA")))</f>
        <v/>
      </c>
    </row>
    <row r="1419" spans="1:20">
      <c r="A1419" s="22" t="s">
        <v>1496</v>
      </c>
      <c r="H1419" s="22" t="str">
        <f t="shared" si="32"/>
        <v/>
      </c>
      <c r="J1419" s="32"/>
      <c r="T1419" t="str">
        <f>IF(OR(C1419="",I1419&lt;&gt;"ENTRADA"),"",UPPER(LEFT(SUBSTITUTE(C1419," ",""),3))&amp;"-"&amp;TEXT(B1419,"AAMMDD")&amp;"-"&amp;(COUNTIFS($C$5:C1419,C1419,$B$5:B1419,B1419,$I$5:I1419,"ENTRADA")))</f>
        <v/>
      </c>
    </row>
    <row r="1420" spans="1:20">
      <c r="A1420" s="22" t="s">
        <v>1497</v>
      </c>
      <c r="H1420" s="22" t="str">
        <f t="shared" si="32"/>
        <v/>
      </c>
      <c r="J1420" s="32"/>
      <c r="T1420" t="str">
        <f>IF(OR(C1420="",I1420&lt;&gt;"ENTRADA"),"",UPPER(LEFT(SUBSTITUTE(C1420," ",""),3))&amp;"-"&amp;TEXT(B1420,"AAMMDD")&amp;"-"&amp;(COUNTIFS($C$5:C1420,C1420,$B$5:B1420,B1420,$I$5:I1420,"ENTRADA")))</f>
        <v/>
      </c>
    </row>
    <row r="1421" spans="1:20">
      <c r="A1421" s="22" t="s">
        <v>1498</v>
      </c>
      <c r="H1421" s="22" t="str">
        <f t="shared" si="32"/>
        <v/>
      </c>
      <c r="J1421" s="32"/>
      <c r="T1421" t="str">
        <f>IF(OR(C1421="",I1421&lt;&gt;"ENTRADA"),"",UPPER(LEFT(SUBSTITUTE(C1421," ",""),3))&amp;"-"&amp;TEXT(B1421,"AAMMDD")&amp;"-"&amp;(COUNTIFS($C$5:C1421,C1421,$B$5:B1421,B1421,$I$5:I1421,"ENTRADA")))</f>
        <v/>
      </c>
    </row>
    <row r="1422" spans="1:20">
      <c r="A1422" s="22" t="s">
        <v>1499</v>
      </c>
      <c r="H1422" s="22" t="str">
        <f t="shared" si="32"/>
        <v/>
      </c>
      <c r="J1422" s="32"/>
      <c r="T1422" t="str">
        <f>IF(OR(C1422="",I1422&lt;&gt;"ENTRADA"),"",UPPER(LEFT(SUBSTITUTE(C1422," ",""),3))&amp;"-"&amp;TEXT(B1422,"AAMMDD")&amp;"-"&amp;(COUNTIFS($C$5:C1422,C1422,$B$5:B1422,B1422,$I$5:I1422,"ENTRADA")))</f>
        <v/>
      </c>
    </row>
    <row r="1423" spans="1:20">
      <c r="A1423" s="22" t="s">
        <v>1500</v>
      </c>
      <c r="H1423" s="22" t="str">
        <f t="shared" si="32"/>
        <v/>
      </c>
      <c r="J1423" s="32"/>
      <c r="T1423" t="str">
        <f>IF(OR(C1423="",I1423&lt;&gt;"ENTRADA"),"",UPPER(LEFT(SUBSTITUTE(C1423," ",""),3))&amp;"-"&amp;TEXT(B1423,"AAMMDD")&amp;"-"&amp;(COUNTIFS($C$5:C1423,C1423,$B$5:B1423,B1423,$I$5:I1423,"ENTRADA")))</f>
        <v/>
      </c>
    </row>
    <row r="1424" spans="1:20">
      <c r="A1424" s="22" t="s">
        <v>1501</v>
      </c>
      <c r="H1424" s="22" t="str">
        <f t="shared" ref="H1424:H1487" si="33">+T1424</f>
        <v/>
      </c>
      <c r="J1424" s="32"/>
      <c r="T1424" t="str">
        <f>IF(OR(C1424="",I1424&lt;&gt;"ENTRADA"),"",UPPER(LEFT(SUBSTITUTE(C1424," ",""),3))&amp;"-"&amp;TEXT(B1424,"AAMMDD")&amp;"-"&amp;(COUNTIFS($C$5:C1424,C1424,$B$5:B1424,B1424,$I$5:I1424,"ENTRADA")))</f>
        <v/>
      </c>
    </row>
    <row r="1425" spans="1:20">
      <c r="A1425" s="22" t="s">
        <v>1502</v>
      </c>
      <c r="H1425" s="22" t="str">
        <f t="shared" si="33"/>
        <v/>
      </c>
      <c r="J1425" s="32"/>
      <c r="T1425" t="str">
        <f>IF(OR(C1425="",I1425&lt;&gt;"ENTRADA"),"",UPPER(LEFT(SUBSTITUTE(C1425," ",""),3))&amp;"-"&amp;TEXT(B1425,"AAMMDD")&amp;"-"&amp;(COUNTIFS($C$5:C1425,C1425,$B$5:B1425,B1425,$I$5:I1425,"ENTRADA")))</f>
        <v/>
      </c>
    </row>
    <row r="1426" spans="1:20">
      <c r="A1426" s="22" t="s">
        <v>1503</v>
      </c>
      <c r="H1426" s="22" t="str">
        <f t="shared" si="33"/>
        <v/>
      </c>
      <c r="J1426" s="32"/>
      <c r="T1426" t="str">
        <f>IF(OR(C1426="",I1426&lt;&gt;"ENTRADA"),"",UPPER(LEFT(SUBSTITUTE(C1426," ",""),3))&amp;"-"&amp;TEXT(B1426,"AAMMDD")&amp;"-"&amp;(COUNTIFS($C$5:C1426,C1426,$B$5:B1426,B1426,$I$5:I1426,"ENTRADA")))</f>
        <v/>
      </c>
    </row>
    <row r="1427" spans="1:20">
      <c r="A1427" s="22" t="s">
        <v>1504</v>
      </c>
      <c r="H1427" s="22" t="str">
        <f t="shared" si="33"/>
        <v/>
      </c>
      <c r="J1427" s="32"/>
      <c r="T1427" t="str">
        <f>IF(OR(C1427="",I1427&lt;&gt;"ENTRADA"),"",UPPER(LEFT(SUBSTITUTE(C1427," ",""),3))&amp;"-"&amp;TEXT(B1427,"AAMMDD")&amp;"-"&amp;(COUNTIFS($C$5:C1427,C1427,$B$5:B1427,B1427,$I$5:I1427,"ENTRADA")))</f>
        <v/>
      </c>
    </row>
    <row r="1428" spans="1:20">
      <c r="A1428" s="22" t="s">
        <v>1505</v>
      </c>
      <c r="H1428" s="22" t="str">
        <f t="shared" si="33"/>
        <v/>
      </c>
      <c r="J1428" s="32"/>
      <c r="T1428" t="str">
        <f>IF(OR(C1428="",I1428&lt;&gt;"ENTRADA"),"",UPPER(LEFT(SUBSTITUTE(C1428," ",""),3))&amp;"-"&amp;TEXT(B1428,"AAMMDD")&amp;"-"&amp;(COUNTIFS($C$5:C1428,C1428,$B$5:B1428,B1428,$I$5:I1428,"ENTRADA")))</f>
        <v/>
      </c>
    </row>
    <row r="1429" spans="1:20">
      <c r="A1429" s="22" t="s">
        <v>1506</v>
      </c>
      <c r="H1429" s="22" t="str">
        <f t="shared" si="33"/>
        <v/>
      </c>
      <c r="J1429" s="32"/>
      <c r="T1429" t="str">
        <f>IF(OR(C1429="",I1429&lt;&gt;"ENTRADA"),"",UPPER(LEFT(SUBSTITUTE(C1429," ",""),3))&amp;"-"&amp;TEXT(B1429,"AAMMDD")&amp;"-"&amp;(COUNTIFS($C$5:C1429,C1429,$B$5:B1429,B1429,$I$5:I1429,"ENTRADA")))</f>
        <v/>
      </c>
    </row>
    <row r="1430" spans="1:20">
      <c r="A1430" s="22" t="s">
        <v>1507</v>
      </c>
      <c r="H1430" s="22" t="str">
        <f t="shared" si="33"/>
        <v/>
      </c>
      <c r="J1430" s="32"/>
      <c r="T1430" t="str">
        <f>IF(OR(C1430="",I1430&lt;&gt;"ENTRADA"),"",UPPER(LEFT(SUBSTITUTE(C1430," ",""),3))&amp;"-"&amp;TEXT(B1430,"AAMMDD")&amp;"-"&amp;(COUNTIFS($C$5:C1430,C1430,$B$5:B1430,B1430,$I$5:I1430,"ENTRADA")))</f>
        <v/>
      </c>
    </row>
    <row r="1431" spans="1:20">
      <c r="A1431" s="22" t="s">
        <v>1508</v>
      </c>
      <c r="H1431" s="22" t="str">
        <f t="shared" si="33"/>
        <v/>
      </c>
      <c r="J1431" s="32"/>
      <c r="T1431" t="str">
        <f>IF(OR(C1431="",I1431&lt;&gt;"ENTRADA"),"",UPPER(LEFT(SUBSTITUTE(C1431," ",""),3))&amp;"-"&amp;TEXT(B1431,"AAMMDD")&amp;"-"&amp;(COUNTIFS($C$5:C1431,C1431,$B$5:B1431,B1431,$I$5:I1431,"ENTRADA")))</f>
        <v/>
      </c>
    </row>
    <row r="1432" spans="1:20">
      <c r="A1432" s="22" t="s">
        <v>1509</v>
      </c>
      <c r="H1432" s="22" t="str">
        <f t="shared" si="33"/>
        <v/>
      </c>
      <c r="J1432" s="32"/>
      <c r="T1432" t="str">
        <f>IF(OR(C1432="",I1432&lt;&gt;"ENTRADA"),"",UPPER(LEFT(SUBSTITUTE(C1432," ",""),3))&amp;"-"&amp;TEXT(B1432,"AAMMDD")&amp;"-"&amp;(COUNTIFS($C$5:C1432,C1432,$B$5:B1432,B1432,$I$5:I1432,"ENTRADA")))</f>
        <v/>
      </c>
    </row>
    <row r="1433" spans="1:20">
      <c r="A1433" s="22" t="s">
        <v>1510</v>
      </c>
      <c r="H1433" s="22" t="str">
        <f t="shared" si="33"/>
        <v/>
      </c>
      <c r="J1433" s="32"/>
      <c r="T1433" t="str">
        <f>IF(OR(C1433="",I1433&lt;&gt;"ENTRADA"),"",UPPER(LEFT(SUBSTITUTE(C1433," ",""),3))&amp;"-"&amp;TEXT(B1433,"AAMMDD")&amp;"-"&amp;(COUNTIFS($C$5:C1433,C1433,$B$5:B1433,B1433,$I$5:I1433,"ENTRADA")))</f>
        <v/>
      </c>
    </row>
    <row r="1434" spans="1:20">
      <c r="A1434" s="22" t="s">
        <v>1511</v>
      </c>
      <c r="H1434" s="22" t="str">
        <f t="shared" si="33"/>
        <v/>
      </c>
      <c r="J1434" s="32"/>
      <c r="T1434" t="str">
        <f>IF(OR(C1434="",I1434&lt;&gt;"ENTRADA"),"",UPPER(LEFT(SUBSTITUTE(C1434," ",""),3))&amp;"-"&amp;TEXT(B1434,"AAMMDD")&amp;"-"&amp;(COUNTIFS($C$5:C1434,C1434,$B$5:B1434,B1434,$I$5:I1434,"ENTRADA")))</f>
        <v/>
      </c>
    </row>
    <row r="1435" spans="1:20">
      <c r="A1435" s="22" t="s">
        <v>1512</v>
      </c>
      <c r="H1435" s="22" t="str">
        <f t="shared" si="33"/>
        <v/>
      </c>
      <c r="J1435" s="32"/>
      <c r="T1435" t="str">
        <f>IF(OR(C1435="",I1435&lt;&gt;"ENTRADA"),"",UPPER(LEFT(SUBSTITUTE(C1435," ",""),3))&amp;"-"&amp;TEXT(B1435,"AAMMDD")&amp;"-"&amp;(COUNTIFS($C$5:C1435,C1435,$B$5:B1435,B1435,$I$5:I1435,"ENTRADA")))</f>
        <v/>
      </c>
    </row>
    <row r="1436" spans="1:20">
      <c r="A1436" s="22" t="s">
        <v>1513</v>
      </c>
      <c r="H1436" s="22" t="str">
        <f t="shared" si="33"/>
        <v/>
      </c>
      <c r="J1436" s="32"/>
      <c r="T1436" t="str">
        <f>IF(OR(C1436="",I1436&lt;&gt;"ENTRADA"),"",UPPER(LEFT(SUBSTITUTE(C1436," ",""),3))&amp;"-"&amp;TEXT(B1436,"AAMMDD")&amp;"-"&amp;(COUNTIFS($C$5:C1436,C1436,$B$5:B1436,B1436,$I$5:I1436,"ENTRADA")))</f>
        <v/>
      </c>
    </row>
    <row r="1437" spans="1:20">
      <c r="A1437" s="22" t="s">
        <v>1514</v>
      </c>
      <c r="H1437" s="22" t="str">
        <f t="shared" si="33"/>
        <v/>
      </c>
      <c r="J1437" s="32"/>
      <c r="T1437" t="str">
        <f>IF(OR(C1437="",I1437&lt;&gt;"ENTRADA"),"",UPPER(LEFT(SUBSTITUTE(C1437," ",""),3))&amp;"-"&amp;TEXT(B1437,"AAMMDD")&amp;"-"&amp;(COUNTIFS($C$5:C1437,C1437,$B$5:B1437,B1437,$I$5:I1437,"ENTRADA")))</f>
        <v/>
      </c>
    </row>
    <row r="1438" spans="1:20">
      <c r="A1438" s="22" t="s">
        <v>1515</v>
      </c>
      <c r="H1438" s="22" t="str">
        <f t="shared" si="33"/>
        <v/>
      </c>
      <c r="J1438" s="32"/>
      <c r="T1438" t="str">
        <f>IF(OR(C1438="",I1438&lt;&gt;"ENTRADA"),"",UPPER(LEFT(SUBSTITUTE(C1438," ",""),3))&amp;"-"&amp;TEXT(B1438,"AAMMDD")&amp;"-"&amp;(COUNTIFS($C$5:C1438,C1438,$B$5:B1438,B1438,$I$5:I1438,"ENTRADA")))</f>
        <v/>
      </c>
    </row>
    <row r="1439" spans="1:20">
      <c r="A1439" s="22" t="s">
        <v>1516</v>
      </c>
      <c r="H1439" s="22" t="str">
        <f t="shared" si="33"/>
        <v/>
      </c>
      <c r="J1439" s="32"/>
      <c r="T1439" t="str">
        <f>IF(OR(C1439="",I1439&lt;&gt;"ENTRADA"),"",UPPER(LEFT(SUBSTITUTE(C1439," ",""),3))&amp;"-"&amp;TEXT(B1439,"AAMMDD")&amp;"-"&amp;(COUNTIFS($C$5:C1439,C1439,$B$5:B1439,B1439,$I$5:I1439,"ENTRADA")))</f>
        <v/>
      </c>
    </row>
    <row r="1440" spans="1:20">
      <c r="A1440" s="22" t="s">
        <v>1517</v>
      </c>
      <c r="H1440" s="22" t="str">
        <f t="shared" si="33"/>
        <v/>
      </c>
      <c r="J1440" s="32"/>
      <c r="T1440" t="str">
        <f>IF(OR(C1440="",I1440&lt;&gt;"ENTRADA"),"",UPPER(LEFT(SUBSTITUTE(C1440," ",""),3))&amp;"-"&amp;TEXT(B1440,"AAMMDD")&amp;"-"&amp;(COUNTIFS($C$5:C1440,C1440,$B$5:B1440,B1440,$I$5:I1440,"ENTRADA")))</f>
        <v/>
      </c>
    </row>
    <row r="1441" spans="1:20">
      <c r="A1441" s="22" t="s">
        <v>1518</v>
      </c>
      <c r="H1441" s="22" t="str">
        <f t="shared" si="33"/>
        <v/>
      </c>
      <c r="J1441" s="32"/>
      <c r="T1441" t="str">
        <f>IF(OR(C1441="",I1441&lt;&gt;"ENTRADA"),"",UPPER(LEFT(SUBSTITUTE(C1441," ",""),3))&amp;"-"&amp;TEXT(B1441,"AAMMDD")&amp;"-"&amp;(COUNTIFS($C$5:C1441,C1441,$B$5:B1441,B1441,$I$5:I1441,"ENTRADA")))</f>
        <v/>
      </c>
    </row>
    <row r="1442" spans="1:20">
      <c r="A1442" s="22" t="s">
        <v>1519</v>
      </c>
      <c r="H1442" s="22" t="str">
        <f t="shared" si="33"/>
        <v/>
      </c>
      <c r="J1442" s="32"/>
      <c r="T1442" t="str">
        <f>IF(OR(C1442="",I1442&lt;&gt;"ENTRADA"),"",UPPER(LEFT(SUBSTITUTE(C1442," ",""),3))&amp;"-"&amp;TEXT(B1442,"AAMMDD")&amp;"-"&amp;(COUNTIFS($C$5:C1442,C1442,$B$5:B1442,B1442,$I$5:I1442,"ENTRADA")))</f>
        <v/>
      </c>
    </row>
    <row r="1443" spans="1:20">
      <c r="A1443" s="22" t="s">
        <v>1520</v>
      </c>
      <c r="H1443" s="22" t="str">
        <f t="shared" si="33"/>
        <v/>
      </c>
      <c r="J1443" s="32"/>
      <c r="T1443" t="str">
        <f>IF(OR(C1443="",I1443&lt;&gt;"ENTRADA"),"",UPPER(LEFT(SUBSTITUTE(C1443," ",""),3))&amp;"-"&amp;TEXT(B1443,"AAMMDD")&amp;"-"&amp;(COUNTIFS($C$5:C1443,C1443,$B$5:B1443,B1443,$I$5:I1443,"ENTRADA")))</f>
        <v/>
      </c>
    </row>
    <row r="1444" spans="1:20">
      <c r="A1444" s="22" t="s">
        <v>1521</v>
      </c>
      <c r="H1444" s="22" t="str">
        <f t="shared" si="33"/>
        <v/>
      </c>
      <c r="J1444" s="32"/>
      <c r="T1444" t="str">
        <f>IF(OR(C1444="",I1444&lt;&gt;"ENTRADA"),"",UPPER(LEFT(SUBSTITUTE(C1444," ",""),3))&amp;"-"&amp;TEXT(B1444,"AAMMDD")&amp;"-"&amp;(COUNTIFS($C$5:C1444,C1444,$B$5:B1444,B1444,$I$5:I1444,"ENTRADA")))</f>
        <v/>
      </c>
    </row>
    <row r="1445" spans="1:20">
      <c r="A1445" s="22" t="s">
        <v>1522</v>
      </c>
      <c r="H1445" s="22" t="str">
        <f t="shared" si="33"/>
        <v/>
      </c>
      <c r="J1445" s="32"/>
      <c r="T1445" t="str">
        <f>IF(OR(C1445="",I1445&lt;&gt;"ENTRADA"),"",UPPER(LEFT(SUBSTITUTE(C1445," ",""),3))&amp;"-"&amp;TEXT(B1445,"AAMMDD")&amp;"-"&amp;(COUNTIFS($C$5:C1445,C1445,$B$5:B1445,B1445,$I$5:I1445,"ENTRADA")))</f>
        <v/>
      </c>
    </row>
    <row r="1446" spans="1:20">
      <c r="A1446" s="22" t="s">
        <v>1523</v>
      </c>
      <c r="H1446" s="22" t="str">
        <f t="shared" si="33"/>
        <v/>
      </c>
      <c r="J1446" s="32"/>
      <c r="T1446" t="str">
        <f>IF(OR(C1446="",I1446&lt;&gt;"ENTRADA"),"",UPPER(LEFT(SUBSTITUTE(C1446," ",""),3))&amp;"-"&amp;TEXT(B1446,"AAMMDD")&amp;"-"&amp;(COUNTIFS($C$5:C1446,C1446,$B$5:B1446,B1446,$I$5:I1446,"ENTRADA")))</f>
        <v/>
      </c>
    </row>
    <row r="1447" spans="1:20">
      <c r="A1447" s="22" t="s">
        <v>1524</v>
      </c>
      <c r="H1447" s="22" t="str">
        <f t="shared" si="33"/>
        <v/>
      </c>
      <c r="J1447" s="32"/>
      <c r="T1447" t="str">
        <f>IF(OR(C1447="",I1447&lt;&gt;"ENTRADA"),"",UPPER(LEFT(SUBSTITUTE(C1447," ",""),3))&amp;"-"&amp;TEXT(B1447,"AAMMDD")&amp;"-"&amp;(COUNTIFS($C$5:C1447,C1447,$B$5:B1447,B1447,$I$5:I1447,"ENTRADA")))</f>
        <v/>
      </c>
    </row>
    <row r="1448" spans="1:20">
      <c r="A1448" s="22" t="s">
        <v>1525</v>
      </c>
      <c r="H1448" s="22" t="str">
        <f t="shared" si="33"/>
        <v/>
      </c>
      <c r="J1448" s="32"/>
      <c r="T1448" t="str">
        <f>IF(OR(C1448="",I1448&lt;&gt;"ENTRADA"),"",UPPER(LEFT(SUBSTITUTE(C1448," ",""),3))&amp;"-"&amp;TEXT(B1448,"AAMMDD")&amp;"-"&amp;(COUNTIFS($C$5:C1448,C1448,$B$5:B1448,B1448,$I$5:I1448,"ENTRADA")))</f>
        <v/>
      </c>
    </row>
    <row r="1449" spans="1:20">
      <c r="A1449" s="22" t="s">
        <v>1526</v>
      </c>
      <c r="H1449" s="22" t="str">
        <f t="shared" si="33"/>
        <v/>
      </c>
      <c r="J1449" s="32"/>
      <c r="T1449" t="str">
        <f>IF(OR(C1449="",I1449&lt;&gt;"ENTRADA"),"",UPPER(LEFT(SUBSTITUTE(C1449," ",""),3))&amp;"-"&amp;TEXT(B1449,"AAMMDD")&amp;"-"&amp;(COUNTIFS($C$5:C1449,C1449,$B$5:B1449,B1449,$I$5:I1449,"ENTRADA")))</f>
        <v/>
      </c>
    </row>
    <row r="1450" spans="1:20">
      <c r="A1450" s="22" t="s">
        <v>1527</v>
      </c>
      <c r="H1450" s="22" t="str">
        <f t="shared" si="33"/>
        <v/>
      </c>
      <c r="J1450" s="32"/>
      <c r="T1450" t="str">
        <f>IF(OR(C1450="",I1450&lt;&gt;"ENTRADA"),"",UPPER(LEFT(SUBSTITUTE(C1450," ",""),3))&amp;"-"&amp;TEXT(B1450,"AAMMDD")&amp;"-"&amp;(COUNTIFS($C$5:C1450,C1450,$B$5:B1450,B1450,$I$5:I1450,"ENTRADA")))</f>
        <v/>
      </c>
    </row>
    <row r="1451" spans="1:20">
      <c r="A1451" s="22" t="s">
        <v>1528</v>
      </c>
      <c r="H1451" s="22" t="str">
        <f t="shared" si="33"/>
        <v/>
      </c>
      <c r="J1451" s="32"/>
      <c r="T1451" t="str">
        <f>IF(OR(C1451="",I1451&lt;&gt;"ENTRADA"),"",UPPER(LEFT(SUBSTITUTE(C1451," ",""),3))&amp;"-"&amp;TEXT(B1451,"AAMMDD")&amp;"-"&amp;(COUNTIFS($C$5:C1451,C1451,$B$5:B1451,B1451,$I$5:I1451,"ENTRADA")))</f>
        <v/>
      </c>
    </row>
    <row r="1452" spans="1:20">
      <c r="A1452" s="22" t="s">
        <v>1529</v>
      </c>
      <c r="H1452" s="22" t="str">
        <f t="shared" si="33"/>
        <v/>
      </c>
      <c r="J1452" s="32"/>
      <c r="T1452" t="str">
        <f>IF(OR(C1452="",I1452&lt;&gt;"ENTRADA"),"",UPPER(LEFT(SUBSTITUTE(C1452," ",""),3))&amp;"-"&amp;TEXT(B1452,"AAMMDD")&amp;"-"&amp;(COUNTIFS($C$5:C1452,C1452,$B$5:B1452,B1452,$I$5:I1452,"ENTRADA")))</f>
        <v/>
      </c>
    </row>
    <row r="1453" spans="1:20">
      <c r="A1453" s="22" t="s">
        <v>1530</v>
      </c>
      <c r="H1453" s="22" t="str">
        <f t="shared" si="33"/>
        <v/>
      </c>
      <c r="J1453" s="32"/>
      <c r="T1453" t="str">
        <f>IF(OR(C1453="",I1453&lt;&gt;"ENTRADA"),"",UPPER(LEFT(SUBSTITUTE(C1453," ",""),3))&amp;"-"&amp;TEXT(B1453,"AAMMDD")&amp;"-"&amp;(COUNTIFS($C$5:C1453,C1453,$B$5:B1453,B1453,$I$5:I1453,"ENTRADA")))</f>
        <v/>
      </c>
    </row>
    <row r="1454" spans="1:20">
      <c r="A1454" s="22" t="s">
        <v>1531</v>
      </c>
      <c r="H1454" s="22" t="str">
        <f t="shared" si="33"/>
        <v/>
      </c>
      <c r="J1454" s="32"/>
      <c r="T1454" t="str">
        <f>IF(OR(C1454="",I1454&lt;&gt;"ENTRADA"),"",UPPER(LEFT(SUBSTITUTE(C1454," ",""),3))&amp;"-"&amp;TEXT(B1454,"AAMMDD")&amp;"-"&amp;(COUNTIFS($C$5:C1454,C1454,$B$5:B1454,B1454,$I$5:I1454,"ENTRADA")))</f>
        <v/>
      </c>
    </row>
    <row r="1455" spans="1:20">
      <c r="A1455" s="22" t="s">
        <v>1532</v>
      </c>
      <c r="H1455" s="22" t="str">
        <f t="shared" si="33"/>
        <v/>
      </c>
      <c r="J1455" s="32"/>
      <c r="T1455" t="str">
        <f>IF(OR(C1455="",I1455&lt;&gt;"ENTRADA"),"",UPPER(LEFT(SUBSTITUTE(C1455," ",""),3))&amp;"-"&amp;TEXT(B1455,"AAMMDD")&amp;"-"&amp;(COUNTIFS($C$5:C1455,C1455,$B$5:B1455,B1455,$I$5:I1455,"ENTRADA")))</f>
        <v/>
      </c>
    </row>
    <row r="1456" spans="1:20">
      <c r="A1456" s="22" t="s">
        <v>1533</v>
      </c>
      <c r="H1456" s="22" t="str">
        <f t="shared" si="33"/>
        <v/>
      </c>
      <c r="J1456" s="32"/>
      <c r="T1456" t="str">
        <f>IF(OR(C1456="",I1456&lt;&gt;"ENTRADA"),"",UPPER(LEFT(SUBSTITUTE(C1456," ",""),3))&amp;"-"&amp;TEXT(B1456,"AAMMDD")&amp;"-"&amp;(COUNTIFS($C$5:C1456,C1456,$B$5:B1456,B1456,$I$5:I1456,"ENTRADA")))</f>
        <v/>
      </c>
    </row>
    <row r="1457" spans="1:20">
      <c r="A1457" s="22" t="s">
        <v>1534</v>
      </c>
      <c r="H1457" s="22" t="str">
        <f t="shared" si="33"/>
        <v/>
      </c>
      <c r="J1457" s="32"/>
      <c r="T1457" t="str">
        <f>IF(OR(C1457="",I1457&lt;&gt;"ENTRADA"),"",UPPER(LEFT(SUBSTITUTE(C1457," ",""),3))&amp;"-"&amp;TEXT(B1457,"AAMMDD")&amp;"-"&amp;(COUNTIFS($C$5:C1457,C1457,$B$5:B1457,B1457,$I$5:I1457,"ENTRADA")))</f>
        <v/>
      </c>
    </row>
    <row r="1458" spans="1:20">
      <c r="A1458" s="22" t="s">
        <v>1535</v>
      </c>
      <c r="H1458" s="22" t="str">
        <f t="shared" si="33"/>
        <v/>
      </c>
      <c r="J1458" s="32"/>
      <c r="T1458" t="str">
        <f>IF(OR(C1458="",I1458&lt;&gt;"ENTRADA"),"",UPPER(LEFT(SUBSTITUTE(C1458," ",""),3))&amp;"-"&amp;TEXT(B1458,"AAMMDD")&amp;"-"&amp;(COUNTIFS($C$5:C1458,C1458,$B$5:B1458,B1458,$I$5:I1458,"ENTRADA")))</f>
        <v/>
      </c>
    </row>
    <row r="1459" spans="1:20">
      <c r="A1459" s="22" t="s">
        <v>1536</v>
      </c>
      <c r="H1459" s="22" t="str">
        <f t="shared" si="33"/>
        <v/>
      </c>
      <c r="J1459" s="32"/>
      <c r="T1459" t="str">
        <f>IF(OR(C1459="",I1459&lt;&gt;"ENTRADA"),"",UPPER(LEFT(SUBSTITUTE(C1459," ",""),3))&amp;"-"&amp;TEXT(B1459,"AAMMDD")&amp;"-"&amp;(COUNTIFS($C$5:C1459,C1459,$B$5:B1459,B1459,$I$5:I1459,"ENTRADA")))</f>
        <v/>
      </c>
    </row>
    <row r="1460" spans="1:20">
      <c r="A1460" s="22" t="s">
        <v>1537</v>
      </c>
      <c r="H1460" s="22" t="str">
        <f t="shared" si="33"/>
        <v/>
      </c>
      <c r="J1460" s="32"/>
      <c r="T1460" t="str">
        <f>IF(OR(C1460="",I1460&lt;&gt;"ENTRADA"),"",UPPER(LEFT(SUBSTITUTE(C1460," ",""),3))&amp;"-"&amp;TEXT(B1460,"AAMMDD")&amp;"-"&amp;(COUNTIFS($C$5:C1460,C1460,$B$5:B1460,B1460,$I$5:I1460,"ENTRADA")))</f>
        <v/>
      </c>
    </row>
    <row r="1461" spans="1:20">
      <c r="A1461" s="22" t="s">
        <v>1538</v>
      </c>
      <c r="H1461" s="22" t="str">
        <f t="shared" si="33"/>
        <v/>
      </c>
      <c r="J1461" s="32"/>
      <c r="T1461" t="str">
        <f>IF(OR(C1461="",I1461&lt;&gt;"ENTRADA"),"",UPPER(LEFT(SUBSTITUTE(C1461," ",""),3))&amp;"-"&amp;TEXT(B1461,"AAMMDD")&amp;"-"&amp;(COUNTIFS($C$5:C1461,C1461,$B$5:B1461,B1461,$I$5:I1461,"ENTRADA")))</f>
        <v/>
      </c>
    </row>
    <row r="1462" spans="1:20">
      <c r="A1462" s="22" t="s">
        <v>1539</v>
      </c>
      <c r="H1462" s="22" t="str">
        <f t="shared" si="33"/>
        <v/>
      </c>
      <c r="J1462" s="32"/>
      <c r="T1462" t="str">
        <f>IF(OR(C1462="",I1462&lt;&gt;"ENTRADA"),"",UPPER(LEFT(SUBSTITUTE(C1462," ",""),3))&amp;"-"&amp;TEXT(B1462,"AAMMDD")&amp;"-"&amp;(COUNTIFS($C$5:C1462,C1462,$B$5:B1462,B1462,$I$5:I1462,"ENTRADA")))</f>
        <v/>
      </c>
    </row>
    <row r="1463" spans="1:20">
      <c r="A1463" s="22" t="s">
        <v>1540</v>
      </c>
      <c r="H1463" s="22" t="str">
        <f t="shared" si="33"/>
        <v/>
      </c>
      <c r="J1463" s="32"/>
      <c r="T1463" t="str">
        <f>IF(OR(C1463="",I1463&lt;&gt;"ENTRADA"),"",UPPER(LEFT(SUBSTITUTE(C1463," ",""),3))&amp;"-"&amp;TEXT(B1463,"AAMMDD")&amp;"-"&amp;(COUNTIFS($C$5:C1463,C1463,$B$5:B1463,B1463,$I$5:I1463,"ENTRADA")))</f>
        <v/>
      </c>
    </row>
    <row r="1464" spans="1:20">
      <c r="A1464" s="22" t="s">
        <v>1541</v>
      </c>
      <c r="H1464" s="22" t="str">
        <f t="shared" si="33"/>
        <v/>
      </c>
      <c r="J1464" s="32"/>
      <c r="T1464" t="str">
        <f>IF(OR(C1464="",I1464&lt;&gt;"ENTRADA"),"",UPPER(LEFT(SUBSTITUTE(C1464," ",""),3))&amp;"-"&amp;TEXT(B1464,"AAMMDD")&amp;"-"&amp;(COUNTIFS($C$5:C1464,C1464,$B$5:B1464,B1464,$I$5:I1464,"ENTRADA")))</f>
        <v/>
      </c>
    </row>
    <row r="1465" spans="1:20">
      <c r="A1465" s="22" t="s">
        <v>1542</v>
      </c>
      <c r="H1465" s="22" t="str">
        <f t="shared" si="33"/>
        <v/>
      </c>
      <c r="J1465" s="32"/>
      <c r="T1465" t="str">
        <f>IF(OR(C1465="",I1465&lt;&gt;"ENTRADA"),"",UPPER(LEFT(SUBSTITUTE(C1465," ",""),3))&amp;"-"&amp;TEXT(B1465,"AAMMDD")&amp;"-"&amp;(COUNTIFS($C$5:C1465,C1465,$B$5:B1465,B1465,$I$5:I1465,"ENTRADA")))</f>
        <v/>
      </c>
    </row>
    <row r="1466" spans="1:20">
      <c r="A1466" s="22" t="s">
        <v>1543</v>
      </c>
      <c r="H1466" s="22" t="str">
        <f t="shared" si="33"/>
        <v/>
      </c>
      <c r="J1466" s="32"/>
      <c r="T1466" t="str">
        <f>IF(OR(C1466="",I1466&lt;&gt;"ENTRADA"),"",UPPER(LEFT(SUBSTITUTE(C1466," ",""),3))&amp;"-"&amp;TEXT(B1466,"AAMMDD")&amp;"-"&amp;(COUNTIFS($C$5:C1466,C1466,$B$5:B1466,B1466,$I$5:I1466,"ENTRADA")))</f>
        <v/>
      </c>
    </row>
    <row r="1467" spans="1:20">
      <c r="A1467" s="22" t="s">
        <v>1544</v>
      </c>
      <c r="H1467" s="22" t="str">
        <f t="shared" si="33"/>
        <v/>
      </c>
      <c r="J1467" s="32"/>
      <c r="T1467" t="str">
        <f>IF(OR(C1467="",I1467&lt;&gt;"ENTRADA"),"",UPPER(LEFT(SUBSTITUTE(C1467," ",""),3))&amp;"-"&amp;TEXT(B1467,"AAMMDD")&amp;"-"&amp;(COUNTIFS($C$5:C1467,C1467,$B$5:B1467,B1467,$I$5:I1467,"ENTRADA")))</f>
        <v/>
      </c>
    </row>
    <row r="1468" spans="1:20">
      <c r="A1468" s="22" t="s">
        <v>1545</v>
      </c>
      <c r="H1468" s="22" t="str">
        <f t="shared" si="33"/>
        <v/>
      </c>
      <c r="J1468" s="32"/>
      <c r="T1468" t="str">
        <f>IF(OR(C1468="",I1468&lt;&gt;"ENTRADA"),"",UPPER(LEFT(SUBSTITUTE(C1468," ",""),3))&amp;"-"&amp;TEXT(B1468,"AAMMDD")&amp;"-"&amp;(COUNTIFS($C$5:C1468,C1468,$B$5:B1468,B1468,$I$5:I1468,"ENTRADA")))</f>
        <v/>
      </c>
    </row>
    <row r="1469" spans="1:20">
      <c r="A1469" s="22" t="s">
        <v>1546</v>
      </c>
      <c r="H1469" s="22" t="str">
        <f t="shared" si="33"/>
        <v/>
      </c>
      <c r="J1469" s="32"/>
      <c r="T1469" t="str">
        <f>IF(OR(C1469="",I1469&lt;&gt;"ENTRADA"),"",UPPER(LEFT(SUBSTITUTE(C1469," ",""),3))&amp;"-"&amp;TEXT(B1469,"AAMMDD")&amp;"-"&amp;(COUNTIFS($C$5:C1469,C1469,$B$5:B1469,B1469,$I$5:I1469,"ENTRADA")))</f>
        <v/>
      </c>
    </row>
    <row r="1470" spans="1:20">
      <c r="A1470" s="22" t="s">
        <v>1547</v>
      </c>
      <c r="H1470" s="22" t="str">
        <f t="shared" si="33"/>
        <v/>
      </c>
      <c r="J1470" s="32"/>
      <c r="T1470" t="str">
        <f>IF(OR(C1470="",I1470&lt;&gt;"ENTRADA"),"",UPPER(LEFT(SUBSTITUTE(C1470," ",""),3))&amp;"-"&amp;TEXT(B1470,"AAMMDD")&amp;"-"&amp;(COUNTIFS($C$5:C1470,C1470,$B$5:B1470,B1470,$I$5:I1470,"ENTRADA")))</f>
        <v/>
      </c>
    </row>
    <row r="1471" spans="1:20">
      <c r="A1471" s="22" t="s">
        <v>1548</v>
      </c>
      <c r="H1471" s="22" t="str">
        <f t="shared" si="33"/>
        <v/>
      </c>
      <c r="J1471" s="32"/>
      <c r="T1471" t="str">
        <f>IF(OR(C1471="",I1471&lt;&gt;"ENTRADA"),"",UPPER(LEFT(SUBSTITUTE(C1471," ",""),3))&amp;"-"&amp;TEXT(B1471,"AAMMDD")&amp;"-"&amp;(COUNTIFS($C$5:C1471,C1471,$B$5:B1471,B1471,$I$5:I1471,"ENTRADA")))</f>
        <v/>
      </c>
    </row>
    <row r="1472" spans="1:20">
      <c r="A1472" s="22" t="s">
        <v>1549</v>
      </c>
      <c r="H1472" s="22" t="str">
        <f t="shared" si="33"/>
        <v/>
      </c>
      <c r="J1472" s="32"/>
      <c r="T1472" t="str">
        <f>IF(OR(C1472="",I1472&lt;&gt;"ENTRADA"),"",UPPER(LEFT(SUBSTITUTE(C1472," ",""),3))&amp;"-"&amp;TEXT(B1472,"AAMMDD")&amp;"-"&amp;(COUNTIFS($C$5:C1472,C1472,$B$5:B1472,B1472,$I$5:I1472,"ENTRADA")))</f>
        <v/>
      </c>
    </row>
    <row r="1473" spans="1:20">
      <c r="A1473" s="22" t="s">
        <v>1550</v>
      </c>
      <c r="H1473" s="22" t="str">
        <f t="shared" si="33"/>
        <v/>
      </c>
      <c r="J1473" s="32"/>
      <c r="T1473" t="str">
        <f>IF(OR(C1473="",I1473&lt;&gt;"ENTRADA"),"",UPPER(LEFT(SUBSTITUTE(C1473," ",""),3))&amp;"-"&amp;TEXT(B1473,"AAMMDD")&amp;"-"&amp;(COUNTIFS($C$5:C1473,C1473,$B$5:B1473,B1473,$I$5:I1473,"ENTRADA")))</f>
        <v/>
      </c>
    </row>
    <row r="1474" spans="1:20">
      <c r="A1474" s="22" t="s">
        <v>1551</v>
      </c>
      <c r="H1474" s="22" t="str">
        <f t="shared" si="33"/>
        <v/>
      </c>
      <c r="J1474" s="32"/>
      <c r="T1474" t="str">
        <f>IF(OR(C1474="",I1474&lt;&gt;"ENTRADA"),"",UPPER(LEFT(SUBSTITUTE(C1474," ",""),3))&amp;"-"&amp;TEXT(B1474,"AAMMDD")&amp;"-"&amp;(COUNTIFS($C$5:C1474,C1474,$B$5:B1474,B1474,$I$5:I1474,"ENTRADA")))</f>
        <v/>
      </c>
    </row>
    <row r="1475" spans="1:20">
      <c r="A1475" s="22" t="s">
        <v>1552</v>
      </c>
      <c r="H1475" s="22" t="str">
        <f t="shared" si="33"/>
        <v/>
      </c>
      <c r="J1475" s="32"/>
      <c r="T1475" t="str">
        <f>IF(OR(C1475="",I1475&lt;&gt;"ENTRADA"),"",UPPER(LEFT(SUBSTITUTE(C1475," ",""),3))&amp;"-"&amp;TEXT(B1475,"AAMMDD")&amp;"-"&amp;(COUNTIFS($C$5:C1475,C1475,$B$5:B1475,B1475,$I$5:I1475,"ENTRADA")))</f>
        <v/>
      </c>
    </row>
    <row r="1476" spans="1:20">
      <c r="A1476" s="22" t="s">
        <v>1553</v>
      </c>
      <c r="H1476" s="22" t="str">
        <f t="shared" si="33"/>
        <v/>
      </c>
      <c r="J1476" s="32"/>
      <c r="T1476" t="str">
        <f>IF(OR(C1476="",I1476&lt;&gt;"ENTRADA"),"",UPPER(LEFT(SUBSTITUTE(C1476," ",""),3))&amp;"-"&amp;TEXT(B1476,"AAMMDD")&amp;"-"&amp;(COUNTIFS($C$5:C1476,C1476,$B$5:B1476,B1476,$I$5:I1476,"ENTRADA")))</f>
        <v/>
      </c>
    </row>
    <row r="1477" spans="1:20">
      <c r="A1477" s="22" t="s">
        <v>1554</v>
      </c>
      <c r="H1477" s="22" t="str">
        <f t="shared" si="33"/>
        <v/>
      </c>
      <c r="J1477" s="32"/>
      <c r="T1477" t="str">
        <f>IF(OR(C1477="",I1477&lt;&gt;"ENTRADA"),"",UPPER(LEFT(SUBSTITUTE(C1477," ",""),3))&amp;"-"&amp;TEXT(B1477,"AAMMDD")&amp;"-"&amp;(COUNTIFS($C$5:C1477,C1477,$B$5:B1477,B1477,$I$5:I1477,"ENTRADA")))</f>
        <v/>
      </c>
    </row>
    <row r="1478" spans="1:20">
      <c r="A1478" s="22" t="s">
        <v>1555</v>
      </c>
      <c r="H1478" s="22" t="str">
        <f t="shared" si="33"/>
        <v/>
      </c>
      <c r="J1478" s="32"/>
      <c r="T1478" t="str">
        <f>IF(OR(C1478="",I1478&lt;&gt;"ENTRADA"),"",UPPER(LEFT(SUBSTITUTE(C1478," ",""),3))&amp;"-"&amp;TEXT(B1478,"AAMMDD")&amp;"-"&amp;(COUNTIFS($C$5:C1478,C1478,$B$5:B1478,B1478,$I$5:I1478,"ENTRADA")))</f>
        <v/>
      </c>
    </row>
    <row r="1479" spans="1:20">
      <c r="A1479" s="22" t="s">
        <v>1556</v>
      </c>
      <c r="H1479" s="22" t="str">
        <f t="shared" si="33"/>
        <v/>
      </c>
      <c r="J1479" s="32"/>
      <c r="T1479" t="str">
        <f>IF(OR(C1479="",I1479&lt;&gt;"ENTRADA"),"",UPPER(LEFT(SUBSTITUTE(C1479," ",""),3))&amp;"-"&amp;TEXT(B1479,"AAMMDD")&amp;"-"&amp;(COUNTIFS($C$5:C1479,C1479,$B$5:B1479,B1479,$I$5:I1479,"ENTRADA")))</f>
        <v/>
      </c>
    </row>
    <row r="1480" spans="1:20">
      <c r="A1480" s="22" t="s">
        <v>1557</v>
      </c>
      <c r="H1480" s="22" t="str">
        <f t="shared" si="33"/>
        <v/>
      </c>
      <c r="J1480" s="32"/>
      <c r="T1480" t="str">
        <f>IF(OR(C1480="",I1480&lt;&gt;"ENTRADA"),"",UPPER(LEFT(SUBSTITUTE(C1480," ",""),3))&amp;"-"&amp;TEXT(B1480,"AAMMDD")&amp;"-"&amp;(COUNTIFS($C$5:C1480,C1480,$B$5:B1480,B1480,$I$5:I1480,"ENTRADA")))</f>
        <v/>
      </c>
    </row>
    <row r="1481" spans="1:20">
      <c r="A1481" s="22" t="s">
        <v>1558</v>
      </c>
      <c r="H1481" s="22" t="str">
        <f t="shared" si="33"/>
        <v/>
      </c>
      <c r="J1481" s="32"/>
      <c r="T1481" t="str">
        <f>IF(OR(C1481="",I1481&lt;&gt;"ENTRADA"),"",UPPER(LEFT(SUBSTITUTE(C1481," ",""),3))&amp;"-"&amp;TEXT(B1481,"AAMMDD")&amp;"-"&amp;(COUNTIFS($C$5:C1481,C1481,$B$5:B1481,B1481,$I$5:I1481,"ENTRADA")))</f>
        <v/>
      </c>
    </row>
    <row r="1482" spans="1:20">
      <c r="A1482" s="22" t="s">
        <v>1559</v>
      </c>
      <c r="H1482" s="22" t="str">
        <f t="shared" si="33"/>
        <v/>
      </c>
      <c r="J1482" s="32"/>
      <c r="T1482" t="str">
        <f>IF(OR(C1482="",I1482&lt;&gt;"ENTRADA"),"",UPPER(LEFT(SUBSTITUTE(C1482," ",""),3))&amp;"-"&amp;TEXT(B1482,"AAMMDD")&amp;"-"&amp;(COUNTIFS($C$5:C1482,C1482,$B$5:B1482,B1482,$I$5:I1482,"ENTRADA")))</f>
        <v/>
      </c>
    </row>
    <row r="1483" spans="1:20">
      <c r="A1483" s="22" t="s">
        <v>1560</v>
      </c>
      <c r="H1483" s="22" t="str">
        <f t="shared" si="33"/>
        <v/>
      </c>
      <c r="J1483" s="32"/>
      <c r="T1483" t="str">
        <f>IF(OR(C1483="",I1483&lt;&gt;"ENTRADA"),"",UPPER(LEFT(SUBSTITUTE(C1483," ",""),3))&amp;"-"&amp;TEXT(B1483,"AAMMDD")&amp;"-"&amp;(COUNTIFS($C$5:C1483,C1483,$B$5:B1483,B1483,$I$5:I1483,"ENTRADA")))</f>
        <v/>
      </c>
    </row>
    <row r="1484" spans="1:20">
      <c r="A1484" s="22" t="s">
        <v>1561</v>
      </c>
      <c r="H1484" s="22" t="str">
        <f t="shared" si="33"/>
        <v/>
      </c>
      <c r="J1484" s="32"/>
      <c r="T1484" t="str">
        <f>IF(OR(C1484="",I1484&lt;&gt;"ENTRADA"),"",UPPER(LEFT(SUBSTITUTE(C1484," ",""),3))&amp;"-"&amp;TEXT(B1484,"AAMMDD")&amp;"-"&amp;(COUNTIFS($C$5:C1484,C1484,$B$5:B1484,B1484,$I$5:I1484,"ENTRADA")))</f>
        <v/>
      </c>
    </row>
    <row r="1485" spans="1:20">
      <c r="A1485" s="22" t="s">
        <v>1562</v>
      </c>
      <c r="H1485" s="22" t="str">
        <f t="shared" si="33"/>
        <v/>
      </c>
      <c r="J1485" s="32"/>
      <c r="T1485" t="str">
        <f>IF(OR(C1485="",I1485&lt;&gt;"ENTRADA"),"",UPPER(LEFT(SUBSTITUTE(C1485," ",""),3))&amp;"-"&amp;TEXT(B1485,"AAMMDD")&amp;"-"&amp;(COUNTIFS($C$5:C1485,C1485,$B$5:B1485,B1485,$I$5:I1485,"ENTRADA")))</f>
        <v/>
      </c>
    </row>
    <row r="1486" spans="1:20">
      <c r="A1486" s="22" t="s">
        <v>1563</v>
      </c>
      <c r="H1486" s="22" t="str">
        <f t="shared" si="33"/>
        <v/>
      </c>
      <c r="J1486" s="32"/>
      <c r="T1486" t="str">
        <f>IF(OR(C1486="",I1486&lt;&gt;"ENTRADA"),"",UPPER(LEFT(SUBSTITUTE(C1486," ",""),3))&amp;"-"&amp;TEXT(B1486,"AAMMDD")&amp;"-"&amp;(COUNTIFS($C$5:C1486,C1486,$B$5:B1486,B1486,$I$5:I1486,"ENTRADA")))</f>
        <v/>
      </c>
    </row>
    <row r="1487" spans="1:20">
      <c r="A1487" s="22" t="s">
        <v>1564</v>
      </c>
      <c r="H1487" s="22" t="str">
        <f t="shared" si="33"/>
        <v/>
      </c>
      <c r="J1487" s="32"/>
      <c r="T1487" t="str">
        <f>IF(OR(C1487="",I1487&lt;&gt;"ENTRADA"),"",UPPER(LEFT(SUBSTITUTE(C1487," ",""),3))&amp;"-"&amp;TEXT(B1487,"AAMMDD")&amp;"-"&amp;(COUNTIFS($C$5:C1487,C1487,$B$5:B1487,B1487,$I$5:I1487,"ENTRADA")))</f>
        <v/>
      </c>
    </row>
    <row r="1488" spans="1:20">
      <c r="A1488" s="22" t="s">
        <v>1565</v>
      </c>
      <c r="H1488" s="22" t="str">
        <f t="shared" ref="H1488:H1551" si="34">+T1488</f>
        <v/>
      </c>
      <c r="J1488" s="32"/>
      <c r="T1488" t="str">
        <f>IF(OR(C1488="",I1488&lt;&gt;"ENTRADA"),"",UPPER(LEFT(SUBSTITUTE(C1488," ",""),3))&amp;"-"&amp;TEXT(B1488,"AAMMDD")&amp;"-"&amp;(COUNTIFS($C$5:C1488,C1488,$B$5:B1488,B1488,$I$5:I1488,"ENTRADA")))</f>
        <v/>
      </c>
    </row>
    <row r="1489" spans="1:20">
      <c r="A1489" s="22" t="s">
        <v>1566</v>
      </c>
      <c r="H1489" s="22" t="str">
        <f t="shared" si="34"/>
        <v/>
      </c>
      <c r="J1489" s="32"/>
      <c r="T1489" t="str">
        <f>IF(OR(C1489="",I1489&lt;&gt;"ENTRADA"),"",UPPER(LEFT(SUBSTITUTE(C1489," ",""),3))&amp;"-"&amp;TEXT(B1489,"AAMMDD")&amp;"-"&amp;(COUNTIFS($C$5:C1489,C1489,$B$5:B1489,B1489,$I$5:I1489,"ENTRADA")))</f>
        <v/>
      </c>
    </row>
    <row r="1490" spans="1:20">
      <c r="A1490" s="22" t="s">
        <v>1567</v>
      </c>
      <c r="H1490" s="22" t="str">
        <f t="shared" si="34"/>
        <v/>
      </c>
      <c r="J1490" s="32"/>
      <c r="T1490" t="str">
        <f>IF(OR(C1490="",I1490&lt;&gt;"ENTRADA"),"",UPPER(LEFT(SUBSTITUTE(C1490," ",""),3))&amp;"-"&amp;TEXT(B1490,"AAMMDD")&amp;"-"&amp;(COUNTIFS($C$5:C1490,C1490,$B$5:B1490,B1490,$I$5:I1490,"ENTRADA")))</f>
        <v/>
      </c>
    </row>
    <row r="1491" spans="1:20">
      <c r="A1491" s="22" t="s">
        <v>1568</v>
      </c>
      <c r="H1491" s="22" t="str">
        <f t="shared" si="34"/>
        <v/>
      </c>
      <c r="J1491" s="32"/>
      <c r="T1491" t="str">
        <f>IF(OR(C1491="",I1491&lt;&gt;"ENTRADA"),"",UPPER(LEFT(SUBSTITUTE(C1491," ",""),3))&amp;"-"&amp;TEXT(B1491,"AAMMDD")&amp;"-"&amp;(COUNTIFS($C$5:C1491,C1491,$B$5:B1491,B1491,$I$5:I1491,"ENTRADA")))</f>
        <v/>
      </c>
    </row>
    <row r="1492" spans="1:20">
      <c r="A1492" s="22" t="s">
        <v>1569</v>
      </c>
      <c r="H1492" s="22" t="str">
        <f t="shared" si="34"/>
        <v/>
      </c>
      <c r="J1492" s="32"/>
      <c r="T1492" t="str">
        <f>IF(OR(C1492="",I1492&lt;&gt;"ENTRADA"),"",UPPER(LEFT(SUBSTITUTE(C1492," ",""),3))&amp;"-"&amp;TEXT(B1492,"AAMMDD")&amp;"-"&amp;(COUNTIFS($C$5:C1492,C1492,$B$5:B1492,B1492,$I$5:I1492,"ENTRADA")))</f>
        <v/>
      </c>
    </row>
    <row r="1493" spans="1:20">
      <c r="A1493" s="22" t="s">
        <v>1570</v>
      </c>
      <c r="H1493" s="22" t="str">
        <f t="shared" si="34"/>
        <v/>
      </c>
      <c r="J1493" s="32"/>
      <c r="T1493" t="str">
        <f>IF(OR(C1493="",I1493&lt;&gt;"ENTRADA"),"",UPPER(LEFT(SUBSTITUTE(C1493," ",""),3))&amp;"-"&amp;TEXT(B1493,"AAMMDD")&amp;"-"&amp;(COUNTIFS($C$5:C1493,C1493,$B$5:B1493,B1493,$I$5:I1493,"ENTRADA")))</f>
        <v/>
      </c>
    </row>
    <row r="1494" spans="1:20">
      <c r="A1494" s="22" t="s">
        <v>1571</v>
      </c>
      <c r="H1494" s="22" t="str">
        <f t="shared" si="34"/>
        <v/>
      </c>
      <c r="J1494" s="32"/>
      <c r="T1494" t="str">
        <f>IF(OR(C1494="",I1494&lt;&gt;"ENTRADA"),"",UPPER(LEFT(SUBSTITUTE(C1494," ",""),3))&amp;"-"&amp;TEXT(B1494,"AAMMDD")&amp;"-"&amp;(COUNTIFS($C$5:C1494,C1494,$B$5:B1494,B1494,$I$5:I1494,"ENTRADA")))</f>
        <v/>
      </c>
    </row>
    <row r="1495" spans="1:20">
      <c r="A1495" s="22" t="s">
        <v>1572</v>
      </c>
      <c r="H1495" s="22" t="str">
        <f t="shared" si="34"/>
        <v/>
      </c>
      <c r="J1495" s="32"/>
      <c r="T1495" t="str">
        <f>IF(OR(C1495="",I1495&lt;&gt;"ENTRADA"),"",UPPER(LEFT(SUBSTITUTE(C1495," ",""),3))&amp;"-"&amp;TEXT(B1495,"AAMMDD")&amp;"-"&amp;(COUNTIFS($C$5:C1495,C1495,$B$5:B1495,B1495,$I$5:I1495,"ENTRADA")))</f>
        <v/>
      </c>
    </row>
    <row r="1496" spans="1:20">
      <c r="A1496" s="22" t="s">
        <v>1573</v>
      </c>
      <c r="H1496" s="22" t="str">
        <f t="shared" si="34"/>
        <v/>
      </c>
      <c r="J1496" s="32"/>
      <c r="T1496" t="str">
        <f>IF(OR(C1496="",I1496&lt;&gt;"ENTRADA"),"",UPPER(LEFT(SUBSTITUTE(C1496," ",""),3))&amp;"-"&amp;TEXT(B1496,"AAMMDD")&amp;"-"&amp;(COUNTIFS($C$5:C1496,C1496,$B$5:B1496,B1496,$I$5:I1496,"ENTRADA")))</f>
        <v/>
      </c>
    </row>
    <row r="1497" spans="1:20">
      <c r="A1497" s="22" t="s">
        <v>1574</v>
      </c>
      <c r="H1497" s="22" t="str">
        <f t="shared" si="34"/>
        <v/>
      </c>
      <c r="J1497" s="32"/>
      <c r="T1497" t="str">
        <f>IF(OR(C1497="",I1497&lt;&gt;"ENTRADA"),"",UPPER(LEFT(SUBSTITUTE(C1497," ",""),3))&amp;"-"&amp;TEXT(B1497,"AAMMDD")&amp;"-"&amp;(COUNTIFS($C$5:C1497,C1497,$B$5:B1497,B1497,$I$5:I1497,"ENTRADA")))</f>
        <v/>
      </c>
    </row>
    <row r="1498" spans="1:20">
      <c r="A1498" s="22" t="s">
        <v>1575</v>
      </c>
      <c r="H1498" s="22" t="str">
        <f t="shared" si="34"/>
        <v/>
      </c>
      <c r="J1498" s="32"/>
      <c r="T1498" t="str">
        <f>IF(OR(C1498="",I1498&lt;&gt;"ENTRADA"),"",UPPER(LEFT(SUBSTITUTE(C1498," ",""),3))&amp;"-"&amp;TEXT(B1498,"AAMMDD")&amp;"-"&amp;(COUNTIFS($C$5:C1498,C1498,$B$5:B1498,B1498,$I$5:I1498,"ENTRADA")))</f>
        <v/>
      </c>
    </row>
    <row r="1499" spans="1:20">
      <c r="A1499" s="22" t="s">
        <v>1576</v>
      </c>
      <c r="H1499" s="22" t="str">
        <f t="shared" si="34"/>
        <v/>
      </c>
      <c r="J1499" s="32"/>
      <c r="T1499" t="str">
        <f>IF(OR(C1499="",I1499&lt;&gt;"ENTRADA"),"",UPPER(LEFT(SUBSTITUTE(C1499," ",""),3))&amp;"-"&amp;TEXT(B1499,"AAMMDD")&amp;"-"&amp;(COUNTIFS($C$5:C1499,C1499,$B$5:B1499,B1499,$I$5:I1499,"ENTRADA")))</f>
        <v/>
      </c>
    </row>
    <row r="1500" spans="1:20">
      <c r="A1500" s="22" t="s">
        <v>1577</v>
      </c>
      <c r="H1500" s="22" t="str">
        <f t="shared" si="34"/>
        <v/>
      </c>
      <c r="J1500" s="32"/>
      <c r="T1500" t="str">
        <f>IF(OR(C1500="",I1500&lt;&gt;"ENTRADA"),"",UPPER(LEFT(SUBSTITUTE(C1500," ",""),3))&amp;"-"&amp;TEXT(B1500,"AAMMDD")&amp;"-"&amp;(COUNTIFS($C$5:C1500,C1500,$B$5:B1500,B1500,$I$5:I1500,"ENTRADA")))</f>
        <v/>
      </c>
    </row>
    <row r="1501" spans="1:20">
      <c r="A1501" s="22" t="s">
        <v>1578</v>
      </c>
      <c r="H1501" s="22" t="str">
        <f t="shared" si="34"/>
        <v/>
      </c>
      <c r="J1501" s="32"/>
      <c r="T1501" t="str">
        <f>IF(OR(C1501="",I1501&lt;&gt;"ENTRADA"),"",UPPER(LEFT(SUBSTITUTE(C1501," ",""),3))&amp;"-"&amp;TEXT(B1501,"AAMMDD")&amp;"-"&amp;(COUNTIFS($C$5:C1501,C1501,$B$5:B1501,B1501,$I$5:I1501,"ENTRADA")))</f>
        <v/>
      </c>
    </row>
    <row r="1502" spans="1:20">
      <c r="A1502" s="22" t="s">
        <v>1579</v>
      </c>
      <c r="H1502" s="22" t="str">
        <f t="shared" si="34"/>
        <v/>
      </c>
      <c r="J1502" s="32"/>
      <c r="T1502" t="str">
        <f>IF(OR(C1502="",I1502&lt;&gt;"ENTRADA"),"",UPPER(LEFT(SUBSTITUTE(C1502," ",""),3))&amp;"-"&amp;TEXT(B1502,"AAMMDD")&amp;"-"&amp;(COUNTIFS($C$5:C1502,C1502,$B$5:B1502,B1502,$I$5:I1502,"ENTRADA")))</f>
        <v/>
      </c>
    </row>
    <row r="1503" spans="1:20">
      <c r="A1503" s="22" t="s">
        <v>1580</v>
      </c>
      <c r="H1503" s="22" t="str">
        <f t="shared" si="34"/>
        <v/>
      </c>
      <c r="J1503" s="32"/>
      <c r="T1503" t="str">
        <f>IF(OR(C1503="",I1503&lt;&gt;"ENTRADA"),"",UPPER(LEFT(SUBSTITUTE(C1503," ",""),3))&amp;"-"&amp;TEXT(B1503,"AAMMDD")&amp;"-"&amp;(COUNTIFS($C$5:C1503,C1503,$B$5:B1503,B1503,$I$5:I1503,"ENTRADA")))</f>
        <v/>
      </c>
    </row>
    <row r="1504" spans="1:20">
      <c r="A1504" s="22" t="s">
        <v>1581</v>
      </c>
      <c r="H1504" s="22" t="str">
        <f t="shared" si="34"/>
        <v/>
      </c>
      <c r="J1504" s="32"/>
      <c r="T1504" t="str">
        <f>IF(OR(C1504="",I1504&lt;&gt;"ENTRADA"),"",UPPER(LEFT(SUBSTITUTE(C1504," ",""),3))&amp;"-"&amp;TEXT(B1504,"AAMMDD")&amp;"-"&amp;(COUNTIFS($C$5:C1504,C1504,$B$5:B1504,B1504,$I$5:I1504,"ENTRADA")))</f>
        <v/>
      </c>
    </row>
    <row r="1505" spans="1:20">
      <c r="A1505" s="22" t="s">
        <v>1582</v>
      </c>
      <c r="H1505" s="22" t="str">
        <f t="shared" si="34"/>
        <v/>
      </c>
      <c r="J1505" s="32"/>
      <c r="T1505" t="str">
        <f>IF(OR(C1505="",I1505&lt;&gt;"ENTRADA"),"",UPPER(LEFT(SUBSTITUTE(C1505," ",""),3))&amp;"-"&amp;TEXT(B1505,"AAMMDD")&amp;"-"&amp;(COUNTIFS($C$5:C1505,C1505,$B$5:B1505,B1505,$I$5:I1505,"ENTRADA")))</f>
        <v/>
      </c>
    </row>
    <row r="1506" spans="1:20">
      <c r="A1506" s="22" t="s">
        <v>1583</v>
      </c>
      <c r="H1506" s="22" t="str">
        <f t="shared" si="34"/>
        <v/>
      </c>
      <c r="J1506" s="32"/>
      <c r="T1506" t="str">
        <f>IF(OR(C1506="",I1506&lt;&gt;"ENTRADA"),"",UPPER(LEFT(SUBSTITUTE(C1506," ",""),3))&amp;"-"&amp;TEXT(B1506,"AAMMDD")&amp;"-"&amp;(COUNTIFS($C$5:C1506,C1506,$B$5:B1506,B1506,$I$5:I1506,"ENTRADA")))</f>
        <v/>
      </c>
    </row>
    <row r="1507" spans="1:20">
      <c r="A1507" s="22" t="s">
        <v>1584</v>
      </c>
      <c r="H1507" s="22" t="str">
        <f t="shared" si="34"/>
        <v/>
      </c>
      <c r="J1507" s="32"/>
      <c r="T1507" t="str">
        <f>IF(OR(C1507="",I1507&lt;&gt;"ENTRADA"),"",UPPER(LEFT(SUBSTITUTE(C1507," ",""),3))&amp;"-"&amp;TEXT(B1507,"AAMMDD")&amp;"-"&amp;(COUNTIFS($C$5:C1507,C1507,$B$5:B1507,B1507,$I$5:I1507,"ENTRADA")))</f>
        <v/>
      </c>
    </row>
    <row r="1508" spans="1:20">
      <c r="A1508" s="22" t="s">
        <v>1585</v>
      </c>
      <c r="H1508" s="22" t="str">
        <f t="shared" si="34"/>
        <v/>
      </c>
      <c r="J1508" s="32"/>
      <c r="T1508" t="str">
        <f>IF(OR(C1508="",I1508&lt;&gt;"ENTRADA"),"",UPPER(LEFT(SUBSTITUTE(C1508," ",""),3))&amp;"-"&amp;TEXT(B1508,"AAMMDD")&amp;"-"&amp;(COUNTIFS($C$5:C1508,C1508,$B$5:B1508,B1508,$I$5:I1508,"ENTRADA")))</f>
        <v/>
      </c>
    </row>
    <row r="1509" spans="1:20">
      <c r="A1509" s="22" t="s">
        <v>1586</v>
      </c>
      <c r="H1509" s="22" t="str">
        <f t="shared" si="34"/>
        <v/>
      </c>
      <c r="J1509" s="32"/>
      <c r="T1509" t="str">
        <f>IF(OR(C1509="",I1509&lt;&gt;"ENTRADA"),"",UPPER(LEFT(SUBSTITUTE(C1509," ",""),3))&amp;"-"&amp;TEXT(B1509,"AAMMDD")&amp;"-"&amp;(COUNTIFS($C$5:C1509,C1509,$B$5:B1509,B1509,$I$5:I1509,"ENTRADA")))</f>
        <v/>
      </c>
    </row>
    <row r="1510" spans="1:20">
      <c r="A1510" s="22" t="s">
        <v>1587</v>
      </c>
      <c r="H1510" s="22" t="str">
        <f t="shared" si="34"/>
        <v/>
      </c>
      <c r="J1510" s="32"/>
      <c r="T1510" t="str">
        <f>IF(OR(C1510="",I1510&lt;&gt;"ENTRADA"),"",UPPER(LEFT(SUBSTITUTE(C1510," ",""),3))&amp;"-"&amp;TEXT(B1510,"AAMMDD")&amp;"-"&amp;(COUNTIFS($C$5:C1510,C1510,$B$5:B1510,B1510,$I$5:I1510,"ENTRADA")))</f>
        <v/>
      </c>
    </row>
    <row r="1511" spans="1:20">
      <c r="A1511" s="22" t="s">
        <v>1588</v>
      </c>
      <c r="H1511" s="22" t="str">
        <f t="shared" si="34"/>
        <v/>
      </c>
      <c r="J1511" s="32"/>
      <c r="T1511" t="str">
        <f>IF(OR(C1511="",I1511&lt;&gt;"ENTRADA"),"",UPPER(LEFT(SUBSTITUTE(C1511," ",""),3))&amp;"-"&amp;TEXT(B1511,"AAMMDD")&amp;"-"&amp;(COUNTIFS($C$5:C1511,C1511,$B$5:B1511,B1511,$I$5:I1511,"ENTRADA")))</f>
        <v/>
      </c>
    </row>
    <row r="1512" spans="1:20">
      <c r="A1512" s="22" t="s">
        <v>1589</v>
      </c>
      <c r="H1512" s="22" t="str">
        <f t="shared" si="34"/>
        <v/>
      </c>
      <c r="J1512" s="32"/>
      <c r="T1512" t="str">
        <f>IF(OR(C1512="",I1512&lt;&gt;"ENTRADA"),"",UPPER(LEFT(SUBSTITUTE(C1512," ",""),3))&amp;"-"&amp;TEXT(B1512,"AAMMDD")&amp;"-"&amp;(COUNTIFS($C$5:C1512,C1512,$B$5:B1512,B1512,$I$5:I1512,"ENTRADA")))</f>
        <v/>
      </c>
    </row>
    <row r="1513" spans="1:20">
      <c r="A1513" s="22" t="s">
        <v>1590</v>
      </c>
      <c r="H1513" s="22" t="str">
        <f t="shared" si="34"/>
        <v/>
      </c>
      <c r="J1513" s="32"/>
      <c r="T1513" t="str">
        <f>IF(OR(C1513="",I1513&lt;&gt;"ENTRADA"),"",UPPER(LEFT(SUBSTITUTE(C1513," ",""),3))&amp;"-"&amp;TEXT(B1513,"AAMMDD")&amp;"-"&amp;(COUNTIFS($C$5:C1513,C1513,$B$5:B1513,B1513,$I$5:I1513,"ENTRADA")))</f>
        <v/>
      </c>
    </row>
    <row r="1514" spans="1:20">
      <c r="A1514" s="22" t="s">
        <v>1591</v>
      </c>
      <c r="H1514" s="22" t="str">
        <f t="shared" si="34"/>
        <v/>
      </c>
      <c r="J1514" s="32"/>
      <c r="T1514" t="str">
        <f>IF(OR(C1514="",I1514&lt;&gt;"ENTRADA"),"",UPPER(LEFT(SUBSTITUTE(C1514," ",""),3))&amp;"-"&amp;TEXT(B1514,"AAMMDD")&amp;"-"&amp;(COUNTIFS($C$5:C1514,C1514,$B$5:B1514,B1514,$I$5:I1514,"ENTRADA")))</f>
        <v/>
      </c>
    </row>
    <row r="1515" spans="1:20">
      <c r="A1515" s="22" t="s">
        <v>1592</v>
      </c>
      <c r="H1515" s="22" t="str">
        <f t="shared" si="34"/>
        <v/>
      </c>
      <c r="J1515" s="32"/>
      <c r="T1515" t="str">
        <f>IF(OR(C1515="",I1515&lt;&gt;"ENTRADA"),"",UPPER(LEFT(SUBSTITUTE(C1515," ",""),3))&amp;"-"&amp;TEXT(B1515,"AAMMDD")&amp;"-"&amp;(COUNTIFS($C$5:C1515,C1515,$B$5:B1515,B1515,$I$5:I1515,"ENTRADA")))</f>
        <v/>
      </c>
    </row>
    <row r="1516" spans="1:20">
      <c r="A1516" s="22" t="s">
        <v>1593</v>
      </c>
      <c r="H1516" s="22" t="str">
        <f t="shared" si="34"/>
        <v/>
      </c>
      <c r="J1516" s="32"/>
      <c r="T1516" t="str">
        <f>IF(OR(C1516="",I1516&lt;&gt;"ENTRADA"),"",UPPER(LEFT(SUBSTITUTE(C1516," ",""),3))&amp;"-"&amp;TEXT(B1516,"AAMMDD")&amp;"-"&amp;(COUNTIFS($C$5:C1516,C1516,$B$5:B1516,B1516,$I$5:I1516,"ENTRADA")))</f>
        <v/>
      </c>
    </row>
    <row r="1517" spans="1:20">
      <c r="A1517" s="22" t="s">
        <v>1594</v>
      </c>
      <c r="H1517" s="22" t="str">
        <f t="shared" si="34"/>
        <v/>
      </c>
      <c r="J1517" s="32"/>
      <c r="T1517" t="str">
        <f>IF(OR(C1517="",I1517&lt;&gt;"ENTRADA"),"",UPPER(LEFT(SUBSTITUTE(C1517," ",""),3))&amp;"-"&amp;TEXT(B1517,"AAMMDD")&amp;"-"&amp;(COUNTIFS($C$5:C1517,C1517,$B$5:B1517,B1517,$I$5:I1517,"ENTRADA")))</f>
        <v/>
      </c>
    </row>
    <row r="1518" spans="1:20">
      <c r="A1518" s="22" t="s">
        <v>1595</v>
      </c>
      <c r="H1518" s="22" t="str">
        <f t="shared" si="34"/>
        <v/>
      </c>
      <c r="J1518" s="32"/>
      <c r="T1518" t="str">
        <f>IF(OR(C1518="",I1518&lt;&gt;"ENTRADA"),"",UPPER(LEFT(SUBSTITUTE(C1518," ",""),3))&amp;"-"&amp;TEXT(B1518,"AAMMDD")&amp;"-"&amp;(COUNTIFS($C$5:C1518,C1518,$B$5:B1518,B1518,$I$5:I1518,"ENTRADA")))</f>
        <v/>
      </c>
    </row>
    <row r="1519" spans="1:20">
      <c r="A1519" s="22" t="s">
        <v>1596</v>
      </c>
      <c r="H1519" s="22" t="str">
        <f t="shared" si="34"/>
        <v/>
      </c>
      <c r="J1519" s="32"/>
      <c r="T1519" t="str">
        <f>IF(OR(C1519="",I1519&lt;&gt;"ENTRADA"),"",UPPER(LEFT(SUBSTITUTE(C1519," ",""),3))&amp;"-"&amp;TEXT(B1519,"AAMMDD")&amp;"-"&amp;(COUNTIFS($C$5:C1519,C1519,$B$5:B1519,B1519,$I$5:I1519,"ENTRADA")))</f>
        <v/>
      </c>
    </row>
    <row r="1520" spans="1:20">
      <c r="A1520" s="22" t="s">
        <v>1597</v>
      </c>
      <c r="H1520" s="22" t="str">
        <f t="shared" si="34"/>
        <v/>
      </c>
      <c r="J1520" s="32"/>
      <c r="T1520" t="str">
        <f>IF(OR(C1520="",I1520&lt;&gt;"ENTRADA"),"",UPPER(LEFT(SUBSTITUTE(C1520," ",""),3))&amp;"-"&amp;TEXT(B1520,"AAMMDD")&amp;"-"&amp;(COUNTIFS($C$5:C1520,C1520,$B$5:B1520,B1520,$I$5:I1520,"ENTRADA")))</f>
        <v/>
      </c>
    </row>
    <row r="1521" spans="1:20">
      <c r="A1521" s="22" t="s">
        <v>1598</v>
      </c>
      <c r="H1521" s="22" t="str">
        <f t="shared" si="34"/>
        <v/>
      </c>
      <c r="J1521" s="32"/>
      <c r="T1521" t="str">
        <f>IF(OR(C1521="",I1521&lt;&gt;"ENTRADA"),"",UPPER(LEFT(SUBSTITUTE(C1521," ",""),3))&amp;"-"&amp;TEXT(B1521,"AAMMDD")&amp;"-"&amp;(COUNTIFS($C$5:C1521,C1521,$B$5:B1521,B1521,$I$5:I1521,"ENTRADA")))</f>
        <v/>
      </c>
    </row>
    <row r="1522" spans="1:20">
      <c r="A1522" s="22" t="s">
        <v>1599</v>
      </c>
      <c r="H1522" s="22" t="str">
        <f t="shared" si="34"/>
        <v/>
      </c>
      <c r="J1522" s="32"/>
      <c r="T1522" t="str">
        <f>IF(OR(C1522="",I1522&lt;&gt;"ENTRADA"),"",UPPER(LEFT(SUBSTITUTE(C1522," ",""),3))&amp;"-"&amp;TEXT(B1522,"AAMMDD")&amp;"-"&amp;(COUNTIFS($C$5:C1522,C1522,$B$5:B1522,B1522,$I$5:I1522,"ENTRADA")))</f>
        <v/>
      </c>
    </row>
    <row r="1523" spans="1:20">
      <c r="A1523" s="22" t="s">
        <v>1600</v>
      </c>
      <c r="H1523" s="22" t="str">
        <f t="shared" si="34"/>
        <v/>
      </c>
      <c r="J1523" s="32"/>
      <c r="T1523" t="str">
        <f>IF(OR(C1523="",I1523&lt;&gt;"ENTRADA"),"",UPPER(LEFT(SUBSTITUTE(C1523," ",""),3))&amp;"-"&amp;TEXT(B1523,"AAMMDD")&amp;"-"&amp;(COUNTIFS($C$5:C1523,C1523,$B$5:B1523,B1523,$I$5:I1523,"ENTRADA")))</f>
        <v/>
      </c>
    </row>
    <row r="1524" spans="1:20">
      <c r="A1524" s="22" t="s">
        <v>1601</v>
      </c>
      <c r="H1524" s="22" t="str">
        <f t="shared" si="34"/>
        <v/>
      </c>
      <c r="J1524" s="32"/>
      <c r="T1524" t="str">
        <f>IF(OR(C1524="",I1524&lt;&gt;"ENTRADA"),"",UPPER(LEFT(SUBSTITUTE(C1524," ",""),3))&amp;"-"&amp;TEXT(B1524,"AAMMDD")&amp;"-"&amp;(COUNTIFS($C$5:C1524,C1524,$B$5:B1524,B1524,$I$5:I1524,"ENTRADA")))</f>
        <v/>
      </c>
    </row>
    <row r="1525" spans="1:20">
      <c r="A1525" s="22" t="s">
        <v>1602</v>
      </c>
      <c r="H1525" s="22" t="str">
        <f t="shared" si="34"/>
        <v/>
      </c>
      <c r="J1525" s="32"/>
      <c r="T1525" t="str">
        <f>IF(OR(C1525="",I1525&lt;&gt;"ENTRADA"),"",UPPER(LEFT(SUBSTITUTE(C1525," ",""),3))&amp;"-"&amp;TEXT(B1525,"AAMMDD")&amp;"-"&amp;(COUNTIFS($C$5:C1525,C1525,$B$5:B1525,B1525,$I$5:I1525,"ENTRADA")))</f>
        <v/>
      </c>
    </row>
    <row r="1526" spans="1:20">
      <c r="A1526" s="22" t="s">
        <v>1603</v>
      </c>
      <c r="H1526" s="22" t="str">
        <f t="shared" si="34"/>
        <v/>
      </c>
      <c r="J1526" s="32"/>
      <c r="T1526" t="str">
        <f>IF(OR(C1526="",I1526&lt;&gt;"ENTRADA"),"",UPPER(LEFT(SUBSTITUTE(C1526," ",""),3))&amp;"-"&amp;TEXT(B1526,"AAMMDD")&amp;"-"&amp;(COUNTIFS($C$5:C1526,C1526,$B$5:B1526,B1526,$I$5:I1526,"ENTRADA")))</f>
        <v/>
      </c>
    </row>
    <row r="1527" spans="1:20">
      <c r="A1527" s="22" t="s">
        <v>1604</v>
      </c>
      <c r="H1527" s="22" t="str">
        <f t="shared" si="34"/>
        <v/>
      </c>
      <c r="J1527" s="32"/>
      <c r="T1527" t="str">
        <f>IF(OR(C1527="",I1527&lt;&gt;"ENTRADA"),"",UPPER(LEFT(SUBSTITUTE(C1527," ",""),3))&amp;"-"&amp;TEXT(B1527,"AAMMDD")&amp;"-"&amp;(COUNTIFS($C$5:C1527,C1527,$B$5:B1527,B1527,$I$5:I1527,"ENTRADA")))</f>
        <v/>
      </c>
    </row>
    <row r="1528" spans="1:20">
      <c r="A1528" s="22" t="s">
        <v>1605</v>
      </c>
      <c r="H1528" s="22" t="str">
        <f t="shared" si="34"/>
        <v/>
      </c>
      <c r="J1528" s="32"/>
      <c r="T1528" t="str">
        <f>IF(OR(C1528="",I1528&lt;&gt;"ENTRADA"),"",UPPER(LEFT(SUBSTITUTE(C1528," ",""),3))&amp;"-"&amp;TEXT(B1528,"AAMMDD")&amp;"-"&amp;(COUNTIFS($C$5:C1528,C1528,$B$5:B1528,B1528,$I$5:I1528,"ENTRADA")))</f>
        <v/>
      </c>
    </row>
    <row r="1529" spans="1:20">
      <c r="A1529" s="22" t="s">
        <v>1606</v>
      </c>
      <c r="H1529" s="22" t="str">
        <f t="shared" si="34"/>
        <v/>
      </c>
      <c r="J1529" s="32"/>
      <c r="T1529" t="str">
        <f>IF(OR(C1529="",I1529&lt;&gt;"ENTRADA"),"",UPPER(LEFT(SUBSTITUTE(C1529," ",""),3))&amp;"-"&amp;TEXT(B1529,"AAMMDD")&amp;"-"&amp;(COUNTIFS($C$5:C1529,C1529,$B$5:B1529,B1529,$I$5:I1529,"ENTRADA")))</f>
        <v/>
      </c>
    </row>
    <row r="1530" spans="1:20">
      <c r="A1530" s="22" t="s">
        <v>1607</v>
      </c>
      <c r="H1530" s="22" t="str">
        <f t="shared" si="34"/>
        <v/>
      </c>
      <c r="J1530" s="32"/>
      <c r="T1530" t="str">
        <f>IF(OR(C1530="",I1530&lt;&gt;"ENTRADA"),"",UPPER(LEFT(SUBSTITUTE(C1530," ",""),3))&amp;"-"&amp;TEXT(B1530,"AAMMDD")&amp;"-"&amp;(COUNTIFS($C$5:C1530,C1530,$B$5:B1530,B1530,$I$5:I1530,"ENTRADA")))</f>
        <v/>
      </c>
    </row>
    <row r="1531" spans="1:20">
      <c r="A1531" s="22" t="s">
        <v>1608</v>
      </c>
      <c r="H1531" s="22" t="str">
        <f t="shared" si="34"/>
        <v/>
      </c>
      <c r="J1531" s="32"/>
      <c r="T1531" t="str">
        <f>IF(OR(C1531="",I1531&lt;&gt;"ENTRADA"),"",UPPER(LEFT(SUBSTITUTE(C1531," ",""),3))&amp;"-"&amp;TEXT(B1531,"AAMMDD")&amp;"-"&amp;(COUNTIFS($C$5:C1531,C1531,$B$5:B1531,B1531,$I$5:I1531,"ENTRADA")))</f>
        <v/>
      </c>
    </row>
    <row r="1532" spans="1:20">
      <c r="A1532" s="22" t="s">
        <v>1609</v>
      </c>
      <c r="H1532" s="22" t="str">
        <f t="shared" si="34"/>
        <v/>
      </c>
      <c r="J1532" s="32"/>
      <c r="T1532" t="str">
        <f>IF(OR(C1532="",I1532&lt;&gt;"ENTRADA"),"",UPPER(LEFT(SUBSTITUTE(C1532," ",""),3))&amp;"-"&amp;TEXT(B1532,"AAMMDD")&amp;"-"&amp;(COUNTIFS($C$5:C1532,C1532,$B$5:B1532,B1532,$I$5:I1532,"ENTRADA")))</f>
        <v/>
      </c>
    </row>
    <row r="1533" spans="1:20">
      <c r="A1533" s="22" t="s">
        <v>1610</v>
      </c>
      <c r="H1533" s="22" t="str">
        <f t="shared" si="34"/>
        <v/>
      </c>
      <c r="J1533" s="32"/>
      <c r="T1533" t="str">
        <f>IF(OR(C1533="",I1533&lt;&gt;"ENTRADA"),"",UPPER(LEFT(SUBSTITUTE(C1533," ",""),3))&amp;"-"&amp;TEXT(B1533,"AAMMDD")&amp;"-"&amp;(COUNTIFS($C$5:C1533,C1533,$B$5:B1533,B1533,$I$5:I1533,"ENTRADA")))</f>
        <v/>
      </c>
    </row>
    <row r="1534" spans="1:20">
      <c r="A1534" s="22" t="s">
        <v>1611</v>
      </c>
      <c r="H1534" s="22" t="str">
        <f t="shared" si="34"/>
        <v/>
      </c>
      <c r="J1534" s="32"/>
      <c r="T1534" t="str">
        <f>IF(OR(C1534="",I1534&lt;&gt;"ENTRADA"),"",UPPER(LEFT(SUBSTITUTE(C1534," ",""),3))&amp;"-"&amp;TEXT(B1534,"AAMMDD")&amp;"-"&amp;(COUNTIFS($C$5:C1534,C1534,$B$5:B1534,B1534,$I$5:I1534,"ENTRADA")))</f>
        <v/>
      </c>
    </row>
    <row r="1535" spans="1:20">
      <c r="A1535" s="22" t="s">
        <v>1612</v>
      </c>
      <c r="H1535" s="22" t="str">
        <f t="shared" si="34"/>
        <v/>
      </c>
      <c r="J1535" s="32"/>
      <c r="T1535" t="str">
        <f>IF(OR(C1535="",I1535&lt;&gt;"ENTRADA"),"",UPPER(LEFT(SUBSTITUTE(C1535," ",""),3))&amp;"-"&amp;TEXT(B1535,"AAMMDD")&amp;"-"&amp;(COUNTIFS($C$5:C1535,C1535,$B$5:B1535,B1535,$I$5:I1535,"ENTRADA")))</f>
        <v/>
      </c>
    </row>
    <row r="1536" spans="1:20">
      <c r="A1536" s="22" t="s">
        <v>1613</v>
      </c>
      <c r="H1536" s="22" t="str">
        <f t="shared" si="34"/>
        <v/>
      </c>
      <c r="J1536" s="32"/>
      <c r="T1536" t="str">
        <f>IF(OR(C1536="",I1536&lt;&gt;"ENTRADA"),"",UPPER(LEFT(SUBSTITUTE(C1536," ",""),3))&amp;"-"&amp;TEXT(B1536,"AAMMDD")&amp;"-"&amp;(COUNTIFS($C$5:C1536,C1536,$B$5:B1536,B1536,$I$5:I1536,"ENTRADA")))</f>
        <v/>
      </c>
    </row>
    <row r="1537" spans="1:20">
      <c r="A1537" s="22" t="s">
        <v>1614</v>
      </c>
      <c r="H1537" s="22" t="str">
        <f t="shared" si="34"/>
        <v/>
      </c>
      <c r="J1537" s="32"/>
      <c r="T1537" t="str">
        <f>IF(OR(C1537="",I1537&lt;&gt;"ENTRADA"),"",UPPER(LEFT(SUBSTITUTE(C1537," ",""),3))&amp;"-"&amp;TEXT(B1537,"AAMMDD")&amp;"-"&amp;(COUNTIFS($C$5:C1537,C1537,$B$5:B1537,B1537,$I$5:I1537,"ENTRADA")))</f>
        <v/>
      </c>
    </row>
    <row r="1538" spans="1:20">
      <c r="A1538" s="22" t="s">
        <v>1615</v>
      </c>
      <c r="H1538" s="22" t="str">
        <f t="shared" si="34"/>
        <v/>
      </c>
      <c r="J1538" s="32"/>
      <c r="T1538" t="str">
        <f>IF(OR(C1538="",I1538&lt;&gt;"ENTRADA"),"",UPPER(LEFT(SUBSTITUTE(C1538," ",""),3))&amp;"-"&amp;TEXT(B1538,"AAMMDD")&amp;"-"&amp;(COUNTIFS($C$5:C1538,C1538,$B$5:B1538,B1538,$I$5:I1538,"ENTRADA")))</f>
        <v/>
      </c>
    </row>
    <row r="1539" spans="1:20">
      <c r="A1539" s="22" t="s">
        <v>1616</v>
      </c>
      <c r="H1539" s="22" t="str">
        <f t="shared" si="34"/>
        <v/>
      </c>
      <c r="J1539" s="32"/>
      <c r="T1539" t="str">
        <f>IF(OR(C1539="",I1539&lt;&gt;"ENTRADA"),"",UPPER(LEFT(SUBSTITUTE(C1539," ",""),3))&amp;"-"&amp;TEXT(B1539,"AAMMDD")&amp;"-"&amp;(COUNTIFS($C$5:C1539,C1539,$B$5:B1539,B1539,$I$5:I1539,"ENTRADA")))</f>
        <v/>
      </c>
    </row>
    <row r="1540" spans="1:20">
      <c r="A1540" s="22" t="s">
        <v>1617</v>
      </c>
      <c r="H1540" s="22" t="str">
        <f t="shared" si="34"/>
        <v/>
      </c>
      <c r="J1540" s="32"/>
      <c r="T1540" t="str">
        <f>IF(OR(C1540="",I1540&lt;&gt;"ENTRADA"),"",UPPER(LEFT(SUBSTITUTE(C1540," ",""),3))&amp;"-"&amp;TEXT(B1540,"AAMMDD")&amp;"-"&amp;(COUNTIFS($C$5:C1540,C1540,$B$5:B1540,B1540,$I$5:I1540,"ENTRADA")))</f>
        <v/>
      </c>
    </row>
    <row r="1541" spans="1:20">
      <c r="A1541" s="22" t="s">
        <v>1618</v>
      </c>
      <c r="H1541" s="22" t="str">
        <f t="shared" si="34"/>
        <v/>
      </c>
      <c r="J1541" s="32"/>
      <c r="T1541" t="str">
        <f>IF(OR(C1541="",I1541&lt;&gt;"ENTRADA"),"",UPPER(LEFT(SUBSTITUTE(C1541," ",""),3))&amp;"-"&amp;TEXT(B1541,"AAMMDD")&amp;"-"&amp;(COUNTIFS($C$5:C1541,C1541,$B$5:B1541,B1541,$I$5:I1541,"ENTRADA")))</f>
        <v/>
      </c>
    </row>
    <row r="1542" spans="1:20">
      <c r="A1542" s="22" t="s">
        <v>1619</v>
      </c>
      <c r="H1542" s="22" t="str">
        <f t="shared" si="34"/>
        <v/>
      </c>
      <c r="J1542" s="32"/>
      <c r="T1542" t="str">
        <f>IF(OR(C1542="",I1542&lt;&gt;"ENTRADA"),"",UPPER(LEFT(SUBSTITUTE(C1542," ",""),3))&amp;"-"&amp;TEXT(B1542,"AAMMDD")&amp;"-"&amp;(COUNTIFS($C$5:C1542,C1542,$B$5:B1542,B1542,$I$5:I1542,"ENTRADA")))</f>
        <v/>
      </c>
    </row>
    <row r="1543" spans="1:20">
      <c r="A1543" s="22" t="s">
        <v>1620</v>
      </c>
      <c r="H1543" s="22" t="str">
        <f t="shared" si="34"/>
        <v/>
      </c>
      <c r="J1543" s="32"/>
      <c r="T1543" t="str">
        <f>IF(OR(C1543="",I1543&lt;&gt;"ENTRADA"),"",UPPER(LEFT(SUBSTITUTE(C1543," ",""),3))&amp;"-"&amp;TEXT(B1543,"AAMMDD")&amp;"-"&amp;(COUNTIFS($C$5:C1543,C1543,$B$5:B1543,B1543,$I$5:I1543,"ENTRADA")))</f>
        <v/>
      </c>
    </row>
    <row r="1544" spans="1:20">
      <c r="A1544" s="22" t="s">
        <v>1621</v>
      </c>
      <c r="H1544" s="22" t="str">
        <f t="shared" si="34"/>
        <v/>
      </c>
      <c r="J1544" s="32"/>
      <c r="T1544" t="str">
        <f>IF(OR(C1544="",I1544&lt;&gt;"ENTRADA"),"",UPPER(LEFT(SUBSTITUTE(C1544," ",""),3))&amp;"-"&amp;TEXT(B1544,"AAMMDD")&amp;"-"&amp;(COUNTIFS($C$5:C1544,C1544,$B$5:B1544,B1544,$I$5:I1544,"ENTRADA")))</f>
        <v/>
      </c>
    </row>
    <row r="1545" spans="1:20">
      <c r="A1545" s="22" t="s">
        <v>1622</v>
      </c>
      <c r="H1545" s="22" t="str">
        <f t="shared" si="34"/>
        <v/>
      </c>
      <c r="J1545" s="32"/>
      <c r="T1545" t="str">
        <f>IF(OR(C1545="",I1545&lt;&gt;"ENTRADA"),"",UPPER(LEFT(SUBSTITUTE(C1545," ",""),3))&amp;"-"&amp;TEXT(B1545,"AAMMDD")&amp;"-"&amp;(COUNTIFS($C$5:C1545,C1545,$B$5:B1545,B1545,$I$5:I1545,"ENTRADA")))</f>
        <v/>
      </c>
    </row>
    <row r="1546" spans="1:20">
      <c r="A1546" s="22" t="s">
        <v>1623</v>
      </c>
      <c r="H1546" s="22" t="str">
        <f t="shared" si="34"/>
        <v/>
      </c>
      <c r="J1546" s="32"/>
      <c r="T1546" t="str">
        <f>IF(OR(C1546="",I1546&lt;&gt;"ENTRADA"),"",UPPER(LEFT(SUBSTITUTE(C1546," ",""),3))&amp;"-"&amp;TEXT(B1546,"AAMMDD")&amp;"-"&amp;(COUNTIFS($C$5:C1546,C1546,$B$5:B1546,B1546,$I$5:I1546,"ENTRADA")))</f>
        <v/>
      </c>
    </row>
    <row r="1547" spans="1:20">
      <c r="A1547" s="22" t="s">
        <v>1624</v>
      </c>
      <c r="H1547" s="22" t="str">
        <f t="shared" si="34"/>
        <v/>
      </c>
      <c r="J1547" s="32"/>
      <c r="T1547" t="str">
        <f>IF(OR(C1547="",I1547&lt;&gt;"ENTRADA"),"",UPPER(LEFT(SUBSTITUTE(C1547," ",""),3))&amp;"-"&amp;TEXT(B1547,"AAMMDD")&amp;"-"&amp;(COUNTIFS($C$5:C1547,C1547,$B$5:B1547,B1547,$I$5:I1547,"ENTRADA")))</f>
        <v/>
      </c>
    </row>
    <row r="1548" spans="1:20">
      <c r="A1548" s="22" t="s">
        <v>1625</v>
      </c>
      <c r="H1548" s="22" t="str">
        <f t="shared" si="34"/>
        <v/>
      </c>
      <c r="J1548" s="32"/>
      <c r="T1548" t="str">
        <f>IF(OR(C1548="",I1548&lt;&gt;"ENTRADA"),"",UPPER(LEFT(SUBSTITUTE(C1548," ",""),3))&amp;"-"&amp;TEXT(B1548,"AAMMDD")&amp;"-"&amp;(COUNTIFS($C$5:C1548,C1548,$B$5:B1548,B1548,$I$5:I1548,"ENTRADA")))</f>
        <v/>
      </c>
    </row>
    <row r="1549" spans="1:20">
      <c r="A1549" s="22" t="s">
        <v>1626</v>
      </c>
      <c r="H1549" s="22" t="str">
        <f t="shared" si="34"/>
        <v/>
      </c>
      <c r="J1549" s="32"/>
      <c r="T1549" t="str">
        <f>IF(OR(C1549="",I1549&lt;&gt;"ENTRADA"),"",UPPER(LEFT(SUBSTITUTE(C1549," ",""),3))&amp;"-"&amp;TEXT(B1549,"AAMMDD")&amp;"-"&amp;(COUNTIFS($C$5:C1549,C1549,$B$5:B1549,B1549,$I$5:I1549,"ENTRADA")))</f>
        <v/>
      </c>
    </row>
    <row r="1550" spans="1:20">
      <c r="A1550" s="22" t="s">
        <v>1627</v>
      </c>
      <c r="H1550" s="22" t="str">
        <f t="shared" si="34"/>
        <v/>
      </c>
      <c r="J1550" s="32"/>
      <c r="T1550" t="str">
        <f>IF(OR(C1550="",I1550&lt;&gt;"ENTRADA"),"",UPPER(LEFT(SUBSTITUTE(C1550," ",""),3))&amp;"-"&amp;TEXT(B1550,"AAMMDD")&amp;"-"&amp;(COUNTIFS($C$5:C1550,C1550,$B$5:B1550,B1550,$I$5:I1550,"ENTRADA")))</f>
        <v/>
      </c>
    </row>
    <row r="1551" spans="1:20">
      <c r="A1551" s="22" t="s">
        <v>1628</v>
      </c>
      <c r="H1551" s="22" t="str">
        <f t="shared" si="34"/>
        <v/>
      </c>
      <c r="J1551" s="32"/>
      <c r="T1551" t="str">
        <f>IF(OR(C1551="",I1551&lt;&gt;"ENTRADA"),"",UPPER(LEFT(SUBSTITUTE(C1551," ",""),3))&amp;"-"&amp;TEXT(B1551,"AAMMDD")&amp;"-"&amp;(COUNTIFS($C$5:C1551,C1551,$B$5:B1551,B1551,$I$5:I1551,"ENTRADA")))</f>
        <v/>
      </c>
    </row>
    <row r="1552" spans="1:20">
      <c r="A1552" s="22" t="s">
        <v>1629</v>
      </c>
      <c r="H1552" s="22" t="str">
        <f t="shared" ref="H1552:H1615" si="35">+T1552</f>
        <v/>
      </c>
      <c r="J1552" s="32"/>
      <c r="T1552" t="str">
        <f>IF(OR(C1552="",I1552&lt;&gt;"ENTRADA"),"",UPPER(LEFT(SUBSTITUTE(C1552," ",""),3))&amp;"-"&amp;TEXT(B1552,"AAMMDD")&amp;"-"&amp;(COUNTIFS($C$5:C1552,C1552,$B$5:B1552,B1552,$I$5:I1552,"ENTRADA")))</f>
        <v/>
      </c>
    </row>
    <row r="1553" spans="1:20">
      <c r="A1553" s="22" t="s">
        <v>1630</v>
      </c>
      <c r="H1553" s="22" t="str">
        <f t="shared" si="35"/>
        <v/>
      </c>
      <c r="J1553" s="32"/>
      <c r="T1553" t="str">
        <f>IF(OR(C1553="",I1553&lt;&gt;"ENTRADA"),"",UPPER(LEFT(SUBSTITUTE(C1553," ",""),3))&amp;"-"&amp;TEXT(B1553,"AAMMDD")&amp;"-"&amp;(COUNTIFS($C$5:C1553,C1553,$B$5:B1553,B1553,$I$5:I1553,"ENTRADA")))</f>
        <v/>
      </c>
    </row>
    <row r="1554" spans="1:20">
      <c r="A1554" s="22" t="s">
        <v>1631</v>
      </c>
      <c r="H1554" s="22" t="str">
        <f t="shared" si="35"/>
        <v/>
      </c>
      <c r="J1554" s="32"/>
      <c r="T1554" t="str">
        <f>IF(OR(C1554="",I1554&lt;&gt;"ENTRADA"),"",UPPER(LEFT(SUBSTITUTE(C1554," ",""),3))&amp;"-"&amp;TEXT(B1554,"AAMMDD")&amp;"-"&amp;(COUNTIFS($C$5:C1554,C1554,$B$5:B1554,B1554,$I$5:I1554,"ENTRADA")))</f>
        <v/>
      </c>
    </row>
    <row r="1555" spans="1:20">
      <c r="A1555" s="22" t="s">
        <v>1632</v>
      </c>
      <c r="H1555" s="22" t="str">
        <f t="shared" si="35"/>
        <v/>
      </c>
      <c r="J1555" s="32"/>
      <c r="T1555" t="str">
        <f>IF(OR(C1555="",I1555&lt;&gt;"ENTRADA"),"",UPPER(LEFT(SUBSTITUTE(C1555," ",""),3))&amp;"-"&amp;TEXT(B1555,"AAMMDD")&amp;"-"&amp;(COUNTIFS($C$5:C1555,C1555,$B$5:B1555,B1555,$I$5:I1555,"ENTRADA")))</f>
        <v/>
      </c>
    </row>
    <row r="1556" spans="1:20">
      <c r="A1556" s="22" t="s">
        <v>1633</v>
      </c>
      <c r="H1556" s="22" t="str">
        <f t="shared" si="35"/>
        <v/>
      </c>
      <c r="J1556" s="32"/>
      <c r="T1556" t="str">
        <f>IF(OR(C1556="",I1556&lt;&gt;"ENTRADA"),"",UPPER(LEFT(SUBSTITUTE(C1556," ",""),3))&amp;"-"&amp;TEXT(B1556,"AAMMDD")&amp;"-"&amp;(COUNTIFS($C$5:C1556,C1556,$B$5:B1556,B1556,$I$5:I1556,"ENTRADA")))</f>
        <v/>
      </c>
    </row>
    <row r="1557" spans="1:20">
      <c r="A1557" s="22" t="s">
        <v>1634</v>
      </c>
      <c r="H1557" s="22" t="str">
        <f t="shared" si="35"/>
        <v/>
      </c>
      <c r="J1557" s="32"/>
      <c r="T1557" t="str">
        <f>IF(OR(C1557="",I1557&lt;&gt;"ENTRADA"),"",UPPER(LEFT(SUBSTITUTE(C1557," ",""),3))&amp;"-"&amp;TEXT(B1557,"AAMMDD")&amp;"-"&amp;(COUNTIFS($C$5:C1557,C1557,$B$5:B1557,B1557,$I$5:I1557,"ENTRADA")))</f>
        <v/>
      </c>
    </row>
    <row r="1558" spans="1:20">
      <c r="A1558" s="22" t="s">
        <v>1635</v>
      </c>
      <c r="H1558" s="22" t="str">
        <f t="shared" si="35"/>
        <v/>
      </c>
      <c r="J1558" s="32"/>
      <c r="T1558" t="str">
        <f>IF(OR(C1558="",I1558&lt;&gt;"ENTRADA"),"",UPPER(LEFT(SUBSTITUTE(C1558," ",""),3))&amp;"-"&amp;TEXT(B1558,"AAMMDD")&amp;"-"&amp;(COUNTIFS($C$5:C1558,C1558,$B$5:B1558,B1558,$I$5:I1558,"ENTRADA")))</f>
        <v/>
      </c>
    </row>
    <row r="1559" spans="1:20">
      <c r="A1559" s="22" t="s">
        <v>1636</v>
      </c>
      <c r="H1559" s="22" t="str">
        <f t="shared" si="35"/>
        <v/>
      </c>
      <c r="J1559" s="32"/>
      <c r="T1559" t="str">
        <f>IF(OR(C1559="",I1559&lt;&gt;"ENTRADA"),"",UPPER(LEFT(SUBSTITUTE(C1559," ",""),3))&amp;"-"&amp;TEXT(B1559,"AAMMDD")&amp;"-"&amp;(COUNTIFS($C$5:C1559,C1559,$B$5:B1559,B1559,$I$5:I1559,"ENTRADA")))</f>
        <v/>
      </c>
    </row>
    <row r="1560" spans="1:20">
      <c r="A1560" s="22" t="s">
        <v>1637</v>
      </c>
      <c r="H1560" s="22" t="str">
        <f t="shared" si="35"/>
        <v/>
      </c>
      <c r="J1560" s="32"/>
      <c r="T1560" t="str">
        <f>IF(OR(C1560="",I1560&lt;&gt;"ENTRADA"),"",UPPER(LEFT(SUBSTITUTE(C1560," ",""),3))&amp;"-"&amp;TEXT(B1560,"AAMMDD")&amp;"-"&amp;(COUNTIFS($C$5:C1560,C1560,$B$5:B1560,B1560,$I$5:I1560,"ENTRADA")))</f>
        <v/>
      </c>
    </row>
    <row r="1561" spans="1:20">
      <c r="A1561" s="22" t="s">
        <v>1638</v>
      </c>
      <c r="H1561" s="22" t="str">
        <f t="shared" si="35"/>
        <v/>
      </c>
      <c r="J1561" s="32"/>
      <c r="T1561" t="str">
        <f>IF(OR(C1561="",I1561&lt;&gt;"ENTRADA"),"",UPPER(LEFT(SUBSTITUTE(C1561," ",""),3))&amp;"-"&amp;TEXT(B1561,"AAMMDD")&amp;"-"&amp;(COUNTIFS($C$5:C1561,C1561,$B$5:B1561,B1561,$I$5:I1561,"ENTRADA")))</f>
        <v/>
      </c>
    </row>
    <row r="1562" spans="1:20">
      <c r="A1562" s="22" t="s">
        <v>1639</v>
      </c>
      <c r="H1562" s="22" t="str">
        <f t="shared" si="35"/>
        <v/>
      </c>
      <c r="J1562" s="32"/>
      <c r="T1562" t="str">
        <f>IF(OR(C1562="",I1562&lt;&gt;"ENTRADA"),"",UPPER(LEFT(SUBSTITUTE(C1562," ",""),3))&amp;"-"&amp;TEXT(B1562,"AAMMDD")&amp;"-"&amp;(COUNTIFS($C$5:C1562,C1562,$B$5:B1562,B1562,$I$5:I1562,"ENTRADA")))</f>
        <v/>
      </c>
    </row>
    <row r="1563" spans="1:20">
      <c r="A1563" s="22" t="s">
        <v>1640</v>
      </c>
      <c r="H1563" s="22" t="str">
        <f t="shared" si="35"/>
        <v/>
      </c>
      <c r="J1563" s="32"/>
      <c r="T1563" t="str">
        <f>IF(OR(C1563="",I1563&lt;&gt;"ENTRADA"),"",UPPER(LEFT(SUBSTITUTE(C1563," ",""),3))&amp;"-"&amp;TEXT(B1563,"AAMMDD")&amp;"-"&amp;(COUNTIFS($C$5:C1563,C1563,$B$5:B1563,B1563,$I$5:I1563,"ENTRADA")))</f>
        <v/>
      </c>
    </row>
    <row r="1564" spans="1:20">
      <c r="A1564" s="22" t="s">
        <v>1641</v>
      </c>
      <c r="H1564" s="22" t="str">
        <f t="shared" si="35"/>
        <v/>
      </c>
      <c r="J1564" s="32"/>
      <c r="T1564" t="str">
        <f>IF(OR(C1564="",I1564&lt;&gt;"ENTRADA"),"",UPPER(LEFT(SUBSTITUTE(C1564," ",""),3))&amp;"-"&amp;TEXT(B1564,"AAMMDD")&amp;"-"&amp;(COUNTIFS($C$5:C1564,C1564,$B$5:B1564,B1564,$I$5:I1564,"ENTRADA")))</f>
        <v/>
      </c>
    </row>
    <row r="1565" spans="1:20">
      <c r="A1565" s="22" t="s">
        <v>1642</v>
      </c>
      <c r="H1565" s="22" t="str">
        <f t="shared" si="35"/>
        <v/>
      </c>
      <c r="J1565" s="32"/>
      <c r="T1565" t="str">
        <f>IF(OR(C1565="",I1565&lt;&gt;"ENTRADA"),"",UPPER(LEFT(SUBSTITUTE(C1565," ",""),3))&amp;"-"&amp;TEXT(B1565,"AAMMDD")&amp;"-"&amp;(COUNTIFS($C$5:C1565,C1565,$B$5:B1565,B1565,$I$5:I1565,"ENTRADA")))</f>
        <v/>
      </c>
    </row>
    <row r="1566" spans="1:20">
      <c r="A1566" s="22" t="s">
        <v>1643</v>
      </c>
      <c r="H1566" s="22" t="str">
        <f t="shared" si="35"/>
        <v/>
      </c>
      <c r="J1566" s="32"/>
      <c r="T1566" t="str">
        <f>IF(OR(C1566="",I1566&lt;&gt;"ENTRADA"),"",UPPER(LEFT(SUBSTITUTE(C1566," ",""),3))&amp;"-"&amp;TEXT(B1566,"AAMMDD")&amp;"-"&amp;(COUNTIFS($C$5:C1566,C1566,$B$5:B1566,B1566,$I$5:I1566,"ENTRADA")))</f>
        <v/>
      </c>
    </row>
    <row r="1567" spans="1:20">
      <c r="A1567" s="22" t="s">
        <v>1644</v>
      </c>
      <c r="H1567" s="22" t="str">
        <f t="shared" si="35"/>
        <v/>
      </c>
      <c r="J1567" s="32"/>
      <c r="T1567" t="str">
        <f>IF(OR(C1567="",I1567&lt;&gt;"ENTRADA"),"",UPPER(LEFT(SUBSTITUTE(C1567," ",""),3))&amp;"-"&amp;TEXT(B1567,"AAMMDD")&amp;"-"&amp;(COUNTIFS($C$5:C1567,C1567,$B$5:B1567,B1567,$I$5:I1567,"ENTRADA")))</f>
        <v/>
      </c>
    </row>
    <row r="1568" spans="1:20">
      <c r="A1568" s="22" t="s">
        <v>1645</v>
      </c>
      <c r="H1568" s="22" t="str">
        <f t="shared" si="35"/>
        <v/>
      </c>
      <c r="J1568" s="32"/>
      <c r="T1568" t="str">
        <f>IF(OR(C1568="",I1568&lt;&gt;"ENTRADA"),"",UPPER(LEFT(SUBSTITUTE(C1568," ",""),3))&amp;"-"&amp;TEXT(B1568,"AAMMDD")&amp;"-"&amp;(COUNTIFS($C$5:C1568,C1568,$B$5:B1568,B1568,$I$5:I1568,"ENTRADA")))</f>
        <v/>
      </c>
    </row>
    <row r="1569" spans="1:20">
      <c r="A1569" s="22" t="s">
        <v>1646</v>
      </c>
      <c r="H1569" s="22" t="str">
        <f t="shared" si="35"/>
        <v/>
      </c>
      <c r="J1569" s="32"/>
      <c r="T1569" t="str">
        <f>IF(OR(C1569="",I1569&lt;&gt;"ENTRADA"),"",UPPER(LEFT(SUBSTITUTE(C1569," ",""),3))&amp;"-"&amp;TEXT(B1569,"AAMMDD")&amp;"-"&amp;(COUNTIFS($C$5:C1569,C1569,$B$5:B1569,B1569,$I$5:I1569,"ENTRADA")))</f>
        <v/>
      </c>
    </row>
    <row r="1570" spans="1:20">
      <c r="A1570" s="22" t="s">
        <v>1647</v>
      </c>
      <c r="H1570" s="22" t="str">
        <f t="shared" si="35"/>
        <v/>
      </c>
      <c r="J1570" s="32"/>
      <c r="T1570" t="str">
        <f>IF(OR(C1570="",I1570&lt;&gt;"ENTRADA"),"",UPPER(LEFT(SUBSTITUTE(C1570," ",""),3))&amp;"-"&amp;TEXT(B1570,"AAMMDD")&amp;"-"&amp;(COUNTIFS($C$5:C1570,C1570,$B$5:B1570,B1570,$I$5:I1570,"ENTRADA")))</f>
        <v/>
      </c>
    </row>
    <row r="1571" spans="1:20">
      <c r="A1571" s="22" t="s">
        <v>1648</v>
      </c>
      <c r="H1571" s="22" t="str">
        <f t="shared" si="35"/>
        <v/>
      </c>
      <c r="J1571" s="32"/>
      <c r="T1571" t="str">
        <f>IF(OR(C1571="",I1571&lt;&gt;"ENTRADA"),"",UPPER(LEFT(SUBSTITUTE(C1571," ",""),3))&amp;"-"&amp;TEXT(B1571,"AAMMDD")&amp;"-"&amp;(COUNTIFS($C$5:C1571,C1571,$B$5:B1571,B1571,$I$5:I1571,"ENTRADA")))</f>
        <v/>
      </c>
    </row>
    <row r="1572" spans="1:20">
      <c r="A1572" s="22" t="s">
        <v>1649</v>
      </c>
      <c r="H1572" s="22" t="str">
        <f t="shared" si="35"/>
        <v/>
      </c>
      <c r="J1572" s="32"/>
      <c r="T1572" t="str">
        <f>IF(OR(C1572="",I1572&lt;&gt;"ENTRADA"),"",UPPER(LEFT(SUBSTITUTE(C1572," ",""),3))&amp;"-"&amp;TEXT(B1572,"AAMMDD")&amp;"-"&amp;(COUNTIFS($C$5:C1572,C1572,$B$5:B1572,B1572,$I$5:I1572,"ENTRADA")))</f>
        <v/>
      </c>
    </row>
    <row r="1573" spans="1:20">
      <c r="A1573" s="22" t="s">
        <v>1650</v>
      </c>
      <c r="H1573" s="22" t="str">
        <f t="shared" si="35"/>
        <v/>
      </c>
      <c r="J1573" s="32"/>
      <c r="T1573" t="str">
        <f>IF(OR(C1573="",I1573&lt;&gt;"ENTRADA"),"",UPPER(LEFT(SUBSTITUTE(C1573," ",""),3))&amp;"-"&amp;TEXT(B1573,"AAMMDD")&amp;"-"&amp;(COUNTIFS($C$5:C1573,C1573,$B$5:B1573,B1573,$I$5:I1573,"ENTRADA")))</f>
        <v/>
      </c>
    </row>
    <row r="1574" spans="1:20">
      <c r="A1574" s="22" t="s">
        <v>1651</v>
      </c>
      <c r="H1574" s="22" t="str">
        <f t="shared" si="35"/>
        <v/>
      </c>
      <c r="J1574" s="32"/>
      <c r="T1574" t="str">
        <f>IF(OR(C1574="",I1574&lt;&gt;"ENTRADA"),"",UPPER(LEFT(SUBSTITUTE(C1574," ",""),3))&amp;"-"&amp;TEXT(B1574,"AAMMDD")&amp;"-"&amp;(COUNTIFS($C$5:C1574,C1574,$B$5:B1574,B1574,$I$5:I1574,"ENTRADA")))</f>
        <v/>
      </c>
    </row>
    <row r="1575" spans="1:20">
      <c r="A1575" s="22" t="s">
        <v>1652</v>
      </c>
      <c r="H1575" s="22" t="str">
        <f t="shared" si="35"/>
        <v/>
      </c>
      <c r="J1575" s="32"/>
      <c r="T1575" t="str">
        <f>IF(OR(C1575="",I1575&lt;&gt;"ENTRADA"),"",UPPER(LEFT(SUBSTITUTE(C1575," ",""),3))&amp;"-"&amp;TEXT(B1575,"AAMMDD")&amp;"-"&amp;(COUNTIFS($C$5:C1575,C1575,$B$5:B1575,B1575,$I$5:I1575,"ENTRADA")))</f>
        <v/>
      </c>
    </row>
    <row r="1576" spans="1:20">
      <c r="A1576" s="22" t="s">
        <v>1653</v>
      </c>
      <c r="H1576" s="22" t="str">
        <f t="shared" si="35"/>
        <v/>
      </c>
      <c r="J1576" s="32"/>
      <c r="T1576" t="str">
        <f>IF(OR(C1576="",I1576&lt;&gt;"ENTRADA"),"",UPPER(LEFT(SUBSTITUTE(C1576," ",""),3))&amp;"-"&amp;TEXT(B1576,"AAMMDD")&amp;"-"&amp;(COUNTIFS($C$5:C1576,C1576,$B$5:B1576,B1576,$I$5:I1576,"ENTRADA")))</f>
        <v/>
      </c>
    </row>
    <row r="1577" spans="1:20">
      <c r="A1577" s="22" t="s">
        <v>1654</v>
      </c>
      <c r="H1577" s="22" t="str">
        <f t="shared" si="35"/>
        <v/>
      </c>
      <c r="J1577" s="32"/>
      <c r="T1577" t="str">
        <f>IF(OR(C1577="",I1577&lt;&gt;"ENTRADA"),"",UPPER(LEFT(SUBSTITUTE(C1577," ",""),3))&amp;"-"&amp;TEXT(B1577,"AAMMDD")&amp;"-"&amp;(COUNTIFS($C$5:C1577,C1577,$B$5:B1577,B1577,$I$5:I1577,"ENTRADA")))</f>
        <v/>
      </c>
    </row>
    <row r="1578" spans="1:20">
      <c r="A1578" s="22" t="s">
        <v>1655</v>
      </c>
      <c r="H1578" s="22" t="str">
        <f t="shared" si="35"/>
        <v/>
      </c>
      <c r="J1578" s="32"/>
      <c r="T1578" t="str">
        <f>IF(OR(C1578="",I1578&lt;&gt;"ENTRADA"),"",UPPER(LEFT(SUBSTITUTE(C1578," ",""),3))&amp;"-"&amp;TEXT(B1578,"AAMMDD")&amp;"-"&amp;(COUNTIFS($C$5:C1578,C1578,$B$5:B1578,B1578,$I$5:I1578,"ENTRADA")))</f>
        <v/>
      </c>
    </row>
    <row r="1579" spans="1:20">
      <c r="A1579" s="22" t="s">
        <v>1656</v>
      </c>
      <c r="H1579" s="22" t="str">
        <f t="shared" si="35"/>
        <v/>
      </c>
      <c r="J1579" s="32"/>
      <c r="T1579" t="str">
        <f>IF(OR(C1579="",I1579&lt;&gt;"ENTRADA"),"",UPPER(LEFT(SUBSTITUTE(C1579," ",""),3))&amp;"-"&amp;TEXT(B1579,"AAMMDD")&amp;"-"&amp;(COUNTIFS($C$5:C1579,C1579,$B$5:B1579,B1579,$I$5:I1579,"ENTRADA")))</f>
        <v/>
      </c>
    </row>
    <row r="1580" spans="1:20">
      <c r="A1580" s="22" t="s">
        <v>1657</v>
      </c>
      <c r="H1580" s="22" t="str">
        <f t="shared" si="35"/>
        <v/>
      </c>
      <c r="J1580" s="32"/>
      <c r="T1580" t="str">
        <f>IF(OR(C1580="",I1580&lt;&gt;"ENTRADA"),"",UPPER(LEFT(SUBSTITUTE(C1580," ",""),3))&amp;"-"&amp;TEXT(B1580,"AAMMDD")&amp;"-"&amp;(COUNTIFS($C$5:C1580,C1580,$B$5:B1580,B1580,$I$5:I1580,"ENTRADA")))</f>
        <v/>
      </c>
    </row>
    <row r="1581" spans="1:20">
      <c r="A1581" s="22" t="s">
        <v>1658</v>
      </c>
      <c r="H1581" s="22" t="str">
        <f t="shared" si="35"/>
        <v/>
      </c>
      <c r="J1581" s="32"/>
      <c r="T1581" t="str">
        <f>IF(OR(C1581="",I1581&lt;&gt;"ENTRADA"),"",UPPER(LEFT(SUBSTITUTE(C1581," ",""),3))&amp;"-"&amp;TEXT(B1581,"AAMMDD")&amp;"-"&amp;(COUNTIFS($C$5:C1581,C1581,$B$5:B1581,B1581,$I$5:I1581,"ENTRADA")))</f>
        <v/>
      </c>
    </row>
    <row r="1582" spans="1:20">
      <c r="A1582" s="22" t="s">
        <v>1659</v>
      </c>
      <c r="H1582" s="22" t="str">
        <f t="shared" si="35"/>
        <v/>
      </c>
      <c r="J1582" s="32"/>
      <c r="T1582" t="str">
        <f>IF(OR(C1582="",I1582&lt;&gt;"ENTRADA"),"",UPPER(LEFT(SUBSTITUTE(C1582," ",""),3))&amp;"-"&amp;TEXT(B1582,"AAMMDD")&amp;"-"&amp;(COUNTIFS($C$5:C1582,C1582,$B$5:B1582,B1582,$I$5:I1582,"ENTRADA")))</f>
        <v/>
      </c>
    </row>
    <row r="1583" spans="1:20">
      <c r="A1583" s="22" t="s">
        <v>1660</v>
      </c>
      <c r="H1583" s="22" t="str">
        <f t="shared" si="35"/>
        <v/>
      </c>
      <c r="J1583" s="32"/>
      <c r="T1583" t="str">
        <f>IF(OR(C1583="",I1583&lt;&gt;"ENTRADA"),"",UPPER(LEFT(SUBSTITUTE(C1583," ",""),3))&amp;"-"&amp;TEXT(B1583,"AAMMDD")&amp;"-"&amp;(COUNTIFS($C$5:C1583,C1583,$B$5:B1583,B1583,$I$5:I1583,"ENTRADA")))</f>
        <v/>
      </c>
    </row>
    <row r="1584" spans="1:20">
      <c r="A1584" s="22" t="s">
        <v>1661</v>
      </c>
      <c r="H1584" s="22" t="str">
        <f t="shared" si="35"/>
        <v/>
      </c>
      <c r="J1584" s="32"/>
      <c r="T1584" t="str">
        <f>IF(OR(C1584="",I1584&lt;&gt;"ENTRADA"),"",UPPER(LEFT(SUBSTITUTE(C1584," ",""),3))&amp;"-"&amp;TEXT(B1584,"AAMMDD")&amp;"-"&amp;(COUNTIFS($C$5:C1584,C1584,$B$5:B1584,B1584,$I$5:I1584,"ENTRADA")))</f>
        <v/>
      </c>
    </row>
    <row r="1585" spans="1:20">
      <c r="A1585" s="22" t="s">
        <v>1662</v>
      </c>
      <c r="H1585" s="22" t="str">
        <f t="shared" si="35"/>
        <v/>
      </c>
      <c r="J1585" s="32"/>
      <c r="T1585" t="str">
        <f>IF(OR(C1585="",I1585&lt;&gt;"ENTRADA"),"",UPPER(LEFT(SUBSTITUTE(C1585," ",""),3))&amp;"-"&amp;TEXT(B1585,"AAMMDD")&amp;"-"&amp;(COUNTIFS($C$5:C1585,C1585,$B$5:B1585,B1585,$I$5:I1585,"ENTRADA")))</f>
        <v/>
      </c>
    </row>
    <row r="1586" spans="1:20">
      <c r="A1586" s="22" t="s">
        <v>1663</v>
      </c>
      <c r="H1586" s="22" t="str">
        <f t="shared" si="35"/>
        <v/>
      </c>
      <c r="J1586" s="32"/>
      <c r="T1586" t="str">
        <f>IF(OR(C1586="",I1586&lt;&gt;"ENTRADA"),"",UPPER(LEFT(SUBSTITUTE(C1586," ",""),3))&amp;"-"&amp;TEXT(B1586,"AAMMDD")&amp;"-"&amp;(COUNTIFS($C$5:C1586,C1586,$B$5:B1586,B1586,$I$5:I1586,"ENTRADA")))</f>
        <v/>
      </c>
    </row>
    <row r="1587" spans="1:20">
      <c r="A1587" s="22" t="s">
        <v>1664</v>
      </c>
      <c r="H1587" s="22" t="str">
        <f t="shared" si="35"/>
        <v/>
      </c>
      <c r="J1587" s="32"/>
      <c r="T1587" t="str">
        <f>IF(OR(C1587="",I1587&lt;&gt;"ENTRADA"),"",UPPER(LEFT(SUBSTITUTE(C1587," ",""),3))&amp;"-"&amp;TEXT(B1587,"AAMMDD")&amp;"-"&amp;(COUNTIFS($C$5:C1587,C1587,$B$5:B1587,B1587,$I$5:I1587,"ENTRADA")))</f>
        <v/>
      </c>
    </row>
    <row r="1588" spans="1:20">
      <c r="A1588" s="22" t="s">
        <v>1665</v>
      </c>
      <c r="H1588" s="22" t="str">
        <f t="shared" si="35"/>
        <v/>
      </c>
      <c r="J1588" s="32"/>
      <c r="T1588" t="str">
        <f>IF(OR(C1588="",I1588&lt;&gt;"ENTRADA"),"",UPPER(LEFT(SUBSTITUTE(C1588," ",""),3))&amp;"-"&amp;TEXT(B1588,"AAMMDD")&amp;"-"&amp;(COUNTIFS($C$5:C1588,C1588,$B$5:B1588,B1588,$I$5:I1588,"ENTRADA")))</f>
        <v/>
      </c>
    </row>
    <row r="1589" spans="1:20">
      <c r="A1589" s="22" t="s">
        <v>1666</v>
      </c>
      <c r="H1589" s="22" t="str">
        <f t="shared" si="35"/>
        <v/>
      </c>
      <c r="J1589" s="32"/>
      <c r="T1589" t="str">
        <f>IF(OR(C1589="",I1589&lt;&gt;"ENTRADA"),"",UPPER(LEFT(SUBSTITUTE(C1589," ",""),3))&amp;"-"&amp;TEXT(B1589,"AAMMDD")&amp;"-"&amp;(COUNTIFS($C$5:C1589,C1589,$B$5:B1589,B1589,$I$5:I1589,"ENTRADA")))</f>
        <v/>
      </c>
    </row>
    <row r="1590" spans="1:20">
      <c r="A1590" s="22" t="s">
        <v>1667</v>
      </c>
      <c r="H1590" s="22" t="str">
        <f t="shared" si="35"/>
        <v/>
      </c>
      <c r="J1590" s="32"/>
      <c r="T1590" t="str">
        <f>IF(OR(C1590="",I1590&lt;&gt;"ENTRADA"),"",UPPER(LEFT(SUBSTITUTE(C1590," ",""),3))&amp;"-"&amp;TEXT(B1590,"AAMMDD")&amp;"-"&amp;(COUNTIFS($C$5:C1590,C1590,$B$5:B1590,B1590,$I$5:I1590,"ENTRADA")))</f>
        <v/>
      </c>
    </row>
    <row r="1591" spans="1:20">
      <c r="A1591" s="22" t="s">
        <v>1668</v>
      </c>
      <c r="H1591" s="22" t="str">
        <f t="shared" si="35"/>
        <v/>
      </c>
      <c r="J1591" s="32"/>
      <c r="T1591" t="str">
        <f>IF(OR(C1591="",I1591&lt;&gt;"ENTRADA"),"",UPPER(LEFT(SUBSTITUTE(C1591," ",""),3))&amp;"-"&amp;TEXT(B1591,"AAMMDD")&amp;"-"&amp;(COUNTIFS($C$5:C1591,C1591,$B$5:B1591,B1591,$I$5:I1591,"ENTRADA")))</f>
        <v/>
      </c>
    </row>
    <row r="1592" spans="1:20">
      <c r="A1592" s="22" t="s">
        <v>1669</v>
      </c>
      <c r="H1592" s="22" t="str">
        <f t="shared" si="35"/>
        <v/>
      </c>
      <c r="J1592" s="32"/>
      <c r="T1592" t="str">
        <f>IF(OR(C1592="",I1592&lt;&gt;"ENTRADA"),"",UPPER(LEFT(SUBSTITUTE(C1592," ",""),3))&amp;"-"&amp;TEXT(B1592,"AAMMDD")&amp;"-"&amp;(COUNTIFS($C$5:C1592,C1592,$B$5:B1592,B1592,$I$5:I1592,"ENTRADA")))</f>
        <v/>
      </c>
    </row>
    <row r="1593" spans="1:20">
      <c r="A1593" s="22" t="s">
        <v>1670</v>
      </c>
      <c r="H1593" s="22" t="str">
        <f t="shared" si="35"/>
        <v/>
      </c>
      <c r="J1593" s="32"/>
      <c r="T1593" t="str">
        <f>IF(OR(C1593="",I1593&lt;&gt;"ENTRADA"),"",UPPER(LEFT(SUBSTITUTE(C1593," ",""),3))&amp;"-"&amp;TEXT(B1593,"AAMMDD")&amp;"-"&amp;(COUNTIFS($C$5:C1593,C1593,$B$5:B1593,B1593,$I$5:I1593,"ENTRADA")))</f>
        <v/>
      </c>
    </row>
    <row r="1594" spans="1:20">
      <c r="A1594" s="22" t="s">
        <v>1671</v>
      </c>
      <c r="H1594" s="22" t="str">
        <f t="shared" si="35"/>
        <v/>
      </c>
      <c r="J1594" s="32"/>
      <c r="T1594" t="str">
        <f>IF(OR(C1594="",I1594&lt;&gt;"ENTRADA"),"",UPPER(LEFT(SUBSTITUTE(C1594," ",""),3))&amp;"-"&amp;TEXT(B1594,"AAMMDD")&amp;"-"&amp;(COUNTIFS($C$5:C1594,C1594,$B$5:B1594,B1594,$I$5:I1594,"ENTRADA")))</f>
        <v/>
      </c>
    </row>
    <row r="1595" spans="1:20">
      <c r="A1595" s="22" t="s">
        <v>1672</v>
      </c>
      <c r="H1595" s="22" t="str">
        <f t="shared" si="35"/>
        <v/>
      </c>
      <c r="J1595" s="32"/>
      <c r="T1595" t="str">
        <f>IF(OR(C1595="",I1595&lt;&gt;"ENTRADA"),"",UPPER(LEFT(SUBSTITUTE(C1595," ",""),3))&amp;"-"&amp;TEXT(B1595,"AAMMDD")&amp;"-"&amp;(COUNTIFS($C$5:C1595,C1595,$B$5:B1595,B1595,$I$5:I1595,"ENTRADA")))</f>
        <v/>
      </c>
    </row>
    <row r="1596" spans="1:20">
      <c r="A1596" s="22" t="s">
        <v>1673</v>
      </c>
      <c r="H1596" s="22" t="str">
        <f t="shared" si="35"/>
        <v/>
      </c>
      <c r="J1596" s="32"/>
      <c r="T1596" t="str">
        <f>IF(OR(C1596="",I1596&lt;&gt;"ENTRADA"),"",UPPER(LEFT(SUBSTITUTE(C1596," ",""),3))&amp;"-"&amp;TEXT(B1596,"AAMMDD")&amp;"-"&amp;(COUNTIFS($C$5:C1596,C1596,$B$5:B1596,B1596,$I$5:I1596,"ENTRADA")))</f>
        <v/>
      </c>
    </row>
    <row r="1597" spans="1:20">
      <c r="A1597" s="22" t="s">
        <v>1674</v>
      </c>
      <c r="H1597" s="22" t="str">
        <f t="shared" si="35"/>
        <v/>
      </c>
      <c r="J1597" s="32"/>
      <c r="T1597" t="str">
        <f>IF(OR(C1597="",I1597&lt;&gt;"ENTRADA"),"",UPPER(LEFT(SUBSTITUTE(C1597," ",""),3))&amp;"-"&amp;TEXT(B1597,"AAMMDD")&amp;"-"&amp;(COUNTIFS($C$5:C1597,C1597,$B$5:B1597,B1597,$I$5:I1597,"ENTRADA")))</f>
        <v/>
      </c>
    </row>
    <row r="1598" spans="1:20">
      <c r="A1598" s="22" t="s">
        <v>1675</v>
      </c>
      <c r="H1598" s="22" t="str">
        <f t="shared" si="35"/>
        <v/>
      </c>
      <c r="J1598" s="32"/>
      <c r="T1598" t="str">
        <f>IF(OR(C1598="",I1598&lt;&gt;"ENTRADA"),"",UPPER(LEFT(SUBSTITUTE(C1598," ",""),3))&amp;"-"&amp;TEXT(B1598,"AAMMDD")&amp;"-"&amp;(COUNTIFS($C$5:C1598,C1598,$B$5:B1598,B1598,$I$5:I1598,"ENTRADA")))</f>
        <v/>
      </c>
    </row>
    <row r="1599" spans="1:20">
      <c r="A1599" s="22" t="s">
        <v>1676</v>
      </c>
      <c r="H1599" s="22" t="str">
        <f t="shared" si="35"/>
        <v/>
      </c>
      <c r="J1599" s="32"/>
      <c r="T1599" t="str">
        <f>IF(OR(C1599="",I1599&lt;&gt;"ENTRADA"),"",UPPER(LEFT(SUBSTITUTE(C1599," ",""),3))&amp;"-"&amp;TEXT(B1599,"AAMMDD")&amp;"-"&amp;(COUNTIFS($C$5:C1599,C1599,$B$5:B1599,B1599,$I$5:I1599,"ENTRADA")))</f>
        <v/>
      </c>
    </row>
    <row r="1600" spans="1:20">
      <c r="A1600" s="22" t="s">
        <v>1677</v>
      </c>
      <c r="H1600" s="22" t="str">
        <f t="shared" si="35"/>
        <v/>
      </c>
      <c r="J1600" s="32"/>
      <c r="T1600" t="str">
        <f>IF(OR(C1600="",I1600&lt;&gt;"ENTRADA"),"",UPPER(LEFT(SUBSTITUTE(C1600," ",""),3))&amp;"-"&amp;TEXT(B1600,"AAMMDD")&amp;"-"&amp;(COUNTIFS($C$5:C1600,C1600,$B$5:B1600,B1600,$I$5:I1600,"ENTRADA")))</f>
        <v/>
      </c>
    </row>
    <row r="1601" spans="1:20">
      <c r="A1601" s="22" t="s">
        <v>1678</v>
      </c>
      <c r="H1601" s="22" t="str">
        <f t="shared" si="35"/>
        <v/>
      </c>
      <c r="J1601" s="32"/>
      <c r="T1601" t="str">
        <f>IF(OR(C1601="",I1601&lt;&gt;"ENTRADA"),"",UPPER(LEFT(SUBSTITUTE(C1601," ",""),3))&amp;"-"&amp;TEXT(B1601,"AAMMDD")&amp;"-"&amp;(COUNTIFS($C$5:C1601,C1601,$B$5:B1601,B1601,$I$5:I1601,"ENTRADA")))</f>
        <v/>
      </c>
    </row>
    <row r="1602" spans="1:20">
      <c r="A1602" s="22" t="s">
        <v>1679</v>
      </c>
      <c r="H1602" s="22" t="str">
        <f t="shared" si="35"/>
        <v/>
      </c>
      <c r="J1602" s="32"/>
      <c r="T1602" t="str">
        <f>IF(OR(C1602="",I1602&lt;&gt;"ENTRADA"),"",UPPER(LEFT(SUBSTITUTE(C1602," ",""),3))&amp;"-"&amp;TEXT(B1602,"AAMMDD")&amp;"-"&amp;(COUNTIFS($C$5:C1602,C1602,$B$5:B1602,B1602,$I$5:I1602,"ENTRADA")))</f>
        <v/>
      </c>
    </row>
    <row r="1603" spans="1:20">
      <c r="A1603" s="22" t="s">
        <v>1680</v>
      </c>
      <c r="H1603" s="22" t="str">
        <f t="shared" si="35"/>
        <v/>
      </c>
      <c r="J1603" s="32"/>
      <c r="T1603" t="str">
        <f>IF(OR(C1603="",I1603&lt;&gt;"ENTRADA"),"",UPPER(LEFT(SUBSTITUTE(C1603," ",""),3))&amp;"-"&amp;TEXT(B1603,"AAMMDD")&amp;"-"&amp;(COUNTIFS($C$5:C1603,C1603,$B$5:B1603,B1603,$I$5:I1603,"ENTRADA")))</f>
        <v/>
      </c>
    </row>
    <row r="1604" spans="1:20">
      <c r="A1604" s="22" t="s">
        <v>1681</v>
      </c>
      <c r="H1604" s="22" t="str">
        <f t="shared" si="35"/>
        <v/>
      </c>
      <c r="J1604" s="32"/>
      <c r="T1604" t="str">
        <f>IF(OR(C1604="",I1604&lt;&gt;"ENTRADA"),"",UPPER(LEFT(SUBSTITUTE(C1604," ",""),3))&amp;"-"&amp;TEXT(B1604,"AAMMDD")&amp;"-"&amp;(COUNTIFS($C$5:C1604,C1604,$B$5:B1604,B1604,$I$5:I1604,"ENTRADA")))</f>
        <v/>
      </c>
    </row>
    <row r="1605" spans="1:20">
      <c r="A1605" s="22" t="s">
        <v>1682</v>
      </c>
      <c r="H1605" s="22" t="str">
        <f t="shared" si="35"/>
        <v/>
      </c>
      <c r="J1605" s="32"/>
      <c r="T1605" t="str">
        <f>IF(OR(C1605="",I1605&lt;&gt;"ENTRADA"),"",UPPER(LEFT(SUBSTITUTE(C1605," ",""),3))&amp;"-"&amp;TEXT(B1605,"AAMMDD")&amp;"-"&amp;(COUNTIFS($C$5:C1605,C1605,$B$5:B1605,B1605,$I$5:I1605,"ENTRADA")))</f>
        <v/>
      </c>
    </row>
    <row r="1606" spans="1:20">
      <c r="A1606" s="22" t="s">
        <v>1683</v>
      </c>
      <c r="H1606" s="22" t="str">
        <f t="shared" si="35"/>
        <v/>
      </c>
      <c r="J1606" s="32"/>
      <c r="T1606" t="str">
        <f>IF(OR(C1606="",I1606&lt;&gt;"ENTRADA"),"",UPPER(LEFT(SUBSTITUTE(C1606," ",""),3))&amp;"-"&amp;TEXT(B1606,"AAMMDD")&amp;"-"&amp;(COUNTIFS($C$5:C1606,C1606,$B$5:B1606,B1606,$I$5:I1606,"ENTRADA")))</f>
        <v/>
      </c>
    </row>
    <row r="1607" spans="1:20">
      <c r="A1607" s="22" t="s">
        <v>1684</v>
      </c>
      <c r="H1607" s="22" t="str">
        <f t="shared" si="35"/>
        <v/>
      </c>
      <c r="J1607" s="32"/>
      <c r="T1607" t="str">
        <f>IF(OR(C1607="",I1607&lt;&gt;"ENTRADA"),"",UPPER(LEFT(SUBSTITUTE(C1607," ",""),3))&amp;"-"&amp;TEXT(B1607,"AAMMDD")&amp;"-"&amp;(COUNTIFS($C$5:C1607,C1607,$B$5:B1607,B1607,$I$5:I1607,"ENTRADA")))</f>
        <v/>
      </c>
    </row>
    <row r="1608" spans="1:20">
      <c r="A1608" s="22" t="s">
        <v>1685</v>
      </c>
      <c r="H1608" s="22" t="str">
        <f t="shared" si="35"/>
        <v/>
      </c>
      <c r="J1608" s="32"/>
      <c r="T1608" t="str">
        <f>IF(OR(C1608="",I1608&lt;&gt;"ENTRADA"),"",UPPER(LEFT(SUBSTITUTE(C1608," ",""),3))&amp;"-"&amp;TEXT(B1608,"AAMMDD")&amp;"-"&amp;(COUNTIFS($C$5:C1608,C1608,$B$5:B1608,B1608,$I$5:I1608,"ENTRADA")))</f>
        <v/>
      </c>
    </row>
    <row r="1609" spans="1:20">
      <c r="A1609" s="22" t="s">
        <v>1686</v>
      </c>
      <c r="H1609" s="22" t="str">
        <f t="shared" si="35"/>
        <v/>
      </c>
      <c r="J1609" s="32"/>
      <c r="T1609" t="str">
        <f>IF(OR(C1609="",I1609&lt;&gt;"ENTRADA"),"",UPPER(LEFT(SUBSTITUTE(C1609," ",""),3))&amp;"-"&amp;TEXT(B1609,"AAMMDD")&amp;"-"&amp;(COUNTIFS($C$5:C1609,C1609,$B$5:B1609,B1609,$I$5:I1609,"ENTRADA")))</f>
        <v/>
      </c>
    </row>
    <row r="1610" spans="1:20">
      <c r="A1610" s="22" t="s">
        <v>1687</v>
      </c>
      <c r="H1610" s="22" t="str">
        <f t="shared" si="35"/>
        <v/>
      </c>
      <c r="J1610" s="32"/>
      <c r="T1610" t="str">
        <f>IF(OR(C1610="",I1610&lt;&gt;"ENTRADA"),"",UPPER(LEFT(SUBSTITUTE(C1610," ",""),3))&amp;"-"&amp;TEXT(B1610,"AAMMDD")&amp;"-"&amp;(COUNTIFS($C$5:C1610,C1610,$B$5:B1610,B1610,$I$5:I1610,"ENTRADA")))</f>
        <v/>
      </c>
    </row>
    <row r="1611" spans="1:20">
      <c r="A1611" s="22" t="s">
        <v>1688</v>
      </c>
      <c r="H1611" s="22" t="str">
        <f t="shared" si="35"/>
        <v/>
      </c>
      <c r="J1611" s="32"/>
      <c r="T1611" t="str">
        <f>IF(OR(C1611="",I1611&lt;&gt;"ENTRADA"),"",UPPER(LEFT(SUBSTITUTE(C1611," ",""),3))&amp;"-"&amp;TEXT(B1611,"AAMMDD")&amp;"-"&amp;(COUNTIFS($C$5:C1611,C1611,$B$5:B1611,B1611,$I$5:I1611,"ENTRADA")))</f>
        <v/>
      </c>
    </row>
    <row r="1612" spans="1:20">
      <c r="A1612" s="22" t="s">
        <v>1689</v>
      </c>
      <c r="H1612" s="22" t="str">
        <f t="shared" si="35"/>
        <v/>
      </c>
      <c r="J1612" s="32"/>
      <c r="T1612" t="str">
        <f>IF(OR(C1612="",I1612&lt;&gt;"ENTRADA"),"",UPPER(LEFT(SUBSTITUTE(C1612," ",""),3))&amp;"-"&amp;TEXT(B1612,"AAMMDD")&amp;"-"&amp;(COUNTIFS($C$5:C1612,C1612,$B$5:B1612,B1612,$I$5:I1612,"ENTRADA")))</f>
        <v/>
      </c>
    </row>
    <row r="1613" spans="1:20">
      <c r="A1613" s="22" t="s">
        <v>1690</v>
      </c>
      <c r="H1613" s="22" t="str">
        <f t="shared" si="35"/>
        <v/>
      </c>
      <c r="J1613" s="32"/>
      <c r="T1613" t="str">
        <f>IF(OR(C1613="",I1613&lt;&gt;"ENTRADA"),"",UPPER(LEFT(SUBSTITUTE(C1613," ",""),3))&amp;"-"&amp;TEXT(B1613,"AAMMDD")&amp;"-"&amp;(COUNTIFS($C$5:C1613,C1613,$B$5:B1613,B1613,$I$5:I1613,"ENTRADA")))</f>
        <v/>
      </c>
    </row>
    <row r="1614" spans="1:20">
      <c r="A1614" s="22" t="s">
        <v>1691</v>
      </c>
      <c r="H1614" s="22" t="str">
        <f t="shared" si="35"/>
        <v/>
      </c>
      <c r="J1614" s="32"/>
      <c r="T1614" t="str">
        <f>IF(OR(C1614="",I1614&lt;&gt;"ENTRADA"),"",UPPER(LEFT(SUBSTITUTE(C1614," ",""),3))&amp;"-"&amp;TEXT(B1614,"AAMMDD")&amp;"-"&amp;(COUNTIFS($C$5:C1614,C1614,$B$5:B1614,B1614,$I$5:I1614,"ENTRADA")))</f>
        <v/>
      </c>
    </row>
    <row r="1615" spans="1:20">
      <c r="A1615" s="22" t="s">
        <v>1692</v>
      </c>
      <c r="H1615" s="22" t="str">
        <f t="shared" si="35"/>
        <v/>
      </c>
      <c r="J1615" s="32"/>
      <c r="T1615" t="str">
        <f>IF(OR(C1615="",I1615&lt;&gt;"ENTRADA"),"",UPPER(LEFT(SUBSTITUTE(C1615," ",""),3))&amp;"-"&amp;TEXT(B1615,"AAMMDD")&amp;"-"&amp;(COUNTIFS($C$5:C1615,C1615,$B$5:B1615,B1615,$I$5:I1615,"ENTRADA")))</f>
        <v/>
      </c>
    </row>
    <row r="1616" spans="1:20">
      <c r="A1616" s="22" t="s">
        <v>1693</v>
      </c>
      <c r="H1616" s="22" t="str">
        <f t="shared" ref="H1616:H1679" si="36">+T1616</f>
        <v/>
      </c>
      <c r="J1616" s="32"/>
      <c r="T1616" t="str">
        <f>IF(OR(C1616="",I1616&lt;&gt;"ENTRADA"),"",UPPER(LEFT(SUBSTITUTE(C1616," ",""),3))&amp;"-"&amp;TEXT(B1616,"AAMMDD")&amp;"-"&amp;(COUNTIFS($C$5:C1616,C1616,$B$5:B1616,B1616,$I$5:I1616,"ENTRADA")))</f>
        <v/>
      </c>
    </row>
    <row r="1617" spans="1:20">
      <c r="A1617" s="22" t="s">
        <v>1694</v>
      </c>
      <c r="H1617" s="22" t="str">
        <f t="shared" si="36"/>
        <v/>
      </c>
      <c r="J1617" s="32"/>
      <c r="T1617" t="str">
        <f>IF(OR(C1617="",I1617&lt;&gt;"ENTRADA"),"",UPPER(LEFT(SUBSTITUTE(C1617," ",""),3))&amp;"-"&amp;TEXT(B1617,"AAMMDD")&amp;"-"&amp;(COUNTIFS($C$5:C1617,C1617,$B$5:B1617,B1617,$I$5:I1617,"ENTRADA")))</f>
        <v/>
      </c>
    </row>
    <row r="1618" spans="1:20">
      <c r="A1618" s="22" t="s">
        <v>1695</v>
      </c>
      <c r="H1618" s="22" t="str">
        <f t="shared" si="36"/>
        <v/>
      </c>
      <c r="J1618" s="32"/>
      <c r="T1618" t="str">
        <f>IF(OR(C1618="",I1618&lt;&gt;"ENTRADA"),"",UPPER(LEFT(SUBSTITUTE(C1618," ",""),3))&amp;"-"&amp;TEXT(B1618,"AAMMDD")&amp;"-"&amp;(COUNTIFS($C$5:C1618,C1618,$B$5:B1618,B1618,$I$5:I1618,"ENTRADA")))</f>
        <v/>
      </c>
    </row>
    <row r="1619" spans="1:20">
      <c r="A1619" s="22" t="s">
        <v>1696</v>
      </c>
      <c r="H1619" s="22" t="str">
        <f t="shared" si="36"/>
        <v/>
      </c>
      <c r="J1619" s="32"/>
      <c r="T1619" t="str">
        <f>IF(OR(C1619="",I1619&lt;&gt;"ENTRADA"),"",UPPER(LEFT(SUBSTITUTE(C1619," ",""),3))&amp;"-"&amp;TEXT(B1619,"AAMMDD")&amp;"-"&amp;(COUNTIFS($C$5:C1619,C1619,$B$5:B1619,B1619,$I$5:I1619,"ENTRADA")))</f>
        <v/>
      </c>
    </row>
    <row r="1620" spans="1:20">
      <c r="A1620" s="22" t="s">
        <v>1697</v>
      </c>
      <c r="H1620" s="22" t="str">
        <f t="shared" si="36"/>
        <v/>
      </c>
      <c r="J1620" s="32"/>
      <c r="T1620" t="str">
        <f>IF(OR(C1620="",I1620&lt;&gt;"ENTRADA"),"",UPPER(LEFT(SUBSTITUTE(C1620," ",""),3))&amp;"-"&amp;TEXT(B1620,"AAMMDD")&amp;"-"&amp;(COUNTIFS($C$5:C1620,C1620,$B$5:B1620,B1620,$I$5:I1620,"ENTRADA")))</f>
        <v/>
      </c>
    </row>
    <row r="1621" spans="1:20">
      <c r="A1621" s="22" t="s">
        <v>1698</v>
      </c>
      <c r="H1621" s="22" t="str">
        <f t="shared" si="36"/>
        <v/>
      </c>
      <c r="J1621" s="32"/>
      <c r="T1621" t="str">
        <f>IF(OR(C1621="",I1621&lt;&gt;"ENTRADA"),"",UPPER(LEFT(SUBSTITUTE(C1621," ",""),3))&amp;"-"&amp;TEXT(B1621,"AAMMDD")&amp;"-"&amp;(COUNTIFS($C$5:C1621,C1621,$B$5:B1621,B1621,$I$5:I1621,"ENTRADA")))</f>
        <v/>
      </c>
    </row>
    <row r="1622" spans="1:20">
      <c r="A1622" s="22" t="s">
        <v>1699</v>
      </c>
      <c r="H1622" s="22" t="str">
        <f t="shared" si="36"/>
        <v/>
      </c>
      <c r="J1622" s="32"/>
      <c r="T1622" t="str">
        <f>IF(OR(C1622="",I1622&lt;&gt;"ENTRADA"),"",UPPER(LEFT(SUBSTITUTE(C1622," ",""),3))&amp;"-"&amp;TEXT(B1622,"AAMMDD")&amp;"-"&amp;(COUNTIFS($C$5:C1622,C1622,$B$5:B1622,B1622,$I$5:I1622,"ENTRADA")))</f>
        <v/>
      </c>
    </row>
    <row r="1623" spans="1:20">
      <c r="A1623" s="22" t="s">
        <v>1700</v>
      </c>
      <c r="H1623" s="22" t="str">
        <f t="shared" si="36"/>
        <v/>
      </c>
      <c r="J1623" s="32"/>
      <c r="T1623" t="str">
        <f>IF(OR(C1623="",I1623&lt;&gt;"ENTRADA"),"",UPPER(LEFT(SUBSTITUTE(C1623," ",""),3))&amp;"-"&amp;TEXT(B1623,"AAMMDD")&amp;"-"&amp;(COUNTIFS($C$5:C1623,C1623,$B$5:B1623,B1623,$I$5:I1623,"ENTRADA")))</f>
        <v/>
      </c>
    </row>
    <row r="1624" spans="1:20">
      <c r="A1624" s="22" t="s">
        <v>1701</v>
      </c>
      <c r="H1624" s="22" t="str">
        <f t="shared" si="36"/>
        <v/>
      </c>
      <c r="J1624" s="32"/>
      <c r="T1624" t="str">
        <f>IF(OR(C1624="",I1624&lt;&gt;"ENTRADA"),"",UPPER(LEFT(SUBSTITUTE(C1624," ",""),3))&amp;"-"&amp;TEXT(B1624,"AAMMDD")&amp;"-"&amp;(COUNTIFS($C$5:C1624,C1624,$B$5:B1624,B1624,$I$5:I1624,"ENTRADA")))</f>
        <v/>
      </c>
    </row>
    <row r="1625" spans="1:20">
      <c r="A1625" s="22" t="s">
        <v>1702</v>
      </c>
      <c r="H1625" s="22" t="str">
        <f t="shared" si="36"/>
        <v/>
      </c>
      <c r="J1625" s="32"/>
      <c r="T1625" t="str">
        <f>IF(OR(C1625="",I1625&lt;&gt;"ENTRADA"),"",UPPER(LEFT(SUBSTITUTE(C1625," ",""),3))&amp;"-"&amp;TEXT(B1625,"AAMMDD")&amp;"-"&amp;(COUNTIFS($C$5:C1625,C1625,$B$5:B1625,B1625,$I$5:I1625,"ENTRADA")))</f>
        <v/>
      </c>
    </row>
    <row r="1626" spans="1:20">
      <c r="A1626" s="22" t="s">
        <v>1703</v>
      </c>
      <c r="H1626" s="22" t="str">
        <f t="shared" si="36"/>
        <v/>
      </c>
      <c r="J1626" s="32"/>
      <c r="T1626" t="str">
        <f>IF(OR(C1626="",I1626&lt;&gt;"ENTRADA"),"",UPPER(LEFT(SUBSTITUTE(C1626," ",""),3))&amp;"-"&amp;TEXT(B1626,"AAMMDD")&amp;"-"&amp;(COUNTIFS($C$5:C1626,C1626,$B$5:B1626,B1626,$I$5:I1626,"ENTRADA")))</f>
        <v/>
      </c>
    </row>
    <row r="1627" spans="1:20">
      <c r="A1627" s="22" t="s">
        <v>1704</v>
      </c>
      <c r="H1627" s="22" t="str">
        <f t="shared" si="36"/>
        <v/>
      </c>
      <c r="J1627" s="32"/>
      <c r="T1627" t="str">
        <f>IF(OR(C1627="",I1627&lt;&gt;"ENTRADA"),"",UPPER(LEFT(SUBSTITUTE(C1627," ",""),3))&amp;"-"&amp;TEXT(B1627,"AAMMDD")&amp;"-"&amp;(COUNTIFS($C$5:C1627,C1627,$B$5:B1627,B1627,$I$5:I1627,"ENTRADA")))</f>
        <v/>
      </c>
    </row>
    <row r="1628" spans="1:20">
      <c r="A1628" s="22" t="s">
        <v>1705</v>
      </c>
      <c r="H1628" s="22" t="str">
        <f t="shared" si="36"/>
        <v/>
      </c>
      <c r="J1628" s="32"/>
      <c r="T1628" t="str">
        <f>IF(OR(C1628="",I1628&lt;&gt;"ENTRADA"),"",UPPER(LEFT(SUBSTITUTE(C1628," ",""),3))&amp;"-"&amp;TEXT(B1628,"AAMMDD")&amp;"-"&amp;(COUNTIFS($C$5:C1628,C1628,$B$5:B1628,B1628,$I$5:I1628,"ENTRADA")))</f>
        <v/>
      </c>
    </row>
    <row r="1629" spans="1:20">
      <c r="A1629" s="22" t="s">
        <v>1706</v>
      </c>
      <c r="H1629" s="22" t="str">
        <f t="shared" si="36"/>
        <v/>
      </c>
      <c r="J1629" s="32"/>
      <c r="T1629" t="str">
        <f>IF(OR(C1629="",I1629&lt;&gt;"ENTRADA"),"",UPPER(LEFT(SUBSTITUTE(C1629," ",""),3))&amp;"-"&amp;TEXT(B1629,"AAMMDD")&amp;"-"&amp;(COUNTIFS($C$5:C1629,C1629,$B$5:B1629,B1629,$I$5:I1629,"ENTRADA")))</f>
        <v/>
      </c>
    </row>
    <row r="1630" spans="1:20">
      <c r="A1630" s="22" t="s">
        <v>1707</v>
      </c>
      <c r="H1630" s="22" t="str">
        <f t="shared" si="36"/>
        <v/>
      </c>
      <c r="J1630" s="32"/>
      <c r="T1630" t="str">
        <f>IF(OR(C1630="",I1630&lt;&gt;"ENTRADA"),"",UPPER(LEFT(SUBSTITUTE(C1630," ",""),3))&amp;"-"&amp;TEXT(B1630,"AAMMDD")&amp;"-"&amp;(COUNTIFS($C$5:C1630,C1630,$B$5:B1630,B1630,$I$5:I1630,"ENTRADA")))</f>
        <v/>
      </c>
    </row>
    <row r="1631" spans="1:20">
      <c r="A1631" s="22" t="s">
        <v>1708</v>
      </c>
      <c r="H1631" s="22" t="str">
        <f t="shared" si="36"/>
        <v/>
      </c>
      <c r="J1631" s="32"/>
      <c r="T1631" t="str">
        <f>IF(OR(C1631="",I1631&lt;&gt;"ENTRADA"),"",UPPER(LEFT(SUBSTITUTE(C1631," ",""),3))&amp;"-"&amp;TEXT(B1631,"AAMMDD")&amp;"-"&amp;(COUNTIFS($C$5:C1631,C1631,$B$5:B1631,B1631,$I$5:I1631,"ENTRADA")))</f>
        <v/>
      </c>
    </row>
    <row r="1632" spans="1:20">
      <c r="A1632" s="22" t="s">
        <v>1709</v>
      </c>
      <c r="H1632" s="22" t="str">
        <f t="shared" si="36"/>
        <v/>
      </c>
      <c r="J1632" s="32"/>
      <c r="T1632" t="str">
        <f>IF(OR(C1632="",I1632&lt;&gt;"ENTRADA"),"",UPPER(LEFT(SUBSTITUTE(C1632," ",""),3))&amp;"-"&amp;TEXT(B1632,"AAMMDD")&amp;"-"&amp;(COUNTIFS($C$5:C1632,C1632,$B$5:B1632,B1632,$I$5:I1632,"ENTRADA")))</f>
        <v/>
      </c>
    </row>
    <row r="1633" spans="1:20">
      <c r="A1633" s="22" t="s">
        <v>1710</v>
      </c>
      <c r="H1633" s="22" t="str">
        <f t="shared" si="36"/>
        <v/>
      </c>
      <c r="J1633" s="32"/>
      <c r="T1633" t="str">
        <f>IF(OR(C1633="",I1633&lt;&gt;"ENTRADA"),"",UPPER(LEFT(SUBSTITUTE(C1633," ",""),3))&amp;"-"&amp;TEXT(B1633,"AAMMDD")&amp;"-"&amp;(COUNTIFS($C$5:C1633,C1633,$B$5:B1633,B1633,$I$5:I1633,"ENTRADA")))</f>
        <v/>
      </c>
    </row>
    <row r="1634" spans="1:20">
      <c r="A1634" s="22" t="s">
        <v>1711</v>
      </c>
      <c r="H1634" s="22" t="str">
        <f t="shared" si="36"/>
        <v/>
      </c>
      <c r="J1634" s="32"/>
      <c r="T1634" t="str">
        <f>IF(OR(C1634="",I1634&lt;&gt;"ENTRADA"),"",UPPER(LEFT(SUBSTITUTE(C1634," ",""),3))&amp;"-"&amp;TEXT(B1634,"AAMMDD")&amp;"-"&amp;(COUNTIFS($C$5:C1634,C1634,$B$5:B1634,B1634,$I$5:I1634,"ENTRADA")))</f>
        <v/>
      </c>
    </row>
    <row r="1635" spans="1:20">
      <c r="A1635" s="22" t="s">
        <v>1712</v>
      </c>
      <c r="H1635" s="22" t="str">
        <f t="shared" si="36"/>
        <v/>
      </c>
      <c r="J1635" s="32"/>
      <c r="T1635" t="str">
        <f>IF(OR(C1635="",I1635&lt;&gt;"ENTRADA"),"",UPPER(LEFT(SUBSTITUTE(C1635," ",""),3))&amp;"-"&amp;TEXT(B1635,"AAMMDD")&amp;"-"&amp;(COUNTIFS($C$5:C1635,C1635,$B$5:B1635,B1635,$I$5:I1635,"ENTRADA")))</f>
        <v/>
      </c>
    </row>
    <row r="1636" spans="1:20">
      <c r="A1636" s="22" t="s">
        <v>1713</v>
      </c>
      <c r="H1636" s="22" t="str">
        <f t="shared" si="36"/>
        <v/>
      </c>
      <c r="J1636" s="32"/>
      <c r="T1636" t="str">
        <f>IF(OR(C1636="",I1636&lt;&gt;"ENTRADA"),"",UPPER(LEFT(SUBSTITUTE(C1636," ",""),3))&amp;"-"&amp;TEXT(B1636,"AAMMDD")&amp;"-"&amp;(COUNTIFS($C$5:C1636,C1636,$B$5:B1636,B1636,$I$5:I1636,"ENTRADA")))</f>
        <v/>
      </c>
    </row>
    <row r="1637" spans="1:20">
      <c r="A1637" s="22" t="s">
        <v>1714</v>
      </c>
      <c r="H1637" s="22" t="str">
        <f t="shared" si="36"/>
        <v/>
      </c>
      <c r="J1637" s="32"/>
      <c r="T1637" t="str">
        <f>IF(OR(C1637="",I1637&lt;&gt;"ENTRADA"),"",UPPER(LEFT(SUBSTITUTE(C1637," ",""),3))&amp;"-"&amp;TEXT(B1637,"AAMMDD")&amp;"-"&amp;(COUNTIFS($C$5:C1637,C1637,$B$5:B1637,B1637,$I$5:I1637,"ENTRADA")))</f>
        <v/>
      </c>
    </row>
    <row r="1638" spans="1:20">
      <c r="A1638" s="22" t="s">
        <v>1715</v>
      </c>
      <c r="H1638" s="22" t="str">
        <f t="shared" si="36"/>
        <v/>
      </c>
      <c r="J1638" s="32"/>
      <c r="T1638" t="str">
        <f>IF(OR(C1638="",I1638&lt;&gt;"ENTRADA"),"",UPPER(LEFT(SUBSTITUTE(C1638," ",""),3))&amp;"-"&amp;TEXT(B1638,"AAMMDD")&amp;"-"&amp;(COUNTIFS($C$5:C1638,C1638,$B$5:B1638,B1638,$I$5:I1638,"ENTRADA")))</f>
        <v/>
      </c>
    </row>
    <row r="1639" spans="1:20">
      <c r="A1639" s="22" t="s">
        <v>1716</v>
      </c>
      <c r="H1639" s="22" t="str">
        <f t="shared" si="36"/>
        <v/>
      </c>
      <c r="J1639" s="32"/>
      <c r="T1639" t="str">
        <f>IF(OR(C1639="",I1639&lt;&gt;"ENTRADA"),"",UPPER(LEFT(SUBSTITUTE(C1639," ",""),3))&amp;"-"&amp;TEXT(B1639,"AAMMDD")&amp;"-"&amp;(COUNTIFS($C$5:C1639,C1639,$B$5:B1639,B1639,$I$5:I1639,"ENTRADA")))</f>
        <v/>
      </c>
    </row>
    <row r="1640" spans="1:20">
      <c r="A1640" s="22" t="s">
        <v>1717</v>
      </c>
      <c r="H1640" s="22" t="str">
        <f t="shared" si="36"/>
        <v/>
      </c>
      <c r="J1640" s="32"/>
      <c r="T1640" t="str">
        <f>IF(OR(C1640="",I1640&lt;&gt;"ENTRADA"),"",UPPER(LEFT(SUBSTITUTE(C1640," ",""),3))&amp;"-"&amp;TEXT(B1640,"AAMMDD")&amp;"-"&amp;(COUNTIFS($C$5:C1640,C1640,$B$5:B1640,B1640,$I$5:I1640,"ENTRADA")))</f>
        <v/>
      </c>
    </row>
    <row r="1641" spans="1:20">
      <c r="A1641" s="22" t="s">
        <v>1718</v>
      </c>
      <c r="H1641" s="22" t="str">
        <f t="shared" si="36"/>
        <v/>
      </c>
      <c r="J1641" s="32"/>
      <c r="T1641" t="str">
        <f>IF(OR(C1641="",I1641&lt;&gt;"ENTRADA"),"",UPPER(LEFT(SUBSTITUTE(C1641," ",""),3))&amp;"-"&amp;TEXT(B1641,"AAMMDD")&amp;"-"&amp;(COUNTIFS($C$5:C1641,C1641,$B$5:B1641,B1641,$I$5:I1641,"ENTRADA")))</f>
        <v/>
      </c>
    </row>
    <row r="1642" spans="1:20">
      <c r="A1642" s="22" t="s">
        <v>1719</v>
      </c>
      <c r="H1642" s="22" t="str">
        <f t="shared" si="36"/>
        <v/>
      </c>
      <c r="J1642" s="32"/>
      <c r="T1642" t="str">
        <f>IF(OR(C1642="",I1642&lt;&gt;"ENTRADA"),"",UPPER(LEFT(SUBSTITUTE(C1642," ",""),3))&amp;"-"&amp;TEXT(B1642,"AAMMDD")&amp;"-"&amp;(COUNTIFS($C$5:C1642,C1642,$B$5:B1642,B1642,$I$5:I1642,"ENTRADA")))</f>
        <v/>
      </c>
    </row>
    <row r="1643" spans="1:20">
      <c r="A1643" s="22" t="s">
        <v>1720</v>
      </c>
      <c r="H1643" s="22" t="str">
        <f t="shared" si="36"/>
        <v/>
      </c>
      <c r="J1643" s="32"/>
      <c r="T1643" t="str">
        <f>IF(OR(C1643="",I1643&lt;&gt;"ENTRADA"),"",UPPER(LEFT(SUBSTITUTE(C1643," ",""),3))&amp;"-"&amp;TEXT(B1643,"AAMMDD")&amp;"-"&amp;(COUNTIFS($C$5:C1643,C1643,$B$5:B1643,B1643,$I$5:I1643,"ENTRADA")))</f>
        <v/>
      </c>
    </row>
    <row r="1644" spans="1:20">
      <c r="A1644" s="22" t="s">
        <v>1721</v>
      </c>
      <c r="H1644" s="22" t="str">
        <f t="shared" si="36"/>
        <v/>
      </c>
      <c r="J1644" s="32"/>
      <c r="T1644" t="str">
        <f>IF(OR(C1644="",I1644&lt;&gt;"ENTRADA"),"",UPPER(LEFT(SUBSTITUTE(C1644," ",""),3))&amp;"-"&amp;TEXT(B1644,"AAMMDD")&amp;"-"&amp;(COUNTIFS($C$5:C1644,C1644,$B$5:B1644,B1644,$I$5:I1644,"ENTRADA")))</f>
        <v/>
      </c>
    </row>
    <row r="1645" spans="1:20">
      <c r="A1645" s="22" t="s">
        <v>1722</v>
      </c>
      <c r="H1645" s="22" t="str">
        <f t="shared" si="36"/>
        <v/>
      </c>
      <c r="J1645" s="32"/>
      <c r="T1645" t="str">
        <f>IF(OR(C1645="",I1645&lt;&gt;"ENTRADA"),"",UPPER(LEFT(SUBSTITUTE(C1645," ",""),3))&amp;"-"&amp;TEXT(B1645,"AAMMDD")&amp;"-"&amp;(COUNTIFS($C$5:C1645,C1645,$B$5:B1645,B1645,$I$5:I1645,"ENTRADA")))</f>
        <v/>
      </c>
    </row>
    <row r="1646" spans="1:20">
      <c r="A1646" s="22" t="s">
        <v>1723</v>
      </c>
      <c r="H1646" s="22" t="str">
        <f t="shared" si="36"/>
        <v/>
      </c>
      <c r="J1646" s="32"/>
      <c r="T1646" t="str">
        <f>IF(OR(C1646="",I1646&lt;&gt;"ENTRADA"),"",UPPER(LEFT(SUBSTITUTE(C1646," ",""),3))&amp;"-"&amp;TEXT(B1646,"AAMMDD")&amp;"-"&amp;(COUNTIFS($C$5:C1646,C1646,$B$5:B1646,B1646,$I$5:I1646,"ENTRADA")))</f>
        <v/>
      </c>
    </row>
    <row r="1647" spans="1:20">
      <c r="A1647" s="22" t="s">
        <v>1724</v>
      </c>
      <c r="H1647" s="22" t="str">
        <f t="shared" si="36"/>
        <v/>
      </c>
      <c r="J1647" s="32"/>
      <c r="T1647" t="str">
        <f>IF(OR(C1647="",I1647&lt;&gt;"ENTRADA"),"",UPPER(LEFT(SUBSTITUTE(C1647," ",""),3))&amp;"-"&amp;TEXT(B1647,"AAMMDD")&amp;"-"&amp;(COUNTIFS($C$5:C1647,C1647,$B$5:B1647,B1647,$I$5:I1647,"ENTRADA")))</f>
        <v/>
      </c>
    </row>
    <row r="1648" spans="1:20">
      <c r="A1648" s="22" t="s">
        <v>1725</v>
      </c>
      <c r="H1648" s="22" t="str">
        <f t="shared" si="36"/>
        <v/>
      </c>
      <c r="J1648" s="32"/>
      <c r="T1648" t="str">
        <f>IF(OR(C1648="",I1648&lt;&gt;"ENTRADA"),"",UPPER(LEFT(SUBSTITUTE(C1648," ",""),3))&amp;"-"&amp;TEXT(B1648,"AAMMDD")&amp;"-"&amp;(COUNTIFS($C$5:C1648,C1648,$B$5:B1648,B1648,$I$5:I1648,"ENTRADA")))</f>
        <v/>
      </c>
    </row>
    <row r="1649" spans="1:20">
      <c r="A1649" s="22" t="s">
        <v>1726</v>
      </c>
      <c r="H1649" s="22" t="str">
        <f t="shared" si="36"/>
        <v/>
      </c>
      <c r="J1649" s="32"/>
      <c r="T1649" t="str">
        <f>IF(OR(C1649="",I1649&lt;&gt;"ENTRADA"),"",UPPER(LEFT(SUBSTITUTE(C1649," ",""),3))&amp;"-"&amp;TEXT(B1649,"AAMMDD")&amp;"-"&amp;(COUNTIFS($C$5:C1649,C1649,$B$5:B1649,B1649,$I$5:I1649,"ENTRADA")))</f>
        <v/>
      </c>
    </row>
    <row r="1650" spans="1:20">
      <c r="A1650" s="22" t="s">
        <v>1727</v>
      </c>
      <c r="H1650" s="22" t="str">
        <f t="shared" si="36"/>
        <v/>
      </c>
      <c r="J1650" s="32"/>
      <c r="T1650" t="str">
        <f>IF(OR(C1650="",I1650&lt;&gt;"ENTRADA"),"",UPPER(LEFT(SUBSTITUTE(C1650," ",""),3))&amp;"-"&amp;TEXT(B1650,"AAMMDD")&amp;"-"&amp;(COUNTIFS($C$5:C1650,C1650,$B$5:B1650,B1650,$I$5:I1650,"ENTRADA")))</f>
        <v/>
      </c>
    </row>
    <row r="1651" spans="1:20">
      <c r="A1651" s="22" t="s">
        <v>1728</v>
      </c>
      <c r="H1651" s="22" t="str">
        <f t="shared" si="36"/>
        <v/>
      </c>
      <c r="J1651" s="32"/>
      <c r="T1651" t="str">
        <f>IF(OR(C1651="",I1651&lt;&gt;"ENTRADA"),"",UPPER(LEFT(SUBSTITUTE(C1651," ",""),3))&amp;"-"&amp;TEXT(B1651,"AAMMDD")&amp;"-"&amp;(COUNTIFS($C$5:C1651,C1651,$B$5:B1651,B1651,$I$5:I1651,"ENTRADA")))</f>
        <v/>
      </c>
    </row>
    <row r="1652" spans="1:20">
      <c r="A1652" s="22" t="s">
        <v>1729</v>
      </c>
      <c r="H1652" s="22" t="str">
        <f t="shared" si="36"/>
        <v/>
      </c>
      <c r="J1652" s="32"/>
      <c r="T1652" t="str">
        <f>IF(OR(C1652="",I1652&lt;&gt;"ENTRADA"),"",UPPER(LEFT(SUBSTITUTE(C1652," ",""),3))&amp;"-"&amp;TEXT(B1652,"AAMMDD")&amp;"-"&amp;(COUNTIFS($C$5:C1652,C1652,$B$5:B1652,B1652,$I$5:I1652,"ENTRADA")))</f>
        <v/>
      </c>
    </row>
    <row r="1653" spans="1:20">
      <c r="A1653" s="22" t="s">
        <v>1730</v>
      </c>
      <c r="H1653" s="22" t="str">
        <f t="shared" si="36"/>
        <v/>
      </c>
      <c r="J1653" s="32"/>
      <c r="T1653" t="str">
        <f>IF(OR(C1653="",I1653&lt;&gt;"ENTRADA"),"",UPPER(LEFT(SUBSTITUTE(C1653," ",""),3))&amp;"-"&amp;TEXT(B1653,"AAMMDD")&amp;"-"&amp;(COUNTIFS($C$5:C1653,C1653,$B$5:B1653,B1653,$I$5:I1653,"ENTRADA")))</f>
        <v/>
      </c>
    </row>
    <row r="1654" spans="1:20">
      <c r="A1654" s="22" t="s">
        <v>1731</v>
      </c>
      <c r="H1654" s="22" t="str">
        <f t="shared" si="36"/>
        <v/>
      </c>
      <c r="J1654" s="32"/>
      <c r="T1654" t="str">
        <f>IF(OR(C1654="",I1654&lt;&gt;"ENTRADA"),"",UPPER(LEFT(SUBSTITUTE(C1654," ",""),3))&amp;"-"&amp;TEXT(B1654,"AAMMDD")&amp;"-"&amp;(COUNTIFS($C$5:C1654,C1654,$B$5:B1654,B1654,$I$5:I1654,"ENTRADA")))</f>
        <v/>
      </c>
    </row>
    <row r="1655" spans="1:20">
      <c r="A1655" s="22" t="s">
        <v>1732</v>
      </c>
      <c r="H1655" s="22" t="str">
        <f t="shared" si="36"/>
        <v/>
      </c>
      <c r="J1655" s="32"/>
      <c r="T1655" t="str">
        <f>IF(OR(C1655="",I1655&lt;&gt;"ENTRADA"),"",UPPER(LEFT(SUBSTITUTE(C1655," ",""),3))&amp;"-"&amp;TEXT(B1655,"AAMMDD")&amp;"-"&amp;(COUNTIFS($C$5:C1655,C1655,$B$5:B1655,B1655,$I$5:I1655,"ENTRADA")))</f>
        <v/>
      </c>
    </row>
    <row r="1656" spans="1:20">
      <c r="A1656" s="22" t="s">
        <v>1733</v>
      </c>
      <c r="H1656" s="22" t="str">
        <f t="shared" si="36"/>
        <v/>
      </c>
      <c r="J1656" s="32"/>
      <c r="T1656" t="str">
        <f>IF(OR(C1656="",I1656&lt;&gt;"ENTRADA"),"",UPPER(LEFT(SUBSTITUTE(C1656," ",""),3))&amp;"-"&amp;TEXT(B1656,"AAMMDD")&amp;"-"&amp;(COUNTIFS($C$5:C1656,C1656,$B$5:B1656,B1656,$I$5:I1656,"ENTRADA")))</f>
        <v/>
      </c>
    </row>
    <row r="1657" spans="1:20">
      <c r="A1657" s="22" t="s">
        <v>1734</v>
      </c>
      <c r="H1657" s="22" t="str">
        <f t="shared" si="36"/>
        <v/>
      </c>
      <c r="J1657" s="32"/>
      <c r="T1657" t="str">
        <f>IF(OR(C1657="",I1657&lt;&gt;"ENTRADA"),"",UPPER(LEFT(SUBSTITUTE(C1657," ",""),3))&amp;"-"&amp;TEXT(B1657,"AAMMDD")&amp;"-"&amp;(COUNTIFS($C$5:C1657,C1657,$B$5:B1657,B1657,$I$5:I1657,"ENTRADA")))</f>
        <v/>
      </c>
    </row>
    <row r="1658" spans="1:20">
      <c r="A1658" s="22" t="s">
        <v>1735</v>
      </c>
      <c r="H1658" s="22" t="str">
        <f t="shared" si="36"/>
        <v/>
      </c>
      <c r="J1658" s="32"/>
      <c r="T1658" t="str">
        <f>IF(OR(C1658="",I1658&lt;&gt;"ENTRADA"),"",UPPER(LEFT(SUBSTITUTE(C1658," ",""),3))&amp;"-"&amp;TEXT(B1658,"AAMMDD")&amp;"-"&amp;(COUNTIFS($C$5:C1658,C1658,$B$5:B1658,B1658,$I$5:I1658,"ENTRADA")))</f>
        <v/>
      </c>
    </row>
    <row r="1659" spans="1:20">
      <c r="A1659" s="22" t="s">
        <v>1736</v>
      </c>
      <c r="H1659" s="22" t="str">
        <f t="shared" si="36"/>
        <v/>
      </c>
      <c r="J1659" s="32"/>
      <c r="T1659" t="str">
        <f>IF(OR(C1659="",I1659&lt;&gt;"ENTRADA"),"",UPPER(LEFT(SUBSTITUTE(C1659," ",""),3))&amp;"-"&amp;TEXT(B1659,"AAMMDD")&amp;"-"&amp;(COUNTIFS($C$5:C1659,C1659,$B$5:B1659,B1659,$I$5:I1659,"ENTRADA")))</f>
        <v/>
      </c>
    </row>
    <row r="1660" spans="1:20">
      <c r="A1660" s="22" t="s">
        <v>1737</v>
      </c>
      <c r="H1660" s="22" t="str">
        <f t="shared" si="36"/>
        <v/>
      </c>
      <c r="J1660" s="32"/>
      <c r="T1660" t="str">
        <f>IF(OR(C1660="",I1660&lt;&gt;"ENTRADA"),"",UPPER(LEFT(SUBSTITUTE(C1660," ",""),3))&amp;"-"&amp;TEXT(B1660,"AAMMDD")&amp;"-"&amp;(COUNTIFS($C$5:C1660,C1660,$B$5:B1660,B1660,$I$5:I1660,"ENTRADA")))</f>
        <v/>
      </c>
    </row>
    <row r="1661" spans="1:20">
      <c r="A1661" s="22" t="s">
        <v>1738</v>
      </c>
      <c r="H1661" s="22" t="str">
        <f t="shared" si="36"/>
        <v/>
      </c>
      <c r="J1661" s="32"/>
      <c r="T1661" t="str">
        <f>IF(OR(C1661="",I1661&lt;&gt;"ENTRADA"),"",UPPER(LEFT(SUBSTITUTE(C1661," ",""),3))&amp;"-"&amp;TEXT(B1661,"AAMMDD")&amp;"-"&amp;(COUNTIFS($C$5:C1661,C1661,$B$5:B1661,B1661,$I$5:I1661,"ENTRADA")))</f>
        <v/>
      </c>
    </row>
    <row r="1662" spans="1:20">
      <c r="A1662" s="22" t="s">
        <v>1739</v>
      </c>
      <c r="H1662" s="22" t="str">
        <f t="shared" si="36"/>
        <v/>
      </c>
      <c r="J1662" s="32"/>
      <c r="T1662" t="str">
        <f>IF(OR(C1662="",I1662&lt;&gt;"ENTRADA"),"",UPPER(LEFT(SUBSTITUTE(C1662," ",""),3))&amp;"-"&amp;TEXT(B1662,"AAMMDD")&amp;"-"&amp;(COUNTIFS($C$5:C1662,C1662,$B$5:B1662,B1662,$I$5:I1662,"ENTRADA")))</f>
        <v/>
      </c>
    </row>
    <row r="1663" spans="1:20">
      <c r="A1663" s="22" t="s">
        <v>1740</v>
      </c>
      <c r="H1663" s="22" t="str">
        <f t="shared" si="36"/>
        <v/>
      </c>
      <c r="J1663" s="32"/>
      <c r="T1663" t="str">
        <f>IF(OR(C1663="",I1663&lt;&gt;"ENTRADA"),"",UPPER(LEFT(SUBSTITUTE(C1663," ",""),3))&amp;"-"&amp;TEXT(B1663,"AAMMDD")&amp;"-"&amp;(COUNTIFS($C$5:C1663,C1663,$B$5:B1663,B1663,$I$5:I1663,"ENTRADA")))</f>
        <v/>
      </c>
    </row>
    <row r="1664" spans="1:20">
      <c r="A1664" s="22" t="s">
        <v>1741</v>
      </c>
      <c r="H1664" s="22" t="str">
        <f t="shared" si="36"/>
        <v/>
      </c>
      <c r="J1664" s="32"/>
      <c r="T1664" t="str">
        <f>IF(OR(C1664="",I1664&lt;&gt;"ENTRADA"),"",UPPER(LEFT(SUBSTITUTE(C1664," ",""),3))&amp;"-"&amp;TEXT(B1664,"AAMMDD")&amp;"-"&amp;(COUNTIFS($C$5:C1664,C1664,$B$5:B1664,B1664,$I$5:I1664,"ENTRADA")))</f>
        <v/>
      </c>
    </row>
    <row r="1665" spans="1:20">
      <c r="A1665" s="22" t="s">
        <v>1742</v>
      </c>
      <c r="H1665" s="22" t="str">
        <f t="shared" si="36"/>
        <v/>
      </c>
      <c r="J1665" s="32"/>
      <c r="T1665" t="str">
        <f>IF(OR(C1665="",I1665&lt;&gt;"ENTRADA"),"",UPPER(LEFT(SUBSTITUTE(C1665," ",""),3))&amp;"-"&amp;TEXT(B1665,"AAMMDD")&amp;"-"&amp;(COUNTIFS($C$5:C1665,C1665,$B$5:B1665,B1665,$I$5:I1665,"ENTRADA")))</f>
        <v/>
      </c>
    </row>
    <row r="1666" spans="1:20">
      <c r="A1666" s="22" t="s">
        <v>1743</v>
      </c>
      <c r="H1666" s="22" t="str">
        <f t="shared" si="36"/>
        <v/>
      </c>
      <c r="J1666" s="32"/>
      <c r="T1666" t="str">
        <f>IF(OR(C1666="",I1666&lt;&gt;"ENTRADA"),"",UPPER(LEFT(SUBSTITUTE(C1666," ",""),3))&amp;"-"&amp;TEXT(B1666,"AAMMDD")&amp;"-"&amp;(COUNTIFS($C$5:C1666,C1666,$B$5:B1666,B1666,$I$5:I1666,"ENTRADA")))</f>
        <v/>
      </c>
    </row>
    <row r="1667" spans="1:20">
      <c r="A1667" s="22" t="s">
        <v>1744</v>
      </c>
      <c r="H1667" s="22" t="str">
        <f t="shared" si="36"/>
        <v/>
      </c>
      <c r="J1667" s="32"/>
      <c r="T1667" t="str">
        <f>IF(OR(C1667="",I1667&lt;&gt;"ENTRADA"),"",UPPER(LEFT(SUBSTITUTE(C1667," ",""),3))&amp;"-"&amp;TEXT(B1667,"AAMMDD")&amp;"-"&amp;(COUNTIFS($C$5:C1667,C1667,$B$5:B1667,B1667,$I$5:I1667,"ENTRADA")))</f>
        <v/>
      </c>
    </row>
    <row r="1668" spans="1:20">
      <c r="A1668" s="22" t="s">
        <v>1745</v>
      </c>
      <c r="H1668" s="22" t="str">
        <f t="shared" si="36"/>
        <v/>
      </c>
      <c r="J1668" s="32"/>
      <c r="T1668" t="str">
        <f>IF(OR(C1668="",I1668&lt;&gt;"ENTRADA"),"",UPPER(LEFT(SUBSTITUTE(C1668," ",""),3))&amp;"-"&amp;TEXT(B1668,"AAMMDD")&amp;"-"&amp;(COUNTIFS($C$5:C1668,C1668,$B$5:B1668,B1668,$I$5:I1668,"ENTRADA")))</f>
        <v/>
      </c>
    </row>
    <row r="1669" spans="1:20">
      <c r="A1669" s="22" t="s">
        <v>1746</v>
      </c>
      <c r="H1669" s="22" t="str">
        <f t="shared" si="36"/>
        <v/>
      </c>
      <c r="J1669" s="32"/>
      <c r="T1669" t="str">
        <f>IF(OR(C1669="",I1669&lt;&gt;"ENTRADA"),"",UPPER(LEFT(SUBSTITUTE(C1669," ",""),3))&amp;"-"&amp;TEXT(B1669,"AAMMDD")&amp;"-"&amp;(COUNTIFS($C$5:C1669,C1669,$B$5:B1669,B1669,$I$5:I1669,"ENTRADA")))</f>
        <v/>
      </c>
    </row>
    <row r="1670" spans="1:20">
      <c r="A1670" s="22" t="s">
        <v>1747</v>
      </c>
      <c r="H1670" s="22" t="str">
        <f t="shared" si="36"/>
        <v/>
      </c>
      <c r="J1670" s="32"/>
      <c r="T1670" t="str">
        <f>IF(OR(C1670="",I1670&lt;&gt;"ENTRADA"),"",UPPER(LEFT(SUBSTITUTE(C1670," ",""),3))&amp;"-"&amp;TEXT(B1670,"AAMMDD")&amp;"-"&amp;(COUNTIFS($C$5:C1670,C1670,$B$5:B1670,B1670,$I$5:I1670,"ENTRADA")))</f>
        <v/>
      </c>
    </row>
    <row r="1671" spans="1:20">
      <c r="A1671" s="22" t="s">
        <v>1748</v>
      </c>
      <c r="H1671" s="22" t="str">
        <f t="shared" si="36"/>
        <v/>
      </c>
      <c r="J1671" s="32"/>
      <c r="T1671" t="str">
        <f>IF(OR(C1671="",I1671&lt;&gt;"ENTRADA"),"",UPPER(LEFT(SUBSTITUTE(C1671," ",""),3))&amp;"-"&amp;TEXT(B1671,"AAMMDD")&amp;"-"&amp;(COUNTIFS($C$5:C1671,C1671,$B$5:B1671,B1671,$I$5:I1671,"ENTRADA")))</f>
        <v/>
      </c>
    </row>
    <row r="1672" spans="1:20">
      <c r="A1672" s="22" t="s">
        <v>1749</v>
      </c>
      <c r="H1672" s="22" t="str">
        <f t="shared" si="36"/>
        <v/>
      </c>
      <c r="J1672" s="32"/>
      <c r="T1672" t="str">
        <f>IF(OR(C1672="",I1672&lt;&gt;"ENTRADA"),"",UPPER(LEFT(SUBSTITUTE(C1672," ",""),3))&amp;"-"&amp;TEXT(B1672,"AAMMDD")&amp;"-"&amp;(COUNTIFS($C$5:C1672,C1672,$B$5:B1672,B1672,$I$5:I1672,"ENTRADA")))</f>
        <v/>
      </c>
    </row>
    <row r="1673" spans="1:20">
      <c r="A1673" s="22" t="s">
        <v>1750</v>
      </c>
      <c r="H1673" s="22" t="str">
        <f t="shared" si="36"/>
        <v/>
      </c>
      <c r="J1673" s="32"/>
      <c r="T1673" t="str">
        <f>IF(OR(C1673="",I1673&lt;&gt;"ENTRADA"),"",UPPER(LEFT(SUBSTITUTE(C1673," ",""),3))&amp;"-"&amp;TEXT(B1673,"AAMMDD")&amp;"-"&amp;(COUNTIFS($C$5:C1673,C1673,$B$5:B1673,B1673,$I$5:I1673,"ENTRADA")))</f>
        <v/>
      </c>
    </row>
    <row r="1674" spans="1:20">
      <c r="A1674" s="22" t="s">
        <v>1751</v>
      </c>
      <c r="H1674" s="22" t="str">
        <f t="shared" si="36"/>
        <v/>
      </c>
      <c r="J1674" s="32"/>
      <c r="T1674" t="str">
        <f>IF(OR(C1674="",I1674&lt;&gt;"ENTRADA"),"",UPPER(LEFT(SUBSTITUTE(C1674," ",""),3))&amp;"-"&amp;TEXT(B1674,"AAMMDD")&amp;"-"&amp;(COUNTIFS($C$5:C1674,C1674,$B$5:B1674,B1674,$I$5:I1674,"ENTRADA")))</f>
        <v/>
      </c>
    </row>
    <row r="1675" spans="1:20">
      <c r="A1675" s="22" t="s">
        <v>1752</v>
      </c>
      <c r="H1675" s="22" t="str">
        <f t="shared" si="36"/>
        <v/>
      </c>
      <c r="J1675" s="32"/>
      <c r="T1675" t="str">
        <f>IF(OR(C1675="",I1675&lt;&gt;"ENTRADA"),"",UPPER(LEFT(SUBSTITUTE(C1675," ",""),3))&amp;"-"&amp;TEXT(B1675,"AAMMDD")&amp;"-"&amp;(COUNTIFS($C$5:C1675,C1675,$B$5:B1675,B1675,$I$5:I1675,"ENTRADA")))</f>
        <v/>
      </c>
    </row>
    <row r="1676" spans="1:20">
      <c r="A1676" s="22" t="s">
        <v>1753</v>
      </c>
      <c r="H1676" s="22" t="str">
        <f t="shared" si="36"/>
        <v/>
      </c>
      <c r="J1676" s="32"/>
      <c r="T1676" t="str">
        <f>IF(OR(C1676="",I1676&lt;&gt;"ENTRADA"),"",UPPER(LEFT(SUBSTITUTE(C1676," ",""),3))&amp;"-"&amp;TEXT(B1676,"AAMMDD")&amp;"-"&amp;(COUNTIFS($C$5:C1676,C1676,$B$5:B1676,B1676,$I$5:I1676,"ENTRADA")))</f>
        <v/>
      </c>
    </row>
    <row r="1677" spans="1:20">
      <c r="A1677" s="22" t="s">
        <v>1754</v>
      </c>
      <c r="H1677" s="22" t="str">
        <f t="shared" si="36"/>
        <v/>
      </c>
      <c r="J1677" s="32"/>
      <c r="T1677" t="str">
        <f>IF(OR(C1677="",I1677&lt;&gt;"ENTRADA"),"",UPPER(LEFT(SUBSTITUTE(C1677," ",""),3))&amp;"-"&amp;TEXT(B1677,"AAMMDD")&amp;"-"&amp;(COUNTIFS($C$5:C1677,C1677,$B$5:B1677,B1677,$I$5:I1677,"ENTRADA")))</f>
        <v/>
      </c>
    </row>
    <row r="1678" spans="1:20">
      <c r="A1678" s="22" t="s">
        <v>1755</v>
      </c>
      <c r="H1678" s="22" t="str">
        <f t="shared" si="36"/>
        <v/>
      </c>
      <c r="J1678" s="32"/>
      <c r="T1678" t="str">
        <f>IF(OR(C1678="",I1678&lt;&gt;"ENTRADA"),"",UPPER(LEFT(SUBSTITUTE(C1678," ",""),3))&amp;"-"&amp;TEXT(B1678,"AAMMDD")&amp;"-"&amp;(COUNTIFS($C$5:C1678,C1678,$B$5:B1678,B1678,$I$5:I1678,"ENTRADA")))</f>
        <v/>
      </c>
    </row>
    <row r="1679" spans="1:20">
      <c r="A1679" s="22" t="s">
        <v>1756</v>
      </c>
      <c r="H1679" s="22" t="str">
        <f t="shared" si="36"/>
        <v/>
      </c>
      <c r="J1679" s="32"/>
      <c r="T1679" t="str">
        <f>IF(OR(C1679="",I1679&lt;&gt;"ENTRADA"),"",UPPER(LEFT(SUBSTITUTE(C1679," ",""),3))&amp;"-"&amp;TEXT(B1679,"AAMMDD")&amp;"-"&amp;(COUNTIFS($C$5:C1679,C1679,$B$5:B1679,B1679,$I$5:I1679,"ENTRADA")))</f>
        <v/>
      </c>
    </row>
    <row r="1680" spans="1:20">
      <c r="A1680" s="22" t="s">
        <v>1757</v>
      </c>
      <c r="H1680" s="22" t="str">
        <f t="shared" ref="H1680:H1743" si="37">+T1680</f>
        <v/>
      </c>
      <c r="J1680" s="32"/>
      <c r="T1680" t="str">
        <f>IF(OR(C1680="",I1680&lt;&gt;"ENTRADA"),"",UPPER(LEFT(SUBSTITUTE(C1680," ",""),3))&amp;"-"&amp;TEXT(B1680,"AAMMDD")&amp;"-"&amp;(COUNTIFS($C$5:C1680,C1680,$B$5:B1680,B1680,$I$5:I1680,"ENTRADA")))</f>
        <v/>
      </c>
    </row>
    <row r="1681" spans="1:20">
      <c r="A1681" s="22" t="s">
        <v>1758</v>
      </c>
      <c r="H1681" s="22" t="str">
        <f t="shared" si="37"/>
        <v/>
      </c>
      <c r="J1681" s="32"/>
      <c r="T1681" t="str">
        <f>IF(OR(C1681="",I1681&lt;&gt;"ENTRADA"),"",UPPER(LEFT(SUBSTITUTE(C1681," ",""),3))&amp;"-"&amp;TEXT(B1681,"AAMMDD")&amp;"-"&amp;(COUNTIFS($C$5:C1681,C1681,$B$5:B1681,B1681,$I$5:I1681,"ENTRADA")))</f>
        <v/>
      </c>
    </row>
    <row r="1682" spans="1:20">
      <c r="A1682" s="22" t="s">
        <v>1759</v>
      </c>
      <c r="H1682" s="22" t="str">
        <f t="shared" si="37"/>
        <v/>
      </c>
      <c r="J1682" s="32"/>
      <c r="T1682" t="str">
        <f>IF(OR(C1682="",I1682&lt;&gt;"ENTRADA"),"",UPPER(LEFT(SUBSTITUTE(C1682," ",""),3))&amp;"-"&amp;TEXT(B1682,"AAMMDD")&amp;"-"&amp;(COUNTIFS($C$5:C1682,C1682,$B$5:B1682,B1682,$I$5:I1682,"ENTRADA")))</f>
        <v/>
      </c>
    </row>
    <row r="1683" spans="1:20">
      <c r="A1683" s="22" t="s">
        <v>1760</v>
      </c>
      <c r="H1683" s="22" t="str">
        <f t="shared" si="37"/>
        <v/>
      </c>
      <c r="J1683" s="32"/>
      <c r="T1683" t="str">
        <f>IF(OR(C1683="",I1683&lt;&gt;"ENTRADA"),"",UPPER(LEFT(SUBSTITUTE(C1683," ",""),3))&amp;"-"&amp;TEXT(B1683,"AAMMDD")&amp;"-"&amp;(COUNTIFS($C$5:C1683,C1683,$B$5:B1683,B1683,$I$5:I1683,"ENTRADA")))</f>
        <v/>
      </c>
    </row>
    <row r="1684" spans="1:20">
      <c r="A1684" s="22" t="s">
        <v>1761</v>
      </c>
      <c r="H1684" s="22" t="str">
        <f t="shared" si="37"/>
        <v/>
      </c>
      <c r="J1684" s="32"/>
      <c r="T1684" t="str">
        <f>IF(OR(C1684="",I1684&lt;&gt;"ENTRADA"),"",UPPER(LEFT(SUBSTITUTE(C1684," ",""),3))&amp;"-"&amp;TEXT(B1684,"AAMMDD")&amp;"-"&amp;(COUNTIFS($C$5:C1684,C1684,$B$5:B1684,B1684,$I$5:I1684,"ENTRADA")))</f>
        <v/>
      </c>
    </row>
    <row r="1685" spans="1:20">
      <c r="A1685" s="22" t="s">
        <v>1762</v>
      </c>
      <c r="H1685" s="22" t="str">
        <f t="shared" si="37"/>
        <v/>
      </c>
      <c r="J1685" s="32"/>
      <c r="T1685" t="str">
        <f>IF(OR(C1685="",I1685&lt;&gt;"ENTRADA"),"",UPPER(LEFT(SUBSTITUTE(C1685," ",""),3))&amp;"-"&amp;TEXT(B1685,"AAMMDD")&amp;"-"&amp;(COUNTIFS($C$5:C1685,C1685,$B$5:B1685,B1685,$I$5:I1685,"ENTRADA")))</f>
        <v/>
      </c>
    </row>
    <row r="1686" spans="1:20">
      <c r="A1686" s="22" t="s">
        <v>1763</v>
      </c>
      <c r="H1686" s="22" t="str">
        <f t="shared" si="37"/>
        <v/>
      </c>
      <c r="J1686" s="32"/>
      <c r="T1686" t="str">
        <f>IF(OR(C1686="",I1686&lt;&gt;"ENTRADA"),"",UPPER(LEFT(SUBSTITUTE(C1686," ",""),3))&amp;"-"&amp;TEXT(B1686,"AAMMDD")&amp;"-"&amp;(COUNTIFS($C$5:C1686,C1686,$B$5:B1686,B1686,$I$5:I1686,"ENTRADA")))</f>
        <v/>
      </c>
    </row>
    <row r="1687" spans="1:20">
      <c r="A1687" s="22" t="s">
        <v>1764</v>
      </c>
      <c r="H1687" s="22" t="str">
        <f t="shared" si="37"/>
        <v/>
      </c>
      <c r="J1687" s="32"/>
      <c r="T1687" t="str">
        <f>IF(OR(C1687="",I1687&lt;&gt;"ENTRADA"),"",UPPER(LEFT(SUBSTITUTE(C1687," ",""),3))&amp;"-"&amp;TEXT(B1687,"AAMMDD")&amp;"-"&amp;(COUNTIFS($C$5:C1687,C1687,$B$5:B1687,B1687,$I$5:I1687,"ENTRADA")))</f>
        <v/>
      </c>
    </row>
    <row r="1688" spans="1:20">
      <c r="A1688" s="22" t="s">
        <v>1765</v>
      </c>
      <c r="H1688" s="22" t="str">
        <f t="shared" si="37"/>
        <v/>
      </c>
      <c r="J1688" s="32"/>
      <c r="T1688" t="str">
        <f>IF(OR(C1688="",I1688&lt;&gt;"ENTRADA"),"",UPPER(LEFT(SUBSTITUTE(C1688," ",""),3))&amp;"-"&amp;TEXT(B1688,"AAMMDD")&amp;"-"&amp;(COUNTIFS($C$5:C1688,C1688,$B$5:B1688,B1688,$I$5:I1688,"ENTRADA")))</f>
        <v/>
      </c>
    </row>
    <row r="1689" spans="1:20">
      <c r="A1689" s="22" t="s">
        <v>1766</v>
      </c>
      <c r="H1689" s="22" t="str">
        <f t="shared" si="37"/>
        <v/>
      </c>
      <c r="J1689" s="32"/>
      <c r="T1689" t="str">
        <f>IF(OR(C1689="",I1689&lt;&gt;"ENTRADA"),"",UPPER(LEFT(SUBSTITUTE(C1689," ",""),3))&amp;"-"&amp;TEXT(B1689,"AAMMDD")&amp;"-"&amp;(COUNTIFS($C$5:C1689,C1689,$B$5:B1689,B1689,$I$5:I1689,"ENTRADA")))</f>
        <v/>
      </c>
    </row>
    <row r="1690" spans="1:20">
      <c r="A1690" s="22" t="s">
        <v>1767</v>
      </c>
      <c r="H1690" s="22" t="str">
        <f t="shared" si="37"/>
        <v/>
      </c>
      <c r="J1690" s="32"/>
      <c r="T1690" t="str">
        <f>IF(OR(C1690="",I1690&lt;&gt;"ENTRADA"),"",UPPER(LEFT(SUBSTITUTE(C1690," ",""),3))&amp;"-"&amp;TEXT(B1690,"AAMMDD")&amp;"-"&amp;(COUNTIFS($C$5:C1690,C1690,$B$5:B1690,B1690,$I$5:I1690,"ENTRADA")))</f>
        <v/>
      </c>
    </row>
    <row r="1691" spans="1:20">
      <c r="A1691" s="22" t="s">
        <v>1768</v>
      </c>
      <c r="H1691" s="22" t="str">
        <f t="shared" si="37"/>
        <v/>
      </c>
      <c r="J1691" s="32"/>
      <c r="T1691" t="str">
        <f>IF(OR(C1691="",I1691&lt;&gt;"ENTRADA"),"",UPPER(LEFT(SUBSTITUTE(C1691," ",""),3))&amp;"-"&amp;TEXT(B1691,"AAMMDD")&amp;"-"&amp;(COUNTIFS($C$5:C1691,C1691,$B$5:B1691,B1691,$I$5:I1691,"ENTRADA")))</f>
        <v/>
      </c>
    </row>
    <row r="1692" spans="1:20">
      <c r="A1692" s="22" t="s">
        <v>1769</v>
      </c>
      <c r="H1692" s="22" t="str">
        <f t="shared" si="37"/>
        <v/>
      </c>
      <c r="J1692" s="32"/>
      <c r="T1692" t="str">
        <f>IF(OR(C1692="",I1692&lt;&gt;"ENTRADA"),"",UPPER(LEFT(SUBSTITUTE(C1692," ",""),3))&amp;"-"&amp;TEXT(B1692,"AAMMDD")&amp;"-"&amp;(COUNTIFS($C$5:C1692,C1692,$B$5:B1692,B1692,$I$5:I1692,"ENTRADA")))</f>
        <v/>
      </c>
    </row>
    <row r="1693" spans="1:20">
      <c r="A1693" s="22" t="s">
        <v>1770</v>
      </c>
      <c r="H1693" s="22" t="str">
        <f t="shared" si="37"/>
        <v/>
      </c>
      <c r="J1693" s="32"/>
      <c r="T1693" t="str">
        <f>IF(OR(C1693="",I1693&lt;&gt;"ENTRADA"),"",UPPER(LEFT(SUBSTITUTE(C1693," ",""),3))&amp;"-"&amp;TEXT(B1693,"AAMMDD")&amp;"-"&amp;(COUNTIFS($C$5:C1693,C1693,$B$5:B1693,B1693,$I$5:I1693,"ENTRADA")))</f>
        <v/>
      </c>
    </row>
    <row r="1694" spans="1:20">
      <c r="A1694" s="22" t="s">
        <v>1771</v>
      </c>
      <c r="H1694" s="22" t="str">
        <f t="shared" si="37"/>
        <v/>
      </c>
      <c r="J1694" s="32"/>
      <c r="T1694" t="str">
        <f>IF(OR(C1694="",I1694&lt;&gt;"ENTRADA"),"",UPPER(LEFT(SUBSTITUTE(C1694," ",""),3))&amp;"-"&amp;TEXT(B1694,"AAMMDD")&amp;"-"&amp;(COUNTIFS($C$5:C1694,C1694,$B$5:B1694,B1694,$I$5:I1694,"ENTRADA")))</f>
        <v/>
      </c>
    </row>
    <row r="1695" spans="1:20">
      <c r="A1695" s="22" t="s">
        <v>1772</v>
      </c>
      <c r="H1695" s="22" t="str">
        <f t="shared" si="37"/>
        <v/>
      </c>
      <c r="J1695" s="32"/>
      <c r="T1695" t="str">
        <f>IF(OR(C1695="",I1695&lt;&gt;"ENTRADA"),"",UPPER(LEFT(SUBSTITUTE(C1695," ",""),3))&amp;"-"&amp;TEXT(B1695,"AAMMDD")&amp;"-"&amp;(COUNTIFS($C$5:C1695,C1695,$B$5:B1695,B1695,$I$5:I1695,"ENTRADA")))</f>
        <v/>
      </c>
    </row>
    <row r="1696" spans="1:20">
      <c r="A1696" s="22" t="s">
        <v>1773</v>
      </c>
      <c r="H1696" s="22" t="str">
        <f t="shared" si="37"/>
        <v/>
      </c>
      <c r="J1696" s="32"/>
      <c r="T1696" t="str">
        <f>IF(OR(C1696="",I1696&lt;&gt;"ENTRADA"),"",UPPER(LEFT(SUBSTITUTE(C1696," ",""),3))&amp;"-"&amp;TEXT(B1696,"AAMMDD")&amp;"-"&amp;(COUNTIFS($C$5:C1696,C1696,$B$5:B1696,B1696,$I$5:I1696,"ENTRADA")))</f>
        <v/>
      </c>
    </row>
    <row r="1697" spans="1:20">
      <c r="A1697" s="22" t="s">
        <v>1774</v>
      </c>
      <c r="H1697" s="22" t="str">
        <f t="shared" si="37"/>
        <v/>
      </c>
      <c r="J1697" s="32"/>
      <c r="T1697" t="str">
        <f>IF(OR(C1697="",I1697&lt;&gt;"ENTRADA"),"",UPPER(LEFT(SUBSTITUTE(C1697," ",""),3))&amp;"-"&amp;TEXT(B1697,"AAMMDD")&amp;"-"&amp;(COUNTIFS($C$5:C1697,C1697,$B$5:B1697,B1697,$I$5:I1697,"ENTRADA")))</f>
        <v/>
      </c>
    </row>
    <row r="1698" spans="1:20">
      <c r="A1698" s="22" t="s">
        <v>1775</v>
      </c>
      <c r="H1698" s="22" t="str">
        <f t="shared" si="37"/>
        <v/>
      </c>
      <c r="J1698" s="32"/>
      <c r="T1698" t="str">
        <f>IF(OR(C1698="",I1698&lt;&gt;"ENTRADA"),"",UPPER(LEFT(SUBSTITUTE(C1698," ",""),3))&amp;"-"&amp;TEXT(B1698,"AAMMDD")&amp;"-"&amp;(COUNTIFS($C$5:C1698,C1698,$B$5:B1698,B1698,$I$5:I1698,"ENTRADA")))</f>
        <v/>
      </c>
    </row>
    <row r="1699" spans="1:20">
      <c r="A1699" s="22" t="s">
        <v>1776</v>
      </c>
      <c r="H1699" s="22" t="str">
        <f t="shared" si="37"/>
        <v/>
      </c>
      <c r="J1699" s="32"/>
      <c r="T1699" t="str">
        <f>IF(OR(C1699="",I1699&lt;&gt;"ENTRADA"),"",UPPER(LEFT(SUBSTITUTE(C1699," ",""),3))&amp;"-"&amp;TEXT(B1699,"AAMMDD")&amp;"-"&amp;(COUNTIFS($C$5:C1699,C1699,$B$5:B1699,B1699,$I$5:I1699,"ENTRADA")))</f>
        <v/>
      </c>
    </row>
    <row r="1700" spans="1:20">
      <c r="A1700" s="22" t="s">
        <v>1777</v>
      </c>
      <c r="H1700" s="22" t="str">
        <f t="shared" si="37"/>
        <v/>
      </c>
      <c r="J1700" s="32"/>
      <c r="T1700" t="str">
        <f>IF(OR(C1700="",I1700&lt;&gt;"ENTRADA"),"",UPPER(LEFT(SUBSTITUTE(C1700," ",""),3))&amp;"-"&amp;TEXT(B1700,"AAMMDD")&amp;"-"&amp;(COUNTIFS($C$5:C1700,C1700,$B$5:B1700,B1700,$I$5:I1700,"ENTRADA")))</f>
        <v/>
      </c>
    </row>
    <row r="1701" spans="1:20">
      <c r="A1701" s="22" t="s">
        <v>1778</v>
      </c>
      <c r="H1701" s="22" t="str">
        <f t="shared" si="37"/>
        <v/>
      </c>
      <c r="J1701" s="32"/>
      <c r="T1701" t="str">
        <f>IF(OR(C1701="",I1701&lt;&gt;"ENTRADA"),"",UPPER(LEFT(SUBSTITUTE(C1701," ",""),3))&amp;"-"&amp;TEXT(B1701,"AAMMDD")&amp;"-"&amp;(COUNTIFS($C$5:C1701,C1701,$B$5:B1701,B1701,$I$5:I1701,"ENTRADA")))</f>
        <v/>
      </c>
    </row>
    <row r="1702" spans="1:20">
      <c r="A1702" s="22" t="s">
        <v>1779</v>
      </c>
      <c r="H1702" s="22" t="str">
        <f t="shared" si="37"/>
        <v/>
      </c>
      <c r="J1702" s="32"/>
      <c r="T1702" t="str">
        <f>IF(OR(C1702="",I1702&lt;&gt;"ENTRADA"),"",UPPER(LEFT(SUBSTITUTE(C1702," ",""),3))&amp;"-"&amp;TEXT(B1702,"AAMMDD")&amp;"-"&amp;(COUNTIFS($C$5:C1702,C1702,$B$5:B1702,B1702,$I$5:I1702,"ENTRADA")))</f>
        <v/>
      </c>
    </row>
    <row r="1703" spans="1:20">
      <c r="A1703" s="22" t="s">
        <v>1780</v>
      </c>
      <c r="H1703" s="22" t="str">
        <f t="shared" si="37"/>
        <v/>
      </c>
      <c r="J1703" s="32"/>
      <c r="T1703" t="str">
        <f>IF(OR(C1703="",I1703&lt;&gt;"ENTRADA"),"",UPPER(LEFT(SUBSTITUTE(C1703," ",""),3))&amp;"-"&amp;TEXT(B1703,"AAMMDD")&amp;"-"&amp;(COUNTIFS($C$5:C1703,C1703,$B$5:B1703,B1703,$I$5:I1703,"ENTRADA")))</f>
        <v/>
      </c>
    </row>
    <row r="1704" spans="1:20">
      <c r="A1704" s="22" t="s">
        <v>1781</v>
      </c>
      <c r="H1704" s="22" t="str">
        <f t="shared" si="37"/>
        <v/>
      </c>
      <c r="J1704" s="32"/>
      <c r="T1704" t="str">
        <f>IF(OR(C1704="",I1704&lt;&gt;"ENTRADA"),"",UPPER(LEFT(SUBSTITUTE(C1704," ",""),3))&amp;"-"&amp;TEXT(B1704,"AAMMDD")&amp;"-"&amp;(COUNTIFS($C$5:C1704,C1704,$B$5:B1704,B1704,$I$5:I1704,"ENTRADA")))</f>
        <v/>
      </c>
    </row>
    <row r="1705" spans="1:20">
      <c r="A1705" s="22" t="s">
        <v>1782</v>
      </c>
      <c r="H1705" s="22" t="str">
        <f t="shared" si="37"/>
        <v/>
      </c>
      <c r="J1705" s="32"/>
      <c r="T1705" t="str">
        <f>IF(OR(C1705="",I1705&lt;&gt;"ENTRADA"),"",UPPER(LEFT(SUBSTITUTE(C1705," ",""),3))&amp;"-"&amp;TEXT(B1705,"AAMMDD")&amp;"-"&amp;(COUNTIFS($C$5:C1705,C1705,$B$5:B1705,B1705,$I$5:I1705,"ENTRADA")))</f>
        <v/>
      </c>
    </row>
    <row r="1706" spans="1:20">
      <c r="A1706" s="22" t="s">
        <v>1783</v>
      </c>
      <c r="H1706" s="22" t="str">
        <f t="shared" si="37"/>
        <v/>
      </c>
      <c r="J1706" s="32"/>
      <c r="T1706" t="str">
        <f>IF(OR(C1706="",I1706&lt;&gt;"ENTRADA"),"",UPPER(LEFT(SUBSTITUTE(C1706," ",""),3))&amp;"-"&amp;TEXT(B1706,"AAMMDD")&amp;"-"&amp;(COUNTIFS($C$5:C1706,C1706,$B$5:B1706,B1706,$I$5:I1706,"ENTRADA")))</f>
        <v/>
      </c>
    </row>
    <row r="1707" spans="1:20">
      <c r="A1707" s="22" t="s">
        <v>1784</v>
      </c>
      <c r="H1707" s="22" t="str">
        <f t="shared" si="37"/>
        <v/>
      </c>
      <c r="J1707" s="32"/>
      <c r="T1707" t="str">
        <f>IF(OR(C1707="",I1707&lt;&gt;"ENTRADA"),"",UPPER(LEFT(SUBSTITUTE(C1707," ",""),3))&amp;"-"&amp;TEXT(B1707,"AAMMDD")&amp;"-"&amp;(COUNTIFS($C$5:C1707,C1707,$B$5:B1707,B1707,$I$5:I1707,"ENTRADA")))</f>
        <v/>
      </c>
    </row>
    <row r="1708" spans="1:20">
      <c r="A1708" s="22" t="s">
        <v>1785</v>
      </c>
      <c r="H1708" s="22" t="str">
        <f t="shared" si="37"/>
        <v/>
      </c>
      <c r="J1708" s="32"/>
      <c r="T1708" t="str">
        <f>IF(OR(C1708="",I1708&lt;&gt;"ENTRADA"),"",UPPER(LEFT(SUBSTITUTE(C1708," ",""),3))&amp;"-"&amp;TEXT(B1708,"AAMMDD")&amp;"-"&amp;(COUNTIFS($C$5:C1708,C1708,$B$5:B1708,B1708,$I$5:I1708,"ENTRADA")))</f>
        <v/>
      </c>
    </row>
    <row r="1709" spans="1:20">
      <c r="A1709" s="22" t="s">
        <v>1786</v>
      </c>
      <c r="H1709" s="22" t="str">
        <f t="shared" si="37"/>
        <v/>
      </c>
      <c r="J1709" s="32"/>
      <c r="T1709" t="str">
        <f>IF(OR(C1709="",I1709&lt;&gt;"ENTRADA"),"",UPPER(LEFT(SUBSTITUTE(C1709," ",""),3))&amp;"-"&amp;TEXT(B1709,"AAMMDD")&amp;"-"&amp;(COUNTIFS($C$5:C1709,C1709,$B$5:B1709,B1709,$I$5:I1709,"ENTRADA")))</f>
        <v/>
      </c>
    </row>
    <row r="1710" spans="1:20">
      <c r="A1710" s="22" t="s">
        <v>1787</v>
      </c>
      <c r="H1710" s="22" t="str">
        <f t="shared" si="37"/>
        <v/>
      </c>
      <c r="J1710" s="32"/>
      <c r="T1710" t="str">
        <f>IF(OR(C1710="",I1710&lt;&gt;"ENTRADA"),"",UPPER(LEFT(SUBSTITUTE(C1710," ",""),3))&amp;"-"&amp;TEXT(B1710,"AAMMDD")&amp;"-"&amp;(COUNTIFS($C$5:C1710,C1710,$B$5:B1710,B1710,$I$5:I1710,"ENTRADA")))</f>
        <v/>
      </c>
    </row>
    <row r="1711" spans="1:20">
      <c r="A1711" s="22" t="s">
        <v>1788</v>
      </c>
      <c r="H1711" s="22" t="str">
        <f t="shared" si="37"/>
        <v/>
      </c>
      <c r="J1711" s="32"/>
      <c r="T1711" t="str">
        <f>IF(OR(C1711="",I1711&lt;&gt;"ENTRADA"),"",UPPER(LEFT(SUBSTITUTE(C1711," ",""),3))&amp;"-"&amp;TEXT(B1711,"AAMMDD")&amp;"-"&amp;(COUNTIFS($C$5:C1711,C1711,$B$5:B1711,B1711,$I$5:I1711,"ENTRADA")))</f>
        <v/>
      </c>
    </row>
    <row r="1712" spans="1:20">
      <c r="A1712" s="22" t="s">
        <v>1789</v>
      </c>
      <c r="H1712" s="22" t="str">
        <f t="shared" si="37"/>
        <v/>
      </c>
      <c r="J1712" s="32"/>
      <c r="T1712" t="str">
        <f>IF(OR(C1712="",I1712&lt;&gt;"ENTRADA"),"",UPPER(LEFT(SUBSTITUTE(C1712," ",""),3))&amp;"-"&amp;TEXT(B1712,"AAMMDD")&amp;"-"&amp;(COUNTIFS($C$5:C1712,C1712,$B$5:B1712,B1712,$I$5:I1712,"ENTRADA")))</f>
        <v/>
      </c>
    </row>
    <row r="1713" spans="1:20">
      <c r="A1713" s="22" t="s">
        <v>1790</v>
      </c>
      <c r="H1713" s="22" t="str">
        <f t="shared" si="37"/>
        <v/>
      </c>
      <c r="J1713" s="32"/>
      <c r="T1713" t="str">
        <f>IF(OR(C1713="",I1713&lt;&gt;"ENTRADA"),"",UPPER(LEFT(SUBSTITUTE(C1713," ",""),3))&amp;"-"&amp;TEXT(B1713,"AAMMDD")&amp;"-"&amp;(COUNTIFS($C$5:C1713,C1713,$B$5:B1713,B1713,$I$5:I1713,"ENTRADA")))</f>
        <v/>
      </c>
    </row>
    <row r="1714" spans="1:20">
      <c r="A1714" s="22" t="s">
        <v>1791</v>
      </c>
      <c r="H1714" s="22" t="str">
        <f t="shared" si="37"/>
        <v/>
      </c>
      <c r="J1714" s="32"/>
      <c r="T1714" t="str">
        <f>IF(OR(C1714="",I1714&lt;&gt;"ENTRADA"),"",UPPER(LEFT(SUBSTITUTE(C1714," ",""),3))&amp;"-"&amp;TEXT(B1714,"AAMMDD")&amp;"-"&amp;(COUNTIFS($C$5:C1714,C1714,$B$5:B1714,B1714,$I$5:I1714,"ENTRADA")))</f>
        <v/>
      </c>
    </row>
    <row r="1715" spans="1:20">
      <c r="A1715" s="22" t="s">
        <v>1792</v>
      </c>
      <c r="H1715" s="22" t="str">
        <f t="shared" si="37"/>
        <v/>
      </c>
      <c r="J1715" s="32"/>
      <c r="T1715" t="str">
        <f>IF(OR(C1715="",I1715&lt;&gt;"ENTRADA"),"",UPPER(LEFT(SUBSTITUTE(C1715," ",""),3))&amp;"-"&amp;TEXT(B1715,"AAMMDD")&amp;"-"&amp;(COUNTIFS($C$5:C1715,C1715,$B$5:B1715,B1715,$I$5:I1715,"ENTRADA")))</f>
        <v/>
      </c>
    </row>
    <row r="1716" spans="1:20">
      <c r="A1716" s="22" t="s">
        <v>1793</v>
      </c>
      <c r="H1716" s="22" t="str">
        <f t="shared" si="37"/>
        <v/>
      </c>
      <c r="J1716" s="32"/>
      <c r="T1716" t="str">
        <f>IF(OR(C1716="",I1716&lt;&gt;"ENTRADA"),"",UPPER(LEFT(SUBSTITUTE(C1716," ",""),3))&amp;"-"&amp;TEXT(B1716,"AAMMDD")&amp;"-"&amp;(COUNTIFS($C$5:C1716,C1716,$B$5:B1716,B1716,$I$5:I1716,"ENTRADA")))</f>
        <v/>
      </c>
    </row>
    <row r="1717" spans="1:20">
      <c r="A1717" s="22" t="s">
        <v>1794</v>
      </c>
      <c r="H1717" s="22" t="str">
        <f t="shared" si="37"/>
        <v/>
      </c>
      <c r="J1717" s="32"/>
      <c r="T1717" t="str">
        <f>IF(OR(C1717="",I1717&lt;&gt;"ENTRADA"),"",UPPER(LEFT(SUBSTITUTE(C1717," ",""),3))&amp;"-"&amp;TEXT(B1717,"AAMMDD")&amp;"-"&amp;(COUNTIFS($C$5:C1717,C1717,$B$5:B1717,B1717,$I$5:I1717,"ENTRADA")))</f>
        <v/>
      </c>
    </row>
    <row r="1718" spans="1:20">
      <c r="A1718" s="22" t="s">
        <v>1795</v>
      </c>
      <c r="H1718" s="22" t="str">
        <f t="shared" si="37"/>
        <v/>
      </c>
      <c r="J1718" s="32"/>
      <c r="T1718" t="str">
        <f>IF(OR(C1718="",I1718&lt;&gt;"ENTRADA"),"",UPPER(LEFT(SUBSTITUTE(C1718," ",""),3))&amp;"-"&amp;TEXT(B1718,"AAMMDD")&amp;"-"&amp;(COUNTIFS($C$5:C1718,C1718,$B$5:B1718,B1718,$I$5:I1718,"ENTRADA")))</f>
        <v/>
      </c>
    </row>
    <row r="1719" spans="1:20">
      <c r="A1719" s="22" t="s">
        <v>1796</v>
      </c>
      <c r="H1719" s="22" t="str">
        <f t="shared" si="37"/>
        <v/>
      </c>
      <c r="J1719" s="32"/>
      <c r="T1719" t="str">
        <f>IF(OR(C1719="",I1719&lt;&gt;"ENTRADA"),"",UPPER(LEFT(SUBSTITUTE(C1719," ",""),3))&amp;"-"&amp;TEXT(B1719,"AAMMDD")&amp;"-"&amp;(COUNTIFS($C$5:C1719,C1719,$B$5:B1719,B1719,$I$5:I1719,"ENTRADA")))</f>
        <v/>
      </c>
    </row>
    <row r="1720" spans="1:20">
      <c r="A1720" s="22" t="s">
        <v>1797</v>
      </c>
      <c r="H1720" s="22" t="str">
        <f t="shared" si="37"/>
        <v/>
      </c>
      <c r="J1720" s="32"/>
      <c r="T1720" t="str">
        <f>IF(OR(C1720="",I1720&lt;&gt;"ENTRADA"),"",UPPER(LEFT(SUBSTITUTE(C1720," ",""),3))&amp;"-"&amp;TEXT(B1720,"AAMMDD")&amp;"-"&amp;(COUNTIFS($C$5:C1720,C1720,$B$5:B1720,B1720,$I$5:I1720,"ENTRADA")))</f>
        <v/>
      </c>
    </row>
    <row r="1721" spans="1:20">
      <c r="A1721" s="22" t="s">
        <v>1798</v>
      </c>
      <c r="H1721" s="22" t="str">
        <f t="shared" si="37"/>
        <v/>
      </c>
      <c r="J1721" s="32"/>
      <c r="T1721" t="str">
        <f>IF(OR(C1721="",I1721&lt;&gt;"ENTRADA"),"",UPPER(LEFT(SUBSTITUTE(C1721," ",""),3))&amp;"-"&amp;TEXT(B1721,"AAMMDD")&amp;"-"&amp;(COUNTIFS($C$5:C1721,C1721,$B$5:B1721,B1721,$I$5:I1721,"ENTRADA")))</f>
        <v/>
      </c>
    </row>
    <row r="1722" spans="1:20">
      <c r="A1722" s="22" t="s">
        <v>1799</v>
      </c>
      <c r="H1722" s="22" t="str">
        <f t="shared" si="37"/>
        <v/>
      </c>
      <c r="J1722" s="32"/>
      <c r="T1722" t="str">
        <f>IF(OR(C1722="",I1722&lt;&gt;"ENTRADA"),"",UPPER(LEFT(SUBSTITUTE(C1722," ",""),3))&amp;"-"&amp;TEXT(B1722,"AAMMDD")&amp;"-"&amp;(COUNTIFS($C$5:C1722,C1722,$B$5:B1722,B1722,$I$5:I1722,"ENTRADA")))</f>
        <v/>
      </c>
    </row>
    <row r="1723" spans="1:20">
      <c r="A1723" s="22" t="s">
        <v>1800</v>
      </c>
      <c r="H1723" s="22" t="str">
        <f t="shared" si="37"/>
        <v/>
      </c>
      <c r="J1723" s="32"/>
      <c r="T1723" t="str">
        <f>IF(OR(C1723="",I1723&lt;&gt;"ENTRADA"),"",UPPER(LEFT(SUBSTITUTE(C1723," ",""),3))&amp;"-"&amp;TEXT(B1723,"AAMMDD")&amp;"-"&amp;(COUNTIFS($C$5:C1723,C1723,$B$5:B1723,B1723,$I$5:I1723,"ENTRADA")))</f>
        <v/>
      </c>
    </row>
    <row r="1724" spans="1:20">
      <c r="A1724" s="22" t="s">
        <v>1801</v>
      </c>
      <c r="H1724" s="22" t="str">
        <f t="shared" si="37"/>
        <v/>
      </c>
      <c r="J1724" s="32"/>
      <c r="T1724" t="str">
        <f>IF(OR(C1724="",I1724&lt;&gt;"ENTRADA"),"",UPPER(LEFT(SUBSTITUTE(C1724," ",""),3))&amp;"-"&amp;TEXT(B1724,"AAMMDD")&amp;"-"&amp;(COUNTIFS($C$5:C1724,C1724,$B$5:B1724,B1724,$I$5:I1724,"ENTRADA")))</f>
        <v/>
      </c>
    </row>
    <row r="1725" spans="1:20">
      <c r="A1725" s="22" t="s">
        <v>1802</v>
      </c>
      <c r="H1725" s="22" t="str">
        <f t="shared" si="37"/>
        <v/>
      </c>
      <c r="J1725" s="32"/>
      <c r="T1725" t="str">
        <f>IF(OR(C1725="",I1725&lt;&gt;"ENTRADA"),"",UPPER(LEFT(SUBSTITUTE(C1725," ",""),3))&amp;"-"&amp;TEXT(B1725,"AAMMDD")&amp;"-"&amp;(COUNTIFS($C$5:C1725,C1725,$B$5:B1725,B1725,$I$5:I1725,"ENTRADA")))</f>
        <v/>
      </c>
    </row>
    <row r="1726" spans="1:20">
      <c r="A1726" s="22" t="s">
        <v>1803</v>
      </c>
      <c r="H1726" s="22" t="str">
        <f t="shared" si="37"/>
        <v/>
      </c>
      <c r="J1726" s="32"/>
      <c r="T1726" t="str">
        <f>IF(OR(C1726="",I1726&lt;&gt;"ENTRADA"),"",UPPER(LEFT(SUBSTITUTE(C1726," ",""),3))&amp;"-"&amp;TEXT(B1726,"AAMMDD")&amp;"-"&amp;(COUNTIFS($C$5:C1726,C1726,$B$5:B1726,B1726,$I$5:I1726,"ENTRADA")))</f>
        <v/>
      </c>
    </row>
    <row r="1727" spans="1:20">
      <c r="A1727" s="22" t="s">
        <v>1804</v>
      </c>
      <c r="H1727" s="22" t="str">
        <f t="shared" si="37"/>
        <v/>
      </c>
      <c r="J1727" s="32"/>
      <c r="T1727" t="str">
        <f>IF(OR(C1727="",I1727&lt;&gt;"ENTRADA"),"",UPPER(LEFT(SUBSTITUTE(C1727," ",""),3))&amp;"-"&amp;TEXT(B1727,"AAMMDD")&amp;"-"&amp;(COUNTIFS($C$5:C1727,C1727,$B$5:B1727,B1727,$I$5:I1727,"ENTRADA")))</f>
        <v/>
      </c>
    </row>
    <row r="1728" spans="1:20">
      <c r="A1728" s="22" t="s">
        <v>1805</v>
      </c>
      <c r="H1728" s="22" t="str">
        <f t="shared" si="37"/>
        <v/>
      </c>
      <c r="J1728" s="32"/>
      <c r="T1728" t="str">
        <f>IF(OR(C1728="",I1728&lt;&gt;"ENTRADA"),"",UPPER(LEFT(SUBSTITUTE(C1728," ",""),3))&amp;"-"&amp;TEXT(B1728,"AAMMDD")&amp;"-"&amp;(COUNTIFS($C$5:C1728,C1728,$B$5:B1728,B1728,$I$5:I1728,"ENTRADA")))</f>
        <v/>
      </c>
    </row>
    <row r="1729" spans="1:20">
      <c r="A1729" s="22" t="s">
        <v>1806</v>
      </c>
      <c r="H1729" s="22" t="str">
        <f t="shared" si="37"/>
        <v/>
      </c>
      <c r="J1729" s="32"/>
      <c r="T1729" t="str">
        <f>IF(OR(C1729="",I1729&lt;&gt;"ENTRADA"),"",UPPER(LEFT(SUBSTITUTE(C1729," ",""),3))&amp;"-"&amp;TEXT(B1729,"AAMMDD")&amp;"-"&amp;(COUNTIFS($C$5:C1729,C1729,$B$5:B1729,B1729,$I$5:I1729,"ENTRADA")))</f>
        <v/>
      </c>
    </row>
    <row r="1730" spans="1:20">
      <c r="A1730" s="22" t="s">
        <v>1807</v>
      </c>
      <c r="H1730" s="22" t="str">
        <f t="shared" si="37"/>
        <v/>
      </c>
      <c r="J1730" s="32"/>
      <c r="T1730" t="str">
        <f>IF(OR(C1730="",I1730&lt;&gt;"ENTRADA"),"",UPPER(LEFT(SUBSTITUTE(C1730," ",""),3))&amp;"-"&amp;TEXT(B1730,"AAMMDD")&amp;"-"&amp;(COUNTIFS($C$5:C1730,C1730,$B$5:B1730,B1730,$I$5:I1730,"ENTRADA")))</f>
        <v/>
      </c>
    </row>
    <row r="1731" spans="1:20">
      <c r="A1731" s="22" t="s">
        <v>1808</v>
      </c>
      <c r="H1731" s="22" t="str">
        <f t="shared" si="37"/>
        <v/>
      </c>
      <c r="J1731" s="32"/>
      <c r="T1731" t="str">
        <f>IF(OR(C1731="",I1731&lt;&gt;"ENTRADA"),"",UPPER(LEFT(SUBSTITUTE(C1731," ",""),3))&amp;"-"&amp;TEXT(B1731,"AAMMDD")&amp;"-"&amp;(COUNTIFS($C$5:C1731,C1731,$B$5:B1731,B1731,$I$5:I1731,"ENTRADA")))</f>
        <v/>
      </c>
    </row>
    <row r="1732" spans="1:20">
      <c r="A1732" s="22" t="s">
        <v>1809</v>
      </c>
      <c r="H1732" s="22" t="str">
        <f t="shared" si="37"/>
        <v/>
      </c>
      <c r="J1732" s="32"/>
      <c r="T1732" t="str">
        <f>IF(OR(C1732="",I1732&lt;&gt;"ENTRADA"),"",UPPER(LEFT(SUBSTITUTE(C1732," ",""),3))&amp;"-"&amp;TEXT(B1732,"AAMMDD")&amp;"-"&amp;(COUNTIFS($C$5:C1732,C1732,$B$5:B1732,B1732,$I$5:I1732,"ENTRADA")))</f>
        <v/>
      </c>
    </row>
    <row r="1733" spans="1:20">
      <c r="A1733" s="22" t="s">
        <v>1810</v>
      </c>
      <c r="H1733" s="22" t="str">
        <f t="shared" si="37"/>
        <v/>
      </c>
      <c r="J1733" s="32"/>
      <c r="T1733" t="str">
        <f>IF(OR(C1733="",I1733&lt;&gt;"ENTRADA"),"",UPPER(LEFT(SUBSTITUTE(C1733," ",""),3))&amp;"-"&amp;TEXT(B1733,"AAMMDD")&amp;"-"&amp;(COUNTIFS($C$5:C1733,C1733,$B$5:B1733,B1733,$I$5:I1733,"ENTRADA")))</f>
        <v/>
      </c>
    </row>
    <row r="1734" spans="1:20">
      <c r="A1734" s="22" t="s">
        <v>1811</v>
      </c>
      <c r="H1734" s="22" t="str">
        <f t="shared" si="37"/>
        <v/>
      </c>
      <c r="J1734" s="32"/>
      <c r="T1734" t="str">
        <f>IF(OR(C1734="",I1734&lt;&gt;"ENTRADA"),"",UPPER(LEFT(SUBSTITUTE(C1734," ",""),3))&amp;"-"&amp;TEXT(B1734,"AAMMDD")&amp;"-"&amp;(COUNTIFS($C$5:C1734,C1734,$B$5:B1734,B1734,$I$5:I1734,"ENTRADA")))</f>
        <v/>
      </c>
    </row>
    <row r="1735" spans="1:20">
      <c r="A1735" s="22" t="s">
        <v>1812</v>
      </c>
      <c r="H1735" s="22" t="str">
        <f t="shared" si="37"/>
        <v/>
      </c>
      <c r="J1735" s="32"/>
      <c r="T1735" t="str">
        <f>IF(OR(C1735="",I1735&lt;&gt;"ENTRADA"),"",UPPER(LEFT(SUBSTITUTE(C1735," ",""),3))&amp;"-"&amp;TEXT(B1735,"AAMMDD")&amp;"-"&amp;(COUNTIFS($C$5:C1735,C1735,$B$5:B1735,B1735,$I$5:I1735,"ENTRADA")))</f>
        <v/>
      </c>
    </row>
    <row r="1736" spans="1:20">
      <c r="A1736" s="22" t="s">
        <v>1813</v>
      </c>
      <c r="H1736" s="22" t="str">
        <f t="shared" si="37"/>
        <v/>
      </c>
      <c r="J1736" s="32"/>
      <c r="T1736" t="str">
        <f>IF(OR(C1736="",I1736&lt;&gt;"ENTRADA"),"",UPPER(LEFT(SUBSTITUTE(C1736," ",""),3))&amp;"-"&amp;TEXT(B1736,"AAMMDD")&amp;"-"&amp;(COUNTIFS($C$5:C1736,C1736,$B$5:B1736,B1736,$I$5:I1736,"ENTRADA")))</f>
        <v/>
      </c>
    </row>
    <row r="1737" spans="1:20">
      <c r="A1737" s="22" t="s">
        <v>1814</v>
      </c>
      <c r="H1737" s="22" t="str">
        <f t="shared" si="37"/>
        <v/>
      </c>
      <c r="J1737" s="32"/>
      <c r="T1737" t="str">
        <f>IF(OR(C1737="",I1737&lt;&gt;"ENTRADA"),"",UPPER(LEFT(SUBSTITUTE(C1737," ",""),3))&amp;"-"&amp;TEXT(B1737,"AAMMDD")&amp;"-"&amp;(COUNTIFS($C$5:C1737,C1737,$B$5:B1737,B1737,$I$5:I1737,"ENTRADA")))</f>
        <v/>
      </c>
    </row>
    <row r="1738" spans="1:20">
      <c r="A1738" s="22" t="s">
        <v>1815</v>
      </c>
      <c r="H1738" s="22" t="str">
        <f t="shared" si="37"/>
        <v/>
      </c>
      <c r="J1738" s="32"/>
      <c r="T1738" t="str">
        <f>IF(OR(C1738="",I1738&lt;&gt;"ENTRADA"),"",UPPER(LEFT(SUBSTITUTE(C1738," ",""),3))&amp;"-"&amp;TEXT(B1738,"AAMMDD")&amp;"-"&amp;(COUNTIFS($C$5:C1738,C1738,$B$5:B1738,B1738,$I$5:I1738,"ENTRADA")))</f>
        <v/>
      </c>
    </row>
    <row r="1739" spans="1:20">
      <c r="A1739" s="22" t="s">
        <v>1816</v>
      </c>
      <c r="H1739" s="22" t="str">
        <f t="shared" si="37"/>
        <v/>
      </c>
      <c r="J1739" s="32"/>
      <c r="T1739" t="str">
        <f>IF(OR(C1739="",I1739&lt;&gt;"ENTRADA"),"",UPPER(LEFT(SUBSTITUTE(C1739," ",""),3))&amp;"-"&amp;TEXT(B1739,"AAMMDD")&amp;"-"&amp;(COUNTIFS($C$5:C1739,C1739,$B$5:B1739,B1739,$I$5:I1739,"ENTRADA")))</f>
        <v/>
      </c>
    </row>
    <row r="1740" spans="1:20">
      <c r="A1740" s="22" t="s">
        <v>1817</v>
      </c>
      <c r="H1740" s="22" t="str">
        <f t="shared" si="37"/>
        <v/>
      </c>
      <c r="J1740" s="32"/>
      <c r="T1740" t="str">
        <f>IF(OR(C1740="",I1740&lt;&gt;"ENTRADA"),"",UPPER(LEFT(SUBSTITUTE(C1740," ",""),3))&amp;"-"&amp;TEXT(B1740,"AAMMDD")&amp;"-"&amp;(COUNTIFS($C$5:C1740,C1740,$B$5:B1740,B1740,$I$5:I1740,"ENTRADA")))</f>
        <v/>
      </c>
    </row>
    <row r="1741" spans="1:20">
      <c r="A1741" s="22" t="s">
        <v>1818</v>
      </c>
      <c r="H1741" s="22" t="str">
        <f t="shared" si="37"/>
        <v/>
      </c>
      <c r="J1741" s="32"/>
      <c r="T1741" t="str">
        <f>IF(OR(C1741="",I1741&lt;&gt;"ENTRADA"),"",UPPER(LEFT(SUBSTITUTE(C1741," ",""),3))&amp;"-"&amp;TEXT(B1741,"AAMMDD")&amp;"-"&amp;(COUNTIFS($C$5:C1741,C1741,$B$5:B1741,B1741,$I$5:I1741,"ENTRADA")))</f>
        <v/>
      </c>
    </row>
    <row r="1742" spans="1:20">
      <c r="A1742" s="22" t="s">
        <v>1819</v>
      </c>
      <c r="H1742" s="22" t="str">
        <f t="shared" si="37"/>
        <v/>
      </c>
      <c r="J1742" s="32"/>
      <c r="T1742" t="str">
        <f>IF(OR(C1742="",I1742&lt;&gt;"ENTRADA"),"",UPPER(LEFT(SUBSTITUTE(C1742," ",""),3))&amp;"-"&amp;TEXT(B1742,"AAMMDD")&amp;"-"&amp;(COUNTIFS($C$5:C1742,C1742,$B$5:B1742,B1742,$I$5:I1742,"ENTRADA")))</f>
        <v/>
      </c>
    </row>
    <row r="1743" spans="1:20">
      <c r="A1743" s="22" t="s">
        <v>1820</v>
      </c>
      <c r="H1743" s="22" t="str">
        <f t="shared" si="37"/>
        <v/>
      </c>
      <c r="J1743" s="32"/>
      <c r="T1743" t="str">
        <f>IF(OR(C1743="",I1743&lt;&gt;"ENTRADA"),"",UPPER(LEFT(SUBSTITUTE(C1743," ",""),3))&amp;"-"&amp;TEXT(B1743,"AAMMDD")&amp;"-"&amp;(COUNTIFS($C$5:C1743,C1743,$B$5:B1743,B1743,$I$5:I1743,"ENTRADA")))</f>
        <v/>
      </c>
    </row>
    <row r="1744" spans="1:20">
      <c r="A1744" s="22" t="s">
        <v>1821</v>
      </c>
      <c r="H1744" s="22" t="str">
        <f t="shared" ref="H1744:H1807" si="38">+T1744</f>
        <v/>
      </c>
      <c r="J1744" s="32"/>
      <c r="T1744" t="str">
        <f>IF(OR(C1744="",I1744&lt;&gt;"ENTRADA"),"",UPPER(LEFT(SUBSTITUTE(C1744," ",""),3))&amp;"-"&amp;TEXT(B1744,"AAMMDD")&amp;"-"&amp;(COUNTIFS($C$5:C1744,C1744,$B$5:B1744,B1744,$I$5:I1744,"ENTRADA")))</f>
        <v/>
      </c>
    </row>
    <row r="1745" spans="1:20">
      <c r="A1745" s="22" t="s">
        <v>1822</v>
      </c>
      <c r="H1745" s="22" t="str">
        <f t="shared" si="38"/>
        <v/>
      </c>
      <c r="J1745" s="32"/>
      <c r="T1745" t="str">
        <f>IF(OR(C1745="",I1745&lt;&gt;"ENTRADA"),"",UPPER(LEFT(SUBSTITUTE(C1745," ",""),3))&amp;"-"&amp;TEXT(B1745,"AAMMDD")&amp;"-"&amp;(COUNTIFS($C$5:C1745,C1745,$B$5:B1745,B1745,$I$5:I1745,"ENTRADA")))</f>
        <v/>
      </c>
    </row>
    <row r="1746" spans="1:20">
      <c r="A1746" s="22" t="s">
        <v>1823</v>
      </c>
      <c r="H1746" s="22" t="str">
        <f t="shared" si="38"/>
        <v/>
      </c>
      <c r="J1746" s="32"/>
      <c r="T1746" t="str">
        <f>IF(OR(C1746="",I1746&lt;&gt;"ENTRADA"),"",UPPER(LEFT(SUBSTITUTE(C1746," ",""),3))&amp;"-"&amp;TEXT(B1746,"AAMMDD")&amp;"-"&amp;(COUNTIFS($C$5:C1746,C1746,$B$5:B1746,B1746,$I$5:I1746,"ENTRADA")))</f>
        <v/>
      </c>
    </row>
    <row r="1747" spans="1:20">
      <c r="A1747" s="22" t="s">
        <v>1824</v>
      </c>
      <c r="H1747" s="22" t="str">
        <f t="shared" si="38"/>
        <v/>
      </c>
      <c r="J1747" s="32"/>
      <c r="T1747" t="str">
        <f>IF(OR(C1747="",I1747&lt;&gt;"ENTRADA"),"",UPPER(LEFT(SUBSTITUTE(C1747," ",""),3))&amp;"-"&amp;TEXT(B1747,"AAMMDD")&amp;"-"&amp;(COUNTIFS($C$5:C1747,C1747,$B$5:B1747,B1747,$I$5:I1747,"ENTRADA")))</f>
        <v/>
      </c>
    </row>
    <row r="1748" spans="1:20">
      <c r="A1748" s="22" t="s">
        <v>1825</v>
      </c>
      <c r="H1748" s="22" t="str">
        <f t="shared" si="38"/>
        <v/>
      </c>
      <c r="J1748" s="32"/>
      <c r="T1748" t="str">
        <f>IF(OR(C1748="",I1748&lt;&gt;"ENTRADA"),"",UPPER(LEFT(SUBSTITUTE(C1748," ",""),3))&amp;"-"&amp;TEXT(B1748,"AAMMDD")&amp;"-"&amp;(COUNTIFS($C$5:C1748,C1748,$B$5:B1748,B1748,$I$5:I1748,"ENTRADA")))</f>
        <v/>
      </c>
    </row>
    <row r="1749" spans="1:20">
      <c r="A1749" s="22" t="s">
        <v>1826</v>
      </c>
      <c r="H1749" s="22" t="str">
        <f t="shared" si="38"/>
        <v/>
      </c>
      <c r="J1749" s="32"/>
      <c r="T1749" t="str">
        <f>IF(OR(C1749="",I1749&lt;&gt;"ENTRADA"),"",UPPER(LEFT(SUBSTITUTE(C1749," ",""),3))&amp;"-"&amp;TEXT(B1749,"AAMMDD")&amp;"-"&amp;(COUNTIFS($C$5:C1749,C1749,$B$5:B1749,B1749,$I$5:I1749,"ENTRADA")))</f>
        <v/>
      </c>
    </row>
    <row r="1750" spans="1:20">
      <c r="A1750" s="22" t="s">
        <v>1827</v>
      </c>
      <c r="H1750" s="22" t="str">
        <f t="shared" si="38"/>
        <v/>
      </c>
      <c r="J1750" s="32"/>
      <c r="T1750" t="str">
        <f>IF(OR(C1750="",I1750&lt;&gt;"ENTRADA"),"",UPPER(LEFT(SUBSTITUTE(C1750," ",""),3))&amp;"-"&amp;TEXT(B1750,"AAMMDD")&amp;"-"&amp;(COUNTIFS($C$5:C1750,C1750,$B$5:B1750,B1750,$I$5:I1750,"ENTRADA")))</f>
        <v/>
      </c>
    </row>
    <row r="1751" spans="1:20">
      <c r="A1751" s="22" t="s">
        <v>1828</v>
      </c>
      <c r="H1751" s="22" t="str">
        <f t="shared" si="38"/>
        <v/>
      </c>
      <c r="J1751" s="32"/>
      <c r="T1751" t="str">
        <f>IF(OR(C1751="",I1751&lt;&gt;"ENTRADA"),"",UPPER(LEFT(SUBSTITUTE(C1751," ",""),3))&amp;"-"&amp;TEXT(B1751,"AAMMDD")&amp;"-"&amp;(COUNTIFS($C$5:C1751,C1751,$B$5:B1751,B1751,$I$5:I1751,"ENTRADA")))</f>
        <v/>
      </c>
    </row>
    <row r="1752" spans="1:20">
      <c r="A1752" s="22" t="s">
        <v>1829</v>
      </c>
      <c r="H1752" s="22" t="str">
        <f t="shared" si="38"/>
        <v/>
      </c>
      <c r="J1752" s="32"/>
      <c r="T1752" t="str">
        <f>IF(OR(C1752="",I1752&lt;&gt;"ENTRADA"),"",UPPER(LEFT(SUBSTITUTE(C1752," ",""),3))&amp;"-"&amp;TEXT(B1752,"AAMMDD")&amp;"-"&amp;(COUNTIFS($C$5:C1752,C1752,$B$5:B1752,B1752,$I$5:I1752,"ENTRADA")))</f>
        <v/>
      </c>
    </row>
    <row r="1753" spans="1:20">
      <c r="A1753" s="22" t="s">
        <v>1830</v>
      </c>
      <c r="H1753" s="22" t="str">
        <f t="shared" si="38"/>
        <v/>
      </c>
      <c r="J1753" s="32"/>
      <c r="T1753" t="str">
        <f>IF(OR(C1753="",I1753&lt;&gt;"ENTRADA"),"",UPPER(LEFT(SUBSTITUTE(C1753," ",""),3))&amp;"-"&amp;TEXT(B1753,"AAMMDD")&amp;"-"&amp;(COUNTIFS($C$5:C1753,C1753,$B$5:B1753,B1753,$I$5:I1753,"ENTRADA")))</f>
        <v/>
      </c>
    </row>
    <row r="1754" spans="1:20">
      <c r="A1754" s="22" t="s">
        <v>1831</v>
      </c>
      <c r="H1754" s="22" t="str">
        <f t="shared" si="38"/>
        <v/>
      </c>
      <c r="J1754" s="32"/>
      <c r="T1754" t="str">
        <f>IF(OR(C1754="",I1754&lt;&gt;"ENTRADA"),"",UPPER(LEFT(SUBSTITUTE(C1754," ",""),3))&amp;"-"&amp;TEXT(B1754,"AAMMDD")&amp;"-"&amp;(COUNTIFS($C$5:C1754,C1754,$B$5:B1754,B1754,$I$5:I1754,"ENTRADA")))</f>
        <v/>
      </c>
    </row>
    <row r="1755" spans="1:20">
      <c r="A1755" s="22" t="s">
        <v>1832</v>
      </c>
      <c r="H1755" s="22" t="str">
        <f t="shared" si="38"/>
        <v/>
      </c>
      <c r="J1755" s="32"/>
      <c r="T1755" t="str">
        <f>IF(OR(C1755="",I1755&lt;&gt;"ENTRADA"),"",UPPER(LEFT(SUBSTITUTE(C1755," ",""),3))&amp;"-"&amp;TEXT(B1755,"AAMMDD")&amp;"-"&amp;(COUNTIFS($C$5:C1755,C1755,$B$5:B1755,B1755,$I$5:I1755,"ENTRADA")))</f>
        <v/>
      </c>
    </row>
    <row r="1756" spans="1:20">
      <c r="A1756" s="22" t="s">
        <v>1833</v>
      </c>
      <c r="H1756" s="22" t="str">
        <f t="shared" si="38"/>
        <v/>
      </c>
      <c r="J1756" s="32"/>
      <c r="T1756" t="str">
        <f>IF(OR(C1756="",I1756&lt;&gt;"ENTRADA"),"",UPPER(LEFT(SUBSTITUTE(C1756," ",""),3))&amp;"-"&amp;TEXT(B1756,"AAMMDD")&amp;"-"&amp;(COUNTIFS($C$5:C1756,C1756,$B$5:B1756,B1756,$I$5:I1756,"ENTRADA")))</f>
        <v/>
      </c>
    </row>
    <row r="1757" spans="1:20">
      <c r="A1757" s="22" t="s">
        <v>1834</v>
      </c>
      <c r="H1757" s="22" t="str">
        <f t="shared" si="38"/>
        <v/>
      </c>
      <c r="J1757" s="32"/>
      <c r="T1757" t="str">
        <f>IF(OR(C1757="",I1757&lt;&gt;"ENTRADA"),"",UPPER(LEFT(SUBSTITUTE(C1757," ",""),3))&amp;"-"&amp;TEXT(B1757,"AAMMDD")&amp;"-"&amp;(COUNTIFS($C$5:C1757,C1757,$B$5:B1757,B1757,$I$5:I1757,"ENTRADA")))</f>
        <v/>
      </c>
    </row>
    <row r="1758" spans="1:20">
      <c r="A1758" s="22" t="s">
        <v>1835</v>
      </c>
      <c r="H1758" s="22" t="str">
        <f t="shared" si="38"/>
        <v/>
      </c>
      <c r="J1758" s="32"/>
      <c r="T1758" t="str">
        <f>IF(OR(C1758="",I1758&lt;&gt;"ENTRADA"),"",UPPER(LEFT(SUBSTITUTE(C1758," ",""),3))&amp;"-"&amp;TEXT(B1758,"AAMMDD")&amp;"-"&amp;(COUNTIFS($C$5:C1758,C1758,$B$5:B1758,B1758,$I$5:I1758,"ENTRADA")))</f>
        <v/>
      </c>
    </row>
    <row r="1759" spans="1:20">
      <c r="A1759" s="22" t="s">
        <v>1836</v>
      </c>
      <c r="H1759" s="22" t="str">
        <f t="shared" si="38"/>
        <v/>
      </c>
      <c r="J1759" s="32"/>
      <c r="T1759" t="str">
        <f>IF(OR(C1759="",I1759&lt;&gt;"ENTRADA"),"",UPPER(LEFT(SUBSTITUTE(C1759," ",""),3))&amp;"-"&amp;TEXT(B1759,"AAMMDD")&amp;"-"&amp;(COUNTIFS($C$5:C1759,C1759,$B$5:B1759,B1759,$I$5:I1759,"ENTRADA")))</f>
        <v/>
      </c>
    </row>
    <row r="1760" spans="1:20">
      <c r="A1760" s="22" t="s">
        <v>1837</v>
      </c>
      <c r="H1760" s="22" t="str">
        <f t="shared" si="38"/>
        <v/>
      </c>
      <c r="J1760" s="32"/>
      <c r="T1760" t="str">
        <f>IF(OR(C1760="",I1760&lt;&gt;"ENTRADA"),"",UPPER(LEFT(SUBSTITUTE(C1760," ",""),3))&amp;"-"&amp;TEXT(B1760,"AAMMDD")&amp;"-"&amp;(COUNTIFS($C$5:C1760,C1760,$B$5:B1760,B1760,$I$5:I1760,"ENTRADA")))</f>
        <v/>
      </c>
    </row>
    <row r="1761" spans="1:20">
      <c r="A1761" s="22" t="s">
        <v>1838</v>
      </c>
      <c r="H1761" s="22" t="str">
        <f t="shared" si="38"/>
        <v/>
      </c>
      <c r="J1761" s="32"/>
      <c r="T1761" t="str">
        <f>IF(OR(C1761="",I1761&lt;&gt;"ENTRADA"),"",UPPER(LEFT(SUBSTITUTE(C1761," ",""),3))&amp;"-"&amp;TEXT(B1761,"AAMMDD")&amp;"-"&amp;(COUNTIFS($C$5:C1761,C1761,$B$5:B1761,B1761,$I$5:I1761,"ENTRADA")))</f>
        <v/>
      </c>
    </row>
    <row r="1762" spans="1:20">
      <c r="A1762" s="22" t="s">
        <v>1839</v>
      </c>
      <c r="H1762" s="22" t="str">
        <f t="shared" si="38"/>
        <v/>
      </c>
      <c r="J1762" s="32"/>
      <c r="T1762" t="str">
        <f>IF(OR(C1762="",I1762&lt;&gt;"ENTRADA"),"",UPPER(LEFT(SUBSTITUTE(C1762," ",""),3))&amp;"-"&amp;TEXT(B1762,"AAMMDD")&amp;"-"&amp;(COUNTIFS($C$5:C1762,C1762,$B$5:B1762,B1762,$I$5:I1762,"ENTRADA")))</f>
        <v/>
      </c>
    </row>
    <row r="1763" spans="1:20">
      <c r="A1763" s="22" t="s">
        <v>1840</v>
      </c>
      <c r="H1763" s="22" t="str">
        <f t="shared" si="38"/>
        <v/>
      </c>
      <c r="J1763" s="32"/>
      <c r="T1763" t="str">
        <f>IF(OR(C1763="",I1763&lt;&gt;"ENTRADA"),"",UPPER(LEFT(SUBSTITUTE(C1763," ",""),3))&amp;"-"&amp;TEXT(B1763,"AAMMDD")&amp;"-"&amp;(COUNTIFS($C$5:C1763,C1763,$B$5:B1763,B1763,$I$5:I1763,"ENTRADA")))</f>
        <v/>
      </c>
    </row>
    <row r="1764" spans="1:20">
      <c r="A1764" s="22" t="s">
        <v>1841</v>
      </c>
      <c r="H1764" s="22" t="str">
        <f t="shared" si="38"/>
        <v/>
      </c>
      <c r="J1764" s="32"/>
      <c r="T1764" t="str">
        <f>IF(OR(C1764="",I1764&lt;&gt;"ENTRADA"),"",UPPER(LEFT(SUBSTITUTE(C1764," ",""),3))&amp;"-"&amp;TEXT(B1764,"AAMMDD")&amp;"-"&amp;(COUNTIFS($C$5:C1764,C1764,$B$5:B1764,B1764,$I$5:I1764,"ENTRADA")))</f>
        <v/>
      </c>
    </row>
    <row r="1765" spans="1:20">
      <c r="A1765" s="22" t="s">
        <v>1842</v>
      </c>
      <c r="H1765" s="22" t="str">
        <f t="shared" si="38"/>
        <v/>
      </c>
      <c r="J1765" s="32"/>
      <c r="T1765" t="str">
        <f>IF(OR(C1765="",I1765&lt;&gt;"ENTRADA"),"",UPPER(LEFT(SUBSTITUTE(C1765," ",""),3))&amp;"-"&amp;TEXT(B1765,"AAMMDD")&amp;"-"&amp;(COUNTIFS($C$5:C1765,C1765,$B$5:B1765,B1765,$I$5:I1765,"ENTRADA")))</f>
        <v/>
      </c>
    </row>
    <row r="1766" spans="1:20">
      <c r="A1766" s="22" t="s">
        <v>1843</v>
      </c>
      <c r="H1766" s="22" t="str">
        <f t="shared" si="38"/>
        <v/>
      </c>
      <c r="J1766" s="32"/>
      <c r="T1766" t="str">
        <f>IF(OR(C1766="",I1766&lt;&gt;"ENTRADA"),"",UPPER(LEFT(SUBSTITUTE(C1766," ",""),3))&amp;"-"&amp;TEXT(B1766,"AAMMDD")&amp;"-"&amp;(COUNTIFS($C$5:C1766,C1766,$B$5:B1766,B1766,$I$5:I1766,"ENTRADA")))</f>
        <v/>
      </c>
    </row>
    <row r="1767" spans="1:20">
      <c r="A1767" s="22" t="s">
        <v>1844</v>
      </c>
      <c r="H1767" s="22" t="str">
        <f t="shared" si="38"/>
        <v/>
      </c>
      <c r="J1767" s="32"/>
      <c r="T1767" t="str">
        <f>IF(OR(C1767="",I1767&lt;&gt;"ENTRADA"),"",UPPER(LEFT(SUBSTITUTE(C1767," ",""),3))&amp;"-"&amp;TEXT(B1767,"AAMMDD")&amp;"-"&amp;(COUNTIFS($C$5:C1767,C1767,$B$5:B1767,B1767,$I$5:I1767,"ENTRADA")))</f>
        <v/>
      </c>
    </row>
    <row r="1768" spans="1:20">
      <c r="A1768" s="22" t="s">
        <v>1845</v>
      </c>
      <c r="H1768" s="22" t="str">
        <f t="shared" si="38"/>
        <v/>
      </c>
      <c r="J1768" s="32"/>
      <c r="T1768" t="str">
        <f>IF(OR(C1768="",I1768&lt;&gt;"ENTRADA"),"",UPPER(LEFT(SUBSTITUTE(C1768," ",""),3))&amp;"-"&amp;TEXT(B1768,"AAMMDD")&amp;"-"&amp;(COUNTIFS($C$5:C1768,C1768,$B$5:B1768,B1768,$I$5:I1768,"ENTRADA")))</f>
        <v/>
      </c>
    </row>
    <row r="1769" spans="1:20">
      <c r="A1769" s="22" t="s">
        <v>1846</v>
      </c>
      <c r="H1769" s="22" t="str">
        <f t="shared" si="38"/>
        <v/>
      </c>
      <c r="J1769" s="32"/>
      <c r="T1769" t="str">
        <f>IF(OR(C1769="",I1769&lt;&gt;"ENTRADA"),"",UPPER(LEFT(SUBSTITUTE(C1769," ",""),3))&amp;"-"&amp;TEXT(B1769,"AAMMDD")&amp;"-"&amp;(COUNTIFS($C$5:C1769,C1769,$B$5:B1769,B1769,$I$5:I1769,"ENTRADA")))</f>
        <v/>
      </c>
    </row>
    <row r="1770" spans="1:20">
      <c r="A1770" s="22" t="s">
        <v>1847</v>
      </c>
      <c r="H1770" s="22" t="str">
        <f t="shared" si="38"/>
        <v/>
      </c>
      <c r="J1770" s="32"/>
      <c r="T1770" t="str">
        <f>IF(OR(C1770="",I1770&lt;&gt;"ENTRADA"),"",UPPER(LEFT(SUBSTITUTE(C1770," ",""),3))&amp;"-"&amp;TEXT(B1770,"AAMMDD")&amp;"-"&amp;(COUNTIFS($C$5:C1770,C1770,$B$5:B1770,B1770,$I$5:I1770,"ENTRADA")))</f>
        <v/>
      </c>
    </row>
    <row r="1771" spans="1:20">
      <c r="A1771" s="22" t="s">
        <v>1848</v>
      </c>
      <c r="H1771" s="22" t="str">
        <f t="shared" si="38"/>
        <v/>
      </c>
      <c r="J1771" s="32"/>
      <c r="T1771" t="str">
        <f>IF(OR(C1771="",I1771&lt;&gt;"ENTRADA"),"",UPPER(LEFT(SUBSTITUTE(C1771," ",""),3))&amp;"-"&amp;TEXT(B1771,"AAMMDD")&amp;"-"&amp;(COUNTIFS($C$5:C1771,C1771,$B$5:B1771,B1771,$I$5:I1771,"ENTRADA")))</f>
        <v/>
      </c>
    </row>
    <row r="1772" spans="1:20">
      <c r="A1772" s="22" t="s">
        <v>1849</v>
      </c>
      <c r="H1772" s="22" t="str">
        <f t="shared" si="38"/>
        <v/>
      </c>
      <c r="J1772" s="32"/>
      <c r="T1772" t="str">
        <f>IF(OR(C1772="",I1772&lt;&gt;"ENTRADA"),"",UPPER(LEFT(SUBSTITUTE(C1772," ",""),3))&amp;"-"&amp;TEXT(B1772,"AAMMDD")&amp;"-"&amp;(COUNTIFS($C$5:C1772,C1772,$B$5:B1772,B1772,$I$5:I1772,"ENTRADA")))</f>
        <v/>
      </c>
    </row>
    <row r="1773" spans="1:20">
      <c r="A1773" s="22" t="s">
        <v>1850</v>
      </c>
      <c r="H1773" s="22" t="str">
        <f t="shared" si="38"/>
        <v/>
      </c>
      <c r="J1773" s="32"/>
      <c r="T1773" t="str">
        <f>IF(OR(C1773="",I1773&lt;&gt;"ENTRADA"),"",UPPER(LEFT(SUBSTITUTE(C1773," ",""),3))&amp;"-"&amp;TEXT(B1773,"AAMMDD")&amp;"-"&amp;(COUNTIFS($C$5:C1773,C1773,$B$5:B1773,B1773,$I$5:I1773,"ENTRADA")))</f>
        <v/>
      </c>
    </row>
    <row r="1774" spans="1:20">
      <c r="A1774" s="22" t="s">
        <v>1851</v>
      </c>
      <c r="H1774" s="22" t="str">
        <f t="shared" si="38"/>
        <v/>
      </c>
      <c r="J1774" s="32"/>
      <c r="T1774" t="str">
        <f>IF(OR(C1774="",I1774&lt;&gt;"ENTRADA"),"",UPPER(LEFT(SUBSTITUTE(C1774," ",""),3))&amp;"-"&amp;TEXT(B1774,"AAMMDD")&amp;"-"&amp;(COUNTIFS($C$5:C1774,C1774,$B$5:B1774,B1774,$I$5:I1774,"ENTRADA")))</f>
        <v/>
      </c>
    </row>
    <row r="1775" spans="1:20">
      <c r="A1775" s="22" t="s">
        <v>1852</v>
      </c>
      <c r="H1775" s="22" t="str">
        <f t="shared" si="38"/>
        <v/>
      </c>
      <c r="J1775" s="32"/>
      <c r="T1775" t="str">
        <f>IF(OR(C1775="",I1775&lt;&gt;"ENTRADA"),"",UPPER(LEFT(SUBSTITUTE(C1775," ",""),3))&amp;"-"&amp;TEXT(B1775,"AAMMDD")&amp;"-"&amp;(COUNTIFS($C$5:C1775,C1775,$B$5:B1775,B1775,$I$5:I1775,"ENTRADA")))</f>
        <v/>
      </c>
    </row>
    <row r="1776" spans="1:20">
      <c r="A1776" s="22" t="s">
        <v>1853</v>
      </c>
      <c r="H1776" s="22" t="str">
        <f t="shared" si="38"/>
        <v/>
      </c>
      <c r="J1776" s="32"/>
      <c r="T1776" t="str">
        <f>IF(OR(C1776="",I1776&lt;&gt;"ENTRADA"),"",UPPER(LEFT(SUBSTITUTE(C1776," ",""),3))&amp;"-"&amp;TEXT(B1776,"AAMMDD")&amp;"-"&amp;(COUNTIFS($C$5:C1776,C1776,$B$5:B1776,B1776,$I$5:I1776,"ENTRADA")))</f>
        <v/>
      </c>
    </row>
    <row r="1777" spans="1:20">
      <c r="A1777" s="22" t="s">
        <v>1854</v>
      </c>
      <c r="H1777" s="22" t="str">
        <f t="shared" si="38"/>
        <v/>
      </c>
      <c r="J1777" s="32"/>
      <c r="T1777" t="str">
        <f>IF(OR(C1777="",I1777&lt;&gt;"ENTRADA"),"",UPPER(LEFT(SUBSTITUTE(C1777," ",""),3))&amp;"-"&amp;TEXT(B1777,"AAMMDD")&amp;"-"&amp;(COUNTIFS($C$5:C1777,C1777,$B$5:B1777,B1777,$I$5:I1777,"ENTRADA")))</f>
        <v/>
      </c>
    </row>
    <row r="1778" spans="1:20">
      <c r="A1778" s="22" t="s">
        <v>1855</v>
      </c>
      <c r="H1778" s="22" t="str">
        <f t="shared" si="38"/>
        <v/>
      </c>
      <c r="J1778" s="32"/>
      <c r="T1778" t="str">
        <f>IF(OR(C1778="",I1778&lt;&gt;"ENTRADA"),"",UPPER(LEFT(SUBSTITUTE(C1778," ",""),3))&amp;"-"&amp;TEXT(B1778,"AAMMDD")&amp;"-"&amp;(COUNTIFS($C$5:C1778,C1778,$B$5:B1778,B1778,$I$5:I1778,"ENTRADA")))</f>
        <v/>
      </c>
    </row>
    <row r="1779" spans="1:20">
      <c r="A1779" s="22" t="s">
        <v>1856</v>
      </c>
      <c r="H1779" s="22" t="str">
        <f t="shared" si="38"/>
        <v/>
      </c>
      <c r="J1779" s="32"/>
      <c r="T1779" t="str">
        <f>IF(OR(C1779="",I1779&lt;&gt;"ENTRADA"),"",UPPER(LEFT(SUBSTITUTE(C1779," ",""),3))&amp;"-"&amp;TEXT(B1779,"AAMMDD")&amp;"-"&amp;(COUNTIFS($C$5:C1779,C1779,$B$5:B1779,B1779,$I$5:I1779,"ENTRADA")))</f>
        <v/>
      </c>
    </row>
    <row r="1780" spans="1:20">
      <c r="A1780" s="22" t="s">
        <v>1857</v>
      </c>
      <c r="H1780" s="22" t="str">
        <f t="shared" si="38"/>
        <v/>
      </c>
      <c r="J1780" s="32"/>
      <c r="T1780" t="str">
        <f>IF(OR(C1780="",I1780&lt;&gt;"ENTRADA"),"",UPPER(LEFT(SUBSTITUTE(C1780," ",""),3))&amp;"-"&amp;TEXT(B1780,"AAMMDD")&amp;"-"&amp;(COUNTIFS($C$5:C1780,C1780,$B$5:B1780,B1780,$I$5:I1780,"ENTRADA")))</f>
        <v/>
      </c>
    </row>
    <row r="1781" spans="1:20">
      <c r="A1781" s="22" t="s">
        <v>1858</v>
      </c>
      <c r="H1781" s="22" t="str">
        <f t="shared" si="38"/>
        <v/>
      </c>
      <c r="J1781" s="32"/>
      <c r="T1781" t="str">
        <f>IF(OR(C1781="",I1781&lt;&gt;"ENTRADA"),"",UPPER(LEFT(SUBSTITUTE(C1781," ",""),3))&amp;"-"&amp;TEXT(B1781,"AAMMDD")&amp;"-"&amp;(COUNTIFS($C$5:C1781,C1781,$B$5:B1781,B1781,$I$5:I1781,"ENTRADA")))</f>
        <v/>
      </c>
    </row>
    <row r="1782" spans="1:20">
      <c r="A1782" s="22" t="s">
        <v>1859</v>
      </c>
      <c r="H1782" s="22" t="str">
        <f t="shared" si="38"/>
        <v/>
      </c>
      <c r="J1782" s="32"/>
      <c r="T1782" t="str">
        <f>IF(OR(C1782="",I1782&lt;&gt;"ENTRADA"),"",UPPER(LEFT(SUBSTITUTE(C1782," ",""),3))&amp;"-"&amp;TEXT(B1782,"AAMMDD")&amp;"-"&amp;(COUNTIFS($C$5:C1782,C1782,$B$5:B1782,B1782,$I$5:I1782,"ENTRADA")))</f>
        <v/>
      </c>
    </row>
    <row r="1783" spans="1:20">
      <c r="A1783" s="22" t="s">
        <v>1860</v>
      </c>
      <c r="H1783" s="22" t="str">
        <f t="shared" si="38"/>
        <v/>
      </c>
      <c r="J1783" s="32"/>
      <c r="T1783" t="str">
        <f>IF(OR(C1783="",I1783&lt;&gt;"ENTRADA"),"",UPPER(LEFT(SUBSTITUTE(C1783," ",""),3))&amp;"-"&amp;TEXT(B1783,"AAMMDD")&amp;"-"&amp;(COUNTIFS($C$5:C1783,C1783,$B$5:B1783,B1783,$I$5:I1783,"ENTRADA")))</f>
        <v/>
      </c>
    </row>
    <row r="1784" spans="1:20">
      <c r="A1784" s="22" t="s">
        <v>1861</v>
      </c>
      <c r="H1784" s="22" t="str">
        <f t="shared" si="38"/>
        <v/>
      </c>
      <c r="J1784" s="32"/>
      <c r="T1784" t="str">
        <f>IF(OR(C1784="",I1784&lt;&gt;"ENTRADA"),"",UPPER(LEFT(SUBSTITUTE(C1784," ",""),3))&amp;"-"&amp;TEXT(B1784,"AAMMDD")&amp;"-"&amp;(COUNTIFS($C$5:C1784,C1784,$B$5:B1784,B1784,$I$5:I1784,"ENTRADA")))</f>
        <v/>
      </c>
    </row>
    <row r="1785" spans="1:20">
      <c r="A1785" s="22" t="s">
        <v>1862</v>
      </c>
      <c r="H1785" s="22" t="str">
        <f t="shared" si="38"/>
        <v/>
      </c>
      <c r="J1785" s="32"/>
      <c r="T1785" t="str">
        <f>IF(OR(C1785="",I1785&lt;&gt;"ENTRADA"),"",UPPER(LEFT(SUBSTITUTE(C1785," ",""),3))&amp;"-"&amp;TEXT(B1785,"AAMMDD")&amp;"-"&amp;(COUNTIFS($C$5:C1785,C1785,$B$5:B1785,B1785,$I$5:I1785,"ENTRADA")))</f>
        <v/>
      </c>
    </row>
    <row r="1786" spans="1:20">
      <c r="A1786" s="22" t="s">
        <v>1863</v>
      </c>
      <c r="H1786" s="22" t="str">
        <f t="shared" si="38"/>
        <v/>
      </c>
      <c r="J1786" s="32"/>
      <c r="T1786" t="str">
        <f>IF(OR(C1786="",I1786&lt;&gt;"ENTRADA"),"",UPPER(LEFT(SUBSTITUTE(C1786," ",""),3))&amp;"-"&amp;TEXT(B1786,"AAMMDD")&amp;"-"&amp;(COUNTIFS($C$5:C1786,C1786,$B$5:B1786,B1786,$I$5:I1786,"ENTRADA")))</f>
        <v/>
      </c>
    </row>
    <row r="1787" spans="1:20">
      <c r="A1787" s="22" t="s">
        <v>1864</v>
      </c>
      <c r="H1787" s="22" t="str">
        <f t="shared" si="38"/>
        <v/>
      </c>
      <c r="J1787" s="32"/>
      <c r="T1787" t="str">
        <f>IF(OR(C1787="",I1787&lt;&gt;"ENTRADA"),"",UPPER(LEFT(SUBSTITUTE(C1787," ",""),3))&amp;"-"&amp;TEXT(B1787,"AAMMDD")&amp;"-"&amp;(COUNTIFS($C$5:C1787,C1787,$B$5:B1787,B1787,$I$5:I1787,"ENTRADA")))</f>
        <v/>
      </c>
    </row>
    <row r="1788" spans="1:20">
      <c r="A1788" s="22" t="s">
        <v>1865</v>
      </c>
      <c r="H1788" s="22" t="str">
        <f t="shared" si="38"/>
        <v/>
      </c>
      <c r="J1788" s="32"/>
      <c r="T1788" t="str">
        <f>IF(OR(C1788="",I1788&lt;&gt;"ENTRADA"),"",UPPER(LEFT(SUBSTITUTE(C1788," ",""),3))&amp;"-"&amp;TEXT(B1788,"AAMMDD")&amp;"-"&amp;(COUNTIFS($C$5:C1788,C1788,$B$5:B1788,B1788,$I$5:I1788,"ENTRADA")))</f>
        <v/>
      </c>
    </row>
    <row r="1789" spans="1:20">
      <c r="A1789" s="22" t="s">
        <v>1866</v>
      </c>
      <c r="H1789" s="22" t="str">
        <f t="shared" si="38"/>
        <v/>
      </c>
      <c r="J1789" s="32"/>
      <c r="T1789" t="str">
        <f>IF(OR(C1789="",I1789&lt;&gt;"ENTRADA"),"",UPPER(LEFT(SUBSTITUTE(C1789," ",""),3))&amp;"-"&amp;TEXT(B1789,"AAMMDD")&amp;"-"&amp;(COUNTIFS($C$5:C1789,C1789,$B$5:B1789,B1789,$I$5:I1789,"ENTRADA")))</f>
        <v/>
      </c>
    </row>
    <row r="1790" spans="1:20">
      <c r="A1790" s="22" t="s">
        <v>1867</v>
      </c>
      <c r="H1790" s="22" t="str">
        <f t="shared" si="38"/>
        <v/>
      </c>
      <c r="J1790" s="32"/>
      <c r="T1790" t="str">
        <f>IF(OR(C1790="",I1790&lt;&gt;"ENTRADA"),"",UPPER(LEFT(SUBSTITUTE(C1790," ",""),3))&amp;"-"&amp;TEXT(B1790,"AAMMDD")&amp;"-"&amp;(COUNTIFS($C$5:C1790,C1790,$B$5:B1790,B1790,$I$5:I1790,"ENTRADA")))</f>
        <v/>
      </c>
    </row>
    <row r="1791" spans="1:20">
      <c r="A1791" s="22" t="s">
        <v>1868</v>
      </c>
      <c r="H1791" s="22" t="str">
        <f t="shared" si="38"/>
        <v/>
      </c>
      <c r="J1791" s="32"/>
      <c r="T1791" t="str">
        <f>IF(OR(C1791="",I1791&lt;&gt;"ENTRADA"),"",UPPER(LEFT(SUBSTITUTE(C1791," ",""),3))&amp;"-"&amp;TEXT(B1791,"AAMMDD")&amp;"-"&amp;(COUNTIFS($C$5:C1791,C1791,$B$5:B1791,B1791,$I$5:I1791,"ENTRADA")))</f>
        <v/>
      </c>
    </row>
    <row r="1792" spans="1:20">
      <c r="A1792" s="22" t="s">
        <v>1869</v>
      </c>
      <c r="H1792" s="22" t="str">
        <f t="shared" si="38"/>
        <v/>
      </c>
      <c r="J1792" s="32"/>
      <c r="T1792" t="str">
        <f>IF(OR(C1792="",I1792&lt;&gt;"ENTRADA"),"",UPPER(LEFT(SUBSTITUTE(C1792," ",""),3))&amp;"-"&amp;TEXT(B1792,"AAMMDD")&amp;"-"&amp;(COUNTIFS($C$5:C1792,C1792,$B$5:B1792,B1792,$I$5:I1792,"ENTRADA")))</f>
        <v/>
      </c>
    </row>
    <row r="1793" spans="1:20">
      <c r="A1793" s="22" t="s">
        <v>1870</v>
      </c>
      <c r="H1793" s="22" t="str">
        <f t="shared" si="38"/>
        <v/>
      </c>
      <c r="J1793" s="32"/>
      <c r="T1793" t="str">
        <f>IF(OR(C1793="",I1793&lt;&gt;"ENTRADA"),"",UPPER(LEFT(SUBSTITUTE(C1793," ",""),3))&amp;"-"&amp;TEXT(B1793,"AAMMDD")&amp;"-"&amp;(COUNTIFS($C$5:C1793,C1793,$B$5:B1793,B1793,$I$5:I1793,"ENTRADA")))</f>
        <v/>
      </c>
    </row>
    <row r="1794" spans="1:20">
      <c r="A1794" s="22" t="s">
        <v>1871</v>
      </c>
      <c r="H1794" s="22" t="str">
        <f t="shared" si="38"/>
        <v/>
      </c>
      <c r="J1794" s="32"/>
      <c r="T1794" t="str">
        <f>IF(OR(C1794="",I1794&lt;&gt;"ENTRADA"),"",UPPER(LEFT(SUBSTITUTE(C1794," ",""),3))&amp;"-"&amp;TEXT(B1794,"AAMMDD")&amp;"-"&amp;(COUNTIFS($C$5:C1794,C1794,$B$5:B1794,B1794,$I$5:I1794,"ENTRADA")))</f>
        <v/>
      </c>
    </row>
    <row r="1795" spans="1:20">
      <c r="A1795" s="22" t="s">
        <v>1872</v>
      </c>
      <c r="H1795" s="22" t="str">
        <f t="shared" si="38"/>
        <v/>
      </c>
      <c r="J1795" s="32"/>
      <c r="T1795" t="str">
        <f>IF(OR(C1795="",I1795&lt;&gt;"ENTRADA"),"",UPPER(LEFT(SUBSTITUTE(C1795," ",""),3))&amp;"-"&amp;TEXT(B1795,"AAMMDD")&amp;"-"&amp;(COUNTIFS($C$5:C1795,C1795,$B$5:B1795,B1795,$I$5:I1795,"ENTRADA")))</f>
        <v/>
      </c>
    </row>
    <row r="1796" spans="1:20">
      <c r="A1796" s="22" t="s">
        <v>1873</v>
      </c>
      <c r="H1796" s="22" t="str">
        <f t="shared" si="38"/>
        <v/>
      </c>
      <c r="J1796" s="32"/>
      <c r="T1796" t="str">
        <f>IF(OR(C1796="",I1796&lt;&gt;"ENTRADA"),"",UPPER(LEFT(SUBSTITUTE(C1796," ",""),3))&amp;"-"&amp;TEXT(B1796,"AAMMDD")&amp;"-"&amp;(COUNTIFS($C$5:C1796,C1796,$B$5:B1796,B1796,$I$5:I1796,"ENTRADA")))</f>
        <v/>
      </c>
    </row>
    <row r="1797" spans="1:20">
      <c r="A1797" s="22" t="s">
        <v>1874</v>
      </c>
      <c r="H1797" s="22" t="str">
        <f t="shared" si="38"/>
        <v/>
      </c>
      <c r="J1797" s="32"/>
      <c r="T1797" t="str">
        <f>IF(OR(C1797="",I1797&lt;&gt;"ENTRADA"),"",UPPER(LEFT(SUBSTITUTE(C1797," ",""),3))&amp;"-"&amp;TEXT(B1797,"AAMMDD")&amp;"-"&amp;(COUNTIFS($C$5:C1797,C1797,$B$5:B1797,B1797,$I$5:I1797,"ENTRADA")))</f>
        <v/>
      </c>
    </row>
    <row r="1798" spans="1:20">
      <c r="A1798" s="22" t="s">
        <v>1875</v>
      </c>
      <c r="H1798" s="22" t="str">
        <f t="shared" si="38"/>
        <v/>
      </c>
      <c r="J1798" s="32"/>
      <c r="T1798" t="str">
        <f>IF(OR(C1798="",I1798&lt;&gt;"ENTRADA"),"",UPPER(LEFT(SUBSTITUTE(C1798," ",""),3))&amp;"-"&amp;TEXT(B1798,"AAMMDD")&amp;"-"&amp;(COUNTIFS($C$5:C1798,C1798,$B$5:B1798,B1798,$I$5:I1798,"ENTRADA")))</f>
        <v/>
      </c>
    </row>
    <row r="1799" spans="1:20">
      <c r="A1799" s="22" t="s">
        <v>1876</v>
      </c>
      <c r="H1799" s="22" t="str">
        <f t="shared" si="38"/>
        <v/>
      </c>
      <c r="J1799" s="32"/>
      <c r="T1799" t="str">
        <f>IF(OR(C1799="",I1799&lt;&gt;"ENTRADA"),"",UPPER(LEFT(SUBSTITUTE(C1799," ",""),3))&amp;"-"&amp;TEXT(B1799,"AAMMDD")&amp;"-"&amp;(COUNTIFS($C$5:C1799,C1799,$B$5:B1799,B1799,$I$5:I1799,"ENTRADA")))</f>
        <v/>
      </c>
    </row>
    <row r="1800" spans="1:20">
      <c r="A1800" s="22" t="s">
        <v>1877</v>
      </c>
      <c r="H1800" s="22" t="str">
        <f t="shared" si="38"/>
        <v/>
      </c>
      <c r="J1800" s="32"/>
      <c r="T1800" t="str">
        <f>IF(OR(C1800="",I1800&lt;&gt;"ENTRADA"),"",UPPER(LEFT(SUBSTITUTE(C1800," ",""),3))&amp;"-"&amp;TEXT(B1800,"AAMMDD")&amp;"-"&amp;(COUNTIFS($C$5:C1800,C1800,$B$5:B1800,B1800,$I$5:I1800,"ENTRADA")))</f>
        <v/>
      </c>
    </row>
    <row r="1801" spans="1:20">
      <c r="A1801" s="22" t="s">
        <v>1878</v>
      </c>
      <c r="H1801" s="22" t="str">
        <f t="shared" si="38"/>
        <v/>
      </c>
      <c r="J1801" s="32"/>
      <c r="T1801" t="str">
        <f>IF(OR(C1801="",I1801&lt;&gt;"ENTRADA"),"",UPPER(LEFT(SUBSTITUTE(C1801," ",""),3))&amp;"-"&amp;TEXT(B1801,"AAMMDD")&amp;"-"&amp;(COUNTIFS($C$5:C1801,C1801,$B$5:B1801,B1801,$I$5:I1801,"ENTRADA")))</f>
        <v/>
      </c>
    </row>
    <row r="1802" spans="1:20">
      <c r="A1802" s="22" t="s">
        <v>1879</v>
      </c>
      <c r="H1802" s="22" t="str">
        <f t="shared" si="38"/>
        <v/>
      </c>
      <c r="J1802" s="32"/>
      <c r="T1802" t="str">
        <f>IF(OR(C1802="",I1802&lt;&gt;"ENTRADA"),"",UPPER(LEFT(SUBSTITUTE(C1802," ",""),3))&amp;"-"&amp;TEXT(B1802,"AAMMDD")&amp;"-"&amp;(COUNTIFS($C$5:C1802,C1802,$B$5:B1802,B1802,$I$5:I1802,"ENTRADA")))</f>
        <v/>
      </c>
    </row>
    <row r="1803" spans="1:20">
      <c r="A1803" s="22" t="s">
        <v>1880</v>
      </c>
      <c r="H1803" s="22" t="str">
        <f t="shared" si="38"/>
        <v/>
      </c>
      <c r="J1803" s="32"/>
      <c r="T1803" t="str">
        <f>IF(OR(C1803="",I1803&lt;&gt;"ENTRADA"),"",UPPER(LEFT(SUBSTITUTE(C1803," ",""),3))&amp;"-"&amp;TEXT(B1803,"AAMMDD")&amp;"-"&amp;(COUNTIFS($C$5:C1803,C1803,$B$5:B1803,B1803,$I$5:I1803,"ENTRADA")))</f>
        <v/>
      </c>
    </row>
    <row r="1804" spans="1:20">
      <c r="A1804" s="22" t="s">
        <v>1881</v>
      </c>
      <c r="H1804" s="22" t="str">
        <f t="shared" si="38"/>
        <v/>
      </c>
      <c r="J1804" s="32"/>
      <c r="T1804" t="str">
        <f>IF(OR(C1804="",I1804&lt;&gt;"ENTRADA"),"",UPPER(LEFT(SUBSTITUTE(C1804," ",""),3))&amp;"-"&amp;TEXT(B1804,"AAMMDD")&amp;"-"&amp;(COUNTIFS($C$5:C1804,C1804,$B$5:B1804,B1804,$I$5:I1804,"ENTRADA")))</f>
        <v/>
      </c>
    </row>
    <row r="1805" spans="1:20">
      <c r="A1805" s="22" t="s">
        <v>1882</v>
      </c>
      <c r="H1805" s="22" t="str">
        <f t="shared" si="38"/>
        <v/>
      </c>
      <c r="J1805" s="32"/>
      <c r="T1805" t="str">
        <f>IF(OR(C1805="",I1805&lt;&gt;"ENTRADA"),"",UPPER(LEFT(SUBSTITUTE(C1805," ",""),3))&amp;"-"&amp;TEXT(B1805,"AAMMDD")&amp;"-"&amp;(COUNTIFS($C$5:C1805,C1805,$B$5:B1805,B1805,$I$5:I1805,"ENTRADA")))</f>
        <v/>
      </c>
    </row>
    <row r="1806" spans="1:20">
      <c r="A1806" s="22" t="s">
        <v>1883</v>
      </c>
      <c r="H1806" s="22" t="str">
        <f t="shared" si="38"/>
        <v/>
      </c>
      <c r="J1806" s="32"/>
      <c r="T1806" t="str">
        <f>IF(OR(C1806="",I1806&lt;&gt;"ENTRADA"),"",UPPER(LEFT(SUBSTITUTE(C1806," ",""),3))&amp;"-"&amp;TEXT(B1806,"AAMMDD")&amp;"-"&amp;(COUNTIFS($C$5:C1806,C1806,$B$5:B1806,B1806,$I$5:I1806,"ENTRADA")))</f>
        <v/>
      </c>
    </row>
    <row r="1807" spans="1:20">
      <c r="A1807" s="22" t="s">
        <v>1884</v>
      </c>
      <c r="H1807" s="22" t="str">
        <f t="shared" si="38"/>
        <v/>
      </c>
      <c r="J1807" s="32"/>
      <c r="T1807" t="str">
        <f>IF(OR(C1807="",I1807&lt;&gt;"ENTRADA"),"",UPPER(LEFT(SUBSTITUTE(C1807," ",""),3))&amp;"-"&amp;TEXT(B1807,"AAMMDD")&amp;"-"&amp;(COUNTIFS($C$5:C1807,C1807,$B$5:B1807,B1807,$I$5:I1807,"ENTRADA")))</f>
        <v/>
      </c>
    </row>
    <row r="1808" spans="1:20">
      <c r="A1808" s="22" t="s">
        <v>1885</v>
      </c>
      <c r="H1808" s="22" t="str">
        <f t="shared" ref="H1808:H1871" si="39">+T1808</f>
        <v/>
      </c>
      <c r="J1808" s="32"/>
      <c r="T1808" t="str">
        <f>IF(OR(C1808="",I1808&lt;&gt;"ENTRADA"),"",UPPER(LEFT(SUBSTITUTE(C1808," ",""),3))&amp;"-"&amp;TEXT(B1808,"AAMMDD")&amp;"-"&amp;(COUNTIFS($C$5:C1808,C1808,$B$5:B1808,B1808,$I$5:I1808,"ENTRADA")))</f>
        <v/>
      </c>
    </row>
    <row r="1809" spans="1:20">
      <c r="A1809" s="22" t="s">
        <v>1886</v>
      </c>
      <c r="H1809" s="22" t="str">
        <f t="shared" si="39"/>
        <v/>
      </c>
      <c r="J1809" s="32"/>
      <c r="T1809" t="str">
        <f>IF(OR(C1809="",I1809&lt;&gt;"ENTRADA"),"",UPPER(LEFT(SUBSTITUTE(C1809," ",""),3))&amp;"-"&amp;TEXT(B1809,"AAMMDD")&amp;"-"&amp;(COUNTIFS($C$5:C1809,C1809,$B$5:B1809,B1809,$I$5:I1809,"ENTRADA")))</f>
        <v/>
      </c>
    </row>
    <row r="1810" spans="1:20">
      <c r="A1810" s="22" t="s">
        <v>1887</v>
      </c>
      <c r="H1810" s="22" t="str">
        <f t="shared" si="39"/>
        <v/>
      </c>
      <c r="J1810" s="32"/>
      <c r="T1810" t="str">
        <f>IF(OR(C1810="",I1810&lt;&gt;"ENTRADA"),"",UPPER(LEFT(SUBSTITUTE(C1810," ",""),3))&amp;"-"&amp;TEXT(B1810,"AAMMDD")&amp;"-"&amp;(COUNTIFS($C$5:C1810,C1810,$B$5:B1810,B1810,$I$5:I1810,"ENTRADA")))</f>
        <v/>
      </c>
    </row>
    <row r="1811" spans="1:20">
      <c r="A1811" s="22" t="s">
        <v>1888</v>
      </c>
      <c r="H1811" s="22" t="str">
        <f t="shared" si="39"/>
        <v/>
      </c>
      <c r="J1811" s="32"/>
      <c r="T1811" t="str">
        <f>IF(OR(C1811="",I1811&lt;&gt;"ENTRADA"),"",UPPER(LEFT(SUBSTITUTE(C1811," ",""),3))&amp;"-"&amp;TEXT(B1811,"AAMMDD")&amp;"-"&amp;(COUNTIFS($C$5:C1811,C1811,$B$5:B1811,B1811,$I$5:I1811,"ENTRADA")))</f>
        <v/>
      </c>
    </row>
    <row r="1812" spans="1:20">
      <c r="A1812" s="22" t="s">
        <v>1889</v>
      </c>
      <c r="H1812" s="22" t="str">
        <f t="shared" si="39"/>
        <v/>
      </c>
      <c r="J1812" s="32"/>
      <c r="T1812" t="str">
        <f>IF(OR(C1812="",I1812&lt;&gt;"ENTRADA"),"",UPPER(LEFT(SUBSTITUTE(C1812," ",""),3))&amp;"-"&amp;TEXT(B1812,"AAMMDD")&amp;"-"&amp;(COUNTIFS($C$5:C1812,C1812,$B$5:B1812,B1812,$I$5:I1812,"ENTRADA")))</f>
        <v/>
      </c>
    </row>
    <row r="1813" spans="1:20">
      <c r="A1813" s="22" t="s">
        <v>1890</v>
      </c>
      <c r="H1813" s="22" t="str">
        <f t="shared" si="39"/>
        <v/>
      </c>
      <c r="J1813" s="32"/>
      <c r="T1813" t="str">
        <f>IF(OR(C1813="",I1813&lt;&gt;"ENTRADA"),"",UPPER(LEFT(SUBSTITUTE(C1813," ",""),3))&amp;"-"&amp;TEXT(B1813,"AAMMDD")&amp;"-"&amp;(COUNTIFS($C$5:C1813,C1813,$B$5:B1813,B1813,$I$5:I1813,"ENTRADA")))</f>
        <v/>
      </c>
    </row>
    <row r="1814" spans="1:20">
      <c r="A1814" s="22" t="s">
        <v>1891</v>
      </c>
      <c r="H1814" s="22" t="str">
        <f t="shared" si="39"/>
        <v/>
      </c>
      <c r="J1814" s="32"/>
      <c r="T1814" t="str">
        <f>IF(OR(C1814="",I1814&lt;&gt;"ENTRADA"),"",UPPER(LEFT(SUBSTITUTE(C1814," ",""),3))&amp;"-"&amp;TEXT(B1814,"AAMMDD")&amp;"-"&amp;(COUNTIFS($C$5:C1814,C1814,$B$5:B1814,B1814,$I$5:I1814,"ENTRADA")))</f>
        <v/>
      </c>
    </row>
    <row r="1815" spans="1:20">
      <c r="A1815" s="22" t="s">
        <v>1892</v>
      </c>
      <c r="H1815" s="22" t="str">
        <f t="shared" si="39"/>
        <v/>
      </c>
      <c r="J1815" s="32"/>
      <c r="T1815" t="str">
        <f>IF(OR(C1815="",I1815&lt;&gt;"ENTRADA"),"",UPPER(LEFT(SUBSTITUTE(C1815," ",""),3))&amp;"-"&amp;TEXT(B1815,"AAMMDD")&amp;"-"&amp;(COUNTIFS($C$5:C1815,C1815,$B$5:B1815,B1815,$I$5:I1815,"ENTRADA")))</f>
        <v/>
      </c>
    </row>
    <row r="1816" spans="1:20">
      <c r="A1816" s="22" t="s">
        <v>1893</v>
      </c>
      <c r="H1816" s="22" t="str">
        <f t="shared" si="39"/>
        <v/>
      </c>
      <c r="J1816" s="32"/>
      <c r="T1816" t="str">
        <f>IF(OR(C1816="",I1816&lt;&gt;"ENTRADA"),"",UPPER(LEFT(SUBSTITUTE(C1816," ",""),3))&amp;"-"&amp;TEXT(B1816,"AAMMDD")&amp;"-"&amp;(COUNTIFS($C$5:C1816,C1816,$B$5:B1816,B1816,$I$5:I1816,"ENTRADA")))</f>
        <v/>
      </c>
    </row>
    <row r="1817" spans="1:20">
      <c r="A1817" s="22" t="s">
        <v>1894</v>
      </c>
      <c r="H1817" s="22" t="str">
        <f t="shared" si="39"/>
        <v/>
      </c>
      <c r="J1817" s="32"/>
      <c r="T1817" t="str">
        <f>IF(OR(C1817="",I1817&lt;&gt;"ENTRADA"),"",UPPER(LEFT(SUBSTITUTE(C1817," ",""),3))&amp;"-"&amp;TEXT(B1817,"AAMMDD")&amp;"-"&amp;(COUNTIFS($C$5:C1817,C1817,$B$5:B1817,B1817,$I$5:I1817,"ENTRADA")))</f>
        <v/>
      </c>
    </row>
    <row r="1818" spans="1:20">
      <c r="A1818" s="22" t="s">
        <v>1895</v>
      </c>
      <c r="H1818" s="22" t="str">
        <f t="shared" si="39"/>
        <v/>
      </c>
      <c r="J1818" s="32"/>
      <c r="T1818" t="str">
        <f>IF(OR(C1818="",I1818&lt;&gt;"ENTRADA"),"",UPPER(LEFT(SUBSTITUTE(C1818," ",""),3))&amp;"-"&amp;TEXT(B1818,"AAMMDD")&amp;"-"&amp;(COUNTIFS($C$5:C1818,C1818,$B$5:B1818,B1818,$I$5:I1818,"ENTRADA")))</f>
        <v/>
      </c>
    </row>
    <row r="1819" spans="1:20">
      <c r="A1819" s="22" t="s">
        <v>1896</v>
      </c>
      <c r="H1819" s="22" t="str">
        <f t="shared" si="39"/>
        <v/>
      </c>
      <c r="J1819" s="32"/>
      <c r="T1819" t="str">
        <f>IF(OR(C1819="",I1819&lt;&gt;"ENTRADA"),"",UPPER(LEFT(SUBSTITUTE(C1819," ",""),3))&amp;"-"&amp;TEXT(B1819,"AAMMDD")&amp;"-"&amp;(COUNTIFS($C$5:C1819,C1819,$B$5:B1819,B1819,$I$5:I1819,"ENTRADA")))</f>
        <v/>
      </c>
    </row>
    <row r="1820" spans="1:20">
      <c r="A1820" s="22" t="s">
        <v>1897</v>
      </c>
      <c r="H1820" s="22" t="str">
        <f t="shared" si="39"/>
        <v/>
      </c>
      <c r="J1820" s="32"/>
      <c r="T1820" t="str">
        <f>IF(OR(C1820="",I1820&lt;&gt;"ENTRADA"),"",UPPER(LEFT(SUBSTITUTE(C1820," ",""),3))&amp;"-"&amp;TEXT(B1820,"AAMMDD")&amp;"-"&amp;(COUNTIFS($C$5:C1820,C1820,$B$5:B1820,B1820,$I$5:I1820,"ENTRADA")))</f>
        <v/>
      </c>
    </row>
    <row r="1821" spans="1:20">
      <c r="A1821" s="22" t="s">
        <v>1898</v>
      </c>
      <c r="H1821" s="22" t="str">
        <f t="shared" si="39"/>
        <v/>
      </c>
      <c r="J1821" s="32"/>
      <c r="T1821" t="str">
        <f>IF(OR(C1821="",I1821&lt;&gt;"ENTRADA"),"",UPPER(LEFT(SUBSTITUTE(C1821," ",""),3))&amp;"-"&amp;TEXT(B1821,"AAMMDD")&amp;"-"&amp;(COUNTIFS($C$5:C1821,C1821,$B$5:B1821,B1821,$I$5:I1821,"ENTRADA")))</f>
        <v/>
      </c>
    </row>
    <row r="1822" spans="1:20">
      <c r="A1822" s="22" t="s">
        <v>1899</v>
      </c>
      <c r="H1822" s="22" t="str">
        <f t="shared" si="39"/>
        <v/>
      </c>
      <c r="J1822" s="32"/>
      <c r="T1822" t="str">
        <f>IF(OR(C1822="",I1822&lt;&gt;"ENTRADA"),"",UPPER(LEFT(SUBSTITUTE(C1822," ",""),3))&amp;"-"&amp;TEXT(B1822,"AAMMDD")&amp;"-"&amp;(COUNTIFS($C$5:C1822,C1822,$B$5:B1822,B1822,$I$5:I1822,"ENTRADA")))</f>
        <v/>
      </c>
    </row>
    <row r="1823" spans="1:20">
      <c r="A1823" s="22" t="s">
        <v>1900</v>
      </c>
      <c r="H1823" s="22" t="str">
        <f t="shared" si="39"/>
        <v/>
      </c>
      <c r="J1823" s="32"/>
      <c r="T1823" t="str">
        <f>IF(OR(C1823="",I1823&lt;&gt;"ENTRADA"),"",UPPER(LEFT(SUBSTITUTE(C1823," ",""),3))&amp;"-"&amp;TEXT(B1823,"AAMMDD")&amp;"-"&amp;(COUNTIFS($C$5:C1823,C1823,$B$5:B1823,B1823,$I$5:I1823,"ENTRADA")))</f>
        <v/>
      </c>
    </row>
    <row r="1824" spans="1:20">
      <c r="A1824" s="22" t="s">
        <v>1901</v>
      </c>
      <c r="H1824" s="22" t="str">
        <f t="shared" si="39"/>
        <v/>
      </c>
      <c r="J1824" s="32"/>
      <c r="T1824" t="str">
        <f>IF(OR(C1824="",I1824&lt;&gt;"ENTRADA"),"",UPPER(LEFT(SUBSTITUTE(C1824," ",""),3))&amp;"-"&amp;TEXT(B1824,"AAMMDD")&amp;"-"&amp;(COUNTIFS($C$5:C1824,C1824,$B$5:B1824,B1824,$I$5:I1824,"ENTRADA")))</f>
        <v/>
      </c>
    </row>
    <row r="1825" spans="1:20">
      <c r="A1825" s="22" t="s">
        <v>1902</v>
      </c>
      <c r="H1825" s="22" t="str">
        <f t="shared" si="39"/>
        <v/>
      </c>
      <c r="J1825" s="32"/>
      <c r="T1825" t="str">
        <f>IF(OR(C1825="",I1825&lt;&gt;"ENTRADA"),"",UPPER(LEFT(SUBSTITUTE(C1825," ",""),3))&amp;"-"&amp;TEXT(B1825,"AAMMDD")&amp;"-"&amp;(COUNTIFS($C$5:C1825,C1825,$B$5:B1825,B1825,$I$5:I1825,"ENTRADA")))</f>
        <v/>
      </c>
    </row>
    <row r="1826" spans="1:20">
      <c r="A1826" s="22" t="s">
        <v>1903</v>
      </c>
      <c r="H1826" s="22" t="str">
        <f t="shared" si="39"/>
        <v/>
      </c>
      <c r="J1826" s="32"/>
      <c r="T1826" t="str">
        <f>IF(OR(C1826="",I1826&lt;&gt;"ENTRADA"),"",UPPER(LEFT(SUBSTITUTE(C1826," ",""),3))&amp;"-"&amp;TEXT(B1826,"AAMMDD")&amp;"-"&amp;(COUNTIFS($C$5:C1826,C1826,$B$5:B1826,B1826,$I$5:I1826,"ENTRADA")))</f>
        <v/>
      </c>
    </row>
    <row r="1827" spans="1:20">
      <c r="A1827" s="22" t="s">
        <v>1904</v>
      </c>
      <c r="H1827" s="22" t="str">
        <f t="shared" si="39"/>
        <v/>
      </c>
      <c r="J1827" s="32"/>
      <c r="T1827" t="str">
        <f>IF(OR(C1827="",I1827&lt;&gt;"ENTRADA"),"",UPPER(LEFT(SUBSTITUTE(C1827," ",""),3))&amp;"-"&amp;TEXT(B1827,"AAMMDD")&amp;"-"&amp;(COUNTIFS($C$5:C1827,C1827,$B$5:B1827,B1827,$I$5:I1827,"ENTRADA")))</f>
        <v/>
      </c>
    </row>
    <row r="1828" spans="1:20">
      <c r="A1828" s="22" t="s">
        <v>1905</v>
      </c>
      <c r="H1828" s="22" t="str">
        <f t="shared" si="39"/>
        <v/>
      </c>
      <c r="J1828" s="32"/>
      <c r="T1828" t="str">
        <f>IF(OR(C1828="",I1828&lt;&gt;"ENTRADA"),"",UPPER(LEFT(SUBSTITUTE(C1828," ",""),3))&amp;"-"&amp;TEXT(B1828,"AAMMDD")&amp;"-"&amp;(COUNTIFS($C$5:C1828,C1828,$B$5:B1828,B1828,$I$5:I1828,"ENTRADA")))</f>
        <v/>
      </c>
    </row>
    <row r="1829" spans="1:20">
      <c r="A1829" s="22" t="s">
        <v>1906</v>
      </c>
      <c r="H1829" s="22" t="str">
        <f t="shared" si="39"/>
        <v/>
      </c>
      <c r="J1829" s="32"/>
      <c r="T1829" t="str">
        <f>IF(OR(C1829="",I1829&lt;&gt;"ENTRADA"),"",UPPER(LEFT(SUBSTITUTE(C1829," ",""),3))&amp;"-"&amp;TEXT(B1829,"AAMMDD")&amp;"-"&amp;(COUNTIFS($C$5:C1829,C1829,$B$5:B1829,B1829,$I$5:I1829,"ENTRADA")))</f>
        <v/>
      </c>
    </row>
    <row r="1830" spans="1:20">
      <c r="A1830" s="22" t="s">
        <v>1907</v>
      </c>
      <c r="H1830" s="22" t="str">
        <f t="shared" si="39"/>
        <v/>
      </c>
      <c r="J1830" s="32"/>
      <c r="T1830" t="str">
        <f>IF(OR(C1830="",I1830&lt;&gt;"ENTRADA"),"",UPPER(LEFT(SUBSTITUTE(C1830," ",""),3))&amp;"-"&amp;TEXT(B1830,"AAMMDD")&amp;"-"&amp;(COUNTIFS($C$5:C1830,C1830,$B$5:B1830,B1830,$I$5:I1830,"ENTRADA")))</f>
        <v/>
      </c>
    </row>
    <row r="1831" spans="1:20">
      <c r="A1831" s="22" t="s">
        <v>1908</v>
      </c>
      <c r="H1831" s="22" t="str">
        <f t="shared" si="39"/>
        <v/>
      </c>
      <c r="J1831" s="32"/>
      <c r="T1831" t="str">
        <f>IF(OR(C1831="",I1831&lt;&gt;"ENTRADA"),"",UPPER(LEFT(SUBSTITUTE(C1831," ",""),3))&amp;"-"&amp;TEXT(B1831,"AAMMDD")&amp;"-"&amp;(COUNTIFS($C$5:C1831,C1831,$B$5:B1831,B1831,$I$5:I1831,"ENTRADA")))</f>
        <v/>
      </c>
    </row>
    <row r="1832" spans="1:20">
      <c r="A1832" s="22" t="s">
        <v>1909</v>
      </c>
      <c r="H1832" s="22" t="str">
        <f t="shared" si="39"/>
        <v/>
      </c>
      <c r="J1832" s="32"/>
      <c r="T1832" t="str">
        <f>IF(OR(C1832="",I1832&lt;&gt;"ENTRADA"),"",UPPER(LEFT(SUBSTITUTE(C1832," ",""),3))&amp;"-"&amp;TEXT(B1832,"AAMMDD")&amp;"-"&amp;(COUNTIFS($C$5:C1832,C1832,$B$5:B1832,B1832,$I$5:I1832,"ENTRADA")))</f>
        <v/>
      </c>
    </row>
    <row r="1833" spans="1:20">
      <c r="A1833" s="22" t="s">
        <v>1910</v>
      </c>
      <c r="H1833" s="22" t="str">
        <f t="shared" si="39"/>
        <v/>
      </c>
      <c r="J1833" s="32"/>
      <c r="T1833" t="str">
        <f>IF(OR(C1833="",I1833&lt;&gt;"ENTRADA"),"",UPPER(LEFT(SUBSTITUTE(C1833," ",""),3))&amp;"-"&amp;TEXT(B1833,"AAMMDD")&amp;"-"&amp;(COUNTIFS($C$5:C1833,C1833,$B$5:B1833,B1833,$I$5:I1833,"ENTRADA")))</f>
        <v/>
      </c>
    </row>
    <row r="1834" spans="1:20">
      <c r="A1834" s="22" t="s">
        <v>1911</v>
      </c>
      <c r="H1834" s="22" t="str">
        <f t="shared" si="39"/>
        <v/>
      </c>
      <c r="J1834" s="32"/>
      <c r="T1834" t="str">
        <f>IF(OR(C1834="",I1834&lt;&gt;"ENTRADA"),"",UPPER(LEFT(SUBSTITUTE(C1834," ",""),3))&amp;"-"&amp;TEXT(B1834,"AAMMDD")&amp;"-"&amp;(COUNTIFS($C$5:C1834,C1834,$B$5:B1834,B1834,$I$5:I1834,"ENTRADA")))</f>
        <v/>
      </c>
    </row>
    <row r="1835" spans="1:20">
      <c r="A1835" s="22" t="s">
        <v>1912</v>
      </c>
      <c r="H1835" s="22" t="str">
        <f t="shared" si="39"/>
        <v/>
      </c>
      <c r="J1835" s="32"/>
      <c r="T1835" t="str">
        <f>IF(OR(C1835="",I1835&lt;&gt;"ENTRADA"),"",UPPER(LEFT(SUBSTITUTE(C1835," ",""),3))&amp;"-"&amp;TEXT(B1835,"AAMMDD")&amp;"-"&amp;(COUNTIFS($C$5:C1835,C1835,$B$5:B1835,B1835,$I$5:I1835,"ENTRADA")))</f>
        <v/>
      </c>
    </row>
    <row r="1836" spans="1:20">
      <c r="A1836" s="22" t="s">
        <v>1913</v>
      </c>
      <c r="H1836" s="22" t="str">
        <f t="shared" si="39"/>
        <v/>
      </c>
      <c r="J1836" s="32"/>
      <c r="T1836" t="str">
        <f>IF(OR(C1836="",I1836&lt;&gt;"ENTRADA"),"",UPPER(LEFT(SUBSTITUTE(C1836," ",""),3))&amp;"-"&amp;TEXT(B1836,"AAMMDD")&amp;"-"&amp;(COUNTIFS($C$5:C1836,C1836,$B$5:B1836,B1836,$I$5:I1836,"ENTRADA")))</f>
        <v/>
      </c>
    </row>
    <row r="1837" spans="1:20">
      <c r="A1837" s="22" t="s">
        <v>1914</v>
      </c>
      <c r="H1837" s="22" t="str">
        <f t="shared" si="39"/>
        <v/>
      </c>
      <c r="J1837" s="32"/>
      <c r="T1837" t="str">
        <f>IF(OR(C1837="",I1837&lt;&gt;"ENTRADA"),"",UPPER(LEFT(SUBSTITUTE(C1837," ",""),3))&amp;"-"&amp;TEXT(B1837,"AAMMDD")&amp;"-"&amp;(COUNTIFS($C$5:C1837,C1837,$B$5:B1837,B1837,$I$5:I1837,"ENTRADA")))</f>
        <v/>
      </c>
    </row>
    <row r="1838" spans="1:20">
      <c r="A1838" s="22" t="s">
        <v>1915</v>
      </c>
      <c r="H1838" s="22" t="str">
        <f t="shared" si="39"/>
        <v/>
      </c>
      <c r="J1838" s="32"/>
      <c r="T1838" t="str">
        <f>IF(OR(C1838="",I1838&lt;&gt;"ENTRADA"),"",UPPER(LEFT(SUBSTITUTE(C1838," ",""),3))&amp;"-"&amp;TEXT(B1838,"AAMMDD")&amp;"-"&amp;(COUNTIFS($C$5:C1838,C1838,$B$5:B1838,B1838,$I$5:I1838,"ENTRADA")))</f>
        <v/>
      </c>
    </row>
    <row r="1839" spans="1:20">
      <c r="A1839" s="22" t="s">
        <v>1916</v>
      </c>
      <c r="H1839" s="22" t="str">
        <f t="shared" si="39"/>
        <v/>
      </c>
      <c r="J1839" s="32"/>
      <c r="T1839" t="str">
        <f>IF(OR(C1839="",I1839&lt;&gt;"ENTRADA"),"",UPPER(LEFT(SUBSTITUTE(C1839," ",""),3))&amp;"-"&amp;TEXT(B1839,"AAMMDD")&amp;"-"&amp;(COUNTIFS($C$5:C1839,C1839,$B$5:B1839,B1839,$I$5:I1839,"ENTRADA")))</f>
        <v/>
      </c>
    </row>
    <row r="1840" spans="1:20">
      <c r="A1840" s="22" t="s">
        <v>1917</v>
      </c>
      <c r="H1840" s="22" t="str">
        <f t="shared" si="39"/>
        <v/>
      </c>
      <c r="J1840" s="32"/>
      <c r="T1840" t="str">
        <f>IF(OR(C1840="",I1840&lt;&gt;"ENTRADA"),"",UPPER(LEFT(SUBSTITUTE(C1840," ",""),3))&amp;"-"&amp;TEXT(B1840,"AAMMDD")&amp;"-"&amp;(COUNTIFS($C$5:C1840,C1840,$B$5:B1840,B1840,$I$5:I1840,"ENTRADA")))</f>
        <v/>
      </c>
    </row>
    <row r="1841" spans="1:20">
      <c r="A1841" s="22" t="s">
        <v>1918</v>
      </c>
      <c r="H1841" s="22" t="str">
        <f t="shared" si="39"/>
        <v/>
      </c>
      <c r="J1841" s="32"/>
      <c r="T1841" t="str">
        <f>IF(OR(C1841="",I1841&lt;&gt;"ENTRADA"),"",UPPER(LEFT(SUBSTITUTE(C1841," ",""),3))&amp;"-"&amp;TEXT(B1841,"AAMMDD")&amp;"-"&amp;(COUNTIFS($C$5:C1841,C1841,$B$5:B1841,B1841,$I$5:I1841,"ENTRADA")))</f>
        <v/>
      </c>
    </row>
    <row r="1842" spans="1:20">
      <c r="A1842" s="22" t="s">
        <v>1919</v>
      </c>
      <c r="H1842" s="22" t="str">
        <f t="shared" si="39"/>
        <v/>
      </c>
      <c r="J1842" s="32"/>
      <c r="T1842" t="str">
        <f>IF(OR(C1842="",I1842&lt;&gt;"ENTRADA"),"",UPPER(LEFT(SUBSTITUTE(C1842," ",""),3))&amp;"-"&amp;TEXT(B1842,"AAMMDD")&amp;"-"&amp;(COUNTIFS($C$5:C1842,C1842,$B$5:B1842,B1842,$I$5:I1842,"ENTRADA")))</f>
        <v/>
      </c>
    </row>
    <row r="1843" spans="1:20">
      <c r="A1843" s="22" t="s">
        <v>1920</v>
      </c>
      <c r="H1843" s="22" t="str">
        <f t="shared" si="39"/>
        <v/>
      </c>
      <c r="J1843" s="32"/>
      <c r="T1843" t="str">
        <f>IF(OR(C1843="",I1843&lt;&gt;"ENTRADA"),"",UPPER(LEFT(SUBSTITUTE(C1843," ",""),3))&amp;"-"&amp;TEXT(B1843,"AAMMDD")&amp;"-"&amp;(COUNTIFS($C$5:C1843,C1843,$B$5:B1843,B1843,$I$5:I1843,"ENTRADA")))</f>
        <v/>
      </c>
    </row>
    <row r="1844" spans="1:20">
      <c r="A1844" s="22" t="s">
        <v>1921</v>
      </c>
      <c r="H1844" s="22" t="str">
        <f t="shared" si="39"/>
        <v/>
      </c>
      <c r="J1844" s="32"/>
      <c r="T1844" t="str">
        <f>IF(OR(C1844="",I1844&lt;&gt;"ENTRADA"),"",UPPER(LEFT(SUBSTITUTE(C1844," ",""),3))&amp;"-"&amp;TEXT(B1844,"AAMMDD")&amp;"-"&amp;(COUNTIFS($C$5:C1844,C1844,$B$5:B1844,B1844,$I$5:I1844,"ENTRADA")))</f>
        <v/>
      </c>
    </row>
    <row r="1845" spans="1:20">
      <c r="A1845" s="22" t="s">
        <v>1922</v>
      </c>
      <c r="H1845" s="22" t="str">
        <f t="shared" si="39"/>
        <v/>
      </c>
      <c r="J1845" s="32"/>
      <c r="T1845" t="str">
        <f>IF(OR(C1845="",I1845&lt;&gt;"ENTRADA"),"",UPPER(LEFT(SUBSTITUTE(C1845," ",""),3))&amp;"-"&amp;TEXT(B1845,"AAMMDD")&amp;"-"&amp;(COUNTIFS($C$5:C1845,C1845,$B$5:B1845,B1845,$I$5:I1845,"ENTRADA")))</f>
        <v/>
      </c>
    </row>
    <row r="1846" spans="1:20">
      <c r="A1846" s="22" t="s">
        <v>1923</v>
      </c>
      <c r="H1846" s="22" t="str">
        <f t="shared" si="39"/>
        <v/>
      </c>
      <c r="J1846" s="32"/>
      <c r="T1846" t="str">
        <f>IF(OR(C1846="",I1846&lt;&gt;"ENTRADA"),"",UPPER(LEFT(SUBSTITUTE(C1846," ",""),3))&amp;"-"&amp;TEXT(B1846,"AAMMDD")&amp;"-"&amp;(COUNTIFS($C$5:C1846,C1846,$B$5:B1846,B1846,$I$5:I1846,"ENTRADA")))</f>
        <v/>
      </c>
    </row>
    <row r="1847" spans="1:20">
      <c r="A1847" s="22" t="s">
        <v>1924</v>
      </c>
      <c r="H1847" s="22" t="str">
        <f t="shared" si="39"/>
        <v/>
      </c>
      <c r="J1847" s="32"/>
      <c r="T1847" t="str">
        <f>IF(OR(C1847="",I1847&lt;&gt;"ENTRADA"),"",UPPER(LEFT(SUBSTITUTE(C1847," ",""),3))&amp;"-"&amp;TEXT(B1847,"AAMMDD")&amp;"-"&amp;(COUNTIFS($C$5:C1847,C1847,$B$5:B1847,B1847,$I$5:I1847,"ENTRADA")))</f>
        <v/>
      </c>
    </row>
    <row r="1848" spans="1:20">
      <c r="A1848" s="22" t="s">
        <v>1925</v>
      </c>
      <c r="H1848" s="22" t="str">
        <f t="shared" si="39"/>
        <v/>
      </c>
      <c r="J1848" s="32"/>
      <c r="T1848" t="str">
        <f>IF(OR(C1848="",I1848&lt;&gt;"ENTRADA"),"",UPPER(LEFT(SUBSTITUTE(C1848," ",""),3))&amp;"-"&amp;TEXT(B1848,"AAMMDD")&amp;"-"&amp;(COUNTIFS($C$5:C1848,C1848,$B$5:B1848,B1848,$I$5:I1848,"ENTRADA")))</f>
        <v/>
      </c>
    </row>
    <row r="1849" spans="1:20">
      <c r="A1849" s="22" t="s">
        <v>1926</v>
      </c>
      <c r="H1849" s="22" t="str">
        <f t="shared" si="39"/>
        <v/>
      </c>
      <c r="J1849" s="32"/>
      <c r="T1849" t="str">
        <f>IF(OR(C1849="",I1849&lt;&gt;"ENTRADA"),"",UPPER(LEFT(SUBSTITUTE(C1849," ",""),3))&amp;"-"&amp;TEXT(B1849,"AAMMDD")&amp;"-"&amp;(COUNTIFS($C$5:C1849,C1849,$B$5:B1849,B1849,$I$5:I1849,"ENTRADA")))</f>
        <v/>
      </c>
    </row>
    <row r="1850" spans="1:20">
      <c r="A1850" s="22" t="s">
        <v>1927</v>
      </c>
      <c r="H1850" s="22" t="str">
        <f t="shared" si="39"/>
        <v/>
      </c>
      <c r="J1850" s="32"/>
      <c r="T1850" t="str">
        <f>IF(OR(C1850="",I1850&lt;&gt;"ENTRADA"),"",UPPER(LEFT(SUBSTITUTE(C1850," ",""),3))&amp;"-"&amp;TEXT(B1850,"AAMMDD")&amp;"-"&amp;(COUNTIFS($C$5:C1850,C1850,$B$5:B1850,B1850,$I$5:I1850,"ENTRADA")))</f>
        <v/>
      </c>
    </row>
    <row r="1851" spans="1:20">
      <c r="A1851" s="22" t="s">
        <v>1928</v>
      </c>
      <c r="H1851" s="22" t="str">
        <f t="shared" si="39"/>
        <v/>
      </c>
      <c r="J1851" s="32"/>
      <c r="T1851" t="str">
        <f>IF(OR(C1851="",I1851&lt;&gt;"ENTRADA"),"",UPPER(LEFT(SUBSTITUTE(C1851," ",""),3))&amp;"-"&amp;TEXT(B1851,"AAMMDD")&amp;"-"&amp;(COUNTIFS($C$5:C1851,C1851,$B$5:B1851,B1851,$I$5:I1851,"ENTRADA")))</f>
        <v/>
      </c>
    </row>
    <row r="1852" spans="1:20">
      <c r="A1852" s="22" t="s">
        <v>1929</v>
      </c>
      <c r="H1852" s="22" t="str">
        <f t="shared" si="39"/>
        <v/>
      </c>
      <c r="J1852" s="32"/>
      <c r="T1852" t="str">
        <f>IF(OR(C1852="",I1852&lt;&gt;"ENTRADA"),"",UPPER(LEFT(SUBSTITUTE(C1852," ",""),3))&amp;"-"&amp;TEXT(B1852,"AAMMDD")&amp;"-"&amp;(COUNTIFS($C$5:C1852,C1852,$B$5:B1852,B1852,$I$5:I1852,"ENTRADA")))</f>
        <v/>
      </c>
    </row>
    <row r="1853" spans="1:20">
      <c r="A1853" s="22" t="s">
        <v>1930</v>
      </c>
      <c r="H1853" s="22" t="str">
        <f t="shared" si="39"/>
        <v/>
      </c>
      <c r="J1853" s="32"/>
      <c r="T1853" t="str">
        <f>IF(OR(C1853="",I1853&lt;&gt;"ENTRADA"),"",UPPER(LEFT(SUBSTITUTE(C1853," ",""),3))&amp;"-"&amp;TEXT(B1853,"AAMMDD")&amp;"-"&amp;(COUNTIFS($C$5:C1853,C1853,$B$5:B1853,B1853,$I$5:I1853,"ENTRADA")))</f>
        <v/>
      </c>
    </row>
    <row r="1854" spans="1:20">
      <c r="A1854" s="22" t="s">
        <v>1931</v>
      </c>
      <c r="H1854" s="22" t="str">
        <f t="shared" si="39"/>
        <v/>
      </c>
      <c r="J1854" s="32"/>
      <c r="T1854" t="str">
        <f>IF(OR(C1854="",I1854&lt;&gt;"ENTRADA"),"",UPPER(LEFT(SUBSTITUTE(C1854," ",""),3))&amp;"-"&amp;TEXT(B1854,"AAMMDD")&amp;"-"&amp;(COUNTIFS($C$5:C1854,C1854,$B$5:B1854,B1854,$I$5:I1854,"ENTRADA")))</f>
        <v/>
      </c>
    </row>
    <row r="1855" spans="1:20">
      <c r="A1855" s="22" t="s">
        <v>1932</v>
      </c>
      <c r="H1855" s="22" t="str">
        <f t="shared" si="39"/>
        <v/>
      </c>
      <c r="J1855" s="32"/>
      <c r="T1855" t="str">
        <f>IF(OR(C1855="",I1855&lt;&gt;"ENTRADA"),"",UPPER(LEFT(SUBSTITUTE(C1855," ",""),3))&amp;"-"&amp;TEXT(B1855,"AAMMDD")&amp;"-"&amp;(COUNTIFS($C$5:C1855,C1855,$B$5:B1855,B1855,$I$5:I1855,"ENTRADA")))</f>
        <v/>
      </c>
    </row>
    <row r="1856" spans="1:20">
      <c r="A1856" s="22" t="s">
        <v>1933</v>
      </c>
      <c r="H1856" s="22" t="str">
        <f t="shared" si="39"/>
        <v/>
      </c>
      <c r="J1856" s="32"/>
      <c r="T1856" t="str">
        <f>IF(OR(C1856="",I1856&lt;&gt;"ENTRADA"),"",UPPER(LEFT(SUBSTITUTE(C1856," ",""),3))&amp;"-"&amp;TEXT(B1856,"AAMMDD")&amp;"-"&amp;(COUNTIFS($C$5:C1856,C1856,$B$5:B1856,B1856,$I$5:I1856,"ENTRADA")))</f>
        <v/>
      </c>
    </row>
    <row r="1857" spans="1:20">
      <c r="A1857" s="22" t="s">
        <v>1934</v>
      </c>
      <c r="H1857" s="22" t="str">
        <f t="shared" si="39"/>
        <v/>
      </c>
      <c r="J1857" s="32"/>
      <c r="T1857" t="str">
        <f>IF(OR(C1857="",I1857&lt;&gt;"ENTRADA"),"",UPPER(LEFT(SUBSTITUTE(C1857," ",""),3))&amp;"-"&amp;TEXT(B1857,"AAMMDD")&amp;"-"&amp;(COUNTIFS($C$5:C1857,C1857,$B$5:B1857,B1857,$I$5:I1857,"ENTRADA")))</f>
        <v/>
      </c>
    </row>
    <row r="1858" spans="1:20">
      <c r="A1858" s="22" t="s">
        <v>1935</v>
      </c>
      <c r="H1858" s="22" t="str">
        <f t="shared" si="39"/>
        <v/>
      </c>
      <c r="J1858" s="32"/>
      <c r="T1858" t="str">
        <f>IF(OR(C1858="",I1858&lt;&gt;"ENTRADA"),"",UPPER(LEFT(SUBSTITUTE(C1858," ",""),3))&amp;"-"&amp;TEXT(B1858,"AAMMDD")&amp;"-"&amp;(COUNTIFS($C$5:C1858,C1858,$B$5:B1858,B1858,$I$5:I1858,"ENTRADA")))</f>
        <v/>
      </c>
    </row>
    <row r="1859" spans="1:20">
      <c r="A1859" s="22" t="s">
        <v>1936</v>
      </c>
      <c r="H1859" s="22" t="str">
        <f t="shared" si="39"/>
        <v/>
      </c>
      <c r="J1859" s="32"/>
      <c r="T1859" t="str">
        <f>IF(OR(C1859="",I1859&lt;&gt;"ENTRADA"),"",UPPER(LEFT(SUBSTITUTE(C1859," ",""),3))&amp;"-"&amp;TEXT(B1859,"AAMMDD")&amp;"-"&amp;(COUNTIFS($C$5:C1859,C1859,$B$5:B1859,B1859,$I$5:I1859,"ENTRADA")))</f>
        <v/>
      </c>
    </row>
    <row r="1860" spans="1:20">
      <c r="A1860" s="22" t="s">
        <v>1937</v>
      </c>
      <c r="H1860" s="22" t="str">
        <f t="shared" si="39"/>
        <v/>
      </c>
      <c r="J1860" s="32"/>
      <c r="T1860" t="str">
        <f>IF(OR(C1860="",I1860&lt;&gt;"ENTRADA"),"",UPPER(LEFT(SUBSTITUTE(C1860," ",""),3))&amp;"-"&amp;TEXT(B1860,"AAMMDD")&amp;"-"&amp;(COUNTIFS($C$5:C1860,C1860,$B$5:B1860,B1860,$I$5:I1860,"ENTRADA")))</f>
        <v/>
      </c>
    </row>
    <row r="1861" spans="1:20">
      <c r="A1861" s="22" t="s">
        <v>1938</v>
      </c>
      <c r="H1861" s="22" t="str">
        <f t="shared" si="39"/>
        <v/>
      </c>
      <c r="J1861" s="32"/>
      <c r="T1861" t="str">
        <f>IF(OR(C1861="",I1861&lt;&gt;"ENTRADA"),"",UPPER(LEFT(SUBSTITUTE(C1861," ",""),3))&amp;"-"&amp;TEXT(B1861,"AAMMDD")&amp;"-"&amp;(COUNTIFS($C$5:C1861,C1861,$B$5:B1861,B1861,$I$5:I1861,"ENTRADA")))</f>
        <v/>
      </c>
    </row>
    <row r="1862" spans="1:20">
      <c r="A1862" s="22" t="s">
        <v>1939</v>
      </c>
      <c r="H1862" s="22" t="str">
        <f t="shared" si="39"/>
        <v/>
      </c>
      <c r="J1862" s="32"/>
      <c r="T1862" t="str">
        <f>IF(OR(C1862="",I1862&lt;&gt;"ENTRADA"),"",UPPER(LEFT(SUBSTITUTE(C1862," ",""),3))&amp;"-"&amp;TEXT(B1862,"AAMMDD")&amp;"-"&amp;(COUNTIFS($C$5:C1862,C1862,$B$5:B1862,B1862,$I$5:I1862,"ENTRADA")))</f>
        <v/>
      </c>
    </row>
    <row r="1863" spans="1:20">
      <c r="A1863" s="22" t="s">
        <v>1940</v>
      </c>
      <c r="H1863" s="22" t="str">
        <f t="shared" si="39"/>
        <v/>
      </c>
      <c r="J1863" s="32"/>
      <c r="T1863" t="str">
        <f>IF(OR(C1863="",I1863&lt;&gt;"ENTRADA"),"",UPPER(LEFT(SUBSTITUTE(C1863," ",""),3))&amp;"-"&amp;TEXT(B1863,"AAMMDD")&amp;"-"&amp;(COUNTIFS($C$5:C1863,C1863,$B$5:B1863,B1863,$I$5:I1863,"ENTRADA")))</f>
        <v/>
      </c>
    </row>
    <row r="1864" spans="1:20">
      <c r="A1864" s="22" t="s">
        <v>1941</v>
      </c>
      <c r="H1864" s="22" t="str">
        <f t="shared" si="39"/>
        <v/>
      </c>
      <c r="J1864" s="32"/>
      <c r="T1864" t="str">
        <f>IF(OR(C1864="",I1864&lt;&gt;"ENTRADA"),"",UPPER(LEFT(SUBSTITUTE(C1864," ",""),3))&amp;"-"&amp;TEXT(B1864,"AAMMDD")&amp;"-"&amp;(COUNTIFS($C$5:C1864,C1864,$B$5:B1864,B1864,$I$5:I1864,"ENTRADA")))</f>
        <v/>
      </c>
    </row>
    <row r="1865" spans="1:20">
      <c r="A1865" s="22" t="s">
        <v>1942</v>
      </c>
      <c r="H1865" s="22" t="str">
        <f t="shared" si="39"/>
        <v/>
      </c>
      <c r="J1865" s="32"/>
      <c r="T1865" t="str">
        <f>IF(OR(C1865="",I1865&lt;&gt;"ENTRADA"),"",UPPER(LEFT(SUBSTITUTE(C1865," ",""),3))&amp;"-"&amp;TEXT(B1865,"AAMMDD")&amp;"-"&amp;(COUNTIFS($C$5:C1865,C1865,$B$5:B1865,B1865,$I$5:I1865,"ENTRADA")))</f>
        <v/>
      </c>
    </row>
    <row r="1866" spans="1:20">
      <c r="A1866" s="22" t="s">
        <v>1943</v>
      </c>
      <c r="H1866" s="22" t="str">
        <f t="shared" si="39"/>
        <v/>
      </c>
      <c r="J1866" s="32"/>
      <c r="T1866" t="str">
        <f>IF(OR(C1866="",I1866&lt;&gt;"ENTRADA"),"",UPPER(LEFT(SUBSTITUTE(C1866," ",""),3))&amp;"-"&amp;TEXT(B1866,"AAMMDD")&amp;"-"&amp;(COUNTIFS($C$5:C1866,C1866,$B$5:B1866,B1866,$I$5:I1866,"ENTRADA")))</f>
        <v/>
      </c>
    </row>
    <row r="1867" spans="1:20">
      <c r="A1867" s="22" t="s">
        <v>1944</v>
      </c>
      <c r="H1867" s="22" t="str">
        <f t="shared" si="39"/>
        <v/>
      </c>
      <c r="J1867" s="32"/>
      <c r="T1867" t="str">
        <f>IF(OR(C1867="",I1867&lt;&gt;"ENTRADA"),"",UPPER(LEFT(SUBSTITUTE(C1867," ",""),3))&amp;"-"&amp;TEXT(B1867,"AAMMDD")&amp;"-"&amp;(COUNTIFS($C$5:C1867,C1867,$B$5:B1867,B1867,$I$5:I1867,"ENTRADA")))</f>
        <v/>
      </c>
    </row>
    <row r="1868" spans="1:20">
      <c r="A1868" s="22" t="s">
        <v>1945</v>
      </c>
      <c r="H1868" s="22" t="str">
        <f t="shared" si="39"/>
        <v/>
      </c>
      <c r="J1868" s="32"/>
      <c r="T1868" t="str">
        <f>IF(OR(C1868="",I1868&lt;&gt;"ENTRADA"),"",UPPER(LEFT(SUBSTITUTE(C1868," ",""),3))&amp;"-"&amp;TEXT(B1868,"AAMMDD")&amp;"-"&amp;(COUNTIFS($C$5:C1868,C1868,$B$5:B1868,B1868,$I$5:I1868,"ENTRADA")))</f>
        <v/>
      </c>
    </row>
    <row r="1869" spans="1:20">
      <c r="A1869" s="22" t="s">
        <v>1946</v>
      </c>
      <c r="H1869" s="22" t="str">
        <f t="shared" si="39"/>
        <v/>
      </c>
      <c r="J1869" s="32"/>
      <c r="T1869" t="str">
        <f>IF(OR(C1869="",I1869&lt;&gt;"ENTRADA"),"",UPPER(LEFT(SUBSTITUTE(C1869," ",""),3))&amp;"-"&amp;TEXT(B1869,"AAMMDD")&amp;"-"&amp;(COUNTIFS($C$5:C1869,C1869,$B$5:B1869,B1869,$I$5:I1869,"ENTRADA")))</f>
        <v/>
      </c>
    </row>
    <row r="1870" spans="1:20">
      <c r="A1870" s="22" t="s">
        <v>1947</v>
      </c>
      <c r="H1870" s="22" t="str">
        <f t="shared" si="39"/>
        <v/>
      </c>
      <c r="J1870" s="32"/>
      <c r="T1870" t="str">
        <f>IF(OR(C1870="",I1870&lt;&gt;"ENTRADA"),"",UPPER(LEFT(SUBSTITUTE(C1870," ",""),3))&amp;"-"&amp;TEXT(B1870,"AAMMDD")&amp;"-"&amp;(COUNTIFS($C$5:C1870,C1870,$B$5:B1870,B1870,$I$5:I1870,"ENTRADA")))</f>
        <v/>
      </c>
    </row>
    <row r="1871" spans="1:20">
      <c r="A1871" s="22" t="s">
        <v>1948</v>
      </c>
      <c r="H1871" s="22" t="str">
        <f t="shared" si="39"/>
        <v/>
      </c>
      <c r="J1871" s="32"/>
      <c r="T1871" t="str">
        <f>IF(OR(C1871="",I1871&lt;&gt;"ENTRADA"),"",UPPER(LEFT(SUBSTITUTE(C1871," ",""),3))&amp;"-"&amp;TEXT(B1871,"AAMMDD")&amp;"-"&amp;(COUNTIFS($C$5:C1871,C1871,$B$5:B1871,B1871,$I$5:I1871,"ENTRADA")))</f>
        <v/>
      </c>
    </row>
    <row r="1872" spans="1:20">
      <c r="A1872" s="22" t="s">
        <v>1949</v>
      </c>
      <c r="H1872" s="22" t="str">
        <f t="shared" ref="H1872:H1935" si="40">+T1872</f>
        <v/>
      </c>
      <c r="J1872" s="32"/>
      <c r="T1872" t="str">
        <f>IF(OR(C1872="",I1872&lt;&gt;"ENTRADA"),"",UPPER(LEFT(SUBSTITUTE(C1872," ",""),3))&amp;"-"&amp;TEXT(B1872,"AAMMDD")&amp;"-"&amp;(COUNTIFS($C$5:C1872,C1872,$B$5:B1872,B1872,$I$5:I1872,"ENTRADA")))</f>
        <v/>
      </c>
    </row>
    <row r="1873" spans="1:20">
      <c r="A1873" s="22" t="s">
        <v>1950</v>
      </c>
      <c r="H1873" s="22" t="str">
        <f t="shared" si="40"/>
        <v/>
      </c>
      <c r="J1873" s="32"/>
      <c r="T1873" t="str">
        <f>IF(OR(C1873="",I1873&lt;&gt;"ENTRADA"),"",UPPER(LEFT(SUBSTITUTE(C1873," ",""),3))&amp;"-"&amp;TEXT(B1873,"AAMMDD")&amp;"-"&amp;(COUNTIFS($C$5:C1873,C1873,$B$5:B1873,B1873,$I$5:I1873,"ENTRADA")))</f>
        <v/>
      </c>
    </row>
    <row r="1874" spans="1:20">
      <c r="A1874" s="22" t="s">
        <v>1951</v>
      </c>
      <c r="H1874" s="22" t="str">
        <f t="shared" si="40"/>
        <v/>
      </c>
      <c r="J1874" s="32"/>
      <c r="T1874" t="str">
        <f>IF(OR(C1874="",I1874&lt;&gt;"ENTRADA"),"",UPPER(LEFT(SUBSTITUTE(C1874," ",""),3))&amp;"-"&amp;TEXT(B1874,"AAMMDD")&amp;"-"&amp;(COUNTIFS($C$5:C1874,C1874,$B$5:B1874,B1874,$I$5:I1874,"ENTRADA")))</f>
        <v/>
      </c>
    </row>
    <row r="1875" spans="1:20">
      <c r="A1875" s="22" t="s">
        <v>1952</v>
      </c>
      <c r="H1875" s="22" t="str">
        <f t="shared" si="40"/>
        <v/>
      </c>
      <c r="J1875" s="32"/>
      <c r="T1875" t="str">
        <f>IF(OR(C1875="",I1875&lt;&gt;"ENTRADA"),"",UPPER(LEFT(SUBSTITUTE(C1875," ",""),3))&amp;"-"&amp;TEXT(B1875,"AAMMDD")&amp;"-"&amp;(COUNTIFS($C$5:C1875,C1875,$B$5:B1875,B1875,$I$5:I1875,"ENTRADA")))</f>
        <v/>
      </c>
    </row>
    <row r="1876" spans="1:20">
      <c r="A1876" s="22" t="s">
        <v>1953</v>
      </c>
      <c r="H1876" s="22" t="str">
        <f t="shared" si="40"/>
        <v/>
      </c>
      <c r="J1876" s="32"/>
      <c r="T1876" t="str">
        <f>IF(OR(C1876="",I1876&lt;&gt;"ENTRADA"),"",UPPER(LEFT(SUBSTITUTE(C1876," ",""),3))&amp;"-"&amp;TEXT(B1876,"AAMMDD")&amp;"-"&amp;(COUNTIFS($C$5:C1876,C1876,$B$5:B1876,B1876,$I$5:I1876,"ENTRADA")))</f>
        <v/>
      </c>
    </row>
    <row r="1877" spans="1:20">
      <c r="A1877" s="22" t="s">
        <v>1954</v>
      </c>
      <c r="H1877" s="22" t="str">
        <f t="shared" si="40"/>
        <v/>
      </c>
      <c r="J1877" s="32"/>
      <c r="T1877" t="str">
        <f>IF(OR(C1877="",I1877&lt;&gt;"ENTRADA"),"",UPPER(LEFT(SUBSTITUTE(C1877," ",""),3))&amp;"-"&amp;TEXT(B1877,"AAMMDD")&amp;"-"&amp;(COUNTIFS($C$5:C1877,C1877,$B$5:B1877,B1877,$I$5:I1877,"ENTRADA")))</f>
        <v/>
      </c>
    </row>
    <row r="1878" spans="1:20">
      <c r="A1878" s="22" t="s">
        <v>1955</v>
      </c>
      <c r="H1878" s="22" t="str">
        <f t="shared" si="40"/>
        <v/>
      </c>
      <c r="J1878" s="32"/>
      <c r="T1878" t="str">
        <f>IF(OR(C1878="",I1878&lt;&gt;"ENTRADA"),"",UPPER(LEFT(SUBSTITUTE(C1878," ",""),3))&amp;"-"&amp;TEXT(B1878,"AAMMDD")&amp;"-"&amp;(COUNTIFS($C$5:C1878,C1878,$B$5:B1878,B1878,$I$5:I1878,"ENTRADA")))</f>
        <v/>
      </c>
    </row>
    <row r="1879" spans="1:20">
      <c r="A1879" s="22" t="s">
        <v>1956</v>
      </c>
      <c r="H1879" s="22" t="str">
        <f t="shared" si="40"/>
        <v/>
      </c>
      <c r="J1879" s="32"/>
      <c r="T1879" t="str">
        <f>IF(OR(C1879="",I1879&lt;&gt;"ENTRADA"),"",UPPER(LEFT(SUBSTITUTE(C1879," ",""),3))&amp;"-"&amp;TEXT(B1879,"AAMMDD")&amp;"-"&amp;(COUNTIFS($C$5:C1879,C1879,$B$5:B1879,B1879,$I$5:I1879,"ENTRADA")))</f>
        <v/>
      </c>
    </row>
    <row r="1880" spans="1:20">
      <c r="A1880" s="22" t="s">
        <v>1957</v>
      </c>
      <c r="H1880" s="22" t="str">
        <f t="shared" si="40"/>
        <v/>
      </c>
      <c r="J1880" s="32"/>
      <c r="T1880" t="str">
        <f>IF(OR(C1880="",I1880&lt;&gt;"ENTRADA"),"",UPPER(LEFT(SUBSTITUTE(C1880," ",""),3))&amp;"-"&amp;TEXT(B1880,"AAMMDD")&amp;"-"&amp;(COUNTIFS($C$5:C1880,C1880,$B$5:B1880,B1880,$I$5:I1880,"ENTRADA")))</f>
        <v/>
      </c>
    </row>
    <row r="1881" spans="1:20">
      <c r="A1881" s="22" t="s">
        <v>1958</v>
      </c>
      <c r="H1881" s="22" t="str">
        <f t="shared" si="40"/>
        <v/>
      </c>
      <c r="J1881" s="32"/>
      <c r="T1881" t="str">
        <f>IF(OR(C1881="",I1881&lt;&gt;"ENTRADA"),"",UPPER(LEFT(SUBSTITUTE(C1881," ",""),3))&amp;"-"&amp;TEXT(B1881,"AAMMDD")&amp;"-"&amp;(COUNTIFS($C$5:C1881,C1881,$B$5:B1881,B1881,$I$5:I1881,"ENTRADA")))</f>
        <v/>
      </c>
    </row>
    <row r="1882" spans="1:20">
      <c r="A1882" s="22" t="s">
        <v>1959</v>
      </c>
      <c r="H1882" s="22" t="str">
        <f t="shared" si="40"/>
        <v/>
      </c>
      <c r="J1882" s="32"/>
      <c r="T1882" t="str">
        <f>IF(OR(C1882="",I1882&lt;&gt;"ENTRADA"),"",UPPER(LEFT(SUBSTITUTE(C1882," ",""),3))&amp;"-"&amp;TEXT(B1882,"AAMMDD")&amp;"-"&amp;(COUNTIFS($C$5:C1882,C1882,$B$5:B1882,B1882,$I$5:I1882,"ENTRADA")))</f>
        <v/>
      </c>
    </row>
    <row r="1883" spans="1:20">
      <c r="A1883" s="22" t="s">
        <v>1960</v>
      </c>
      <c r="H1883" s="22" t="str">
        <f t="shared" si="40"/>
        <v/>
      </c>
      <c r="J1883" s="32"/>
      <c r="T1883" t="str">
        <f>IF(OR(C1883="",I1883&lt;&gt;"ENTRADA"),"",UPPER(LEFT(SUBSTITUTE(C1883," ",""),3))&amp;"-"&amp;TEXT(B1883,"AAMMDD")&amp;"-"&amp;(COUNTIFS($C$5:C1883,C1883,$B$5:B1883,B1883,$I$5:I1883,"ENTRADA")))</f>
        <v/>
      </c>
    </row>
    <row r="1884" spans="1:20">
      <c r="A1884" s="22" t="s">
        <v>1961</v>
      </c>
      <c r="H1884" s="22" t="str">
        <f t="shared" si="40"/>
        <v/>
      </c>
      <c r="J1884" s="32"/>
      <c r="T1884" t="str">
        <f>IF(OR(C1884="",I1884&lt;&gt;"ENTRADA"),"",UPPER(LEFT(SUBSTITUTE(C1884," ",""),3))&amp;"-"&amp;TEXT(B1884,"AAMMDD")&amp;"-"&amp;(COUNTIFS($C$5:C1884,C1884,$B$5:B1884,B1884,$I$5:I1884,"ENTRADA")))</f>
        <v/>
      </c>
    </row>
    <row r="1885" spans="1:20">
      <c r="A1885" s="22" t="s">
        <v>1962</v>
      </c>
      <c r="H1885" s="22" t="str">
        <f t="shared" si="40"/>
        <v/>
      </c>
      <c r="J1885" s="32"/>
      <c r="T1885" t="str">
        <f>IF(OR(C1885="",I1885&lt;&gt;"ENTRADA"),"",UPPER(LEFT(SUBSTITUTE(C1885," ",""),3))&amp;"-"&amp;TEXT(B1885,"AAMMDD")&amp;"-"&amp;(COUNTIFS($C$5:C1885,C1885,$B$5:B1885,B1885,$I$5:I1885,"ENTRADA")))</f>
        <v/>
      </c>
    </row>
    <row r="1886" spans="1:20">
      <c r="A1886" s="22" t="s">
        <v>1963</v>
      </c>
      <c r="H1886" s="22" t="str">
        <f t="shared" si="40"/>
        <v/>
      </c>
      <c r="J1886" s="32"/>
      <c r="T1886" t="str">
        <f>IF(OR(C1886="",I1886&lt;&gt;"ENTRADA"),"",UPPER(LEFT(SUBSTITUTE(C1886," ",""),3))&amp;"-"&amp;TEXT(B1886,"AAMMDD")&amp;"-"&amp;(COUNTIFS($C$5:C1886,C1886,$B$5:B1886,B1886,$I$5:I1886,"ENTRADA")))</f>
        <v/>
      </c>
    </row>
    <row r="1887" spans="1:20">
      <c r="A1887" s="22" t="s">
        <v>1964</v>
      </c>
      <c r="H1887" s="22" t="str">
        <f t="shared" si="40"/>
        <v/>
      </c>
      <c r="J1887" s="32"/>
      <c r="T1887" t="str">
        <f>IF(OR(C1887="",I1887&lt;&gt;"ENTRADA"),"",UPPER(LEFT(SUBSTITUTE(C1887," ",""),3))&amp;"-"&amp;TEXT(B1887,"AAMMDD")&amp;"-"&amp;(COUNTIFS($C$5:C1887,C1887,$B$5:B1887,B1887,$I$5:I1887,"ENTRADA")))</f>
        <v/>
      </c>
    </row>
    <row r="1888" spans="1:20">
      <c r="A1888" s="22" t="s">
        <v>1965</v>
      </c>
      <c r="H1888" s="22" t="str">
        <f t="shared" si="40"/>
        <v/>
      </c>
      <c r="J1888" s="32"/>
      <c r="T1888" t="str">
        <f>IF(OR(C1888="",I1888&lt;&gt;"ENTRADA"),"",UPPER(LEFT(SUBSTITUTE(C1888," ",""),3))&amp;"-"&amp;TEXT(B1888,"AAMMDD")&amp;"-"&amp;(COUNTIFS($C$5:C1888,C1888,$B$5:B1888,B1888,$I$5:I1888,"ENTRADA")))</f>
        <v/>
      </c>
    </row>
    <row r="1889" spans="1:20">
      <c r="A1889" s="22" t="s">
        <v>1966</v>
      </c>
      <c r="H1889" s="22" t="str">
        <f t="shared" si="40"/>
        <v/>
      </c>
      <c r="J1889" s="32"/>
      <c r="T1889" t="str">
        <f>IF(OR(C1889="",I1889&lt;&gt;"ENTRADA"),"",UPPER(LEFT(SUBSTITUTE(C1889," ",""),3))&amp;"-"&amp;TEXT(B1889,"AAMMDD")&amp;"-"&amp;(COUNTIFS($C$5:C1889,C1889,$B$5:B1889,B1889,$I$5:I1889,"ENTRADA")))</f>
        <v/>
      </c>
    </row>
    <row r="1890" spans="1:20">
      <c r="A1890" s="22" t="s">
        <v>1967</v>
      </c>
      <c r="H1890" s="22" t="str">
        <f t="shared" si="40"/>
        <v/>
      </c>
      <c r="J1890" s="32"/>
      <c r="T1890" t="str">
        <f>IF(OR(C1890="",I1890&lt;&gt;"ENTRADA"),"",UPPER(LEFT(SUBSTITUTE(C1890," ",""),3))&amp;"-"&amp;TEXT(B1890,"AAMMDD")&amp;"-"&amp;(COUNTIFS($C$5:C1890,C1890,$B$5:B1890,B1890,$I$5:I1890,"ENTRADA")))</f>
        <v/>
      </c>
    </row>
    <row r="1891" spans="1:20">
      <c r="A1891" s="22" t="s">
        <v>1968</v>
      </c>
      <c r="H1891" s="22" t="str">
        <f t="shared" si="40"/>
        <v/>
      </c>
      <c r="J1891" s="32"/>
      <c r="T1891" t="str">
        <f>IF(OR(C1891="",I1891&lt;&gt;"ENTRADA"),"",UPPER(LEFT(SUBSTITUTE(C1891," ",""),3))&amp;"-"&amp;TEXT(B1891,"AAMMDD")&amp;"-"&amp;(COUNTIFS($C$5:C1891,C1891,$B$5:B1891,B1891,$I$5:I1891,"ENTRADA")))</f>
        <v/>
      </c>
    </row>
    <row r="1892" spans="1:20">
      <c r="A1892" s="22" t="s">
        <v>1969</v>
      </c>
      <c r="H1892" s="22" t="str">
        <f t="shared" si="40"/>
        <v/>
      </c>
      <c r="J1892" s="32"/>
      <c r="T1892" t="str">
        <f>IF(OR(C1892="",I1892&lt;&gt;"ENTRADA"),"",UPPER(LEFT(SUBSTITUTE(C1892," ",""),3))&amp;"-"&amp;TEXT(B1892,"AAMMDD")&amp;"-"&amp;(COUNTIFS($C$5:C1892,C1892,$B$5:B1892,B1892,$I$5:I1892,"ENTRADA")))</f>
        <v/>
      </c>
    </row>
    <row r="1893" spans="1:20">
      <c r="A1893" s="22" t="s">
        <v>1970</v>
      </c>
      <c r="H1893" s="22" t="str">
        <f t="shared" si="40"/>
        <v/>
      </c>
      <c r="J1893" s="32"/>
      <c r="T1893" t="str">
        <f>IF(OR(C1893="",I1893&lt;&gt;"ENTRADA"),"",UPPER(LEFT(SUBSTITUTE(C1893," ",""),3))&amp;"-"&amp;TEXT(B1893,"AAMMDD")&amp;"-"&amp;(COUNTIFS($C$5:C1893,C1893,$B$5:B1893,B1893,$I$5:I1893,"ENTRADA")))</f>
        <v/>
      </c>
    </row>
    <row r="1894" spans="1:20">
      <c r="A1894" s="22" t="s">
        <v>1971</v>
      </c>
      <c r="H1894" s="22" t="str">
        <f t="shared" si="40"/>
        <v/>
      </c>
      <c r="J1894" s="32"/>
      <c r="T1894" t="str">
        <f>IF(OR(C1894="",I1894&lt;&gt;"ENTRADA"),"",UPPER(LEFT(SUBSTITUTE(C1894," ",""),3))&amp;"-"&amp;TEXT(B1894,"AAMMDD")&amp;"-"&amp;(COUNTIFS($C$5:C1894,C1894,$B$5:B1894,B1894,$I$5:I1894,"ENTRADA")))</f>
        <v/>
      </c>
    </row>
    <row r="1895" spans="1:20">
      <c r="A1895" s="22" t="s">
        <v>1972</v>
      </c>
      <c r="H1895" s="22" t="str">
        <f t="shared" si="40"/>
        <v/>
      </c>
      <c r="J1895" s="32"/>
      <c r="T1895" t="str">
        <f>IF(OR(C1895="",I1895&lt;&gt;"ENTRADA"),"",UPPER(LEFT(SUBSTITUTE(C1895," ",""),3))&amp;"-"&amp;TEXT(B1895,"AAMMDD")&amp;"-"&amp;(COUNTIFS($C$5:C1895,C1895,$B$5:B1895,B1895,$I$5:I1895,"ENTRADA")))</f>
        <v/>
      </c>
    </row>
    <row r="1896" spans="1:20">
      <c r="A1896" s="22" t="s">
        <v>1973</v>
      </c>
      <c r="H1896" s="22" t="str">
        <f t="shared" si="40"/>
        <v/>
      </c>
      <c r="J1896" s="32"/>
      <c r="T1896" t="str">
        <f>IF(OR(C1896="",I1896&lt;&gt;"ENTRADA"),"",UPPER(LEFT(SUBSTITUTE(C1896," ",""),3))&amp;"-"&amp;TEXT(B1896,"AAMMDD")&amp;"-"&amp;(COUNTIFS($C$5:C1896,C1896,$B$5:B1896,B1896,$I$5:I1896,"ENTRADA")))</f>
        <v/>
      </c>
    </row>
    <row r="1897" spans="1:20">
      <c r="A1897" s="22" t="s">
        <v>1974</v>
      </c>
      <c r="H1897" s="22" t="str">
        <f t="shared" si="40"/>
        <v/>
      </c>
      <c r="J1897" s="32"/>
      <c r="T1897" t="str">
        <f>IF(OR(C1897="",I1897&lt;&gt;"ENTRADA"),"",UPPER(LEFT(SUBSTITUTE(C1897," ",""),3))&amp;"-"&amp;TEXT(B1897,"AAMMDD")&amp;"-"&amp;(COUNTIFS($C$5:C1897,C1897,$B$5:B1897,B1897,$I$5:I1897,"ENTRADA")))</f>
        <v/>
      </c>
    </row>
    <row r="1898" spans="1:20">
      <c r="A1898" s="22" t="s">
        <v>1975</v>
      </c>
      <c r="H1898" s="22" t="str">
        <f t="shared" si="40"/>
        <v/>
      </c>
      <c r="J1898" s="32"/>
      <c r="T1898" t="str">
        <f>IF(OR(C1898="",I1898&lt;&gt;"ENTRADA"),"",UPPER(LEFT(SUBSTITUTE(C1898," ",""),3))&amp;"-"&amp;TEXT(B1898,"AAMMDD")&amp;"-"&amp;(COUNTIFS($C$5:C1898,C1898,$B$5:B1898,B1898,$I$5:I1898,"ENTRADA")))</f>
        <v/>
      </c>
    </row>
    <row r="1899" spans="1:20">
      <c r="A1899" s="22" t="s">
        <v>1976</v>
      </c>
      <c r="H1899" s="22" t="str">
        <f t="shared" si="40"/>
        <v/>
      </c>
      <c r="J1899" s="32"/>
      <c r="T1899" t="str">
        <f>IF(OR(C1899="",I1899&lt;&gt;"ENTRADA"),"",UPPER(LEFT(SUBSTITUTE(C1899," ",""),3))&amp;"-"&amp;TEXT(B1899,"AAMMDD")&amp;"-"&amp;(COUNTIFS($C$5:C1899,C1899,$B$5:B1899,B1899,$I$5:I1899,"ENTRADA")))</f>
        <v/>
      </c>
    </row>
    <row r="1900" spans="1:20">
      <c r="A1900" s="22" t="s">
        <v>1977</v>
      </c>
      <c r="H1900" s="22" t="str">
        <f t="shared" si="40"/>
        <v/>
      </c>
      <c r="J1900" s="32"/>
      <c r="T1900" t="str">
        <f>IF(OR(C1900="",I1900&lt;&gt;"ENTRADA"),"",UPPER(LEFT(SUBSTITUTE(C1900," ",""),3))&amp;"-"&amp;TEXT(B1900,"AAMMDD")&amp;"-"&amp;(COUNTIFS($C$5:C1900,C1900,$B$5:B1900,B1900,$I$5:I1900,"ENTRADA")))</f>
        <v/>
      </c>
    </row>
    <row r="1901" spans="1:20">
      <c r="A1901" s="22" t="s">
        <v>1978</v>
      </c>
      <c r="H1901" s="22" t="str">
        <f t="shared" si="40"/>
        <v/>
      </c>
      <c r="J1901" s="32"/>
      <c r="T1901" t="str">
        <f>IF(OR(C1901="",I1901&lt;&gt;"ENTRADA"),"",UPPER(LEFT(SUBSTITUTE(C1901," ",""),3))&amp;"-"&amp;TEXT(B1901,"AAMMDD")&amp;"-"&amp;(COUNTIFS($C$5:C1901,C1901,$B$5:B1901,B1901,$I$5:I1901,"ENTRADA")))</f>
        <v/>
      </c>
    </row>
    <row r="1902" spans="1:20">
      <c r="A1902" s="22" t="s">
        <v>1979</v>
      </c>
      <c r="H1902" s="22" t="str">
        <f t="shared" si="40"/>
        <v/>
      </c>
      <c r="J1902" s="32"/>
      <c r="T1902" t="str">
        <f>IF(OR(C1902="",I1902&lt;&gt;"ENTRADA"),"",UPPER(LEFT(SUBSTITUTE(C1902," ",""),3))&amp;"-"&amp;TEXT(B1902,"AAMMDD")&amp;"-"&amp;(COUNTIFS($C$5:C1902,C1902,$B$5:B1902,B1902,$I$5:I1902,"ENTRADA")))</f>
        <v/>
      </c>
    </row>
    <row r="1903" spans="1:20">
      <c r="A1903" s="22" t="s">
        <v>1980</v>
      </c>
      <c r="H1903" s="22" t="str">
        <f t="shared" si="40"/>
        <v/>
      </c>
      <c r="J1903" s="32"/>
      <c r="T1903" t="str">
        <f>IF(OR(C1903="",I1903&lt;&gt;"ENTRADA"),"",UPPER(LEFT(SUBSTITUTE(C1903," ",""),3))&amp;"-"&amp;TEXT(B1903,"AAMMDD")&amp;"-"&amp;(COUNTIFS($C$5:C1903,C1903,$B$5:B1903,B1903,$I$5:I1903,"ENTRADA")))</f>
        <v/>
      </c>
    </row>
    <row r="1904" spans="1:20">
      <c r="A1904" s="22" t="s">
        <v>1981</v>
      </c>
      <c r="H1904" s="22" t="str">
        <f t="shared" si="40"/>
        <v/>
      </c>
      <c r="J1904" s="32"/>
      <c r="T1904" t="str">
        <f>IF(OR(C1904="",I1904&lt;&gt;"ENTRADA"),"",UPPER(LEFT(SUBSTITUTE(C1904," ",""),3))&amp;"-"&amp;TEXT(B1904,"AAMMDD")&amp;"-"&amp;(COUNTIFS($C$5:C1904,C1904,$B$5:B1904,B1904,$I$5:I1904,"ENTRADA")))</f>
        <v/>
      </c>
    </row>
    <row r="1905" spans="1:20">
      <c r="A1905" s="22" t="s">
        <v>1982</v>
      </c>
      <c r="H1905" s="22" t="str">
        <f t="shared" si="40"/>
        <v/>
      </c>
      <c r="J1905" s="32"/>
      <c r="T1905" t="str">
        <f>IF(OR(C1905="",I1905&lt;&gt;"ENTRADA"),"",UPPER(LEFT(SUBSTITUTE(C1905," ",""),3))&amp;"-"&amp;TEXT(B1905,"AAMMDD")&amp;"-"&amp;(COUNTIFS($C$5:C1905,C1905,$B$5:B1905,B1905,$I$5:I1905,"ENTRADA")))</f>
        <v/>
      </c>
    </row>
    <row r="1906" spans="1:20">
      <c r="A1906" s="22" t="s">
        <v>1983</v>
      </c>
      <c r="H1906" s="22" t="str">
        <f t="shared" si="40"/>
        <v/>
      </c>
      <c r="J1906" s="32"/>
      <c r="T1906" t="str">
        <f>IF(OR(C1906="",I1906&lt;&gt;"ENTRADA"),"",UPPER(LEFT(SUBSTITUTE(C1906," ",""),3))&amp;"-"&amp;TEXT(B1906,"AAMMDD")&amp;"-"&amp;(COUNTIFS($C$5:C1906,C1906,$B$5:B1906,B1906,$I$5:I1906,"ENTRADA")))</f>
        <v/>
      </c>
    </row>
    <row r="1907" spans="1:20">
      <c r="A1907" s="22" t="s">
        <v>1984</v>
      </c>
      <c r="H1907" s="22" t="str">
        <f t="shared" si="40"/>
        <v/>
      </c>
      <c r="J1907" s="32"/>
      <c r="T1907" t="str">
        <f>IF(OR(C1907="",I1907&lt;&gt;"ENTRADA"),"",UPPER(LEFT(SUBSTITUTE(C1907," ",""),3))&amp;"-"&amp;TEXT(B1907,"AAMMDD")&amp;"-"&amp;(COUNTIFS($C$5:C1907,C1907,$B$5:B1907,B1907,$I$5:I1907,"ENTRADA")))</f>
        <v/>
      </c>
    </row>
    <row r="1908" spans="1:20">
      <c r="A1908" s="22" t="s">
        <v>1985</v>
      </c>
      <c r="H1908" s="22" t="str">
        <f t="shared" si="40"/>
        <v/>
      </c>
      <c r="J1908" s="32"/>
      <c r="T1908" t="str">
        <f>IF(OR(C1908="",I1908&lt;&gt;"ENTRADA"),"",UPPER(LEFT(SUBSTITUTE(C1908," ",""),3))&amp;"-"&amp;TEXT(B1908,"AAMMDD")&amp;"-"&amp;(COUNTIFS($C$5:C1908,C1908,$B$5:B1908,B1908,$I$5:I1908,"ENTRADA")))</f>
        <v/>
      </c>
    </row>
    <row r="1909" spans="1:20">
      <c r="A1909" s="22" t="s">
        <v>1986</v>
      </c>
      <c r="H1909" s="22" t="str">
        <f t="shared" si="40"/>
        <v/>
      </c>
      <c r="J1909" s="32"/>
      <c r="T1909" t="str">
        <f>IF(OR(C1909="",I1909&lt;&gt;"ENTRADA"),"",UPPER(LEFT(SUBSTITUTE(C1909," ",""),3))&amp;"-"&amp;TEXT(B1909,"AAMMDD")&amp;"-"&amp;(COUNTIFS($C$5:C1909,C1909,$B$5:B1909,B1909,$I$5:I1909,"ENTRADA")))</f>
        <v/>
      </c>
    </row>
    <row r="1910" spans="1:20">
      <c r="A1910" s="22" t="s">
        <v>1987</v>
      </c>
      <c r="H1910" s="22" t="str">
        <f t="shared" si="40"/>
        <v/>
      </c>
      <c r="J1910" s="32"/>
      <c r="T1910" t="str">
        <f>IF(OR(C1910="",I1910&lt;&gt;"ENTRADA"),"",UPPER(LEFT(SUBSTITUTE(C1910," ",""),3))&amp;"-"&amp;TEXT(B1910,"AAMMDD")&amp;"-"&amp;(COUNTIFS($C$5:C1910,C1910,$B$5:B1910,B1910,$I$5:I1910,"ENTRADA")))</f>
        <v/>
      </c>
    </row>
    <row r="1911" spans="1:20">
      <c r="A1911" s="22" t="s">
        <v>1988</v>
      </c>
      <c r="H1911" s="22" t="str">
        <f t="shared" si="40"/>
        <v/>
      </c>
      <c r="J1911" s="32"/>
      <c r="T1911" t="str">
        <f>IF(OR(C1911="",I1911&lt;&gt;"ENTRADA"),"",UPPER(LEFT(SUBSTITUTE(C1911," ",""),3))&amp;"-"&amp;TEXT(B1911,"AAMMDD")&amp;"-"&amp;(COUNTIFS($C$5:C1911,C1911,$B$5:B1911,B1911,$I$5:I1911,"ENTRADA")))</f>
        <v/>
      </c>
    </row>
    <row r="1912" spans="1:20">
      <c r="A1912" s="22" t="s">
        <v>1989</v>
      </c>
      <c r="H1912" s="22" t="str">
        <f t="shared" si="40"/>
        <v/>
      </c>
      <c r="J1912" s="32"/>
      <c r="T1912" t="str">
        <f>IF(OR(C1912="",I1912&lt;&gt;"ENTRADA"),"",UPPER(LEFT(SUBSTITUTE(C1912," ",""),3))&amp;"-"&amp;TEXT(B1912,"AAMMDD")&amp;"-"&amp;(COUNTIFS($C$5:C1912,C1912,$B$5:B1912,B1912,$I$5:I1912,"ENTRADA")))</f>
        <v/>
      </c>
    </row>
    <row r="1913" spans="1:20">
      <c r="A1913" s="22" t="s">
        <v>1990</v>
      </c>
      <c r="H1913" s="22" t="str">
        <f t="shared" si="40"/>
        <v/>
      </c>
      <c r="J1913" s="32"/>
      <c r="T1913" t="str">
        <f>IF(OR(C1913="",I1913&lt;&gt;"ENTRADA"),"",UPPER(LEFT(SUBSTITUTE(C1913," ",""),3))&amp;"-"&amp;TEXT(B1913,"AAMMDD")&amp;"-"&amp;(COUNTIFS($C$5:C1913,C1913,$B$5:B1913,B1913,$I$5:I1913,"ENTRADA")))</f>
        <v/>
      </c>
    </row>
    <row r="1914" spans="1:20">
      <c r="A1914" s="22" t="s">
        <v>1991</v>
      </c>
      <c r="H1914" s="22" t="str">
        <f t="shared" si="40"/>
        <v/>
      </c>
      <c r="J1914" s="32"/>
      <c r="T1914" t="str">
        <f>IF(OR(C1914="",I1914&lt;&gt;"ENTRADA"),"",UPPER(LEFT(SUBSTITUTE(C1914," ",""),3))&amp;"-"&amp;TEXT(B1914,"AAMMDD")&amp;"-"&amp;(COUNTIFS($C$5:C1914,C1914,$B$5:B1914,B1914,$I$5:I1914,"ENTRADA")))</f>
        <v/>
      </c>
    </row>
    <row r="1915" spans="1:20">
      <c r="A1915" s="22" t="s">
        <v>1992</v>
      </c>
      <c r="H1915" s="22" t="str">
        <f t="shared" si="40"/>
        <v/>
      </c>
      <c r="J1915" s="32"/>
      <c r="T1915" t="str">
        <f>IF(OR(C1915="",I1915&lt;&gt;"ENTRADA"),"",UPPER(LEFT(SUBSTITUTE(C1915," ",""),3))&amp;"-"&amp;TEXT(B1915,"AAMMDD")&amp;"-"&amp;(COUNTIFS($C$5:C1915,C1915,$B$5:B1915,B1915,$I$5:I1915,"ENTRADA")))</f>
        <v/>
      </c>
    </row>
    <row r="1916" spans="1:20">
      <c r="A1916" s="22" t="s">
        <v>1993</v>
      </c>
      <c r="H1916" s="22" t="str">
        <f t="shared" si="40"/>
        <v/>
      </c>
      <c r="J1916" s="32"/>
      <c r="T1916" t="str">
        <f>IF(OR(C1916="",I1916&lt;&gt;"ENTRADA"),"",UPPER(LEFT(SUBSTITUTE(C1916," ",""),3))&amp;"-"&amp;TEXT(B1916,"AAMMDD")&amp;"-"&amp;(COUNTIFS($C$5:C1916,C1916,$B$5:B1916,B1916,$I$5:I1916,"ENTRADA")))</f>
        <v/>
      </c>
    </row>
    <row r="1917" spans="1:20">
      <c r="A1917" s="22" t="s">
        <v>1994</v>
      </c>
      <c r="H1917" s="22" t="str">
        <f t="shared" si="40"/>
        <v/>
      </c>
      <c r="J1917" s="32"/>
      <c r="T1917" t="str">
        <f>IF(OR(C1917="",I1917&lt;&gt;"ENTRADA"),"",UPPER(LEFT(SUBSTITUTE(C1917," ",""),3))&amp;"-"&amp;TEXT(B1917,"AAMMDD")&amp;"-"&amp;(COUNTIFS($C$5:C1917,C1917,$B$5:B1917,B1917,$I$5:I1917,"ENTRADA")))</f>
        <v/>
      </c>
    </row>
    <row r="1918" spans="1:20">
      <c r="A1918" s="22" t="s">
        <v>1995</v>
      </c>
      <c r="H1918" s="22" t="str">
        <f t="shared" si="40"/>
        <v/>
      </c>
      <c r="J1918" s="32"/>
      <c r="T1918" t="str">
        <f>IF(OR(C1918="",I1918&lt;&gt;"ENTRADA"),"",UPPER(LEFT(SUBSTITUTE(C1918," ",""),3))&amp;"-"&amp;TEXT(B1918,"AAMMDD")&amp;"-"&amp;(COUNTIFS($C$5:C1918,C1918,$B$5:B1918,B1918,$I$5:I1918,"ENTRADA")))</f>
        <v/>
      </c>
    </row>
    <row r="1919" spans="1:20">
      <c r="A1919" s="22" t="s">
        <v>1996</v>
      </c>
      <c r="H1919" s="22" t="str">
        <f t="shared" si="40"/>
        <v/>
      </c>
      <c r="J1919" s="32"/>
      <c r="T1919" t="str">
        <f>IF(OR(C1919="",I1919&lt;&gt;"ENTRADA"),"",UPPER(LEFT(SUBSTITUTE(C1919," ",""),3))&amp;"-"&amp;TEXT(B1919,"AAMMDD")&amp;"-"&amp;(COUNTIFS($C$5:C1919,C1919,$B$5:B1919,B1919,$I$5:I1919,"ENTRADA")))</f>
        <v/>
      </c>
    </row>
    <row r="1920" spans="1:20">
      <c r="A1920" s="22" t="s">
        <v>1997</v>
      </c>
      <c r="H1920" s="22" t="str">
        <f t="shared" si="40"/>
        <v/>
      </c>
      <c r="J1920" s="32"/>
      <c r="T1920" t="str">
        <f>IF(OR(C1920="",I1920&lt;&gt;"ENTRADA"),"",UPPER(LEFT(SUBSTITUTE(C1920," ",""),3))&amp;"-"&amp;TEXT(B1920,"AAMMDD")&amp;"-"&amp;(COUNTIFS($C$5:C1920,C1920,$B$5:B1920,B1920,$I$5:I1920,"ENTRADA")))</f>
        <v/>
      </c>
    </row>
    <row r="1921" spans="1:20">
      <c r="A1921" s="22" t="s">
        <v>1998</v>
      </c>
      <c r="H1921" s="22" t="str">
        <f t="shared" si="40"/>
        <v/>
      </c>
      <c r="J1921" s="32"/>
      <c r="T1921" t="str">
        <f>IF(OR(C1921="",I1921&lt;&gt;"ENTRADA"),"",UPPER(LEFT(SUBSTITUTE(C1921," ",""),3))&amp;"-"&amp;TEXT(B1921,"AAMMDD")&amp;"-"&amp;(COUNTIFS($C$5:C1921,C1921,$B$5:B1921,B1921,$I$5:I1921,"ENTRADA")))</f>
        <v/>
      </c>
    </row>
    <row r="1922" spans="1:20">
      <c r="A1922" s="22" t="s">
        <v>1999</v>
      </c>
      <c r="H1922" s="22" t="str">
        <f t="shared" si="40"/>
        <v/>
      </c>
      <c r="J1922" s="32"/>
      <c r="T1922" t="str">
        <f>IF(OR(C1922="",I1922&lt;&gt;"ENTRADA"),"",UPPER(LEFT(SUBSTITUTE(C1922," ",""),3))&amp;"-"&amp;TEXT(B1922,"AAMMDD")&amp;"-"&amp;(COUNTIFS($C$5:C1922,C1922,$B$5:B1922,B1922,$I$5:I1922,"ENTRADA")))</f>
        <v/>
      </c>
    </row>
    <row r="1923" spans="1:20">
      <c r="A1923" s="22" t="s">
        <v>2000</v>
      </c>
      <c r="H1923" s="22" t="str">
        <f t="shared" si="40"/>
        <v/>
      </c>
      <c r="J1923" s="32"/>
      <c r="T1923" t="str">
        <f>IF(OR(C1923="",I1923&lt;&gt;"ENTRADA"),"",UPPER(LEFT(SUBSTITUTE(C1923," ",""),3))&amp;"-"&amp;TEXT(B1923,"AAMMDD")&amp;"-"&amp;(COUNTIFS($C$5:C1923,C1923,$B$5:B1923,B1923,$I$5:I1923,"ENTRADA")))</f>
        <v/>
      </c>
    </row>
    <row r="1924" spans="1:20">
      <c r="A1924" s="22" t="s">
        <v>2001</v>
      </c>
      <c r="H1924" s="22" t="str">
        <f t="shared" si="40"/>
        <v/>
      </c>
      <c r="J1924" s="32"/>
      <c r="T1924" t="str">
        <f>IF(OR(C1924="",I1924&lt;&gt;"ENTRADA"),"",UPPER(LEFT(SUBSTITUTE(C1924," ",""),3))&amp;"-"&amp;TEXT(B1924,"AAMMDD")&amp;"-"&amp;(COUNTIFS($C$5:C1924,C1924,$B$5:B1924,B1924,$I$5:I1924,"ENTRADA")))</f>
        <v/>
      </c>
    </row>
    <row r="1925" spans="1:20">
      <c r="A1925" s="22" t="s">
        <v>2002</v>
      </c>
      <c r="H1925" s="22" t="str">
        <f t="shared" si="40"/>
        <v/>
      </c>
      <c r="J1925" s="32"/>
      <c r="T1925" t="str">
        <f>IF(OR(C1925="",I1925&lt;&gt;"ENTRADA"),"",UPPER(LEFT(SUBSTITUTE(C1925," ",""),3))&amp;"-"&amp;TEXT(B1925,"AAMMDD")&amp;"-"&amp;(COUNTIFS($C$5:C1925,C1925,$B$5:B1925,B1925,$I$5:I1925,"ENTRADA")))</f>
        <v/>
      </c>
    </row>
    <row r="1926" spans="1:20">
      <c r="A1926" s="22" t="s">
        <v>2003</v>
      </c>
      <c r="H1926" s="22" t="str">
        <f t="shared" si="40"/>
        <v/>
      </c>
      <c r="J1926" s="32"/>
      <c r="T1926" t="str">
        <f>IF(OR(C1926="",I1926&lt;&gt;"ENTRADA"),"",UPPER(LEFT(SUBSTITUTE(C1926," ",""),3))&amp;"-"&amp;TEXT(B1926,"AAMMDD")&amp;"-"&amp;(COUNTIFS($C$5:C1926,C1926,$B$5:B1926,B1926,$I$5:I1926,"ENTRADA")))</f>
        <v/>
      </c>
    </row>
    <row r="1927" spans="1:20">
      <c r="A1927" s="22" t="s">
        <v>2004</v>
      </c>
      <c r="H1927" s="22" t="str">
        <f t="shared" si="40"/>
        <v/>
      </c>
      <c r="J1927" s="32"/>
      <c r="T1927" t="str">
        <f>IF(OR(C1927="",I1927&lt;&gt;"ENTRADA"),"",UPPER(LEFT(SUBSTITUTE(C1927," ",""),3))&amp;"-"&amp;TEXT(B1927,"AAMMDD")&amp;"-"&amp;(COUNTIFS($C$5:C1927,C1927,$B$5:B1927,B1927,$I$5:I1927,"ENTRADA")))</f>
        <v/>
      </c>
    </row>
    <row r="1928" spans="1:20">
      <c r="A1928" s="22" t="s">
        <v>2005</v>
      </c>
      <c r="H1928" s="22" t="str">
        <f t="shared" si="40"/>
        <v/>
      </c>
      <c r="J1928" s="32"/>
      <c r="T1928" t="str">
        <f>IF(OR(C1928="",I1928&lt;&gt;"ENTRADA"),"",UPPER(LEFT(SUBSTITUTE(C1928," ",""),3))&amp;"-"&amp;TEXT(B1928,"AAMMDD")&amp;"-"&amp;(COUNTIFS($C$5:C1928,C1928,$B$5:B1928,B1928,$I$5:I1928,"ENTRADA")))</f>
        <v/>
      </c>
    </row>
    <row r="1929" spans="1:20">
      <c r="A1929" s="22" t="s">
        <v>2006</v>
      </c>
      <c r="H1929" s="22" t="str">
        <f t="shared" si="40"/>
        <v/>
      </c>
      <c r="J1929" s="32"/>
      <c r="T1929" t="str">
        <f>IF(OR(C1929="",I1929&lt;&gt;"ENTRADA"),"",UPPER(LEFT(SUBSTITUTE(C1929," ",""),3))&amp;"-"&amp;TEXT(B1929,"AAMMDD")&amp;"-"&amp;(COUNTIFS($C$5:C1929,C1929,$B$5:B1929,B1929,$I$5:I1929,"ENTRADA")))</f>
        <v/>
      </c>
    </row>
    <row r="1930" spans="1:20">
      <c r="A1930" s="22" t="s">
        <v>2007</v>
      </c>
      <c r="H1930" s="22" t="str">
        <f t="shared" si="40"/>
        <v/>
      </c>
      <c r="J1930" s="32"/>
      <c r="T1930" t="str">
        <f>IF(OR(C1930="",I1930&lt;&gt;"ENTRADA"),"",UPPER(LEFT(SUBSTITUTE(C1930," ",""),3))&amp;"-"&amp;TEXT(B1930,"AAMMDD")&amp;"-"&amp;(COUNTIFS($C$5:C1930,C1930,$B$5:B1930,B1930,$I$5:I1930,"ENTRADA")))</f>
        <v/>
      </c>
    </row>
    <row r="1931" spans="1:20">
      <c r="A1931" s="22" t="s">
        <v>2008</v>
      </c>
      <c r="H1931" s="22" t="str">
        <f t="shared" si="40"/>
        <v/>
      </c>
      <c r="J1931" s="32"/>
      <c r="T1931" t="str">
        <f>IF(OR(C1931="",I1931&lt;&gt;"ENTRADA"),"",UPPER(LEFT(SUBSTITUTE(C1931," ",""),3))&amp;"-"&amp;TEXT(B1931,"AAMMDD")&amp;"-"&amp;(COUNTIFS($C$5:C1931,C1931,$B$5:B1931,B1931,$I$5:I1931,"ENTRADA")))</f>
        <v/>
      </c>
    </row>
    <row r="1932" spans="1:20">
      <c r="A1932" s="22" t="s">
        <v>2009</v>
      </c>
      <c r="H1932" s="22" t="str">
        <f t="shared" si="40"/>
        <v/>
      </c>
      <c r="J1932" s="32"/>
      <c r="T1932" t="str">
        <f>IF(OR(C1932="",I1932&lt;&gt;"ENTRADA"),"",UPPER(LEFT(SUBSTITUTE(C1932," ",""),3))&amp;"-"&amp;TEXT(B1932,"AAMMDD")&amp;"-"&amp;(COUNTIFS($C$5:C1932,C1932,$B$5:B1932,B1932,$I$5:I1932,"ENTRADA")))</f>
        <v/>
      </c>
    </row>
    <row r="1933" spans="1:20">
      <c r="A1933" s="22" t="s">
        <v>2010</v>
      </c>
      <c r="H1933" s="22" t="str">
        <f t="shared" si="40"/>
        <v/>
      </c>
      <c r="J1933" s="32"/>
      <c r="T1933" t="str">
        <f>IF(OR(C1933="",I1933&lt;&gt;"ENTRADA"),"",UPPER(LEFT(SUBSTITUTE(C1933," ",""),3))&amp;"-"&amp;TEXT(B1933,"AAMMDD")&amp;"-"&amp;(COUNTIFS($C$5:C1933,C1933,$B$5:B1933,B1933,$I$5:I1933,"ENTRADA")))</f>
        <v/>
      </c>
    </row>
    <row r="1934" spans="1:20">
      <c r="A1934" s="22" t="s">
        <v>2011</v>
      </c>
      <c r="H1934" s="22" t="str">
        <f t="shared" si="40"/>
        <v/>
      </c>
      <c r="J1934" s="32"/>
      <c r="T1934" t="str">
        <f>IF(OR(C1934="",I1934&lt;&gt;"ENTRADA"),"",UPPER(LEFT(SUBSTITUTE(C1934," ",""),3))&amp;"-"&amp;TEXT(B1934,"AAMMDD")&amp;"-"&amp;(COUNTIFS($C$5:C1934,C1934,$B$5:B1934,B1934,$I$5:I1934,"ENTRADA")))</f>
        <v/>
      </c>
    </row>
    <row r="1935" spans="1:20">
      <c r="A1935" s="22" t="s">
        <v>2012</v>
      </c>
      <c r="H1935" s="22" t="str">
        <f t="shared" si="40"/>
        <v/>
      </c>
      <c r="J1935" s="32"/>
      <c r="T1935" t="str">
        <f>IF(OR(C1935="",I1935&lt;&gt;"ENTRADA"),"",UPPER(LEFT(SUBSTITUTE(C1935," ",""),3))&amp;"-"&amp;TEXT(B1935,"AAMMDD")&amp;"-"&amp;(COUNTIFS($C$5:C1935,C1935,$B$5:B1935,B1935,$I$5:I1935,"ENTRADA")))</f>
        <v/>
      </c>
    </row>
    <row r="1936" spans="1:20">
      <c r="A1936" s="22" t="s">
        <v>2013</v>
      </c>
      <c r="H1936" s="22" t="str">
        <f t="shared" ref="H1936:H1999" si="41">+T1936</f>
        <v/>
      </c>
      <c r="J1936" s="32"/>
      <c r="T1936" t="str">
        <f>IF(OR(C1936="",I1936&lt;&gt;"ENTRADA"),"",UPPER(LEFT(SUBSTITUTE(C1936," ",""),3))&amp;"-"&amp;TEXT(B1936,"AAMMDD")&amp;"-"&amp;(COUNTIFS($C$5:C1936,C1936,$B$5:B1936,B1936,$I$5:I1936,"ENTRADA")))</f>
        <v/>
      </c>
    </row>
    <row r="1937" spans="1:20">
      <c r="A1937" s="22" t="s">
        <v>2014</v>
      </c>
      <c r="H1937" s="22" t="str">
        <f t="shared" si="41"/>
        <v/>
      </c>
      <c r="J1937" s="32"/>
      <c r="T1937" t="str">
        <f>IF(OR(C1937="",I1937&lt;&gt;"ENTRADA"),"",UPPER(LEFT(SUBSTITUTE(C1937," ",""),3))&amp;"-"&amp;TEXT(B1937,"AAMMDD")&amp;"-"&amp;(COUNTIFS($C$5:C1937,C1937,$B$5:B1937,B1937,$I$5:I1937,"ENTRADA")))</f>
        <v/>
      </c>
    </row>
    <row r="1938" spans="1:20">
      <c r="A1938" s="22" t="s">
        <v>2015</v>
      </c>
      <c r="H1938" s="22" t="str">
        <f t="shared" si="41"/>
        <v/>
      </c>
      <c r="J1938" s="32"/>
      <c r="T1938" t="str">
        <f>IF(OR(C1938="",I1938&lt;&gt;"ENTRADA"),"",UPPER(LEFT(SUBSTITUTE(C1938," ",""),3))&amp;"-"&amp;TEXT(B1938,"AAMMDD")&amp;"-"&amp;(COUNTIFS($C$5:C1938,C1938,$B$5:B1938,B1938,$I$5:I1938,"ENTRADA")))</f>
        <v/>
      </c>
    </row>
    <row r="1939" spans="1:20">
      <c r="A1939" s="22" t="s">
        <v>2016</v>
      </c>
      <c r="H1939" s="22" t="str">
        <f t="shared" si="41"/>
        <v/>
      </c>
      <c r="J1939" s="32"/>
      <c r="T1939" t="str">
        <f>IF(OR(C1939="",I1939&lt;&gt;"ENTRADA"),"",UPPER(LEFT(SUBSTITUTE(C1939," ",""),3))&amp;"-"&amp;TEXT(B1939,"AAMMDD")&amp;"-"&amp;(COUNTIFS($C$5:C1939,C1939,$B$5:B1939,B1939,$I$5:I1939,"ENTRADA")))</f>
        <v/>
      </c>
    </row>
    <row r="1940" spans="1:20">
      <c r="A1940" s="22" t="s">
        <v>2017</v>
      </c>
      <c r="H1940" s="22" t="str">
        <f t="shared" si="41"/>
        <v/>
      </c>
      <c r="J1940" s="32"/>
      <c r="T1940" t="str">
        <f>IF(OR(C1940="",I1940&lt;&gt;"ENTRADA"),"",UPPER(LEFT(SUBSTITUTE(C1940," ",""),3))&amp;"-"&amp;TEXT(B1940,"AAMMDD")&amp;"-"&amp;(COUNTIFS($C$5:C1940,C1940,$B$5:B1940,B1940,$I$5:I1940,"ENTRADA")))</f>
        <v/>
      </c>
    </row>
    <row r="1941" spans="1:20">
      <c r="A1941" s="22" t="s">
        <v>2018</v>
      </c>
      <c r="H1941" s="22" t="str">
        <f t="shared" si="41"/>
        <v/>
      </c>
      <c r="J1941" s="32"/>
      <c r="T1941" t="str">
        <f>IF(OR(C1941="",I1941&lt;&gt;"ENTRADA"),"",UPPER(LEFT(SUBSTITUTE(C1941," ",""),3))&amp;"-"&amp;TEXT(B1941,"AAMMDD")&amp;"-"&amp;(COUNTIFS($C$5:C1941,C1941,$B$5:B1941,B1941,$I$5:I1941,"ENTRADA")))</f>
        <v/>
      </c>
    </row>
    <row r="1942" spans="1:20">
      <c r="A1942" s="22" t="s">
        <v>2019</v>
      </c>
      <c r="H1942" s="22" t="str">
        <f t="shared" si="41"/>
        <v/>
      </c>
      <c r="J1942" s="32"/>
      <c r="T1942" t="str">
        <f>IF(OR(C1942="",I1942&lt;&gt;"ENTRADA"),"",UPPER(LEFT(SUBSTITUTE(C1942," ",""),3))&amp;"-"&amp;TEXT(B1942,"AAMMDD")&amp;"-"&amp;(COUNTIFS($C$5:C1942,C1942,$B$5:B1942,B1942,$I$5:I1942,"ENTRADA")))</f>
        <v/>
      </c>
    </row>
    <row r="1943" spans="1:20">
      <c r="A1943" s="22" t="s">
        <v>2020</v>
      </c>
      <c r="H1943" s="22" t="str">
        <f t="shared" si="41"/>
        <v/>
      </c>
      <c r="J1943" s="32"/>
      <c r="T1943" t="str">
        <f>IF(OR(C1943="",I1943&lt;&gt;"ENTRADA"),"",UPPER(LEFT(SUBSTITUTE(C1943," ",""),3))&amp;"-"&amp;TEXT(B1943,"AAMMDD")&amp;"-"&amp;(COUNTIFS($C$5:C1943,C1943,$B$5:B1943,B1943,$I$5:I1943,"ENTRADA")))</f>
        <v/>
      </c>
    </row>
    <row r="1944" spans="1:20">
      <c r="A1944" s="22" t="s">
        <v>2021</v>
      </c>
      <c r="H1944" s="22" t="str">
        <f t="shared" si="41"/>
        <v/>
      </c>
      <c r="J1944" s="32"/>
      <c r="T1944" t="str">
        <f>IF(OR(C1944="",I1944&lt;&gt;"ENTRADA"),"",UPPER(LEFT(SUBSTITUTE(C1944," ",""),3))&amp;"-"&amp;TEXT(B1944,"AAMMDD")&amp;"-"&amp;(COUNTIFS($C$5:C1944,C1944,$B$5:B1944,B1944,$I$5:I1944,"ENTRADA")))</f>
        <v/>
      </c>
    </row>
    <row r="1945" spans="1:20">
      <c r="A1945" s="22" t="s">
        <v>2022</v>
      </c>
      <c r="H1945" s="22" t="str">
        <f t="shared" si="41"/>
        <v/>
      </c>
      <c r="J1945" s="32"/>
      <c r="T1945" t="str">
        <f>IF(OR(C1945="",I1945&lt;&gt;"ENTRADA"),"",UPPER(LEFT(SUBSTITUTE(C1945," ",""),3))&amp;"-"&amp;TEXT(B1945,"AAMMDD")&amp;"-"&amp;(COUNTIFS($C$5:C1945,C1945,$B$5:B1945,B1945,$I$5:I1945,"ENTRADA")))</f>
        <v/>
      </c>
    </row>
    <row r="1946" spans="1:20">
      <c r="A1946" s="22" t="s">
        <v>2023</v>
      </c>
      <c r="H1946" s="22" t="str">
        <f t="shared" si="41"/>
        <v/>
      </c>
      <c r="J1946" s="32"/>
      <c r="T1946" t="str">
        <f>IF(OR(C1946="",I1946&lt;&gt;"ENTRADA"),"",UPPER(LEFT(SUBSTITUTE(C1946," ",""),3))&amp;"-"&amp;TEXT(B1946,"AAMMDD")&amp;"-"&amp;(COUNTIFS($C$5:C1946,C1946,$B$5:B1946,B1946,$I$5:I1946,"ENTRADA")))</f>
        <v/>
      </c>
    </row>
    <row r="1947" spans="1:20">
      <c r="A1947" s="22" t="s">
        <v>2024</v>
      </c>
      <c r="H1947" s="22" t="str">
        <f t="shared" si="41"/>
        <v/>
      </c>
      <c r="J1947" s="32"/>
      <c r="T1947" t="str">
        <f>IF(OR(C1947="",I1947&lt;&gt;"ENTRADA"),"",UPPER(LEFT(SUBSTITUTE(C1947," ",""),3))&amp;"-"&amp;TEXT(B1947,"AAMMDD")&amp;"-"&amp;(COUNTIFS($C$5:C1947,C1947,$B$5:B1947,B1947,$I$5:I1947,"ENTRADA")))</f>
        <v/>
      </c>
    </row>
    <row r="1948" spans="1:20">
      <c r="A1948" s="22" t="s">
        <v>2025</v>
      </c>
      <c r="H1948" s="22" t="str">
        <f t="shared" si="41"/>
        <v/>
      </c>
      <c r="J1948" s="32"/>
      <c r="T1948" t="str">
        <f>IF(OR(C1948="",I1948&lt;&gt;"ENTRADA"),"",UPPER(LEFT(SUBSTITUTE(C1948," ",""),3))&amp;"-"&amp;TEXT(B1948,"AAMMDD")&amp;"-"&amp;(COUNTIFS($C$5:C1948,C1948,$B$5:B1948,B1948,$I$5:I1948,"ENTRADA")))</f>
        <v/>
      </c>
    </row>
    <row r="1949" spans="1:20">
      <c r="A1949" s="22" t="s">
        <v>2026</v>
      </c>
      <c r="H1949" s="22" t="str">
        <f t="shared" si="41"/>
        <v/>
      </c>
      <c r="J1949" s="32"/>
      <c r="T1949" t="str">
        <f>IF(OR(C1949="",I1949&lt;&gt;"ENTRADA"),"",UPPER(LEFT(SUBSTITUTE(C1949," ",""),3))&amp;"-"&amp;TEXT(B1949,"AAMMDD")&amp;"-"&amp;(COUNTIFS($C$5:C1949,C1949,$B$5:B1949,B1949,$I$5:I1949,"ENTRADA")))</f>
        <v/>
      </c>
    </row>
    <row r="1950" spans="1:20">
      <c r="A1950" s="22" t="s">
        <v>2027</v>
      </c>
      <c r="H1950" s="22" t="str">
        <f t="shared" si="41"/>
        <v/>
      </c>
      <c r="J1950" s="32"/>
      <c r="T1950" t="str">
        <f>IF(OR(C1950="",I1950&lt;&gt;"ENTRADA"),"",UPPER(LEFT(SUBSTITUTE(C1950," ",""),3))&amp;"-"&amp;TEXT(B1950,"AAMMDD")&amp;"-"&amp;(COUNTIFS($C$5:C1950,C1950,$B$5:B1950,B1950,$I$5:I1950,"ENTRADA")))</f>
        <v/>
      </c>
    </row>
    <row r="1951" spans="1:20">
      <c r="A1951" s="22" t="s">
        <v>2028</v>
      </c>
      <c r="H1951" s="22" t="str">
        <f t="shared" si="41"/>
        <v/>
      </c>
      <c r="J1951" s="32"/>
      <c r="T1951" t="str">
        <f>IF(OR(C1951="",I1951&lt;&gt;"ENTRADA"),"",UPPER(LEFT(SUBSTITUTE(C1951," ",""),3))&amp;"-"&amp;TEXT(B1951,"AAMMDD")&amp;"-"&amp;(COUNTIFS($C$5:C1951,C1951,$B$5:B1951,B1951,$I$5:I1951,"ENTRADA")))</f>
        <v/>
      </c>
    </row>
    <row r="1952" spans="1:20">
      <c r="A1952" s="22" t="s">
        <v>2029</v>
      </c>
      <c r="H1952" s="22" t="str">
        <f t="shared" si="41"/>
        <v/>
      </c>
      <c r="J1952" s="32"/>
      <c r="T1952" t="str">
        <f>IF(OR(C1952="",I1952&lt;&gt;"ENTRADA"),"",UPPER(LEFT(SUBSTITUTE(C1952," ",""),3))&amp;"-"&amp;TEXT(B1952,"AAMMDD")&amp;"-"&amp;(COUNTIFS($C$5:C1952,C1952,$B$5:B1952,B1952,$I$5:I1952,"ENTRADA")))</f>
        <v/>
      </c>
    </row>
    <row r="1953" spans="1:20">
      <c r="A1953" s="22" t="s">
        <v>2030</v>
      </c>
      <c r="H1953" s="22" t="str">
        <f t="shared" si="41"/>
        <v/>
      </c>
      <c r="J1953" s="32"/>
      <c r="T1953" t="str">
        <f>IF(OR(C1953="",I1953&lt;&gt;"ENTRADA"),"",UPPER(LEFT(SUBSTITUTE(C1953," ",""),3))&amp;"-"&amp;TEXT(B1953,"AAMMDD")&amp;"-"&amp;(COUNTIFS($C$5:C1953,C1953,$B$5:B1953,B1953,$I$5:I1953,"ENTRADA")))</f>
        <v/>
      </c>
    </row>
    <row r="1954" spans="1:20">
      <c r="A1954" s="22" t="s">
        <v>2031</v>
      </c>
      <c r="H1954" s="22" t="str">
        <f t="shared" si="41"/>
        <v/>
      </c>
      <c r="J1954" s="32"/>
      <c r="T1954" t="str">
        <f>IF(OR(C1954="",I1954&lt;&gt;"ENTRADA"),"",UPPER(LEFT(SUBSTITUTE(C1954," ",""),3))&amp;"-"&amp;TEXT(B1954,"AAMMDD")&amp;"-"&amp;(COUNTIFS($C$5:C1954,C1954,$B$5:B1954,B1954,$I$5:I1954,"ENTRADA")))</f>
        <v/>
      </c>
    </row>
    <row r="1955" spans="1:20">
      <c r="A1955" s="22" t="s">
        <v>2032</v>
      </c>
      <c r="H1955" s="22" t="str">
        <f t="shared" si="41"/>
        <v/>
      </c>
      <c r="J1955" s="32"/>
      <c r="T1955" t="str">
        <f>IF(OR(C1955="",I1955&lt;&gt;"ENTRADA"),"",UPPER(LEFT(SUBSTITUTE(C1955," ",""),3))&amp;"-"&amp;TEXT(B1955,"AAMMDD")&amp;"-"&amp;(COUNTIFS($C$5:C1955,C1955,$B$5:B1955,B1955,$I$5:I1955,"ENTRADA")))</f>
        <v/>
      </c>
    </row>
    <row r="1956" spans="1:20">
      <c r="A1956" s="22" t="s">
        <v>2033</v>
      </c>
      <c r="H1956" s="22" t="str">
        <f t="shared" si="41"/>
        <v/>
      </c>
      <c r="J1956" s="32"/>
      <c r="T1956" t="str">
        <f>IF(OR(C1956="",I1956&lt;&gt;"ENTRADA"),"",UPPER(LEFT(SUBSTITUTE(C1956," ",""),3))&amp;"-"&amp;TEXT(B1956,"AAMMDD")&amp;"-"&amp;(COUNTIFS($C$5:C1956,C1956,$B$5:B1956,B1956,$I$5:I1956,"ENTRADA")))</f>
        <v/>
      </c>
    </row>
    <row r="1957" spans="1:20">
      <c r="A1957" s="22" t="s">
        <v>2034</v>
      </c>
      <c r="H1957" s="22" t="str">
        <f t="shared" si="41"/>
        <v/>
      </c>
      <c r="J1957" s="32"/>
      <c r="T1957" t="str">
        <f>IF(OR(C1957="",I1957&lt;&gt;"ENTRADA"),"",UPPER(LEFT(SUBSTITUTE(C1957," ",""),3))&amp;"-"&amp;TEXT(B1957,"AAMMDD")&amp;"-"&amp;(COUNTIFS($C$5:C1957,C1957,$B$5:B1957,B1957,$I$5:I1957,"ENTRADA")))</f>
        <v/>
      </c>
    </row>
    <row r="1958" spans="1:20">
      <c r="A1958" s="22" t="s">
        <v>2035</v>
      </c>
      <c r="H1958" s="22" t="str">
        <f t="shared" si="41"/>
        <v/>
      </c>
      <c r="J1958" s="32"/>
      <c r="T1958" t="str">
        <f>IF(OR(C1958="",I1958&lt;&gt;"ENTRADA"),"",UPPER(LEFT(SUBSTITUTE(C1958," ",""),3))&amp;"-"&amp;TEXT(B1958,"AAMMDD")&amp;"-"&amp;(COUNTIFS($C$5:C1958,C1958,$B$5:B1958,B1958,$I$5:I1958,"ENTRADA")))</f>
        <v/>
      </c>
    </row>
    <row r="1959" spans="1:20">
      <c r="A1959" s="22" t="s">
        <v>2036</v>
      </c>
      <c r="H1959" s="22" t="str">
        <f t="shared" si="41"/>
        <v/>
      </c>
      <c r="J1959" s="32"/>
      <c r="T1959" t="str">
        <f>IF(OR(C1959="",I1959&lt;&gt;"ENTRADA"),"",UPPER(LEFT(SUBSTITUTE(C1959," ",""),3))&amp;"-"&amp;TEXT(B1959,"AAMMDD")&amp;"-"&amp;(COUNTIFS($C$5:C1959,C1959,$B$5:B1959,B1959,$I$5:I1959,"ENTRADA")))</f>
        <v/>
      </c>
    </row>
    <row r="1960" spans="1:20">
      <c r="A1960" s="22" t="s">
        <v>2037</v>
      </c>
      <c r="H1960" s="22" t="str">
        <f t="shared" si="41"/>
        <v/>
      </c>
      <c r="J1960" s="32"/>
      <c r="T1960" t="str">
        <f>IF(OR(C1960="",I1960&lt;&gt;"ENTRADA"),"",UPPER(LEFT(SUBSTITUTE(C1960," ",""),3))&amp;"-"&amp;TEXT(B1960,"AAMMDD")&amp;"-"&amp;(COUNTIFS($C$5:C1960,C1960,$B$5:B1960,B1960,$I$5:I1960,"ENTRADA")))</f>
        <v/>
      </c>
    </row>
    <row r="1961" spans="1:20">
      <c r="A1961" s="22" t="s">
        <v>2038</v>
      </c>
      <c r="H1961" s="22" t="str">
        <f t="shared" si="41"/>
        <v/>
      </c>
      <c r="J1961" s="32"/>
      <c r="T1961" t="str">
        <f>IF(OR(C1961="",I1961&lt;&gt;"ENTRADA"),"",UPPER(LEFT(SUBSTITUTE(C1961," ",""),3))&amp;"-"&amp;TEXT(B1961,"AAMMDD")&amp;"-"&amp;(COUNTIFS($C$5:C1961,C1961,$B$5:B1961,B1961,$I$5:I1961,"ENTRADA")))</f>
        <v/>
      </c>
    </row>
    <row r="1962" spans="1:20">
      <c r="A1962" s="22" t="s">
        <v>2039</v>
      </c>
      <c r="H1962" s="22" t="str">
        <f t="shared" si="41"/>
        <v/>
      </c>
      <c r="J1962" s="32"/>
      <c r="T1962" t="str">
        <f>IF(OR(C1962="",I1962&lt;&gt;"ENTRADA"),"",UPPER(LEFT(SUBSTITUTE(C1962," ",""),3))&amp;"-"&amp;TEXT(B1962,"AAMMDD")&amp;"-"&amp;(COUNTIFS($C$5:C1962,C1962,$B$5:B1962,B1962,$I$5:I1962,"ENTRADA")))</f>
        <v/>
      </c>
    </row>
    <row r="1963" spans="1:20">
      <c r="A1963" s="22" t="s">
        <v>2040</v>
      </c>
      <c r="H1963" s="22" t="str">
        <f t="shared" si="41"/>
        <v/>
      </c>
      <c r="J1963" s="32"/>
      <c r="T1963" t="str">
        <f>IF(OR(C1963="",I1963&lt;&gt;"ENTRADA"),"",UPPER(LEFT(SUBSTITUTE(C1963," ",""),3))&amp;"-"&amp;TEXT(B1963,"AAMMDD")&amp;"-"&amp;(COUNTIFS($C$5:C1963,C1963,$B$5:B1963,B1963,$I$5:I1963,"ENTRADA")))</f>
        <v/>
      </c>
    </row>
    <row r="1964" spans="1:20">
      <c r="A1964" s="22" t="s">
        <v>2041</v>
      </c>
      <c r="H1964" s="22" t="str">
        <f t="shared" si="41"/>
        <v/>
      </c>
      <c r="J1964" s="32"/>
      <c r="T1964" t="str">
        <f>IF(OR(C1964="",I1964&lt;&gt;"ENTRADA"),"",UPPER(LEFT(SUBSTITUTE(C1964," ",""),3))&amp;"-"&amp;TEXT(B1964,"AAMMDD")&amp;"-"&amp;(COUNTIFS($C$5:C1964,C1964,$B$5:B1964,B1964,$I$5:I1964,"ENTRADA")))</f>
        <v/>
      </c>
    </row>
    <row r="1965" spans="1:20">
      <c r="A1965" s="22" t="s">
        <v>2042</v>
      </c>
      <c r="H1965" s="22" t="str">
        <f t="shared" si="41"/>
        <v/>
      </c>
      <c r="J1965" s="32"/>
      <c r="T1965" t="str">
        <f>IF(OR(C1965="",I1965&lt;&gt;"ENTRADA"),"",UPPER(LEFT(SUBSTITUTE(C1965," ",""),3))&amp;"-"&amp;TEXT(B1965,"AAMMDD")&amp;"-"&amp;(COUNTIFS($C$5:C1965,C1965,$B$5:B1965,B1965,$I$5:I1965,"ENTRADA")))</f>
        <v/>
      </c>
    </row>
    <row r="1966" spans="1:20">
      <c r="A1966" s="22" t="s">
        <v>2043</v>
      </c>
      <c r="H1966" s="22" t="str">
        <f t="shared" si="41"/>
        <v/>
      </c>
      <c r="J1966" s="32"/>
      <c r="T1966" t="str">
        <f>IF(OR(C1966="",I1966&lt;&gt;"ENTRADA"),"",UPPER(LEFT(SUBSTITUTE(C1966," ",""),3))&amp;"-"&amp;TEXT(B1966,"AAMMDD")&amp;"-"&amp;(COUNTIFS($C$5:C1966,C1966,$B$5:B1966,B1966,$I$5:I1966,"ENTRADA")))</f>
        <v/>
      </c>
    </row>
    <row r="1967" spans="1:20">
      <c r="A1967" s="22" t="s">
        <v>2044</v>
      </c>
      <c r="H1967" s="22" t="str">
        <f t="shared" si="41"/>
        <v/>
      </c>
      <c r="J1967" s="32"/>
      <c r="T1967" t="str">
        <f>IF(OR(C1967="",I1967&lt;&gt;"ENTRADA"),"",UPPER(LEFT(SUBSTITUTE(C1967," ",""),3))&amp;"-"&amp;TEXT(B1967,"AAMMDD")&amp;"-"&amp;(COUNTIFS($C$5:C1967,C1967,$B$5:B1967,B1967,$I$5:I1967,"ENTRADA")))</f>
        <v/>
      </c>
    </row>
    <row r="1968" spans="1:20">
      <c r="A1968" s="22" t="s">
        <v>2045</v>
      </c>
      <c r="H1968" s="22" t="str">
        <f t="shared" si="41"/>
        <v/>
      </c>
      <c r="J1968" s="32"/>
      <c r="T1968" t="str">
        <f>IF(OR(C1968="",I1968&lt;&gt;"ENTRADA"),"",UPPER(LEFT(SUBSTITUTE(C1968," ",""),3))&amp;"-"&amp;TEXT(B1968,"AAMMDD")&amp;"-"&amp;(COUNTIFS($C$5:C1968,C1968,$B$5:B1968,B1968,$I$5:I1968,"ENTRADA")))</f>
        <v/>
      </c>
    </row>
    <row r="1969" spans="1:20">
      <c r="A1969" s="22" t="s">
        <v>2046</v>
      </c>
      <c r="H1969" s="22" t="str">
        <f t="shared" si="41"/>
        <v/>
      </c>
      <c r="J1969" s="32"/>
      <c r="T1969" t="str">
        <f>IF(OR(C1969="",I1969&lt;&gt;"ENTRADA"),"",UPPER(LEFT(SUBSTITUTE(C1969," ",""),3))&amp;"-"&amp;TEXT(B1969,"AAMMDD")&amp;"-"&amp;(COUNTIFS($C$5:C1969,C1969,$B$5:B1969,B1969,$I$5:I1969,"ENTRADA")))</f>
        <v/>
      </c>
    </row>
    <row r="1970" spans="1:20">
      <c r="A1970" s="22" t="s">
        <v>2047</v>
      </c>
      <c r="H1970" s="22" t="str">
        <f t="shared" si="41"/>
        <v/>
      </c>
      <c r="J1970" s="32"/>
      <c r="T1970" t="str">
        <f>IF(OR(C1970="",I1970&lt;&gt;"ENTRADA"),"",UPPER(LEFT(SUBSTITUTE(C1970," ",""),3))&amp;"-"&amp;TEXT(B1970,"AAMMDD")&amp;"-"&amp;(COUNTIFS($C$5:C1970,C1970,$B$5:B1970,B1970,$I$5:I1970,"ENTRADA")))</f>
        <v/>
      </c>
    </row>
    <row r="1971" spans="1:20">
      <c r="A1971" s="22" t="s">
        <v>2048</v>
      </c>
      <c r="H1971" s="22" t="str">
        <f t="shared" si="41"/>
        <v/>
      </c>
      <c r="J1971" s="32"/>
      <c r="T1971" t="str">
        <f>IF(OR(C1971="",I1971&lt;&gt;"ENTRADA"),"",UPPER(LEFT(SUBSTITUTE(C1971," ",""),3))&amp;"-"&amp;TEXT(B1971,"AAMMDD")&amp;"-"&amp;(COUNTIFS($C$5:C1971,C1971,$B$5:B1971,B1971,$I$5:I1971,"ENTRADA")))</f>
        <v/>
      </c>
    </row>
    <row r="1972" spans="1:20">
      <c r="A1972" s="22" t="s">
        <v>2049</v>
      </c>
      <c r="H1972" s="22" t="str">
        <f t="shared" si="41"/>
        <v/>
      </c>
      <c r="J1972" s="32"/>
      <c r="T1972" t="str">
        <f>IF(OR(C1972="",I1972&lt;&gt;"ENTRADA"),"",UPPER(LEFT(SUBSTITUTE(C1972," ",""),3))&amp;"-"&amp;TEXT(B1972,"AAMMDD")&amp;"-"&amp;(COUNTIFS($C$5:C1972,C1972,$B$5:B1972,B1972,$I$5:I1972,"ENTRADA")))</f>
        <v/>
      </c>
    </row>
    <row r="1973" spans="1:20">
      <c r="A1973" s="22" t="s">
        <v>2050</v>
      </c>
      <c r="H1973" s="22" t="str">
        <f t="shared" si="41"/>
        <v/>
      </c>
      <c r="J1973" s="32"/>
      <c r="T1973" t="str">
        <f>IF(OR(C1973="",I1973&lt;&gt;"ENTRADA"),"",UPPER(LEFT(SUBSTITUTE(C1973," ",""),3))&amp;"-"&amp;TEXT(B1973,"AAMMDD")&amp;"-"&amp;(COUNTIFS($C$5:C1973,C1973,$B$5:B1973,B1973,$I$5:I1973,"ENTRADA")))</f>
        <v/>
      </c>
    </row>
    <row r="1974" spans="1:20">
      <c r="A1974" s="22" t="s">
        <v>2051</v>
      </c>
      <c r="H1974" s="22" t="str">
        <f t="shared" si="41"/>
        <v/>
      </c>
      <c r="J1974" s="32"/>
      <c r="T1974" t="str">
        <f>IF(OR(C1974="",I1974&lt;&gt;"ENTRADA"),"",UPPER(LEFT(SUBSTITUTE(C1974," ",""),3))&amp;"-"&amp;TEXT(B1974,"AAMMDD")&amp;"-"&amp;(COUNTIFS($C$5:C1974,C1974,$B$5:B1974,B1974,$I$5:I1974,"ENTRADA")))</f>
        <v/>
      </c>
    </row>
    <row r="1975" spans="1:20">
      <c r="A1975" s="22" t="s">
        <v>2052</v>
      </c>
      <c r="H1975" s="22" t="str">
        <f t="shared" si="41"/>
        <v/>
      </c>
      <c r="J1975" s="32"/>
      <c r="T1975" t="str">
        <f>IF(OR(C1975="",I1975&lt;&gt;"ENTRADA"),"",UPPER(LEFT(SUBSTITUTE(C1975," ",""),3))&amp;"-"&amp;TEXT(B1975,"AAMMDD")&amp;"-"&amp;(COUNTIFS($C$5:C1975,C1975,$B$5:B1975,B1975,$I$5:I1975,"ENTRADA")))</f>
        <v/>
      </c>
    </row>
    <row r="1976" spans="1:20">
      <c r="A1976" s="22" t="s">
        <v>2053</v>
      </c>
      <c r="H1976" s="22" t="str">
        <f t="shared" si="41"/>
        <v/>
      </c>
      <c r="J1976" s="32"/>
      <c r="T1976" t="str">
        <f>IF(OR(C1976="",I1976&lt;&gt;"ENTRADA"),"",UPPER(LEFT(SUBSTITUTE(C1976," ",""),3))&amp;"-"&amp;TEXT(B1976,"AAMMDD")&amp;"-"&amp;(COUNTIFS($C$5:C1976,C1976,$B$5:B1976,B1976,$I$5:I1976,"ENTRADA")))</f>
        <v/>
      </c>
    </row>
    <row r="1977" spans="1:20">
      <c r="A1977" s="22" t="s">
        <v>2054</v>
      </c>
      <c r="H1977" s="22" t="str">
        <f t="shared" si="41"/>
        <v/>
      </c>
      <c r="J1977" s="32"/>
      <c r="T1977" t="str">
        <f>IF(OR(C1977="",I1977&lt;&gt;"ENTRADA"),"",UPPER(LEFT(SUBSTITUTE(C1977," ",""),3))&amp;"-"&amp;TEXT(B1977,"AAMMDD")&amp;"-"&amp;(COUNTIFS($C$5:C1977,C1977,$B$5:B1977,B1977,$I$5:I1977,"ENTRADA")))</f>
        <v/>
      </c>
    </row>
    <row r="1978" spans="1:20">
      <c r="A1978" s="22" t="s">
        <v>2055</v>
      </c>
      <c r="H1978" s="22" t="str">
        <f t="shared" si="41"/>
        <v/>
      </c>
      <c r="J1978" s="32"/>
      <c r="T1978" t="str">
        <f>IF(OR(C1978="",I1978&lt;&gt;"ENTRADA"),"",UPPER(LEFT(SUBSTITUTE(C1978," ",""),3))&amp;"-"&amp;TEXT(B1978,"AAMMDD")&amp;"-"&amp;(COUNTIFS($C$5:C1978,C1978,$B$5:B1978,B1978,$I$5:I1978,"ENTRADA")))</f>
        <v/>
      </c>
    </row>
    <row r="1979" spans="1:20">
      <c r="A1979" s="22" t="s">
        <v>2056</v>
      </c>
      <c r="H1979" s="22" t="str">
        <f t="shared" si="41"/>
        <v/>
      </c>
      <c r="J1979" s="32"/>
      <c r="T1979" t="str">
        <f>IF(OR(C1979="",I1979&lt;&gt;"ENTRADA"),"",UPPER(LEFT(SUBSTITUTE(C1979," ",""),3))&amp;"-"&amp;TEXT(B1979,"AAMMDD")&amp;"-"&amp;(COUNTIFS($C$5:C1979,C1979,$B$5:B1979,B1979,$I$5:I1979,"ENTRADA")))</f>
        <v/>
      </c>
    </row>
    <row r="1980" spans="1:20">
      <c r="A1980" s="22" t="s">
        <v>2057</v>
      </c>
      <c r="H1980" s="22" t="str">
        <f t="shared" si="41"/>
        <v/>
      </c>
      <c r="J1980" s="32"/>
      <c r="T1980" t="str">
        <f>IF(OR(C1980="",I1980&lt;&gt;"ENTRADA"),"",UPPER(LEFT(SUBSTITUTE(C1980," ",""),3))&amp;"-"&amp;TEXT(B1980,"AAMMDD")&amp;"-"&amp;(COUNTIFS($C$5:C1980,C1980,$B$5:B1980,B1980,$I$5:I1980,"ENTRADA")))</f>
        <v/>
      </c>
    </row>
    <row r="1981" spans="1:20">
      <c r="A1981" s="22" t="s">
        <v>2058</v>
      </c>
      <c r="H1981" s="22" t="str">
        <f t="shared" si="41"/>
        <v/>
      </c>
      <c r="J1981" s="32"/>
      <c r="T1981" t="str">
        <f>IF(OR(C1981="",I1981&lt;&gt;"ENTRADA"),"",UPPER(LEFT(SUBSTITUTE(C1981," ",""),3))&amp;"-"&amp;TEXT(B1981,"AAMMDD")&amp;"-"&amp;(COUNTIFS($C$5:C1981,C1981,$B$5:B1981,B1981,$I$5:I1981,"ENTRADA")))</f>
        <v/>
      </c>
    </row>
    <row r="1982" spans="1:20">
      <c r="A1982" s="22" t="s">
        <v>2059</v>
      </c>
      <c r="H1982" s="22" t="str">
        <f t="shared" si="41"/>
        <v/>
      </c>
      <c r="J1982" s="32"/>
      <c r="T1982" t="str">
        <f>IF(OR(C1982="",I1982&lt;&gt;"ENTRADA"),"",UPPER(LEFT(SUBSTITUTE(C1982," ",""),3))&amp;"-"&amp;TEXT(B1982,"AAMMDD")&amp;"-"&amp;(COUNTIFS($C$5:C1982,C1982,$B$5:B1982,B1982,$I$5:I1982,"ENTRADA")))</f>
        <v/>
      </c>
    </row>
    <row r="1983" spans="1:20">
      <c r="A1983" s="22" t="s">
        <v>2060</v>
      </c>
      <c r="H1983" s="22" t="str">
        <f t="shared" si="41"/>
        <v/>
      </c>
      <c r="J1983" s="32"/>
      <c r="T1983" t="str">
        <f>IF(OR(C1983="",I1983&lt;&gt;"ENTRADA"),"",UPPER(LEFT(SUBSTITUTE(C1983," ",""),3))&amp;"-"&amp;TEXT(B1983,"AAMMDD")&amp;"-"&amp;(COUNTIFS($C$5:C1983,C1983,$B$5:B1983,B1983,$I$5:I1983,"ENTRADA")))</f>
        <v/>
      </c>
    </row>
    <row r="1984" spans="1:20">
      <c r="A1984" s="22" t="s">
        <v>2061</v>
      </c>
      <c r="H1984" s="22" t="str">
        <f t="shared" si="41"/>
        <v/>
      </c>
      <c r="J1984" s="32"/>
      <c r="T1984" t="str">
        <f>IF(OR(C1984="",I1984&lt;&gt;"ENTRADA"),"",UPPER(LEFT(SUBSTITUTE(C1984," ",""),3))&amp;"-"&amp;TEXT(B1984,"AAMMDD")&amp;"-"&amp;(COUNTIFS($C$5:C1984,C1984,$B$5:B1984,B1984,$I$5:I1984,"ENTRADA")))</f>
        <v/>
      </c>
    </row>
    <row r="1985" spans="1:20">
      <c r="A1985" s="22" t="s">
        <v>2062</v>
      </c>
      <c r="H1985" s="22" t="str">
        <f t="shared" si="41"/>
        <v/>
      </c>
      <c r="J1985" s="32"/>
      <c r="T1985" t="str">
        <f>IF(OR(C1985="",I1985&lt;&gt;"ENTRADA"),"",UPPER(LEFT(SUBSTITUTE(C1985," ",""),3))&amp;"-"&amp;TEXT(B1985,"AAMMDD")&amp;"-"&amp;(COUNTIFS($C$5:C1985,C1985,$B$5:B1985,B1985,$I$5:I1985,"ENTRADA")))</f>
        <v/>
      </c>
    </row>
    <row r="1986" spans="1:20">
      <c r="A1986" s="22" t="s">
        <v>2063</v>
      </c>
      <c r="H1986" s="22" t="str">
        <f t="shared" si="41"/>
        <v/>
      </c>
      <c r="J1986" s="32"/>
      <c r="T1986" t="str">
        <f>IF(OR(C1986="",I1986&lt;&gt;"ENTRADA"),"",UPPER(LEFT(SUBSTITUTE(C1986," ",""),3))&amp;"-"&amp;TEXT(B1986,"AAMMDD")&amp;"-"&amp;(COUNTIFS($C$5:C1986,C1986,$B$5:B1986,B1986,$I$5:I1986,"ENTRADA")))</f>
        <v/>
      </c>
    </row>
    <row r="1987" spans="1:20">
      <c r="A1987" s="22" t="s">
        <v>2064</v>
      </c>
      <c r="H1987" s="22" t="str">
        <f t="shared" si="41"/>
        <v/>
      </c>
      <c r="J1987" s="32"/>
      <c r="T1987" t="str">
        <f>IF(OR(C1987="",I1987&lt;&gt;"ENTRADA"),"",UPPER(LEFT(SUBSTITUTE(C1987," ",""),3))&amp;"-"&amp;TEXT(B1987,"AAMMDD")&amp;"-"&amp;(COUNTIFS($C$5:C1987,C1987,$B$5:B1987,B1987,$I$5:I1987,"ENTRADA")))</f>
        <v/>
      </c>
    </row>
    <row r="1988" spans="1:20">
      <c r="A1988" s="22" t="s">
        <v>2065</v>
      </c>
      <c r="H1988" s="22" t="str">
        <f t="shared" si="41"/>
        <v/>
      </c>
      <c r="J1988" s="32"/>
      <c r="T1988" t="str">
        <f>IF(OR(C1988="",I1988&lt;&gt;"ENTRADA"),"",UPPER(LEFT(SUBSTITUTE(C1988," ",""),3))&amp;"-"&amp;TEXT(B1988,"AAMMDD")&amp;"-"&amp;(COUNTIFS($C$5:C1988,C1988,$B$5:B1988,B1988,$I$5:I1988,"ENTRADA")))</f>
        <v/>
      </c>
    </row>
    <row r="1989" spans="1:20">
      <c r="A1989" s="22" t="s">
        <v>2066</v>
      </c>
      <c r="H1989" s="22" t="str">
        <f t="shared" si="41"/>
        <v/>
      </c>
      <c r="J1989" s="32"/>
      <c r="T1989" t="str">
        <f>IF(OR(C1989="",I1989&lt;&gt;"ENTRADA"),"",UPPER(LEFT(SUBSTITUTE(C1989," ",""),3))&amp;"-"&amp;TEXT(B1989,"AAMMDD")&amp;"-"&amp;(COUNTIFS($C$5:C1989,C1989,$B$5:B1989,B1989,$I$5:I1989,"ENTRADA")))</f>
        <v/>
      </c>
    </row>
    <row r="1990" spans="1:20">
      <c r="A1990" s="22" t="s">
        <v>2067</v>
      </c>
      <c r="H1990" s="22" t="str">
        <f t="shared" si="41"/>
        <v/>
      </c>
      <c r="J1990" s="32"/>
      <c r="T1990" t="str">
        <f>IF(OR(C1990="",I1990&lt;&gt;"ENTRADA"),"",UPPER(LEFT(SUBSTITUTE(C1990," ",""),3))&amp;"-"&amp;TEXT(B1990,"AAMMDD")&amp;"-"&amp;(COUNTIFS($C$5:C1990,C1990,$B$5:B1990,B1990,$I$5:I1990,"ENTRADA")))</f>
        <v/>
      </c>
    </row>
    <row r="1991" spans="1:20">
      <c r="A1991" s="22" t="s">
        <v>2068</v>
      </c>
      <c r="H1991" s="22" t="str">
        <f t="shared" si="41"/>
        <v/>
      </c>
      <c r="J1991" s="32"/>
      <c r="T1991" t="str">
        <f>IF(OR(C1991="",I1991&lt;&gt;"ENTRADA"),"",UPPER(LEFT(SUBSTITUTE(C1991," ",""),3))&amp;"-"&amp;TEXT(B1991,"AAMMDD")&amp;"-"&amp;(COUNTIFS($C$5:C1991,C1991,$B$5:B1991,B1991,$I$5:I1991,"ENTRADA")))</f>
        <v/>
      </c>
    </row>
    <row r="1992" spans="1:20">
      <c r="A1992" s="22" t="s">
        <v>2069</v>
      </c>
      <c r="H1992" s="22" t="str">
        <f t="shared" si="41"/>
        <v/>
      </c>
      <c r="J1992" s="32"/>
      <c r="T1992" t="str">
        <f>IF(OR(C1992="",I1992&lt;&gt;"ENTRADA"),"",UPPER(LEFT(SUBSTITUTE(C1992," ",""),3))&amp;"-"&amp;TEXT(B1992,"AAMMDD")&amp;"-"&amp;(COUNTIFS($C$5:C1992,C1992,$B$5:B1992,B1992,$I$5:I1992,"ENTRADA")))</f>
        <v/>
      </c>
    </row>
    <row r="1993" spans="1:20">
      <c r="A1993" s="22" t="s">
        <v>2070</v>
      </c>
      <c r="H1993" s="22" t="str">
        <f t="shared" si="41"/>
        <v/>
      </c>
      <c r="J1993" s="32"/>
      <c r="T1993" t="str">
        <f>IF(OR(C1993="",I1993&lt;&gt;"ENTRADA"),"",UPPER(LEFT(SUBSTITUTE(C1993," ",""),3))&amp;"-"&amp;TEXT(B1993,"AAMMDD")&amp;"-"&amp;(COUNTIFS($C$5:C1993,C1993,$B$5:B1993,B1993,$I$5:I1993,"ENTRADA")))</f>
        <v/>
      </c>
    </row>
    <row r="1994" spans="1:20">
      <c r="A1994" s="22" t="s">
        <v>2071</v>
      </c>
      <c r="H1994" s="22" t="str">
        <f t="shared" si="41"/>
        <v/>
      </c>
      <c r="J1994" s="32"/>
      <c r="T1994" t="str">
        <f>IF(OR(C1994="",I1994&lt;&gt;"ENTRADA"),"",UPPER(LEFT(SUBSTITUTE(C1994," ",""),3))&amp;"-"&amp;TEXT(B1994,"AAMMDD")&amp;"-"&amp;(COUNTIFS($C$5:C1994,C1994,$B$5:B1994,B1994,$I$5:I1994,"ENTRADA")))</f>
        <v/>
      </c>
    </row>
    <row r="1995" spans="1:20">
      <c r="A1995" s="22" t="s">
        <v>2072</v>
      </c>
      <c r="H1995" s="22" t="str">
        <f t="shared" si="41"/>
        <v/>
      </c>
      <c r="J1995" s="32"/>
      <c r="T1995" t="str">
        <f>IF(OR(C1995="",I1995&lt;&gt;"ENTRADA"),"",UPPER(LEFT(SUBSTITUTE(C1995," ",""),3))&amp;"-"&amp;TEXT(B1995,"AAMMDD")&amp;"-"&amp;(COUNTIFS($C$5:C1995,C1995,$B$5:B1995,B1995,$I$5:I1995,"ENTRADA")))</f>
        <v/>
      </c>
    </row>
    <row r="1996" spans="1:20">
      <c r="A1996" s="22" t="s">
        <v>2073</v>
      </c>
      <c r="H1996" s="22" t="str">
        <f t="shared" si="41"/>
        <v/>
      </c>
      <c r="J1996" s="32"/>
      <c r="T1996" t="str">
        <f>IF(OR(C1996="",I1996&lt;&gt;"ENTRADA"),"",UPPER(LEFT(SUBSTITUTE(C1996," ",""),3))&amp;"-"&amp;TEXT(B1996,"AAMMDD")&amp;"-"&amp;(COUNTIFS($C$5:C1996,C1996,$B$5:B1996,B1996,$I$5:I1996,"ENTRADA")))</f>
        <v/>
      </c>
    </row>
    <row r="1997" spans="1:20">
      <c r="A1997" s="22" t="s">
        <v>2074</v>
      </c>
      <c r="H1997" s="22" t="str">
        <f t="shared" si="41"/>
        <v/>
      </c>
      <c r="J1997" s="32"/>
      <c r="T1997" t="str">
        <f>IF(OR(C1997="",I1997&lt;&gt;"ENTRADA"),"",UPPER(LEFT(SUBSTITUTE(C1997," ",""),3))&amp;"-"&amp;TEXT(B1997,"AAMMDD")&amp;"-"&amp;(COUNTIFS($C$5:C1997,C1997,$B$5:B1997,B1997,$I$5:I1997,"ENTRADA")))</f>
        <v/>
      </c>
    </row>
    <row r="1998" spans="1:20">
      <c r="A1998" s="22" t="s">
        <v>2075</v>
      </c>
      <c r="H1998" s="22" t="str">
        <f t="shared" si="41"/>
        <v/>
      </c>
      <c r="J1998" s="32"/>
      <c r="T1998" t="str">
        <f>IF(OR(C1998="",I1998&lt;&gt;"ENTRADA"),"",UPPER(LEFT(SUBSTITUTE(C1998," ",""),3))&amp;"-"&amp;TEXT(B1998,"AAMMDD")&amp;"-"&amp;(COUNTIFS($C$5:C1998,C1998,$B$5:B1998,B1998,$I$5:I1998,"ENTRADA")))</f>
        <v/>
      </c>
    </row>
    <row r="1999" spans="1:20">
      <c r="A1999" s="22" t="s">
        <v>2076</v>
      </c>
      <c r="H1999" s="22" t="str">
        <f t="shared" si="41"/>
        <v/>
      </c>
      <c r="J1999" s="32"/>
      <c r="T1999" t="str">
        <f>IF(OR(C1999="",I1999&lt;&gt;"ENTRADA"),"",UPPER(LEFT(SUBSTITUTE(C1999," ",""),3))&amp;"-"&amp;TEXT(B1999,"AAMMDD")&amp;"-"&amp;(COUNTIFS($C$5:C1999,C1999,$B$5:B1999,B1999,$I$5:I1999,"ENTRADA")))</f>
        <v/>
      </c>
    </row>
    <row r="2000" spans="1:20">
      <c r="A2000" s="22" t="s">
        <v>2077</v>
      </c>
      <c r="H2000" s="22" t="str">
        <f t="shared" ref="H2000" si="42">+T2000</f>
        <v/>
      </c>
      <c r="J2000" s="32"/>
      <c r="T2000" t="str">
        <f>IF(OR(C2000="",I2000&lt;&gt;"ENTRADA"),"",UPPER(LEFT(SUBSTITUTE(C2000," ",""),3))&amp;"-"&amp;TEXT(B2000,"AAMMDD")&amp;"-"&amp;(COUNTIFS($C$5:C2000,C2000,$B$5:B2000,B2000,$I$5:I2000,"ENTRADA")))</f>
        <v/>
      </c>
    </row>
    <row r="2001" spans="1:20">
      <c r="A2001" s="22" t="s">
        <v>2078</v>
      </c>
      <c r="T2001" t="str">
        <f>IF(OR(C2001="",I2001&lt;&gt;"ENTRADA"),"",UPPER(LEFT(SUBSTITUTE(C2001," ",""),3))&amp;"-"&amp;TEXT(B2001,"AAMMDD")&amp;"-"&amp;(COUNTIFS($C$5:C2001,C2001,$B$5:B2001,B2001,$I$5:I2001,"ENTRADA")))</f>
        <v/>
      </c>
    </row>
    <row r="2002" spans="1:20">
      <c r="A2002" s="22" t="s">
        <v>2079</v>
      </c>
      <c r="T2002" t="str">
        <f>IF(OR(C2002="",I2002&lt;&gt;"ENTRADA"),"",UPPER(LEFT(SUBSTITUTE(C2002," ",""),3))&amp;"-"&amp;TEXT(B2002,"AAMMDD")&amp;"-"&amp;(COUNTIFS($C$5:C2002,C2002,$B$5:B2002,B2002,$I$5:I2002,"ENTRADA")))</f>
        <v/>
      </c>
    </row>
    <row r="2003" spans="1:20">
      <c r="A2003" s="22" t="s">
        <v>2080</v>
      </c>
      <c r="T2003" t="str">
        <f>IF(OR(C2003="",I2003&lt;&gt;"ENTRADA"),"",UPPER(LEFT(SUBSTITUTE(C2003," ",""),3))&amp;"-"&amp;TEXT(B2003,"AAMMDD")&amp;"-"&amp;(COUNTIFS($C$5:C2003,C2003,$B$5:B2003,B2003,$I$5:I2003,"ENTRADA")))</f>
        <v/>
      </c>
    </row>
    <row r="2004" spans="1:20">
      <c r="A2004" s="22" t="s">
        <v>2081</v>
      </c>
      <c r="T2004" t="str">
        <f>IF(OR(C2004="",I2004&lt;&gt;"ENTRADA"),"",UPPER(LEFT(SUBSTITUTE(C2004," ",""),3))&amp;"-"&amp;TEXT(B2004,"AAMMDD")&amp;"-"&amp;(COUNTIFS($C$5:C2004,C2004,$B$5:B2004,B2004,$I$5:I2004,"ENTRADA")))</f>
        <v/>
      </c>
    </row>
    <row r="2005" spans="1:20">
      <c r="T2005" t="str">
        <f>IF(OR(C2005="",I2005&lt;&gt;"ENTRADA"),"",UPPER(LEFT(SUBSTITUTE(C2005," ",""),3))&amp;"-"&amp;TEXT(B2005,"AAMMDD")&amp;"-"&amp;(COUNTIFS($C$5:C2005,C2005,$B$5:B2005,B2005,$I$5:I2005,"ENTRADA")))</f>
        <v/>
      </c>
    </row>
    <row r="2006" spans="1:20">
      <c r="T2006" t="str">
        <f>IF(OR(C2006="",I2006&lt;&gt;"ENTRADA"),"",UPPER(LEFT(SUBSTITUTE(C2006," ",""),3))&amp;"-"&amp;TEXT(B2006,"AAMMDD")&amp;"-"&amp;(COUNTIFS($C$5:C2006,C2006,$B$5:B2006,B2006,$I$5:I2006,"ENTRADA")))</f>
        <v/>
      </c>
    </row>
    <row r="2007" spans="1:20">
      <c r="T2007" t="str">
        <f>IF(OR(C2007="",I2007&lt;&gt;"ENTRADA"),"",UPPER(LEFT(SUBSTITUTE(C2007," ",""),3))&amp;"-"&amp;TEXT(B2007,"AAMMDD")&amp;"-"&amp;(COUNTIFS($C$5:C2007,C2007,$B$5:B2007,B2007,$I$5:I2007,"ENTRADA")))</f>
        <v/>
      </c>
    </row>
    <row r="2008" spans="1:20">
      <c r="T2008" t="str">
        <f>IF(OR(C2008="",I2008&lt;&gt;"ENTRADA"),"",UPPER(LEFT(SUBSTITUTE(C2008," ",""),3))&amp;"-"&amp;TEXT(B2008,"AAMMDD")&amp;"-"&amp;(COUNTIFS($C$5:C2008,C2008,$B$5:B2008,B2008,$I$5:I2008,"ENTRADA")))</f>
        <v/>
      </c>
    </row>
    <row r="2009" spans="1:20">
      <c r="T2009" t="str">
        <f>IF(OR(C2009="",I2009&lt;&gt;"ENTRADA"),"",UPPER(LEFT(SUBSTITUTE(C2009," ",""),3))&amp;"-"&amp;TEXT(B2009,"AAMMDD")&amp;"-"&amp;(COUNTIFS($C$5:C2009,C2009,$B$5:B2009,B2009,$I$5:I2009,"ENTRADA")))</f>
        <v/>
      </c>
    </row>
    <row r="2010" spans="1:20">
      <c r="T2010" t="str">
        <f>IF(OR(C2010="",I2010&lt;&gt;"ENTRADA"),"",UPPER(LEFT(SUBSTITUTE(C2010," ",""),3))&amp;"-"&amp;TEXT(B2010,"AAMMDD")&amp;"-"&amp;(COUNTIFS($C$5:C2010,C2010,$B$5:B2010,B2010,$I$5:I2010,"ENTRADA")))</f>
        <v/>
      </c>
    </row>
    <row r="2011" spans="1:20">
      <c r="T2011" t="str">
        <f t="shared" ref="T1986:T2049" si="43">IF(C2011="","",UPPER(LEFT(SUBSTITUTE(C2011," ",""),3))&amp;"-"&amp;TEXT(B2011,"AAMMDD")&amp;"-1")</f>
        <v/>
      </c>
    </row>
    <row r="2012" spans="1:20">
      <c r="T2012" t="str">
        <f t="shared" si="43"/>
        <v/>
      </c>
    </row>
    <row r="2013" spans="1:20">
      <c r="T2013" t="str">
        <f t="shared" si="43"/>
        <v/>
      </c>
    </row>
    <row r="2014" spans="1:20">
      <c r="T2014" t="str">
        <f t="shared" si="43"/>
        <v/>
      </c>
    </row>
    <row r="2015" spans="1:20">
      <c r="T2015" t="str">
        <f t="shared" si="43"/>
        <v/>
      </c>
    </row>
    <row r="2016" spans="1:20">
      <c r="T2016" t="str">
        <f t="shared" si="43"/>
        <v/>
      </c>
    </row>
    <row r="2017" spans="20:20">
      <c r="T2017" t="str">
        <f t="shared" si="43"/>
        <v/>
      </c>
    </row>
    <row r="2018" spans="20:20">
      <c r="T2018" t="str">
        <f t="shared" si="43"/>
        <v/>
      </c>
    </row>
    <row r="2019" spans="20:20">
      <c r="T2019" t="str">
        <f t="shared" si="43"/>
        <v/>
      </c>
    </row>
    <row r="2020" spans="20:20">
      <c r="T2020" t="str">
        <f t="shared" si="43"/>
        <v/>
      </c>
    </row>
    <row r="2021" spans="20:20">
      <c r="T2021" t="str">
        <f t="shared" si="43"/>
        <v/>
      </c>
    </row>
    <row r="2022" spans="20:20">
      <c r="T2022" t="str">
        <f t="shared" si="43"/>
        <v/>
      </c>
    </row>
    <row r="2023" spans="20:20">
      <c r="T2023" t="str">
        <f t="shared" si="43"/>
        <v/>
      </c>
    </row>
    <row r="2024" spans="20:20">
      <c r="T2024" t="str">
        <f t="shared" si="43"/>
        <v/>
      </c>
    </row>
    <row r="2025" spans="20:20">
      <c r="T2025" t="str">
        <f t="shared" si="43"/>
        <v/>
      </c>
    </row>
    <row r="2026" spans="20:20">
      <c r="T2026" t="str">
        <f t="shared" si="43"/>
        <v/>
      </c>
    </row>
    <row r="2027" spans="20:20">
      <c r="T2027" t="str">
        <f t="shared" si="43"/>
        <v/>
      </c>
    </row>
    <row r="2028" spans="20:20">
      <c r="T2028" t="str">
        <f t="shared" si="43"/>
        <v/>
      </c>
    </row>
    <row r="2029" spans="20:20">
      <c r="T2029" t="str">
        <f t="shared" si="43"/>
        <v/>
      </c>
    </row>
    <row r="2030" spans="20:20">
      <c r="T2030" t="str">
        <f t="shared" si="43"/>
        <v/>
      </c>
    </row>
    <row r="2031" spans="20:20">
      <c r="T2031" t="str">
        <f t="shared" si="43"/>
        <v/>
      </c>
    </row>
    <row r="2032" spans="20:20">
      <c r="T2032" t="str">
        <f t="shared" si="43"/>
        <v/>
      </c>
    </row>
    <row r="2033" spans="20:20">
      <c r="T2033" t="str">
        <f t="shared" si="43"/>
        <v/>
      </c>
    </row>
    <row r="2034" spans="20:20">
      <c r="T2034" t="str">
        <f t="shared" si="43"/>
        <v/>
      </c>
    </row>
    <row r="2035" spans="20:20">
      <c r="T2035" t="str">
        <f t="shared" si="43"/>
        <v/>
      </c>
    </row>
    <row r="2036" spans="20:20">
      <c r="T2036" t="str">
        <f t="shared" si="43"/>
        <v/>
      </c>
    </row>
    <row r="2037" spans="20:20">
      <c r="T2037" t="str">
        <f t="shared" si="43"/>
        <v/>
      </c>
    </row>
    <row r="2038" spans="20:20">
      <c r="T2038" t="str">
        <f t="shared" si="43"/>
        <v/>
      </c>
    </row>
    <row r="2039" spans="20:20">
      <c r="T2039" t="str">
        <f t="shared" si="43"/>
        <v/>
      </c>
    </row>
    <row r="2040" spans="20:20">
      <c r="T2040" t="str">
        <f t="shared" si="43"/>
        <v/>
      </c>
    </row>
    <row r="2041" spans="20:20">
      <c r="T2041" t="str">
        <f t="shared" si="43"/>
        <v/>
      </c>
    </row>
    <row r="2042" spans="20:20">
      <c r="T2042" t="str">
        <f t="shared" si="43"/>
        <v/>
      </c>
    </row>
    <row r="2043" spans="20:20">
      <c r="T2043" t="str">
        <f t="shared" si="43"/>
        <v/>
      </c>
    </row>
    <row r="2044" spans="20:20">
      <c r="T2044" t="str">
        <f t="shared" si="43"/>
        <v/>
      </c>
    </row>
    <row r="2045" spans="20:20">
      <c r="T2045" t="str">
        <f t="shared" si="43"/>
        <v/>
      </c>
    </row>
    <row r="2046" spans="20:20">
      <c r="T2046" t="str">
        <f t="shared" si="43"/>
        <v/>
      </c>
    </row>
    <row r="2047" spans="20:20">
      <c r="T2047" t="str">
        <f t="shared" si="43"/>
        <v/>
      </c>
    </row>
    <row r="2048" spans="20:20">
      <c r="T2048" t="str">
        <f t="shared" si="43"/>
        <v/>
      </c>
    </row>
    <row r="2049" spans="20:20">
      <c r="T2049" t="str">
        <f t="shared" si="43"/>
        <v/>
      </c>
    </row>
    <row r="2050" spans="20:20">
      <c r="T2050" t="str">
        <f t="shared" ref="T2050:T2113" si="44">IF(C2050="","",UPPER(LEFT(SUBSTITUTE(C2050," ",""),3))&amp;"-"&amp;TEXT(B2050,"AAMMDD")&amp;"-1")</f>
        <v/>
      </c>
    </row>
    <row r="2051" spans="20:20">
      <c r="T2051" t="str">
        <f t="shared" si="44"/>
        <v/>
      </c>
    </row>
    <row r="2052" spans="20:20">
      <c r="T2052" t="str">
        <f t="shared" si="44"/>
        <v/>
      </c>
    </row>
    <row r="2053" spans="20:20">
      <c r="T2053" t="str">
        <f t="shared" si="44"/>
        <v/>
      </c>
    </row>
    <row r="2054" spans="20:20">
      <c r="T2054" t="str">
        <f t="shared" si="44"/>
        <v/>
      </c>
    </row>
    <row r="2055" spans="20:20">
      <c r="T2055" t="str">
        <f t="shared" si="44"/>
        <v/>
      </c>
    </row>
    <row r="2056" spans="20:20">
      <c r="T2056" t="str">
        <f t="shared" si="44"/>
        <v/>
      </c>
    </row>
    <row r="2057" spans="20:20">
      <c r="T2057" t="str">
        <f t="shared" si="44"/>
        <v/>
      </c>
    </row>
    <row r="2058" spans="20:20">
      <c r="T2058" t="str">
        <f t="shared" si="44"/>
        <v/>
      </c>
    </row>
    <row r="2059" spans="20:20">
      <c r="T2059" t="str">
        <f t="shared" si="44"/>
        <v/>
      </c>
    </row>
    <row r="2060" spans="20:20">
      <c r="T2060" t="str">
        <f t="shared" si="44"/>
        <v/>
      </c>
    </row>
    <row r="2061" spans="20:20">
      <c r="T2061" t="str">
        <f t="shared" si="44"/>
        <v/>
      </c>
    </row>
    <row r="2062" spans="20:20">
      <c r="T2062" t="str">
        <f t="shared" si="44"/>
        <v/>
      </c>
    </row>
    <row r="2063" spans="20:20">
      <c r="T2063" t="str">
        <f t="shared" si="44"/>
        <v/>
      </c>
    </row>
    <row r="2064" spans="20:20">
      <c r="T2064" t="str">
        <f t="shared" si="44"/>
        <v/>
      </c>
    </row>
    <row r="2065" spans="20:20">
      <c r="T2065" t="str">
        <f t="shared" si="44"/>
        <v/>
      </c>
    </row>
    <row r="2066" spans="20:20">
      <c r="T2066" t="str">
        <f t="shared" si="44"/>
        <v/>
      </c>
    </row>
    <row r="2067" spans="20:20">
      <c r="T2067" t="str">
        <f t="shared" si="44"/>
        <v/>
      </c>
    </row>
    <row r="2068" spans="20:20">
      <c r="T2068" t="str">
        <f t="shared" si="44"/>
        <v/>
      </c>
    </row>
    <row r="2069" spans="20:20">
      <c r="T2069" t="str">
        <f t="shared" si="44"/>
        <v/>
      </c>
    </row>
    <row r="2070" spans="20:20">
      <c r="T2070" t="str">
        <f t="shared" si="44"/>
        <v/>
      </c>
    </row>
    <row r="2071" spans="20:20">
      <c r="T2071" t="str">
        <f t="shared" si="44"/>
        <v/>
      </c>
    </row>
    <row r="2072" spans="20:20">
      <c r="T2072" t="str">
        <f t="shared" si="44"/>
        <v/>
      </c>
    </row>
    <row r="2073" spans="20:20">
      <c r="T2073" t="str">
        <f t="shared" si="44"/>
        <v/>
      </c>
    </row>
    <row r="2074" spans="20:20">
      <c r="T2074" t="str">
        <f t="shared" si="44"/>
        <v/>
      </c>
    </row>
    <row r="2075" spans="20:20">
      <c r="T2075" t="str">
        <f t="shared" si="44"/>
        <v/>
      </c>
    </row>
    <row r="2076" spans="20:20">
      <c r="T2076" t="str">
        <f t="shared" si="44"/>
        <v/>
      </c>
    </row>
    <row r="2077" spans="20:20">
      <c r="T2077" t="str">
        <f t="shared" si="44"/>
        <v/>
      </c>
    </row>
    <row r="2078" spans="20:20">
      <c r="T2078" t="str">
        <f t="shared" si="44"/>
        <v/>
      </c>
    </row>
    <row r="2079" spans="20:20">
      <c r="T2079" t="str">
        <f t="shared" si="44"/>
        <v/>
      </c>
    </row>
    <row r="2080" spans="20:20">
      <c r="T2080" t="str">
        <f t="shared" si="44"/>
        <v/>
      </c>
    </row>
    <row r="2081" spans="20:20">
      <c r="T2081" t="str">
        <f t="shared" si="44"/>
        <v/>
      </c>
    </row>
    <row r="2082" spans="20:20">
      <c r="T2082" t="str">
        <f t="shared" si="44"/>
        <v/>
      </c>
    </row>
    <row r="2083" spans="20:20">
      <c r="T2083" t="str">
        <f t="shared" si="44"/>
        <v/>
      </c>
    </row>
    <row r="2084" spans="20:20">
      <c r="T2084" t="str">
        <f t="shared" si="44"/>
        <v/>
      </c>
    </row>
    <row r="2085" spans="20:20">
      <c r="T2085" t="str">
        <f t="shared" si="44"/>
        <v/>
      </c>
    </row>
    <row r="2086" spans="20:20">
      <c r="T2086" t="str">
        <f t="shared" si="44"/>
        <v/>
      </c>
    </row>
    <row r="2087" spans="20:20">
      <c r="T2087" t="str">
        <f t="shared" si="44"/>
        <v/>
      </c>
    </row>
    <row r="2088" spans="20:20">
      <c r="T2088" t="str">
        <f t="shared" si="44"/>
        <v/>
      </c>
    </row>
    <row r="2089" spans="20:20">
      <c r="T2089" t="str">
        <f t="shared" si="44"/>
        <v/>
      </c>
    </row>
    <row r="2090" spans="20:20">
      <c r="T2090" t="str">
        <f t="shared" si="44"/>
        <v/>
      </c>
    </row>
    <row r="2091" spans="20:20">
      <c r="T2091" t="str">
        <f t="shared" si="44"/>
        <v/>
      </c>
    </row>
    <row r="2092" spans="20:20">
      <c r="T2092" t="str">
        <f t="shared" si="44"/>
        <v/>
      </c>
    </row>
    <row r="2093" spans="20:20">
      <c r="T2093" t="str">
        <f t="shared" si="44"/>
        <v/>
      </c>
    </row>
    <row r="2094" spans="20:20">
      <c r="T2094" t="str">
        <f t="shared" si="44"/>
        <v/>
      </c>
    </row>
    <row r="2095" spans="20:20">
      <c r="T2095" t="str">
        <f t="shared" si="44"/>
        <v/>
      </c>
    </row>
    <row r="2096" spans="20:20">
      <c r="T2096" t="str">
        <f t="shared" si="44"/>
        <v/>
      </c>
    </row>
    <row r="2097" spans="20:20">
      <c r="T2097" t="str">
        <f t="shared" si="44"/>
        <v/>
      </c>
    </row>
    <row r="2098" spans="20:20">
      <c r="T2098" t="str">
        <f t="shared" si="44"/>
        <v/>
      </c>
    </row>
    <row r="2099" spans="20:20">
      <c r="T2099" t="str">
        <f t="shared" si="44"/>
        <v/>
      </c>
    </row>
    <row r="2100" spans="20:20">
      <c r="T2100" t="str">
        <f t="shared" si="44"/>
        <v/>
      </c>
    </row>
    <row r="2101" spans="20:20">
      <c r="T2101" t="str">
        <f t="shared" si="44"/>
        <v/>
      </c>
    </row>
    <row r="2102" spans="20:20">
      <c r="T2102" t="str">
        <f t="shared" si="44"/>
        <v/>
      </c>
    </row>
    <row r="2103" spans="20:20">
      <c r="T2103" t="str">
        <f t="shared" si="44"/>
        <v/>
      </c>
    </row>
    <row r="2104" spans="20:20">
      <c r="T2104" t="str">
        <f t="shared" si="44"/>
        <v/>
      </c>
    </row>
    <row r="2105" spans="20:20">
      <c r="T2105" t="str">
        <f t="shared" si="44"/>
        <v/>
      </c>
    </row>
    <row r="2106" spans="20:20">
      <c r="T2106" t="str">
        <f t="shared" si="44"/>
        <v/>
      </c>
    </row>
    <row r="2107" spans="20:20">
      <c r="T2107" t="str">
        <f t="shared" si="44"/>
        <v/>
      </c>
    </row>
    <row r="2108" spans="20:20">
      <c r="T2108" t="str">
        <f t="shared" si="44"/>
        <v/>
      </c>
    </row>
    <row r="2109" spans="20:20">
      <c r="T2109" t="str">
        <f t="shared" si="44"/>
        <v/>
      </c>
    </row>
    <row r="2110" spans="20:20">
      <c r="T2110" t="str">
        <f t="shared" si="44"/>
        <v/>
      </c>
    </row>
    <row r="2111" spans="20:20">
      <c r="T2111" t="str">
        <f t="shared" si="44"/>
        <v/>
      </c>
    </row>
    <row r="2112" spans="20:20">
      <c r="T2112" t="str">
        <f t="shared" si="44"/>
        <v/>
      </c>
    </row>
    <row r="2113" spans="20:20">
      <c r="T2113" t="str">
        <f t="shared" si="44"/>
        <v/>
      </c>
    </row>
    <row r="2114" spans="20:20">
      <c r="T2114" t="str">
        <f t="shared" ref="T2114:T2177" si="45">IF(C2114="","",UPPER(LEFT(SUBSTITUTE(C2114," ",""),3))&amp;"-"&amp;TEXT(B2114,"AAMMDD")&amp;"-1")</f>
        <v/>
      </c>
    </row>
    <row r="2115" spans="20:20">
      <c r="T2115" t="str">
        <f t="shared" si="45"/>
        <v/>
      </c>
    </row>
    <row r="2116" spans="20:20">
      <c r="T2116" t="str">
        <f t="shared" si="45"/>
        <v/>
      </c>
    </row>
    <row r="2117" spans="20:20">
      <c r="T2117" t="str">
        <f t="shared" si="45"/>
        <v/>
      </c>
    </row>
    <row r="2118" spans="20:20">
      <c r="T2118" t="str">
        <f t="shared" si="45"/>
        <v/>
      </c>
    </row>
    <row r="2119" spans="20:20">
      <c r="T2119" t="str">
        <f t="shared" si="45"/>
        <v/>
      </c>
    </row>
    <row r="2120" spans="20:20">
      <c r="T2120" t="str">
        <f t="shared" si="45"/>
        <v/>
      </c>
    </row>
    <row r="2121" spans="20:20">
      <c r="T2121" t="str">
        <f t="shared" si="45"/>
        <v/>
      </c>
    </row>
    <row r="2122" spans="20:20">
      <c r="T2122" t="str">
        <f t="shared" si="45"/>
        <v/>
      </c>
    </row>
    <row r="2123" spans="20:20">
      <c r="T2123" t="str">
        <f t="shared" si="45"/>
        <v/>
      </c>
    </row>
    <row r="2124" spans="20:20">
      <c r="T2124" t="str">
        <f t="shared" si="45"/>
        <v/>
      </c>
    </row>
    <row r="2125" spans="20:20">
      <c r="T2125" t="str">
        <f t="shared" si="45"/>
        <v/>
      </c>
    </row>
    <row r="2126" spans="20:20">
      <c r="T2126" t="str">
        <f t="shared" si="45"/>
        <v/>
      </c>
    </row>
    <row r="2127" spans="20:20">
      <c r="T2127" t="str">
        <f t="shared" si="45"/>
        <v/>
      </c>
    </row>
    <row r="2128" spans="20:20">
      <c r="T2128" t="str">
        <f t="shared" si="45"/>
        <v/>
      </c>
    </row>
    <row r="2129" spans="20:20">
      <c r="T2129" t="str">
        <f t="shared" si="45"/>
        <v/>
      </c>
    </row>
    <row r="2130" spans="20:20">
      <c r="T2130" t="str">
        <f t="shared" si="45"/>
        <v/>
      </c>
    </row>
    <row r="2131" spans="20:20">
      <c r="T2131" t="str">
        <f t="shared" si="45"/>
        <v/>
      </c>
    </row>
    <row r="2132" spans="20:20">
      <c r="T2132" t="str">
        <f t="shared" si="45"/>
        <v/>
      </c>
    </row>
    <row r="2133" spans="20:20">
      <c r="T2133" t="str">
        <f t="shared" si="45"/>
        <v/>
      </c>
    </row>
    <row r="2134" spans="20:20">
      <c r="T2134" t="str">
        <f t="shared" si="45"/>
        <v/>
      </c>
    </row>
    <row r="2135" spans="20:20">
      <c r="T2135" t="str">
        <f t="shared" si="45"/>
        <v/>
      </c>
    </row>
    <row r="2136" spans="20:20">
      <c r="T2136" t="str">
        <f t="shared" si="45"/>
        <v/>
      </c>
    </row>
    <row r="2137" spans="20:20">
      <c r="T2137" t="str">
        <f t="shared" si="45"/>
        <v/>
      </c>
    </row>
    <row r="2138" spans="20:20">
      <c r="T2138" t="str">
        <f t="shared" si="45"/>
        <v/>
      </c>
    </row>
    <row r="2139" spans="20:20">
      <c r="T2139" t="str">
        <f t="shared" si="45"/>
        <v/>
      </c>
    </row>
    <row r="2140" spans="20:20">
      <c r="T2140" t="str">
        <f t="shared" si="45"/>
        <v/>
      </c>
    </row>
    <row r="2141" spans="20:20">
      <c r="T2141" t="str">
        <f t="shared" si="45"/>
        <v/>
      </c>
    </row>
    <row r="2142" spans="20:20">
      <c r="T2142" t="str">
        <f t="shared" si="45"/>
        <v/>
      </c>
    </row>
    <row r="2143" spans="20:20">
      <c r="T2143" t="str">
        <f t="shared" si="45"/>
        <v/>
      </c>
    </row>
    <row r="2144" spans="20:20">
      <c r="T2144" t="str">
        <f t="shared" si="45"/>
        <v/>
      </c>
    </row>
    <row r="2145" spans="20:20">
      <c r="T2145" t="str">
        <f t="shared" si="45"/>
        <v/>
      </c>
    </row>
    <row r="2146" spans="20:20">
      <c r="T2146" t="str">
        <f t="shared" si="45"/>
        <v/>
      </c>
    </row>
    <row r="2147" spans="20:20">
      <c r="T2147" t="str">
        <f t="shared" si="45"/>
        <v/>
      </c>
    </row>
    <row r="2148" spans="20:20">
      <c r="T2148" t="str">
        <f t="shared" si="45"/>
        <v/>
      </c>
    </row>
    <row r="2149" spans="20:20">
      <c r="T2149" t="str">
        <f t="shared" si="45"/>
        <v/>
      </c>
    </row>
    <row r="2150" spans="20:20">
      <c r="T2150" t="str">
        <f t="shared" si="45"/>
        <v/>
      </c>
    </row>
    <row r="2151" spans="20:20">
      <c r="T2151" t="str">
        <f t="shared" si="45"/>
        <v/>
      </c>
    </row>
    <row r="2152" spans="20:20">
      <c r="T2152" t="str">
        <f t="shared" si="45"/>
        <v/>
      </c>
    </row>
    <row r="2153" spans="20:20">
      <c r="T2153" t="str">
        <f t="shared" si="45"/>
        <v/>
      </c>
    </row>
    <row r="2154" spans="20:20">
      <c r="T2154" t="str">
        <f t="shared" si="45"/>
        <v/>
      </c>
    </row>
    <row r="2155" spans="20:20">
      <c r="T2155" t="str">
        <f t="shared" si="45"/>
        <v/>
      </c>
    </row>
    <row r="2156" spans="20:20">
      <c r="T2156" t="str">
        <f t="shared" si="45"/>
        <v/>
      </c>
    </row>
    <row r="2157" spans="20:20">
      <c r="T2157" t="str">
        <f t="shared" si="45"/>
        <v/>
      </c>
    </row>
    <row r="2158" spans="20:20">
      <c r="T2158" t="str">
        <f t="shared" si="45"/>
        <v/>
      </c>
    </row>
    <row r="2159" spans="20:20">
      <c r="T2159" t="str">
        <f t="shared" si="45"/>
        <v/>
      </c>
    </row>
    <row r="2160" spans="20:20">
      <c r="T2160" t="str">
        <f t="shared" si="45"/>
        <v/>
      </c>
    </row>
    <row r="2161" spans="20:20">
      <c r="T2161" t="str">
        <f t="shared" si="45"/>
        <v/>
      </c>
    </row>
    <row r="2162" spans="20:20">
      <c r="T2162" t="str">
        <f t="shared" si="45"/>
        <v/>
      </c>
    </row>
    <row r="2163" spans="20:20">
      <c r="T2163" t="str">
        <f t="shared" si="45"/>
        <v/>
      </c>
    </row>
    <row r="2164" spans="20:20">
      <c r="T2164" t="str">
        <f t="shared" si="45"/>
        <v/>
      </c>
    </row>
    <row r="2165" spans="20:20">
      <c r="T2165" t="str">
        <f t="shared" si="45"/>
        <v/>
      </c>
    </row>
    <row r="2166" spans="20:20">
      <c r="T2166" t="str">
        <f t="shared" si="45"/>
        <v/>
      </c>
    </row>
    <row r="2167" spans="20:20">
      <c r="T2167" t="str">
        <f t="shared" si="45"/>
        <v/>
      </c>
    </row>
    <row r="2168" spans="20:20">
      <c r="T2168" t="str">
        <f t="shared" si="45"/>
        <v/>
      </c>
    </row>
    <row r="2169" spans="20:20">
      <c r="T2169" t="str">
        <f t="shared" si="45"/>
        <v/>
      </c>
    </row>
    <row r="2170" spans="20:20">
      <c r="T2170" t="str">
        <f t="shared" si="45"/>
        <v/>
      </c>
    </row>
    <row r="2171" spans="20:20">
      <c r="T2171" t="str">
        <f t="shared" si="45"/>
        <v/>
      </c>
    </row>
    <row r="2172" spans="20:20">
      <c r="T2172" t="str">
        <f t="shared" si="45"/>
        <v/>
      </c>
    </row>
    <row r="2173" spans="20:20">
      <c r="T2173" t="str">
        <f t="shared" si="45"/>
        <v/>
      </c>
    </row>
    <row r="2174" spans="20:20">
      <c r="T2174" t="str">
        <f t="shared" si="45"/>
        <v/>
      </c>
    </row>
    <row r="2175" spans="20:20">
      <c r="T2175" t="str">
        <f t="shared" si="45"/>
        <v/>
      </c>
    </row>
    <row r="2176" spans="20:20">
      <c r="T2176" t="str">
        <f t="shared" si="45"/>
        <v/>
      </c>
    </row>
    <row r="2177" spans="20:20">
      <c r="T2177" t="str">
        <f t="shared" si="45"/>
        <v/>
      </c>
    </row>
    <row r="2178" spans="20:20">
      <c r="T2178" t="str">
        <f t="shared" ref="T2178:T2241" si="46">IF(C2178="","",UPPER(LEFT(SUBSTITUTE(C2178," ",""),3))&amp;"-"&amp;TEXT(B2178,"AAMMDD")&amp;"-1")</f>
        <v/>
      </c>
    </row>
    <row r="2179" spans="20:20">
      <c r="T2179" t="str">
        <f t="shared" si="46"/>
        <v/>
      </c>
    </row>
    <row r="2180" spans="20:20">
      <c r="T2180" t="str">
        <f t="shared" si="46"/>
        <v/>
      </c>
    </row>
    <row r="2181" spans="20:20">
      <c r="T2181" t="str">
        <f t="shared" si="46"/>
        <v/>
      </c>
    </row>
    <row r="2182" spans="20:20">
      <c r="T2182" t="str">
        <f t="shared" si="46"/>
        <v/>
      </c>
    </row>
    <row r="2183" spans="20:20">
      <c r="T2183" t="str">
        <f t="shared" si="46"/>
        <v/>
      </c>
    </row>
    <row r="2184" spans="20:20">
      <c r="T2184" t="str">
        <f t="shared" si="46"/>
        <v/>
      </c>
    </row>
    <row r="2185" spans="20:20">
      <c r="T2185" t="str">
        <f t="shared" si="46"/>
        <v/>
      </c>
    </row>
    <row r="2186" spans="20:20">
      <c r="T2186" t="str">
        <f t="shared" si="46"/>
        <v/>
      </c>
    </row>
    <row r="2187" spans="20:20">
      <c r="T2187" t="str">
        <f t="shared" si="46"/>
        <v/>
      </c>
    </row>
    <row r="2188" spans="20:20">
      <c r="T2188" t="str">
        <f t="shared" si="46"/>
        <v/>
      </c>
    </row>
    <row r="2189" spans="20:20">
      <c r="T2189" t="str">
        <f t="shared" si="46"/>
        <v/>
      </c>
    </row>
    <row r="2190" spans="20:20">
      <c r="T2190" t="str">
        <f t="shared" si="46"/>
        <v/>
      </c>
    </row>
    <row r="2191" spans="20:20">
      <c r="T2191" t="str">
        <f t="shared" si="46"/>
        <v/>
      </c>
    </row>
    <row r="2192" spans="20:20">
      <c r="T2192" t="str">
        <f t="shared" si="46"/>
        <v/>
      </c>
    </row>
    <row r="2193" spans="20:20">
      <c r="T2193" t="str">
        <f t="shared" si="46"/>
        <v/>
      </c>
    </row>
    <row r="2194" spans="20:20">
      <c r="T2194" t="str">
        <f t="shared" si="46"/>
        <v/>
      </c>
    </row>
    <row r="2195" spans="20:20">
      <c r="T2195" t="str">
        <f t="shared" si="46"/>
        <v/>
      </c>
    </row>
    <row r="2196" spans="20:20">
      <c r="T2196" t="str">
        <f t="shared" si="46"/>
        <v/>
      </c>
    </row>
    <row r="2197" spans="20:20">
      <c r="T2197" t="str">
        <f t="shared" si="46"/>
        <v/>
      </c>
    </row>
    <row r="2198" spans="20:20">
      <c r="T2198" t="str">
        <f t="shared" si="46"/>
        <v/>
      </c>
    </row>
    <row r="2199" spans="20:20">
      <c r="T2199" t="str">
        <f t="shared" si="46"/>
        <v/>
      </c>
    </row>
    <row r="2200" spans="20:20">
      <c r="T2200" t="str">
        <f t="shared" si="46"/>
        <v/>
      </c>
    </row>
    <row r="2201" spans="20:20">
      <c r="T2201" t="str">
        <f t="shared" si="46"/>
        <v/>
      </c>
    </row>
    <row r="2202" spans="20:20">
      <c r="T2202" t="str">
        <f t="shared" si="46"/>
        <v/>
      </c>
    </row>
    <row r="2203" spans="20:20">
      <c r="T2203" t="str">
        <f t="shared" si="46"/>
        <v/>
      </c>
    </row>
    <row r="2204" spans="20:20">
      <c r="T2204" t="str">
        <f t="shared" si="46"/>
        <v/>
      </c>
    </row>
    <row r="2205" spans="20:20">
      <c r="T2205" t="str">
        <f t="shared" si="46"/>
        <v/>
      </c>
    </row>
    <row r="2206" spans="20:20">
      <c r="T2206" t="str">
        <f t="shared" si="46"/>
        <v/>
      </c>
    </row>
    <row r="2207" spans="20:20">
      <c r="T2207" t="str">
        <f t="shared" si="46"/>
        <v/>
      </c>
    </row>
    <row r="2208" spans="20:20">
      <c r="T2208" t="str">
        <f t="shared" si="46"/>
        <v/>
      </c>
    </row>
    <row r="2209" spans="20:20">
      <c r="T2209" t="str">
        <f t="shared" si="46"/>
        <v/>
      </c>
    </row>
    <row r="2210" spans="20:20">
      <c r="T2210" t="str">
        <f t="shared" si="46"/>
        <v/>
      </c>
    </row>
    <row r="2211" spans="20:20">
      <c r="T2211" t="str">
        <f t="shared" si="46"/>
        <v/>
      </c>
    </row>
    <row r="2212" spans="20:20">
      <c r="T2212" t="str">
        <f t="shared" si="46"/>
        <v/>
      </c>
    </row>
    <row r="2213" spans="20:20">
      <c r="T2213" t="str">
        <f t="shared" si="46"/>
        <v/>
      </c>
    </row>
    <row r="2214" spans="20:20">
      <c r="T2214" t="str">
        <f t="shared" si="46"/>
        <v/>
      </c>
    </row>
    <row r="2215" spans="20:20">
      <c r="T2215" t="str">
        <f t="shared" si="46"/>
        <v/>
      </c>
    </row>
    <row r="2216" spans="20:20">
      <c r="T2216" t="str">
        <f t="shared" si="46"/>
        <v/>
      </c>
    </row>
    <row r="2217" spans="20:20">
      <c r="T2217" t="str">
        <f t="shared" si="46"/>
        <v/>
      </c>
    </row>
    <row r="2218" spans="20:20">
      <c r="T2218" t="str">
        <f t="shared" si="46"/>
        <v/>
      </c>
    </row>
    <row r="2219" spans="20:20">
      <c r="T2219" t="str">
        <f t="shared" si="46"/>
        <v/>
      </c>
    </row>
    <row r="2220" spans="20:20">
      <c r="T2220" t="str">
        <f t="shared" si="46"/>
        <v/>
      </c>
    </row>
    <row r="2221" spans="20:20">
      <c r="T2221" t="str">
        <f t="shared" si="46"/>
        <v/>
      </c>
    </row>
    <row r="2222" spans="20:20">
      <c r="T2222" t="str">
        <f t="shared" si="46"/>
        <v/>
      </c>
    </row>
    <row r="2223" spans="20:20">
      <c r="T2223" t="str">
        <f t="shared" si="46"/>
        <v/>
      </c>
    </row>
    <row r="2224" spans="20:20">
      <c r="T2224" t="str">
        <f t="shared" si="46"/>
        <v/>
      </c>
    </row>
    <row r="2225" spans="20:20">
      <c r="T2225" t="str">
        <f t="shared" si="46"/>
        <v/>
      </c>
    </row>
    <row r="2226" spans="20:20">
      <c r="T2226" t="str">
        <f t="shared" si="46"/>
        <v/>
      </c>
    </row>
    <row r="2227" spans="20:20">
      <c r="T2227" t="str">
        <f t="shared" si="46"/>
        <v/>
      </c>
    </row>
    <row r="2228" spans="20:20">
      <c r="T2228" t="str">
        <f t="shared" si="46"/>
        <v/>
      </c>
    </row>
    <row r="2229" spans="20:20">
      <c r="T2229" t="str">
        <f t="shared" si="46"/>
        <v/>
      </c>
    </row>
    <row r="2230" spans="20:20">
      <c r="T2230" t="str">
        <f t="shared" si="46"/>
        <v/>
      </c>
    </row>
    <row r="2231" spans="20:20">
      <c r="T2231" t="str">
        <f t="shared" si="46"/>
        <v/>
      </c>
    </row>
    <row r="2232" spans="20:20">
      <c r="T2232" t="str">
        <f t="shared" si="46"/>
        <v/>
      </c>
    </row>
    <row r="2233" spans="20:20">
      <c r="T2233" t="str">
        <f t="shared" si="46"/>
        <v/>
      </c>
    </row>
    <row r="2234" spans="20:20">
      <c r="T2234" t="str">
        <f t="shared" si="46"/>
        <v/>
      </c>
    </row>
    <row r="2235" spans="20:20">
      <c r="T2235" t="str">
        <f t="shared" si="46"/>
        <v/>
      </c>
    </row>
    <row r="2236" spans="20:20">
      <c r="T2236" t="str">
        <f t="shared" si="46"/>
        <v/>
      </c>
    </row>
    <row r="2237" spans="20:20">
      <c r="T2237" t="str">
        <f t="shared" si="46"/>
        <v/>
      </c>
    </row>
    <row r="2238" spans="20:20">
      <c r="T2238" t="str">
        <f t="shared" si="46"/>
        <v/>
      </c>
    </row>
    <row r="2239" spans="20:20">
      <c r="T2239" t="str">
        <f t="shared" si="46"/>
        <v/>
      </c>
    </row>
    <row r="2240" spans="20:20">
      <c r="T2240" t="str">
        <f t="shared" si="46"/>
        <v/>
      </c>
    </row>
    <row r="2241" spans="20:20">
      <c r="T2241" t="str">
        <f t="shared" si="46"/>
        <v/>
      </c>
    </row>
    <row r="2242" spans="20:20">
      <c r="T2242" t="str">
        <f t="shared" ref="T2242:T2305" si="47">IF(C2242="","",UPPER(LEFT(SUBSTITUTE(C2242," ",""),3))&amp;"-"&amp;TEXT(B2242,"AAMMDD")&amp;"-1")</f>
        <v/>
      </c>
    </row>
    <row r="2243" spans="20:20">
      <c r="T2243" t="str">
        <f t="shared" si="47"/>
        <v/>
      </c>
    </row>
    <row r="2244" spans="20:20">
      <c r="T2244" t="str">
        <f t="shared" si="47"/>
        <v/>
      </c>
    </row>
    <row r="2245" spans="20:20">
      <c r="T2245" t="str">
        <f t="shared" si="47"/>
        <v/>
      </c>
    </row>
    <row r="2246" spans="20:20">
      <c r="T2246" t="str">
        <f t="shared" si="47"/>
        <v/>
      </c>
    </row>
    <row r="2247" spans="20:20">
      <c r="T2247" t="str">
        <f t="shared" si="47"/>
        <v/>
      </c>
    </row>
    <row r="2248" spans="20:20">
      <c r="T2248" t="str">
        <f t="shared" si="47"/>
        <v/>
      </c>
    </row>
    <row r="2249" spans="20:20">
      <c r="T2249" t="str">
        <f t="shared" si="47"/>
        <v/>
      </c>
    </row>
    <row r="2250" spans="20:20">
      <c r="T2250" t="str">
        <f t="shared" si="47"/>
        <v/>
      </c>
    </row>
    <row r="2251" spans="20:20">
      <c r="T2251" t="str">
        <f t="shared" si="47"/>
        <v/>
      </c>
    </row>
    <row r="2252" spans="20:20">
      <c r="T2252" t="str">
        <f t="shared" si="47"/>
        <v/>
      </c>
    </row>
    <row r="2253" spans="20:20">
      <c r="T2253" t="str">
        <f t="shared" si="47"/>
        <v/>
      </c>
    </row>
    <row r="2254" spans="20:20">
      <c r="T2254" t="str">
        <f t="shared" si="47"/>
        <v/>
      </c>
    </row>
    <row r="2255" spans="20:20">
      <c r="T2255" t="str">
        <f t="shared" si="47"/>
        <v/>
      </c>
    </row>
    <row r="2256" spans="20:20">
      <c r="T2256" t="str">
        <f t="shared" si="47"/>
        <v/>
      </c>
    </row>
    <row r="2257" spans="20:20">
      <c r="T2257" t="str">
        <f t="shared" si="47"/>
        <v/>
      </c>
    </row>
    <row r="2258" spans="20:20">
      <c r="T2258" t="str">
        <f t="shared" si="47"/>
        <v/>
      </c>
    </row>
    <row r="2259" spans="20:20">
      <c r="T2259" t="str">
        <f t="shared" si="47"/>
        <v/>
      </c>
    </row>
    <row r="2260" spans="20:20">
      <c r="T2260" t="str">
        <f t="shared" si="47"/>
        <v/>
      </c>
    </row>
    <row r="2261" spans="20:20">
      <c r="T2261" t="str">
        <f t="shared" si="47"/>
        <v/>
      </c>
    </row>
    <row r="2262" spans="20:20">
      <c r="T2262" t="str">
        <f t="shared" si="47"/>
        <v/>
      </c>
    </row>
    <row r="2263" spans="20:20">
      <c r="T2263" t="str">
        <f t="shared" si="47"/>
        <v/>
      </c>
    </row>
    <row r="2264" spans="20:20">
      <c r="T2264" t="str">
        <f t="shared" si="47"/>
        <v/>
      </c>
    </row>
    <row r="2265" spans="20:20">
      <c r="T2265" t="str">
        <f t="shared" si="47"/>
        <v/>
      </c>
    </row>
    <row r="2266" spans="20:20">
      <c r="T2266" t="str">
        <f t="shared" si="47"/>
        <v/>
      </c>
    </row>
    <row r="2267" spans="20:20">
      <c r="T2267" t="str">
        <f t="shared" si="47"/>
        <v/>
      </c>
    </row>
    <row r="2268" spans="20:20">
      <c r="T2268" t="str">
        <f t="shared" si="47"/>
        <v/>
      </c>
    </row>
    <row r="2269" spans="20:20">
      <c r="T2269" t="str">
        <f t="shared" si="47"/>
        <v/>
      </c>
    </row>
    <row r="2270" spans="20:20">
      <c r="T2270" t="str">
        <f t="shared" si="47"/>
        <v/>
      </c>
    </row>
    <row r="2271" spans="20:20">
      <c r="T2271" t="str">
        <f t="shared" si="47"/>
        <v/>
      </c>
    </row>
    <row r="2272" spans="20:20">
      <c r="T2272" t="str">
        <f t="shared" si="47"/>
        <v/>
      </c>
    </row>
    <row r="2273" spans="20:20">
      <c r="T2273" t="str">
        <f t="shared" si="47"/>
        <v/>
      </c>
    </row>
    <row r="2274" spans="20:20">
      <c r="T2274" t="str">
        <f t="shared" si="47"/>
        <v/>
      </c>
    </row>
    <row r="2275" spans="20:20">
      <c r="T2275" t="str">
        <f t="shared" si="47"/>
        <v/>
      </c>
    </row>
    <row r="2276" spans="20:20">
      <c r="T2276" t="str">
        <f t="shared" si="47"/>
        <v/>
      </c>
    </row>
    <row r="2277" spans="20:20">
      <c r="T2277" t="str">
        <f t="shared" si="47"/>
        <v/>
      </c>
    </row>
    <row r="2278" spans="20:20">
      <c r="T2278" t="str">
        <f t="shared" si="47"/>
        <v/>
      </c>
    </row>
    <row r="2279" spans="20:20">
      <c r="T2279" t="str">
        <f t="shared" si="47"/>
        <v/>
      </c>
    </row>
    <row r="2280" spans="20:20">
      <c r="T2280" t="str">
        <f t="shared" si="47"/>
        <v/>
      </c>
    </row>
    <row r="2281" spans="20:20">
      <c r="T2281" t="str">
        <f t="shared" si="47"/>
        <v/>
      </c>
    </row>
    <row r="2282" spans="20:20">
      <c r="T2282" t="str">
        <f t="shared" si="47"/>
        <v/>
      </c>
    </row>
    <row r="2283" spans="20:20">
      <c r="T2283" t="str">
        <f t="shared" si="47"/>
        <v/>
      </c>
    </row>
    <row r="2284" spans="20:20">
      <c r="T2284" t="str">
        <f t="shared" si="47"/>
        <v/>
      </c>
    </row>
    <row r="2285" spans="20:20">
      <c r="T2285" t="str">
        <f t="shared" si="47"/>
        <v/>
      </c>
    </row>
    <row r="2286" spans="20:20">
      <c r="T2286" t="str">
        <f t="shared" si="47"/>
        <v/>
      </c>
    </row>
    <row r="2287" spans="20:20">
      <c r="T2287" t="str">
        <f t="shared" si="47"/>
        <v/>
      </c>
    </row>
    <row r="2288" spans="20:20">
      <c r="T2288" t="str">
        <f t="shared" si="47"/>
        <v/>
      </c>
    </row>
    <row r="2289" spans="20:20">
      <c r="T2289" t="str">
        <f t="shared" si="47"/>
        <v/>
      </c>
    </row>
    <row r="2290" spans="20:20">
      <c r="T2290" t="str">
        <f t="shared" si="47"/>
        <v/>
      </c>
    </row>
    <row r="2291" spans="20:20">
      <c r="T2291" t="str">
        <f t="shared" si="47"/>
        <v/>
      </c>
    </row>
    <row r="2292" spans="20:20">
      <c r="T2292" t="str">
        <f t="shared" si="47"/>
        <v/>
      </c>
    </row>
    <row r="2293" spans="20:20">
      <c r="T2293" t="str">
        <f t="shared" si="47"/>
        <v/>
      </c>
    </row>
    <row r="2294" spans="20:20">
      <c r="T2294" t="str">
        <f t="shared" si="47"/>
        <v/>
      </c>
    </row>
    <row r="2295" spans="20:20">
      <c r="T2295" t="str">
        <f t="shared" si="47"/>
        <v/>
      </c>
    </row>
    <row r="2296" spans="20:20">
      <c r="T2296" t="str">
        <f t="shared" si="47"/>
        <v/>
      </c>
    </row>
    <row r="2297" spans="20:20">
      <c r="T2297" t="str">
        <f t="shared" si="47"/>
        <v/>
      </c>
    </row>
    <row r="2298" spans="20:20">
      <c r="T2298" t="str">
        <f t="shared" si="47"/>
        <v/>
      </c>
    </row>
    <row r="2299" spans="20:20">
      <c r="T2299" t="str">
        <f t="shared" si="47"/>
        <v/>
      </c>
    </row>
    <row r="2300" spans="20:20">
      <c r="T2300" t="str">
        <f t="shared" si="47"/>
        <v/>
      </c>
    </row>
    <row r="2301" spans="20:20">
      <c r="T2301" t="str">
        <f t="shared" si="47"/>
        <v/>
      </c>
    </row>
    <row r="2302" spans="20:20">
      <c r="T2302" t="str">
        <f t="shared" si="47"/>
        <v/>
      </c>
    </row>
    <row r="2303" spans="20:20">
      <c r="T2303" t="str">
        <f t="shared" si="47"/>
        <v/>
      </c>
    </row>
    <row r="2304" spans="20:20">
      <c r="T2304" t="str">
        <f t="shared" si="47"/>
        <v/>
      </c>
    </row>
    <row r="2305" spans="20:20">
      <c r="T2305" t="str">
        <f t="shared" si="47"/>
        <v/>
      </c>
    </row>
    <row r="2306" spans="20:20">
      <c r="T2306" t="str">
        <f t="shared" ref="T2306:T2369" si="48">IF(C2306="","",UPPER(LEFT(SUBSTITUTE(C2306," ",""),3))&amp;"-"&amp;TEXT(B2306,"AAMMDD")&amp;"-1")</f>
        <v/>
      </c>
    </row>
    <row r="2307" spans="20:20">
      <c r="T2307" t="str">
        <f t="shared" si="48"/>
        <v/>
      </c>
    </row>
    <row r="2308" spans="20:20">
      <c r="T2308" t="str">
        <f t="shared" si="48"/>
        <v/>
      </c>
    </row>
    <row r="2309" spans="20:20">
      <c r="T2309" t="str">
        <f t="shared" si="48"/>
        <v/>
      </c>
    </row>
    <row r="2310" spans="20:20">
      <c r="T2310" t="str">
        <f t="shared" si="48"/>
        <v/>
      </c>
    </row>
    <row r="2311" spans="20:20">
      <c r="T2311" t="str">
        <f t="shared" si="48"/>
        <v/>
      </c>
    </row>
    <row r="2312" spans="20:20">
      <c r="T2312" t="str">
        <f t="shared" si="48"/>
        <v/>
      </c>
    </row>
    <row r="2313" spans="20:20">
      <c r="T2313" t="str">
        <f t="shared" si="48"/>
        <v/>
      </c>
    </row>
    <row r="2314" spans="20:20">
      <c r="T2314" t="str">
        <f t="shared" si="48"/>
        <v/>
      </c>
    </row>
    <row r="2315" spans="20:20">
      <c r="T2315" t="str">
        <f t="shared" si="48"/>
        <v/>
      </c>
    </row>
    <row r="2316" spans="20:20">
      <c r="T2316" t="str">
        <f t="shared" si="48"/>
        <v/>
      </c>
    </row>
    <row r="2317" spans="20:20">
      <c r="T2317" t="str">
        <f t="shared" si="48"/>
        <v/>
      </c>
    </row>
    <row r="2318" spans="20:20">
      <c r="T2318" t="str">
        <f t="shared" si="48"/>
        <v/>
      </c>
    </row>
    <row r="2319" spans="20:20">
      <c r="T2319" t="str">
        <f t="shared" si="48"/>
        <v/>
      </c>
    </row>
    <row r="2320" spans="20:20">
      <c r="T2320" t="str">
        <f t="shared" si="48"/>
        <v/>
      </c>
    </row>
    <row r="2321" spans="20:20">
      <c r="T2321" t="str">
        <f t="shared" si="48"/>
        <v/>
      </c>
    </row>
    <row r="2322" spans="20:20">
      <c r="T2322" t="str">
        <f t="shared" si="48"/>
        <v/>
      </c>
    </row>
    <row r="2323" spans="20:20">
      <c r="T2323" t="str">
        <f t="shared" si="48"/>
        <v/>
      </c>
    </row>
    <row r="2324" spans="20:20">
      <c r="T2324" t="str">
        <f t="shared" si="48"/>
        <v/>
      </c>
    </row>
    <row r="2325" spans="20:20">
      <c r="T2325" t="str">
        <f t="shared" si="48"/>
        <v/>
      </c>
    </row>
    <row r="2326" spans="20:20">
      <c r="T2326" t="str">
        <f t="shared" si="48"/>
        <v/>
      </c>
    </row>
    <row r="2327" spans="20:20">
      <c r="T2327" t="str">
        <f t="shared" si="48"/>
        <v/>
      </c>
    </row>
    <row r="2328" spans="20:20">
      <c r="T2328" t="str">
        <f t="shared" si="48"/>
        <v/>
      </c>
    </row>
    <row r="2329" spans="20:20">
      <c r="T2329" t="str">
        <f t="shared" si="48"/>
        <v/>
      </c>
    </row>
    <row r="2330" spans="20:20">
      <c r="T2330" t="str">
        <f t="shared" si="48"/>
        <v/>
      </c>
    </row>
    <row r="2331" spans="20:20">
      <c r="T2331" t="str">
        <f t="shared" si="48"/>
        <v/>
      </c>
    </row>
    <row r="2332" spans="20:20">
      <c r="T2332" t="str">
        <f t="shared" si="48"/>
        <v/>
      </c>
    </row>
    <row r="2333" spans="20:20">
      <c r="T2333" t="str">
        <f t="shared" si="48"/>
        <v/>
      </c>
    </row>
    <row r="2334" spans="20:20">
      <c r="T2334" t="str">
        <f t="shared" si="48"/>
        <v/>
      </c>
    </row>
    <row r="2335" spans="20:20">
      <c r="T2335" t="str">
        <f t="shared" si="48"/>
        <v/>
      </c>
    </row>
    <row r="2336" spans="20:20">
      <c r="T2336" t="str">
        <f t="shared" si="48"/>
        <v/>
      </c>
    </row>
    <row r="2337" spans="20:20">
      <c r="T2337" t="str">
        <f t="shared" si="48"/>
        <v/>
      </c>
    </row>
    <row r="2338" spans="20:20">
      <c r="T2338" t="str">
        <f t="shared" si="48"/>
        <v/>
      </c>
    </row>
    <row r="2339" spans="20:20">
      <c r="T2339" t="str">
        <f t="shared" si="48"/>
        <v/>
      </c>
    </row>
    <row r="2340" spans="20:20">
      <c r="T2340" t="str">
        <f t="shared" si="48"/>
        <v/>
      </c>
    </row>
    <row r="2341" spans="20:20">
      <c r="T2341" t="str">
        <f t="shared" si="48"/>
        <v/>
      </c>
    </row>
    <row r="2342" spans="20:20">
      <c r="T2342" t="str">
        <f t="shared" si="48"/>
        <v/>
      </c>
    </row>
    <row r="2343" spans="20:20">
      <c r="T2343" t="str">
        <f t="shared" si="48"/>
        <v/>
      </c>
    </row>
    <row r="2344" spans="20:20">
      <c r="T2344" t="str">
        <f t="shared" si="48"/>
        <v/>
      </c>
    </row>
    <row r="2345" spans="20:20">
      <c r="T2345" t="str">
        <f t="shared" si="48"/>
        <v/>
      </c>
    </row>
    <row r="2346" spans="20:20">
      <c r="T2346" t="str">
        <f t="shared" si="48"/>
        <v/>
      </c>
    </row>
    <row r="2347" spans="20:20">
      <c r="T2347" t="str">
        <f t="shared" si="48"/>
        <v/>
      </c>
    </row>
    <row r="2348" spans="20:20">
      <c r="T2348" t="str">
        <f t="shared" si="48"/>
        <v/>
      </c>
    </row>
    <row r="2349" spans="20:20">
      <c r="T2349" t="str">
        <f t="shared" si="48"/>
        <v/>
      </c>
    </row>
    <row r="2350" spans="20:20">
      <c r="T2350" t="str">
        <f t="shared" si="48"/>
        <v/>
      </c>
    </row>
    <row r="2351" spans="20:20">
      <c r="T2351" t="str">
        <f t="shared" si="48"/>
        <v/>
      </c>
    </row>
    <row r="2352" spans="20:20">
      <c r="T2352" t="str">
        <f t="shared" si="48"/>
        <v/>
      </c>
    </row>
    <row r="2353" spans="20:20">
      <c r="T2353" t="str">
        <f t="shared" si="48"/>
        <v/>
      </c>
    </row>
    <row r="2354" spans="20:20">
      <c r="T2354" t="str">
        <f t="shared" si="48"/>
        <v/>
      </c>
    </row>
    <row r="2355" spans="20:20">
      <c r="T2355" t="str">
        <f t="shared" si="48"/>
        <v/>
      </c>
    </row>
    <row r="2356" spans="20:20">
      <c r="T2356" t="str">
        <f t="shared" si="48"/>
        <v/>
      </c>
    </row>
    <row r="2357" spans="20:20">
      <c r="T2357" t="str">
        <f t="shared" si="48"/>
        <v/>
      </c>
    </row>
    <row r="2358" spans="20:20">
      <c r="T2358" t="str">
        <f t="shared" si="48"/>
        <v/>
      </c>
    </row>
    <row r="2359" spans="20:20">
      <c r="T2359" t="str">
        <f t="shared" si="48"/>
        <v/>
      </c>
    </row>
    <row r="2360" spans="20:20">
      <c r="T2360" t="str">
        <f t="shared" si="48"/>
        <v/>
      </c>
    </row>
    <row r="2361" spans="20:20">
      <c r="T2361" t="str">
        <f t="shared" si="48"/>
        <v/>
      </c>
    </row>
    <row r="2362" spans="20:20">
      <c r="T2362" t="str">
        <f t="shared" si="48"/>
        <v/>
      </c>
    </row>
    <row r="2363" spans="20:20">
      <c r="T2363" t="str">
        <f t="shared" si="48"/>
        <v/>
      </c>
    </row>
    <row r="2364" spans="20:20">
      <c r="T2364" t="str">
        <f t="shared" si="48"/>
        <v/>
      </c>
    </row>
    <row r="2365" spans="20:20">
      <c r="T2365" t="str">
        <f t="shared" si="48"/>
        <v/>
      </c>
    </row>
    <row r="2366" spans="20:20">
      <c r="T2366" t="str">
        <f t="shared" si="48"/>
        <v/>
      </c>
    </row>
    <row r="2367" spans="20:20">
      <c r="T2367" t="str">
        <f t="shared" si="48"/>
        <v/>
      </c>
    </row>
    <row r="2368" spans="20:20">
      <c r="T2368" t="str">
        <f t="shared" si="48"/>
        <v/>
      </c>
    </row>
    <row r="2369" spans="20:20">
      <c r="T2369" t="str">
        <f t="shared" si="48"/>
        <v/>
      </c>
    </row>
    <row r="2370" spans="20:20">
      <c r="T2370" t="str">
        <f t="shared" ref="T2370:T2433" si="49">IF(C2370="","",UPPER(LEFT(SUBSTITUTE(C2370," ",""),3))&amp;"-"&amp;TEXT(B2370,"AAMMDD")&amp;"-1")</f>
        <v/>
      </c>
    </row>
    <row r="2371" spans="20:20">
      <c r="T2371" t="str">
        <f t="shared" si="49"/>
        <v/>
      </c>
    </row>
    <row r="2372" spans="20:20">
      <c r="T2372" t="str">
        <f t="shared" si="49"/>
        <v/>
      </c>
    </row>
    <row r="2373" spans="20:20">
      <c r="T2373" t="str">
        <f t="shared" si="49"/>
        <v/>
      </c>
    </row>
    <row r="2374" spans="20:20">
      <c r="T2374" t="str">
        <f t="shared" si="49"/>
        <v/>
      </c>
    </row>
    <row r="2375" spans="20:20">
      <c r="T2375" t="str">
        <f t="shared" si="49"/>
        <v/>
      </c>
    </row>
    <row r="2376" spans="20:20">
      <c r="T2376" t="str">
        <f t="shared" si="49"/>
        <v/>
      </c>
    </row>
    <row r="2377" spans="20:20">
      <c r="T2377" t="str">
        <f t="shared" si="49"/>
        <v/>
      </c>
    </row>
    <row r="2378" spans="20:20">
      <c r="T2378" t="str">
        <f t="shared" si="49"/>
        <v/>
      </c>
    </row>
    <row r="2379" spans="20:20">
      <c r="T2379" t="str">
        <f t="shared" si="49"/>
        <v/>
      </c>
    </row>
    <row r="2380" spans="20:20">
      <c r="T2380" t="str">
        <f t="shared" si="49"/>
        <v/>
      </c>
    </row>
    <row r="2381" spans="20:20">
      <c r="T2381" t="str">
        <f t="shared" si="49"/>
        <v/>
      </c>
    </row>
    <row r="2382" spans="20:20">
      <c r="T2382" t="str">
        <f t="shared" si="49"/>
        <v/>
      </c>
    </row>
    <row r="2383" spans="20:20">
      <c r="T2383" t="str">
        <f t="shared" si="49"/>
        <v/>
      </c>
    </row>
    <row r="2384" spans="20:20">
      <c r="T2384" t="str">
        <f t="shared" si="49"/>
        <v/>
      </c>
    </row>
    <row r="2385" spans="20:20">
      <c r="T2385" t="str">
        <f t="shared" si="49"/>
        <v/>
      </c>
    </row>
    <row r="2386" spans="20:20">
      <c r="T2386" t="str">
        <f t="shared" si="49"/>
        <v/>
      </c>
    </row>
    <row r="2387" spans="20:20">
      <c r="T2387" t="str">
        <f t="shared" si="49"/>
        <v/>
      </c>
    </row>
    <row r="2388" spans="20:20">
      <c r="T2388" t="str">
        <f t="shared" si="49"/>
        <v/>
      </c>
    </row>
    <row r="2389" spans="20:20">
      <c r="T2389" t="str">
        <f t="shared" si="49"/>
        <v/>
      </c>
    </row>
    <row r="2390" spans="20:20">
      <c r="T2390" t="str">
        <f t="shared" si="49"/>
        <v/>
      </c>
    </row>
    <row r="2391" spans="20:20">
      <c r="T2391" t="str">
        <f t="shared" si="49"/>
        <v/>
      </c>
    </row>
    <row r="2392" spans="20:20">
      <c r="T2392" t="str">
        <f t="shared" si="49"/>
        <v/>
      </c>
    </row>
    <row r="2393" spans="20:20">
      <c r="T2393" t="str">
        <f t="shared" si="49"/>
        <v/>
      </c>
    </row>
    <row r="2394" spans="20:20">
      <c r="T2394" t="str">
        <f t="shared" si="49"/>
        <v/>
      </c>
    </row>
    <row r="2395" spans="20:20">
      <c r="T2395" t="str">
        <f t="shared" si="49"/>
        <v/>
      </c>
    </row>
    <row r="2396" spans="20:20">
      <c r="T2396" t="str">
        <f t="shared" si="49"/>
        <v/>
      </c>
    </row>
    <row r="2397" spans="20:20">
      <c r="T2397" t="str">
        <f t="shared" si="49"/>
        <v/>
      </c>
    </row>
    <row r="2398" spans="20:20">
      <c r="T2398" t="str">
        <f t="shared" si="49"/>
        <v/>
      </c>
    </row>
    <row r="2399" spans="20:20">
      <c r="T2399" t="str">
        <f t="shared" si="49"/>
        <v/>
      </c>
    </row>
    <row r="2400" spans="20:20">
      <c r="T2400" t="str">
        <f t="shared" si="49"/>
        <v/>
      </c>
    </row>
    <row r="2401" spans="20:20">
      <c r="T2401" t="str">
        <f t="shared" si="49"/>
        <v/>
      </c>
    </row>
    <row r="2402" spans="20:20">
      <c r="T2402" t="str">
        <f t="shared" si="49"/>
        <v/>
      </c>
    </row>
    <row r="2403" spans="20:20">
      <c r="T2403" t="str">
        <f t="shared" si="49"/>
        <v/>
      </c>
    </row>
    <row r="2404" spans="20:20">
      <c r="T2404" t="str">
        <f t="shared" si="49"/>
        <v/>
      </c>
    </row>
    <row r="2405" spans="20:20">
      <c r="T2405" t="str">
        <f t="shared" si="49"/>
        <v/>
      </c>
    </row>
    <row r="2406" spans="20:20">
      <c r="T2406" t="str">
        <f t="shared" si="49"/>
        <v/>
      </c>
    </row>
    <row r="2407" spans="20:20">
      <c r="T2407" t="str">
        <f t="shared" si="49"/>
        <v/>
      </c>
    </row>
    <row r="2408" spans="20:20">
      <c r="T2408" t="str">
        <f t="shared" si="49"/>
        <v/>
      </c>
    </row>
    <row r="2409" spans="20:20">
      <c r="T2409" t="str">
        <f t="shared" si="49"/>
        <v/>
      </c>
    </row>
    <row r="2410" spans="20:20">
      <c r="T2410" t="str">
        <f t="shared" si="49"/>
        <v/>
      </c>
    </row>
    <row r="2411" spans="20:20">
      <c r="T2411" t="str">
        <f t="shared" si="49"/>
        <v/>
      </c>
    </row>
    <row r="2412" spans="20:20">
      <c r="T2412" t="str">
        <f t="shared" si="49"/>
        <v/>
      </c>
    </row>
    <row r="2413" spans="20:20">
      <c r="T2413" t="str">
        <f t="shared" si="49"/>
        <v/>
      </c>
    </row>
    <row r="2414" spans="20:20">
      <c r="T2414" t="str">
        <f t="shared" si="49"/>
        <v/>
      </c>
    </row>
    <row r="2415" spans="20:20">
      <c r="T2415" t="str">
        <f t="shared" si="49"/>
        <v/>
      </c>
    </row>
    <row r="2416" spans="20:20">
      <c r="T2416" t="str">
        <f t="shared" si="49"/>
        <v/>
      </c>
    </row>
    <row r="2417" spans="20:20">
      <c r="T2417" t="str">
        <f t="shared" si="49"/>
        <v/>
      </c>
    </row>
    <row r="2418" spans="20:20">
      <c r="T2418" t="str">
        <f t="shared" si="49"/>
        <v/>
      </c>
    </row>
    <row r="2419" spans="20:20">
      <c r="T2419" t="str">
        <f t="shared" si="49"/>
        <v/>
      </c>
    </row>
    <row r="2420" spans="20:20">
      <c r="T2420" t="str">
        <f t="shared" si="49"/>
        <v/>
      </c>
    </row>
    <row r="2421" spans="20:20">
      <c r="T2421" t="str">
        <f t="shared" si="49"/>
        <v/>
      </c>
    </row>
    <row r="2422" spans="20:20">
      <c r="T2422" t="str">
        <f t="shared" si="49"/>
        <v/>
      </c>
    </row>
    <row r="2423" spans="20:20">
      <c r="T2423" t="str">
        <f t="shared" si="49"/>
        <v/>
      </c>
    </row>
    <row r="2424" spans="20:20">
      <c r="T2424" t="str">
        <f t="shared" si="49"/>
        <v/>
      </c>
    </row>
    <row r="2425" spans="20:20">
      <c r="T2425" t="str">
        <f t="shared" si="49"/>
        <v/>
      </c>
    </row>
    <row r="2426" spans="20:20">
      <c r="T2426" t="str">
        <f t="shared" si="49"/>
        <v/>
      </c>
    </row>
    <row r="2427" spans="20:20">
      <c r="T2427" t="str">
        <f t="shared" si="49"/>
        <v/>
      </c>
    </row>
    <row r="2428" spans="20:20">
      <c r="T2428" t="str">
        <f t="shared" si="49"/>
        <v/>
      </c>
    </row>
    <row r="2429" spans="20:20">
      <c r="T2429" t="str">
        <f t="shared" si="49"/>
        <v/>
      </c>
    </row>
    <row r="2430" spans="20:20">
      <c r="T2430" t="str">
        <f t="shared" si="49"/>
        <v/>
      </c>
    </row>
    <row r="2431" spans="20:20">
      <c r="T2431" t="str">
        <f t="shared" si="49"/>
        <v/>
      </c>
    </row>
    <row r="2432" spans="20:20">
      <c r="T2432" t="str">
        <f t="shared" si="49"/>
        <v/>
      </c>
    </row>
    <row r="2433" spans="20:20">
      <c r="T2433" t="str">
        <f t="shared" si="49"/>
        <v/>
      </c>
    </row>
    <row r="2434" spans="20:20">
      <c r="T2434" t="str">
        <f t="shared" ref="T2434:T2497" si="50">IF(C2434="","",UPPER(LEFT(SUBSTITUTE(C2434," ",""),3))&amp;"-"&amp;TEXT(B2434,"AAMMDD")&amp;"-1")</f>
        <v/>
      </c>
    </row>
    <row r="2435" spans="20:20">
      <c r="T2435" t="str">
        <f t="shared" si="50"/>
        <v/>
      </c>
    </row>
    <row r="2436" spans="20:20">
      <c r="T2436" t="str">
        <f t="shared" si="50"/>
        <v/>
      </c>
    </row>
    <row r="2437" spans="20:20">
      <c r="T2437" t="str">
        <f t="shared" si="50"/>
        <v/>
      </c>
    </row>
    <row r="2438" spans="20:20">
      <c r="T2438" t="str">
        <f t="shared" si="50"/>
        <v/>
      </c>
    </row>
    <row r="2439" spans="20:20">
      <c r="T2439" t="str">
        <f t="shared" si="50"/>
        <v/>
      </c>
    </row>
    <row r="2440" spans="20:20">
      <c r="T2440" t="str">
        <f t="shared" si="50"/>
        <v/>
      </c>
    </row>
    <row r="2441" spans="20:20">
      <c r="T2441" t="str">
        <f t="shared" si="50"/>
        <v/>
      </c>
    </row>
    <row r="2442" spans="20:20">
      <c r="T2442" t="str">
        <f t="shared" si="50"/>
        <v/>
      </c>
    </row>
    <row r="2443" spans="20:20">
      <c r="T2443" t="str">
        <f t="shared" si="50"/>
        <v/>
      </c>
    </row>
    <row r="2444" spans="20:20">
      <c r="T2444" t="str">
        <f t="shared" si="50"/>
        <v/>
      </c>
    </row>
    <row r="2445" spans="20:20">
      <c r="T2445" t="str">
        <f t="shared" si="50"/>
        <v/>
      </c>
    </row>
    <row r="2446" spans="20:20">
      <c r="T2446" t="str">
        <f t="shared" si="50"/>
        <v/>
      </c>
    </row>
    <row r="2447" spans="20:20">
      <c r="T2447" t="str">
        <f t="shared" si="50"/>
        <v/>
      </c>
    </row>
    <row r="2448" spans="20:20">
      <c r="T2448" t="str">
        <f t="shared" si="50"/>
        <v/>
      </c>
    </row>
    <row r="2449" spans="20:20">
      <c r="T2449" t="str">
        <f t="shared" si="50"/>
        <v/>
      </c>
    </row>
    <row r="2450" spans="20:20">
      <c r="T2450" t="str">
        <f t="shared" si="50"/>
        <v/>
      </c>
    </row>
    <row r="2451" spans="20:20">
      <c r="T2451" t="str">
        <f t="shared" si="50"/>
        <v/>
      </c>
    </row>
    <row r="2452" spans="20:20">
      <c r="T2452" t="str">
        <f t="shared" si="50"/>
        <v/>
      </c>
    </row>
    <row r="2453" spans="20:20">
      <c r="T2453" t="str">
        <f t="shared" si="50"/>
        <v/>
      </c>
    </row>
    <row r="2454" spans="20:20">
      <c r="T2454" t="str">
        <f t="shared" si="50"/>
        <v/>
      </c>
    </row>
    <row r="2455" spans="20:20">
      <c r="T2455" t="str">
        <f t="shared" si="50"/>
        <v/>
      </c>
    </row>
    <row r="2456" spans="20:20">
      <c r="T2456" t="str">
        <f t="shared" si="50"/>
        <v/>
      </c>
    </row>
    <row r="2457" spans="20:20">
      <c r="T2457" t="str">
        <f t="shared" si="50"/>
        <v/>
      </c>
    </row>
    <row r="2458" spans="20:20">
      <c r="T2458" t="str">
        <f t="shared" si="50"/>
        <v/>
      </c>
    </row>
    <row r="2459" spans="20:20">
      <c r="T2459" t="str">
        <f t="shared" si="50"/>
        <v/>
      </c>
    </row>
    <row r="2460" spans="20:20">
      <c r="T2460" t="str">
        <f t="shared" si="50"/>
        <v/>
      </c>
    </row>
    <row r="2461" spans="20:20">
      <c r="T2461" t="str">
        <f t="shared" si="50"/>
        <v/>
      </c>
    </row>
    <row r="2462" spans="20:20">
      <c r="T2462" t="str">
        <f t="shared" si="50"/>
        <v/>
      </c>
    </row>
    <row r="2463" spans="20:20">
      <c r="T2463" t="str">
        <f t="shared" si="50"/>
        <v/>
      </c>
    </row>
    <row r="2464" spans="20:20">
      <c r="T2464" t="str">
        <f t="shared" si="50"/>
        <v/>
      </c>
    </row>
    <row r="2465" spans="20:20">
      <c r="T2465" t="str">
        <f t="shared" si="50"/>
        <v/>
      </c>
    </row>
    <row r="2466" spans="20:20">
      <c r="T2466" t="str">
        <f t="shared" si="50"/>
        <v/>
      </c>
    </row>
    <row r="2467" spans="20:20">
      <c r="T2467" t="str">
        <f t="shared" si="50"/>
        <v/>
      </c>
    </row>
    <row r="2468" spans="20:20">
      <c r="T2468" t="str">
        <f t="shared" si="50"/>
        <v/>
      </c>
    </row>
    <row r="2469" spans="20:20">
      <c r="T2469" t="str">
        <f t="shared" si="50"/>
        <v/>
      </c>
    </row>
    <row r="2470" spans="20:20">
      <c r="T2470" t="str">
        <f t="shared" si="50"/>
        <v/>
      </c>
    </row>
    <row r="2471" spans="20:20">
      <c r="T2471" t="str">
        <f t="shared" si="50"/>
        <v/>
      </c>
    </row>
    <row r="2472" spans="20:20">
      <c r="T2472" t="str">
        <f t="shared" si="50"/>
        <v/>
      </c>
    </row>
    <row r="2473" spans="20:20">
      <c r="T2473" t="str">
        <f t="shared" si="50"/>
        <v/>
      </c>
    </row>
    <row r="2474" spans="20:20">
      <c r="T2474" t="str">
        <f t="shared" si="50"/>
        <v/>
      </c>
    </row>
    <row r="2475" spans="20:20">
      <c r="T2475" t="str">
        <f t="shared" si="50"/>
        <v/>
      </c>
    </row>
    <row r="2476" spans="20:20">
      <c r="T2476" t="str">
        <f t="shared" si="50"/>
        <v/>
      </c>
    </row>
    <row r="2477" spans="20:20">
      <c r="T2477" t="str">
        <f t="shared" si="50"/>
        <v/>
      </c>
    </row>
    <row r="2478" spans="20:20">
      <c r="T2478" t="str">
        <f t="shared" si="50"/>
        <v/>
      </c>
    </row>
    <row r="2479" spans="20:20">
      <c r="T2479" t="str">
        <f t="shared" si="50"/>
        <v/>
      </c>
    </row>
    <row r="2480" spans="20:20">
      <c r="T2480" t="str">
        <f t="shared" si="50"/>
        <v/>
      </c>
    </row>
    <row r="2481" spans="20:20">
      <c r="T2481" t="str">
        <f t="shared" si="50"/>
        <v/>
      </c>
    </row>
    <row r="2482" spans="20:20">
      <c r="T2482" t="str">
        <f t="shared" si="50"/>
        <v/>
      </c>
    </row>
    <row r="2483" spans="20:20">
      <c r="T2483" t="str">
        <f t="shared" si="50"/>
        <v/>
      </c>
    </row>
    <row r="2484" spans="20:20">
      <c r="T2484" t="str">
        <f t="shared" si="50"/>
        <v/>
      </c>
    </row>
    <row r="2485" spans="20:20">
      <c r="T2485" t="str">
        <f t="shared" si="50"/>
        <v/>
      </c>
    </row>
    <row r="2486" spans="20:20">
      <c r="T2486" t="str">
        <f t="shared" si="50"/>
        <v/>
      </c>
    </row>
    <row r="2487" spans="20:20">
      <c r="T2487" t="str">
        <f t="shared" si="50"/>
        <v/>
      </c>
    </row>
    <row r="2488" spans="20:20">
      <c r="T2488" t="str">
        <f t="shared" si="50"/>
        <v/>
      </c>
    </row>
    <row r="2489" spans="20:20">
      <c r="T2489" t="str">
        <f t="shared" si="50"/>
        <v/>
      </c>
    </row>
    <row r="2490" spans="20:20">
      <c r="T2490" t="str">
        <f t="shared" si="50"/>
        <v/>
      </c>
    </row>
    <row r="2491" spans="20:20">
      <c r="T2491" t="str">
        <f t="shared" si="50"/>
        <v/>
      </c>
    </row>
    <row r="2492" spans="20:20">
      <c r="T2492" t="str">
        <f t="shared" si="50"/>
        <v/>
      </c>
    </row>
    <row r="2493" spans="20:20">
      <c r="T2493" t="str">
        <f t="shared" si="50"/>
        <v/>
      </c>
    </row>
    <row r="2494" spans="20:20">
      <c r="T2494" t="str">
        <f t="shared" si="50"/>
        <v/>
      </c>
    </row>
    <row r="2495" spans="20:20">
      <c r="T2495" t="str">
        <f t="shared" si="50"/>
        <v/>
      </c>
    </row>
    <row r="2496" spans="20:20">
      <c r="T2496" t="str">
        <f t="shared" si="50"/>
        <v/>
      </c>
    </row>
    <row r="2497" spans="20:20">
      <c r="T2497" t="str">
        <f t="shared" si="50"/>
        <v/>
      </c>
    </row>
    <row r="2498" spans="20:20">
      <c r="T2498" t="str">
        <f t="shared" ref="T2498:T2561" si="51">IF(C2498="","",UPPER(LEFT(SUBSTITUTE(C2498," ",""),3))&amp;"-"&amp;TEXT(B2498,"AAMMDD")&amp;"-1")</f>
        <v/>
      </c>
    </row>
    <row r="2499" spans="20:20">
      <c r="T2499" t="str">
        <f t="shared" si="51"/>
        <v/>
      </c>
    </row>
    <row r="2500" spans="20:20">
      <c r="T2500" t="str">
        <f t="shared" si="51"/>
        <v/>
      </c>
    </row>
    <row r="2501" spans="20:20">
      <c r="T2501" t="str">
        <f t="shared" si="51"/>
        <v/>
      </c>
    </row>
    <row r="2502" spans="20:20">
      <c r="T2502" t="str">
        <f t="shared" si="51"/>
        <v/>
      </c>
    </row>
    <row r="2503" spans="20:20">
      <c r="T2503" t="str">
        <f t="shared" si="51"/>
        <v/>
      </c>
    </row>
    <row r="2504" spans="20:20">
      <c r="T2504" t="str">
        <f t="shared" si="51"/>
        <v/>
      </c>
    </row>
    <row r="2505" spans="20:20">
      <c r="T2505" t="str">
        <f t="shared" si="51"/>
        <v/>
      </c>
    </row>
    <row r="2506" spans="20:20">
      <c r="T2506" t="str">
        <f t="shared" si="51"/>
        <v/>
      </c>
    </row>
    <row r="2507" spans="20:20">
      <c r="T2507" t="str">
        <f t="shared" si="51"/>
        <v/>
      </c>
    </row>
    <row r="2508" spans="20:20">
      <c r="T2508" t="str">
        <f t="shared" si="51"/>
        <v/>
      </c>
    </row>
    <row r="2509" spans="20:20">
      <c r="T2509" t="str">
        <f t="shared" si="51"/>
        <v/>
      </c>
    </row>
    <row r="2510" spans="20:20">
      <c r="T2510" t="str">
        <f t="shared" si="51"/>
        <v/>
      </c>
    </row>
    <row r="2511" spans="20:20">
      <c r="T2511" t="str">
        <f t="shared" si="51"/>
        <v/>
      </c>
    </row>
    <row r="2512" spans="20:20">
      <c r="T2512" t="str">
        <f t="shared" si="51"/>
        <v/>
      </c>
    </row>
    <row r="2513" spans="20:20">
      <c r="T2513" t="str">
        <f t="shared" si="51"/>
        <v/>
      </c>
    </row>
    <row r="2514" spans="20:20">
      <c r="T2514" t="str">
        <f t="shared" si="51"/>
        <v/>
      </c>
    </row>
    <row r="2515" spans="20:20">
      <c r="T2515" t="str">
        <f t="shared" si="51"/>
        <v/>
      </c>
    </row>
    <row r="2516" spans="20:20">
      <c r="T2516" t="str">
        <f t="shared" si="51"/>
        <v/>
      </c>
    </row>
    <row r="2517" spans="20:20">
      <c r="T2517" t="str">
        <f t="shared" si="51"/>
        <v/>
      </c>
    </row>
    <row r="2518" spans="20:20">
      <c r="T2518" t="str">
        <f t="shared" si="51"/>
        <v/>
      </c>
    </row>
    <row r="2519" spans="20:20">
      <c r="T2519" t="str">
        <f t="shared" si="51"/>
        <v/>
      </c>
    </row>
    <row r="2520" spans="20:20">
      <c r="T2520" t="str">
        <f t="shared" si="51"/>
        <v/>
      </c>
    </row>
    <row r="2521" spans="20:20">
      <c r="T2521" t="str">
        <f t="shared" si="51"/>
        <v/>
      </c>
    </row>
    <row r="2522" spans="20:20">
      <c r="T2522" t="str">
        <f t="shared" si="51"/>
        <v/>
      </c>
    </row>
    <row r="2523" spans="20:20">
      <c r="T2523" t="str">
        <f t="shared" si="51"/>
        <v/>
      </c>
    </row>
    <row r="2524" spans="20:20">
      <c r="T2524" t="str">
        <f t="shared" si="51"/>
        <v/>
      </c>
    </row>
    <row r="2525" spans="20:20">
      <c r="T2525" t="str">
        <f t="shared" si="51"/>
        <v/>
      </c>
    </row>
    <row r="2526" spans="20:20">
      <c r="T2526" t="str">
        <f t="shared" si="51"/>
        <v/>
      </c>
    </row>
    <row r="2527" spans="20:20">
      <c r="T2527" t="str">
        <f t="shared" si="51"/>
        <v/>
      </c>
    </row>
    <row r="2528" spans="20:20">
      <c r="T2528" t="str">
        <f t="shared" si="51"/>
        <v/>
      </c>
    </row>
    <row r="2529" spans="20:20">
      <c r="T2529" t="str">
        <f t="shared" si="51"/>
        <v/>
      </c>
    </row>
    <row r="2530" spans="20:20">
      <c r="T2530" t="str">
        <f t="shared" si="51"/>
        <v/>
      </c>
    </row>
    <row r="2531" spans="20:20">
      <c r="T2531" t="str">
        <f t="shared" si="51"/>
        <v/>
      </c>
    </row>
    <row r="2532" spans="20:20">
      <c r="T2532" t="str">
        <f t="shared" si="51"/>
        <v/>
      </c>
    </row>
    <row r="2533" spans="20:20">
      <c r="T2533" t="str">
        <f t="shared" si="51"/>
        <v/>
      </c>
    </row>
    <row r="2534" spans="20:20">
      <c r="T2534" t="str">
        <f t="shared" si="51"/>
        <v/>
      </c>
    </row>
    <row r="2535" spans="20:20">
      <c r="T2535" t="str">
        <f t="shared" si="51"/>
        <v/>
      </c>
    </row>
    <row r="2536" spans="20:20">
      <c r="T2536" t="str">
        <f t="shared" si="51"/>
        <v/>
      </c>
    </row>
    <row r="2537" spans="20:20">
      <c r="T2537" t="str">
        <f t="shared" si="51"/>
        <v/>
      </c>
    </row>
    <row r="2538" spans="20:20">
      <c r="T2538" t="str">
        <f t="shared" si="51"/>
        <v/>
      </c>
    </row>
    <row r="2539" spans="20:20">
      <c r="T2539" t="str">
        <f t="shared" si="51"/>
        <v/>
      </c>
    </row>
    <row r="2540" spans="20:20">
      <c r="T2540" t="str">
        <f t="shared" si="51"/>
        <v/>
      </c>
    </row>
    <row r="2541" spans="20:20">
      <c r="T2541" t="str">
        <f t="shared" si="51"/>
        <v/>
      </c>
    </row>
    <row r="2542" spans="20:20">
      <c r="T2542" t="str">
        <f t="shared" si="51"/>
        <v/>
      </c>
    </row>
    <row r="2543" spans="20:20">
      <c r="T2543" t="str">
        <f t="shared" si="51"/>
        <v/>
      </c>
    </row>
    <row r="2544" spans="20:20">
      <c r="T2544" t="str">
        <f t="shared" si="51"/>
        <v/>
      </c>
    </row>
    <row r="2545" spans="20:20">
      <c r="T2545" t="str">
        <f t="shared" si="51"/>
        <v/>
      </c>
    </row>
    <row r="2546" spans="20:20">
      <c r="T2546" t="str">
        <f t="shared" si="51"/>
        <v/>
      </c>
    </row>
    <row r="2547" spans="20:20">
      <c r="T2547" t="str">
        <f t="shared" si="51"/>
        <v/>
      </c>
    </row>
    <row r="2548" spans="20:20">
      <c r="T2548" t="str">
        <f t="shared" si="51"/>
        <v/>
      </c>
    </row>
    <row r="2549" spans="20:20">
      <c r="T2549" t="str">
        <f t="shared" si="51"/>
        <v/>
      </c>
    </row>
    <row r="2550" spans="20:20">
      <c r="T2550" t="str">
        <f t="shared" si="51"/>
        <v/>
      </c>
    </row>
    <row r="2551" spans="20:20">
      <c r="T2551" t="str">
        <f t="shared" si="51"/>
        <v/>
      </c>
    </row>
    <row r="2552" spans="20:20">
      <c r="T2552" t="str">
        <f t="shared" si="51"/>
        <v/>
      </c>
    </row>
    <row r="2553" spans="20:20">
      <c r="T2553" t="str">
        <f t="shared" si="51"/>
        <v/>
      </c>
    </row>
    <row r="2554" spans="20:20">
      <c r="T2554" t="str">
        <f t="shared" si="51"/>
        <v/>
      </c>
    </row>
    <row r="2555" spans="20:20">
      <c r="T2555" t="str">
        <f t="shared" si="51"/>
        <v/>
      </c>
    </row>
    <row r="2556" spans="20:20">
      <c r="T2556" t="str">
        <f t="shared" si="51"/>
        <v/>
      </c>
    </row>
    <row r="2557" spans="20:20">
      <c r="T2557" t="str">
        <f t="shared" si="51"/>
        <v/>
      </c>
    </row>
    <row r="2558" spans="20:20">
      <c r="T2558" t="str">
        <f t="shared" si="51"/>
        <v/>
      </c>
    </row>
    <row r="2559" spans="20:20">
      <c r="T2559" t="str">
        <f t="shared" si="51"/>
        <v/>
      </c>
    </row>
    <row r="2560" spans="20:20">
      <c r="T2560" t="str">
        <f t="shared" si="51"/>
        <v/>
      </c>
    </row>
    <row r="2561" spans="20:20">
      <c r="T2561" t="str">
        <f t="shared" si="51"/>
        <v/>
      </c>
    </row>
    <row r="2562" spans="20:20">
      <c r="T2562" t="str">
        <f t="shared" ref="T2562:T2625" si="52">IF(C2562="","",UPPER(LEFT(SUBSTITUTE(C2562," ",""),3))&amp;"-"&amp;TEXT(B2562,"AAMMDD")&amp;"-1")</f>
        <v/>
      </c>
    </row>
    <row r="2563" spans="20:20">
      <c r="T2563" t="str">
        <f t="shared" si="52"/>
        <v/>
      </c>
    </row>
    <row r="2564" spans="20:20">
      <c r="T2564" t="str">
        <f t="shared" si="52"/>
        <v/>
      </c>
    </row>
    <row r="2565" spans="20:20">
      <c r="T2565" t="str">
        <f t="shared" si="52"/>
        <v/>
      </c>
    </row>
    <row r="2566" spans="20:20">
      <c r="T2566" t="str">
        <f t="shared" si="52"/>
        <v/>
      </c>
    </row>
    <row r="2567" spans="20:20">
      <c r="T2567" t="str">
        <f t="shared" si="52"/>
        <v/>
      </c>
    </row>
    <row r="2568" spans="20:20">
      <c r="T2568" t="str">
        <f t="shared" si="52"/>
        <v/>
      </c>
    </row>
    <row r="2569" spans="20:20">
      <c r="T2569" t="str">
        <f t="shared" si="52"/>
        <v/>
      </c>
    </row>
    <row r="2570" spans="20:20">
      <c r="T2570" t="str">
        <f t="shared" si="52"/>
        <v/>
      </c>
    </row>
    <row r="2571" spans="20:20">
      <c r="T2571" t="str">
        <f t="shared" si="52"/>
        <v/>
      </c>
    </row>
    <row r="2572" spans="20:20">
      <c r="T2572" t="str">
        <f t="shared" si="52"/>
        <v/>
      </c>
    </row>
    <row r="2573" spans="20:20">
      <c r="T2573" t="str">
        <f t="shared" si="52"/>
        <v/>
      </c>
    </row>
    <row r="2574" spans="20:20">
      <c r="T2574" t="str">
        <f t="shared" si="52"/>
        <v/>
      </c>
    </row>
    <row r="2575" spans="20:20">
      <c r="T2575" t="str">
        <f t="shared" si="52"/>
        <v/>
      </c>
    </row>
    <row r="2576" spans="20:20">
      <c r="T2576" t="str">
        <f t="shared" si="52"/>
        <v/>
      </c>
    </row>
    <row r="2577" spans="20:20">
      <c r="T2577" t="str">
        <f t="shared" si="52"/>
        <v/>
      </c>
    </row>
    <row r="2578" spans="20:20">
      <c r="T2578" t="str">
        <f t="shared" si="52"/>
        <v/>
      </c>
    </row>
    <row r="2579" spans="20:20">
      <c r="T2579" t="str">
        <f t="shared" si="52"/>
        <v/>
      </c>
    </row>
    <row r="2580" spans="20:20">
      <c r="T2580" t="str">
        <f t="shared" si="52"/>
        <v/>
      </c>
    </row>
    <row r="2581" spans="20:20">
      <c r="T2581" t="str">
        <f t="shared" si="52"/>
        <v/>
      </c>
    </row>
    <row r="2582" spans="20:20">
      <c r="T2582" t="str">
        <f t="shared" si="52"/>
        <v/>
      </c>
    </row>
    <row r="2583" spans="20:20">
      <c r="T2583" t="str">
        <f t="shared" si="52"/>
        <v/>
      </c>
    </row>
    <row r="2584" spans="20:20">
      <c r="T2584" t="str">
        <f t="shared" si="52"/>
        <v/>
      </c>
    </row>
    <row r="2585" spans="20:20">
      <c r="T2585" t="str">
        <f t="shared" si="52"/>
        <v/>
      </c>
    </row>
    <row r="2586" spans="20:20">
      <c r="T2586" t="str">
        <f t="shared" si="52"/>
        <v/>
      </c>
    </row>
    <row r="2587" spans="20:20">
      <c r="T2587" t="str">
        <f t="shared" si="52"/>
        <v/>
      </c>
    </row>
    <row r="2588" spans="20:20">
      <c r="T2588" t="str">
        <f t="shared" si="52"/>
        <v/>
      </c>
    </row>
    <row r="2589" spans="20:20">
      <c r="T2589" t="str">
        <f t="shared" si="52"/>
        <v/>
      </c>
    </row>
    <row r="2590" spans="20:20">
      <c r="T2590" t="str">
        <f t="shared" si="52"/>
        <v/>
      </c>
    </row>
    <row r="2591" spans="20:20">
      <c r="T2591" t="str">
        <f t="shared" si="52"/>
        <v/>
      </c>
    </row>
    <row r="2592" spans="20:20">
      <c r="T2592" t="str">
        <f t="shared" si="52"/>
        <v/>
      </c>
    </row>
    <row r="2593" spans="20:20">
      <c r="T2593" t="str">
        <f t="shared" si="52"/>
        <v/>
      </c>
    </row>
    <row r="2594" spans="20:20">
      <c r="T2594" t="str">
        <f t="shared" si="52"/>
        <v/>
      </c>
    </row>
    <row r="2595" spans="20:20">
      <c r="T2595" t="str">
        <f t="shared" si="52"/>
        <v/>
      </c>
    </row>
    <row r="2596" spans="20:20">
      <c r="T2596" t="str">
        <f t="shared" si="52"/>
        <v/>
      </c>
    </row>
    <row r="2597" spans="20:20">
      <c r="T2597" t="str">
        <f t="shared" si="52"/>
        <v/>
      </c>
    </row>
    <row r="2598" spans="20:20">
      <c r="T2598" t="str">
        <f t="shared" si="52"/>
        <v/>
      </c>
    </row>
    <row r="2599" spans="20:20">
      <c r="T2599" t="str">
        <f t="shared" si="52"/>
        <v/>
      </c>
    </row>
    <row r="2600" spans="20:20">
      <c r="T2600" t="str">
        <f t="shared" si="52"/>
        <v/>
      </c>
    </row>
    <row r="2601" spans="20:20">
      <c r="T2601" t="str">
        <f t="shared" si="52"/>
        <v/>
      </c>
    </row>
    <row r="2602" spans="20:20">
      <c r="T2602" t="str">
        <f t="shared" si="52"/>
        <v/>
      </c>
    </row>
    <row r="2603" spans="20:20">
      <c r="T2603" t="str">
        <f t="shared" si="52"/>
        <v/>
      </c>
    </row>
    <row r="2604" spans="20:20">
      <c r="T2604" t="str">
        <f t="shared" si="52"/>
        <v/>
      </c>
    </row>
    <row r="2605" spans="20:20">
      <c r="T2605" t="str">
        <f t="shared" si="52"/>
        <v/>
      </c>
    </row>
    <row r="2606" spans="20:20">
      <c r="T2606" t="str">
        <f t="shared" si="52"/>
        <v/>
      </c>
    </row>
    <row r="2607" spans="20:20">
      <c r="T2607" t="str">
        <f t="shared" si="52"/>
        <v/>
      </c>
    </row>
    <row r="2608" spans="20:20">
      <c r="T2608" t="str">
        <f t="shared" si="52"/>
        <v/>
      </c>
    </row>
    <row r="2609" spans="20:20">
      <c r="T2609" t="str">
        <f t="shared" si="52"/>
        <v/>
      </c>
    </row>
    <row r="2610" spans="20:20">
      <c r="T2610" t="str">
        <f t="shared" si="52"/>
        <v/>
      </c>
    </row>
    <row r="2611" spans="20:20">
      <c r="T2611" t="str">
        <f t="shared" si="52"/>
        <v/>
      </c>
    </row>
    <row r="2612" spans="20:20">
      <c r="T2612" t="str">
        <f t="shared" si="52"/>
        <v/>
      </c>
    </row>
    <row r="2613" spans="20:20">
      <c r="T2613" t="str">
        <f t="shared" si="52"/>
        <v/>
      </c>
    </row>
    <row r="2614" spans="20:20">
      <c r="T2614" t="str">
        <f t="shared" si="52"/>
        <v/>
      </c>
    </row>
    <row r="2615" spans="20:20">
      <c r="T2615" t="str">
        <f t="shared" si="52"/>
        <v/>
      </c>
    </row>
    <row r="2616" spans="20:20">
      <c r="T2616" t="str">
        <f t="shared" si="52"/>
        <v/>
      </c>
    </row>
    <row r="2617" spans="20:20">
      <c r="T2617" t="str">
        <f t="shared" si="52"/>
        <v/>
      </c>
    </row>
    <row r="2618" spans="20:20">
      <c r="T2618" t="str">
        <f t="shared" si="52"/>
        <v/>
      </c>
    </row>
    <row r="2619" spans="20:20">
      <c r="T2619" t="str">
        <f t="shared" si="52"/>
        <v/>
      </c>
    </row>
    <row r="2620" spans="20:20">
      <c r="T2620" t="str">
        <f t="shared" si="52"/>
        <v/>
      </c>
    </row>
    <row r="2621" spans="20:20">
      <c r="T2621" t="str">
        <f t="shared" si="52"/>
        <v/>
      </c>
    </row>
    <row r="2622" spans="20:20">
      <c r="T2622" t="str">
        <f t="shared" si="52"/>
        <v/>
      </c>
    </row>
    <row r="2623" spans="20:20">
      <c r="T2623" t="str">
        <f t="shared" si="52"/>
        <v/>
      </c>
    </row>
    <row r="2624" spans="20:20">
      <c r="T2624" t="str">
        <f t="shared" si="52"/>
        <v/>
      </c>
    </row>
    <row r="2625" spans="20:20">
      <c r="T2625" t="str">
        <f t="shared" si="52"/>
        <v/>
      </c>
    </row>
    <row r="2626" spans="20:20">
      <c r="T2626" t="str">
        <f t="shared" ref="T2626:T2689" si="53">IF(C2626="","",UPPER(LEFT(SUBSTITUTE(C2626," ",""),3))&amp;"-"&amp;TEXT(B2626,"AAMMDD")&amp;"-1")</f>
        <v/>
      </c>
    </row>
    <row r="2627" spans="20:20">
      <c r="T2627" t="str">
        <f t="shared" si="53"/>
        <v/>
      </c>
    </row>
    <row r="2628" spans="20:20">
      <c r="T2628" t="str">
        <f t="shared" si="53"/>
        <v/>
      </c>
    </row>
    <row r="2629" spans="20:20">
      <c r="T2629" t="str">
        <f t="shared" si="53"/>
        <v/>
      </c>
    </row>
    <row r="2630" spans="20:20">
      <c r="T2630" t="str">
        <f t="shared" si="53"/>
        <v/>
      </c>
    </row>
    <row r="2631" spans="20:20">
      <c r="T2631" t="str">
        <f t="shared" si="53"/>
        <v/>
      </c>
    </row>
    <row r="2632" spans="20:20">
      <c r="T2632" t="str">
        <f t="shared" si="53"/>
        <v/>
      </c>
    </row>
    <row r="2633" spans="20:20">
      <c r="T2633" t="str">
        <f t="shared" si="53"/>
        <v/>
      </c>
    </row>
    <row r="2634" spans="20:20">
      <c r="T2634" t="str">
        <f t="shared" si="53"/>
        <v/>
      </c>
    </row>
    <row r="2635" spans="20:20">
      <c r="T2635" t="str">
        <f t="shared" si="53"/>
        <v/>
      </c>
    </row>
    <row r="2636" spans="20:20">
      <c r="T2636" t="str">
        <f t="shared" si="53"/>
        <v/>
      </c>
    </row>
    <row r="2637" spans="20:20">
      <c r="T2637" t="str">
        <f t="shared" si="53"/>
        <v/>
      </c>
    </row>
    <row r="2638" spans="20:20">
      <c r="T2638" t="str">
        <f t="shared" si="53"/>
        <v/>
      </c>
    </row>
    <row r="2639" spans="20:20">
      <c r="T2639" t="str">
        <f t="shared" si="53"/>
        <v/>
      </c>
    </row>
    <row r="2640" spans="20:20">
      <c r="T2640" t="str">
        <f t="shared" si="53"/>
        <v/>
      </c>
    </row>
    <row r="2641" spans="20:20">
      <c r="T2641" t="str">
        <f t="shared" si="53"/>
        <v/>
      </c>
    </row>
    <row r="2642" spans="20:20">
      <c r="T2642" t="str">
        <f t="shared" si="53"/>
        <v/>
      </c>
    </row>
    <row r="2643" spans="20:20">
      <c r="T2643" t="str">
        <f t="shared" si="53"/>
        <v/>
      </c>
    </row>
    <row r="2644" spans="20:20">
      <c r="T2644" t="str">
        <f t="shared" si="53"/>
        <v/>
      </c>
    </row>
    <row r="2645" spans="20:20">
      <c r="T2645" t="str">
        <f t="shared" si="53"/>
        <v/>
      </c>
    </row>
    <row r="2646" spans="20:20">
      <c r="T2646" t="str">
        <f t="shared" si="53"/>
        <v/>
      </c>
    </row>
    <row r="2647" spans="20:20">
      <c r="T2647" t="str">
        <f t="shared" si="53"/>
        <v/>
      </c>
    </row>
    <row r="2648" spans="20:20">
      <c r="T2648" t="str">
        <f t="shared" si="53"/>
        <v/>
      </c>
    </row>
    <row r="2649" spans="20:20">
      <c r="T2649" t="str">
        <f t="shared" si="53"/>
        <v/>
      </c>
    </row>
    <row r="2650" spans="20:20">
      <c r="T2650" t="str">
        <f t="shared" si="53"/>
        <v/>
      </c>
    </row>
    <row r="2651" spans="20:20">
      <c r="T2651" t="str">
        <f t="shared" si="53"/>
        <v/>
      </c>
    </row>
    <row r="2652" spans="20:20">
      <c r="T2652" t="str">
        <f t="shared" si="53"/>
        <v/>
      </c>
    </row>
    <row r="2653" spans="20:20">
      <c r="T2653" t="str">
        <f t="shared" si="53"/>
        <v/>
      </c>
    </row>
    <row r="2654" spans="20:20">
      <c r="T2654" t="str">
        <f t="shared" si="53"/>
        <v/>
      </c>
    </row>
    <row r="2655" spans="20:20">
      <c r="T2655" t="str">
        <f t="shared" si="53"/>
        <v/>
      </c>
    </row>
    <row r="2656" spans="20:20">
      <c r="T2656" t="str">
        <f t="shared" si="53"/>
        <v/>
      </c>
    </row>
    <row r="2657" spans="20:20">
      <c r="T2657" t="str">
        <f t="shared" si="53"/>
        <v/>
      </c>
    </row>
    <row r="2658" spans="20:20">
      <c r="T2658" t="str">
        <f t="shared" si="53"/>
        <v/>
      </c>
    </row>
    <row r="2659" spans="20:20">
      <c r="T2659" t="str">
        <f t="shared" si="53"/>
        <v/>
      </c>
    </row>
    <row r="2660" spans="20:20">
      <c r="T2660" t="str">
        <f t="shared" si="53"/>
        <v/>
      </c>
    </row>
    <row r="2661" spans="20:20">
      <c r="T2661" t="str">
        <f t="shared" si="53"/>
        <v/>
      </c>
    </row>
    <row r="2662" spans="20:20">
      <c r="T2662" t="str">
        <f t="shared" si="53"/>
        <v/>
      </c>
    </row>
    <row r="2663" spans="20:20">
      <c r="T2663" t="str">
        <f t="shared" si="53"/>
        <v/>
      </c>
    </row>
    <row r="2664" spans="20:20">
      <c r="T2664" t="str">
        <f t="shared" si="53"/>
        <v/>
      </c>
    </row>
    <row r="2665" spans="20:20">
      <c r="T2665" t="str">
        <f t="shared" si="53"/>
        <v/>
      </c>
    </row>
    <row r="2666" spans="20:20">
      <c r="T2666" t="str">
        <f t="shared" si="53"/>
        <v/>
      </c>
    </row>
    <row r="2667" spans="20:20">
      <c r="T2667" t="str">
        <f t="shared" si="53"/>
        <v/>
      </c>
    </row>
    <row r="2668" spans="20:20">
      <c r="T2668" t="str">
        <f t="shared" si="53"/>
        <v/>
      </c>
    </row>
    <row r="2669" spans="20:20">
      <c r="T2669" t="str">
        <f t="shared" si="53"/>
        <v/>
      </c>
    </row>
    <row r="2670" spans="20:20">
      <c r="T2670" t="str">
        <f t="shared" si="53"/>
        <v/>
      </c>
    </row>
    <row r="2671" spans="20:20">
      <c r="T2671" t="str">
        <f t="shared" si="53"/>
        <v/>
      </c>
    </row>
    <row r="2672" spans="20:20">
      <c r="T2672" t="str">
        <f t="shared" si="53"/>
        <v/>
      </c>
    </row>
    <row r="2673" spans="20:20">
      <c r="T2673" t="str">
        <f t="shared" si="53"/>
        <v/>
      </c>
    </row>
    <row r="2674" spans="20:20">
      <c r="T2674" t="str">
        <f t="shared" si="53"/>
        <v/>
      </c>
    </row>
    <row r="2675" spans="20:20">
      <c r="T2675" t="str">
        <f t="shared" si="53"/>
        <v/>
      </c>
    </row>
    <row r="2676" spans="20:20">
      <c r="T2676" t="str">
        <f t="shared" si="53"/>
        <v/>
      </c>
    </row>
    <row r="2677" spans="20:20">
      <c r="T2677" t="str">
        <f t="shared" si="53"/>
        <v/>
      </c>
    </row>
    <row r="2678" spans="20:20">
      <c r="T2678" t="str">
        <f t="shared" si="53"/>
        <v/>
      </c>
    </row>
    <row r="2679" spans="20:20">
      <c r="T2679" t="str">
        <f t="shared" si="53"/>
        <v/>
      </c>
    </row>
    <row r="2680" spans="20:20">
      <c r="T2680" t="str">
        <f t="shared" si="53"/>
        <v/>
      </c>
    </row>
    <row r="2681" spans="20:20">
      <c r="T2681" t="str">
        <f t="shared" si="53"/>
        <v/>
      </c>
    </row>
    <row r="2682" spans="20:20">
      <c r="T2682" t="str">
        <f t="shared" si="53"/>
        <v/>
      </c>
    </row>
    <row r="2683" spans="20:20">
      <c r="T2683" t="str">
        <f t="shared" si="53"/>
        <v/>
      </c>
    </row>
    <row r="2684" spans="20:20">
      <c r="T2684" t="str">
        <f t="shared" si="53"/>
        <v/>
      </c>
    </row>
    <row r="2685" spans="20:20">
      <c r="T2685" t="str">
        <f t="shared" si="53"/>
        <v/>
      </c>
    </row>
    <row r="2686" spans="20:20">
      <c r="T2686" t="str">
        <f t="shared" si="53"/>
        <v/>
      </c>
    </row>
    <row r="2687" spans="20:20">
      <c r="T2687" t="str">
        <f t="shared" si="53"/>
        <v/>
      </c>
    </row>
    <row r="2688" spans="20:20">
      <c r="T2688" t="str">
        <f t="shared" si="53"/>
        <v/>
      </c>
    </row>
    <row r="2689" spans="20:20">
      <c r="T2689" t="str">
        <f t="shared" si="53"/>
        <v/>
      </c>
    </row>
    <row r="2690" spans="20:20">
      <c r="T2690" t="str">
        <f t="shared" ref="T2690:T2753" si="54">IF(C2690="","",UPPER(LEFT(SUBSTITUTE(C2690," ",""),3))&amp;"-"&amp;TEXT(B2690,"AAMMDD")&amp;"-1")</f>
        <v/>
      </c>
    </row>
    <row r="2691" spans="20:20">
      <c r="T2691" t="str">
        <f t="shared" si="54"/>
        <v/>
      </c>
    </row>
    <row r="2692" spans="20:20">
      <c r="T2692" t="str">
        <f t="shared" si="54"/>
        <v/>
      </c>
    </row>
    <row r="2693" spans="20:20">
      <c r="T2693" t="str">
        <f t="shared" si="54"/>
        <v/>
      </c>
    </row>
    <row r="2694" spans="20:20">
      <c r="T2694" t="str">
        <f t="shared" si="54"/>
        <v/>
      </c>
    </row>
    <row r="2695" spans="20:20">
      <c r="T2695" t="str">
        <f t="shared" si="54"/>
        <v/>
      </c>
    </row>
    <row r="2696" spans="20:20">
      <c r="T2696" t="str">
        <f t="shared" si="54"/>
        <v/>
      </c>
    </row>
    <row r="2697" spans="20:20">
      <c r="T2697" t="str">
        <f t="shared" si="54"/>
        <v/>
      </c>
    </row>
    <row r="2698" spans="20:20">
      <c r="T2698" t="str">
        <f t="shared" si="54"/>
        <v/>
      </c>
    </row>
    <row r="2699" spans="20:20">
      <c r="T2699" t="str">
        <f t="shared" si="54"/>
        <v/>
      </c>
    </row>
    <row r="2700" spans="20:20">
      <c r="T2700" t="str">
        <f t="shared" si="54"/>
        <v/>
      </c>
    </row>
    <row r="2701" spans="20:20">
      <c r="T2701" t="str">
        <f t="shared" si="54"/>
        <v/>
      </c>
    </row>
    <row r="2702" spans="20:20">
      <c r="T2702" t="str">
        <f t="shared" si="54"/>
        <v/>
      </c>
    </row>
    <row r="2703" spans="20:20">
      <c r="T2703" t="str">
        <f t="shared" si="54"/>
        <v/>
      </c>
    </row>
    <row r="2704" spans="20:20">
      <c r="T2704" t="str">
        <f t="shared" si="54"/>
        <v/>
      </c>
    </row>
    <row r="2705" spans="20:20">
      <c r="T2705" t="str">
        <f t="shared" si="54"/>
        <v/>
      </c>
    </row>
    <row r="2706" spans="20:20">
      <c r="T2706" t="str">
        <f t="shared" si="54"/>
        <v/>
      </c>
    </row>
    <row r="2707" spans="20:20">
      <c r="T2707" t="str">
        <f t="shared" si="54"/>
        <v/>
      </c>
    </row>
    <row r="2708" spans="20:20">
      <c r="T2708" t="str">
        <f t="shared" si="54"/>
        <v/>
      </c>
    </row>
    <row r="2709" spans="20:20">
      <c r="T2709" t="str">
        <f t="shared" si="54"/>
        <v/>
      </c>
    </row>
    <row r="2710" spans="20:20">
      <c r="T2710" t="str">
        <f t="shared" si="54"/>
        <v/>
      </c>
    </row>
    <row r="2711" spans="20:20">
      <c r="T2711" t="str">
        <f t="shared" si="54"/>
        <v/>
      </c>
    </row>
    <row r="2712" spans="20:20">
      <c r="T2712" t="str">
        <f t="shared" si="54"/>
        <v/>
      </c>
    </row>
    <row r="2713" spans="20:20">
      <c r="T2713" t="str">
        <f t="shared" si="54"/>
        <v/>
      </c>
    </row>
    <row r="2714" spans="20:20">
      <c r="T2714" t="str">
        <f t="shared" si="54"/>
        <v/>
      </c>
    </row>
    <row r="2715" spans="20:20">
      <c r="T2715" t="str">
        <f t="shared" si="54"/>
        <v/>
      </c>
    </row>
    <row r="2716" spans="20:20">
      <c r="T2716" t="str">
        <f t="shared" si="54"/>
        <v/>
      </c>
    </row>
    <row r="2717" spans="20:20">
      <c r="T2717" t="str">
        <f t="shared" si="54"/>
        <v/>
      </c>
    </row>
    <row r="2718" spans="20:20">
      <c r="T2718" t="str">
        <f t="shared" si="54"/>
        <v/>
      </c>
    </row>
    <row r="2719" spans="20:20">
      <c r="T2719" t="str">
        <f t="shared" si="54"/>
        <v/>
      </c>
    </row>
    <row r="2720" spans="20:20">
      <c r="T2720" t="str">
        <f t="shared" si="54"/>
        <v/>
      </c>
    </row>
    <row r="2721" spans="20:20">
      <c r="T2721" t="str">
        <f t="shared" si="54"/>
        <v/>
      </c>
    </row>
    <row r="2722" spans="20:20">
      <c r="T2722" t="str">
        <f t="shared" si="54"/>
        <v/>
      </c>
    </row>
    <row r="2723" spans="20:20">
      <c r="T2723" t="str">
        <f t="shared" si="54"/>
        <v/>
      </c>
    </row>
    <row r="2724" spans="20:20">
      <c r="T2724" t="str">
        <f t="shared" si="54"/>
        <v/>
      </c>
    </row>
    <row r="2725" spans="20:20">
      <c r="T2725" t="str">
        <f t="shared" si="54"/>
        <v/>
      </c>
    </row>
    <row r="2726" spans="20:20">
      <c r="T2726" t="str">
        <f t="shared" si="54"/>
        <v/>
      </c>
    </row>
    <row r="2727" spans="20:20">
      <c r="T2727" t="str">
        <f t="shared" si="54"/>
        <v/>
      </c>
    </row>
    <row r="2728" spans="20:20">
      <c r="T2728" t="str">
        <f t="shared" si="54"/>
        <v/>
      </c>
    </row>
    <row r="2729" spans="20:20">
      <c r="T2729" t="str">
        <f t="shared" si="54"/>
        <v/>
      </c>
    </row>
    <row r="2730" spans="20:20">
      <c r="T2730" t="str">
        <f t="shared" si="54"/>
        <v/>
      </c>
    </row>
    <row r="2731" spans="20:20">
      <c r="T2731" t="str">
        <f t="shared" si="54"/>
        <v/>
      </c>
    </row>
    <row r="2732" spans="20:20">
      <c r="T2732" t="str">
        <f t="shared" si="54"/>
        <v/>
      </c>
    </row>
    <row r="2733" spans="20:20">
      <c r="T2733" t="str">
        <f t="shared" si="54"/>
        <v/>
      </c>
    </row>
    <row r="2734" spans="20:20">
      <c r="T2734" t="str">
        <f t="shared" si="54"/>
        <v/>
      </c>
    </row>
    <row r="2735" spans="20:20">
      <c r="T2735" t="str">
        <f t="shared" si="54"/>
        <v/>
      </c>
    </row>
    <row r="2736" spans="20:20">
      <c r="T2736" t="str">
        <f t="shared" si="54"/>
        <v/>
      </c>
    </row>
    <row r="2737" spans="20:20">
      <c r="T2737" t="str">
        <f t="shared" si="54"/>
        <v/>
      </c>
    </row>
    <row r="2738" spans="20:20">
      <c r="T2738" t="str">
        <f t="shared" si="54"/>
        <v/>
      </c>
    </row>
    <row r="2739" spans="20:20">
      <c r="T2739" t="str">
        <f t="shared" si="54"/>
        <v/>
      </c>
    </row>
    <row r="2740" spans="20:20">
      <c r="T2740" t="str">
        <f t="shared" si="54"/>
        <v/>
      </c>
    </row>
    <row r="2741" spans="20:20">
      <c r="T2741" t="str">
        <f t="shared" si="54"/>
        <v/>
      </c>
    </row>
    <row r="2742" spans="20:20">
      <c r="T2742" t="str">
        <f t="shared" si="54"/>
        <v/>
      </c>
    </row>
    <row r="2743" spans="20:20">
      <c r="T2743" t="str">
        <f t="shared" si="54"/>
        <v/>
      </c>
    </row>
    <row r="2744" spans="20:20">
      <c r="T2744" t="str">
        <f t="shared" si="54"/>
        <v/>
      </c>
    </row>
    <row r="2745" spans="20:20">
      <c r="T2745" t="str">
        <f t="shared" si="54"/>
        <v/>
      </c>
    </row>
    <row r="2746" spans="20:20">
      <c r="T2746" t="str">
        <f t="shared" si="54"/>
        <v/>
      </c>
    </row>
    <row r="2747" spans="20:20">
      <c r="T2747" t="str">
        <f t="shared" si="54"/>
        <v/>
      </c>
    </row>
    <row r="2748" spans="20:20">
      <c r="T2748" t="str">
        <f t="shared" si="54"/>
        <v/>
      </c>
    </row>
    <row r="2749" spans="20:20">
      <c r="T2749" t="str">
        <f t="shared" si="54"/>
        <v/>
      </c>
    </row>
    <row r="2750" spans="20:20">
      <c r="T2750" t="str">
        <f t="shared" si="54"/>
        <v/>
      </c>
    </row>
    <row r="2751" spans="20:20">
      <c r="T2751" t="str">
        <f t="shared" si="54"/>
        <v/>
      </c>
    </row>
    <row r="2752" spans="20:20">
      <c r="T2752" t="str">
        <f t="shared" si="54"/>
        <v/>
      </c>
    </row>
    <row r="2753" spans="20:20">
      <c r="T2753" t="str">
        <f t="shared" si="54"/>
        <v/>
      </c>
    </row>
    <row r="2754" spans="20:20">
      <c r="T2754" t="str">
        <f t="shared" ref="T2754:T2817" si="55">IF(C2754="","",UPPER(LEFT(SUBSTITUTE(C2754," ",""),3))&amp;"-"&amp;TEXT(B2754,"AAMMDD")&amp;"-1")</f>
        <v/>
      </c>
    </row>
    <row r="2755" spans="20:20">
      <c r="T2755" t="str">
        <f t="shared" si="55"/>
        <v/>
      </c>
    </row>
    <row r="2756" spans="20:20">
      <c r="T2756" t="str">
        <f t="shared" si="55"/>
        <v/>
      </c>
    </row>
    <row r="2757" spans="20:20">
      <c r="T2757" t="str">
        <f t="shared" si="55"/>
        <v/>
      </c>
    </row>
    <row r="2758" spans="20:20">
      <c r="T2758" t="str">
        <f t="shared" si="55"/>
        <v/>
      </c>
    </row>
    <row r="2759" spans="20:20">
      <c r="T2759" t="str">
        <f t="shared" si="55"/>
        <v/>
      </c>
    </row>
    <row r="2760" spans="20:20">
      <c r="T2760" t="str">
        <f t="shared" si="55"/>
        <v/>
      </c>
    </row>
    <row r="2761" spans="20:20">
      <c r="T2761" t="str">
        <f t="shared" si="55"/>
        <v/>
      </c>
    </row>
    <row r="2762" spans="20:20">
      <c r="T2762" t="str">
        <f t="shared" si="55"/>
        <v/>
      </c>
    </row>
    <row r="2763" spans="20:20">
      <c r="T2763" t="str">
        <f t="shared" si="55"/>
        <v/>
      </c>
    </row>
    <row r="2764" spans="20:20">
      <c r="T2764" t="str">
        <f t="shared" si="55"/>
        <v/>
      </c>
    </row>
    <row r="2765" spans="20:20">
      <c r="T2765" t="str">
        <f t="shared" si="55"/>
        <v/>
      </c>
    </row>
    <row r="2766" spans="20:20">
      <c r="T2766" t="str">
        <f t="shared" si="55"/>
        <v/>
      </c>
    </row>
    <row r="2767" spans="20:20">
      <c r="T2767" t="str">
        <f t="shared" si="55"/>
        <v/>
      </c>
    </row>
    <row r="2768" spans="20:20">
      <c r="T2768" t="str">
        <f t="shared" si="55"/>
        <v/>
      </c>
    </row>
    <row r="2769" spans="20:20">
      <c r="T2769" t="str">
        <f t="shared" si="55"/>
        <v/>
      </c>
    </row>
    <row r="2770" spans="20:20">
      <c r="T2770" t="str">
        <f t="shared" si="55"/>
        <v/>
      </c>
    </row>
    <row r="2771" spans="20:20">
      <c r="T2771" t="str">
        <f t="shared" si="55"/>
        <v/>
      </c>
    </row>
    <row r="2772" spans="20:20">
      <c r="T2772" t="str">
        <f t="shared" si="55"/>
        <v/>
      </c>
    </row>
    <row r="2773" spans="20:20">
      <c r="T2773" t="str">
        <f t="shared" si="55"/>
        <v/>
      </c>
    </row>
    <row r="2774" spans="20:20">
      <c r="T2774" t="str">
        <f t="shared" si="55"/>
        <v/>
      </c>
    </row>
    <row r="2775" spans="20:20">
      <c r="T2775" t="str">
        <f t="shared" si="55"/>
        <v/>
      </c>
    </row>
    <row r="2776" spans="20:20">
      <c r="T2776" t="str">
        <f t="shared" si="55"/>
        <v/>
      </c>
    </row>
    <row r="2777" spans="20:20">
      <c r="T2777" t="str">
        <f t="shared" si="55"/>
        <v/>
      </c>
    </row>
    <row r="2778" spans="20:20">
      <c r="T2778" t="str">
        <f t="shared" si="55"/>
        <v/>
      </c>
    </row>
    <row r="2779" spans="20:20">
      <c r="T2779" t="str">
        <f t="shared" si="55"/>
        <v/>
      </c>
    </row>
    <row r="2780" spans="20:20">
      <c r="T2780" t="str">
        <f t="shared" si="55"/>
        <v/>
      </c>
    </row>
    <row r="2781" spans="20:20">
      <c r="T2781" t="str">
        <f t="shared" si="55"/>
        <v/>
      </c>
    </row>
    <row r="2782" spans="20:20">
      <c r="T2782" t="str">
        <f t="shared" si="55"/>
        <v/>
      </c>
    </row>
    <row r="2783" spans="20:20">
      <c r="T2783" t="str">
        <f t="shared" si="55"/>
        <v/>
      </c>
    </row>
    <row r="2784" spans="20:20">
      <c r="T2784" t="str">
        <f t="shared" si="55"/>
        <v/>
      </c>
    </row>
    <row r="2785" spans="20:20">
      <c r="T2785" t="str">
        <f t="shared" si="55"/>
        <v/>
      </c>
    </row>
    <row r="2786" spans="20:20">
      <c r="T2786" t="str">
        <f t="shared" si="55"/>
        <v/>
      </c>
    </row>
    <row r="2787" spans="20:20">
      <c r="T2787" t="str">
        <f t="shared" si="55"/>
        <v/>
      </c>
    </row>
    <row r="2788" spans="20:20">
      <c r="T2788" t="str">
        <f t="shared" si="55"/>
        <v/>
      </c>
    </row>
    <row r="2789" spans="20:20">
      <c r="T2789" t="str">
        <f t="shared" si="55"/>
        <v/>
      </c>
    </row>
    <row r="2790" spans="20:20">
      <c r="T2790" t="str">
        <f t="shared" si="55"/>
        <v/>
      </c>
    </row>
    <row r="2791" spans="20:20">
      <c r="T2791" t="str">
        <f t="shared" si="55"/>
        <v/>
      </c>
    </row>
    <row r="2792" spans="20:20">
      <c r="T2792" t="str">
        <f t="shared" si="55"/>
        <v/>
      </c>
    </row>
    <row r="2793" spans="20:20">
      <c r="T2793" t="str">
        <f t="shared" si="55"/>
        <v/>
      </c>
    </row>
    <row r="2794" spans="20:20">
      <c r="T2794" t="str">
        <f t="shared" si="55"/>
        <v/>
      </c>
    </row>
    <row r="2795" spans="20:20">
      <c r="T2795" t="str">
        <f t="shared" si="55"/>
        <v/>
      </c>
    </row>
    <row r="2796" spans="20:20">
      <c r="T2796" t="str">
        <f t="shared" si="55"/>
        <v/>
      </c>
    </row>
    <row r="2797" spans="20:20">
      <c r="T2797" t="str">
        <f t="shared" si="55"/>
        <v/>
      </c>
    </row>
    <row r="2798" spans="20:20">
      <c r="T2798" t="str">
        <f t="shared" si="55"/>
        <v/>
      </c>
    </row>
    <row r="2799" spans="20:20">
      <c r="T2799" t="str">
        <f t="shared" si="55"/>
        <v/>
      </c>
    </row>
    <row r="2800" spans="20:20">
      <c r="T2800" t="str">
        <f t="shared" si="55"/>
        <v/>
      </c>
    </row>
    <row r="2801" spans="20:20">
      <c r="T2801" t="str">
        <f t="shared" si="55"/>
        <v/>
      </c>
    </row>
    <row r="2802" spans="20:20">
      <c r="T2802" t="str">
        <f t="shared" si="55"/>
        <v/>
      </c>
    </row>
    <row r="2803" spans="20:20">
      <c r="T2803" t="str">
        <f t="shared" si="55"/>
        <v/>
      </c>
    </row>
    <row r="2804" spans="20:20">
      <c r="T2804" t="str">
        <f t="shared" si="55"/>
        <v/>
      </c>
    </row>
    <row r="2805" spans="20:20">
      <c r="T2805" t="str">
        <f t="shared" si="55"/>
        <v/>
      </c>
    </row>
    <row r="2806" spans="20:20">
      <c r="T2806" t="str">
        <f t="shared" si="55"/>
        <v/>
      </c>
    </row>
    <row r="2807" spans="20:20">
      <c r="T2807" t="str">
        <f t="shared" si="55"/>
        <v/>
      </c>
    </row>
    <row r="2808" spans="20:20">
      <c r="T2808" t="str">
        <f t="shared" si="55"/>
        <v/>
      </c>
    </row>
    <row r="2809" spans="20:20">
      <c r="T2809" t="str">
        <f t="shared" si="55"/>
        <v/>
      </c>
    </row>
    <row r="2810" spans="20:20">
      <c r="T2810" t="str">
        <f t="shared" si="55"/>
        <v/>
      </c>
    </row>
    <row r="2811" spans="20:20">
      <c r="T2811" t="str">
        <f t="shared" si="55"/>
        <v/>
      </c>
    </row>
    <row r="2812" spans="20:20">
      <c r="T2812" t="str">
        <f t="shared" si="55"/>
        <v/>
      </c>
    </row>
    <row r="2813" spans="20:20">
      <c r="T2813" t="str">
        <f t="shared" si="55"/>
        <v/>
      </c>
    </row>
    <row r="2814" spans="20:20">
      <c r="T2814" t="str">
        <f t="shared" si="55"/>
        <v/>
      </c>
    </row>
    <row r="2815" spans="20:20">
      <c r="T2815" t="str">
        <f t="shared" si="55"/>
        <v/>
      </c>
    </row>
    <row r="2816" spans="20:20">
      <c r="T2816" t="str">
        <f t="shared" si="55"/>
        <v/>
      </c>
    </row>
    <row r="2817" spans="20:20">
      <c r="T2817" t="str">
        <f t="shared" si="55"/>
        <v/>
      </c>
    </row>
    <row r="2818" spans="20:20">
      <c r="T2818" t="str">
        <f t="shared" ref="T2818:T2881" si="56">IF(C2818="","",UPPER(LEFT(SUBSTITUTE(C2818," ",""),3))&amp;"-"&amp;TEXT(B2818,"AAMMDD")&amp;"-1")</f>
        <v/>
      </c>
    </row>
    <row r="2819" spans="20:20">
      <c r="T2819" t="str">
        <f t="shared" si="56"/>
        <v/>
      </c>
    </row>
    <row r="2820" spans="20:20">
      <c r="T2820" t="str">
        <f t="shared" si="56"/>
        <v/>
      </c>
    </row>
    <row r="2821" spans="20:20">
      <c r="T2821" t="str">
        <f t="shared" si="56"/>
        <v/>
      </c>
    </row>
    <row r="2822" spans="20:20">
      <c r="T2822" t="str">
        <f t="shared" si="56"/>
        <v/>
      </c>
    </row>
    <row r="2823" spans="20:20">
      <c r="T2823" t="str">
        <f t="shared" si="56"/>
        <v/>
      </c>
    </row>
    <row r="2824" spans="20:20">
      <c r="T2824" t="str">
        <f t="shared" si="56"/>
        <v/>
      </c>
    </row>
    <row r="2825" spans="20:20">
      <c r="T2825" t="str">
        <f t="shared" si="56"/>
        <v/>
      </c>
    </row>
    <row r="2826" spans="20:20">
      <c r="T2826" t="str">
        <f t="shared" si="56"/>
        <v/>
      </c>
    </row>
    <row r="2827" spans="20:20">
      <c r="T2827" t="str">
        <f t="shared" si="56"/>
        <v/>
      </c>
    </row>
    <row r="2828" spans="20:20">
      <c r="T2828" t="str">
        <f t="shared" si="56"/>
        <v/>
      </c>
    </row>
    <row r="2829" spans="20:20">
      <c r="T2829" t="str">
        <f t="shared" si="56"/>
        <v/>
      </c>
    </row>
    <row r="2830" spans="20:20">
      <c r="T2830" t="str">
        <f t="shared" si="56"/>
        <v/>
      </c>
    </row>
    <row r="2831" spans="20:20">
      <c r="T2831" t="str">
        <f t="shared" si="56"/>
        <v/>
      </c>
    </row>
    <row r="2832" spans="20:20">
      <c r="T2832" t="str">
        <f t="shared" si="56"/>
        <v/>
      </c>
    </row>
    <row r="2833" spans="20:20">
      <c r="T2833" t="str">
        <f t="shared" si="56"/>
        <v/>
      </c>
    </row>
    <row r="2834" spans="20:20">
      <c r="T2834" t="str">
        <f t="shared" si="56"/>
        <v/>
      </c>
    </row>
    <row r="2835" spans="20:20">
      <c r="T2835" t="str">
        <f t="shared" si="56"/>
        <v/>
      </c>
    </row>
    <row r="2836" spans="20:20">
      <c r="T2836" t="str">
        <f t="shared" si="56"/>
        <v/>
      </c>
    </row>
    <row r="2837" spans="20:20">
      <c r="T2837" t="str">
        <f t="shared" si="56"/>
        <v/>
      </c>
    </row>
    <row r="2838" spans="20:20">
      <c r="T2838" t="str">
        <f t="shared" si="56"/>
        <v/>
      </c>
    </row>
    <row r="2839" spans="20:20">
      <c r="T2839" t="str">
        <f t="shared" si="56"/>
        <v/>
      </c>
    </row>
    <row r="2840" spans="20:20">
      <c r="T2840" t="str">
        <f t="shared" si="56"/>
        <v/>
      </c>
    </row>
    <row r="2841" spans="20:20">
      <c r="T2841" t="str">
        <f t="shared" si="56"/>
        <v/>
      </c>
    </row>
    <row r="2842" spans="20:20">
      <c r="T2842" t="str">
        <f t="shared" si="56"/>
        <v/>
      </c>
    </row>
    <row r="2843" spans="20:20">
      <c r="T2843" t="str">
        <f t="shared" si="56"/>
        <v/>
      </c>
    </row>
    <row r="2844" spans="20:20">
      <c r="T2844" t="str">
        <f t="shared" si="56"/>
        <v/>
      </c>
    </row>
    <row r="2845" spans="20:20">
      <c r="T2845" t="str">
        <f t="shared" si="56"/>
        <v/>
      </c>
    </row>
    <row r="2846" spans="20:20">
      <c r="T2846" t="str">
        <f t="shared" si="56"/>
        <v/>
      </c>
    </row>
    <row r="2847" spans="20:20">
      <c r="T2847" t="str">
        <f t="shared" si="56"/>
        <v/>
      </c>
    </row>
    <row r="2848" spans="20:20">
      <c r="T2848" t="str">
        <f t="shared" si="56"/>
        <v/>
      </c>
    </row>
    <row r="2849" spans="20:20">
      <c r="T2849" t="str">
        <f t="shared" si="56"/>
        <v/>
      </c>
    </row>
    <row r="2850" spans="20:20">
      <c r="T2850" t="str">
        <f t="shared" si="56"/>
        <v/>
      </c>
    </row>
    <row r="2851" spans="20:20">
      <c r="T2851" t="str">
        <f t="shared" si="56"/>
        <v/>
      </c>
    </row>
    <row r="2852" spans="20:20">
      <c r="T2852" t="str">
        <f t="shared" si="56"/>
        <v/>
      </c>
    </row>
    <row r="2853" spans="20:20">
      <c r="T2853" t="str">
        <f t="shared" si="56"/>
        <v/>
      </c>
    </row>
    <row r="2854" spans="20:20">
      <c r="T2854" t="str">
        <f t="shared" si="56"/>
        <v/>
      </c>
    </row>
    <row r="2855" spans="20:20">
      <c r="T2855" t="str">
        <f t="shared" si="56"/>
        <v/>
      </c>
    </row>
    <row r="2856" spans="20:20">
      <c r="T2856" t="str">
        <f t="shared" si="56"/>
        <v/>
      </c>
    </row>
    <row r="2857" spans="20:20">
      <c r="T2857" t="str">
        <f t="shared" si="56"/>
        <v/>
      </c>
    </row>
    <row r="2858" spans="20:20">
      <c r="T2858" t="str">
        <f t="shared" si="56"/>
        <v/>
      </c>
    </row>
    <row r="2859" spans="20:20">
      <c r="T2859" t="str">
        <f t="shared" si="56"/>
        <v/>
      </c>
    </row>
    <row r="2860" spans="20:20">
      <c r="T2860" t="str">
        <f t="shared" si="56"/>
        <v/>
      </c>
    </row>
    <row r="2861" spans="20:20">
      <c r="T2861" t="str">
        <f t="shared" si="56"/>
        <v/>
      </c>
    </row>
    <row r="2862" spans="20:20">
      <c r="T2862" t="str">
        <f t="shared" si="56"/>
        <v/>
      </c>
    </row>
    <row r="2863" spans="20:20">
      <c r="T2863" t="str">
        <f t="shared" si="56"/>
        <v/>
      </c>
    </row>
    <row r="2864" spans="20:20">
      <c r="T2864" t="str">
        <f t="shared" si="56"/>
        <v/>
      </c>
    </row>
    <row r="2865" spans="20:20">
      <c r="T2865" t="str">
        <f t="shared" si="56"/>
        <v/>
      </c>
    </row>
    <row r="2866" spans="20:20">
      <c r="T2866" t="str">
        <f t="shared" si="56"/>
        <v/>
      </c>
    </row>
    <row r="2867" spans="20:20">
      <c r="T2867" t="str">
        <f t="shared" si="56"/>
        <v/>
      </c>
    </row>
    <row r="2868" spans="20:20">
      <c r="T2868" t="str">
        <f t="shared" si="56"/>
        <v/>
      </c>
    </row>
    <row r="2869" spans="20:20">
      <c r="T2869" t="str">
        <f t="shared" si="56"/>
        <v/>
      </c>
    </row>
    <row r="2870" spans="20:20">
      <c r="T2870" t="str">
        <f t="shared" si="56"/>
        <v/>
      </c>
    </row>
    <row r="2871" spans="20:20">
      <c r="T2871" t="str">
        <f t="shared" si="56"/>
        <v/>
      </c>
    </row>
    <row r="2872" spans="20:20">
      <c r="T2872" t="str">
        <f t="shared" si="56"/>
        <v/>
      </c>
    </row>
    <row r="2873" spans="20:20">
      <c r="T2873" t="str">
        <f t="shared" si="56"/>
        <v/>
      </c>
    </row>
    <row r="2874" spans="20:20">
      <c r="T2874" t="str">
        <f t="shared" si="56"/>
        <v/>
      </c>
    </row>
    <row r="2875" spans="20:20">
      <c r="T2875" t="str">
        <f t="shared" si="56"/>
        <v/>
      </c>
    </row>
    <row r="2876" spans="20:20">
      <c r="T2876" t="str">
        <f t="shared" si="56"/>
        <v/>
      </c>
    </row>
    <row r="2877" spans="20:20">
      <c r="T2877" t="str">
        <f t="shared" si="56"/>
        <v/>
      </c>
    </row>
    <row r="2878" spans="20:20">
      <c r="T2878" t="str">
        <f t="shared" si="56"/>
        <v/>
      </c>
    </row>
    <row r="2879" spans="20:20">
      <c r="T2879" t="str">
        <f t="shared" si="56"/>
        <v/>
      </c>
    </row>
    <row r="2880" spans="20:20">
      <c r="T2880" t="str">
        <f t="shared" si="56"/>
        <v/>
      </c>
    </row>
    <row r="2881" spans="20:20">
      <c r="T2881" t="str">
        <f t="shared" si="56"/>
        <v/>
      </c>
    </row>
    <row r="2882" spans="20:20">
      <c r="T2882" t="str">
        <f t="shared" ref="T2882:T2945" si="57">IF(C2882="","",UPPER(LEFT(SUBSTITUTE(C2882," ",""),3))&amp;"-"&amp;TEXT(B2882,"AAMMDD")&amp;"-1")</f>
        <v/>
      </c>
    </row>
    <row r="2883" spans="20:20">
      <c r="T2883" t="str">
        <f t="shared" si="57"/>
        <v/>
      </c>
    </row>
    <row r="2884" spans="20:20">
      <c r="T2884" t="str">
        <f t="shared" si="57"/>
        <v/>
      </c>
    </row>
    <row r="2885" spans="20:20">
      <c r="T2885" t="str">
        <f t="shared" si="57"/>
        <v/>
      </c>
    </row>
    <row r="2886" spans="20:20">
      <c r="T2886" t="str">
        <f t="shared" si="57"/>
        <v/>
      </c>
    </row>
    <row r="2887" spans="20:20">
      <c r="T2887" t="str">
        <f t="shared" si="57"/>
        <v/>
      </c>
    </row>
    <row r="2888" spans="20:20">
      <c r="T2888" t="str">
        <f t="shared" si="57"/>
        <v/>
      </c>
    </row>
    <row r="2889" spans="20:20">
      <c r="T2889" t="str">
        <f t="shared" si="57"/>
        <v/>
      </c>
    </row>
    <row r="2890" spans="20:20">
      <c r="T2890" t="str">
        <f t="shared" si="57"/>
        <v/>
      </c>
    </row>
    <row r="2891" spans="20:20">
      <c r="T2891" t="str">
        <f t="shared" si="57"/>
        <v/>
      </c>
    </row>
    <row r="2892" spans="20:20">
      <c r="T2892" t="str">
        <f t="shared" si="57"/>
        <v/>
      </c>
    </row>
    <row r="2893" spans="20:20">
      <c r="T2893" t="str">
        <f t="shared" si="57"/>
        <v/>
      </c>
    </row>
    <row r="2894" spans="20:20">
      <c r="T2894" t="str">
        <f t="shared" si="57"/>
        <v/>
      </c>
    </row>
    <row r="2895" spans="20:20">
      <c r="T2895" t="str">
        <f t="shared" si="57"/>
        <v/>
      </c>
    </row>
    <row r="2896" spans="20:20">
      <c r="T2896" t="str">
        <f t="shared" si="57"/>
        <v/>
      </c>
    </row>
    <row r="2897" spans="20:20">
      <c r="T2897" t="str">
        <f t="shared" si="57"/>
        <v/>
      </c>
    </row>
    <row r="2898" spans="20:20">
      <c r="T2898" t="str">
        <f t="shared" si="57"/>
        <v/>
      </c>
    </row>
    <row r="2899" spans="20:20">
      <c r="T2899" t="str">
        <f t="shared" si="57"/>
        <v/>
      </c>
    </row>
    <row r="2900" spans="20:20">
      <c r="T2900" t="str">
        <f t="shared" si="57"/>
        <v/>
      </c>
    </row>
    <row r="2901" spans="20:20">
      <c r="T2901" t="str">
        <f t="shared" si="57"/>
        <v/>
      </c>
    </row>
    <row r="2902" spans="20:20">
      <c r="T2902" t="str">
        <f t="shared" si="57"/>
        <v/>
      </c>
    </row>
    <row r="2903" spans="20:20">
      <c r="T2903" t="str">
        <f t="shared" si="57"/>
        <v/>
      </c>
    </row>
    <row r="2904" spans="20:20">
      <c r="T2904" t="str">
        <f t="shared" si="57"/>
        <v/>
      </c>
    </row>
    <row r="2905" spans="20:20">
      <c r="T2905" t="str">
        <f t="shared" si="57"/>
        <v/>
      </c>
    </row>
    <row r="2906" spans="20:20">
      <c r="T2906" t="str">
        <f t="shared" si="57"/>
        <v/>
      </c>
    </row>
    <row r="2907" spans="20:20">
      <c r="T2907" t="str">
        <f t="shared" si="57"/>
        <v/>
      </c>
    </row>
    <row r="2908" spans="20:20">
      <c r="T2908" t="str">
        <f t="shared" si="57"/>
        <v/>
      </c>
    </row>
    <row r="2909" spans="20:20">
      <c r="T2909" t="str">
        <f t="shared" si="57"/>
        <v/>
      </c>
    </row>
    <row r="2910" spans="20:20">
      <c r="T2910" t="str">
        <f t="shared" si="57"/>
        <v/>
      </c>
    </row>
    <row r="2911" spans="20:20">
      <c r="T2911" t="str">
        <f t="shared" si="57"/>
        <v/>
      </c>
    </row>
    <row r="2912" spans="20:20">
      <c r="T2912" t="str">
        <f t="shared" si="57"/>
        <v/>
      </c>
    </row>
    <row r="2913" spans="20:20">
      <c r="T2913" t="str">
        <f t="shared" si="57"/>
        <v/>
      </c>
    </row>
    <row r="2914" spans="20:20">
      <c r="T2914" t="str">
        <f t="shared" si="57"/>
        <v/>
      </c>
    </row>
    <row r="2915" spans="20:20">
      <c r="T2915" t="str">
        <f t="shared" si="57"/>
        <v/>
      </c>
    </row>
    <row r="2916" spans="20:20">
      <c r="T2916" t="str">
        <f t="shared" si="57"/>
        <v/>
      </c>
    </row>
    <row r="2917" spans="20:20">
      <c r="T2917" t="str">
        <f t="shared" si="57"/>
        <v/>
      </c>
    </row>
    <row r="2918" spans="20:20">
      <c r="T2918" t="str">
        <f t="shared" si="57"/>
        <v/>
      </c>
    </row>
    <row r="2919" spans="20:20">
      <c r="T2919" t="str">
        <f t="shared" si="57"/>
        <v/>
      </c>
    </row>
    <row r="2920" spans="20:20">
      <c r="T2920" t="str">
        <f t="shared" si="57"/>
        <v/>
      </c>
    </row>
    <row r="2921" spans="20:20">
      <c r="T2921" t="str">
        <f t="shared" si="57"/>
        <v/>
      </c>
    </row>
    <row r="2922" spans="20:20">
      <c r="T2922" t="str">
        <f t="shared" si="57"/>
        <v/>
      </c>
    </row>
    <row r="2923" spans="20:20">
      <c r="T2923" t="str">
        <f t="shared" si="57"/>
        <v/>
      </c>
    </row>
    <row r="2924" spans="20:20">
      <c r="T2924" t="str">
        <f t="shared" si="57"/>
        <v/>
      </c>
    </row>
    <row r="2925" spans="20:20">
      <c r="T2925" t="str">
        <f t="shared" si="57"/>
        <v/>
      </c>
    </row>
    <row r="2926" spans="20:20">
      <c r="T2926" t="str">
        <f t="shared" si="57"/>
        <v/>
      </c>
    </row>
    <row r="2927" spans="20:20">
      <c r="T2927" t="str">
        <f t="shared" si="57"/>
        <v/>
      </c>
    </row>
    <row r="2928" spans="20:20">
      <c r="T2928" t="str">
        <f t="shared" si="57"/>
        <v/>
      </c>
    </row>
    <row r="2929" spans="20:20">
      <c r="T2929" t="str">
        <f t="shared" si="57"/>
        <v/>
      </c>
    </row>
    <row r="2930" spans="20:20">
      <c r="T2930" t="str">
        <f t="shared" si="57"/>
        <v/>
      </c>
    </row>
    <row r="2931" spans="20:20">
      <c r="T2931" t="str">
        <f t="shared" si="57"/>
        <v/>
      </c>
    </row>
    <row r="2932" spans="20:20">
      <c r="T2932" t="str">
        <f t="shared" si="57"/>
        <v/>
      </c>
    </row>
    <row r="2933" spans="20:20">
      <c r="T2933" t="str">
        <f t="shared" si="57"/>
        <v/>
      </c>
    </row>
    <row r="2934" spans="20:20">
      <c r="T2934" t="str">
        <f t="shared" si="57"/>
        <v/>
      </c>
    </row>
    <row r="2935" spans="20:20">
      <c r="T2935" t="str">
        <f t="shared" si="57"/>
        <v/>
      </c>
    </row>
    <row r="2936" spans="20:20">
      <c r="T2936" t="str">
        <f t="shared" si="57"/>
        <v/>
      </c>
    </row>
    <row r="2937" spans="20:20">
      <c r="T2937" t="str">
        <f t="shared" si="57"/>
        <v/>
      </c>
    </row>
    <row r="2938" spans="20:20">
      <c r="T2938" t="str">
        <f t="shared" si="57"/>
        <v/>
      </c>
    </row>
    <row r="2939" spans="20:20">
      <c r="T2939" t="str">
        <f t="shared" si="57"/>
        <v/>
      </c>
    </row>
    <row r="2940" spans="20:20">
      <c r="T2940" t="str">
        <f t="shared" si="57"/>
        <v/>
      </c>
    </row>
    <row r="2941" spans="20:20">
      <c r="T2941" t="str">
        <f t="shared" si="57"/>
        <v/>
      </c>
    </row>
    <row r="2942" spans="20:20">
      <c r="T2942" t="str">
        <f t="shared" si="57"/>
        <v/>
      </c>
    </row>
    <row r="2943" spans="20:20">
      <c r="T2943" t="str">
        <f t="shared" si="57"/>
        <v/>
      </c>
    </row>
    <row r="2944" spans="20:20">
      <c r="T2944" t="str">
        <f t="shared" si="57"/>
        <v/>
      </c>
    </row>
    <row r="2945" spans="20:20">
      <c r="T2945" t="str">
        <f t="shared" si="57"/>
        <v/>
      </c>
    </row>
    <row r="2946" spans="20:20">
      <c r="T2946" t="str">
        <f t="shared" ref="T2946:T3009" si="58">IF(C2946="","",UPPER(LEFT(SUBSTITUTE(C2946," ",""),3))&amp;"-"&amp;TEXT(B2946,"AAMMDD")&amp;"-1")</f>
        <v/>
      </c>
    </row>
    <row r="2947" spans="20:20">
      <c r="T2947" t="str">
        <f t="shared" si="58"/>
        <v/>
      </c>
    </row>
    <row r="2948" spans="20:20">
      <c r="T2948" t="str">
        <f t="shared" si="58"/>
        <v/>
      </c>
    </row>
    <row r="2949" spans="20:20">
      <c r="T2949" t="str">
        <f t="shared" si="58"/>
        <v/>
      </c>
    </row>
    <row r="2950" spans="20:20">
      <c r="T2950" t="str">
        <f t="shared" si="58"/>
        <v/>
      </c>
    </row>
    <row r="2951" spans="20:20">
      <c r="T2951" t="str">
        <f t="shared" si="58"/>
        <v/>
      </c>
    </row>
    <row r="2952" spans="20:20">
      <c r="T2952" t="str">
        <f t="shared" si="58"/>
        <v/>
      </c>
    </row>
    <row r="2953" spans="20:20">
      <c r="T2953" t="str">
        <f t="shared" si="58"/>
        <v/>
      </c>
    </row>
    <row r="2954" spans="20:20">
      <c r="T2954" t="str">
        <f t="shared" si="58"/>
        <v/>
      </c>
    </row>
    <row r="2955" spans="20:20">
      <c r="T2955" t="str">
        <f t="shared" si="58"/>
        <v/>
      </c>
    </row>
    <row r="2956" spans="20:20">
      <c r="T2956" t="str">
        <f t="shared" si="58"/>
        <v/>
      </c>
    </row>
    <row r="2957" spans="20:20">
      <c r="T2957" t="str">
        <f t="shared" si="58"/>
        <v/>
      </c>
    </row>
    <row r="2958" spans="20:20">
      <c r="T2958" t="str">
        <f t="shared" si="58"/>
        <v/>
      </c>
    </row>
    <row r="2959" spans="20:20">
      <c r="T2959" t="str">
        <f t="shared" si="58"/>
        <v/>
      </c>
    </row>
    <row r="2960" spans="20:20">
      <c r="T2960" t="str">
        <f t="shared" si="58"/>
        <v/>
      </c>
    </row>
    <row r="2961" spans="20:20">
      <c r="T2961" t="str">
        <f t="shared" si="58"/>
        <v/>
      </c>
    </row>
    <row r="2962" spans="20:20">
      <c r="T2962" t="str">
        <f t="shared" si="58"/>
        <v/>
      </c>
    </row>
    <row r="2963" spans="20:20">
      <c r="T2963" t="str">
        <f t="shared" si="58"/>
        <v/>
      </c>
    </row>
    <row r="2964" spans="20:20">
      <c r="T2964" t="str">
        <f t="shared" si="58"/>
        <v/>
      </c>
    </row>
    <row r="2965" spans="20:20">
      <c r="T2965" t="str">
        <f t="shared" si="58"/>
        <v/>
      </c>
    </row>
    <row r="2966" spans="20:20">
      <c r="T2966" t="str">
        <f t="shared" si="58"/>
        <v/>
      </c>
    </row>
    <row r="2967" spans="20:20">
      <c r="T2967" t="str">
        <f t="shared" si="58"/>
        <v/>
      </c>
    </row>
    <row r="2968" spans="20:20">
      <c r="T2968" t="str">
        <f t="shared" si="58"/>
        <v/>
      </c>
    </row>
    <row r="2969" spans="20:20">
      <c r="T2969" t="str">
        <f t="shared" si="58"/>
        <v/>
      </c>
    </row>
    <row r="2970" spans="20:20">
      <c r="T2970" t="str">
        <f t="shared" si="58"/>
        <v/>
      </c>
    </row>
    <row r="2971" spans="20:20">
      <c r="T2971" t="str">
        <f t="shared" si="58"/>
        <v/>
      </c>
    </row>
    <row r="2972" spans="20:20">
      <c r="T2972" t="str">
        <f t="shared" si="58"/>
        <v/>
      </c>
    </row>
    <row r="2973" spans="20:20">
      <c r="T2973" t="str">
        <f t="shared" si="58"/>
        <v/>
      </c>
    </row>
    <row r="2974" spans="20:20">
      <c r="T2974" t="str">
        <f t="shared" si="58"/>
        <v/>
      </c>
    </row>
    <row r="2975" spans="20:20">
      <c r="T2975" t="str">
        <f t="shared" si="58"/>
        <v/>
      </c>
    </row>
    <row r="2976" spans="20:20">
      <c r="T2976" t="str">
        <f t="shared" si="58"/>
        <v/>
      </c>
    </row>
    <row r="2977" spans="20:20">
      <c r="T2977" t="str">
        <f t="shared" si="58"/>
        <v/>
      </c>
    </row>
    <row r="2978" spans="20:20">
      <c r="T2978" t="str">
        <f t="shared" si="58"/>
        <v/>
      </c>
    </row>
    <row r="2979" spans="20:20">
      <c r="T2979" t="str">
        <f t="shared" si="58"/>
        <v/>
      </c>
    </row>
    <row r="2980" spans="20:20">
      <c r="T2980" t="str">
        <f t="shared" si="58"/>
        <v/>
      </c>
    </row>
    <row r="2981" spans="20:20">
      <c r="T2981" t="str">
        <f t="shared" si="58"/>
        <v/>
      </c>
    </row>
    <row r="2982" spans="20:20">
      <c r="T2982" t="str">
        <f t="shared" si="58"/>
        <v/>
      </c>
    </row>
    <row r="2983" spans="20:20">
      <c r="T2983" t="str">
        <f t="shared" si="58"/>
        <v/>
      </c>
    </row>
    <row r="2984" spans="20:20">
      <c r="T2984" t="str">
        <f t="shared" si="58"/>
        <v/>
      </c>
    </row>
    <row r="2985" spans="20:20">
      <c r="T2985" t="str">
        <f t="shared" si="58"/>
        <v/>
      </c>
    </row>
    <row r="2986" spans="20:20">
      <c r="T2986" t="str">
        <f t="shared" si="58"/>
        <v/>
      </c>
    </row>
    <row r="2987" spans="20:20">
      <c r="T2987" t="str">
        <f t="shared" si="58"/>
        <v/>
      </c>
    </row>
    <row r="2988" spans="20:20">
      <c r="T2988" t="str">
        <f t="shared" si="58"/>
        <v/>
      </c>
    </row>
    <row r="2989" spans="20:20">
      <c r="T2989" t="str">
        <f t="shared" si="58"/>
        <v/>
      </c>
    </row>
    <row r="2990" spans="20:20">
      <c r="T2990" t="str">
        <f t="shared" si="58"/>
        <v/>
      </c>
    </row>
    <row r="2991" spans="20:20">
      <c r="T2991" t="str">
        <f t="shared" si="58"/>
        <v/>
      </c>
    </row>
    <row r="2992" spans="20:20">
      <c r="T2992" t="str">
        <f t="shared" si="58"/>
        <v/>
      </c>
    </row>
    <row r="2993" spans="20:20">
      <c r="T2993" t="str">
        <f t="shared" si="58"/>
        <v/>
      </c>
    </row>
    <row r="2994" spans="20:20">
      <c r="T2994" t="str">
        <f t="shared" si="58"/>
        <v/>
      </c>
    </row>
    <row r="2995" spans="20:20">
      <c r="T2995" t="str">
        <f t="shared" si="58"/>
        <v/>
      </c>
    </row>
    <row r="2996" spans="20:20">
      <c r="T2996" t="str">
        <f t="shared" si="58"/>
        <v/>
      </c>
    </row>
    <row r="2997" spans="20:20">
      <c r="T2997" t="str">
        <f t="shared" si="58"/>
        <v/>
      </c>
    </row>
    <row r="2998" spans="20:20">
      <c r="T2998" t="str">
        <f t="shared" si="58"/>
        <v/>
      </c>
    </row>
    <row r="2999" spans="20:20">
      <c r="T2999" t="str">
        <f t="shared" si="58"/>
        <v/>
      </c>
    </row>
    <row r="3000" spans="20:20">
      <c r="T3000" t="str">
        <f t="shared" si="58"/>
        <v/>
      </c>
    </row>
    <row r="3001" spans="20:20">
      <c r="T3001" t="str">
        <f t="shared" si="58"/>
        <v/>
      </c>
    </row>
    <row r="3002" spans="20:20">
      <c r="T3002" t="str">
        <f t="shared" si="58"/>
        <v/>
      </c>
    </row>
    <row r="3003" spans="20:20">
      <c r="T3003" t="str">
        <f t="shared" si="58"/>
        <v/>
      </c>
    </row>
    <row r="3004" spans="20:20">
      <c r="T3004" t="str">
        <f t="shared" si="58"/>
        <v/>
      </c>
    </row>
    <row r="3005" spans="20:20">
      <c r="T3005" t="str">
        <f t="shared" si="58"/>
        <v/>
      </c>
    </row>
    <row r="3006" spans="20:20">
      <c r="T3006" t="str">
        <f t="shared" si="58"/>
        <v/>
      </c>
    </row>
    <row r="3007" spans="20:20">
      <c r="T3007" t="str">
        <f t="shared" si="58"/>
        <v/>
      </c>
    </row>
    <row r="3008" spans="20:20">
      <c r="T3008" t="str">
        <f t="shared" si="58"/>
        <v/>
      </c>
    </row>
    <row r="3009" spans="20:20">
      <c r="T3009" t="str">
        <f t="shared" si="58"/>
        <v/>
      </c>
    </row>
    <row r="3010" spans="20:20">
      <c r="T3010" t="str">
        <f t="shared" ref="T3010:T3073" si="59">IF(C3010="","",UPPER(LEFT(SUBSTITUTE(C3010," ",""),3))&amp;"-"&amp;TEXT(B3010,"AAMMDD")&amp;"-1")</f>
        <v/>
      </c>
    </row>
    <row r="3011" spans="20:20">
      <c r="T3011" t="str">
        <f t="shared" si="59"/>
        <v/>
      </c>
    </row>
    <row r="3012" spans="20:20">
      <c r="T3012" t="str">
        <f t="shared" si="59"/>
        <v/>
      </c>
    </row>
    <row r="3013" spans="20:20">
      <c r="T3013" t="str">
        <f t="shared" si="59"/>
        <v/>
      </c>
    </row>
    <row r="3014" spans="20:20">
      <c r="T3014" t="str">
        <f t="shared" si="59"/>
        <v/>
      </c>
    </row>
    <row r="3015" spans="20:20">
      <c r="T3015" t="str">
        <f t="shared" si="59"/>
        <v/>
      </c>
    </row>
    <row r="3016" spans="20:20">
      <c r="T3016" t="str">
        <f t="shared" si="59"/>
        <v/>
      </c>
    </row>
    <row r="3017" spans="20:20">
      <c r="T3017" t="str">
        <f t="shared" si="59"/>
        <v/>
      </c>
    </row>
    <row r="3018" spans="20:20">
      <c r="T3018" t="str">
        <f t="shared" si="59"/>
        <v/>
      </c>
    </row>
    <row r="3019" spans="20:20">
      <c r="T3019" t="str">
        <f t="shared" si="59"/>
        <v/>
      </c>
    </row>
    <row r="3020" spans="20:20">
      <c r="T3020" t="str">
        <f t="shared" si="59"/>
        <v/>
      </c>
    </row>
    <row r="3021" spans="20:20">
      <c r="T3021" t="str">
        <f t="shared" si="59"/>
        <v/>
      </c>
    </row>
    <row r="3022" spans="20:20">
      <c r="T3022" t="str">
        <f t="shared" si="59"/>
        <v/>
      </c>
    </row>
    <row r="3023" spans="20:20">
      <c r="T3023" t="str">
        <f t="shared" si="59"/>
        <v/>
      </c>
    </row>
    <row r="3024" spans="20:20">
      <c r="T3024" t="str">
        <f t="shared" si="59"/>
        <v/>
      </c>
    </row>
    <row r="3025" spans="20:20">
      <c r="T3025" t="str">
        <f t="shared" si="59"/>
        <v/>
      </c>
    </row>
    <row r="3026" spans="20:20">
      <c r="T3026" t="str">
        <f t="shared" si="59"/>
        <v/>
      </c>
    </row>
    <row r="3027" spans="20:20">
      <c r="T3027" t="str">
        <f t="shared" si="59"/>
        <v/>
      </c>
    </row>
    <row r="3028" spans="20:20">
      <c r="T3028" t="str">
        <f t="shared" si="59"/>
        <v/>
      </c>
    </row>
    <row r="3029" spans="20:20">
      <c r="T3029" t="str">
        <f t="shared" si="59"/>
        <v/>
      </c>
    </row>
    <row r="3030" spans="20:20">
      <c r="T3030" t="str">
        <f t="shared" si="59"/>
        <v/>
      </c>
    </row>
    <row r="3031" spans="20:20">
      <c r="T3031" t="str">
        <f t="shared" si="59"/>
        <v/>
      </c>
    </row>
    <row r="3032" spans="20:20">
      <c r="T3032" t="str">
        <f t="shared" si="59"/>
        <v/>
      </c>
    </row>
    <row r="3033" spans="20:20">
      <c r="T3033" t="str">
        <f t="shared" si="59"/>
        <v/>
      </c>
    </row>
    <row r="3034" spans="20:20">
      <c r="T3034" t="str">
        <f t="shared" si="59"/>
        <v/>
      </c>
    </row>
    <row r="3035" spans="20:20">
      <c r="T3035" t="str">
        <f t="shared" si="59"/>
        <v/>
      </c>
    </row>
    <row r="3036" spans="20:20">
      <c r="T3036" t="str">
        <f t="shared" si="59"/>
        <v/>
      </c>
    </row>
    <row r="3037" spans="20:20">
      <c r="T3037" t="str">
        <f t="shared" si="59"/>
        <v/>
      </c>
    </row>
    <row r="3038" spans="20:20">
      <c r="T3038" t="str">
        <f t="shared" si="59"/>
        <v/>
      </c>
    </row>
    <row r="3039" spans="20:20">
      <c r="T3039" t="str">
        <f t="shared" si="59"/>
        <v/>
      </c>
    </row>
    <row r="3040" spans="20:20">
      <c r="T3040" t="str">
        <f t="shared" si="59"/>
        <v/>
      </c>
    </row>
    <row r="3041" spans="20:20">
      <c r="T3041" t="str">
        <f t="shared" si="59"/>
        <v/>
      </c>
    </row>
    <row r="3042" spans="20:20">
      <c r="T3042" t="str">
        <f t="shared" si="59"/>
        <v/>
      </c>
    </row>
    <row r="3043" spans="20:20">
      <c r="T3043" t="str">
        <f t="shared" si="59"/>
        <v/>
      </c>
    </row>
    <row r="3044" spans="20:20">
      <c r="T3044" t="str">
        <f t="shared" si="59"/>
        <v/>
      </c>
    </row>
    <row r="3045" spans="20:20">
      <c r="T3045" t="str">
        <f t="shared" si="59"/>
        <v/>
      </c>
    </row>
    <row r="3046" spans="20:20">
      <c r="T3046" t="str">
        <f t="shared" si="59"/>
        <v/>
      </c>
    </row>
    <row r="3047" spans="20:20">
      <c r="T3047" t="str">
        <f t="shared" si="59"/>
        <v/>
      </c>
    </row>
    <row r="3048" spans="20:20">
      <c r="T3048" t="str">
        <f t="shared" si="59"/>
        <v/>
      </c>
    </row>
    <row r="3049" spans="20:20">
      <c r="T3049" t="str">
        <f t="shared" si="59"/>
        <v/>
      </c>
    </row>
    <row r="3050" spans="20:20">
      <c r="T3050" t="str">
        <f t="shared" si="59"/>
        <v/>
      </c>
    </row>
    <row r="3051" spans="20:20">
      <c r="T3051" t="str">
        <f t="shared" si="59"/>
        <v/>
      </c>
    </row>
    <row r="3052" spans="20:20">
      <c r="T3052" t="str">
        <f t="shared" si="59"/>
        <v/>
      </c>
    </row>
    <row r="3053" spans="20:20">
      <c r="T3053" t="str">
        <f t="shared" si="59"/>
        <v/>
      </c>
    </row>
    <row r="3054" spans="20:20">
      <c r="T3054" t="str">
        <f t="shared" si="59"/>
        <v/>
      </c>
    </row>
    <row r="3055" spans="20:20">
      <c r="T3055" t="str">
        <f t="shared" si="59"/>
        <v/>
      </c>
    </row>
    <row r="3056" spans="20:20">
      <c r="T3056" t="str">
        <f t="shared" si="59"/>
        <v/>
      </c>
    </row>
    <row r="3057" spans="20:20">
      <c r="T3057" t="str">
        <f t="shared" si="59"/>
        <v/>
      </c>
    </row>
    <row r="3058" spans="20:20">
      <c r="T3058" t="str">
        <f t="shared" si="59"/>
        <v/>
      </c>
    </row>
    <row r="3059" spans="20:20">
      <c r="T3059" t="str">
        <f t="shared" si="59"/>
        <v/>
      </c>
    </row>
    <row r="3060" spans="20:20">
      <c r="T3060" t="str">
        <f t="shared" si="59"/>
        <v/>
      </c>
    </row>
    <row r="3061" spans="20:20">
      <c r="T3061" t="str">
        <f t="shared" si="59"/>
        <v/>
      </c>
    </row>
    <row r="3062" spans="20:20">
      <c r="T3062" t="str">
        <f t="shared" si="59"/>
        <v/>
      </c>
    </row>
    <row r="3063" spans="20:20">
      <c r="T3063" t="str">
        <f t="shared" si="59"/>
        <v/>
      </c>
    </row>
    <row r="3064" spans="20:20">
      <c r="T3064" t="str">
        <f t="shared" si="59"/>
        <v/>
      </c>
    </row>
    <row r="3065" spans="20:20">
      <c r="T3065" t="str">
        <f t="shared" si="59"/>
        <v/>
      </c>
    </row>
    <row r="3066" spans="20:20">
      <c r="T3066" t="str">
        <f t="shared" si="59"/>
        <v/>
      </c>
    </row>
    <row r="3067" spans="20:20">
      <c r="T3067" t="str">
        <f t="shared" si="59"/>
        <v/>
      </c>
    </row>
    <row r="3068" spans="20:20">
      <c r="T3068" t="str">
        <f t="shared" si="59"/>
        <v/>
      </c>
    </row>
    <row r="3069" spans="20:20">
      <c r="T3069" t="str">
        <f t="shared" si="59"/>
        <v/>
      </c>
    </row>
    <row r="3070" spans="20:20">
      <c r="T3070" t="str">
        <f t="shared" si="59"/>
        <v/>
      </c>
    </row>
    <row r="3071" spans="20:20">
      <c r="T3071" t="str">
        <f t="shared" si="59"/>
        <v/>
      </c>
    </row>
    <row r="3072" spans="20:20">
      <c r="T3072" t="str">
        <f t="shared" si="59"/>
        <v/>
      </c>
    </row>
    <row r="3073" spans="20:20">
      <c r="T3073" t="str">
        <f t="shared" si="59"/>
        <v/>
      </c>
    </row>
    <row r="3074" spans="20:20">
      <c r="T3074" t="str">
        <f t="shared" ref="T3074:T3137" si="60">IF(C3074="","",UPPER(LEFT(SUBSTITUTE(C3074," ",""),3))&amp;"-"&amp;TEXT(B3074,"AAMMDD")&amp;"-1")</f>
        <v/>
      </c>
    </row>
    <row r="3075" spans="20:20">
      <c r="T3075" t="str">
        <f t="shared" si="60"/>
        <v/>
      </c>
    </row>
    <row r="3076" spans="20:20">
      <c r="T3076" t="str">
        <f t="shared" si="60"/>
        <v/>
      </c>
    </row>
    <row r="3077" spans="20:20">
      <c r="T3077" t="str">
        <f t="shared" si="60"/>
        <v/>
      </c>
    </row>
    <row r="3078" spans="20:20">
      <c r="T3078" t="str">
        <f t="shared" si="60"/>
        <v/>
      </c>
    </row>
    <row r="3079" spans="20:20">
      <c r="T3079" t="str">
        <f t="shared" si="60"/>
        <v/>
      </c>
    </row>
    <row r="3080" spans="20:20">
      <c r="T3080" t="str">
        <f t="shared" si="60"/>
        <v/>
      </c>
    </row>
    <row r="3081" spans="20:20">
      <c r="T3081" t="str">
        <f t="shared" si="60"/>
        <v/>
      </c>
    </row>
    <row r="3082" spans="20:20">
      <c r="T3082" t="str">
        <f t="shared" si="60"/>
        <v/>
      </c>
    </row>
    <row r="3083" spans="20:20">
      <c r="T3083" t="str">
        <f t="shared" si="60"/>
        <v/>
      </c>
    </row>
    <row r="3084" spans="20:20">
      <c r="T3084" t="str">
        <f t="shared" si="60"/>
        <v/>
      </c>
    </row>
    <row r="3085" spans="20:20">
      <c r="T3085" t="str">
        <f t="shared" si="60"/>
        <v/>
      </c>
    </row>
    <row r="3086" spans="20:20">
      <c r="T3086" t="str">
        <f t="shared" si="60"/>
        <v/>
      </c>
    </row>
    <row r="3087" spans="20:20">
      <c r="T3087" t="str">
        <f t="shared" si="60"/>
        <v/>
      </c>
    </row>
    <row r="3088" spans="20:20">
      <c r="T3088" t="str">
        <f t="shared" si="60"/>
        <v/>
      </c>
    </row>
    <row r="3089" spans="20:20">
      <c r="T3089" t="str">
        <f t="shared" si="60"/>
        <v/>
      </c>
    </row>
    <row r="3090" spans="20:20">
      <c r="T3090" t="str">
        <f t="shared" si="60"/>
        <v/>
      </c>
    </row>
    <row r="3091" spans="20:20">
      <c r="T3091" t="str">
        <f t="shared" si="60"/>
        <v/>
      </c>
    </row>
    <row r="3092" spans="20:20">
      <c r="T3092" t="str">
        <f t="shared" si="60"/>
        <v/>
      </c>
    </row>
    <row r="3093" spans="20:20">
      <c r="T3093" t="str">
        <f t="shared" si="60"/>
        <v/>
      </c>
    </row>
    <row r="3094" spans="20:20">
      <c r="T3094" t="str">
        <f t="shared" si="60"/>
        <v/>
      </c>
    </row>
    <row r="3095" spans="20:20">
      <c r="T3095" t="str">
        <f t="shared" si="60"/>
        <v/>
      </c>
    </row>
    <row r="3096" spans="20:20">
      <c r="T3096" t="str">
        <f t="shared" si="60"/>
        <v/>
      </c>
    </row>
    <row r="3097" spans="20:20">
      <c r="T3097" t="str">
        <f t="shared" si="60"/>
        <v/>
      </c>
    </row>
    <row r="3098" spans="20:20">
      <c r="T3098" t="str">
        <f t="shared" si="60"/>
        <v/>
      </c>
    </row>
    <row r="3099" spans="20:20">
      <c r="T3099" t="str">
        <f t="shared" si="60"/>
        <v/>
      </c>
    </row>
    <row r="3100" spans="20:20">
      <c r="T3100" t="str">
        <f t="shared" si="60"/>
        <v/>
      </c>
    </row>
    <row r="3101" spans="20:20">
      <c r="T3101" t="str">
        <f t="shared" si="60"/>
        <v/>
      </c>
    </row>
    <row r="3102" spans="20:20">
      <c r="T3102" t="str">
        <f t="shared" si="60"/>
        <v/>
      </c>
    </row>
    <row r="3103" spans="20:20">
      <c r="T3103" t="str">
        <f t="shared" si="60"/>
        <v/>
      </c>
    </row>
    <row r="3104" spans="20:20">
      <c r="T3104" t="str">
        <f t="shared" si="60"/>
        <v/>
      </c>
    </row>
    <row r="3105" spans="20:20">
      <c r="T3105" t="str">
        <f t="shared" si="60"/>
        <v/>
      </c>
    </row>
    <row r="3106" spans="20:20">
      <c r="T3106" t="str">
        <f t="shared" si="60"/>
        <v/>
      </c>
    </row>
    <row r="3107" spans="20:20">
      <c r="T3107" t="str">
        <f t="shared" si="60"/>
        <v/>
      </c>
    </row>
    <row r="3108" spans="20:20">
      <c r="T3108" t="str">
        <f t="shared" si="60"/>
        <v/>
      </c>
    </row>
    <row r="3109" spans="20:20">
      <c r="T3109" t="str">
        <f t="shared" si="60"/>
        <v/>
      </c>
    </row>
    <row r="3110" spans="20:20">
      <c r="T3110" t="str">
        <f t="shared" si="60"/>
        <v/>
      </c>
    </row>
    <row r="3111" spans="20:20">
      <c r="T3111" t="str">
        <f t="shared" si="60"/>
        <v/>
      </c>
    </row>
    <row r="3112" spans="20:20">
      <c r="T3112" t="str">
        <f t="shared" si="60"/>
        <v/>
      </c>
    </row>
    <row r="3113" spans="20:20">
      <c r="T3113" t="str">
        <f t="shared" si="60"/>
        <v/>
      </c>
    </row>
    <row r="3114" spans="20:20">
      <c r="T3114" t="str">
        <f t="shared" si="60"/>
        <v/>
      </c>
    </row>
    <row r="3115" spans="20:20">
      <c r="T3115" t="str">
        <f t="shared" si="60"/>
        <v/>
      </c>
    </row>
    <row r="3116" spans="20:20">
      <c r="T3116" t="str">
        <f t="shared" si="60"/>
        <v/>
      </c>
    </row>
    <row r="3117" spans="20:20">
      <c r="T3117" t="str">
        <f t="shared" si="60"/>
        <v/>
      </c>
    </row>
    <row r="3118" spans="20:20">
      <c r="T3118" t="str">
        <f t="shared" si="60"/>
        <v/>
      </c>
    </row>
    <row r="3119" spans="20:20">
      <c r="T3119" t="str">
        <f t="shared" si="60"/>
        <v/>
      </c>
    </row>
    <row r="3120" spans="20:20">
      <c r="T3120" t="str">
        <f t="shared" si="60"/>
        <v/>
      </c>
    </row>
    <row r="3121" spans="20:20">
      <c r="T3121" t="str">
        <f t="shared" si="60"/>
        <v/>
      </c>
    </row>
    <row r="3122" spans="20:20">
      <c r="T3122" t="str">
        <f t="shared" si="60"/>
        <v/>
      </c>
    </row>
    <row r="3123" spans="20:20">
      <c r="T3123" t="str">
        <f t="shared" si="60"/>
        <v/>
      </c>
    </row>
    <row r="3124" spans="20:20">
      <c r="T3124" t="str">
        <f t="shared" si="60"/>
        <v/>
      </c>
    </row>
    <row r="3125" spans="20:20">
      <c r="T3125" t="str">
        <f t="shared" si="60"/>
        <v/>
      </c>
    </row>
    <row r="3126" spans="20:20">
      <c r="T3126" t="str">
        <f t="shared" si="60"/>
        <v/>
      </c>
    </row>
    <row r="3127" spans="20:20">
      <c r="T3127" t="str">
        <f t="shared" si="60"/>
        <v/>
      </c>
    </row>
    <row r="3128" spans="20:20">
      <c r="T3128" t="str">
        <f t="shared" si="60"/>
        <v/>
      </c>
    </row>
    <row r="3129" spans="20:20">
      <c r="T3129" t="str">
        <f t="shared" si="60"/>
        <v/>
      </c>
    </row>
    <row r="3130" spans="20:20">
      <c r="T3130" t="str">
        <f t="shared" si="60"/>
        <v/>
      </c>
    </row>
    <row r="3131" spans="20:20">
      <c r="T3131" t="str">
        <f t="shared" si="60"/>
        <v/>
      </c>
    </row>
    <row r="3132" spans="20:20">
      <c r="T3132" t="str">
        <f t="shared" si="60"/>
        <v/>
      </c>
    </row>
    <row r="3133" spans="20:20">
      <c r="T3133" t="str">
        <f t="shared" si="60"/>
        <v/>
      </c>
    </row>
    <row r="3134" spans="20:20">
      <c r="T3134" t="str">
        <f t="shared" si="60"/>
        <v/>
      </c>
    </row>
    <row r="3135" spans="20:20">
      <c r="T3135" t="str">
        <f t="shared" si="60"/>
        <v/>
      </c>
    </row>
    <row r="3136" spans="20:20">
      <c r="T3136" t="str">
        <f t="shared" si="60"/>
        <v/>
      </c>
    </row>
    <row r="3137" spans="20:20">
      <c r="T3137" t="str">
        <f t="shared" si="60"/>
        <v/>
      </c>
    </row>
    <row r="3138" spans="20:20">
      <c r="T3138" t="str">
        <f t="shared" ref="T3138:T3201" si="61">IF(C3138="","",UPPER(LEFT(SUBSTITUTE(C3138," ",""),3))&amp;"-"&amp;TEXT(B3138,"AAMMDD")&amp;"-1")</f>
        <v/>
      </c>
    </row>
    <row r="3139" spans="20:20">
      <c r="T3139" t="str">
        <f t="shared" si="61"/>
        <v/>
      </c>
    </row>
    <row r="3140" spans="20:20">
      <c r="T3140" t="str">
        <f t="shared" si="61"/>
        <v/>
      </c>
    </row>
    <row r="3141" spans="20:20">
      <c r="T3141" t="str">
        <f t="shared" si="61"/>
        <v/>
      </c>
    </row>
    <row r="3142" spans="20:20">
      <c r="T3142" t="str">
        <f t="shared" si="61"/>
        <v/>
      </c>
    </row>
    <row r="3143" spans="20:20">
      <c r="T3143" t="str">
        <f t="shared" si="61"/>
        <v/>
      </c>
    </row>
    <row r="3144" spans="20:20">
      <c r="T3144" t="str">
        <f t="shared" si="61"/>
        <v/>
      </c>
    </row>
    <row r="3145" spans="20:20">
      <c r="T3145" t="str">
        <f t="shared" si="61"/>
        <v/>
      </c>
    </row>
    <row r="3146" spans="20:20">
      <c r="T3146" t="str">
        <f t="shared" si="61"/>
        <v/>
      </c>
    </row>
    <row r="3147" spans="20:20">
      <c r="T3147" t="str">
        <f t="shared" si="61"/>
        <v/>
      </c>
    </row>
    <row r="3148" spans="20:20">
      <c r="T3148" t="str">
        <f t="shared" si="61"/>
        <v/>
      </c>
    </row>
    <row r="3149" spans="20:20">
      <c r="T3149" t="str">
        <f t="shared" si="61"/>
        <v/>
      </c>
    </row>
    <row r="3150" spans="20:20">
      <c r="T3150" t="str">
        <f t="shared" si="61"/>
        <v/>
      </c>
    </row>
    <row r="3151" spans="20:20">
      <c r="T3151" t="str">
        <f t="shared" si="61"/>
        <v/>
      </c>
    </row>
    <row r="3152" spans="20:20">
      <c r="T3152" t="str">
        <f t="shared" si="61"/>
        <v/>
      </c>
    </row>
    <row r="3153" spans="20:20">
      <c r="T3153" t="str">
        <f t="shared" si="61"/>
        <v/>
      </c>
    </row>
    <row r="3154" spans="20:20">
      <c r="T3154" t="str">
        <f t="shared" si="61"/>
        <v/>
      </c>
    </row>
    <row r="3155" spans="20:20">
      <c r="T3155" t="str">
        <f t="shared" si="61"/>
        <v/>
      </c>
    </row>
    <row r="3156" spans="20:20">
      <c r="T3156" t="str">
        <f t="shared" si="61"/>
        <v/>
      </c>
    </row>
    <row r="3157" spans="20:20">
      <c r="T3157" t="str">
        <f t="shared" si="61"/>
        <v/>
      </c>
    </row>
    <row r="3158" spans="20:20">
      <c r="T3158" t="str">
        <f t="shared" si="61"/>
        <v/>
      </c>
    </row>
    <row r="3159" spans="20:20">
      <c r="T3159" t="str">
        <f t="shared" si="61"/>
        <v/>
      </c>
    </row>
    <row r="3160" spans="20:20">
      <c r="T3160" t="str">
        <f t="shared" si="61"/>
        <v/>
      </c>
    </row>
    <row r="3161" spans="20:20">
      <c r="T3161" t="str">
        <f t="shared" si="61"/>
        <v/>
      </c>
    </row>
    <row r="3162" spans="20:20">
      <c r="T3162" t="str">
        <f t="shared" si="61"/>
        <v/>
      </c>
    </row>
    <row r="3163" spans="20:20">
      <c r="T3163" t="str">
        <f t="shared" si="61"/>
        <v/>
      </c>
    </row>
    <row r="3164" spans="20:20">
      <c r="T3164" t="str">
        <f t="shared" si="61"/>
        <v/>
      </c>
    </row>
    <row r="3165" spans="20:20">
      <c r="T3165" t="str">
        <f t="shared" si="61"/>
        <v/>
      </c>
    </row>
    <row r="3166" spans="20:20">
      <c r="T3166" t="str">
        <f t="shared" si="61"/>
        <v/>
      </c>
    </row>
    <row r="3167" spans="20:20">
      <c r="T3167" t="str">
        <f t="shared" si="61"/>
        <v/>
      </c>
    </row>
    <row r="3168" spans="20:20">
      <c r="T3168" t="str">
        <f t="shared" si="61"/>
        <v/>
      </c>
    </row>
    <row r="3169" spans="20:20">
      <c r="T3169" t="str">
        <f t="shared" si="61"/>
        <v/>
      </c>
    </row>
    <row r="3170" spans="20:20">
      <c r="T3170" t="str">
        <f t="shared" si="61"/>
        <v/>
      </c>
    </row>
    <row r="3171" spans="20:20">
      <c r="T3171" t="str">
        <f t="shared" si="61"/>
        <v/>
      </c>
    </row>
    <row r="3172" spans="20:20">
      <c r="T3172" t="str">
        <f t="shared" si="61"/>
        <v/>
      </c>
    </row>
    <row r="3173" spans="20:20">
      <c r="T3173" t="str">
        <f t="shared" si="61"/>
        <v/>
      </c>
    </row>
    <row r="3174" spans="20:20">
      <c r="T3174" t="str">
        <f t="shared" si="61"/>
        <v/>
      </c>
    </row>
    <row r="3175" spans="20:20">
      <c r="T3175" t="str">
        <f t="shared" si="61"/>
        <v/>
      </c>
    </row>
    <row r="3176" spans="20:20">
      <c r="T3176" t="str">
        <f t="shared" si="61"/>
        <v/>
      </c>
    </row>
    <row r="3177" spans="20:20">
      <c r="T3177" t="str">
        <f t="shared" si="61"/>
        <v/>
      </c>
    </row>
    <row r="3178" spans="20:20">
      <c r="T3178" t="str">
        <f t="shared" si="61"/>
        <v/>
      </c>
    </row>
    <row r="3179" spans="20:20">
      <c r="T3179" t="str">
        <f t="shared" si="61"/>
        <v/>
      </c>
    </row>
    <row r="3180" spans="20:20">
      <c r="T3180" t="str">
        <f t="shared" si="61"/>
        <v/>
      </c>
    </row>
    <row r="3181" spans="20:20">
      <c r="T3181" t="str">
        <f t="shared" si="61"/>
        <v/>
      </c>
    </row>
    <row r="3182" spans="20:20">
      <c r="T3182" t="str">
        <f t="shared" si="61"/>
        <v/>
      </c>
    </row>
    <row r="3183" spans="20:20">
      <c r="T3183" t="str">
        <f t="shared" si="61"/>
        <v/>
      </c>
    </row>
    <row r="3184" spans="20:20">
      <c r="T3184" t="str">
        <f t="shared" si="61"/>
        <v/>
      </c>
    </row>
    <row r="3185" spans="20:20">
      <c r="T3185" t="str">
        <f t="shared" si="61"/>
        <v/>
      </c>
    </row>
    <row r="3186" spans="20:20">
      <c r="T3186" t="str">
        <f t="shared" si="61"/>
        <v/>
      </c>
    </row>
    <row r="3187" spans="20:20">
      <c r="T3187" t="str">
        <f t="shared" si="61"/>
        <v/>
      </c>
    </row>
    <row r="3188" spans="20:20">
      <c r="T3188" t="str">
        <f t="shared" si="61"/>
        <v/>
      </c>
    </row>
    <row r="3189" spans="20:20">
      <c r="T3189" t="str">
        <f t="shared" si="61"/>
        <v/>
      </c>
    </row>
    <row r="3190" spans="20:20">
      <c r="T3190" t="str">
        <f t="shared" si="61"/>
        <v/>
      </c>
    </row>
    <row r="3191" spans="20:20">
      <c r="T3191" t="str">
        <f t="shared" si="61"/>
        <v/>
      </c>
    </row>
    <row r="3192" spans="20:20">
      <c r="T3192" t="str">
        <f t="shared" si="61"/>
        <v/>
      </c>
    </row>
    <row r="3193" spans="20:20">
      <c r="T3193" t="str">
        <f t="shared" si="61"/>
        <v/>
      </c>
    </row>
    <row r="3194" spans="20:20">
      <c r="T3194" t="str">
        <f t="shared" si="61"/>
        <v/>
      </c>
    </row>
    <row r="3195" spans="20:20">
      <c r="T3195" t="str">
        <f t="shared" si="61"/>
        <v/>
      </c>
    </row>
    <row r="3196" spans="20:20">
      <c r="T3196" t="str">
        <f t="shared" si="61"/>
        <v/>
      </c>
    </row>
    <row r="3197" spans="20:20">
      <c r="T3197" t="str">
        <f t="shared" si="61"/>
        <v/>
      </c>
    </row>
    <row r="3198" spans="20:20">
      <c r="T3198" t="str">
        <f t="shared" si="61"/>
        <v/>
      </c>
    </row>
    <row r="3199" spans="20:20">
      <c r="T3199" t="str">
        <f t="shared" si="61"/>
        <v/>
      </c>
    </row>
    <row r="3200" spans="20:20">
      <c r="T3200" t="str">
        <f t="shared" si="61"/>
        <v/>
      </c>
    </row>
    <row r="3201" spans="20:20">
      <c r="T3201" t="str">
        <f t="shared" si="61"/>
        <v/>
      </c>
    </row>
    <row r="3202" spans="20:20">
      <c r="T3202" t="str">
        <f t="shared" ref="T3202:T3265" si="62">IF(C3202="","",UPPER(LEFT(SUBSTITUTE(C3202," ",""),3))&amp;"-"&amp;TEXT(B3202,"AAMMDD")&amp;"-1")</f>
        <v/>
      </c>
    </row>
    <row r="3203" spans="20:20">
      <c r="T3203" t="str">
        <f t="shared" si="62"/>
        <v/>
      </c>
    </row>
    <row r="3204" spans="20:20">
      <c r="T3204" t="str">
        <f t="shared" si="62"/>
        <v/>
      </c>
    </row>
    <row r="3205" spans="20:20">
      <c r="T3205" t="str">
        <f t="shared" si="62"/>
        <v/>
      </c>
    </row>
    <row r="3206" spans="20:20">
      <c r="T3206" t="str">
        <f t="shared" si="62"/>
        <v/>
      </c>
    </row>
    <row r="3207" spans="20:20">
      <c r="T3207" t="str">
        <f t="shared" si="62"/>
        <v/>
      </c>
    </row>
    <row r="3208" spans="20:20">
      <c r="T3208" t="str">
        <f t="shared" si="62"/>
        <v/>
      </c>
    </row>
    <row r="3209" spans="20:20">
      <c r="T3209" t="str">
        <f t="shared" si="62"/>
        <v/>
      </c>
    </row>
    <row r="3210" spans="20:20">
      <c r="T3210" t="str">
        <f t="shared" si="62"/>
        <v/>
      </c>
    </row>
    <row r="3211" spans="20:20">
      <c r="T3211" t="str">
        <f t="shared" si="62"/>
        <v/>
      </c>
    </row>
    <row r="3212" spans="20:20">
      <c r="T3212" t="str">
        <f t="shared" si="62"/>
        <v/>
      </c>
    </row>
    <row r="3213" spans="20:20">
      <c r="T3213" t="str">
        <f t="shared" si="62"/>
        <v/>
      </c>
    </row>
    <row r="3214" spans="20:20">
      <c r="T3214" t="str">
        <f t="shared" si="62"/>
        <v/>
      </c>
    </row>
    <row r="3215" spans="20:20">
      <c r="T3215" t="str">
        <f t="shared" si="62"/>
        <v/>
      </c>
    </row>
    <row r="3216" spans="20:20">
      <c r="T3216" t="str">
        <f t="shared" si="62"/>
        <v/>
      </c>
    </row>
    <row r="3217" spans="20:20">
      <c r="T3217" t="str">
        <f t="shared" si="62"/>
        <v/>
      </c>
    </row>
    <row r="3218" spans="20:20">
      <c r="T3218" t="str">
        <f t="shared" si="62"/>
        <v/>
      </c>
    </row>
    <row r="3219" spans="20:20">
      <c r="T3219" t="str">
        <f t="shared" si="62"/>
        <v/>
      </c>
    </row>
    <row r="3220" spans="20:20">
      <c r="T3220" t="str">
        <f t="shared" si="62"/>
        <v/>
      </c>
    </row>
    <row r="3221" spans="20:20">
      <c r="T3221" t="str">
        <f t="shared" si="62"/>
        <v/>
      </c>
    </row>
    <row r="3222" spans="20:20">
      <c r="T3222" t="str">
        <f t="shared" si="62"/>
        <v/>
      </c>
    </row>
    <row r="3223" spans="20:20">
      <c r="T3223" t="str">
        <f t="shared" si="62"/>
        <v/>
      </c>
    </row>
    <row r="3224" spans="20:20">
      <c r="T3224" t="str">
        <f t="shared" si="62"/>
        <v/>
      </c>
    </row>
    <row r="3225" spans="20:20">
      <c r="T3225" t="str">
        <f t="shared" si="62"/>
        <v/>
      </c>
    </row>
    <row r="3226" spans="20:20">
      <c r="T3226" t="str">
        <f t="shared" si="62"/>
        <v/>
      </c>
    </row>
    <row r="3227" spans="20:20">
      <c r="T3227" t="str">
        <f t="shared" si="62"/>
        <v/>
      </c>
    </row>
    <row r="3228" spans="20:20">
      <c r="T3228" t="str">
        <f t="shared" si="62"/>
        <v/>
      </c>
    </row>
    <row r="3229" spans="20:20">
      <c r="T3229" t="str">
        <f t="shared" si="62"/>
        <v/>
      </c>
    </row>
    <row r="3230" spans="20:20">
      <c r="T3230" t="str">
        <f t="shared" si="62"/>
        <v/>
      </c>
    </row>
    <row r="3231" spans="20:20">
      <c r="T3231" t="str">
        <f t="shared" si="62"/>
        <v/>
      </c>
    </row>
    <row r="3232" spans="20:20">
      <c r="T3232" t="str">
        <f t="shared" si="62"/>
        <v/>
      </c>
    </row>
    <row r="3233" spans="20:20">
      <c r="T3233" t="str">
        <f t="shared" si="62"/>
        <v/>
      </c>
    </row>
    <row r="3234" spans="20:20">
      <c r="T3234" t="str">
        <f t="shared" si="62"/>
        <v/>
      </c>
    </row>
    <row r="3235" spans="20:20">
      <c r="T3235" t="str">
        <f t="shared" si="62"/>
        <v/>
      </c>
    </row>
    <row r="3236" spans="20:20">
      <c r="T3236" t="str">
        <f t="shared" si="62"/>
        <v/>
      </c>
    </row>
    <row r="3237" spans="20:20">
      <c r="T3237" t="str">
        <f t="shared" si="62"/>
        <v/>
      </c>
    </row>
    <row r="3238" spans="20:20">
      <c r="T3238" t="str">
        <f t="shared" si="62"/>
        <v/>
      </c>
    </row>
    <row r="3239" spans="20:20">
      <c r="T3239" t="str">
        <f t="shared" si="62"/>
        <v/>
      </c>
    </row>
    <row r="3240" spans="20:20">
      <c r="T3240" t="str">
        <f t="shared" si="62"/>
        <v/>
      </c>
    </row>
    <row r="3241" spans="20:20">
      <c r="T3241" t="str">
        <f t="shared" si="62"/>
        <v/>
      </c>
    </row>
    <row r="3242" spans="20:20">
      <c r="T3242" t="str">
        <f t="shared" si="62"/>
        <v/>
      </c>
    </row>
    <row r="3243" spans="20:20">
      <c r="T3243" t="str">
        <f t="shared" si="62"/>
        <v/>
      </c>
    </row>
    <row r="3244" spans="20:20">
      <c r="T3244" t="str">
        <f t="shared" si="62"/>
        <v/>
      </c>
    </row>
    <row r="3245" spans="20:20">
      <c r="T3245" t="str">
        <f t="shared" si="62"/>
        <v/>
      </c>
    </row>
    <row r="3246" spans="20:20">
      <c r="T3246" t="str">
        <f t="shared" si="62"/>
        <v/>
      </c>
    </row>
    <row r="3247" spans="20:20">
      <c r="T3247" t="str">
        <f t="shared" si="62"/>
        <v/>
      </c>
    </row>
    <row r="3248" spans="20:20">
      <c r="T3248" t="str">
        <f t="shared" si="62"/>
        <v/>
      </c>
    </row>
    <row r="3249" spans="20:20">
      <c r="T3249" t="str">
        <f t="shared" si="62"/>
        <v/>
      </c>
    </row>
    <row r="3250" spans="20:20">
      <c r="T3250" t="str">
        <f t="shared" si="62"/>
        <v/>
      </c>
    </row>
    <row r="3251" spans="20:20">
      <c r="T3251" t="str">
        <f t="shared" si="62"/>
        <v/>
      </c>
    </row>
    <row r="3252" spans="20:20">
      <c r="T3252" t="str">
        <f t="shared" si="62"/>
        <v/>
      </c>
    </row>
    <row r="3253" spans="20:20">
      <c r="T3253" t="str">
        <f t="shared" si="62"/>
        <v/>
      </c>
    </row>
    <row r="3254" spans="20:20">
      <c r="T3254" t="str">
        <f t="shared" si="62"/>
        <v/>
      </c>
    </row>
    <row r="3255" spans="20:20">
      <c r="T3255" t="str">
        <f t="shared" si="62"/>
        <v/>
      </c>
    </row>
    <row r="3256" spans="20:20">
      <c r="T3256" t="str">
        <f t="shared" si="62"/>
        <v/>
      </c>
    </row>
    <row r="3257" spans="20:20">
      <c r="T3257" t="str">
        <f t="shared" si="62"/>
        <v/>
      </c>
    </row>
    <row r="3258" spans="20:20">
      <c r="T3258" t="str">
        <f t="shared" si="62"/>
        <v/>
      </c>
    </row>
    <row r="3259" spans="20:20">
      <c r="T3259" t="str">
        <f t="shared" si="62"/>
        <v/>
      </c>
    </row>
    <row r="3260" spans="20:20">
      <c r="T3260" t="str">
        <f t="shared" si="62"/>
        <v/>
      </c>
    </row>
    <row r="3261" spans="20:20">
      <c r="T3261" t="str">
        <f t="shared" si="62"/>
        <v/>
      </c>
    </row>
    <row r="3262" spans="20:20">
      <c r="T3262" t="str">
        <f t="shared" si="62"/>
        <v/>
      </c>
    </row>
    <row r="3263" spans="20:20">
      <c r="T3263" t="str">
        <f t="shared" si="62"/>
        <v/>
      </c>
    </row>
    <row r="3264" spans="20:20">
      <c r="T3264" t="str">
        <f t="shared" si="62"/>
        <v/>
      </c>
    </row>
    <row r="3265" spans="20:20">
      <c r="T3265" t="str">
        <f t="shared" si="62"/>
        <v/>
      </c>
    </row>
    <row r="3266" spans="20:20">
      <c r="T3266" t="str">
        <f t="shared" ref="T3266:T3329" si="63">IF(C3266="","",UPPER(LEFT(SUBSTITUTE(C3266," ",""),3))&amp;"-"&amp;TEXT(B3266,"AAMMDD")&amp;"-1")</f>
        <v/>
      </c>
    </row>
    <row r="3267" spans="20:20">
      <c r="T3267" t="str">
        <f t="shared" si="63"/>
        <v/>
      </c>
    </row>
    <row r="3268" spans="20:20">
      <c r="T3268" t="str">
        <f t="shared" si="63"/>
        <v/>
      </c>
    </row>
    <row r="3269" spans="20:20">
      <c r="T3269" t="str">
        <f t="shared" si="63"/>
        <v/>
      </c>
    </row>
    <row r="3270" spans="20:20">
      <c r="T3270" t="str">
        <f t="shared" si="63"/>
        <v/>
      </c>
    </row>
    <row r="3271" spans="20:20">
      <c r="T3271" t="str">
        <f t="shared" si="63"/>
        <v/>
      </c>
    </row>
    <row r="3272" spans="20:20">
      <c r="T3272" t="str">
        <f t="shared" si="63"/>
        <v/>
      </c>
    </row>
    <row r="3273" spans="20:20">
      <c r="T3273" t="str">
        <f t="shared" si="63"/>
        <v/>
      </c>
    </row>
    <row r="3274" spans="20:20">
      <c r="T3274" t="str">
        <f t="shared" si="63"/>
        <v/>
      </c>
    </row>
    <row r="3275" spans="20:20">
      <c r="T3275" t="str">
        <f t="shared" si="63"/>
        <v/>
      </c>
    </row>
    <row r="3276" spans="20:20">
      <c r="T3276" t="str">
        <f t="shared" si="63"/>
        <v/>
      </c>
    </row>
    <row r="3277" spans="20:20">
      <c r="T3277" t="str">
        <f t="shared" si="63"/>
        <v/>
      </c>
    </row>
    <row r="3278" spans="20:20">
      <c r="T3278" t="str">
        <f t="shared" si="63"/>
        <v/>
      </c>
    </row>
    <row r="3279" spans="20:20">
      <c r="T3279" t="str">
        <f t="shared" si="63"/>
        <v/>
      </c>
    </row>
    <row r="3280" spans="20:20">
      <c r="T3280" t="str">
        <f t="shared" si="63"/>
        <v/>
      </c>
    </row>
    <row r="3281" spans="20:20">
      <c r="T3281" t="str">
        <f t="shared" si="63"/>
        <v/>
      </c>
    </row>
    <row r="3282" spans="20:20">
      <c r="T3282" t="str">
        <f t="shared" si="63"/>
        <v/>
      </c>
    </row>
    <row r="3283" spans="20:20">
      <c r="T3283" t="str">
        <f t="shared" si="63"/>
        <v/>
      </c>
    </row>
    <row r="3284" spans="20:20">
      <c r="T3284" t="str">
        <f t="shared" si="63"/>
        <v/>
      </c>
    </row>
    <row r="3285" spans="20:20">
      <c r="T3285" t="str">
        <f t="shared" si="63"/>
        <v/>
      </c>
    </row>
    <row r="3286" spans="20:20">
      <c r="T3286" t="str">
        <f t="shared" si="63"/>
        <v/>
      </c>
    </row>
    <row r="3287" spans="20:20">
      <c r="T3287" t="str">
        <f t="shared" si="63"/>
        <v/>
      </c>
    </row>
    <row r="3288" spans="20:20">
      <c r="T3288" t="str">
        <f t="shared" si="63"/>
        <v/>
      </c>
    </row>
    <row r="3289" spans="20:20">
      <c r="T3289" t="str">
        <f t="shared" si="63"/>
        <v/>
      </c>
    </row>
    <row r="3290" spans="20:20">
      <c r="T3290" t="str">
        <f t="shared" si="63"/>
        <v/>
      </c>
    </row>
    <row r="3291" spans="20:20">
      <c r="T3291" t="str">
        <f t="shared" si="63"/>
        <v/>
      </c>
    </row>
    <row r="3292" spans="20:20">
      <c r="T3292" t="str">
        <f t="shared" si="63"/>
        <v/>
      </c>
    </row>
    <row r="3293" spans="20:20">
      <c r="T3293" t="str">
        <f t="shared" si="63"/>
        <v/>
      </c>
    </row>
    <row r="3294" spans="20:20">
      <c r="T3294" t="str">
        <f t="shared" si="63"/>
        <v/>
      </c>
    </row>
    <row r="3295" spans="20:20">
      <c r="T3295" t="str">
        <f t="shared" si="63"/>
        <v/>
      </c>
    </row>
    <row r="3296" spans="20:20">
      <c r="T3296" t="str">
        <f t="shared" si="63"/>
        <v/>
      </c>
    </row>
    <row r="3297" spans="20:20">
      <c r="T3297" t="str">
        <f t="shared" si="63"/>
        <v/>
      </c>
    </row>
    <row r="3298" spans="20:20">
      <c r="T3298" t="str">
        <f t="shared" si="63"/>
        <v/>
      </c>
    </row>
    <row r="3299" spans="20:20">
      <c r="T3299" t="str">
        <f t="shared" si="63"/>
        <v/>
      </c>
    </row>
    <row r="3300" spans="20:20">
      <c r="T3300" t="str">
        <f t="shared" si="63"/>
        <v/>
      </c>
    </row>
    <row r="3301" spans="20:20">
      <c r="T3301" t="str">
        <f t="shared" si="63"/>
        <v/>
      </c>
    </row>
    <row r="3302" spans="20:20">
      <c r="T3302" t="str">
        <f t="shared" si="63"/>
        <v/>
      </c>
    </row>
    <row r="3303" spans="20:20">
      <c r="T3303" t="str">
        <f t="shared" si="63"/>
        <v/>
      </c>
    </row>
    <row r="3304" spans="20:20">
      <c r="T3304" t="str">
        <f t="shared" si="63"/>
        <v/>
      </c>
    </row>
    <row r="3305" spans="20:20">
      <c r="T3305" t="str">
        <f t="shared" si="63"/>
        <v/>
      </c>
    </row>
    <row r="3306" spans="20:20">
      <c r="T3306" t="str">
        <f t="shared" si="63"/>
        <v/>
      </c>
    </row>
    <row r="3307" spans="20:20">
      <c r="T3307" t="str">
        <f t="shared" si="63"/>
        <v/>
      </c>
    </row>
    <row r="3308" spans="20:20">
      <c r="T3308" t="str">
        <f t="shared" si="63"/>
        <v/>
      </c>
    </row>
    <row r="3309" spans="20:20">
      <c r="T3309" t="str">
        <f t="shared" si="63"/>
        <v/>
      </c>
    </row>
    <row r="3310" spans="20:20">
      <c r="T3310" t="str">
        <f t="shared" si="63"/>
        <v/>
      </c>
    </row>
    <row r="3311" spans="20:20">
      <c r="T3311" t="str">
        <f t="shared" si="63"/>
        <v/>
      </c>
    </row>
    <row r="3312" spans="20:20">
      <c r="T3312" t="str">
        <f t="shared" si="63"/>
        <v/>
      </c>
    </row>
    <row r="3313" spans="20:20">
      <c r="T3313" t="str">
        <f t="shared" si="63"/>
        <v/>
      </c>
    </row>
    <row r="3314" spans="20:20">
      <c r="T3314" t="str">
        <f t="shared" si="63"/>
        <v/>
      </c>
    </row>
    <row r="3315" spans="20:20">
      <c r="T3315" t="str">
        <f t="shared" si="63"/>
        <v/>
      </c>
    </row>
    <row r="3316" spans="20:20">
      <c r="T3316" t="str">
        <f t="shared" si="63"/>
        <v/>
      </c>
    </row>
    <row r="3317" spans="20:20">
      <c r="T3317" t="str">
        <f t="shared" si="63"/>
        <v/>
      </c>
    </row>
    <row r="3318" spans="20:20">
      <c r="T3318" t="str">
        <f t="shared" si="63"/>
        <v/>
      </c>
    </row>
    <row r="3319" spans="20:20">
      <c r="T3319" t="str">
        <f t="shared" si="63"/>
        <v/>
      </c>
    </row>
    <row r="3320" spans="20:20">
      <c r="T3320" t="str">
        <f t="shared" si="63"/>
        <v/>
      </c>
    </row>
    <row r="3321" spans="20:20">
      <c r="T3321" t="str">
        <f t="shared" si="63"/>
        <v/>
      </c>
    </row>
    <row r="3322" spans="20:20">
      <c r="T3322" t="str">
        <f t="shared" si="63"/>
        <v/>
      </c>
    </row>
    <row r="3323" spans="20:20">
      <c r="T3323" t="str">
        <f t="shared" si="63"/>
        <v/>
      </c>
    </row>
    <row r="3324" spans="20:20">
      <c r="T3324" t="str">
        <f t="shared" si="63"/>
        <v/>
      </c>
    </row>
    <row r="3325" spans="20:20">
      <c r="T3325" t="str">
        <f t="shared" si="63"/>
        <v/>
      </c>
    </row>
    <row r="3326" spans="20:20">
      <c r="T3326" t="str">
        <f t="shared" si="63"/>
        <v/>
      </c>
    </row>
    <row r="3327" spans="20:20">
      <c r="T3327" t="str">
        <f t="shared" si="63"/>
        <v/>
      </c>
    </row>
    <row r="3328" spans="20:20">
      <c r="T3328" t="str">
        <f t="shared" si="63"/>
        <v/>
      </c>
    </row>
    <row r="3329" spans="20:20">
      <c r="T3329" t="str">
        <f t="shared" si="63"/>
        <v/>
      </c>
    </row>
    <row r="3330" spans="20:20">
      <c r="T3330" t="str">
        <f t="shared" ref="T3330:T3393" si="64">IF(C3330="","",UPPER(LEFT(SUBSTITUTE(C3330," ",""),3))&amp;"-"&amp;TEXT(B3330,"AAMMDD")&amp;"-1")</f>
        <v/>
      </c>
    </row>
    <row r="3331" spans="20:20">
      <c r="T3331" t="str">
        <f t="shared" si="64"/>
        <v/>
      </c>
    </row>
    <row r="3332" spans="20:20">
      <c r="T3332" t="str">
        <f t="shared" si="64"/>
        <v/>
      </c>
    </row>
    <row r="3333" spans="20:20">
      <c r="T3333" t="str">
        <f t="shared" si="64"/>
        <v/>
      </c>
    </row>
    <row r="3334" spans="20:20">
      <c r="T3334" t="str">
        <f t="shared" si="64"/>
        <v/>
      </c>
    </row>
    <row r="3335" spans="20:20">
      <c r="T3335" t="str">
        <f t="shared" si="64"/>
        <v/>
      </c>
    </row>
    <row r="3336" spans="20:20">
      <c r="T3336" t="str">
        <f t="shared" si="64"/>
        <v/>
      </c>
    </row>
    <row r="3337" spans="20:20">
      <c r="T3337" t="str">
        <f t="shared" si="64"/>
        <v/>
      </c>
    </row>
    <row r="3338" spans="20:20">
      <c r="T3338" t="str">
        <f t="shared" si="64"/>
        <v/>
      </c>
    </row>
    <row r="3339" spans="20:20">
      <c r="T3339" t="str">
        <f t="shared" si="64"/>
        <v/>
      </c>
    </row>
    <row r="3340" spans="20:20">
      <c r="T3340" t="str">
        <f t="shared" si="64"/>
        <v/>
      </c>
    </row>
    <row r="3341" spans="20:20">
      <c r="T3341" t="str">
        <f t="shared" si="64"/>
        <v/>
      </c>
    </row>
    <row r="3342" spans="20:20">
      <c r="T3342" t="str">
        <f t="shared" si="64"/>
        <v/>
      </c>
    </row>
    <row r="3343" spans="20:20">
      <c r="T3343" t="str">
        <f t="shared" si="64"/>
        <v/>
      </c>
    </row>
    <row r="3344" spans="20:20">
      <c r="T3344" t="str">
        <f t="shared" si="64"/>
        <v/>
      </c>
    </row>
    <row r="3345" spans="20:20">
      <c r="T3345" t="str">
        <f t="shared" si="64"/>
        <v/>
      </c>
    </row>
    <row r="3346" spans="20:20">
      <c r="T3346" t="str">
        <f t="shared" si="64"/>
        <v/>
      </c>
    </row>
    <row r="3347" spans="20:20">
      <c r="T3347" t="str">
        <f t="shared" si="64"/>
        <v/>
      </c>
    </row>
    <row r="3348" spans="20:20">
      <c r="T3348" t="str">
        <f t="shared" si="64"/>
        <v/>
      </c>
    </row>
    <row r="3349" spans="20:20">
      <c r="T3349" t="str">
        <f t="shared" si="64"/>
        <v/>
      </c>
    </row>
    <row r="3350" spans="20:20">
      <c r="T3350" t="str">
        <f t="shared" si="64"/>
        <v/>
      </c>
    </row>
    <row r="3351" spans="20:20">
      <c r="T3351" t="str">
        <f t="shared" si="64"/>
        <v/>
      </c>
    </row>
    <row r="3352" spans="20:20">
      <c r="T3352" t="str">
        <f t="shared" si="64"/>
        <v/>
      </c>
    </row>
    <row r="3353" spans="20:20">
      <c r="T3353" t="str">
        <f t="shared" si="64"/>
        <v/>
      </c>
    </row>
    <row r="3354" spans="20:20">
      <c r="T3354" t="str">
        <f t="shared" si="64"/>
        <v/>
      </c>
    </row>
    <row r="3355" spans="20:20">
      <c r="T3355" t="str">
        <f t="shared" si="64"/>
        <v/>
      </c>
    </row>
    <row r="3356" spans="20:20">
      <c r="T3356" t="str">
        <f t="shared" si="64"/>
        <v/>
      </c>
    </row>
    <row r="3357" spans="20:20">
      <c r="T3357" t="str">
        <f t="shared" si="64"/>
        <v/>
      </c>
    </row>
    <row r="3358" spans="20:20">
      <c r="T3358" t="str">
        <f t="shared" si="64"/>
        <v/>
      </c>
    </row>
    <row r="3359" spans="20:20">
      <c r="T3359" t="str">
        <f t="shared" si="64"/>
        <v/>
      </c>
    </row>
    <row r="3360" spans="20:20">
      <c r="T3360" t="str">
        <f t="shared" si="64"/>
        <v/>
      </c>
    </row>
    <row r="3361" spans="20:20">
      <c r="T3361" t="str">
        <f t="shared" si="64"/>
        <v/>
      </c>
    </row>
    <row r="3362" spans="20:20">
      <c r="T3362" t="str">
        <f t="shared" si="64"/>
        <v/>
      </c>
    </row>
    <row r="3363" spans="20:20">
      <c r="T3363" t="str">
        <f t="shared" si="64"/>
        <v/>
      </c>
    </row>
    <row r="3364" spans="20:20">
      <c r="T3364" t="str">
        <f t="shared" si="64"/>
        <v/>
      </c>
    </row>
    <row r="3365" spans="20:20">
      <c r="T3365" t="str">
        <f t="shared" si="64"/>
        <v/>
      </c>
    </row>
    <row r="3366" spans="20:20">
      <c r="T3366" t="str">
        <f t="shared" si="64"/>
        <v/>
      </c>
    </row>
    <row r="3367" spans="20:20">
      <c r="T3367" t="str">
        <f t="shared" si="64"/>
        <v/>
      </c>
    </row>
    <row r="3368" spans="20:20">
      <c r="T3368" t="str">
        <f t="shared" si="64"/>
        <v/>
      </c>
    </row>
    <row r="3369" spans="20:20">
      <c r="T3369" t="str">
        <f t="shared" si="64"/>
        <v/>
      </c>
    </row>
    <row r="3370" spans="20:20">
      <c r="T3370" t="str">
        <f t="shared" si="64"/>
        <v/>
      </c>
    </row>
    <row r="3371" spans="20:20">
      <c r="T3371" t="str">
        <f t="shared" si="64"/>
        <v/>
      </c>
    </row>
    <row r="3372" spans="20:20">
      <c r="T3372" t="str">
        <f t="shared" si="64"/>
        <v/>
      </c>
    </row>
    <row r="3373" spans="20:20">
      <c r="T3373" t="str">
        <f t="shared" si="64"/>
        <v/>
      </c>
    </row>
    <row r="3374" spans="20:20">
      <c r="T3374" t="str">
        <f t="shared" si="64"/>
        <v/>
      </c>
    </row>
    <row r="3375" spans="20:20">
      <c r="T3375" t="str">
        <f t="shared" si="64"/>
        <v/>
      </c>
    </row>
    <row r="3376" spans="20:20">
      <c r="T3376" t="str">
        <f t="shared" si="64"/>
        <v/>
      </c>
    </row>
    <row r="3377" spans="20:20">
      <c r="T3377" t="str">
        <f t="shared" si="64"/>
        <v/>
      </c>
    </row>
    <row r="3378" spans="20:20">
      <c r="T3378" t="str">
        <f t="shared" si="64"/>
        <v/>
      </c>
    </row>
    <row r="3379" spans="20:20">
      <c r="T3379" t="str">
        <f t="shared" si="64"/>
        <v/>
      </c>
    </row>
    <row r="3380" spans="20:20">
      <c r="T3380" t="str">
        <f t="shared" si="64"/>
        <v/>
      </c>
    </row>
    <row r="3381" spans="20:20">
      <c r="T3381" t="str">
        <f t="shared" si="64"/>
        <v/>
      </c>
    </row>
    <row r="3382" spans="20:20">
      <c r="T3382" t="str">
        <f t="shared" si="64"/>
        <v/>
      </c>
    </row>
    <row r="3383" spans="20:20">
      <c r="T3383" t="str">
        <f t="shared" si="64"/>
        <v/>
      </c>
    </row>
    <row r="3384" spans="20:20">
      <c r="T3384" t="str">
        <f t="shared" si="64"/>
        <v/>
      </c>
    </row>
    <row r="3385" spans="20:20">
      <c r="T3385" t="str">
        <f t="shared" si="64"/>
        <v/>
      </c>
    </row>
    <row r="3386" spans="20:20">
      <c r="T3386" t="str">
        <f t="shared" si="64"/>
        <v/>
      </c>
    </row>
    <row r="3387" spans="20:20">
      <c r="T3387" t="str">
        <f t="shared" si="64"/>
        <v/>
      </c>
    </row>
    <row r="3388" spans="20:20">
      <c r="T3388" t="str">
        <f t="shared" si="64"/>
        <v/>
      </c>
    </row>
    <row r="3389" spans="20:20">
      <c r="T3389" t="str">
        <f t="shared" si="64"/>
        <v/>
      </c>
    </row>
    <row r="3390" spans="20:20">
      <c r="T3390" t="str">
        <f t="shared" si="64"/>
        <v/>
      </c>
    </row>
    <row r="3391" spans="20:20">
      <c r="T3391" t="str">
        <f t="shared" si="64"/>
        <v/>
      </c>
    </row>
    <row r="3392" spans="20:20">
      <c r="T3392" t="str">
        <f t="shared" si="64"/>
        <v/>
      </c>
    </row>
    <row r="3393" spans="20:20">
      <c r="T3393" t="str">
        <f t="shared" si="64"/>
        <v/>
      </c>
    </row>
    <row r="3394" spans="20:20">
      <c r="T3394" t="str">
        <f t="shared" ref="T3394:T3457" si="65">IF(C3394="","",UPPER(LEFT(SUBSTITUTE(C3394," ",""),3))&amp;"-"&amp;TEXT(B3394,"AAMMDD")&amp;"-1")</f>
        <v/>
      </c>
    </row>
    <row r="3395" spans="20:20">
      <c r="T3395" t="str">
        <f t="shared" si="65"/>
        <v/>
      </c>
    </row>
    <row r="3396" spans="20:20">
      <c r="T3396" t="str">
        <f t="shared" si="65"/>
        <v/>
      </c>
    </row>
    <row r="3397" spans="20:20">
      <c r="T3397" t="str">
        <f t="shared" si="65"/>
        <v/>
      </c>
    </row>
    <row r="3398" spans="20:20">
      <c r="T3398" t="str">
        <f t="shared" si="65"/>
        <v/>
      </c>
    </row>
    <row r="3399" spans="20:20">
      <c r="T3399" t="str">
        <f t="shared" si="65"/>
        <v/>
      </c>
    </row>
    <row r="3400" spans="20:20">
      <c r="T3400" t="str">
        <f t="shared" si="65"/>
        <v/>
      </c>
    </row>
    <row r="3401" spans="20:20">
      <c r="T3401" t="str">
        <f t="shared" si="65"/>
        <v/>
      </c>
    </row>
    <row r="3402" spans="20:20">
      <c r="T3402" t="str">
        <f t="shared" si="65"/>
        <v/>
      </c>
    </row>
    <row r="3403" spans="20:20">
      <c r="T3403" t="str">
        <f t="shared" si="65"/>
        <v/>
      </c>
    </row>
    <row r="3404" spans="20:20">
      <c r="T3404" t="str">
        <f t="shared" si="65"/>
        <v/>
      </c>
    </row>
    <row r="3405" spans="20:20">
      <c r="T3405" t="str">
        <f t="shared" si="65"/>
        <v/>
      </c>
    </row>
    <row r="3406" spans="20:20">
      <c r="T3406" t="str">
        <f t="shared" si="65"/>
        <v/>
      </c>
    </row>
    <row r="3407" spans="20:20">
      <c r="T3407" t="str">
        <f t="shared" si="65"/>
        <v/>
      </c>
    </row>
    <row r="3408" spans="20:20">
      <c r="T3408" t="str">
        <f t="shared" si="65"/>
        <v/>
      </c>
    </row>
    <row r="3409" spans="20:20">
      <c r="T3409" t="str">
        <f t="shared" si="65"/>
        <v/>
      </c>
    </row>
    <row r="3410" spans="20:20">
      <c r="T3410" t="str">
        <f t="shared" si="65"/>
        <v/>
      </c>
    </row>
    <row r="3411" spans="20:20">
      <c r="T3411" t="str">
        <f t="shared" si="65"/>
        <v/>
      </c>
    </row>
    <row r="3412" spans="20:20">
      <c r="T3412" t="str">
        <f t="shared" si="65"/>
        <v/>
      </c>
    </row>
    <row r="3413" spans="20:20">
      <c r="T3413" t="str">
        <f t="shared" si="65"/>
        <v/>
      </c>
    </row>
    <row r="3414" spans="20:20">
      <c r="T3414" t="str">
        <f t="shared" si="65"/>
        <v/>
      </c>
    </row>
    <row r="3415" spans="20:20">
      <c r="T3415" t="str">
        <f t="shared" si="65"/>
        <v/>
      </c>
    </row>
    <row r="3416" spans="20:20">
      <c r="T3416" t="str">
        <f t="shared" si="65"/>
        <v/>
      </c>
    </row>
    <row r="3417" spans="20:20">
      <c r="T3417" t="str">
        <f t="shared" si="65"/>
        <v/>
      </c>
    </row>
    <row r="3418" spans="20:20">
      <c r="T3418" t="str">
        <f t="shared" si="65"/>
        <v/>
      </c>
    </row>
    <row r="3419" spans="20:20">
      <c r="T3419" t="str">
        <f t="shared" si="65"/>
        <v/>
      </c>
    </row>
    <row r="3420" spans="20:20">
      <c r="T3420" t="str">
        <f t="shared" si="65"/>
        <v/>
      </c>
    </row>
    <row r="3421" spans="20:20">
      <c r="T3421" t="str">
        <f t="shared" si="65"/>
        <v/>
      </c>
    </row>
    <row r="3422" spans="20:20">
      <c r="T3422" t="str">
        <f t="shared" si="65"/>
        <v/>
      </c>
    </row>
    <row r="3423" spans="20:20">
      <c r="T3423" t="str">
        <f t="shared" si="65"/>
        <v/>
      </c>
    </row>
    <row r="3424" spans="20:20">
      <c r="T3424" t="str">
        <f t="shared" si="65"/>
        <v/>
      </c>
    </row>
    <row r="3425" spans="20:20">
      <c r="T3425" t="str">
        <f t="shared" si="65"/>
        <v/>
      </c>
    </row>
    <row r="3426" spans="20:20">
      <c r="T3426" t="str">
        <f t="shared" si="65"/>
        <v/>
      </c>
    </row>
    <row r="3427" spans="20:20">
      <c r="T3427" t="str">
        <f t="shared" si="65"/>
        <v/>
      </c>
    </row>
    <row r="3428" spans="20:20">
      <c r="T3428" t="str">
        <f t="shared" si="65"/>
        <v/>
      </c>
    </row>
    <row r="3429" spans="20:20">
      <c r="T3429" t="str">
        <f t="shared" si="65"/>
        <v/>
      </c>
    </row>
    <row r="3430" spans="20:20">
      <c r="T3430" t="str">
        <f t="shared" si="65"/>
        <v/>
      </c>
    </row>
    <row r="3431" spans="20:20">
      <c r="T3431" t="str">
        <f t="shared" si="65"/>
        <v/>
      </c>
    </row>
    <row r="3432" spans="20:20">
      <c r="T3432" t="str">
        <f t="shared" si="65"/>
        <v/>
      </c>
    </row>
    <row r="3433" spans="20:20">
      <c r="T3433" t="str">
        <f t="shared" si="65"/>
        <v/>
      </c>
    </row>
    <row r="3434" spans="20:20">
      <c r="T3434" t="str">
        <f t="shared" si="65"/>
        <v/>
      </c>
    </row>
    <row r="3435" spans="20:20">
      <c r="T3435" t="str">
        <f t="shared" si="65"/>
        <v/>
      </c>
    </row>
    <row r="3436" spans="20:20">
      <c r="T3436" t="str">
        <f t="shared" si="65"/>
        <v/>
      </c>
    </row>
    <row r="3437" spans="20:20">
      <c r="T3437" t="str">
        <f t="shared" si="65"/>
        <v/>
      </c>
    </row>
    <row r="3438" spans="20:20">
      <c r="T3438" t="str">
        <f t="shared" si="65"/>
        <v/>
      </c>
    </row>
    <row r="3439" spans="20:20">
      <c r="T3439" t="str">
        <f t="shared" si="65"/>
        <v/>
      </c>
    </row>
    <row r="3440" spans="20:20">
      <c r="T3440" t="str">
        <f t="shared" si="65"/>
        <v/>
      </c>
    </row>
    <row r="3441" spans="20:20">
      <c r="T3441" t="str">
        <f t="shared" si="65"/>
        <v/>
      </c>
    </row>
    <row r="3442" spans="20:20">
      <c r="T3442" t="str">
        <f t="shared" si="65"/>
        <v/>
      </c>
    </row>
    <row r="3443" spans="20:20">
      <c r="T3443" t="str">
        <f t="shared" si="65"/>
        <v/>
      </c>
    </row>
    <row r="3444" spans="20:20">
      <c r="T3444" t="str">
        <f t="shared" si="65"/>
        <v/>
      </c>
    </row>
    <row r="3445" spans="20:20">
      <c r="T3445" t="str">
        <f t="shared" si="65"/>
        <v/>
      </c>
    </row>
    <row r="3446" spans="20:20">
      <c r="T3446" t="str">
        <f t="shared" si="65"/>
        <v/>
      </c>
    </row>
    <row r="3447" spans="20:20">
      <c r="T3447" t="str">
        <f t="shared" si="65"/>
        <v/>
      </c>
    </row>
    <row r="3448" spans="20:20">
      <c r="T3448" t="str">
        <f t="shared" si="65"/>
        <v/>
      </c>
    </row>
    <row r="3449" spans="20:20">
      <c r="T3449" t="str">
        <f t="shared" si="65"/>
        <v/>
      </c>
    </row>
    <row r="3450" spans="20:20">
      <c r="T3450" t="str">
        <f t="shared" si="65"/>
        <v/>
      </c>
    </row>
    <row r="3451" spans="20:20">
      <c r="T3451" t="str">
        <f t="shared" si="65"/>
        <v/>
      </c>
    </row>
    <row r="3452" spans="20:20">
      <c r="T3452" t="str">
        <f t="shared" si="65"/>
        <v/>
      </c>
    </row>
    <row r="3453" spans="20:20">
      <c r="T3453" t="str">
        <f t="shared" si="65"/>
        <v/>
      </c>
    </row>
    <row r="3454" spans="20:20">
      <c r="T3454" t="str">
        <f t="shared" si="65"/>
        <v/>
      </c>
    </row>
    <row r="3455" spans="20:20">
      <c r="T3455" t="str">
        <f t="shared" si="65"/>
        <v/>
      </c>
    </row>
    <row r="3456" spans="20:20">
      <c r="T3456" t="str">
        <f t="shared" si="65"/>
        <v/>
      </c>
    </row>
    <row r="3457" spans="20:20">
      <c r="T3457" t="str">
        <f t="shared" si="65"/>
        <v/>
      </c>
    </row>
    <row r="3458" spans="20:20">
      <c r="T3458" t="str">
        <f t="shared" ref="T3458:T3521" si="66">IF(C3458="","",UPPER(LEFT(SUBSTITUTE(C3458," ",""),3))&amp;"-"&amp;TEXT(B3458,"AAMMDD")&amp;"-1")</f>
        <v/>
      </c>
    </row>
    <row r="3459" spans="20:20">
      <c r="T3459" t="str">
        <f t="shared" si="66"/>
        <v/>
      </c>
    </row>
    <row r="3460" spans="20:20">
      <c r="T3460" t="str">
        <f t="shared" si="66"/>
        <v/>
      </c>
    </row>
    <row r="3461" spans="20:20">
      <c r="T3461" t="str">
        <f t="shared" si="66"/>
        <v/>
      </c>
    </row>
    <row r="3462" spans="20:20">
      <c r="T3462" t="str">
        <f t="shared" si="66"/>
        <v/>
      </c>
    </row>
    <row r="3463" spans="20:20">
      <c r="T3463" t="str">
        <f t="shared" si="66"/>
        <v/>
      </c>
    </row>
    <row r="3464" spans="20:20">
      <c r="T3464" t="str">
        <f t="shared" si="66"/>
        <v/>
      </c>
    </row>
    <row r="3465" spans="20:20">
      <c r="T3465" t="str">
        <f t="shared" si="66"/>
        <v/>
      </c>
    </row>
    <row r="3466" spans="20:20">
      <c r="T3466" t="str">
        <f t="shared" si="66"/>
        <v/>
      </c>
    </row>
    <row r="3467" spans="20:20">
      <c r="T3467" t="str">
        <f t="shared" si="66"/>
        <v/>
      </c>
    </row>
    <row r="3468" spans="20:20">
      <c r="T3468" t="str">
        <f t="shared" si="66"/>
        <v/>
      </c>
    </row>
    <row r="3469" spans="20:20">
      <c r="T3469" t="str">
        <f t="shared" si="66"/>
        <v/>
      </c>
    </row>
    <row r="3470" spans="20:20">
      <c r="T3470" t="str">
        <f t="shared" si="66"/>
        <v/>
      </c>
    </row>
    <row r="3471" spans="20:20">
      <c r="T3471" t="str">
        <f t="shared" si="66"/>
        <v/>
      </c>
    </row>
    <row r="3472" spans="20:20">
      <c r="T3472" t="str">
        <f t="shared" si="66"/>
        <v/>
      </c>
    </row>
    <row r="3473" spans="20:20">
      <c r="T3473" t="str">
        <f t="shared" si="66"/>
        <v/>
      </c>
    </row>
    <row r="3474" spans="20:20">
      <c r="T3474" t="str">
        <f t="shared" si="66"/>
        <v/>
      </c>
    </row>
    <row r="3475" spans="20:20">
      <c r="T3475" t="str">
        <f t="shared" si="66"/>
        <v/>
      </c>
    </row>
    <row r="3476" spans="20:20">
      <c r="T3476" t="str">
        <f t="shared" si="66"/>
        <v/>
      </c>
    </row>
    <row r="3477" spans="20:20">
      <c r="T3477" t="str">
        <f t="shared" si="66"/>
        <v/>
      </c>
    </row>
    <row r="3478" spans="20:20">
      <c r="T3478" t="str">
        <f t="shared" si="66"/>
        <v/>
      </c>
    </row>
    <row r="3479" spans="20:20">
      <c r="T3479" t="str">
        <f t="shared" si="66"/>
        <v/>
      </c>
    </row>
    <row r="3480" spans="20:20">
      <c r="T3480" t="str">
        <f t="shared" si="66"/>
        <v/>
      </c>
    </row>
    <row r="3481" spans="20:20">
      <c r="T3481" t="str">
        <f t="shared" si="66"/>
        <v/>
      </c>
    </row>
    <row r="3482" spans="20:20">
      <c r="T3482" t="str">
        <f t="shared" si="66"/>
        <v/>
      </c>
    </row>
    <row r="3483" spans="20:20">
      <c r="T3483" t="str">
        <f t="shared" si="66"/>
        <v/>
      </c>
    </row>
    <row r="3484" spans="20:20">
      <c r="T3484" t="str">
        <f t="shared" si="66"/>
        <v/>
      </c>
    </row>
    <row r="3485" spans="20:20">
      <c r="T3485" t="str">
        <f t="shared" si="66"/>
        <v/>
      </c>
    </row>
    <row r="3486" spans="20:20">
      <c r="T3486" t="str">
        <f t="shared" si="66"/>
        <v/>
      </c>
    </row>
    <row r="3487" spans="20:20">
      <c r="T3487" t="str">
        <f t="shared" si="66"/>
        <v/>
      </c>
    </row>
    <row r="3488" spans="20:20">
      <c r="T3488" t="str">
        <f t="shared" si="66"/>
        <v/>
      </c>
    </row>
    <row r="3489" spans="20:20">
      <c r="T3489" t="str">
        <f t="shared" si="66"/>
        <v/>
      </c>
    </row>
    <row r="3490" spans="20:20">
      <c r="T3490" t="str">
        <f t="shared" si="66"/>
        <v/>
      </c>
    </row>
    <row r="3491" spans="20:20">
      <c r="T3491" t="str">
        <f t="shared" si="66"/>
        <v/>
      </c>
    </row>
    <row r="3492" spans="20:20">
      <c r="T3492" t="str">
        <f t="shared" si="66"/>
        <v/>
      </c>
    </row>
    <row r="3493" spans="20:20">
      <c r="T3493" t="str">
        <f t="shared" si="66"/>
        <v/>
      </c>
    </row>
    <row r="3494" spans="20:20">
      <c r="T3494" t="str">
        <f t="shared" si="66"/>
        <v/>
      </c>
    </row>
    <row r="3495" spans="20:20">
      <c r="T3495" t="str">
        <f t="shared" si="66"/>
        <v/>
      </c>
    </row>
    <row r="3496" spans="20:20">
      <c r="T3496" t="str">
        <f t="shared" si="66"/>
        <v/>
      </c>
    </row>
    <row r="3497" spans="20:20">
      <c r="T3497" t="str">
        <f t="shared" si="66"/>
        <v/>
      </c>
    </row>
    <row r="3498" spans="20:20">
      <c r="T3498" t="str">
        <f t="shared" si="66"/>
        <v/>
      </c>
    </row>
    <row r="3499" spans="20:20">
      <c r="T3499" t="str">
        <f t="shared" si="66"/>
        <v/>
      </c>
    </row>
    <row r="3500" spans="20:20">
      <c r="T3500" t="str">
        <f t="shared" si="66"/>
        <v/>
      </c>
    </row>
    <row r="3501" spans="20:20">
      <c r="T3501" t="str">
        <f t="shared" si="66"/>
        <v/>
      </c>
    </row>
    <row r="3502" spans="20:20">
      <c r="T3502" t="str">
        <f t="shared" si="66"/>
        <v/>
      </c>
    </row>
    <row r="3503" spans="20:20">
      <c r="T3503" t="str">
        <f t="shared" si="66"/>
        <v/>
      </c>
    </row>
    <row r="3504" spans="20:20">
      <c r="T3504" t="str">
        <f t="shared" si="66"/>
        <v/>
      </c>
    </row>
    <row r="3505" spans="20:20">
      <c r="T3505" t="str">
        <f t="shared" si="66"/>
        <v/>
      </c>
    </row>
    <row r="3506" spans="20:20">
      <c r="T3506" t="str">
        <f t="shared" si="66"/>
        <v/>
      </c>
    </row>
    <row r="3507" spans="20:20">
      <c r="T3507" t="str">
        <f t="shared" si="66"/>
        <v/>
      </c>
    </row>
    <row r="3508" spans="20:20">
      <c r="T3508" t="str">
        <f t="shared" si="66"/>
        <v/>
      </c>
    </row>
    <row r="3509" spans="20:20">
      <c r="T3509" t="str">
        <f t="shared" si="66"/>
        <v/>
      </c>
    </row>
    <row r="3510" spans="20:20">
      <c r="T3510" t="str">
        <f t="shared" si="66"/>
        <v/>
      </c>
    </row>
    <row r="3511" spans="20:20">
      <c r="T3511" t="str">
        <f t="shared" si="66"/>
        <v/>
      </c>
    </row>
    <row r="3512" spans="20:20">
      <c r="T3512" t="str">
        <f t="shared" si="66"/>
        <v/>
      </c>
    </row>
    <row r="3513" spans="20:20">
      <c r="T3513" t="str">
        <f t="shared" si="66"/>
        <v/>
      </c>
    </row>
    <row r="3514" spans="20:20">
      <c r="T3514" t="str">
        <f t="shared" si="66"/>
        <v/>
      </c>
    </row>
    <row r="3515" spans="20:20">
      <c r="T3515" t="str">
        <f t="shared" si="66"/>
        <v/>
      </c>
    </row>
    <row r="3516" spans="20:20">
      <c r="T3516" t="str">
        <f t="shared" si="66"/>
        <v/>
      </c>
    </row>
    <row r="3517" spans="20:20">
      <c r="T3517" t="str">
        <f t="shared" si="66"/>
        <v/>
      </c>
    </row>
    <row r="3518" spans="20:20">
      <c r="T3518" t="str">
        <f t="shared" si="66"/>
        <v/>
      </c>
    </row>
    <row r="3519" spans="20:20">
      <c r="T3519" t="str">
        <f t="shared" si="66"/>
        <v/>
      </c>
    </row>
    <row r="3520" spans="20:20">
      <c r="T3520" t="str">
        <f t="shared" si="66"/>
        <v/>
      </c>
    </row>
    <row r="3521" spans="20:20">
      <c r="T3521" t="str">
        <f t="shared" si="66"/>
        <v/>
      </c>
    </row>
    <row r="3522" spans="20:20">
      <c r="T3522" t="str">
        <f t="shared" ref="T3522:T3585" si="67">IF(C3522="","",UPPER(LEFT(SUBSTITUTE(C3522," ",""),3))&amp;"-"&amp;TEXT(B3522,"AAMMDD")&amp;"-1")</f>
        <v/>
      </c>
    </row>
    <row r="3523" spans="20:20">
      <c r="T3523" t="str">
        <f t="shared" si="67"/>
        <v/>
      </c>
    </row>
    <row r="3524" spans="20:20">
      <c r="T3524" t="str">
        <f t="shared" si="67"/>
        <v/>
      </c>
    </row>
    <row r="3525" spans="20:20">
      <c r="T3525" t="str">
        <f t="shared" si="67"/>
        <v/>
      </c>
    </row>
    <row r="3526" spans="20:20">
      <c r="T3526" t="str">
        <f t="shared" si="67"/>
        <v/>
      </c>
    </row>
    <row r="3527" spans="20:20">
      <c r="T3527" t="str">
        <f t="shared" si="67"/>
        <v/>
      </c>
    </row>
    <row r="3528" spans="20:20">
      <c r="T3528" t="str">
        <f t="shared" si="67"/>
        <v/>
      </c>
    </row>
    <row r="3529" spans="20:20">
      <c r="T3529" t="str">
        <f t="shared" si="67"/>
        <v/>
      </c>
    </row>
    <row r="3530" spans="20:20">
      <c r="T3530" t="str">
        <f t="shared" si="67"/>
        <v/>
      </c>
    </row>
    <row r="3531" spans="20:20">
      <c r="T3531" t="str">
        <f t="shared" si="67"/>
        <v/>
      </c>
    </row>
    <row r="3532" spans="20:20">
      <c r="T3532" t="str">
        <f t="shared" si="67"/>
        <v/>
      </c>
    </row>
    <row r="3533" spans="20:20">
      <c r="T3533" t="str">
        <f t="shared" si="67"/>
        <v/>
      </c>
    </row>
    <row r="3534" spans="20:20">
      <c r="T3534" t="str">
        <f t="shared" si="67"/>
        <v/>
      </c>
    </row>
    <row r="3535" spans="20:20">
      <c r="T3535" t="str">
        <f t="shared" si="67"/>
        <v/>
      </c>
    </row>
    <row r="3536" spans="20:20">
      <c r="T3536" t="str">
        <f t="shared" si="67"/>
        <v/>
      </c>
    </row>
    <row r="3537" spans="20:20">
      <c r="T3537" t="str">
        <f t="shared" si="67"/>
        <v/>
      </c>
    </row>
    <row r="3538" spans="20:20">
      <c r="T3538" t="str">
        <f t="shared" si="67"/>
        <v/>
      </c>
    </row>
    <row r="3539" spans="20:20">
      <c r="T3539" t="str">
        <f t="shared" si="67"/>
        <v/>
      </c>
    </row>
    <row r="3540" spans="20:20">
      <c r="T3540" t="str">
        <f t="shared" si="67"/>
        <v/>
      </c>
    </row>
    <row r="3541" spans="20:20">
      <c r="T3541" t="str">
        <f t="shared" si="67"/>
        <v/>
      </c>
    </row>
    <row r="3542" spans="20:20">
      <c r="T3542" t="str">
        <f t="shared" si="67"/>
        <v/>
      </c>
    </row>
    <row r="3543" spans="20:20">
      <c r="T3543" t="str">
        <f t="shared" si="67"/>
        <v/>
      </c>
    </row>
    <row r="3544" spans="20:20">
      <c r="T3544" t="str">
        <f t="shared" si="67"/>
        <v/>
      </c>
    </row>
    <row r="3545" spans="20:20">
      <c r="T3545" t="str">
        <f t="shared" si="67"/>
        <v/>
      </c>
    </row>
    <row r="3546" spans="20:20">
      <c r="T3546" t="str">
        <f t="shared" si="67"/>
        <v/>
      </c>
    </row>
    <row r="3547" spans="20:20">
      <c r="T3547" t="str">
        <f t="shared" si="67"/>
        <v/>
      </c>
    </row>
    <row r="3548" spans="20:20">
      <c r="T3548" t="str">
        <f t="shared" si="67"/>
        <v/>
      </c>
    </row>
    <row r="3549" spans="20:20">
      <c r="T3549" t="str">
        <f t="shared" si="67"/>
        <v/>
      </c>
    </row>
    <row r="3550" spans="20:20">
      <c r="T3550" t="str">
        <f t="shared" si="67"/>
        <v/>
      </c>
    </row>
    <row r="3551" spans="20:20">
      <c r="T3551" t="str">
        <f t="shared" si="67"/>
        <v/>
      </c>
    </row>
    <row r="3552" spans="20:20">
      <c r="T3552" t="str">
        <f t="shared" si="67"/>
        <v/>
      </c>
    </row>
    <row r="3553" spans="20:20">
      <c r="T3553" t="str">
        <f t="shared" si="67"/>
        <v/>
      </c>
    </row>
    <row r="3554" spans="20:20">
      <c r="T3554" t="str">
        <f t="shared" si="67"/>
        <v/>
      </c>
    </row>
    <row r="3555" spans="20:20">
      <c r="T3555" t="str">
        <f t="shared" si="67"/>
        <v/>
      </c>
    </row>
    <row r="3556" spans="20:20">
      <c r="T3556" t="str">
        <f t="shared" si="67"/>
        <v/>
      </c>
    </row>
    <row r="3557" spans="20:20">
      <c r="T3557" t="str">
        <f t="shared" si="67"/>
        <v/>
      </c>
    </row>
    <row r="3558" spans="20:20">
      <c r="T3558" t="str">
        <f t="shared" si="67"/>
        <v/>
      </c>
    </row>
    <row r="3559" spans="20:20">
      <c r="T3559" t="str">
        <f t="shared" si="67"/>
        <v/>
      </c>
    </row>
    <row r="3560" spans="20:20">
      <c r="T3560" t="str">
        <f t="shared" si="67"/>
        <v/>
      </c>
    </row>
    <row r="3561" spans="20:20">
      <c r="T3561" t="str">
        <f t="shared" si="67"/>
        <v/>
      </c>
    </row>
    <row r="3562" spans="20:20">
      <c r="T3562" t="str">
        <f t="shared" si="67"/>
        <v/>
      </c>
    </row>
    <row r="3563" spans="20:20">
      <c r="T3563" t="str">
        <f t="shared" si="67"/>
        <v/>
      </c>
    </row>
    <row r="3564" spans="20:20">
      <c r="T3564" t="str">
        <f t="shared" si="67"/>
        <v/>
      </c>
    </row>
    <row r="3565" spans="20:20">
      <c r="T3565" t="str">
        <f t="shared" si="67"/>
        <v/>
      </c>
    </row>
    <row r="3566" spans="20:20">
      <c r="T3566" t="str">
        <f t="shared" si="67"/>
        <v/>
      </c>
    </row>
    <row r="3567" spans="20:20">
      <c r="T3567" t="str">
        <f t="shared" si="67"/>
        <v/>
      </c>
    </row>
    <row r="3568" spans="20:20">
      <c r="T3568" t="str">
        <f t="shared" si="67"/>
        <v/>
      </c>
    </row>
    <row r="3569" spans="20:20">
      <c r="T3569" t="str">
        <f t="shared" si="67"/>
        <v/>
      </c>
    </row>
    <row r="3570" spans="20:20">
      <c r="T3570" t="str">
        <f t="shared" si="67"/>
        <v/>
      </c>
    </row>
    <row r="3571" spans="20:20">
      <c r="T3571" t="str">
        <f t="shared" si="67"/>
        <v/>
      </c>
    </row>
    <row r="3572" spans="20:20">
      <c r="T3572" t="str">
        <f t="shared" si="67"/>
        <v/>
      </c>
    </row>
    <row r="3573" spans="20:20">
      <c r="T3573" t="str">
        <f t="shared" si="67"/>
        <v/>
      </c>
    </row>
    <row r="3574" spans="20:20">
      <c r="T3574" t="str">
        <f t="shared" si="67"/>
        <v/>
      </c>
    </row>
    <row r="3575" spans="20:20">
      <c r="T3575" t="str">
        <f t="shared" si="67"/>
        <v/>
      </c>
    </row>
    <row r="3576" spans="20:20">
      <c r="T3576" t="str">
        <f t="shared" si="67"/>
        <v/>
      </c>
    </row>
    <row r="3577" spans="20:20">
      <c r="T3577" t="str">
        <f t="shared" si="67"/>
        <v/>
      </c>
    </row>
    <row r="3578" spans="20:20">
      <c r="T3578" t="str">
        <f t="shared" si="67"/>
        <v/>
      </c>
    </row>
    <row r="3579" spans="20:20">
      <c r="T3579" t="str">
        <f t="shared" si="67"/>
        <v/>
      </c>
    </row>
    <row r="3580" spans="20:20">
      <c r="T3580" t="str">
        <f t="shared" si="67"/>
        <v/>
      </c>
    </row>
    <row r="3581" spans="20:20">
      <c r="T3581" t="str">
        <f t="shared" si="67"/>
        <v/>
      </c>
    </row>
    <row r="3582" spans="20:20">
      <c r="T3582" t="str">
        <f t="shared" si="67"/>
        <v/>
      </c>
    </row>
    <row r="3583" spans="20:20">
      <c r="T3583" t="str">
        <f t="shared" si="67"/>
        <v/>
      </c>
    </row>
    <row r="3584" spans="20:20">
      <c r="T3584" t="str">
        <f t="shared" si="67"/>
        <v/>
      </c>
    </row>
    <row r="3585" spans="20:20">
      <c r="T3585" t="str">
        <f t="shared" si="67"/>
        <v/>
      </c>
    </row>
    <row r="3586" spans="20:20">
      <c r="T3586" t="str">
        <f t="shared" ref="T3586:T3649" si="68">IF(C3586="","",UPPER(LEFT(SUBSTITUTE(C3586," ",""),3))&amp;"-"&amp;TEXT(B3586,"AAMMDD")&amp;"-1")</f>
        <v/>
      </c>
    </row>
    <row r="3587" spans="20:20">
      <c r="T3587" t="str">
        <f t="shared" si="68"/>
        <v/>
      </c>
    </row>
    <row r="3588" spans="20:20">
      <c r="T3588" t="str">
        <f t="shared" si="68"/>
        <v/>
      </c>
    </row>
    <row r="3589" spans="20:20">
      <c r="T3589" t="str">
        <f t="shared" si="68"/>
        <v/>
      </c>
    </row>
    <row r="3590" spans="20:20">
      <c r="T3590" t="str">
        <f t="shared" si="68"/>
        <v/>
      </c>
    </row>
    <row r="3591" spans="20:20">
      <c r="T3591" t="str">
        <f t="shared" si="68"/>
        <v/>
      </c>
    </row>
    <row r="3592" spans="20:20">
      <c r="T3592" t="str">
        <f t="shared" si="68"/>
        <v/>
      </c>
    </row>
    <row r="3593" spans="20:20">
      <c r="T3593" t="str">
        <f t="shared" si="68"/>
        <v/>
      </c>
    </row>
    <row r="3594" spans="20:20">
      <c r="T3594" t="str">
        <f t="shared" si="68"/>
        <v/>
      </c>
    </row>
    <row r="3595" spans="20:20">
      <c r="T3595" t="str">
        <f t="shared" si="68"/>
        <v/>
      </c>
    </row>
    <row r="3596" spans="20:20">
      <c r="T3596" t="str">
        <f t="shared" si="68"/>
        <v/>
      </c>
    </row>
    <row r="3597" spans="20:20">
      <c r="T3597" t="str">
        <f t="shared" si="68"/>
        <v/>
      </c>
    </row>
    <row r="3598" spans="20:20">
      <c r="T3598" t="str">
        <f t="shared" si="68"/>
        <v/>
      </c>
    </row>
    <row r="3599" spans="20:20">
      <c r="T3599" t="str">
        <f t="shared" si="68"/>
        <v/>
      </c>
    </row>
    <row r="3600" spans="20:20">
      <c r="T3600" t="str">
        <f t="shared" si="68"/>
        <v/>
      </c>
    </row>
    <row r="3601" spans="20:20">
      <c r="T3601" t="str">
        <f t="shared" si="68"/>
        <v/>
      </c>
    </row>
    <row r="3602" spans="20:20">
      <c r="T3602" t="str">
        <f t="shared" si="68"/>
        <v/>
      </c>
    </row>
    <row r="3603" spans="20:20">
      <c r="T3603" t="str">
        <f t="shared" si="68"/>
        <v/>
      </c>
    </row>
    <row r="3604" spans="20:20">
      <c r="T3604" t="str">
        <f t="shared" si="68"/>
        <v/>
      </c>
    </row>
    <row r="3605" spans="20:20">
      <c r="T3605" t="str">
        <f t="shared" si="68"/>
        <v/>
      </c>
    </row>
    <row r="3606" spans="20:20">
      <c r="T3606" t="str">
        <f t="shared" si="68"/>
        <v/>
      </c>
    </row>
    <row r="3607" spans="20:20">
      <c r="T3607" t="str">
        <f t="shared" si="68"/>
        <v/>
      </c>
    </row>
    <row r="3608" spans="20:20">
      <c r="T3608" t="str">
        <f t="shared" si="68"/>
        <v/>
      </c>
    </row>
    <row r="3609" spans="20:20">
      <c r="T3609" t="str">
        <f t="shared" si="68"/>
        <v/>
      </c>
    </row>
    <row r="3610" spans="20:20">
      <c r="T3610" t="str">
        <f t="shared" si="68"/>
        <v/>
      </c>
    </row>
    <row r="3611" spans="20:20">
      <c r="T3611" t="str">
        <f t="shared" si="68"/>
        <v/>
      </c>
    </row>
    <row r="3612" spans="20:20">
      <c r="T3612" t="str">
        <f t="shared" si="68"/>
        <v/>
      </c>
    </row>
    <row r="3613" spans="20:20">
      <c r="T3613" t="str">
        <f t="shared" si="68"/>
        <v/>
      </c>
    </row>
    <row r="3614" spans="20:20">
      <c r="T3614" t="str">
        <f t="shared" si="68"/>
        <v/>
      </c>
    </row>
    <row r="3615" spans="20:20">
      <c r="T3615" t="str">
        <f t="shared" si="68"/>
        <v/>
      </c>
    </row>
    <row r="3616" spans="20:20">
      <c r="T3616" t="str">
        <f t="shared" si="68"/>
        <v/>
      </c>
    </row>
    <row r="3617" spans="20:20">
      <c r="T3617" t="str">
        <f t="shared" si="68"/>
        <v/>
      </c>
    </row>
    <row r="3618" spans="20:20">
      <c r="T3618" t="str">
        <f t="shared" si="68"/>
        <v/>
      </c>
    </row>
    <row r="3619" spans="20:20">
      <c r="T3619" t="str">
        <f t="shared" si="68"/>
        <v/>
      </c>
    </row>
    <row r="3620" spans="20:20">
      <c r="T3620" t="str">
        <f t="shared" si="68"/>
        <v/>
      </c>
    </row>
    <row r="3621" spans="20:20">
      <c r="T3621" t="str">
        <f t="shared" si="68"/>
        <v/>
      </c>
    </row>
    <row r="3622" spans="20:20">
      <c r="T3622" t="str">
        <f t="shared" si="68"/>
        <v/>
      </c>
    </row>
    <row r="3623" spans="20:20">
      <c r="T3623" t="str">
        <f t="shared" si="68"/>
        <v/>
      </c>
    </row>
    <row r="3624" spans="20:20">
      <c r="T3624" t="str">
        <f t="shared" si="68"/>
        <v/>
      </c>
    </row>
    <row r="3625" spans="20:20">
      <c r="T3625" t="str">
        <f t="shared" si="68"/>
        <v/>
      </c>
    </row>
    <row r="3626" spans="20:20">
      <c r="T3626" t="str">
        <f t="shared" si="68"/>
        <v/>
      </c>
    </row>
    <row r="3627" spans="20:20">
      <c r="T3627" t="str">
        <f t="shared" si="68"/>
        <v/>
      </c>
    </row>
    <row r="3628" spans="20:20">
      <c r="T3628" t="str">
        <f t="shared" si="68"/>
        <v/>
      </c>
    </row>
    <row r="3629" spans="20:20">
      <c r="T3629" t="str">
        <f t="shared" si="68"/>
        <v/>
      </c>
    </row>
    <row r="3630" spans="20:20">
      <c r="T3630" t="str">
        <f t="shared" si="68"/>
        <v/>
      </c>
    </row>
    <row r="3631" spans="20:20">
      <c r="T3631" t="str">
        <f t="shared" si="68"/>
        <v/>
      </c>
    </row>
    <row r="3632" spans="20:20">
      <c r="T3632" t="str">
        <f t="shared" si="68"/>
        <v/>
      </c>
    </row>
    <row r="3633" spans="20:20">
      <c r="T3633" t="str">
        <f t="shared" si="68"/>
        <v/>
      </c>
    </row>
    <row r="3634" spans="20:20">
      <c r="T3634" t="str">
        <f t="shared" si="68"/>
        <v/>
      </c>
    </row>
    <row r="3635" spans="20:20">
      <c r="T3635" t="str">
        <f t="shared" si="68"/>
        <v/>
      </c>
    </row>
    <row r="3636" spans="20:20">
      <c r="T3636" t="str">
        <f t="shared" si="68"/>
        <v/>
      </c>
    </row>
    <row r="3637" spans="20:20">
      <c r="T3637" t="str">
        <f t="shared" si="68"/>
        <v/>
      </c>
    </row>
    <row r="3638" spans="20:20">
      <c r="T3638" t="str">
        <f t="shared" si="68"/>
        <v/>
      </c>
    </row>
    <row r="3639" spans="20:20">
      <c r="T3639" t="str">
        <f t="shared" si="68"/>
        <v/>
      </c>
    </row>
    <row r="3640" spans="20:20">
      <c r="T3640" t="str">
        <f t="shared" si="68"/>
        <v/>
      </c>
    </row>
    <row r="3641" spans="20:20">
      <c r="T3641" t="str">
        <f t="shared" si="68"/>
        <v/>
      </c>
    </row>
    <row r="3642" spans="20:20">
      <c r="T3642" t="str">
        <f t="shared" si="68"/>
        <v/>
      </c>
    </row>
    <row r="3643" spans="20:20">
      <c r="T3643" t="str">
        <f t="shared" si="68"/>
        <v/>
      </c>
    </row>
    <row r="3644" spans="20:20">
      <c r="T3644" t="str">
        <f t="shared" si="68"/>
        <v/>
      </c>
    </row>
    <row r="3645" spans="20:20">
      <c r="T3645" t="str">
        <f t="shared" si="68"/>
        <v/>
      </c>
    </row>
    <row r="3646" spans="20:20">
      <c r="T3646" t="str">
        <f t="shared" si="68"/>
        <v/>
      </c>
    </row>
    <row r="3647" spans="20:20">
      <c r="T3647" t="str">
        <f t="shared" si="68"/>
        <v/>
      </c>
    </row>
    <row r="3648" spans="20:20">
      <c r="T3648" t="str">
        <f t="shared" si="68"/>
        <v/>
      </c>
    </row>
    <row r="3649" spans="20:20">
      <c r="T3649" t="str">
        <f t="shared" si="68"/>
        <v/>
      </c>
    </row>
    <row r="3650" spans="20:20">
      <c r="T3650" t="str">
        <f t="shared" ref="T3650:T3713" si="69">IF(C3650="","",UPPER(LEFT(SUBSTITUTE(C3650," ",""),3))&amp;"-"&amp;TEXT(B3650,"AAMMDD")&amp;"-1")</f>
        <v/>
      </c>
    </row>
    <row r="3651" spans="20:20">
      <c r="T3651" t="str">
        <f t="shared" si="69"/>
        <v/>
      </c>
    </row>
    <row r="3652" spans="20:20">
      <c r="T3652" t="str">
        <f t="shared" si="69"/>
        <v/>
      </c>
    </row>
    <row r="3653" spans="20:20">
      <c r="T3653" t="str">
        <f t="shared" si="69"/>
        <v/>
      </c>
    </row>
    <row r="3654" spans="20:20">
      <c r="T3654" t="str">
        <f t="shared" si="69"/>
        <v/>
      </c>
    </row>
    <row r="3655" spans="20:20">
      <c r="T3655" t="str">
        <f t="shared" si="69"/>
        <v/>
      </c>
    </row>
    <row r="3656" spans="20:20">
      <c r="T3656" t="str">
        <f t="shared" si="69"/>
        <v/>
      </c>
    </row>
    <row r="3657" spans="20:20">
      <c r="T3657" t="str">
        <f t="shared" si="69"/>
        <v/>
      </c>
    </row>
    <row r="3658" spans="20:20">
      <c r="T3658" t="str">
        <f t="shared" si="69"/>
        <v/>
      </c>
    </row>
    <row r="3659" spans="20:20">
      <c r="T3659" t="str">
        <f t="shared" si="69"/>
        <v/>
      </c>
    </row>
    <row r="3660" spans="20:20">
      <c r="T3660" t="str">
        <f t="shared" si="69"/>
        <v/>
      </c>
    </row>
    <row r="3661" spans="20:20">
      <c r="T3661" t="str">
        <f t="shared" si="69"/>
        <v/>
      </c>
    </row>
    <row r="3662" spans="20:20">
      <c r="T3662" t="str">
        <f t="shared" si="69"/>
        <v/>
      </c>
    </row>
    <row r="3663" spans="20:20">
      <c r="T3663" t="str">
        <f t="shared" si="69"/>
        <v/>
      </c>
    </row>
    <row r="3664" spans="20:20">
      <c r="T3664" t="str">
        <f t="shared" si="69"/>
        <v/>
      </c>
    </row>
    <row r="3665" spans="20:20">
      <c r="T3665" t="str">
        <f t="shared" si="69"/>
        <v/>
      </c>
    </row>
    <row r="3666" spans="20:20">
      <c r="T3666" t="str">
        <f t="shared" si="69"/>
        <v/>
      </c>
    </row>
    <row r="3667" spans="20:20">
      <c r="T3667" t="str">
        <f t="shared" si="69"/>
        <v/>
      </c>
    </row>
    <row r="3668" spans="20:20">
      <c r="T3668" t="str">
        <f t="shared" si="69"/>
        <v/>
      </c>
    </row>
    <row r="3669" spans="20:20">
      <c r="T3669" t="str">
        <f t="shared" si="69"/>
        <v/>
      </c>
    </row>
    <row r="3670" spans="20:20">
      <c r="T3670" t="str">
        <f t="shared" si="69"/>
        <v/>
      </c>
    </row>
    <row r="3671" spans="20:20">
      <c r="T3671" t="str">
        <f t="shared" si="69"/>
        <v/>
      </c>
    </row>
    <row r="3672" spans="20:20">
      <c r="T3672" t="str">
        <f t="shared" si="69"/>
        <v/>
      </c>
    </row>
    <row r="3673" spans="20:20">
      <c r="T3673" t="str">
        <f t="shared" si="69"/>
        <v/>
      </c>
    </row>
    <row r="3674" spans="20:20">
      <c r="T3674" t="str">
        <f t="shared" si="69"/>
        <v/>
      </c>
    </row>
    <row r="3675" spans="20:20">
      <c r="T3675" t="str">
        <f t="shared" si="69"/>
        <v/>
      </c>
    </row>
    <row r="3676" spans="20:20">
      <c r="T3676" t="str">
        <f t="shared" si="69"/>
        <v/>
      </c>
    </row>
    <row r="3677" spans="20:20">
      <c r="T3677" t="str">
        <f t="shared" si="69"/>
        <v/>
      </c>
    </row>
    <row r="3678" spans="20:20">
      <c r="T3678" t="str">
        <f t="shared" si="69"/>
        <v/>
      </c>
    </row>
    <row r="3679" spans="20:20">
      <c r="T3679" t="str">
        <f t="shared" si="69"/>
        <v/>
      </c>
    </row>
    <row r="3680" spans="20:20">
      <c r="T3680" t="str">
        <f t="shared" si="69"/>
        <v/>
      </c>
    </row>
    <row r="3681" spans="20:20">
      <c r="T3681" t="str">
        <f t="shared" si="69"/>
        <v/>
      </c>
    </row>
    <row r="3682" spans="20:20">
      <c r="T3682" t="str">
        <f t="shared" si="69"/>
        <v/>
      </c>
    </row>
    <row r="3683" spans="20:20">
      <c r="T3683" t="str">
        <f t="shared" si="69"/>
        <v/>
      </c>
    </row>
    <row r="3684" spans="20:20">
      <c r="T3684" t="str">
        <f t="shared" si="69"/>
        <v/>
      </c>
    </row>
    <row r="3685" spans="20:20">
      <c r="T3685" t="str">
        <f t="shared" si="69"/>
        <v/>
      </c>
    </row>
    <row r="3686" spans="20:20">
      <c r="T3686" t="str">
        <f t="shared" si="69"/>
        <v/>
      </c>
    </row>
    <row r="3687" spans="20:20">
      <c r="T3687" t="str">
        <f t="shared" si="69"/>
        <v/>
      </c>
    </row>
    <row r="3688" spans="20:20">
      <c r="T3688" t="str">
        <f t="shared" si="69"/>
        <v/>
      </c>
    </row>
    <row r="3689" spans="20:20">
      <c r="T3689" t="str">
        <f t="shared" si="69"/>
        <v/>
      </c>
    </row>
    <row r="3690" spans="20:20">
      <c r="T3690" t="str">
        <f t="shared" si="69"/>
        <v/>
      </c>
    </row>
    <row r="3691" spans="20:20">
      <c r="T3691" t="str">
        <f t="shared" si="69"/>
        <v/>
      </c>
    </row>
    <row r="3692" spans="20:20">
      <c r="T3692" t="str">
        <f t="shared" si="69"/>
        <v/>
      </c>
    </row>
    <row r="3693" spans="20:20">
      <c r="T3693" t="str">
        <f t="shared" si="69"/>
        <v/>
      </c>
    </row>
    <row r="3694" spans="20:20">
      <c r="T3694" t="str">
        <f t="shared" si="69"/>
        <v/>
      </c>
    </row>
    <row r="3695" spans="20:20">
      <c r="T3695" t="str">
        <f t="shared" si="69"/>
        <v/>
      </c>
    </row>
    <row r="3696" spans="20:20">
      <c r="T3696" t="str">
        <f t="shared" si="69"/>
        <v/>
      </c>
    </row>
    <row r="3697" spans="20:20">
      <c r="T3697" t="str">
        <f t="shared" si="69"/>
        <v/>
      </c>
    </row>
    <row r="3698" spans="20:20">
      <c r="T3698" t="str">
        <f t="shared" si="69"/>
        <v/>
      </c>
    </row>
    <row r="3699" spans="20:20">
      <c r="T3699" t="str">
        <f t="shared" si="69"/>
        <v/>
      </c>
    </row>
    <row r="3700" spans="20:20">
      <c r="T3700" t="str">
        <f t="shared" si="69"/>
        <v/>
      </c>
    </row>
    <row r="3701" spans="20:20">
      <c r="T3701" t="str">
        <f t="shared" si="69"/>
        <v/>
      </c>
    </row>
    <row r="3702" spans="20:20">
      <c r="T3702" t="str">
        <f t="shared" si="69"/>
        <v/>
      </c>
    </row>
    <row r="3703" spans="20:20">
      <c r="T3703" t="str">
        <f t="shared" si="69"/>
        <v/>
      </c>
    </row>
    <row r="3704" spans="20:20">
      <c r="T3704" t="str">
        <f t="shared" si="69"/>
        <v/>
      </c>
    </row>
    <row r="3705" spans="20:20">
      <c r="T3705" t="str">
        <f t="shared" si="69"/>
        <v/>
      </c>
    </row>
    <row r="3706" spans="20:20">
      <c r="T3706" t="str">
        <f t="shared" si="69"/>
        <v/>
      </c>
    </row>
    <row r="3707" spans="20:20">
      <c r="T3707" t="str">
        <f t="shared" si="69"/>
        <v/>
      </c>
    </row>
    <row r="3708" spans="20:20">
      <c r="T3708" t="str">
        <f t="shared" si="69"/>
        <v/>
      </c>
    </row>
    <row r="3709" spans="20:20">
      <c r="T3709" t="str">
        <f t="shared" si="69"/>
        <v/>
      </c>
    </row>
    <row r="3710" spans="20:20">
      <c r="T3710" t="str">
        <f t="shared" si="69"/>
        <v/>
      </c>
    </row>
    <row r="3711" spans="20:20">
      <c r="T3711" t="str">
        <f t="shared" si="69"/>
        <v/>
      </c>
    </row>
    <row r="3712" spans="20:20">
      <c r="T3712" t="str">
        <f t="shared" si="69"/>
        <v/>
      </c>
    </row>
    <row r="3713" spans="20:20">
      <c r="T3713" t="str">
        <f t="shared" si="69"/>
        <v/>
      </c>
    </row>
    <row r="3714" spans="20:20">
      <c r="T3714" t="str">
        <f t="shared" ref="T3714:T3777" si="70">IF(C3714="","",UPPER(LEFT(SUBSTITUTE(C3714," ",""),3))&amp;"-"&amp;TEXT(B3714,"AAMMDD")&amp;"-1")</f>
        <v/>
      </c>
    </row>
    <row r="3715" spans="20:20">
      <c r="T3715" t="str">
        <f t="shared" si="70"/>
        <v/>
      </c>
    </row>
    <row r="3716" spans="20:20">
      <c r="T3716" t="str">
        <f t="shared" si="70"/>
        <v/>
      </c>
    </row>
    <row r="3717" spans="20:20">
      <c r="T3717" t="str">
        <f t="shared" si="70"/>
        <v/>
      </c>
    </row>
    <row r="3718" spans="20:20">
      <c r="T3718" t="str">
        <f t="shared" si="70"/>
        <v/>
      </c>
    </row>
    <row r="3719" spans="20:20">
      <c r="T3719" t="str">
        <f t="shared" si="70"/>
        <v/>
      </c>
    </row>
    <row r="3720" spans="20:20">
      <c r="T3720" t="str">
        <f t="shared" si="70"/>
        <v/>
      </c>
    </row>
    <row r="3721" spans="20:20">
      <c r="T3721" t="str">
        <f t="shared" si="70"/>
        <v/>
      </c>
    </row>
    <row r="3722" spans="20:20">
      <c r="T3722" t="str">
        <f t="shared" si="70"/>
        <v/>
      </c>
    </row>
    <row r="3723" spans="20:20">
      <c r="T3723" t="str">
        <f t="shared" si="70"/>
        <v/>
      </c>
    </row>
    <row r="3724" spans="20:20">
      <c r="T3724" t="str">
        <f t="shared" si="70"/>
        <v/>
      </c>
    </row>
    <row r="3725" spans="20:20">
      <c r="T3725" t="str">
        <f t="shared" si="70"/>
        <v/>
      </c>
    </row>
    <row r="3726" spans="20:20">
      <c r="T3726" t="str">
        <f t="shared" si="70"/>
        <v/>
      </c>
    </row>
    <row r="3727" spans="20:20">
      <c r="T3727" t="str">
        <f t="shared" si="70"/>
        <v/>
      </c>
    </row>
    <row r="3728" spans="20:20">
      <c r="T3728" t="str">
        <f t="shared" si="70"/>
        <v/>
      </c>
    </row>
    <row r="3729" spans="20:20">
      <c r="T3729" t="str">
        <f t="shared" si="70"/>
        <v/>
      </c>
    </row>
    <row r="3730" spans="20:20">
      <c r="T3730" t="str">
        <f t="shared" si="70"/>
        <v/>
      </c>
    </row>
    <row r="3731" spans="20:20">
      <c r="T3731" t="str">
        <f t="shared" si="70"/>
        <v/>
      </c>
    </row>
    <row r="3732" spans="20:20">
      <c r="T3732" t="str">
        <f t="shared" si="70"/>
        <v/>
      </c>
    </row>
    <row r="3733" spans="20:20">
      <c r="T3733" t="str">
        <f t="shared" si="70"/>
        <v/>
      </c>
    </row>
    <row r="3734" spans="20:20">
      <c r="T3734" t="str">
        <f t="shared" si="70"/>
        <v/>
      </c>
    </row>
    <row r="3735" spans="20:20">
      <c r="T3735" t="str">
        <f t="shared" si="70"/>
        <v/>
      </c>
    </row>
    <row r="3736" spans="20:20">
      <c r="T3736" t="str">
        <f t="shared" si="70"/>
        <v/>
      </c>
    </row>
    <row r="3737" spans="20:20">
      <c r="T3737" t="str">
        <f t="shared" si="70"/>
        <v/>
      </c>
    </row>
    <row r="3738" spans="20:20">
      <c r="T3738" t="str">
        <f t="shared" si="70"/>
        <v/>
      </c>
    </row>
    <row r="3739" spans="20:20">
      <c r="T3739" t="str">
        <f t="shared" si="70"/>
        <v/>
      </c>
    </row>
    <row r="3740" spans="20:20">
      <c r="T3740" t="str">
        <f t="shared" si="70"/>
        <v/>
      </c>
    </row>
    <row r="3741" spans="20:20">
      <c r="T3741" t="str">
        <f t="shared" si="70"/>
        <v/>
      </c>
    </row>
    <row r="3742" spans="20:20">
      <c r="T3742" t="str">
        <f t="shared" si="70"/>
        <v/>
      </c>
    </row>
    <row r="3743" spans="20:20">
      <c r="T3743" t="str">
        <f t="shared" si="70"/>
        <v/>
      </c>
    </row>
    <row r="3744" spans="20:20">
      <c r="T3744" t="str">
        <f t="shared" si="70"/>
        <v/>
      </c>
    </row>
    <row r="3745" spans="20:20">
      <c r="T3745" t="str">
        <f t="shared" si="70"/>
        <v/>
      </c>
    </row>
    <row r="3746" spans="20:20">
      <c r="T3746" t="str">
        <f t="shared" si="70"/>
        <v/>
      </c>
    </row>
    <row r="3747" spans="20:20">
      <c r="T3747" t="str">
        <f t="shared" si="70"/>
        <v/>
      </c>
    </row>
    <row r="3748" spans="20:20">
      <c r="T3748" t="str">
        <f t="shared" si="70"/>
        <v/>
      </c>
    </row>
    <row r="3749" spans="20:20">
      <c r="T3749" t="str">
        <f t="shared" si="70"/>
        <v/>
      </c>
    </row>
    <row r="3750" spans="20:20">
      <c r="T3750" t="str">
        <f t="shared" si="70"/>
        <v/>
      </c>
    </row>
    <row r="3751" spans="20:20">
      <c r="T3751" t="str">
        <f t="shared" si="70"/>
        <v/>
      </c>
    </row>
    <row r="3752" spans="20:20">
      <c r="T3752" t="str">
        <f t="shared" si="70"/>
        <v/>
      </c>
    </row>
    <row r="3753" spans="20:20">
      <c r="T3753" t="str">
        <f t="shared" si="70"/>
        <v/>
      </c>
    </row>
    <row r="3754" spans="20:20">
      <c r="T3754" t="str">
        <f t="shared" si="70"/>
        <v/>
      </c>
    </row>
    <row r="3755" spans="20:20">
      <c r="T3755" t="str">
        <f t="shared" si="70"/>
        <v/>
      </c>
    </row>
    <row r="3756" spans="20:20">
      <c r="T3756" t="str">
        <f t="shared" si="70"/>
        <v/>
      </c>
    </row>
    <row r="3757" spans="20:20">
      <c r="T3757" t="str">
        <f t="shared" si="70"/>
        <v/>
      </c>
    </row>
    <row r="3758" spans="20:20">
      <c r="T3758" t="str">
        <f t="shared" si="70"/>
        <v/>
      </c>
    </row>
    <row r="3759" spans="20:20">
      <c r="T3759" t="str">
        <f t="shared" si="70"/>
        <v/>
      </c>
    </row>
    <row r="3760" spans="20:20">
      <c r="T3760" t="str">
        <f t="shared" si="70"/>
        <v/>
      </c>
    </row>
    <row r="3761" spans="20:20">
      <c r="T3761" t="str">
        <f t="shared" si="70"/>
        <v/>
      </c>
    </row>
    <row r="3762" spans="20:20">
      <c r="T3762" t="str">
        <f t="shared" si="70"/>
        <v/>
      </c>
    </row>
    <row r="3763" spans="20:20">
      <c r="T3763" t="str">
        <f t="shared" si="70"/>
        <v/>
      </c>
    </row>
    <row r="3764" spans="20:20">
      <c r="T3764" t="str">
        <f t="shared" si="70"/>
        <v/>
      </c>
    </row>
    <row r="3765" spans="20:20">
      <c r="T3765" t="str">
        <f t="shared" si="70"/>
        <v/>
      </c>
    </row>
    <row r="3766" spans="20:20">
      <c r="T3766" t="str">
        <f t="shared" si="70"/>
        <v/>
      </c>
    </row>
    <row r="3767" spans="20:20">
      <c r="T3767" t="str">
        <f t="shared" si="70"/>
        <v/>
      </c>
    </row>
    <row r="3768" spans="20:20">
      <c r="T3768" t="str">
        <f t="shared" si="70"/>
        <v/>
      </c>
    </row>
    <row r="3769" spans="20:20">
      <c r="T3769" t="str">
        <f t="shared" si="70"/>
        <v/>
      </c>
    </row>
    <row r="3770" spans="20:20">
      <c r="T3770" t="str">
        <f t="shared" si="70"/>
        <v/>
      </c>
    </row>
    <row r="3771" spans="20:20">
      <c r="T3771" t="str">
        <f t="shared" si="70"/>
        <v/>
      </c>
    </row>
    <row r="3772" spans="20:20">
      <c r="T3772" t="str">
        <f t="shared" si="70"/>
        <v/>
      </c>
    </row>
    <row r="3773" spans="20:20">
      <c r="T3773" t="str">
        <f t="shared" si="70"/>
        <v/>
      </c>
    </row>
    <row r="3774" spans="20:20">
      <c r="T3774" t="str">
        <f t="shared" si="70"/>
        <v/>
      </c>
    </row>
    <row r="3775" spans="20:20">
      <c r="T3775" t="str">
        <f t="shared" si="70"/>
        <v/>
      </c>
    </row>
    <row r="3776" spans="20:20">
      <c r="T3776" t="str">
        <f t="shared" si="70"/>
        <v/>
      </c>
    </row>
    <row r="3777" spans="20:20">
      <c r="T3777" t="str">
        <f t="shared" si="70"/>
        <v/>
      </c>
    </row>
    <row r="3778" spans="20:20">
      <c r="T3778" t="str">
        <f t="shared" ref="T3778:T3841" si="71">IF(C3778="","",UPPER(LEFT(SUBSTITUTE(C3778," ",""),3))&amp;"-"&amp;TEXT(B3778,"AAMMDD")&amp;"-1")</f>
        <v/>
      </c>
    </row>
    <row r="3779" spans="20:20">
      <c r="T3779" t="str">
        <f t="shared" si="71"/>
        <v/>
      </c>
    </row>
    <row r="3780" spans="20:20">
      <c r="T3780" t="str">
        <f t="shared" si="71"/>
        <v/>
      </c>
    </row>
    <row r="3781" spans="20:20">
      <c r="T3781" t="str">
        <f t="shared" si="71"/>
        <v/>
      </c>
    </row>
    <row r="3782" spans="20:20">
      <c r="T3782" t="str">
        <f t="shared" si="71"/>
        <v/>
      </c>
    </row>
    <row r="3783" spans="20:20">
      <c r="T3783" t="str">
        <f t="shared" si="71"/>
        <v/>
      </c>
    </row>
    <row r="3784" spans="20:20">
      <c r="T3784" t="str">
        <f t="shared" si="71"/>
        <v/>
      </c>
    </row>
    <row r="3785" spans="20:20">
      <c r="T3785" t="str">
        <f t="shared" si="71"/>
        <v/>
      </c>
    </row>
    <row r="3786" spans="20:20">
      <c r="T3786" t="str">
        <f t="shared" si="71"/>
        <v/>
      </c>
    </row>
    <row r="3787" spans="20:20">
      <c r="T3787" t="str">
        <f t="shared" si="71"/>
        <v/>
      </c>
    </row>
    <row r="3788" spans="20:20">
      <c r="T3788" t="str">
        <f t="shared" si="71"/>
        <v/>
      </c>
    </row>
    <row r="3789" spans="20:20">
      <c r="T3789" t="str">
        <f t="shared" si="71"/>
        <v/>
      </c>
    </row>
    <row r="3790" spans="20:20">
      <c r="T3790" t="str">
        <f t="shared" si="71"/>
        <v/>
      </c>
    </row>
    <row r="3791" spans="20:20">
      <c r="T3791" t="str">
        <f t="shared" si="71"/>
        <v/>
      </c>
    </row>
    <row r="3792" spans="20:20">
      <c r="T3792" t="str">
        <f t="shared" si="71"/>
        <v/>
      </c>
    </row>
    <row r="3793" spans="20:20">
      <c r="T3793" t="str">
        <f t="shared" si="71"/>
        <v/>
      </c>
    </row>
    <row r="3794" spans="20:20">
      <c r="T3794" t="str">
        <f t="shared" si="71"/>
        <v/>
      </c>
    </row>
    <row r="3795" spans="20:20">
      <c r="T3795" t="str">
        <f t="shared" si="71"/>
        <v/>
      </c>
    </row>
    <row r="3796" spans="20:20">
      <c r="T3796" t="str">
        <f t="shared" si="71"/>
        <v/>
      </c>
    </row>
    <row r="3797" spans="20:20">
      <c r="T3797" t="str">
        <f t="shared" si="71"/>
        <v/>
      </c>
    </row>
    <row r="3798" spans="20:20">
      <c r="T3798" t="str">
        <f t="shared" si="71"/>
        <v/>
      </c>
    </row>
    <row r="3799" spans="20:20">
      <c r="T3799" t="str">
        <f t="shared" si="71"/>
        <v/>
      </c>
    </row>
    <row r="3800" spans="20:20">
      <c r="T3800" t="str">
        <f t="shared" si="71"/>
        <v/>
      </c>
    </row>
    <row r="3801" spans="20:20">
      <c r="T3801" t="str">
        <f t="shared" si="71"/>
        <v/>
      </c>
    </row>
    <row r="3802" spans="20:20">
      <c r="T3802" t="str">
        <f t="shared" si="71"/>
        <v/>
      </c>
    </row>
    <row r="3803" spans="20:20">
      <c r="T3803" t="str">
        <f t="shared" si="71"/>
        <v/>
      </c>
    </row>
    <row r="3804" spans="20:20">
      <c r="T3804" t="str">
        <f t="shared" si="71"/>
        <v/>
      </c>
    </row>
    <row r="3805" spans="20:20">
      <c r="T3805" t="str">
        <f t="shared" si="71"/>
        <v/>
      </c>
    </row>
    <row r="3806" spans="20:20">
      <c r="T3806" t="str">
        <f t="shared" si="71"/>
        <v/>
      </c>
    </row>
    <row r="3807" spans="20:20">
      <c r="T3807" t="str">
        <f t="shared" si="71"/>
        <v/>
      </c>
    </row>
    <row r="3808" spans="20:20">
      <c r="T3808" t="str">
        <f t="shared" si="71"/>
        <v/>
      </c>
    </row>
    <row r="3809" spans="20:20">
      <c r="T3809" t="str">
        <f t="shared" si="71"/>
        <v/>
      </c>
    </row>
    <row r="3810" spans="20:20">
      <c r="T3810" t="str">
        <f t="shared" si="71"/>
        <v/>
      </c>
    </row>
    <row r="3811" spans="20:20">
      <c r="T3811" t="str">
        <f t="shared" si="71"/>
        <v/>
      </c>
    </row>
    <row r="3812" spans="20:20">
      <c r="T3812" t="str">
        <f t="shared" si="71"/>
        <v/>
      </c>
    </row>
    <row r="3813" spans="20:20">
      <c r="T3813" t="str">
        <f t="shared" si="71"/>
        <v/>
      </c>
    </row>
    <row r="3814" spans="20:20">
      <c r="T3814" t="str">
        <f t="shared" si="71"/>
        <v/>
      </c>
    </row>
    <row r="3815" spans="20:20">
      <c r="T3815" t="str">
        <f t="shared" si="71"/>
        <v/>
      </c>
    </row>
    <row r="3816" spans="20:20">
      <c r="T3816" t="str">
        <f t="shared" si="71"/>
        <v/>
      </c>
    </row>
    <row r="3817" spans="20:20">
      <c r="T3817" t="str">
        <f t="shared" si="71"/>
        <v/>
      </c>
    </row>
    <row r="3818" spans="20:20">
      <c r="T3818" t="str">
        <f t="shared" si="71"/>
        <v/>
      </c>
    </row>
    <row r="3819" spans="20:20">
      <c r="T3819" t="str">
        <f t="shared" si="71"/>
        <v/>
      </c>
    </row>
    <row r="3820" spans="20:20">
      <c r="T3820" t="str">
        <f t="shared" si="71"/>
        <v/>
      </c>
    </row>
    <row r="3821" spans="20:20">
      <c r="T3821" t="str">
        <f t="shared" si="71"/>
        <v/>
      </c>
    </row>
    <row r="3822" spans="20:20">
      <c r="T3822" t="str">
        <f t="shared" si="71"/>
        <v/>
      </c>
    </row>
    <row r="3823" spans="20:20">
      <c r="T3823" t="str">
        <f t="shared" si="71"/>
        <v/>
      </c>
    </row>
    <row r="3824" spans="20:20">
      <c r="T3824" t="str">
        <f t="shared" si="71"/>
        <v/>
      </c>
    </row>
    <row r="3825" spans="20:20">
      <c r="T3825" t="str">
        <f t="shared" si="71"/>
        <v/>
      </c>
    </row>
    <row r="3826" spans="20:20">
      <c r="T3826" t="str">
        <f t="shared" si="71"/>
        <v/>
      </c>
    </row>
    <row r="3827" spans="20:20">
      <c r="T3827" t="str">
        <f t="shared" si="71"/>
        <v/>
      </c>
    </row>
    <row r="3828" spans="20:20">
      <c r="T3828" t="str">
        <f t="shared" si="71"/>
        <v/>
      </c>
    </row>
    <row r="3829" spans="20:20">
      <c r="T3829" t="str">
        <f t="shared" si="71"/>
        <v/>
      </c>
    </row>
    <row r="3830" spans="20:20">
      <c r="T3830" t="str">
        <f t="shared" si="71"/>
        <v/>
      </c>
    </row>
    <row r="3831" spans="20:20">
      <c r="T3831" t="str">
        <f t="shared" si="71"/>
        <v/>
      </c>
    </row>
    <row r="3832" spans="20:20">
      <c r="T3832" t="str">
        <f t="shared" si="71"/>
        <v/>
      </c>
    </row>
    <row r="3833" spans="20:20">
      <c r="T3833" t="str">
        <f t="shared" si="71"/>
        <v/>
      </c>
    </row>
    <row r="3834" spans="20:20">
      <c r="T3834" t="str">
        <f t="shared" si="71"/>
        <v/>
      </c>
    </row>
    <row r="3835" spans="20:20">
      <c r="T3835" t="str">
        <f t="shared" si="71"/>
        <v/>
      </c>
    </row>
    <row r="3836" spans="20:20">
      <c r="T3836" t="str">
        <f t="shared" si="71"/>
        <v/>
      </c>
    </row>
    <row r="3837" spans="20:20">
      <c r="T3837" t="str">
        <f t="shared" si="71"/>
        <v/>
      </c>
    </row>
    <row r="3838" spans="20:20">
      <c r="T3838" t="str">
        <f t="shared" si="71"/>
        <v/>
      </c>
    </row>
    <row r="3839" spans="20:20">
      <c r="T3839" t="str">
        <f t="shared" si="71"/>
        <v/>
      </c>
    </row>
    <row r="3840" spans="20:20">
      <c r="T3840" t="str">
        <f t="shared" si="71"/>
        <v/>
      </c>
    </row>
    <row r="3841" spans="20:20">
      <c r="T3841" t="str">
        <f t="shared" si="71"/>
        <v/>
      </c>
    </row>
    <row r="3842" spans="20:20">
      <c r="T3842" t="str">
        <f t="shared" ref="T3842:T3905" si="72">IF(C3842="","",UPPER(LEFT(SUBSTITUTE(C3842," ",""),3))&amp;"-"&amp;TEXT(B3842,"AAMMDD")&amp;"-1")</f>
        <v/>
      </c>
    </row>
    <row r="3843" spans="20:20">
      <c r="T3843" t="str">
        <f t="shared" si="72"/>
        <v/>
      </c>
    </row>
    <row r="3844" spans="20:20">
      <c r="T3844" t="str">
        <f t="shared" si="72"/>
        <v/>
      </c>
    </row>
    <row r="3845" spans="20:20">
      <c r="T3845" t="str">
        <f t="shared" si="72"/>
        <v/>
      </c>
    </row>
    <row r="3846" spans="20:20">
      <c r="T3846" t="str">
        <f t="shared" si="72"/>
        <v/>
      </c>
    </row>
    <row r="3847" spans="20:20">
      <c r="T3847" t="str">
        <f t="shared" si="72"/>
        <v/>
      </c>
    </row>
    <row r="3848" spans="20:20">
      <c r="T3848" t="str">
        <f t="shared" si="72"/>
        <v/>
      </c>
    </row>
    <row r="3849" spans="20:20">
      <c r="T3849" t="str">
        <f t="shared" si="72"/>
        <v/>
      </c>
    </row>
    <row r="3850" spans="20:20">
      <c r="T3850" t="str">
        <f t="shared" si="72"/>
        <v/>
      </c>
    </row>
    <row r="3851" spans="20:20">
      <c r="T3851" t="str">
        <f t="shared" si="72"/>
        <v/>
      </c>
    </row>
    <row r="3852" spans="20:20">
      <c r="T3852" t="str">
        <f t="shared" si="72"/>
        <v/>
      </c>
    </row>
    <row r="3853" spans="20:20">
      <c r="T3853" t="str">
        <f t="shared" si="72"/>
        <v/>
      </c>
    </row>
    <row r="3854" spans="20:20">
      <c r="T3854" t="str">
        <f t="shared" si="72"/>
        <v/>
      </c>
    </row>
    <row r="3855" spans="20:20">
      <c r="T3855" t="str">
        <f t="shared" si="72"/>
        <v/>
      </c>
    </row>
    <row r="3856" spans="20:20">
      <c r="T3856" t="str">
        <f t="shared" si="72"/>
        <v/>
      </c>
    </row>
    <row r="3857" spans="20:20">
      <c r="T3857" t="str">
        <f t="shared" si="72"/>
        <v/>
      </c>
    </row>
    <row r="3858" spans="20:20">
      <c r="T3858" t="str">
        <f t="shared" si="72"/>
        <v/>
      </c>
    </row>
    <row r="3859" spans="20:20">
      <c r="T3859" t="str">
        <f t="shared" si="72"/>
        <v/>
      </c>
    </row>
    <row r="3860" spans="20:20">
      <c r="T3860" t="str">
        <f t="shared" si="72"/>
        <v/>
      </c>
    </row>
    <row r="3861" spans="20:20">
      <c r="T3861" t="str">
        <f t="shared" si="72"/>
        <v/>
      </c>
    </row>
    <row r="3862" spans="20:20">
      <c r="T3862" t="str">
        <f t="shared" si="72"/>
        <v/>
      </c>
    </row>
    <row r="3863" spans="20:20">
      <c r="T3863" t="str">
        <f t="shared" si="72"/>
        <v/>
      </c>
    </row>
    <row r="3864" spans="20:20">
      <c r="T3864" t="str">
        <f t="shared" si="72"/>
        <v/>
      </c>
    </row>
    <row r="3865" spans="20:20">
      <c r="T3865" t="str">
        <f t="shared" si="72"/>
        <v/>
      </c>
    </row>
    <row r="3866" spans="20:20">
      <c r="T3866" t="str">
        <f t="shared" si="72"/>
        <v/>
      </c>
    </row>
    <row r="3867" spans="20:20">
      <c r="T3867" t="str">
        <f t="shared" si="72"/>
        <v/>
      </c>
    </row>
    <row r="3868" spans="20:20">
      <c r="T3868" t="str">
        <f t="shared" si="72"/>
        <v/>
      </c>
    </row>
    <row r="3869" spans="20:20">
      <c r="T3869" t="str">
        <f t="shared" si="72"/>
        <v/>
      </c>
    </row>
    <row r="3870" spans="20:20">
      <c r="T3870" t="str">
        <f t="shared" si="72"/>
        <v/>
      </c>
    </row>
    <row r="3871" spans="20:20">
      <c r="T3871" t="str">
        <f t="shared" si="72"/>
        <v/>
      </c>
    </row>
    <row r="3872" spans="20:20">
      <c r="T3872" t="str">
        <f t="shared" si="72"/>
        <v/>
      </c>
    </row>
    <row r="3873" spans="20:20">
      <c r="T3873" t="str">
        <f t="shared" si="72"/>
        <v/>
      </c>
    </row>
    <row r="3874" spans="20:20">
      <c r="T3874" t="str">
        <f t="shared" si="72"/>
        <v/>
      </c>
    </row>
    <row r="3875" spans="20:20">
      <c r="T3875" t="str">
        <f t="shared" si="72"/>
        <v/>
      </c>
    </row>
    <row r="3876" spans="20:20">
      <c r="T3876" t="str">
        <f t="shared" si="72"/>
        <v/>
      </c>
    </row>
    <row r="3877" spans="20:20">
      <c r="T3877" t="str">
        <f t="shared" si="72"/>
        <v/>
      </c>
    </row>
    <row r="3878" spans="20:20">
      <c r="T3878" t="str">
        <f t="shared" si="72"/>
        <v/>
      </c>
    </row>
    <row r="3879" spans="20:20">
      <c r="T3879" t="str">
        <f t="shared" si="72"/>
        <v/>
      </c>
    </row>
    <row r="3880" spans="20:20">
      <c r="T3880" t="str">
        <f t="shared" si="72"/>
        <v/>
      </c>
    </row>
    <row r="3881" spans="20:20">
      <c r="T3881" t="str">
        <f t="shared" si="72"/>
        <v/>
      </c>
    </row>
    <row r="3882" spans="20:20">
      <c r="T3882" t="str">
        <f t="shared" si="72"/>
        <v/>
      </c>
    </row>
    <row r="3883" spans="20:20">
      <c r="T3883" t="str">
        <f t="shared" si="72"/>
        <v/>
      </c>
    </row>
    <row r="3884" spans="20:20">
      <c r="T3884" t="str">
        <f t="shared" si="72"/>
        <v/>
      </c>
    </row>
    <row r="3885" spans="20:20">
      <c r="T3885" t="str">
        <f t="shared" si="72"/>
        <v/>
      </c>
    </row>
    <row r="3886" spans="20:20">
      <c r="T3886" t="str">
        <f t="shared" si="72"/>
        <v/>
      </c>
    </row>
    <row r="3887" spans="20:20">
      <c r="T3887" t="str">
        <f t="shared" si="72"/>
        <v/>
      </c>
    </row>
    <row r="3888" spans="20:20">
      <c r="T3888" t="str">
        <f t="shared" si="72"/>
        <v/>
      </c>
    </row>
    <row r="3889" spans="20:20">
      <c r="T3889" t="str">
        <f t="shared" si="72"/>
        <v/>
      </c>
    </row>
    <row r="3890" spans="20:20">
      <c r="T3890" t="str">
        <f t="shared" si="72"/>
        <v/>
      </c>
    </row>
    <row r="3891" spans="20:20">
      <c r="T3891" t="str">
        <f t="shared" si="72"/>
        <v/>
      </c>
    </row>
    <row r="3892" spans="20:20">
      <c r="T3892" t="str">
        <f t="shared" si="72"/>
        <v/>
      </c>
    </row>
    <row r="3893" spans="20:20">
      <c r="T3893" t="str">
        <f t="shared" si="72"/>
        <v/>
      </c>
    </row>
    <row r="3894" spans="20:20">
      <c r="T3894" t="str">
        <f t="shared" si="72"/>
        <v/>
      </c>
    </row>
    <row r="3895" spans="20:20">
      <c r="T3895" t="str">
        <f t="shared" si="72"/>
        <v/>
      </c>
    </row>
    <row r="3896" spans="20:20">
      <c r="T3896" t="str">
        <f t="shared" si="72"/>
        <v/>
      </c>
    </row>
    <row r="3897" spans="20:20">
      <c r="T3897" t="str">
        <f t="shared" si="72"/>
        <v/>
      </c>
    </row>
    <row r="3898" spans="20:20">
      <c r="T3898" t="str">
        <f t="shared" si="72"/>
        <v/>
      </c>
    </row>
    <row r="3899" spans="20:20">
      <c r="T3899" t="str">
        <f t="shared" si="72"/>
        <v/>
      </c>
    </row>
    <row r="3900" spans="20:20">
      <c r="T3900" t="str">
        <f t="shared" si="72"/>
        <v/>
      </c>
    </row>
    <row r="3901" spans="20:20">
      <c r="T3901" t="str">
        <f t="shared" si="72"/>
        <v/>
      </c>
    </row>
    <row r="3902" spans="20:20">
      <c r="T3902" t="str">
        <f t="shared" si="72"/>
        <v/>
      </c>
    </row>
    <row r="3903" spans="20:20">
      <c r="T3903" t="str">
        <f t="shared" si="72"/>
        <v/>
      </c>
    </row>
    <row r="3904" spans="20:20">
      <c r="T3904" t="str">
        <f t="shared" si="72"/>
        <v/>
      </c>
    </row>
    <row r="3905" spans="20:20">
      <c r="T3905" t="str">
        <f t="shared" si="72"/>
        <v/>
      </c>
    </row>
    <row r="3906" spans="20:20">
      <c r="T3906" t="str">
        <f t="shared" ref="T3906:T3969" si="73">IF(C3906="","",UPPER(LEFT(SUBSTITUTE(C3906," ",""),3))&amp;"-"&amp;TEXT(B3906,"AAMMDD")&amp;"-1")</f>
        <v/>
      </c>
    </row>
    <row r="3907" spans="20:20">
      <c r="T3907" t="str">
        <f t="shared" si="73"/>
        <v/>
      </c>
    </row>
    <row r="3908" spans="20:20">
      <c r="T3908" t="str">
        <f t="shared" si="73"/>
        <v/>
      </c>
    </row>
    <row r="3909" spans="20:20">
      <c r="T3909" t="str">
        <f t="shared" si="73"/>
        <v/>
      </c>
    </row>
    <row r="3910" spans="20:20">
      <c r="T3910" t="str">
        <f t="shared" si="73"/>
        <v/>
      </c>
    </row>
    <row r="3911" spans="20:20">
      <c r="T3911" t="str">
        <f t="shared" si="73"/>
        <v/>
      </c>
    </row>
    <row r="3912" spans="20:20">
      <c r="T3912" t="str">
        <f t="shared" si="73"/>
        <v/>
      </c>
    </row>
    <row r="3913" spans="20:20">
      <c r="T3913" t="str">
        <f t="shared" si="73"/>
        <v/>
      </c>
    </row>
    <row r="3914" spans="20:20">
      <c r="T3914" t="str">
        <f t="shared" si="73"/>
        <v/>
      </c>
    </row>
    <row r="3915" spans="20:20">
      <c r="T3915" t="str">
        <f t="shared" si="73"/>
        <v/>
      </c>
    </row>
    <row r="3916" spans="20:20">
      <c r="T3916" t="str">
        <f t="shared" si="73"/>
        <v/>
      </c>
    </row>
    <row r="3917" spans="20:20">
      <c r="T3917" t="str">
        <f t="shared" si="73"/>
        <v/>
      </c>
    </row>
    <row r="3918" spans="20:20">
      <c r="T3918" t="str">
        <f t="shared" si="73"/>
        <v/>
      </c>
    </row>
    <row r="3919" spans="20:20">
      <c r="T3919" t="str">
        <f t="shared" si="73"/>
        <v/>
      </c>
    </row>
    <row r="3920" spans="20:20">
      <c r="T3920" t="str">
        <f t="shared" si="73"/>
        <v/>
      </c>
    </row>
    <row r="3921" spans="20:20">
      <c r="T3921" t="str">
        <f t="shared" si="73"/>
        <v/>
      </c>
    </row>
    <row r="3922" spans="20:20">
      <c r="T3922" t="str">
        <f t="shared" si="73"/>
        <v/>
      </c>
    </row>
    <row r="3923" spans="20:20">
      <c r="T3923" t="str">
        <f t="shared" si="73"/>
        <v/>
      </c>
    </row>
    <row r="3924" spans="20:20">
      <c r="T3924" t="str">
        <f t="shared" si="73"/>
        <v/>
      </c>
    </row>
    <row r="3925" spans="20:20">
      <c r="T3925" t="str">
        <f t="shared" si="73"/>
        <v/>
      </c>
    </row>
    <row r="3926" spans="20:20">
      <c r="T3926" t="str">
        <f t="shared" si="73"/>
        <v/>
      </c>
    </row>
    <row r="3927" spans="20:20">
      <c r="T3927" t="str">
        <f t="shared" si="73"/>
        <v/>
      </c>
    </row>
    <row r="3928" spans="20:20">
      <c r="T3928" t="str">
        <f t="shared" si="73"/>
        <v/>
      </c>
    </row>
    <row r="3929" spans="20:20">
      <c r="T3929" t="str">
        <f t="shared" si="73"/>
        <v/>
      </c>
    </row>
    <row r="3930" spans="20:20">
      <c r="T3930" t="str">
        <f t="shared" si="73"/>
        <v/>
      </c>
    </row>
    <row r="3931" spans="20:20">
      <c r="T3931" t="str">
        <f t="shared" si="73"/>
        <v/>
      </c>
    </row>
    <row r="3932" spans="20:20">
      <c r="T3932" t="str">
        <f t="shared" si="73"/>
        <v/>
      </c>
    </row>
    <row r="3933" spans="20:20">
      <c r="T3933" t="str">
        <f t="shared" si="73"/>
        <v/>
      </c>
    </row>
    <row r="3934" spans="20:20">
      <c r="T3934" t="str">
        <f t="shared" si="73"/>
        <v/>
      </c>
    </row>
    <row r="3935" spans="20:20">
      <c r="T3935" t="str">
        <f t="shared" si="73"/>
        <v/>
      </c>
    </row>
    <row r="3936" spans="20:20">
      <c r="T3936" t="str">
        <f t="shared" si="73"/>
        <v/>
      </c>
    </row>
    <row r="3937" spans="20:20">
      <c r="T3937" t="str">
        <f t="shared" si="73"/>
        <v/>
      </c>
    </row>
    <row r="3938" spans="20:20">
      <c r="T3938" t="str">
        <f t="shared" si="73"/>
        <v/>
      </c>
    </row>
    <row r="3939" spans="20:20">
      <c r="T3939" t="str">
        <f t="shared" si="73"/>
        <v/>
      </c>
    </row>
    <row r="3940" spans="20:20">
      <c r="T3940" t="str">
        <f t="shared" si="73"/>
        <v/>
      </c>
    </row>
    <row r="3941" spans="20:20">
      <c r="T3941" t="str">
        <f t="shared" si="73"/>
        <v/>
      </c>
    </row>
    <row r="3942" spans="20:20">
      <c r="T3942" t="str">
        <f t="shared" si="73"/>
        <v/>
      </c>
    </row>
    <row r="3943" spans="20:20">
      <c r="T3943" t="str">
        <f t="shared" si="73"/>
        <v/>
      </c>
    </row>
    <row r="3944" spans="20:20">
      <c r="T3944" t="str">
        <f t="shared" si="73"/>
        <v/>
      </c>
    </row>
    <row r="3945" spans="20:20">
      <c r="T3945" t="str">
        <f t="shared" si="73"/>
        <v/>
      </c>
    </row>
    <row r="3946" spans="20:20">
      <c r="T3946" t="str">
        <f t="shared" si="73"/>
        <v/>
      </c>
    </row>
    <row r="3947" spans="20:20">
      <c r="T3947" t="str">
        <f t="shared" si="73"/>
        <v/>
      </c>
    </row>
    <row r="3948" spans="20:20">
      <c r="T3948" t="str">
        <f t="shared" si="73"/>
        <v/>
      </c>
    </row>
    <row r="3949" spans="20:20">
      <c r="T3949" t="str">
        <f t="shared" si="73"/>
        <v/>
      </c>
    </row>
    <row r="3950" spans="20:20">
      <c r="T3950" t="str">
        <f t="shared" si="73"/>
        <v/>
      </c>
    </row>
    <row r="3951" spans="20:20">
      <c r="T3951" t="str">
        <f t="shared" si="73"/>
        <v/>
      </c>
    </row>
    <row r="3952" spans="20:20">
      <c r="T3952" t="str">
        <f t="shared" si="73"/>
        <v/>
      </c>
    </row>
    <row r="3953" spans="20:20">
      <c r="T3953" t="str">
        <f t="shared" si="73"/>
        <v/>
      </c>
    </row>
    <row r="3954" spans="20:20">
      <c r="T3954" t="str">
        <f t="shared" si="73"/>
        <v/>
      </c>
    </row>
    <row r="3955" spans="20:20">
      <c r="T3955" t="str">
        <f t="shared" si="73"/>
        <v/>
      </c>
    </row>
    <row r="3956" spans="20:20">
      <c r="T3956" t="str">
        <f t="shared" si="73"/>
        <v/>
      </c>
    </row>
    <row r="3957" spans="20:20">
      <c r="T3957" t="str">
        <f t="shared" si="73"/>
        <v/>
      </c>
    </row>
    <row r="3958" spans="20:20">
      <c r="T3958" t="str">
        <f t="shared" si="73"/>
        <v/>
      </c>
    </row>
    <row r="3959" spans="20:20">
      <c r="T3959" t="str">
        <f t="shared" si="73"/>
        <v/>
      </c>
    </row>
    <row r="3960" spans="20:20">
      <c r="T3960" t="str">
        <f t="shared" si="73"/>
        <v/>
      </c>
    </row>
    <row r="3961" spans="20:20">
      <c r="T3961" t="str">
        <f t="shared" si="73"/>
        <v/>
      </c>
    </row>
    <row r="3962" spans="20:20">
      <c r="T3962" t="str">
        <f t="shared" si="73"/>
        <v/>
      </c>
    </row>
    <row r="3963" spans="20:20">
      <c r="T3963" t="str">
        <f t="shared" si="73"/>
        <v/>
      </c>
    </row>
    <row r="3964" spans="20:20">
      <c r="T3964" t="str">
        <f t="shared" si="73"/>
        <v/>
      </c>
    </row>
    <row r="3965" spans="20:20">
      <c r="T3965" t="str">
        <f t="shared" si="73"/>
        <v/>
      </c>
    </row>
    <row r="3966" spans="20:20">
      <c r="T3966" t="str">
        <f t="shared" si="73"/>
        <v/>
      </c>
    </row>
    <row r="3967" spans="20:20">
      <c r="T3967" t="str">
        <f t="shared" si="73"/>
        <v/>
      </c>
    </row>
    <row r="3968" spans="20:20">
      <c r="T3968" t="str">
        <f t="shared" si="73"/>
        <v/>
      </c>
    </row>
    <row r="3969" spans="20:20">
      <c r="T3969" t="str">
        <f t="shared" si="73"/>
        <v/>
      </c>
    </row>
    <row r="3970" spans="20:20">
      <c r="T3970" t="str">
        <f t="shared" ref="T3970:T4033" si="74">IF(C3970="","",UPPER(LEFT(SUBSTITUTE(C3970," ",""),3))&amp;"-"&amp;TEXT(B3970,"AAMMDD")&amp;"-1")</f>
        <v/>
      </c>
    </row>
    <row r="3971" spans="20:20">
      <c r="T3971" t="str">
        <f t="shared" si="74"/>
        <v/>
      </c>
    </row>
    <row r="3972" spans="20:20">
      <c r="T3972" t="str">
        <f t="shared" si="74"/>
        <v/>
      </c>
    </row>
    <row r="3973" spans="20:20">
      <c r="T3973" t="str">
        <f t="shared" si="74"/>
        <v/>
      </c>
    </row>
    <row r="3974" spans="20:20">
      <c r="T3974" t="str">
        <f t="shared" si="74"/>
        <v/>
      </c>
    </row>
    <row r="3975" spans="20:20">
      <c r="T3975" t="str">
        <f t="shared" si="74"/>
        <v/>
      </c>
    </row>
    <row r="3976" spans="20:20">
      <c r="T3976" t="str">
        <f t="shared" si="74"/>
        <v/>
      </c>
    </row>
    <row r="3977" spans="20:20">
      <c r="T3977" t="str">
        <f t="shared" si="74"/>
        <v/>
      </c>
    </row>
    <row r="3978" spans="20:20">
      <c r="T3978" t="str">
        <f t="shared" si="74"/>
        <v/>
      </c>
    </row>
    <row r="3979" spans="20:20">
      <c r="T3979" t="str">
        <f t="shared" si="74"/>
        <v/>
      </c>
    </row>
    <row r="3980" spans="20:20">
      <c r="T3980" t="str">
        <f t="shared" si="74"/>
        <v/>
      </c>
    </row>
    <row r="3981" spans="20:20">
      <c r="T3981" t="str">
        <f t="shared" si="74"/>
        <v/>
      </c>
    </row>
    <row r="3982" spans="20:20">
      <c r="T3982" t="str">
        <f t="shared" si="74"/>
        <v/>
      </c>
    </row>
    <row r="3983" spans="20:20">
      <c r="T3983" t="str">
        <f t="shared" si="74"/>
        <v/>
      </c>
    </row>
    <row r="3984" spans="20:20">
      <c r="T3984" t="str">
        <f t="shared" si="74"/>
        <v/>
      </c>
    </row>
    <row r="3985" spans="20:20">
      <c r="T3985" t="str">
        <f t="shared" si="74"/>
        <v/>
      </c>
    </row>
    <row r="3986" spans="20:20">
      <c r="T3986" t="str">
        <f t="shared" si="74"/>
        <v/>
      </c>
    </row>
    <row r="3987" spans="20:20">
      <c r="T3987" t="str">
        <f t="shared" si="74"/>
        <v/>
      </c>
    </row>
    <row r="3988" spans="20:20">
      <c r="T3988" t="str">
        <f t="shared" si="74"/>
        <v/>
      </c>
    </row>
    <row r="3989" spans="20:20">
      <c r="T3989" t="str">
        <f t="shared" si="74"/>
        <v/>
      </c>
    </row>
    <row r="3990" spans="20:20">
      <c r="T3990" t="str">
        <f t="shared" si="74"/>
        <v/>
      </c>
    </row>
    <row r="3991" spans="20:20">
      <c r="T3991" t="str">
        <f t="shared" si="74"/>
        <v/>
      </c>
    </row>
    <row r="3992" spans="20:20">
      <c r="T3992" t="str">
        <f t="shared" si="74"/>
        <v/>
      </c>
    </row>
    <row r="3993" spans="20:20">
      <c r="T3993" t="str">
        <f t="shared" si="74"/>
        <v/>
      </c>
    </row>
    <row r="3994" spans="20:20">
      <c r="T3994" t="str">
        <f t="shared" si="74"/>
        <v/>
      </c>
    </row>
    <row r="3995" spans="20:20">
      <c r="T3995" t="str">
        <f t="shared" si="74"/>
        <v/>
      </c>
    </row>
    <row r="3996" spans="20:20">
      <c r="T3996" t="str">
        <f t="shared" si="74"/>
        <v/>
      </c>
    </row>
    <row r="3997" spans="20:20">
      <c r="T3997" t="str">
        <f t="shared" si="74"/>
        <v/>
      </c>
    </row>
    <row r="3998" spans="20:20">
      <c r="T3998" t="str">
        <f t="shared" si="74"/>
        <v/>
      </c>
    </row>
    <row r="3999" spans="20:20">
      <c r="T3999" t="str">
        <f t="shared" si="74"/>
        <v/>
      </c>
    </row>
    <row r="4000" spans="20:20">
      <c r="T4000" t="str">
        <f t="shared" si="74"/>
        <v/>
      </c>
    </row>
    <row r="4001" spans="20:20">
      <c r="T4001" t="str">
        <f t="shared" si="74"/>
        <v/>
      </c>
    </row>
    <row r="4002" spans="20:20">
      <c r="T4002" t="str">
        <f t="shared" si="74"/>
        <v/>
      </c>
    </row>
    <row r="4003" spans="20:20">
      <c r="T4003" t="str">
        <f t="shared" si="74"/>
        <v/>
      </c>
    </row>
    <row r="4004" spans="20:20">
      <c r="T4004" t="str">
        <f t="shared" si="74"/>
        <v/>
      </c>
    </row>
    <row r="4005" spans="20:20">
      <c r="T4005" t="str">
        <f t="shared" si="74"/>
        <v/>
      </c>
    </row>
    <row r="4006" spans="20:20">
      <c r="T4006" t="str">
        <f t="shared" si="74"/>
        <v/>
      </c>
    </row>
    <row r="4007" spans="20:20">
      <c r="T4007" t="str">
        <f t="shared" si="74"/>
        <v/>
      </c>
    </row>
    <row r="4008" spans="20:20">
      <c r="T4008" t="str">
        <f t="shared" si="74"/>
        <v/>
      </c>
    </row>
    <row r="4009" spans="20:20">
      <c r="T4009" t="str">
        <f t="shared" si="74"/>
        <v/>
      </c>
    </row>
    <row r="4010" spans="20:20">
      <c r="T4010" t="str">
        <f t="shared" si="74"/>
        <v/>
      </c>
    </row>
    <row r="4011" spans="20:20">
      <c r="T4011" t="str">
        <f t="shared" si="74"/>
        <v/>
      </c>
    </row>
    <row r="4012" spans="20:20">
      <c r="T4012" t="str">
        <f t="shared" si="74"/>
        <v/>
      </c>
    </row>
    <row r="4013" spans="20:20">
      <c r="T4013" t="str">
        <f t="shared" si="74"/>
        <v/>
      </c>
    </row>
    <row r="4014" spans="20:20">
      <c r="T4014" t="str">
        <f t="shared" si="74"/>
        <v/>
      </c>
    </row>
    <row r="4015" spans="20:20">
      <c r="T4015" t="str">
        <f t="shared" si="74"/>
        <v/>
      </c>
    </row>
    <row r="4016" spans="20:20">
      <c r="T4016" t="str">
        <f t="shared" si="74"/>
        <v/>
      </c>
    </row>
    <row r="4017" spans="20:20">
      <c r="T4017" t="str">
        <f t="shared" si="74"/>
        <v/>
      </c>
    </row>
    <row r="4018" spans="20:20">
      <c r="T4018" t="str">
        <f t="shared" si="74"/>
        <v/>
      </c>
    </row>
    <row r="4019" spans="20:20">
      <c r="T4019" t="str">
        <f t="shared" si="74"/>
        <v/>
      </c>
    </row>
    <row r="4020" spans="20:20">
      <c r="T4020" t="str">
        <f t="shared" si="74"/>
        <v/>
      </c>
    </row>
    <row r="4021" spans="20:20">
      <c r="T4021" t="str">
        <f t="shared" si="74"/>
        <v/>
      </c>
    </row>
    <row r="4022" spans="20:20">
      <c r="T4022" t="str">
        <f t="shared" si="74"/>
        <v/>
      </c>
    </row>
    <row r="4023" spans="20:20">
      <c r="T4023" t="str">
        <f t="shared" si="74"/>
        <v/>
      </c>
    </row>
    <row r="4024" spans="20:20">
      <c r="T4024" t="str">
        <f t="shared" si="74"/>
        <v/>
      </c>
    </row>
    <row r="4025" spans="20:20">
      <c r="T4025" t="str">
        <f t="shared" si="74"/>
        <v/>
      </c>
    </row>
    <row r="4026" spans="20:20">
      <c r="T4026" t="str">
        <f t="shared" si="74"/>
        <v/>
      </c>
    </row>
    <row r="4027" spans="20:20">
      <c r="T4027" t="str">
        <f t="shared" si="74"/>
        <v/>
      </c>
    </row>
    <row r="4028" spans="20:20">
      <c r="T4028" t="str">
        <f t="shared" si="74"/>
        <v/>
      </c>
    </row>
    <row r="4029" spans="20:20">
      <c r="T4029" t="str">
        <f t="shared" si="74"/>
        <v/>
      </c>
    </row>
    <row r="4030" spans="20:20">
      <c r="T4030" t="str">
        <f t="shared" si="74"/>
        <v/>
      </c>
    </row>
    <row r="4031" spans="20:20">
      <c r="T4031" t="str">
        <f t="shared" si="74"/>
        <v/>
      </c>
    </row>
    <row r="4032" spans="20:20">
      <c r="T4032" t="str">
        <f t="shared" si="74"/>
        <v/>
      </c>
    </row>
    <row r="4033" spans="20:20">
      <c r="T4033" t="str">
        <f t="shared" si="74"/>
        <v/>
      </c>
    </row>
    <row r="4034" spans="20:20">
      <c r="T4034" t="str">
        <f t="shared" ref="T4034:T4097" si="75">IF(C4034="","",UPPER(LEFT(SUBSTITUTE(C4034," ",""),3))&amp;"-"&amp;TEXT(B4034,"AAMMDD")&amp;"-1")</f>
        <v/>
      </c>
    </row>
    <row r="4035" spans="20:20">
      <c r="T4035" t="str">
        <f t="shared" si="75"/>
        <v/>
      </c>
    </row>
    <row r="4036" spans="20:20">
      <c r="T4036" t="str">
        <f t="shared" si="75"/>
        <v/>
      </c>
    </row>
    <row r="4037" spans="20:20">
      <c r="T4037" t="str">
        <f t="shared" si="75"/>
        <v/>
      </c>
    </row>
    <row r="4038" spans="20:20">
      <c r="T4038" t="str">
        <f t="shared" si="75"/>
        <v/>
      </c>
    </row>
    <row r="4039" spans="20:20">
      <c r="T4039" t="str">
        <f t="shared" si="75"/>
        <v/>
      </c>
    </row>
    <row r="4040" spans="20:20">
      <c r="T4040" t="str">
        <f t="shared" si="75"/>
        <v/>
      </c>
    </row>
    <row r="4041" spans="20:20">
      <c r="T4041" t="str">
        <f t="shared" si="75"/>
        <v/>
      </c>
    </row>
    <row r="4042" spans="20:20">
      <c r="T4042" t="str">
        <f t="shared" si="75"/>
        <v/>
      </c>
    </row>
    <row r="4043" spans="20:20">
      <c r="T4043" t="str">
        <f t="shared" si="75"/>
        <v/>
      </c>
    </row>
    <row r="4044" spans="20:20">
      <c r="T4044" t="str">
        <f t="shared" si="75"/>
        <v/>
      </c>
    </row>
    <row r="4045" spans="20:20">
      <c r="T4045" t="str">
        <f t="shared" si="75"/>
        <v/>
      </c>
    </row>
    <row r="4046" spans="20:20">
      <c r="T4046" t="str">
        <f t="shared" si="75"/>
        <v/>
      </c>
    </row>
    <row r="4047" spans="20:20">
      <c r="T4047" t="str">
        <f t="shared" si="75"/>
        <v/>
      </c>
    </row>
    <row r="4048" spans="20:20">
      <c r="T4048" t="str">
        <f t="shared" si="75"/>
        <v/>
      </c>
    </row>
    <row r="4049" spans="20:20">
      <c r="T4049" t="str">
        <f t="shared" si="75"/>
        <v/>
      </c>
    </row>
    <row r="4050" spans="20:20">
      <c r="T4050" t="str">
        <f t="shared" si="75"/>
        <v/>
      </c>
    </row>
    <row r="4051" spans="20:20">
      <c r="T4051" t="str">
        <f t="shared" si="75"/>
        <v/>
      </c>
    </row>
    <row r="4052" spans="20:20">
      <c r="T4052" t="str">
        <f t="shared" si="75"/>
        <v/>
      </c>
    </row>
    <row r="4053" spans="20:20">
      <c r="T4053" t="str">
        <f t="shared" si="75"/>
        <v/>
      </c>
    </row>
    <row r="4054" spans="20:20">
      <c r="T4054" t="str">
        <f t="shared" si="75"/>
        <v/>
      </c>
    </row>
    <row r="4055" spans="20:20">
      <c r="T4055" t="str">
        <f t="shared" si="75"/>
        <v/>
      </c>
    </row>
    <row r="4056" spans="20:20">
      <c r="T4056" t="str">
        <f t="shared" si="75"/>
        <v/>
      </c>
    </row>
    <row r="4057" spans="20:20">
      <c r="T4057" t="str">
        <f t="shared" si="75"/>
        <v/>
      </c>
    </row>
    <row r="4058" spans="20:20">
      <c r="T4058" t="str">
        <f t="shared" si="75"/>
        <v/>
      </c>
    </row>
    <row r="4059" spans="20:20">
      <c r="T4059" t="str">
        <f t="shared" si="75"/>
        <v/>
      </c>
    </row>
    <row r="4060" spans="20:20">
      <c r="T4060" t="str">
        <f t="shared" si="75"/>
        <v/>
      </c>
    </row>
    <row r="4061" spans="20:20">
      <c r="T4061" t="str">
        <f t="shared" si="75"/>
        <v/>
      </c>
    </row>
    <row r="4062" spans="20:20">
      <c r="T4062" t="str">
        <f t="shared" si="75"/>
        <v/>
      </c>
    </row>
    <row r="4063" spans="20:20">
      <c r="T4063" t="str">
        <f t="shared" si="75"/>
        <v/>
      </c>
    </row>
    <row r="4064" spans="20:20">
      <c r="T4064" t="str">
        <f t="shared" si="75"/>
        <v/>
      </c>
    </row>
    <row r="4065" spans="20:20">
      <c r="T4065" t="str">
        <f t="shared" si="75"/>
        <v/>
      </c>
    </row>
    <row r="4066" spans="20:20">
      <c r="T4066" t="str">
        <f t="shared" si="75"/>
        <v/>
      </c>
    </row>
    <row r="4067" spans="20:20">
      <c r="T4067" t="str">
        <f t="shared" si="75"/>
        <v/>
      </c>
    </row>
    <row r="4068" spans="20:20">
      <c r="T4068" t="str">
        <f t="shared" si="75"/>
        <v/>
      </c>
    </row>
    <row r="4069" spans="20:20">
      <c r="T4069" t="str">
        <f t="shared" si="75"/>
        <v/>
      </c>
    </row>
    <row r="4070" spans="20:20">
      <c r="T4070" t="str">
        <f t="shared" si="75"/>
        <v/>
      </c>
    </row>
    <row r="4071" spans="20:20">
      <c r="T4071" t="str">
        <f t="shared" si="75"/>
        <v/>
      </c>
    </row>
    <row r="4072" spans="20:20">
      <c r="T4072" t="str">
        <f t="shared" si="75"/>
        <v/>
      </c>
    </row>
    <row r="4073" spans="20:20">
      <c r="T4073" t="str">
        <f t="shared" si="75"/>
        <v/>
      </c>
    </row>
    <row r="4074" spans="20:20">
      <c r="T4074" t="str">
        <f t="shared" si="75"/>
        <v/>
      </c>
    </row>
    <row r="4075" spans="20:20">
      <c r="T4075" t="str">
        <f t="shared" si="75"/>
        <v/>
      </c>
    </row>
    <row r="4076" spans="20:20">
      <c r="T4076" t="str">
        <f t="shared" si="75"/>
        <v/>
      </c>
    </row>
    <row r="4077" spans="20:20">
      <c r="T4077" t="str">
        <f t="shared" si="75"/>
        <v/>
      </c>
    </row>
    <row r="4078" spans="20:20">
      <c r="T4078" t="str">
        <f t="shared" si="75"/>
        <v/>
      </c>
    </row>
    <row r="4079" spans="20:20">
      <c r="T4079" t="str">
        <f t="shared" si="75"/>
        <v/>
      </c>
    </row>
    <row r="4080" spans="20:20">
      <c r="T4080" t="str">
        <f t="shared" si="75"/>
        <v/>
      </c>
    </row>
    <row r="4081" spans="20:20">
      <c r="T4081" t="str">
        <f t="shared" si="75"/>
        <v/>
      </c>
    </row>
    <row r="4082" spans="20:20">
      <c r="T4082" t="str">
        <f t="shared" si="75"/>
        <v/>
      </c>
    </row>
    <row r="4083" spans="20:20">
      <c r="T4083" t="str">
        <f t="shared" si="75"/>
        <v/>
      </c>
    </row>
    <row r="4084" spans="20:20">
      <c r="T4084" t="str">
        <f t="shared" si="75"/>
        <v/>
      </c>
    </row>
    <row r="4085" spans="20:20">
      <c r="T4085" t="str">
        <f t="shared" si="75"/>
        <v/>
      </c>
    </row>
    <row r="4086" spans="20:20">
      <c r="T4086" t="str">
        <f t="shared" si="75"/>
        <v/>
      </c>
    </row>
    <row r="4087" spans="20:20">
      <c r="T4087" t="str">
        <f t="shared" si="75"/>
        <v/>
      </c>
    </row>
    <row r="4088" spans="20:20">
      <c r="T4088" t="str">
        <f t="shared" si="75"/>
        <v/>
      </c>
    </row>
    <row r="4089" spans="20:20">
      <c r="T4089" t="str">
        <f t="shared" si="75"/>
        <v/>
      </c>
    </row>
    <row r="4090" spans="20:20">
      <c r="T4090" t="str">
        <f t="shared" si="75"/>
        <v/>
      </c>
    </row>
    <row r="4091" spans="20:20">
      <c r="T4091" t="str">
        <f t="shared" si="75"/>
        <v/>
      </c>
    </row>
    <row r="4092" spans="20:20">
      <c r="T4092" t="str">
        <f t="shared" si="75"/>
        <v/>
      </c>
    </row>
    <row r="4093" spans="20:20">
      <c r="T4093" t="str">
        <f t="shared" si="75"/>
        <v/>
      </c>
    </row>
    <row r="4094" spans="20:20">
      <c r="T4094" t="str">
        <f t="shared" si="75"/>
        <v/>
      </c>
    </row>
    <row r="4095" spans="20:20">
      <c r="T4095" t="str">
        <f t="shared" si="75"/>
        <v/>
      </c>
    </row>
    <row r="4096" spans="20:20">
      <c r="T4096" t="str">
        <f t="shared" si="75"/>
        <v/>
      </c>
    </row>
    <row r="4097" spans="20:20">
      <c r="T4097" t="str">
        <f t="shared" si="75"/>
        <v/>
      </c>
    </row>
    <row r="4098" spans="20:20">
      <c r="T4098" t="str">
        <f t="shared" ref="T4098:T4161" si="76">IF(C4098="","",UPPER(LEFT(SUBSTITUTE(C4098," ",""),3))&amp;"-"&amp;TEXT(B4098,"AAMMDD")&amp;"-1")</f>
        <v/>
      </c>
    </row>
    <row r="4099" spans="20:20">
      <c r="T4099" t="str">
        <f t="shared" si="76"/>
        <v/>
      </c>
    </row>
    <row r="4100" spans="20:20">
      <c r="T4100" t="str">
        <f t="shared" si="76"/>
        <v/>
      </c>
    </row>
    <row r="4101" spans="20:20">
      <c r="T4101" t="str">
        <f t="shared" si="76"/>
        <v/>
      </c>
    </row>
    <row r="4102" spans="20:20">
      <c r="T4102" t="str">
        <f t="shared" si="76"/>
        <v/>
      </c>
    </row>
    <row r="4103" spans="20:20">
      <c r="T4103" t="str">
        <f t="shared" si="76"/>
        <v/>
      </c>
    </row>
    <row r="4104" spans="20:20">
      <c r="T4104" t="str">
        <f t="shared" si="76"/>
        <v/>
      </c>
    </row>
    <row r="4105" spans="20:20">
      <c r="T4105" t="str">
        <f t="shared" si="76"/>
        <v/>
      </c>
    </row>
    <row r="4106" spans="20:20">
      <c r="T4106" t="str">
        <f t="shared" si="76"/>
        <v/>
      </c>
    </row>
    <row r="4107" spans="20:20">
      <c r="T4107" t="str">
        <f t="shared" si="76"/>
        <v/>
      </c>
    </row>
    <row r="4108" spans="20:20">
      <c r="T4108" t="str">
        <f t="shared" si="76"/>
        <v/>
      </c>
    </row>
    <row r="4109" spans="20:20">
      <c r="T4109" t="str">
        <f t="shared" si="76"/>
        <v/>
      </c>
    </row>
    <row r="4110" spans="20:20">
      <c r="T4110" t="str">
        <f t="shared" si="76"/>
        <v/>
      </c>
    </row>
    <row r="4111" spans="20:20">
      <c r="T4111" t="str">
        <f t="shared" si="76"/>
        <v/>
      </c>
    </row>
    <row r="4112" spans="20:20">
      <c r="T4112" t="str">
        <f t="shared" si="76"/>
        <v/>
      </c>
    </row>
    <row r="4113" spans="20:20">
      <c r="T4113" t="str">
        <f t="shared" si="76"/>
        <v/>
      </c>
    </row>
    <row r="4114" spans="20:20">
      <c r="T4114" t="str">
        <f t="shared" si="76"/>
        <v/>
      </c>
    </row>
    <row r="4115" spans="20:20">
      <c r="T4115" t="str">
        <f t="shared" si="76"/>
        <v/>
      </c>
    </row>
    <row r="4116" spans="20:20">
      <c r="T4116" t="str">
        <f t="shared" si="76"/>
        <v/>
      </c>
    </row>
    <row r="4117" spans="20:20">
      <c r="T4117" t="str">
        <f t="shared" si="76"/>
        <v/>
      </c>
    </row>
    <row r="4118" spans="20:20">
      <c r="T4118" t="str">
        <f t="shared" si="76"/>
        <v/>
      </c>
    </row>
    <row r="4119" spans="20:20">
      <c r="T4119" t="str">
        <f t="shared" si="76"/>
        <v/>
      </c>
    </row>
    <row r="4120" spans="20:20">
      <c r="T4120" t="str">
        <f t="shared" si="76"/>
        <v/>
      </c>
    </row>
    <row r="4121" spans="20:20">
      <c r="T4121" t="str">
        <f t="shared" si="76"/>
        <v/>
      </c>
    </row>
    <row r="4122" spans="20:20">
      <c r="T4122" t="str">
        <f t="shared" si="76"/>
        <v/>
      </c>
    </row>
    <row r="4123" spans="20:20">
      <c r="T4123" t="str">
        <f t="shared" si="76"/>
        <v/>
      </c>
    </row>
    <row r="4124" spans="20:20">
      <c r="T4124" t="str">
        <f t="shared" si="76"/>
        <v/>
      </c>
    </row>
    <row r="4125" spans="20:20">
      <c r="T4125" t="str">
        <f t="shared" si="76"/>
        <v/>
      </c>
    </row>
    <row r="4126" spans="20:20">
      <c r="T4126" t="str">
        <f t="shared" si="76"/>
        <v/>
      </c>
    </row>
    <row r="4127" spans="20:20">
      <c r="T4127" t="str">
        <f t="shared" si="76"/>
        <v/>
      </c>
    </row>
    <row r="4128" spans="20:20">
      <c r="T4128" t="str">
        <f t="shared" si="76"/>
        <v/>
      </c>
    </row>
    <row r="4129" spans="20:20">
      <c r="T4129" t="str">
        <f t="shared" si="76"/>
        <v/>
      </c>
    </row>
    <row r="4130" spans="20:20">
      <c r="T4130" t="str">
        <f t="shared" si="76"/>
        <v/>
      </c>
    </row>
    <row r="4131" spans="20:20">
      <c r="T4131" t="str">
        <f t="shared" si="76"/>
        <v/>
      </c>
    </row>
    <row r="4132" spans="20:20">
      <c r="T4132" t="str">
        <f t="shared" si="76"/>
        <v/>
      </c>
    </row>
    <row r="4133" spans="20:20">
      <c r="T4133" t="str">
        <f t="shared" si="76"/>
        <v/>
      </c>
    </row>
    <row r="4134" spans="20:20">
      <c r="T4134" t="str">
        <f t="shared" si="76"/>
        <v/>
      </c>
    </row>
    <row r="4135" spans="20:20">
      <c r="T4135" t="str">
        <f t="shared" si="76"/>
        <v/>
      </c>
    </row>
    <row r="4136" spans="20:20">
      <c r="T4136" t="str">
        <f t="shared" si="76"/>
        <v/>
      </c>
    </row>
    <row r="4137" spans="20:20">
      <c r="T4137" t="str">
        <f t="shared" si="76"/>
        <v/>
      </c>
    </row>
    <row r="4138" spans="20:20">
      <c r="T4138" t="str">
        <f t="shared" si="76"/>
        <v/>
      </c>
    </row>
    <row r="4139" spans="20:20">
      <c r="T4139" t="str">
        <f t="shared" si="76"/>
        <v/>
      </c>
    </row>
    <row r="4140" spans="20:20">
      <c r="T4140" t="str">
        <f t="shared" si="76"/>
        <v/>
      </c>
    </row>
    <row r="4141" spans="20:20">
      <c r="T4141" t="str">
        <f t="shared" si="76"/>
        <v/>
      </c>
    </row>
    <row r="4142" spans="20:20">
      <c r="T4142" t="str">
        <f t="shared" si="76"/>
        <v/>
      </c>
    </row>
    <row r="4143" spans="20:20">
      <c r="T4143" t="str">
        <f t="shared" si="76"/>
        <v/>
      </c>
    </row>
    <row r="4144" spans="20:20">
      <c r="T4144" t="str">
        <f t="shared" si="76"/>
        <v/>
      </c>
    </row>
    <row r="4145" spans="20:20">
      <c r="T4145" t="str">
        <f t="shared" si="76"/>
        <v/>
      </c>
    </row>
    <row r="4146" spans="20:20">
      <c r="T4146" t="str">
        <f t="shared" si="76"/>
        <v/>
      </c>
    </row>
    <row r="4147" spans="20:20">
      <c r="T4147" t="str">
        <f t="shared" si="76"/>
        <v/>
      </c>
    </row>
    <row r="4148" spans="20:20">
      <c r="T4148" t="str">
        <f t="shared" si="76"/>
        <v/>
      </c>
    </row>
    <row r="4149" spans="20:20">
      <c r="T4149" t="str">
        <f t="shared" si="76"/>
        <v/>
      </c>
    </row>
    <row r="4150" spans="20:20">
      <c r="T4150" t="str">
        <f t="shared" si="76"/>
        <v/>
      </c>
    </row>
    <row r="4151" spans="20:20">
      <c r="T4151" t="str">
        <f t="shared" si="76"/>
        <v/>
      </c>
    </row>
    <row r="4152" spans="20:20">
      <c r="T4152" t="str">
        <f t="shared" si="76"/>
        <v/>
      </c>
    </row>
    <row r="4153" spans="20:20">
      <c r="T4153" t="str">
        <f t="shared" si="76"/>
        <v/>
      </c>
    </row>
    <row r="4154" spans="20:20">
      <c r="T4154" t="str">
        <f t="shared" si="76"/>
        <v/>
      </c>
    </row>
    <row r="4155" spans="20:20">
      <c r="T4155" t="str">
        <f t="shared" si="76"/>
        <v/>
      </c>
    </row>
    <row r="4156" spans="20:20">
      <c r="T4156" t="str">
        <f t="shared" si="76"/>
        <v/>
      </c>
    </row>
    <row r="4157" spans="20:20">
      <c r="T4157" t="str">
        <f t="shared" si="76"/>
        <v/>
      </c>
    </row>
    <row r="4158" spans="20:20">
      <c r="T4158" t="str">
        <f t="shared" si="76"/>
        <v/>
      </c>
    </row>
    <row r="4159" spans="20:20">
      <c r="T4159" t="str">
        <f t="shared" si="76"/>
        <v/>
      </c>
    </row>
    <row r="4160" spans="20:20">
      <c r="T4160" t="str">
        <f t="shared" si="76"/>
        <v/>
      </c>
    </row>
    <row r="4161" spans="20:20">
      <c r="T4161" t="str">
        <f t="shared" si="76"/>
        <v/>
      </c>
    </row>
    <row r="4162" spans="20:20">
      <c r="T4162" t="str">
        <f t="shared" ref="T4162:T4225" si="77">IF(C4162="","",UPPER(LEFT(SUBSTITUTE(C4162," ",""),3))&amp;"-"&amp;TEXT(B4162,"AAMMDD")&amp;"-1")</f>
        <v/>
      </c>
    </row>
    <row r="4163" spans="20:20">
      <c r="T4163" t="str">
        <f t="shared" si="77"/>
        <v/>
      </c>
    </row>
    <row r="4164" spans="20:20">
      <c r="T4164" t="str">
        <f t="shared" si="77"/>
        <v/>
      </c>
    </row>
    <row r="4165" spans="20:20">
      <c r="T4165" t="str">
        <f t="shared" si="77"/>
        <v/>
      </c>
    </row>
    <row r="4166" spans="20:20">
      <c r="T4166" t="str">
        <f t="shared" si="77"/>
        <v/>
      </c>
    </row>
    <row r="4167" spans="20:20">
      <c r="T4167" t="str">
        <f t="shared" si="77"/>
        <v/>
      </c>
    </row>
    <row r="4168" spans="20:20">
      <c r="T4168" t="str">
        <f t="shared" si="77"/>
        <v/>
      </c>
    </row>
    <row r="4169" spans="20:20">
      <c r="T4169" t="str">
        <f t="shared" si="77"/>
        <v/>
      </c>
    </row>
    <row r="4170" spans="20:20">
      <c r="T4170" t="str">
        <f t="shared" si="77"/>
        <v/>
      </c>
    </row>
    <row r="4171" spans="20:20">
      <c r="T4171" t="str">
        <f t="shared" si="77"/>
        <v/>
      </c>
    </row>
    <row r="4172" spans="20:20">
      <c r="T4172" t="str">
        <f t="shared" si="77"/>
        <v/>
      </c>
    </row>
    <row r="4173" spans="20:20">
      <c r="T4173" t="str">
        <f t="shared" si="77"/>
        <v/>
      </c>
    </row>
    <row r="4174" spans="20:20">
      <c r="T4174" t="str">
        <f t="shared" si="77"/>
        <v/>
      </c>
    </row>
    <row r="4175" spans="20:20">
      <c r="T4175" t="str">
        <f t="shared" si="77"/>
        <v/>
      </c>
    </row>
    <row r="4176" spans="20:20">
      <c r="T4176" t="str">
        <f t="shared" si="77"/>
        <v/>
      </c>
    </row>
    <row r="4177" spans="20:20">
      <c r="T4177" t="str">
        <f t="shared" si="77"/>
        <v/>
      </c>
    </row>
    <row r="4178" spans="20:20">
      <c r="T4178" t="str">
        <f t="shared" si="77"/>
        <v/>
      </c>
    </row>
    <row r="4179" spans="20:20">
      <c r="T4179" t="str">
        <f t="shared" si="77"/>
        <v/>
      </c>
    </row>
    <row r="4180" spans="20:20">
      <c r="T4180" t="str">
        <f t="shared" si="77"/>
        <v/>
      </c>
    </row>
    <row r="4181" spans="20:20">
      <c r="T4181" t="str">
        <f t="shared" si="77"/>
        <v/>
      </c>
    </row>
    <row r="4182" spans="20:20">
      <c r="T4182" t="str">
        <f t="shared" si="77"/>
        <v/>
      </c>
    </row>
    <row r="4183" spans="20:20">
      <c r="T4183" t="str">
        <f t="shared" si="77"/>
        <v/>
      </c>
    </row>
    <row r="4184" spans="20:20">
      <c r="T4184" t="str">
        <f t="shared" si="77"/>
        <v/>
      </c>
    </row>
    <row r="4185" spans="20:20">
      <c r="T4185" t="str">
        <f t="shared" si="77"/>
        <v/>
      </c>
    </row>
    <row r="4186" spans="20:20">
      <c r="T4186" t="str">
        <f t="shared" si="77"/>
        <v/>
      </c>
    </row>
    <row r="4187" spans="20:20">
      <c r="T4187" t="str">
        <f t="shared" si="77"/>
        <v/>
      </c>
    </row>
    <row r="4188" spans="20:20">
      <c r="T4188" t="str">
        <f t="shared" si="77"/>
        <v/>
      </c>
    </row>
    <row r="4189" spans="20:20">
      <c r="T4189" t="str">
        <f t="shared" si="77"/>
        <v/>
      </c>
    </row>
    <row r="4190" spans="20:20">
      <c r="T4190" t="str">
        <f t="shared" si="77"/>
        <v/>
      </c>
    </row>
    <row r="4191" spans="20:20">
      <c r="T4191" t="str">
        <f t="shared" si="77"/>
        <v/>
      </c>
    </row>
    <row r="4192" spans="20:20">
      <c r="T4192" t="str">
        <f t="shared" si="77"/>
        <v/>
      </c>
    </row>
    <row r="4193" spans="20:20">
      <c r="T4193" t="str">
        <f t="shared" si="77"/>
        <v/>
      </c>
    </row>
    <row r="4194" spans="20:20">
      <c r="T4194" t="str">
        <f t="shared" si="77"/>
        <v/>
      </c>
    </row>
    <row r="4195" spans="20:20">
      <c r="T4195" t="str">
        <f t="shared" si="77"/>
        <v/>
      </c>
    </row>
    <row r="4196" spans="20:20">
      <c r="T4196" t="str">
        <f t="shared" si="77"/>
        <v/>
      </c>
    </row>
    <row r="4197" spans="20:20">
      <c r="T4197" t="str">
        <f t="shared" si="77"/>
        <v/>
      </c>
    </row>
    <row r="4198" spans="20:20">
      <c r="T4198" t="str">
        <f t="shared" si="77"/>
        <v/>
      </c>
    </row>
    <row r="4199" spans="20:20">
      <c r="T4199" t="str">
        <f t="shared" si="77"/>
        <v/>
      </c>
    </row>
    <row r="4200" spans="20:20">
      <c r="T4200" t="str">
        <f t="shared" si="77"/>
        <v/>
      </c>
    </row>
    <row r="4201" spans="20:20">
      <c r="T4201" t="str">
        <f t="shared" si="77"/>
        <v/>
      </c>
    </row>
    <row r="4202" spans="20:20">
      <c r="T4202" t="str">
        <f t="shared" si="77"/>
        <v/>
      </c>
    </row>
    <row r="4203" spans="20:20">
      <c r="T4203" t="str">
        <f t="shared" si="77"/>
        <v/>
      </c>
    </row>
    <row r="4204" spans="20:20">
      <c r="T4204" t="str">
        <f t="shared" si="77"/>
        <v/>
      </c>
    </row>
    <row r="4205" spans="20:20">
      <c r="T4205" t="str">
        <f t="shared" si="77"/>
        <v/>
      </c>
    </row>
    <row r="4206" spans="20:20">
      <c r="T4206" t="str">
        <f t="shared" si="77"/>
        <v/>
      </c>
    </row>
    <row r="4207" spans="20:20">
      <c r="T4207" t="str">
        <f t="shared" si="77"/>
        <v/>
      </c>
    </row>
    <row r="4208" spans="20:20">
      <c r="T4208" t="str">
        <f t="shared" si="77"/>
        <v/>
      </c>
    </row>
    <row r="4209" spans="20:20">
      <c r="T4209" t="str">
        <f t="shared" si="77"/>
        <v/>
      </c>
    </row>
    <row r="4210" spans="20:20">
      <c r="T4210" t="str">
        <f t="shared" si="77"/>
        <v/>
      </c>
    </row>
    <row r="4211" spans="20:20">
      <c r="T4211" t="str">
        <f t="shared" si="77"/>
        <v/>
      </c>
    </row>
    <row r="4212" spans="20:20">
      <c r="T4212" t="str">
        <f t="shared" si="77"/>
        <v/>
      </c>
    </row>
    <row r="4213" spans="20:20">
      <c r="T4213" t="str">
        <f t="shared" si="77"/>
        <v/>
      </c>
    </row>
    <row r="4214" spans="20:20">
      <c r="T4214" t="str">
        <f t="shared" si="77"/>
        <v/>
      </c>
    </row>
    <row r="4215" spans="20:20">
      <c r="T4215" t="str">
        <f t="shared" si="77"/>
        <v/>
      </c>
    </row>
    <row r="4216" spans="20:20">
      <c r="T4216" t="str">
        <f t="shared" si="77"/>
        <v/>
      </c>
    </row>
    <row r="4217" spans="20:20">
      <c r="T4217" t="str">
        <f t="shared" si="77"/>
        <v/>
      </c>
    </row>
    <row r="4218" spans="20:20">
      <c r="T4218" t="str">
        <f t="shared" si="77"/>
        <v/>
      </c>
    </row>
    <row r="4219" spans="20:20">
      <c r="T4219" t="str">
        <f t="shared" si="77"/>
        <v/>
      </c>
    </row>
    <row r="4220" spans="20:20">
      <c r="T4220" t="str">
        <f t="shared" si="77"/>
        <v/>
      </c>
    </row>
    <row r="4221" spans="20:20">
      <c r="T4221" t="str">
        <f t="shared" si="77"/>
        <v/>
      </c>
    </row>
    <row r="4222" spans="20:20">
      <c r="T4222" t="str">
        <f t="shared" si="77"/>
        <v/>
      </c>
    </row>
    <row r="4223" spans="20:20">
      <c r="T4223" t="str">
        <f t="shared" si="77"/>
        <v/>
      </c>
    </row>
    <row r="4224" spans="20:20">
      <c r="T4224" t="str">
        <f t="shared" si="77"/>
        <v/>
      </c>
    </row>
    <row r="4225" spans="20:20">
      <c r="T4225" t="str">
        <f t="shared" si="77"/>
        <v/>
      </c>
    </row>
    <row r="4226" spans="20:20">
      <c r="T4226" t="str">
        <f t="shared" ref="T4226:T4289" si="78">IF(C4226="","",UPPER(LEFT(SUBSTITUTE(C4226," ",""),3))&amp;"-"&amp;TEXT(B4226,"AAMMDD")&amp;"-1")</f>
        <v/>
      </c>
    </row>
    <row r="4227" spans="20:20">
      <c r="T4227" t="str">
        <f t="shared" si="78"/>
        <v/>
      </c>
    </row>
    <row r="4228" spans="20:20">
      <c r="T4228" t="str">
        <f t="shared" si="78"/>
        <v/>
      </c>
    </row>
    <row r="4229" spans="20:20">
      <c r="T4229" t="str">
        <f t="shared" si="78"/>
        <v/>
      </c>
    </row>
    <row r="4230" spans="20:20">
      <c r="T4230" t="str">
        <f t="shared" si="78"/>
        <v/>
      </c>
    </row>
    <row r="4231" spans="20:20">
      <c r="T4231" t="str">
        <f t="shared" si="78"/>
        <v/>
      </c>
    </row>
    <row r="4232" spans="20:20">
      <c r="T4232" t="str">
        <f t="shared" si="78"/>
        <v/>
      </c>
    </row>
    <row r="4233" spans="20:20">
      <c r="T4233" t="str">
        <f t="shared" si="78"/>
        <v/>
      </c>
    </row>
    <row r="4234" spans="20:20">
      <c r="T4234" t="str">
        <f t="shared" si="78"/>
        <v/>
      </c>
    </row>
    <row r="4235" spans="20:20">
      <c r="T4235" t="str">
        <f t="shared" si="78"/>
        <v/>
      </c>
    </row>
    <row r="4236" spans="20:20">
      <c r="T4236" t="str">
        <f t="shared" si="78"/>
        <v/>
      </c>
    </row>
    <row r="4237" spans="20:20">
      <c r="T4237" t="str">
        <f t="shared" si="78"/>
        <v/>
      </c>
    </row>
    <row r="4238" spans="20:20">
      <c r="T4238" t="str">
        <f t="shared" si="78"/>
        <v/>
      </c>
    </row>
    <row r="4239" spans="20:20">
      <c r="T4239" t="str">
        <f t="shared" si="78"/>
        <v/>
      </c>
    </row>
    <row r="4240" spans="20:20">
      <c r="T4240" t="str">
        <f t="shared" si="78"/>
        <v/>
      </c>
    </row>
    <row r="4241" spans="20:20">
      <c r="T4241" t="str">
        <f t="shared" si="78"/>
        <v/>
      </c>
    </row>
    <row r="4242" spans="20:20">
      <c r="T4242" t="str">
        <f t="shared" si="78"/>
        <v/>
      </c>
    </row>
    <row r="4243" spans="20:20">
      <c r="T4243" t="str">
        <f t="shared" si="78"/>
        <v/>
      </c>
    </row>
    <row r="4244" spans="20:20">
      <c r="T4244" t="str">
        <f t="shared" si="78"/>
        <v/>
      </c>
    </row>
    <row r="4245" spans="20:20">
      <c r="T4245" t="str">
        <f t="shared" si="78"/>
        <v/>
      </c>
    </row>
    <row r="4246" spans="20:20">
      <c r="T4246" t="str">
        <f t="shared" si="78"/>
        <v/>
      </c>
    </row>
    <row r="4247" spans="20:20">
      <c r="T4247" t="str">
        <f t="shared" si="78"/>
        <v/>
      </c>
    </row>
    <row r="4248" spans="20:20">
      <c r="T4248" t="str">
        <f t="shared" si="78"/>
        <v/>
      </c>
    </row>
    <row r="4249" spans="20:20">
      <c r="T4249" t="str">
        <f t="shared" si="78"/>
        <v/>
      </c>
    </row>
    <row r="4250" spans="20:20">
      <c r="T4250" t="str">
        <f t="shared" si="78"/>
        <v/>
      </c>
    </row>
    <row r="4251" spans="20:20">
      <c r="T4251" t="str">
        <f t="shared" si="78"/>
        <v/>
      </c>
    </row>
    <row r="4252" spans="20:20">
      <c r="T4252" t="str">
        <f t="shared" si="78"/>
        <v/>
      </c>
    </row>
    <row r="4253" spans="20:20">
      <c r="T4253" t="str">
        <f t="shared" si="78"/>
        <v/>
      </c>
    </row>
    <row r="4254" spans="20:20">
      <c r="T4254" t="str">
        <f t="shared" si="78"/>
        <v/>
      </c>
    </row>
    <row r="4255" spans="20:20">
      <c r="T4255" t="str">
        <f t="shared" si="78"/>
        <v/>
      </c>
    </row>
    <row r="4256" spans="20:20">
      <c r="T4256" t="str">
        <f t="shared" si="78"/>
        <v/>
      </c>
    </row>
    <row r="4257" spans="20:20">
      <c r="T4257" t="str">
        <f t="shared" si="78"/>
        <v/>
      </c>
    </row>
    <row r="4258" spans="20:20">
      <c r="T4258" t="str">
        <f t="shared" si="78"/>
        <v/>
      </c>
    </row>
    <row r="4259" spans="20:20">
      <c r="T4259" t="str">
        <f t="shared" si="78"/>
        <v/>
      </c>
    </row>
    <row r="4260" spans="20:20">
      <c r="T4260" t="str">
        <f t="shared" si="78"/>
        <v/>
      </c>
    </row>
    <row r="4261" spans="20:20">
      <c r="T4261" t="str">
        <f t="shared" si="78"/>
        <v/>
      </c>
    </row>
    <row r="4262" spans="20:20">
      <c r="T4262" t="str">
        <f t="shared" si="78"/>
        <v/>
      </c>
    </row>
    <row r="4263" spans="20:20">
      <c r="T4263" t="str">
        <f t="shared" si="78"/>
        <v/>
      </c>
    </row>
    <row r="4264" spans="20:20">
      <c r="T4264" t="str">
        <f t="shared" si="78"/>
        <v/>
      </c>
    </row>
    <row r="4265" spans="20:20">
      <c r="T4265" t="str">
        <f t="shared" si="78"/>
        <v/>
      </c>
    </row>
    <row r="4266" spans="20:20">
      <c r="T4266" t="str">
        <f t="shared" si="78"/>
        <v/>
      </c>
    </row>
    <row r="4267" spans="20:20">
      <c r="T4267" t="str">
        <f t="shared" si="78"/>
        <v/>
      </c>
    </row>
    <row r="4268" spans="20:20">
      <c r="T4268" t="str">
        <f t="shared" si="78"/>
        <v/>
      </c>
    </row>
    <row r="4269" spans="20:20">
      <c r="T4269" t="str">
        <f t="shared" si="78"/>
        <v/>
      </c>
    </row>
    <row r="4270" spans="20:20">
      <c r="T4270" t="str">
        <f t="shared" si="78"/>
        <v/>
      </c>
    </row>
    <row r="4271" spans="20:20">
      <c r="T4271" t="str">
        <f t="shared" si="78"/>
        <v/>
      </c>
    </row>
    <row r="4272" spans="20:20">
      <c r="T4272" t="str">
        <f t="shared" si="78"/>
        <v/>
      </c>
    </row>
    <row r="4273" spans="20:20">
      <c r="T4273" t="str">
        <f t="shared" si="78"/>
        <v/>
      </c>
    </row>
    <row r="4274" spans="20:20">
      <c r="T4274" t="str">
        <f t="shared" si="78"/>
        <v/>
      </c>
    </row>
    <row r="4275" spans="20:20">
      <c r="T4275" t="str">
        <f t="shared" si="78"/>
        <v/>
      </c>
    </row>
    <row r="4276" spans="20:20">
      <c r="T4276" t="str">
        <f t="shared" si="78"/>
        <v/>
      </c>
    </row>
    <row r="4277" spans="20:20">
      <c r="T4277" t="str">
        <f t="shared" si="78"/>
        <v/>
      </c>
    </row>
    <row r="4278" spans="20:20">
      <c r="T4278" t="str">
        <f t="shared" si="78"/>
        <v/>
      </c>
    </row>
    <row r="4279" spans="20:20">
      <c r="T4279" t="str">
        <f t="shared" si="78"/>
        <v/>
      </c>
    </row>
    <row r="4280" spans="20:20">
      <c r="T4280" t="str">
        <f t="shared" si="78"/>
        <v/>
      </c>
    </row>
    <row r="4281" spans="20:20">
      <c r="T4281" t="str">
        <f t="shared" si="78"/>
        <v/>
      </c>
    </row>
    <row r="4282" spans="20:20">
      <c r="T4282" t="str">
        <f t="shared" si="78"/>
        <v/>
      </c>
    </row>
    <row r="4283" spans="20:20">
      <c r="T4283" t="str">
        <f t="shared" si="78"/>
        <v/>
      </c>
    </row>
    <row r="4284" spans="20:20">
      <c r="T4284" t="str">
        <f t="shared" si="78"/>
        <v/>
      </c>
    </row>
    <row r="4285" spans="20:20">
      <c r="T4285" t="str">
        <f t="shared" si="78"/>
        <v/>
      </c>
    </row>
    <row r="4286" spans="20:20">
      <c r="T4286" t="str">
        <f t="shared" si="78"/>
        <v/>
      </c>
    </row>
    <row r="4287" spans="20:20">
      <c r="T4287" t="str">
        <f t="shared" si="78"/>
        <v/>
      </c>
    </row>
    <row r="4288" spans="20:20">
      <c r="T4288" t="str">
        <f t="shared" si="78"/>
        <v/>
      </c>
    </row>
    <row r="4289" spans="20:20">
      <c r="T4289" t="str">
        <f t="shared" si="78"/>
        <v/>
      </c>
    </row>
    <row r="4290" spans="20:20">
      <c r="T4290" t="str">
        <f t="shared" ref="T4290:T4353" si="79">IF(C4290="","",UPPER(LEFT(SUBSTITUTE(C4290," ",""),3))&amp;"-"&amp;TEXT(B4290,"AAMMDD")&amp;"-1")</f>
        <v/>
      </c>
    </row>
    <row r="4291" spans="20:20">
      <c r="T4291" t="str">
        <f t="shared" si="79"/>
        <v/>
      </c>
    </row>
    <row r="4292" spans="20:20">
      <c r="T4292" t="str">
        <f t="shared" si="79"/>
        <v/>
      </c>
    </row>
    <row r="4293" spans="20:20">
      <c r="T4293" t="str">
        <f t="shared" si="79"/>
        <v/>
      </c>
    </row>
    <row r="4294" spans="20:20">
      <c r="T4294" t="str">
        <f t="shared" si="79"/>
        <v/>
      </c>
    </row>
    <row r="4295" spans="20:20">
      <c r="T4295" t="str">
        <f t="shared" si="79"/>
        <v/>
      </c>
    </row>
    <row r="4296" spans="20:20">
      <c r="T4296" t="str">
        <f t="shared" si="79"/>
        <v/>
      </c>
    </row>
    <row r="4297" spans="20:20">
      <c r="T4297" t="str">
        <f t="shared" si="79"/>
        <v/>
      </c>
    </row>
    <row r="4298" spans="20:20">
      <c r="T4298" t="str">
        <f t="shared" si="79"/>
        <v/>
      </c>
    </row>
    <row r="4299" spans="20:20">
      <c r="T4299" t="str">
        <f t="shared" si="79"/>
        <v/>
      </c>
    </row>
    <row r="4300" spans="20:20">
      <c r="T4300" t="str">
        <f t="shared" si="79"/>
        <v/>
      </c>
    </row>
    <row r="4301" spans="20:20">
      <c r="T4301" t="str">
        <f t="shared" si="79"/>
        <v/>
      </c>
    </row>
    <row r="4302" spans="20:20">
      <c r="T4302" t="str">
        <f t="shared" si="79"/>
        <v/>
      </c>
    </row>
    <row r="4303" spans="20:20">
      <c r="T4303" t="str">
        <f t="shared" si="79"/>
        <v/>
      </c>
    </row>
    <row r="4304" spans="20:20">
      <c r="T4304" t="str">
        <f t="shared" si="79"/>
        <v/>
      </c>
    </row>
    <row r="4305" spans="20:20">
      <c r="T4305" t="str">
        <f t="shared" si="79"/>
        <v/>
      </c>
    </row>
    <row r="4306" spans="20:20">
      <c r="T4306" t="str">
        <f t="shared" si="79"/>
        <v/>
      </c>
    </row>
    <row r="4307" spans="20:20">
      <c r="T4307" t="str">
        <f t="shared" si="79"/>
        <v/>
      </c>
    </row>
    <row r="4308" spans="20:20">
      <c r="T4308" t="str">
        <f t="shared" si="79"/>
        <v/>
      </c>
    </row>
    <row r="4309" spans="20:20">
      <c r="T4309" t="str">
        <f t="shared" si="79"/>
        <v/>
      </c>
    </row>
    <row r="4310" spans="20:20">
      <c r="T4310" t="str">
        <f t="shared" si="79"/>
        <v/>
      </c>
    </row>
    <row r="4311" spans="20:20">
      <c r="T4311" t="str">
        <f t="shared" si="79"/>
        <v/>
      </c>
    </row>
    <row r="4312" spans="20:20">
      <c r="T4312" t="str">
        <f t="shared" si="79"/>
        <v/>
      </c>
    </row>
    <row r="4313" spans="20:20">
      <c r="T4313" t="str">
        <f t="shared" si="79"/>
        <v/>
      </c>
    </row>
    <row r="4314" spans="20:20">
      <c r="T4314" t="str">
        <f t="shared" si="79"/>
        <v/>
      </c>
    </row>
    <row r="4315" spans="20:20">
      <c r="T4315" t="str">
        <f t="shared" si="79"/>
        <v/>
      </c>
    </row>
    <row r="4316" spans="20:20">
      <c r="T4316" t="str">
        <f t="shared" si="79"/>
        <v/>
      </c>
    </row>
    <row r="4317" spans="20:20">
      <c r="T4317" t="str">
        <f t="shared" si="79"/>
        <v/>
      </c>
    </row>
    <row r="4318" spans="20:20">
      <c r="T4318" t="str">
        <f t="shared" si="79"/>
        <v/>
      </c>
    </row>
    <row r="4319" spans="20:20">
      <c r="T4319" t="str">
        <f t="shared" si="79"/>
        <v/>
      </c>
    </row>
    <row r="4320" spans="20:20">
      <c r="T4320" t="str">
        <f t="shared" si="79"/>
        <v/>
      </c>
    </row>
    <row r="4321" spans="20:20">
      <c r="T4321" t="str">
        <f t="shared" si="79"/>
        <v/>
      </c>
    </row>
    <row r="4322" spans="20:20">
      <c r="T4322" t="str">
        <f t="shared" si="79"/>
        <v/>
      </c>
    </row>
    <row r="4323" spans="20:20">
      <c r="T4323" t="str">
        <f t="shared" si="79"/>
        <v/>
      </c>
    </row>
    <row r="4324" spans="20:20">
      <c r="T4324" t="str">
        <f t="shared" si="79"/>
        <v/>
      </c>
    </row>
    <row r="4325" spans="20:20">
      <c r="T4325" t="str">
        <f t="shared" si="79"/>
        <v/>
      </c>
    </row>
    <row r="4326" spans="20:20">
      <c r="T4326" t="str">
        <f t="shared" si="79"/>
        <v/>
      </c>
    </row>
    <row r="4327" spans="20:20">
      <c r="T4327" t="str">
        <f t="shared" si="79"/>
        <v/>
      </c>
    </row>
    <row r="4328" spans="20:20">
      <c r="T4328" t="str">
        <f t="shared" si="79"/>
        <v/>
      </c>
    </row>
    <row r="4329" spans="20:20">
      <c r="T4329" t="str">
        <f t="shared" si="79"/>
        <v/>
      </c>
    </row>
    <row r="4330" spans="20:20">
      <c r="T4330" t="str">
        <f t="shared" si="79"/>
        <v/>
      </c>
    </row>
    <row r="4331" spans="20:20">
      <c r="T4331" t="str">
        <f t="shared" si="79"/>
        <v/>
      </c>
    </row>
    <row r="4332" spans="20:20">
      <c r="T4332" t="str">
        <f t="shared" si="79"/>
        <v/>
      </c>
    </row>
    <row r="4333" spans="20:20">
      <c r="T4333" t="str">
        <f t="shared" si="79"/>
        <v/>
      </c>
    </row>
    <row r="4334" spans="20:20">
      <c r="T4334" t="str">
        <f t="shared" si="79"/>
        <v/>
      </c>
    </row>
    <row r="4335" spans="20:20">
      <c r="T4335" t="str">
        <f t="shared" si="79"/>
        <v/>
      </c>
    </row>
    <row r="4336" spans="20:20">
      <c r="T4336" t="str">
        <f t="shared" si="79"/>
        <v/>
      </c>
    </row>
    <row r="4337" spans="20:20">
      <c r="T4337" t="str">
        <f t="shared" si="79"/>
        <v/>
      </c>
    </row>
    <row r="4338" spans="20:20">
      <c r="T4338" t="str">
        <f t="shared" si="79"/>
        <v/>
      </c>
    </row>
    <row r="4339" spans="20:20">
      <c r="T4339" t="str">
        <f t="shared" si="79"/>
        <v/>
      </c>
    </row>
    <row r="4340" spans="20:20">
      <c r="T4340" t="str">
        <f t="shared" si="79"/>
        <v/>
      </c>
    </row>
    <row r="4341" spans="20:20">
      <c r="T4341" t="str">
        <f t="shared" si="79"/>
        <v/>
      </c>
    </row>
    <row r="4342" spans="20:20">
      <c r="T4342" t="str">
        <f t="shared" si="79"/>
        <v/>
      </c>
    </row>
    <row r="4343" spans="20:20">
      <c r="T4343" t="str">
        <f t="shared" si="79"/>
        <v/>
      </c>
    </row>
    <row r="4344" spans="20:20">
      <c r="T4344" t="str">
        <f t="shared" si="79"/>
        <v/>
      </c>
    </row>
    <row r="4345" spans="20:20">
      <c r="T4345" t="str">
        <f t="shared" si="79"/>
        <v/>
      </c>
    </row>
    <row r="4346" spans="20:20">
      <c r="T4346" t="str">
        <f t="shared" si="79"/>
        <v/>
      </c>
    </row>
    <row r="4347" spans="20:20">
      <c r="T4347" t="str">
        <f t="shared" si="79"/>
        <v/>
      </c>
    </row>
    <row r="4348" spans="20:20">
      <c r="T4348" t="str">
        <f t="shared" si="79"/>
        <v/>
      </c>
    </row>
    <row r="4349" spans="20:20">
      <c r="T4349" t="str">
        <f t="shared" si="79"/>
        <v/>
      </c>
    </row>
    <row r="4350" spans="20:20">
      <c r="T4350" t="str">
        <f t="shared" si="79"/>
        <v/>
      </c>
    </row>
    <row r="4351" spans="20:20">
      <c r="T4351" t="str">
        <f t="shared" si="79"/>
        <v/>
      </c>
    </row>
    <row r="4352" spans="20:20">
      <c r="T4352" t="str">
        <f t="shared" si="79"/>
        <v/>
      </c>
    </row>
    <row r="4353" spans="20:20">
      <c r="T4353" t="str">
        <f t="shared" si="79"/>
        <v/>
      </c>
    </row>
    <row r="4354" spans="20:20">
      <c r="T4354" t="str">
        <f t="shared" ref="T4354:T4417" si="80">IF(C4354="","",UPPER(LEFT(SUBSTITUTE(C4354," ",""),3))&amp;"-"&amp;TEXT(B4354,"AAMMDD")&amp;"-1")</f>
        <v/>
      </c>
    </row>
    <row r="4355" spans="20:20">
      <c r="T4355" t="str">
        <f t="shared" si="80"/>
        <v/>
      </c>
    </row>
    <row r="4356" spans="20:20">
      <c r="T4356" t="str">
        <f t="shared" si="80"/>
        <v/>
      </c>
    </row>
    <row r="4357" spans="20:20">
      <c r="T4357" t="str">
        <f t="shared" si="80"/>
        <v/>
      </c>
    </row>
    <row r="4358" spans="20:20">
      <c r="T4358" t="str">
        <f t="shared" si="80"/>
        <v/>
      </c>
    </row>
    <row r="4359" spans="20:20">
      <c r="T4359" t="str">
        <f t="shared" si="80"/>
        <v/>
      </c>
    </row>
    <row r="4360" spans="20:20">
      <c r="T4360" t="str">
        <f t="shared" si="80"/>
        <v/>
      </c>
    </row>
    <row r="4361" spans="20:20">
      <c r="T4361" t="str">
        <f t="shared" si="80"/>
        <v/>
      </c>
    </row>
    <row r="4362" spans="20:20">
      <c r="T4362" t="str">
        <f t="shared" si="80"/>
        <v/>
      </c>
    </row>
    <row r="4363" spans="20:20">
      <c r="T4363" t="str">
        <f t="shared" si="80"/>
        <v/>
      </c>
    </row>
    <row r="4364" spans="20:20">
      <c r="T4364" t="str">
        <f t="shared" si="80"/>
        <v/>
      </c>
    </row>
    <row r="4365" spans="20:20">
      <c r="T4365" t="str">
        <f t="shared" si="80"/>
        <v/>
      </c>
    </row>
    <row r="4366" spans="20:20">
      <c r="T4366" t="str">
        <f t="shared" si="80"/>
        <v/>
      </c>
    </row>
    <row r="4367" spans="20:20">
      <c r="T4367" t="str">
        <f t="shared" si="80"/>
        <v/>
      </c>
    </row>
    <row r="4368" spans="20:20">
      <c r="T4368" t="str">
        <f t="shared" si="80"/>
        <v/>
      </c>
    </row>
    <row r="4369" spans="20:20">
      <c r="T4369" t="str">
        <f t="shared" si="80"/>
        <v/>
      </c>
    </row>
    <row r="4370" spans="20:20">
      <c r="T4370" t="str">
        <f t="shared" si="80"/>
        <v/>
      </c>
    </row>
    <row r="4371" spans="20:20">
      <c r="T4371" t="str">
        <f t="shared" si="80"/>
        <v/>
      </c>
    </row>
    <row r="4372" spans="20:20">
      <c r="T4372" t="str">
        <f t="shared" si="80"/>
        <v/>
      </c>
    </row>
    <row r="4373" spans="20:20">
      <c r="T4373" t="str">
        <f t="shared" si="80"/>
        <v/>
      </c>
    </row>
    <row r="4374" spans="20:20">
      <c r="T4374" t="str">
        <f t="shared" si="80"/>
        <v/>
      </c>
    </row>
    <row r="4375" spans="20:20">
      <c r="T4375" t="str">
        <f t="shared" si="80"/>
        <v/>
      </c>
    </row>
    <row r="4376" spans="20:20">
      <c r="T4376" t="str">
        <f t="shared" si="80"/>
        <v/>
      </c>
    </row>
    <row r="4377" spans="20:20">
      <c r="T4377" t="str">
        <f t="shared" si="80"/>
        <v/>
      </c>
    </row>
    <row r="4378" spans="20:20">
      <c r="T4378" t="str">
        <f t="shared" si="80"/>
        <v/>
      </c>
    </row>
    <row r="4379" spans="20:20">
      <c r="T4379" t="str">
        <f t="shared" si="80"/>
        <v/>
      </c>
    </row>
    <row r="4380" spans="20:20">
      <c r="T4380" t="str">
        <f t="shared" si="80"/>
        <v/>
      </c>
    </row>
    <row r="4381" spans="20:20">
      <c r="T4381" t="str">
        <f t="shared" si="80"/>
        <v/>
      </c>
    </row>
    <row r="4382" spans="20:20">
      <c r="T4382" t="str">
        <f t="shared" si="80"/>
        <v/>
      </c>
    </row>
    <row r="4383" spans="20:20">
      <c r="T4383" t="str">
        <f t="shared" si="80"/>
        <v/>
      </c>
    </row>
    <row r="4384" spans="20:20">
      <c r="T4384" t="str">
        <f t="shared" si="80"/>
        <v/>
      </c>
    </row>
    <row r="4385" spans="20:20">
      <c r="T4385" t="str">
        <f t="shared" si="80"/>
        <v/>
      </c>
    </row>
    <row r="4386" spans="20:20">
      <c r="T4386" t="str">
        <f t="shared" si="80"/>
        <v/>
      </c>
    </row>
    <row r="4387" spans="20:20">
      <c r="T4387" t="str">
        <f t="shared" si="80"/>
        <v/>
      </c>
    </row>
    <row r="4388" spans="20:20">
      <c r="T4388" t="str">
        <f t="shared" si="80"/>
        <v/>
      </c>
    </row>
    <row r="4389" spans="20:20">
      <c r="T4389" t="str">
        <f t="shared" si="80"/>
        <v/>
      </c>
    </row>
    <row r="4390" spans="20:20">
      <c r="T4390" t="str">
        <f t="shared" si="80"/>
        <v/>
      </c>
    </row>
    <row r="4391" spans="20:20">
      <c r="T4391" t="str">
        <f t="shared" si="80"/>
        <v/>
      </c>
    </row>
    <row r="4392" spans="20:20">
      <c r="T4392" t="str">
        <f t="shared" si="80"/>
        <v/>
      </c>
    </row>
    <row r="4393" spans="20:20">
      <c r="T4393" t="str">
        <f t="shared" si="80"/>
        <v/>
      </c>
    </row>
    <row r="4394" spans="20:20">
      <c r="T4394" t="str">
        <f t="shared" si="80"/>
        <v/>
      </c>
    </row>
    <row r="4395" spans="20:20">
      <c r="T4395" t="str">
        <f t="shared" si="80"/>
        <v/>
      </c>
    </row>
    <row r="4396" spans="20:20">
      <c r="T4396" t="str">
        <f t="shared" si="80"/>
        <v/>
      </c>
    </row>
    <row r="4397" spans="20:20">
      <c r="T4397" t="str">
        <f t="shared" si="80"/>
        <v/>
      </c>
    </row>
    <row r="4398" spans="20:20">
      <c r="T4398" t="str">
        <f t="shared" si="80"/>
        <v/>
      </c>
    </row>
    <row r="4399" spans="20:20">
      <c r="T4399" t="str">
        <f t="shared" si="80"/>
        <v/>
      </c>
    </row>
    <row r="4400" spans="20:20">
      <c r="T4400" t="str">
        <f t="shared" si="80"/>
        <v/>
      </c>
    </row>
    <row r="4401" spans="20:20">
      <c r="T4401" t="str">
        <f t="shared" si="80"/>
        <v/>
      </c>
    </row>
    <row r="4402" spans="20:20">
      <c r="T4402" t="str">
        <f t="shared" si="80"/>
        <v/>
      </c>
    </row>
    <row r="4403" spans="20:20">
      <c r="T4403" t="str">
        <f t="shared" si="80"/>
        <v/>
      </c>
    </row>
    <row r="4404" spans="20:20">
      <c r="T4404" t="str">
        <f t="shared" si="80"/>
        <v/>
      </c>
    </row>
    <row r="4405" spans="20:20">
      <c r="T4405" t="str">
        <f t="shared" si="80"/>
        <v/>
      </c>
    </row>
    <row r="4406" spans="20:20">
      <c r="T4406" t="str">
        <f t="shared" si="80"/>
        <v/>
      </c>
    </row>
    <row r="4407" spans="20:20">
      <c r="T4407" t="str">
        <f t="shared" si="80"/>
        <v/>
      </c>
    </row>
    <row r="4408" spans="20:20">
      <c r="T4408" t="str">
        <f t="shared" si="80"/>
        <v/>
      </c>
    </row>
    <row r="4409" spans="20:20">
      <c r="T4409" t="str">
        <f t="shared" si="80"/>
        <v/>
      </c>
    </row>
    <row r="4410" spans="20:20">
      <c r="T4410" t="str">
        <f t="shared" si="80"/>
        <v/>
      </c>
    </row>
    <row r="4411" spans="20:20">
      <c r="T4411" t="str">
        <f t="shared" si="80"/>
        <v/>
      </c>
    </row>
    <row r="4412" spans="20:20">
      <c r="T4412" t="str">
        <f t="shared" si="80"/>
        <v/>
      </c>
    </row>
    <row r="4413" spans="20:20">
      <c r="T4413" t="str">
        <f t="shared" si="80"/>
        <v/>
      </c>
    </row>
    <row r="4414" spans="20:20">
      <c r="T4414" t="str">
        <f t="shared" si="80"/>
        <v/>
      </c>
    </row>
    <row r="4415" spans="20:20">
      <c r="T4415" t="str">
        <f t="shared" si="80"/>
        <v/>
      </c>
    </row>
    <row r="4416" spans="20:20">
      <c r="T4416" t="str">
        <f t="shared" si="80"/>
        <v/>
      </c>
    </row>
    <row r="4417" spans="20:20">
      <c r="T4417" t="str">
        <f t="shared" si="80"/>
        <v/>
      </c>
    </row>
    <row r="4418" spans="20:20">
      <c r="T4418" t="str">
        <f t="shared" ref="T4418:T4481" si="81">IF(C4418="","",UPPER(LEFT(SUBSTITUTE(C4418," ",""),3))&amp;"-"&amp;TEXT(B4418,"AAMMDD")&amp;"-1")</f>
        <v/>
      </c>
    </row>
    <row r="4419" spans="20:20">
      <c r="T4419" t="str">
        <f t="shared" si="81"/>
        <v/>
      </c>
    </row>
    <row r="4420" spans="20:20">
      <c r="T4420" t="str">
        <f t="shared" si="81"/>
        <v/>
      </c>
    </row>
    <row r="4421" spans="20:20">
      <c r="T4421" t="str">
        <f t="shared" si="81"/>
        <v/>
      </c>
    </row>
    <row r="4422" spans="20:20">
      <c r="T4422" t="str">
        <f t="shared" si="81"/>
        <v/>
      </c>
    </row>
    <row r="4423" spans="20:20">
      <c r="T4423" t="str">
        <f t="shared" si="81"/>
        <v/>
      </c>
    </row>
    <row r="4424" spans="20:20">
      <c r="T4424" t="str">
        <f t="shared" si="81"/>
        <v/>
      </c>
    </row>
    <row r="4425" spans="20:20">
      <c r="T4425" t="str">
        <f t="shared" si="81"/>
        <v/>
      </c>
    </row>
    <row r="4426" spans="20:20">
      <c r="T4426" t="str">
        <f t="shared" si="81"/>
        <v/>
      </c>
    </row>
    <row r="4427" spans="20:20">
      <c r="T4427" t="str">
        <f t="shared" si="81"/>
        <v/>
      </c>
    </row>
    <row r="4428" spans="20:20">
      <c r="T4428" t="str">
        <f t="shared" si="81"/>
        <v/>
      </c>
    </row>
    <row r="4429" spans="20:20">
      <c r="T4429" t="str">
        <f t="shared" si="81"/>
        <v/>
      </c>
    </row>
    <row r="4430" spans="20:20">
      <c r="T4430" t="str">
        <f t="shared" si="81"/>
        <v/>
      </c>
    </row>
    <row r="4431" spans="20:20">
      <c r="T4431" t="str">
        <f t="shared" si="81"/>
        <v/>
      </c>
    </row>
    <row r="4432" spans="20:20">
      <c r="T4432" t="str">
        <f t="shared" si="81"/>
        <v/>
      </c>
    </row>
    <row r="4433" spans="20:20">
      <c r="T4433" t="str">
        <f t="shared" si="81"/>
        <v/>
      </c>
    </row>
    <row r="4434" spans="20:20">
      <c r="T4434" t="str">
        <f t="shared" si="81"/>
        <v/>
      </c>
    </row>
    <row r="4435" spans="20:20">
      <c r="T4435" t="str">
        <f t="shared" si="81"/>
        <v/>
      </c>
    </row>
    <row r="4436" spans="20:20">
      <c r="T4436" t="str">
        <f t="shared" si="81"/>
        <v/>
      </c>
    </row>
    <row r="4437" spans="20:20">
      <c r="T4437" t="str">
        <f t="shared" si="81"/>
        <v/>
      </c>
    </row>
    <row r="4438" spans="20:20">
      <c r="T4438" t="str">
        <f t="shared" si="81"/>
        <v/>
      </c>
    </row>
    <row r="4439" spans="20:20">
      <c r="T4439" t="str">
        <f t="shared" si="81"/>
        <v/>
      </c>
    </row>
    <row r="4440" spans="20:20">
      <c r="T4440" t="str">
        <f t="shared" si="81"/>
        <v/>
      </c>
    </row>
    <row r="4441" spans="20:20">
      <c r="T4441" t="str">
        <f t="shared" si="81"/>
        <v/>
      </c>
    </row>
    <row r="4442" spans="20:20">
      <c r="T4442" t="str">
        <f t="shared" si="81"/>
        <v/>
      </c>
    </row>
    <row r="4443" spans="20:20">
      <c r="T4443" t="str">
        <f t="shared" si="81"/>
        <v/>
      </c>
    </row>
    <row r="4444" spans="20:20">
      <c r="T4444" t="str">
        <f t="shared" si="81"/>
        <v/>
      </c>
    </row>
    <row r="4445" spans="20:20">
      <c r="T4445" t="str">
        <f t="shared" si="81"/>
        <v/>
      </c>
    </row>
    <row r="4446" spans="20:20">
      <c r="T4446" t="str">
        <f t="shared" si="81"/>
        <v/>
      </c>
    </row>
    <row r="4447" spans="20:20">
      <c r="T4447" t="str">
        <f t="shared" si="81"/>
        <v/>
      </c>
    </row>
    <row r="4448" spans="20:20">
      <c r="T4448" t="str">
        <f t="shared" si="81"/>
        <v/>
      </c>
    </row>
    <row r="4449" spans="20:20">
      <c r="T4449" t="str">
        <f t="shared" si="81"/>
        <v/>
      </c>
    </row>
    <row r="4450" spans="20:20">
      <c r="T4450" t="str">
        <f t="shared" si="81"/>
        <v/>
      </c>
    </row>
    <row r="4451" spans="20:20">
      <c r="T4451" t="str">
        <f t="shared" si="81"/>
        <v/>
      </c>
    </row>
    <row r="4452" spans="20:20">
      <c r="T4452" t="str">
        <f t="shared" si="81"/>
        <v/>
      </c>
    </row>
    <row r="4453" spans="20:20">
      <c r="T4453" t="str">
        <f t="shared" si="81"/>
        <v/>
      </c>
    </row>
    <row r="4454" spans="20:20">
      <c r="T4454" t="str">
        <f t="shared" si="81"/>
        <v/>
      </c>
    </row>
    <row r="4455" spans="20:20">
      <c r="T4455" t="str">
        <f t="shared" si="81"/>
        <v/>
      </c>
    </row>
    <row r="4456" spans="20:20">
      <c r="T4456" t="str">
        <f t="shared" si="81"/>
        <v/>
      </c>
    </row>
    <row r="4457" spans="20:20">
      <c r="T4457" t="str">
        <f t="shared" si="81"/>
        <v/>
      </c>
    </row>
    <row r="4458" spans="20:20">
      <c r="T4458" t="str">
        <f t="shared" si="81"/>
        <v/>
      </c>
    </row>
    <row r="4459" spans="20:20">
      <c r="T4459" t="str">
        <f t="shared" si="81"/>
        <v/>
      </c>
    </row>
    <row r="4460" spans="20:20">
      <c r="T4460" t="str">
        <f t="shared" si="81"/>
        <v/>
      </c>
    </row>
    <row r="4461" spans="20:20">
      <c r="T4461" t="str">
        <f t="shared" si="81"/>
        <v/>
      </c>
    </row>
    <row r="4462" spans="20:20">
      <c r="T4462" t="str">
        <f t="shared" si="81"/>
        <v/>
      </c>
    </row>
    <row r="4463" spans="20:20">
      <c r="T4463" t="str">
        <f t="shared" si="81"/>
        <v/>
      </c>
    </row>
    <row r="4464" spans="20:20">
      <c r="T4464" t="str">
        <f t="shared" si="81"/>
        <v/>
      </c>
    </row>
    <row r="4465" spans="20:20">
      <c r="T4465" t="str">
        <f t="shared" si="81"/>
        <v/>
      </c>
    </row>
    <row r="4466" spans="20:20">
      <c r="T4466" t="str">
        <f t="shared" si="81"/>
        <v/>
      </c>
    </row>
    <row r="4467" spans="20:20">
      <c r="T4467" t="str">
        <f t="shared" si="81"/>
        <v/>
      </c>
    </row>
    <row r="4468" spans="20:20">
      <c r="T4468" t="str">
        <f t="shared" si="81"/>
        <v/>
      </c>
    </row>
    <row r="4469" spans="20:20">
      <c r="T4469" t="str">
        <f t="shared" si="81"/>
        <v/>
      </c>
    </row>
    <row r="4470" spans="20:20">
      <c r="T4470" t="str">
        <f t="shared" si="81"/>
        <v/>
      </c>
    </row>
    <row r="4471" spans="20:20">
      <c r="T4471" t="str">
        <f t="shared" si="81"/>
        <v/>
      </c>
    </row>
    <row r="4472" spans="20:20">
      <c r="T4472" t="str">
        <f t="shared" si="81"/>
        <v/>
      </c>
    </row>
    <row r="4473" spans="20:20">
      <c r="T4473" t="str">
        <f t="shared" si="81"/>
        <v/>
      </c>
    </row>
    <row r="4474" spans="20:20">
      <c r="T4474" t="str">
        <f t="shared" si="81"/>
        <v/>
      </c>
    </row>
    <row r="4475" spans="20:20">
      <c r="T4475" t="str">
        <f t="shared" si="81"/>
        <v/>
      </c>
    </row>
    <row r="4476" spans="20:20">
      <c r="T4476" t="str">
        <f t="shared" si="81"/>
        <v/>
      </c>
    </row>
    <row r="4477" spans="20:20">
      <c r="T4477" t="str">
        <f t="shared" si="81"/>
        <v/>
      </c>
    </row>
    <row r="4478" spans="20:20">
      <c r="T4478" t="str">
        <f t="shared" si="81"/>
        <v/>
      </c>
    </row>
    <row r="4479" spans="20:20">
      <c r="T4479" t="str">
        <f t="shared" si="81"/>
        <v/>
      </c>
    </row>
    <row r="4480" spans="20:20">
      <c r="T4480" t="str">
        <f t="shared" si="81"/>
        <v/>
      </c>
    </row>
    <row r="4481" spans="20:20">
      <c r="T4481" t="str">
        <f t="shared" si="81"/>
        <v/>
      </c>
    </row>
    <row r="4482" spans="20:20">
      <c r="T4482" t="str">
        <f t="shared" ref="T4482:T4545" si="82">IF(C4482="","",UPPER(LEFT(SUBSTITUTE(C4482," ",""),3))&amp;"-"&amp;TEXT(B4482,"AAMMDD")&amp;"-1")</f>
        <v/>
      </c>
    </row>
    <row r="4483" spans="20:20">
      <c r="T4483" t="str">
        <f t="shared" si="82"/>
        <v/>
      </c>
    </row>
    <row r="4484" spans="20:20">
      <c r="T4484" t="str">
        <f t="shared" si="82"/>
        <v/>
      </c>
    </row>
    <row r="4485" spans="20:20">
      <c r="T4485" t="str">
        <f t="shared" si="82"/>
        <v/>
      </c>
    </row>
    <row r="4486" spans="20:20">
      <c r="T4486" t="str">
        <f t="shared" si="82"/>
        <v/>
      </c>
    </row>
    <row r="4487" spans="20:20">
      <c r="T4487" t="str">
        <f t="shared" si="82"/>
        <v/>
      </c>
    </row>
    <row r="4488" spans="20:20">
      <c r="T4488" t="str">
        <f t="shared" si="82"/>
        <v/>
      </c>
    </row>
    <row r="4489" spans="20:20">
      <c r="T4489" t="str">
        <f t="shared" si="82"/>
        <v/>
      </c>
    </row>
    <row r="4490" spans="20:20">
      <c r="T4490" t="str">
        <f t="shared" si="82"/>
        <v/>
      </c>
    </row>
    <row r="4491" spans="20:20">
      <c r="T4491" t="str">
        <f t="shared" si="82"/>
        <v/>
      </c>
    </row>
    <row r="4492" spans="20:20">
      <c r="T4492" t="str">
        <f t="shared" si="82"/>
        <v/>
      </c>
    </row>
    <row r="4493" spans="20:20">
      <c r="T4493" t="str">
        <f t="shared" si="82"/>
        <v/>
      </c>
    </row>
    <row r="4494" spans="20:20">
      <c r="T4494" t="str">
        <f t="shared" si="82"/>
        <v/>
      </c>
    </row>
    <row r="4495" spans="20:20">
      <c r="T4495" t="str">
        <f t="shared" si="82"/>
        <v/>
      </c>
    </row>
    <row r="4496" spans="20:20">
      <c r="T4496" t="str">
        <f t="shared" si="82"/>
        <v/>
      </c>
    </row>
    <row r="4497" spans="20:20">
      <c r="T4497" t="str">
        <f t="shared" si="82"/>
        <v/>
      </c>
    </row>
    <row r="4498" spans="20:20">
      <c r="T4498" t="str">
        <f t="shared" si="82"/>
        <v/>
      </c>
    </row>
    <row r="4499" spans="20:20">
      <c r="T4499" t="str">
        <f t="shared" si="82"/>
        <v/>
      </c>
    </row>
    <row r="4500" spans="20:20">
      <c r="T4500" t="str">
        <f t="shared" si="82"/>
        <v/>
      </c>
    </row>
    <row r="4501" spans="20:20">
      <c r="T4501" t="str">
        <f t="shared" si="82"/>
        <v/>
      </c>
    </row>
    <row r="4502" spans="20:20">
      <c r="T4502" t="str">
        <f t="shared" si="82"/>
        <v/>
      </c>
    </row>
    <row r="4503" spans="20:20">
      <c r="T4503" t="str">
        <f t="shared" si="82"/>
        <v/>
      </c>
    </row>
    <row r="4504" spans="20:20">
      <c r="T4504" t="str">
        <f t="shared" si="82"/>
        <v/>
      </c>
    </row>
    <row r="4505" spans="20:20">
      <c r="T4505" t="str">
        <f t="shared" si="82"/>
        <v/>
      </c>
    </row>
    <row r="4506" spans="20:20">
      <c r="T4506" t="str">
        <f t="shared" si="82"/>
        <v/>
      </c>
    </row>
    <row r="4507" spans="20:20">
      <c r="T4507" t="str">
        <f t="shared" si="82"/>
        <v/>
      </c>
    </row>
    <row r="4508" spans="20:20">
      <c r="T4508" t="str">
        <f t="shared" si="82"/>
        <v/>
      </c>
    </row>
    <row r="4509" spans="20:20">
      <c r="T4509" t="str">
        <f t="shared" si="82"/>
        <v/>
      </c>
    </row>
    <row r="4510" spans="20:20">
      <c r="T4510" t="str">
        <f t="shared" si="82"/>
        <v/>
      </c>
    </row>
    <row r="4511" spans="20:20">
      <c r="T4511" t="str">
        <f t="shared" si="82"/>
        <v/>
      </c>
    </row>
    <row r="4512" spans="20:20">
      <c r="T4512" t="str">
        <f t="shared" si="82"/>
        <v/>
      </c>
    </row>
    <row r="4513" spans="20:20">
      <c r="T4513" t="str">
        <f t="shared" si="82"/>
        <v/>
      </c>
    </row>
    <row r="4514" spans="20:20">
      <c r="T4514" t="str">
        <f t="shared" si="82"/>
        <v/>
      </c>
    </row>
    <row r="4515" spans="20:20">
      <c r="T4515" t="str">
        <f t="shared" si="82"/>
        <v/>
      </c>
    </row>
    <row r="4516" spans="20:20">
      <c r="T4516" t="str">
        <f t="shared" si="82"/>
        <v/>
      </c>
    </row>
    <row r="4517" spans="20:20">
      <c r="T4517" t="str">
        <f t="shared" si="82"/>
        <v/>
      </c>
    </row>
    <row r="4518" spans="20:20">
      <c r="T4518" t="str">
        <f t="shared" si="82"/>
        <v/>
      </c>
    </row>
    <row r="4519" spans="20:20">
      <c r="T4519" t="str">
        <f t="shared" si="82"/>
        <v/>
      </c>
    </row>
    <row r="4520" spans="20:20">
      <c r="T4520" t="str">
        <f t="shared" si="82"/>
        <v/>
      </c>
    </row>
    <row r="4521" spans="20:20">
      <c r="T4521" t="str">
        <f t="shared" si="82"/>
        <v/>
      </c>
    </row>
    <row r="4522" spans="20:20">
      <c r="T4522" t="str">
        <f t="shared" si="82"/>
        <v/>
      </c>
    </row>
    <row r="4523" spans="20:20">
      <c r="T4523" t="str">
        <f t="shared" si="82"/>
        <v/>
      </c>
    </row>
    <row r="4524" spans="20:20">
      <c r="T4524" t="str">
        <f t="shared" si="82"/>
        <v/>
      </c>
    </row>
    <row r="4525" spans="20:20">
      <c r="T4525" t="str">
        <f t="shared" si="82"/>
        <v/>
      </c>
    </row>
    <row r="4526" spans="20:20">
      <c r="T4526" t="str">
        <f t="shared" si="82"/>
        <v/>
      </c>
    </row>
    <row r="4527" spans="20:20">
      <c r="T4527" t="str">
        <f t="shared" si="82"/>
        <v/>
      </c>
    </row>
    <row r="4528" spans="20:20">
      <c r="T4528" t="str">
        <f t="shared" si="82"/>
        <v/>
      </c>
    </row>
    <row r="4529" spans="20:20">
      <c r="T4529" t="str">
        <f t="shared" si="82"/>
        <v/>
      </c>
    </row>
    <row r="4530" spans="20:20">
      <c r="T4530" t="str">
        <f t="shared" si="82"/>
        <v/>
      </c>
    </row>
    <row r="4531" spans="20:20">
      <c r="T4531" t="str">
        <f t="shared" si="82"/>
        <v/>
      </c>
    </row>
    <row r="4532" spans="20:20">
      <c r="T4532" t="str">
        <f t="shared" si="82"/>
        <v/>
      </c>
    </row>
    <row r="4533" spans="20:20">
      <c r="T4533" t="str">
        <f t="shared" si="82"/>
        <v/>
      </c>
    </row>
    <row r="4534" spans="20:20">
      <c r="T4534" t="str">
        <f t="shared" si="82"/>
        <v/>
      </c>
    </row>
    <row r="4535" spans="20:20">
      <c r="T4535" t="str">
        <f t="shared" si="82"/>
        <v/>
      </c>
    </row>
    <row r="4536" spans="20:20">
      <c r="T4536" t="str">
        <f t="shared" si="82"/>
        <v/>
      </c>
    </row>
    <row r="4537" spans="20:20">
      <c r="T4537" t="str">
        <f t="shared" si="82"/>
        <v/>
      </c>
    </row>
    <row r="4538" spans="20:20">
      <c r="T4538" t="str">
        <f t="shared" si="82"/>
        <v/>
      </c>
    </row>
    <row r="4539" spans="20:20">
      <c r="T4539" t="str">
        <f t="shared" si="82"/>
        <v/>
      </c>
    </row>
    <row r="4540" spans="20:20">
      <c r="T4540" t="str">
        <f t="shared" si="82"/>
        <v/>
      </c>
    </row>
    <row r="4541" spans="20:20">
      <c r="T4541" t="str">
        <f t="shared" si="82"/>
        <v/>
      </c>
    </row>
    <row r="4542" spans="20:20">
      <c r="T4542" t="str">
        <f t="shared" si="82"/>
        <v/>
      </c>
    </row>
    <row r="4543" spans="20:20">
      <c r="T4543" t="str">
        <f t="shared" si="82"/>
        <v/>
      </c>
    </row>
    <row r="4544" spans="20:20">
      <c r="T4544" t="str">
        <f t="shared" si="82"/>
        <v/>
      </c>
    </row>
    <row r="4545" spans="20:20">
      <c r="T4545" t="str">
        <f t="shared" si="82"/>
        <v/>
      </c>
    </row>
    <row r="4546" spans="20:20">
      <c r="T4546" t="str">
        <f t="shared" ref="T4546:T4609" si="83">IF(C4546="","",UPPER(LEFT(SUBSTITUTE(C4546," ",""),3))&amp;"-"&amp;TEXT(B4546,"AAMMDD")&amp;"-1")</f>
        <v/>
      </c>
    </row>
    <row r="4547" spans="20:20">
      <c r="T4547" t="str">
        <f t="shared" si="83"/>
        <v/>
      </c>
    </row>
    <row r="4548" spans="20:20">
      <c r="T4548" t="str">
        <f t="shared" si="83"/>
        <v/>
      </c>
    </row>
    <row r="4549" spans="20:20">
      <c r="T4549" t="str">
        <f t="shared" si="83"/>
        <v/>
      </c>
    </row>
    <row r="4550" spans="20:20">
      <c r="T4550" t="str">
        <f t="shared" si="83"/>
        <v/>
      </c>
    </row>
    <row r="4551" spans="20:20">
      <c r="T4551" t="str">
        <f t="shared" si="83"/>
        <v/>
      </c>
    </row>
    <row r="4552" spans="20:20">
      <c r="T4552" t="str">
        <f t="shared" si="83"/>
        <v/>
      </c>
    </row>
    <row r="4553" spans="20:20">
      <c r="T4553" t="str">
        <f t="shared" si="83"/>
        <v/>
      </c>
    </row>
    <row r="4554" spans="20:20">
      <c r="T4554" t="str">
        <f t="shared" si="83"/>
        <v/>
      </c>
    </row>
    <row r="4555" spans="20:20">
      <c r="T4555" t="str">
        <f t="shared" si="83"/>
        <v/>
      </c>
    </row>
    <row r="4556" spans="20:20">
      <c r="T4556" t="str">
        <f t="shared" si="83"/>
        <v/>
      </c>
    </row>
    <row r="4557" spans="20:20">
      <c r="T4557" t="str">
        <f t="shared" si="83"/>
        <v/>
      </c>
    </row>
    <row r="4558" spans="20:20">
      <c r="T4558" t="str">
        <f t="shared" si="83"/>
        <v/>
      </c>
    </row>
    <row r="4559" spans="20:20">
      <c r="T4559" t="str">
        <f t="shared" si="83"/>
        <v/>
      </c>
    </row>
    <row r="4560" spans="20:20">
      <c r="T4560" t="str">
        <f t="shared" si="83"/>
        <v/>
      </c>
    </row>
    <row r="4561" spans="20:20">
      <c r="T4561" t="str">
        <f t="shared" si="83"/>
        <v/>
      </c>
    </row>
    <row r="4562" spans="20:20">
      <c r="T4562" t="str">
        <f t="shared" si="83"/>
        <v/>
      </c>
    </row>
    <row r="4563" spans="20:20">
      <c r="T4563" t="str">
        <f t="shared" si="83"/>
        <v/>
      </c>
    </row>
    <row r="4564" spans="20:20">
      <c r="T4564" t="str">
        <f t="shared" si="83"/>
        <v/>
      </c>
    </row>
    <row r="4565" spans="20:20">
      <c r="T4565" t="str">
        <f t="shared" si="83"/>
        <v/>
      </c>
    </row>
    <row r="4566" spans="20:20">
      <c r="T4566" t="str">
        <f t="shared" si="83"/>
        <v/>
      </c>
    </row>
    <row r="4567" spans="20:20">
      <c r="T4567" t="str">
        <f t="shared" si="83"/>
        <v/>
      </c>
    </row>
    <row r="4568" spans="20:20">
      <c r="T4568" t="str">
        <f t="shared" si="83"/>
        <v/>
      </c>
    </row>
    <row r="4569" spans="20:20">
      <c r="T4569" t="str">
        <f t="shared" si="83"/>
        <v/>
      </c>
    </row>
    <row r="4570" spans="20:20">
      <c r="T4570" t="str">
        <f t="shared" si="83"/>
        <v/>
      </c>
    </row>
    <row r="4571" spans="20:20">
      <c r="T4571" t="str">
        <f t="shared" si="83"/>
        <v/>
      </c>
    </row>
    <row r="4572" spans="20:20">
      <c r="T4572" t="str">
        <f t="shared" si="83"/>
        <v/>
      </c>
    </row>
    <row r="4573" spans="20:20">
      <c r="T4573" t="str">
        <f t="shared" si="83"/>
        <v/>
      </c>
    </row>
    <row r="4574" spans="20:20">
      <c r="T4574" t="str">
        <f t="shared" si="83"/>
        <v/>
      </c>
    </row>
    <row r="4575" spans="20:20">
      <c r="T4575" t="str">
        <f t="shared" si="83"/>
        <v/>
      </c>
    </row>
    <row r="4576" spans="20:20">
      <c r="T4576" t="str">
        <f t="shared" si="83"/>
        <v/>
      </c>
    </row>
    <row r="4577" spans="20:20">
      <c r="T4577" t="str">
        <f t="shared" si="83"/>
        <v/>
      </c>
    </row>
    <row r="4578" spans="20:20">
      <c r="T4578" t="str">
        <f t="shared" si="83"/>
        <v/>
      </c>
    </row>
    <row r="4579" spans="20:20">
      <c r="T4579" t="str">
        <f t="shared" si="83"/>
        <v/>
      </c>
    </row>
    <row r="4580" spans="20:20">
      <c r="T4580" t="str">
        <f t="shared" si="83"/>
        <v/>
      </c>
    </row>
    <row r="4581" spans="20:20">
      <c r="T4581" t="str">
        <f t="shared" si="83"/>
        <v/>
      </c>
    </row>
    <row r="4582" spans="20:20">
      <c r="T4582" t="str">
        <f t="shared" si="83"/>
        <v/>
      </c>
    </row>
    <row r="4583" spans="20:20">
      <c r="T4583" t="str">
        <f t="shared" si="83"/>
        <v/>
      </c>
    </row>
    <row r="4584" spans="20:20">
      <c r="T4584" t="str">
        <f t="shared" si="83"/>
        <v/>
      </c>
    </row>
    <row r="4585" spans="20:20">
      <c r="T4585" t="str">
        <f t="shared" si="83"/>
        <v/>
      </c>
    </row>
    <row r="4586" spans="20:20">
      <c r="T4586" t="str">
        <f t="shared" si="83"/>
        <v/>
      </c>
    </row>
    <row r="4587" spans="20:20">
      <c r="T4587" t="str">
        <f t="shared" si="83"/>
        <v/>
      </c>
    </row>
    <row r="4588" spans="20:20">
      <c r="T4588" t="str">
        <f t="shared" si="83"/>
        <v/>
      </c>
    </row>
    <row r="4589" spans="20:20">
      <c r="T4589" t="str">
        <f t="shared" si="83"/>
        <v/>
      </c>
    </row>
    <row r="4590" spans="20:20">
      <c r="T4590" t="str">
        <f t="shared" si="83"/>
        <v/>
      </c>
    </row>
    <row r="4591" spans="20:20">
      <c r="T4591" t="str">
        <f t="shared" si="83"/>
        <v/>
      </c>
    </row>
    <row r="4592" spans="20:20">
      <c r="T4592" t="str">
        <f t="shared" si="83"/>
        <v/>
      </c>
    </row>
    <row r="4593" spans="20:20">
      <c r="T4593" t="str">
        <f t="shared" si="83"/>
        <v/>
      </c>
    </row>
    <row r="4594" spans="20:20">
      <c r="T4594" t="str">
        <f t="shared" si="83"/>
        <v/>
      </c>
    </row>
    <row r="4595" spans="20:20">
      <c r="T4595" t="str">
        <f t="shared" si="83"/>
        <v/>
      </c>
    </row>
    <row r="4596" spans="20:20">
      <c r="T4596" t="str">
        <f t="shared" si="83"/>
        <v/>
      </c>
    </row>
    <row r="4597" spans="20:20">
      <c r="T4597" t="str">
        <f t="shared" si="83"/>
        <v/>
      </c>
    </row>
    <row r="4598" spans="20:20">
      <c r="T4598" t="str">
        <f t="shared" si="83"/>
        <v/>
      </c>
    </row>
    <row r="4599" spans="20:20">
      <c r="T4599" t="str">
        <f t="shared" si="83"/>
        <v/>
      </c>
    </row>
    <row r="4600" spans="20:20">
      <c r="T4600" t="str">
        <f t="shared" si="83"/>
        <v/>
      </c>
    </row>
    <row r="4601" spans="20:20">
      <c r="T4601" t="str">
        <f t="shared" si="83"/>
        <v/>
      </c>
    </row>
    <row r="4602" spans="20:20">
      <c r="T4602" t="str">
        <f t="shared" si="83"/>
        <v/>
      </c>
    </row>
    <row r="4603" spans="20:20">
      <c r="T4603" t="str">
        <f t="shared" si="83"/>
        <v/>
      </c>
    </row>
    <row r="4604" spans="20:20">
      <c r="T4604" t="str">
        <f t="shared" si="83"/>
        <v/>
      </c>
    </row>
    <row r="4605" spans="20:20">
      <c r="T4605" t="str">
        <f t="shared" si="83"/>
        <v/>
      </c>
    </row>
    <row r="4606" spans="20:20">
      <c r="T4606" t="str">
        <f t="shared" si="83"/>
        <v/>
      </c>
    </row>
    <row r="4607" spans="20:20">
      <c r="T4607" t="str">
        <f t="shared" si="83"/>
        <v/>
      </c>
    </row>
    <row r="4608" spans="20:20">
      <c r="T4608" t="str">
        <f t="shared" si="83"/>
        <v/>
      </c>
    </row>
    <row r="4609" spans="20:20">
      <c r="T4609" t="str">
        <f t="shared" si="83"/>
        <v/>
      </c>
    </row>
    <row r="4610" spans="20:20">
      <c r="T4610" t="str">
        <f t="shared" ref="T4610:T4673" si="84">IF(C4610="","",UPPER(LEFT(SUBSTITUTE(C4610," ",""),3))&amp;"-"&amp;TEXT(B4610,"AAMMDD")&amp;"-1")</f>
        <v/>
      </c>
    </row>
    <row r="4611" spans="20:20">
      <c r="T4611" t="str">
        <f t="shared" si="84"/>
        <v/>
      </c>
    </row>
    <row r="4612" spans="20:20">
      <c r="T4612" t="str">
        <f t="shared" si="84"/>
        <v/>
      </c>
    </row>
    <row r="4613" spans="20:20">
      <c r="T4613" t="str">
        <f t="shared" si="84"/>
        <v/>
      </c>
    </row>
    <row r="4614" spans="20:20">
      <c r="T4614" t="str">
        <f t="shared" si="84"/>
        <v/>
      </c>
    </row>
    <row r="4615" spans="20:20">
      <c r="T4615" t="str">
        <f t="shared" si="84"/>
        <v/>
      </c>
    </row>
    <row r="4616" spans="20:20">
      <c r="T4616" t="str">
        <f t="shared" si="84"/>
        <v/>
      </c>
    </row>
    <row r="4617" spans="20:20">
      <c r="T4617" t="str">
        <f t="shared" si="84"/>
        <v/>
      </c>
    </row>
    <row r="4618" spans="20:20">
      <c r="T4618" t="str">
        <f t="shared" si="84"/>
        <v/>
      </c>
    </row>
    <row r="4619" spans="20:20">
      <c r="T4619" t="str">
        <f t="shared" si="84"/>
        <v/>
      </c>
    </row>
    <row r="4620" spans="20:20">
      <c r="T4620" t="str">
        <f t="shared" si="84"/>
        <v/>
      </c>
    </row>
    <row r="4621" spans="20:20">
      <c r="T4621" t="str">
        <f t="shared" si="84"/>
        <v/>
      </c>
    </row>
    <row r="4622" spans="20:20">
      <c r="T4622" t="str">
        <f t="shared" si="84"/>
        <v/>
      </c>
    </row>
    <row r="4623" spans="20:20">
      <c r="T4623" t="str">
        <f t="shared" si="84"/>
        <v/>
      </c>
    </row>
    <row r="4624" spans="20:20">
      <c r="T4624" t="str">
        <f t="shared" si="84"/>
        <v/>
      </c>
    </row>
    <row r="4625" spans="20:20">
      <c r="T4625" t="str">
        <f t="shared" si="84"/>
        <v/>
      </c>
    </row>
    <row r="4626" spans="20:20">
      <c r="T4626" t="str">
        <f t="shared" si="84"/>
        <v/>
      </c>
    </row>
    <row r="4627" spans="20:20">
      <c r="T4627" t="str">
        <f t="shared" si="84"/>
        <v/>
      </c>
    </row>
    <row r="4628" spans="20:20">
      <c r="T4628" t="str">
        <f t="shared" si="84"/>
        <v/>
      </c>
    </row>
    <row r="4629" spans="20:20">
      <c r="T4629" t="str">
        <f t="shared" si="84"/>
        <v/>
      </c>
    </row>
    <row r="4630" spans="20:20">
      <c r="T4630" t="str">
        <f t="shared" si="84"/>
        <v/>
      </c>
    </row>
    <row r="4631" spans="20:20">
      <c r="T4631" t="str">
        <f t="shared" si="84"/>
        <v/>
      </c>
    </row>
    <row r="4632" spans="20:20">
      <c r="T4632" t="str">
        <f t="shared" si="84"/>
        <v/>
      </c>
    </row>
    <row r="4633" spans="20:20">
      <c r="T4633" t="str">
        <f t="shared" si="84"/>
        <v/>
      </c>
    </row>
    <row r="4634" spans="20:20">
      <c r="T4634" t="str">
        <f t="shared" si="84"/>
        <v/>
      </c>
    </row>
    <row r="4635" spans="20:20">
      <c r="T4635" t="str">
        <f t="shared" si="84"/>
        <v/>
      </c>
    </row>
    <row r="4636" spans="20:20">
      <c r="T4636" t="str">
        <f t="shared" si="84"/>
        <v/>
      </c>
    </row>
    <row r="4637" spans="20:20">
      <c r="T4637" t="str">
        <f t="shared" si="84"/>
        <v/>
      </c>
    </row>
    <row r="4638" spans="20:20">
      <c r="T4638" t="str">
        <f t="shared" si="84"/>
        <v/>
      </c>
    </row>
    <row r="4639" spans="20:20">
      <c r="T4639" t="str">
        <f t="shared" si="84"/>
        <v/>
      </c>
    </row>
    <row r="4640" spans="20:20">
      <c r="T4640" t="str">
        <f t="shared" si="84"/>
        <v/>
      </c>
    </row>
    <row r="4641" spans="20:20">
      <c r="T4641" t="str">
        <f t="shared" si="84"/>
        <v/>
      </c>
    </row>
    <row r="4642" spans="20:20">
      <c r="T4642" t="str">
        <f t="shared" si="84"/>
        <v/>
      </c>
    </row>
    <row r="4643" spans="20:20">
      <c r="T4643" t="str">
        <f t="shared" si="84"/>
        <v/>
      </c>
    </row>
    <row r="4644" spans="20:20">
      <c r="T4644" t="str">
        <f t="shared" si="84"/>
        <v/>
      </c>
    </row>
    <row r="4645" spans="20:20">
      <c r="T4645" t="str">
        <f t="shared" si="84"/>
        <v/>
      </c>
    </row>
    <row r="4646" spans="20:20">
      <c r="T4646" t="str">
        <f t="shared" si="84"/>
        <v/>
      </c>
    </row>
    <row r="4647" spans="20:20">
      <c r="T4647" t="str">
        <f t="shared" si="84"/>
        <v/>
      </c>
    </row>
    <row r="4648" spans="20:20">
      <c r="T4648" t="str">
        <f t="shared" si="84"/>
        <v/>
      </c>
    </row>
    <row r="4649" spans="20:20">
      <c r="T4649" t="str">
        <f t="shared" si="84"/>
        <v/>
      </c>
    </row>
    <row r="4650" spans="20:20">
      <c r="T4650" t="str">
        <f t="shared" si="84"/>
        <v/>
      </c>
    </row>
    <row r="4651" spans="20:20">
      <c r="T4651" t="str">
        <f t="shared" si="84"/>
        <v/>
      </c>
    </row>
    <row r="4652" spans="20:20">
      <c r="T4652" t="str">
        <f t="shared" si="84"/>
        <v/>
      </c>
    </row>
    <row r="4653" spans="20:20">
      <c r="T4653" t="str">
        <f t="shared" si="84"/>
        <v/>
      </c>
    </row>
    <row r="4654" spans="20:20">
      <c r="T4654" t="str">
        <f t="shared" si="84"/>
        <v/>
      </c>
    </row>
    <row r="4655" spans="20:20">
      <c r="T4655" t="str">
        <f t="shared" si="84"/>
        <v/>
      </c>
    </row>
    <row r="4656" spans="20:20">
      <c r="T4656" t="str">
        <f t="shared" si="84"/>
        <v/>
      </c>
    </row>
    <row r="4657" spans="20:20">
      <c r="T4657" t="str">
        <f t="shared" si="84"/>
        <v/>
      </c>
    </row>
    <row r="4658" spans="20:20">
      <c r="T4658" t="str">
        <f t="shared" si="84"/>
        <v/>
      </c>
    </row>
    <row r="4659" spans="20:20">
      <c r="T4659" t="str">
        <f t="shared" si="84"/>
        <v/>
      </c>
    </row>
    <row r="4660" spans="20:20">
      <c r="T4660" t="str">
        <f t="shared" si="84"/>
        <v/>
      </c>
    </row>
    <row r="4661" spans="20:20">
      <c r="T4661" t="str">
        <f t="shared" si="84"/>
        <v/>
      </c>
    </row>
    <row r="4662" spans="20:20">
      <c r="T4662" t="str">
        <f t="shared" si="84"/>
        <v/>
      </c>
    </row>
    <row r="4663" spans="20:20">
      <c r="T4663" t="str">
        <f t="shared" si="84"/>
        <v/>
      </c>
    </row>
    <row r="4664" spans="20:20">
      <c r="T4664" t="str">
        <f t="shared" si="84"/>
        <v/>
      </c>
    </row>
    <row r="4665" spans="20:20">
      <c r="T4665" t="str">
        <f t="shared" si="84"/>
        <v/>
      </c>
    </row>
    <row r="4666" spans="20:20">
      <c r="T4666" t="str">
        <f t="shared" si="84"/>
        <v/>
      </c>
    </row>
    <row r="4667" spans="20:20">
      <c r="T4667" t="str">
        <f t="shared" si="84"/>
        <v/>
      </c>
    </row>
    <row r="4668" spans="20:20">
      <c r="T4668" t="str">
        <f t="shared" si="84"/>
        <v/>
      </c>
    </row>
    <row r="4669" spans="20:20">
      <c r="T4669" t="str">
        <f t="shared" si="84"/>
        <v/>
      </c>
    </row>
    <row r="4670" spans="20:20">
      <c r="T4670" t="str">
        <f t="shared" si="84"/>
        <v/>
      </c>
    </row>
    <row r="4671" spans="20:20">
      <c r="T4671" t="str">
        <f t="shared" si="84"/>
        <v/>
      </c>
    </row>
    <row r="4672" spans="20:20">
      <c r="T4672" t="str">
        <f t="shared" si="84"/>
        <v/>
      </c>
    </row>
    <row r="4673" spans="20:20">
      <c r="T4673" t="str">
        <f t="shared" si="84"/>
        <v/>
      </c>
    </row>
    <row r="4674" spans="20:20">
      <c r="T4674" t="str">
        <f t="shared" ref="T4674:T4737" si="85">IF(C4674="","",UPPER(LEFT(SUBSTITUTE(C4674," ",""),3))&amp;"-"&amp;TEXT(B4674,"AAMMDD")&amp;"-1")</f>
        <v/>
      </c>
    </row>
    <row r="4675" spans="20:20">
      <c r="T4675" t="str">
        <f t="shared" si="85"/>
        <v/>
      </c>
    </row>
    <row r="4676" spans="20:20">
      <c r="T4676" t="str">
        <f t="shared" si="85"/>
        <v/>
      </c>
    </row>
    <row r="4677" spans="20:20">
      <c r="T4677" t="str">
        <f t="shared" si="85"/>
        <v/>
      </c>
    </row>
    <row r="4678" spans="20:20">
      <c r="T4678" t="str">
        <f t="shared" si="85"/>
        <v/>
      </c>
    </row>
    <row r="4679" spans="20:20">
      <c r="T4679" t="str">
        <f t="shared" si="85"/>
        <v/>
      </c>
    </row>
    <row r="4680" spans="20:20">
      <c r="T4680" t="str">
        <f t="shared" si="85"/>
        <v/>
      </c>
    </row>
    <row r="4681" spans="20:20">
      <c r="T4681" t="str">
        <f t="shared" si="85"/>
        <v/>
      </c>
    </row>
    <row r="4682" spans="20:20">
      <c r="T4682" t="str">
        <f t="shared" si="85"/>
        <v/>
      </c>
    </row>
    <row r="4683" spans="20:20">
      <c r="T4683" t="str">
        <f t="shared" si="85"/>
        <v/>
      </c>
    </row>
    <row r="4684" spans="20:20">
      <c r="T4684" t="str">
        <f t="shared" si="85"/>
        <v/>
      </c>
    </row>
    <row r="4685" spans="20:20">
      <c r="T4685" t="str">
        <f t="shared" si="85"/>
        <v/>
      </c>
    </row>
    <row r="4686" spans="20:20">
      <c r="T4686" t="str">
        <f t="shared" si="85"/>
        <v/>
      </c>
    </row>
    <row r="4687" spans="20:20">
      <c r="T4687" t="str">
        <f t="shared" si="85"/>
        <v/>
      </c>
    </row>
    <row r="4688" spans="20:20">
      <c r="T4688" t="str">
        <f t="shared" si="85"/>
        <v/>
      </c>
    </row>
    <row r="4689" spans="20:20">
      <c r="T4689" t="str">
        <f t="shared" si="85"/>
        <v/>
      </c>
    </row>
    <row r="4690" spans="20:20">
      <c r="T4690" t="str">
        <f t="shared" si="85"/>
        <v/>
      </c>
    </row>
    <row r="4691" spans="20:20">
      <c r="T4691" t="str">
        <f t="shared" si="85"/>
        <v/>
      </c>
    </row>
    <row r="4692" spans="20:20">
      <c r="T4692" t="str">
        <f t="shared" si="85"/>
        <v/>
      </c>
    </row>
    <row r="4693" spans="20:20">
      <c r="T4693" t="str">
        <f t="shared" si="85"/>
        <v/>
      </c>
    </row>
    <row r="4694" spans="20:20">
      <c r="T4694" t="str">
        <f t="shared" si="85"/>
        <v/>
      </c>
    </row>
    <row r="4695" spans="20:20">
      <c r="T4695" t="str">
        <f t="shared" si="85"/>
        <v/>
      </c>
    </row>
    <row r="4696" spans="20:20">
      <c r="T4696" t="str">
        <f t="shared" si="85"/>
        <v/>
      </c>
    </row>
    <row r="4697" spans="20:20">
      <c r="T4697" t="str">
        <f t="shared" si="85"/>
        <v/>
      </c>
    </row>
    <row r="4698" spans="20:20">
      <c r="T4698" t="str">
        <f t="shared" si="85"/>
        <v/>
      </c>
    </row>
    <row r="4699" spans="20:20">
      <c r="T4699" t="str">
        <f t="shared" si="85"/>
        <v/>
      </c>
    </row>
    <row r="4700" spans="20:20">
      <c r="T4700" t="str">
        <f t="shared" si="85"/>
        <v/>
      </c>
    </row>
    <row r="4701" spans="20:20">
      <c r="T4701" t="str">
        <f t="shared" si="85"/>
        <v/>
      </c>
    </row>
    <row r="4702" spans="20:20">
      <c r="T4702" t="str">
        <f t="shared" si="85"/>
        <v/>
      </c>
    </row>
    <row r="4703" spans="20:20">
      <c r="T4703" t="str">
        <f t="shared" si="85"/>
        <v/>
      </c>
    </row>
    <row r="4704" spans="20:20">
      <c r="T4704" t="str">
        <f t="shared" si="85"/>
        <v/>
      </c>
    </row>
    <row r="4705" spans="20:20">
      <c r="T4705" t="str">
        <f t="shared" si="85"/>
        <v/>
      </c>
    </row>
    <row r="4706" spans="20:20">
      <c r="T4706" t="str">
        <f t="shared" si="85"/>
        <v/>
      </c>
    </row>
    <row r="4707" spans="20:20">
      <c r="T4707" t="str">
        <f t="shared" si="85"/>
        <v/>
      </c>
    </row>
    <row r="4708" spans="20:20">
      <c r="T4708" t="str">
        <f t="shared" si="85"/>
        <v/>
      </c>
    </row>
    <row r="4709" spans="20:20">
      <c r="T4709" t="str">
        <f t="shared" si="85"/>
        <v/>
      </c>
    </row>
    <row r="4710" spans="20:20">
      <c r="T4710" t="str">
        <f t="shared" si="85"/>
        <v/>
      </c>
    </row>
    <row r="4711" spans="20:20">
      <c r="T4711" t="str">
        <f t="shared" si="85"/>
        <v/>
      </c>
    </row>
    <row r="4712" spans="20:20">
      <c r="T4712" t="str">
        <f t="shared" si="85"/>
        <v/>
      </c>
    </row>
    <row r="4713" spans="20:20">
      <c r="T4713" t="str">
        <f t="shared" si="85"/>
        <v/>
      </c>
    </row>
    <row r="4714" spans="20:20">
      <c r="T4714" t="str">
        <f t="shared" si="85"/>
        <v/>
      </c>
    </row>
    <row r="4715" spans="20:20">
      <c r="T4715" t="str">
        <f t="shared" si="85"/>
        <v/>
      </c>
    </row>
    <row r="4716" spans="20:20">
      <c r="T4716" t="str">
        <f t="shared" si="85"/>
        <v/>
      </c>
    </row>
    <row r="4717" spans="20:20">
      <c r="T4717" t="str">
        <f t="shared" si="85"/>
        <v/>
      </c>
    </row>
    <row r="4718" spans="20:20">
      <c r="T4718" t="str">
        <f t="shared" si="85"/>
        <v/>
      </c>
    </row>
    <row r="4719" spans="20:20">
      <c r="T4719" t="str">
        <f t="shared" si="85"/>
        <v/>
      </c>
    </row>
    <row r="4720" spans="20:20">
      <c r="T4720" t="str">
        <f t="shared" si="85"/>
        <v/>
      </c>
    </row>
    <row r="4721" spans="20:20">
      <c r="T4721" t="str">
        <f t="shared" si="85"/>
        <v/>
      </c>
    </row>
    <row r="4722" spans="20:20">
      <c r="T4722" t="str">
        <f t="shared" si="85"/>
        <v/>
      </c>
    </row>
    <row r="4723" spans="20:20">
      <c r="T4723" t="str">
        <f t="shared" si="85"/>
        <v/>
      </c>
    </row>
    <row r="4724" spans="20:20">
      <c r="T4724" t="str">
        <f t="shared" si="85"/>
        <v/>
      </c>
    </row>
    <row r="4725" spans="20:20">
      <c r="T4725" t="str">
        <f t="shared" si="85"/>
        <v/>
      </c>
    </row>
    <row r="4726" spans="20:20">
      <c r="T4726" t="str">
        <f t="shared" si="85"/>
        <v/>
      </c>
    </row>
    <row r="4727" spans="20:20">
      <c r="T4727" t="str">
        <f t="shared" si="85"/>
        <v/>
      </c>
    </row>
    <row r="4728" spans="20:20">
      <c r="T4728" t="str">
        <f t="shared" si="85"/>
        <v/>
      </c>
    </row>
    <row r="4729" spans="20:20">
      <c r="T4729" t="str">
        <f t="shared" si="85"/>
        <v/>
      </c>
    </row>
    <row r="4730" spans="20:20">
      <c r="T4730" t="str">
        <f t="shared" si="85"/>
        <v/>
      </c>
    </row>
    <row r="4731" spans="20:20">
      <c r="T4731" t="str">
        <f t="shared" si="85"/>
        <v/>
      </c>
    </row>
    <row r="4732" spans="20:20">
      <c r="T4732" t="str">
        <f t="shared" si="85"/>
        <v/>
      </c>
    </row>
    <row r="4733" spans="20:20">
      <c r="T4733" t="str">
        <f t="shared" si="85"/>
        <v/>
      </c>
    </row>
    <row r="4734" spans="20:20">
      <c r="T4734" t="str">
        <f t="shared" si="85"/>
        <v/>
      </c>
    </row>
    <row r="4735" spans="20:20">
      <c r="T4735" t="str">
        <f t="shared" si="85"/>
        <v/>
      </c>
    </row>
    <row r="4736" spans="20:20">
      <c r="T4736" t="str">
        <f t="shared" si="85"/>
        <v/>
      </c>
    </row>
    <row r="4737" spans="20:20">
      <c r="T4737" t="str">
        <f t="shared" si="85"/>
        <v/>
      </c>
    </row>
    <row r="4738" spans="20:20">
      <c r="T4738" t="str">
        <f t="shared" ref="T4738:T4801" si="86">IF(C4738="","",UPPER(LEFT(SUBSTITUTE(C4738," ",""),3))&amp;"-"&amp;TEXT(B4738,"AAMMDD")&amp;"-1")</f>
        <v/>
      </c>
    </row>
    <row r="4739" spans="20:20">
      <c r="T4739" t="str">
        <f t="shared" si="86"/>
        <v/>
      </c>
    </row>
    <row r="4740" spans="20:20">
      <c r="T4740" t="str">
        <f t="shared" si="86"/>
        <v/>
      </c>
    </row>
    <row r="4741" spans="20:20">
      <c r="T4741" t="str">
        <f t="shared" si="86"/>
        <v/>
      </c>
    </row>
    <row r="4742" spans="20:20">
      <c r="T4742" t="str">
        <f t="shared" si="86"/>
        <v/>
      </c>
    </row>
    <row r="4743" spans="20:20">
      <c r="T4743" t="str">
        <f t="shared" si="86"/>
        <v/>
      </c>
    </row>
    <row r="4744" spans="20:20">
      <c r="T4744" t="str">
        <f t="shared" si="86"/>
        <v/>
      </c>
    </row>
    <row r="4745" spans="20:20">
      <c r="T4745" t="str">
        <f t="shared" si="86"/>
        <v/>
      </c>
    </row>
    <row r="4746" spans="20:20">
      <c r="T4746" t="str">
        <f t="shared" si="86"/>
        <v/>
      </c>
    </row>
    <row r="4747" spans="20:20">
      <c r="T4747" t="str">
        <f t="shared" si="86"/>
        <v/>
      </c>
    </row>
    <row r="4748" spans="20:20">
      <c r="T4748" t="str">
        <f t="shared" si="86"/>
        <v/>
      </c>
    </row>
    <row r="4749" spans="20:20">
      <c r="T4749" t="str">
        <f t="shared" si="86"/>
        <v/>
      </c>
    </row>
    <row r="4750" spans="20:20">
      <c r="T4750" t="str">
        <f t="shared" si="86"/>
        <v/>
      </c>
    </row>
    <row r="4751" spans="20:20">
      <c r="T4751" t="str">
        <f t="shared" si="86"/>
        <v/>
      </c>
    </row>
    <row r="4752" spans="20:20">
      <c r="T4752" t="str">
        <f t="shared" si="86"/>
        <v/>
      </c>
    </row>
    <row r="4753" spans="20:20">
      <c r="T4753" t="str">
        <f t="shared" si="86"/>
        <v/>
      </c>
    </row>
    <row r="4754" spans="20:20">
      <c r="T4754" t="str">
        <f t="shared" si="86"/>
        <v/>
      </c>
    </row>
    <row r="4755" spans="20:20">
      <c r="T4755" t="str">
        <f t="shared" si="86"/>
        <v/>
      </c>
    </row>
    <row r="4756" spans="20:20">
      <c r="T4756" t="str">
        <f t="shared" si="86"/>
        <v/>
      </c>
    </row>
    <row r="4757" spans="20:20">
      <c r="T4757" t="str">
        <f t="shared" si="86"/>
        <v/>
      </c>
    </row>
    <row r="4758" spans="20:20">
      <c r="T4758" t="str">
        <f t="shared" si="86"/>
        <v/>
      </c>
    </row>
    <row r="4759" spans="20:20">
      <c r="T4759" t="str">
        <f t="shared" si="86"/>
        <v/>
      </c>
    </row>
    <row r="4760" spans="20:20">
      <c r="T4760" t="str">
        <f t="shared" si="86"/>
        <v/>
      </c>
    </row>
    <row r="4761" spans="20:20">
      <c r="T4761" t="str">
        <f t="shared" si="86"/>
        <v/>
      </c>
    </row>
    <row r="4762" spans="20:20">
      <c r="T4762" t="str">
        <f t="shared" si="86"/>
        <v/>
      </c>
    </row>
    <row r="4763" spans="20:20">
      <c r="T4763" t="str">
        <f t="shared" si="86"/>
        <v/>
      </c>
    </row>
    <row r="4764" spans="20:20">
      <c r="T4764" t="str">
        <f t="shared" si="86"/>
        <v/>
      </c>
    </row>
    <row r="4765" spans="20:20">
      <c r="T4765" t="str">
        <f t="shared" si="86"/>
        <v/>
      </c>
    </row>
    <row r="4766" spans="20:20">
      <c r="T4766" t="str">
        <f t="shared" si="86"/>
        <v/>
      </c>
    </row>
    <row r="4767" spans="20:20">
      <c r="T4767" t="str">
        <f t="shared" si="86"/>
        <v/>
      </c>
    </row>
    <row r="4768" spans="20:20">
      <c r="T4768" t="str">
        <f t="shared" si="86"/>
        <v/>
      </c>
    </row>
    <row r="4769" spans="20:20">
      <c r="T4769" t="str">
        <f t="shared" si="86"/>
        <v/>
      </c>
    </row>
    <row r="4770" spans="20:20">
      <c r="T4770" t="str">
        <f t="shared" si="86"/>
        <v/>
      </c>
    </row>
    <row r="4771" spans="20:20">
      <c r="T4771" t="str">
        <f t="shared" si="86"/>
        <v/>
      </c>
    </row>
    <row r="4772" spans="20:20">
      <c r="T4772" t="str">
        <f t="shared" si="86"/>
        <v/>
      </c>
    </row>
    <row r="4773" spans="20:20">
      <c r="T4773" t="str">
        <f t="shared" si="86"/>
        <v/>
      </c>
    </row>
    <row r="4774" spans="20:20">
      <c r="T4774" t="str">
        <f t="shared" si="86"/>
        <v/>
      </c>
    </row>
    <row r="4775" spans="20:20">
      <c r="T4775" t="str">
        <f t="shared" si="86"/>
        <v/>
      </c>
    </row>
    <row r="4776" spans="20:20">
      <c r="T4776" t="str">
        <f t="shared" si="86"/>
        <v/>
      </c>
    </row>
    <row r="4777" spans="20:20">
      <c r="T4777" t="str">
        <f t="shared" si="86"/>
        <v/>
      </c>
    </row>
    <row r="4778" spans="20:20">
      <c r="T4778" t="str">
        <f t="shared" si="86"/>
        <v/>
      </c>
    </row>
    <row r="4779" spans="20:20">
      <c r="T4779" t="str">
        <f t="shared" si="86"/>
        <v/>
      </c>
    </row>
    <row r="4780" spans="20:20">
      <c r="T4780" t="str">
        <f t="shared" si="86"/>
        <v/>
      </c>
    </row>
    <row r="4781" spans="20:20">
      <c r="T4781" t="str">
        <f t="shared" si="86"/>
        <v/>
      </c>
    </row>
    <row r="4782" spans="20:20">
      <c r="T4782" t="str">
        <f t="shared" si="86"/>
        <v/>
      </c>
    </row>
    <row r="4783" spans="20:20">
      <c r="T4783" t="str">
        <f t="shared" si="86"/>
        <v/>
      </c>
    </row>
    <row r="4784" spans="20:20">
      <c r="T4784" t="str">
        <f t="shared" si="86"/>
        <v/>
      </c>
    </row>
    <row r="4785" spans="20:20">
      <c r="T4785" t="str">
        <f t="shared" si="86"/>
        <v/>
      </c>
    </row>
    <row r="4786" spans="20:20">
      <c r="T4786" t="str">
        <f t="shared" si="86"/>
        <v/>
      </c>
    </row>
    <row r="4787" spans="20:20">
      <c r="T4787" t="str">
        <f t="shared" si="86"/>
        <v/>
      </c>
    </row>
    <row r="4788" spans="20:20">
      <c r="T4788" t="str">
        <f t="shared" si="86"/>
        <v/>
      </c>
    </row>
    <row r="4789" spans="20:20">
      <c r="T4789" t="str">
        <f t="shared" si="86"/>
        <v/>
      </c>
    </row>
    <row r="4790" spans="20:20">
      <c r="T4790" t="str">
        <f t="shared" si="86"/>
        <v/>
      </c>
    </row>
    <row r="4791" spans="20:20">
      <c r="T4791" t="str">
        <f t="shared" si="86"/>
        <v/>
      </c>
    </row>
    <row r="4792" spans="20:20">
      <c r="T4792" t="str">
        <f t="shared" si="86"/>
        <v/>
      </c>
    </row>
    <row r="4793" spans="20:20">
      <c r="T4793" t="str">
        <f t="shared" si="86"/>
        <v/>
      </c>
    </row>
    <row r="4794" spans="20:20">
      <c r="T4794" t="str">
        <f t="shared" si="86"/>
        <v/>
      </c>
    </row>
    <row r="4795" spans="20:20">
      <c r="T4795" t="str">
        <f t="shared" si="86"/>
        <v/>
      </c>
    </row>
    <row r="4796" spans="20:20">
      <c r="T4796" t="str">
        <f t="shared" si="86"/>
        <v/>
      </c>
    </row>
    <row r="4797" spans="20:20">
      <c r="T4797" t="str">
        <f t="shared" si="86"/>
        <v/>
      </c>
    </row>
    <row r="4798" spans="20:20">
      <c r="T4798" t="str">
        <f t="shared" si="86"/>
        <v/>
      </c>
    </row>
    <row r="4799" spans="20:20">
      <c r="T4799" t="str">
        <f t="shared" si="86"/>
        <v/>
      </c>
    </row>
    <row r="4800" spans="20:20">
      <c r="T4800" t="str">
        <f t="shared" si="86"/>
        <v/>
      </c>
    </row>
    <row r="4801" spans="20:20">
      <c r="T4801" t="str">
        <f t="shared" si="86"/>
        <v/>
      </c>
    </row>
    <row r="4802" spans="20:20">
      <c r="T4802" t="str">
        <f t="shared" ref="T4802:T4865" si="87">IF(C4802="","",UPPER(LEFT(SUBSTITUTE(C4802," ",""),3))&amp;"-"&amp;TEXT(B4802,"AAMMDD")&amp;"-1")</f>
        <v/>
      </c>
    </row>
    <row r="4803" spans="20:20">
      <c r="T4803" t="str">
        <f t="shared" si="87"/>
        <v/>
      </c>
    </row>
    <row r="4804" spans="20:20">
      <c r="T4804" t="str">
        <f t="shared" si="87"/>
        <v/>
      </c>
    </row>
    <row r="4805" spans="20:20">
      <c r="T4805" t="str">
        <f t="shared" si="87"/>
        <v/>
      </c>
    </row>
    <row r="4806" spans="20:20">
      <c r="T4806" t="str">
        <f t="shared" si="87"/>
        <v/>
      </c>
    </row>
    <row r="4807" spans="20:20">
      <c r="T4807" t="str">
        <f t="shared" si="87"/>
        <v/>
      </c>
    </row>
    <row r="4808" spans="20:20">
      <c r="T4808" t="str">
        <f t="shared" si="87"/>
        <v/>
      </c>
    </row>
    <row r="4809" spans="20:20">
      <c r="T4809" t="str">
        <f t="shared" si="87"/>
        <v/>
      </c>
    </row>
    <row r="4810" spans="20:20">
      <c r="T4810" t="str">
        <f t="shared" si="87"/>
        <v/>
      </c>
    </row>
    <row r="4811" spans="20:20">
      <c r="T4811" t="str">
        <f t="shared" si="87"/>
        <v/>
      </c>
    </row>
    <row r="4812" spans="20:20">
      <c r="T4812" t="str">
        <f t="shared" si="87"/>
        <v/>
      </c>
    </row>
    <row r="4813" spans="20:20">
      <c r="T4813" t="str">
        <f t="shared" si="87"/>
        <v/>
      </c>
    </row>
    <row r="4814" spans="20:20">
      <c r="T4814" t="str">
        <f t="shared" si="87"/>
        <v/>
      </c>
    </row>
    <row r="4815" spans="20:20">
      <c r="T4815" t="str">
        <f t="shared" si="87"/>
        <v/>
      </c>
    </row>
    <row r="4816" spans="20:20">
      <c r="T4816" t="str">
        <f t="shared" si="87"/>
        <v/>
      </c>
    </row>
    <row r="4817" spans="20:20">
      <c r="T4817" t="str">
        <f t="shared" si="87"/>
        <v/>
      </c>
    </row>
    <row r="4818" spans="20:20">
      <c r="T4818" t="str">
        <f t="shared" si="87"/>
        <v/>
      </c>
    </row>
    <row r="4819" spans="20:20">
      <c r="T4819" t="str">
        <f t="shared" si="87"/>
        <v/>
      </c>
    </row>
    <row r="4820" spans="20:20">
      <c r="T4820" t="str">
        <f t="shared" si="87"/>
        <v/>
      </c>
    </row>
    <row r="4821" spans="20:20">
      <c r="T4821" t="str">
        <f t="shared" si="87"/>
        <v/>
      </c>
    </row>
    <row r="4822" spans="20:20">
      <c r="T4822" t="str">
        <f t="shared" si="87"/>
        <v/>
      </c>
    </row>
    <row r="4823" spans="20:20">
      <c r="T4823" t="str">
        <f t="shared" si="87"/>
        <v/>
      </c>
    </row>
    <row r="4824" spans="20:20">
      <c r="T4824" t="str">
        <f t="shared" si="87"/>
        <v/>
      </c>
    </row>
    <row r="4825" spans="20:20">
      <c r="T4825" t="str">
        <f t="shared" si="87"/>
        <v/>
      </c>
    </row>
    <row r="4826" spans="20:20">
      <c r="T4826" t="str">
        <f t="shared" si="87"/>
        <v/>
      </c>
    </row>
    <row r="4827" spans="20:20">
      <c r="T4827" t="str">
        <f t="shared" si="87"/>
        <v/>
      </c>
    </row>
    <row r="4828" spans="20:20">
      <c r="T4828" t="str">
        <f t="shared" si="87"/>
        <v/>
      </c>
    </row>
    <row r="4829" spans="20:20">
      <c r="T4829" t="str">
        <f t="shared" si="87"/>
        <v/>
      </c>
    </row>
    <row r="4830" spans="20:20">
      <c r="T4830" t="str">
        <f t="shared" si="87"/>
        <v/>
      </c>
    </row>
    <row r="4831" spans="20:20">
      <c r="T4831" t="str">
        <f t="shared" si="87"/>
        <v/>
      </c>
    </row>
    <row r="4832" spans="20:20">
      <c r="T4832" t="str">
        <f t="shared" si="87"/>
        <v/>
      </c>
    </row>
    <row r="4833" spans="20:20">
      <c r="T4833" t="str">
        <f t="shared" si="87"/>
        <v/>
      </c>
    </row>
    <row r="4834" spans="20:20">
      <c r="T4834" t="str">
        <f t="shared" si="87"/>
        <v/>
      </c>
    </row>
    <row r="4835" spans="20:20">
      <c r="T4835" t="str">
        <f t="shared" si="87"/>
        <v/>
      </c>
    </row>
    <row r="4836" spans="20:20">
      <c r="T4836" t="str">
        <f t="shared" si="87"/>
        <v/>
      </c>
    </row>
    <row r="4837" spans="20:20">
      <c r="T4837" t="str">
        <f t="shared" si="87"/>
        <v/>
      </c>
    </row>
    <row r="4838" spans="20:20">
      <c r="T4838" t="str">
        <f t="shared" si="87"/>
        <v/>
      </c>
    </row>
    <row r="4839" spans="20:20">
      <c r="T4839" t="str">
        <f t="shared" si="87"/>
        <v/>
      </c>
    </row>
    <row r="4840" spans="20:20">
      <c r="T4840" t="str">
        <f t="shared" si="87"/>
        <v/>
      </c>
    </row>
    <row r="4841" spans="20:20">
      <c r="T4841" t="str">
        <f t="shared" si="87"/>
        <v/>
      </c>
    </row>
    <row r="4842" spans="20:20">
      <c r="T4842" t="str">
        <f t="shared" si="87"/>
        <v/>
      </c>
    </row>
    <row r="4843" spans="20:20">
      <c r="T4843" t="str">
        <f t="shared" si="87"/>
        <v/>
      </c>
    </row>
    <row r="4844" spans="20:20">
      <c r="T4844" t="str">
        <f t="shared" si="87"/>
        <v/>
      </c>
    </row>
    <row r="4845" spans="20:20">
      <c r="T4845" t="str">
        <f t="shared" si="87"/>
        <v/>
      </c>
    </row>
    <row r="4846" spans="20:20">
      <c r="T4846" t="str">
        <f t="shared" si="87"/>
        <v/>
      </c>
    </row>
    <row r="4847" spans="20:20">
      <c r="T4847" t="str">
        <f t="shared" si="87"/>
        <v/>
      </c>
    </row>
    <row r="4848" spans="20:20">
      <c r="T4848" t="str">
        <f t="shared" si="87"/>
        <v/>
      </c>
    </row>
    <row r="4849" spans="20:20">
      <c r="T4849" t="str">
        <f t="shared" si="87"/>
        <v/>
      </c>
    </row>
    <row r="4850" spans="20:20">
      <c r="T4850" t="str">
        <f t="shared" si="87"/>
        <v/>
      </c>
    </row>
    <row r="4851" spans="20:20">
      <c r="T4851" t="str">
        <f t="shared" si="87"/>
        <v/>
      </c>
    </row>
    <row r="4852" spans="20:20">
      <c r="T4852" t="str">
        <f t="shared" si="87"/>
        <v/>
      </c>
    </row>
    <row r="4853" spans="20:20">
      <c r="T4853" t="str">
        <f t="shared" si="87"/>
        <v/>
      </c>
    </row>
    <row r="4854" spans="20:20">
      <c r="T4854" t="str">
        <f t="shared" si="87"/>
        <v/>
      </c>
    </row>
    <row r="4855" spans="20:20">
      <c r="T4855" t="str">
        <f t="shared" si="87"/>
        <v/>
      </c>
    </row>
    <row r="4856" spans="20:20">
      <c r="T4856" t="str">
        <f t="shared" si="87"/>
        <v/>
      </c>
    </row>
    <row r="4857" spans="20:20">
      <c r="T4857" t="str">
        <f t="shared" si="87"/>
        <v/>
      </c>
    </row>
    <row r="4858" spans="20:20">
      <c r="T4858" t="str">
        <f t="shared" si="87"/>
        <v/>
      </c>
    </row>
    <row r="4859" spans="20:20">
      <c r="T4859" t="str">
        <f t="shared" si="87"/>
        <v/>
      </c>
    </row>
    <row r="4860" spans="20:20">
      <c r="T4860" t="str">
        <f t="shared" si="87"/>
        <v/>
      </c>
    </row>
    <row r="4861" spans="20:20">
      <c r="T4861" t="str">
        <f t="shared" si="87"/>
        <v/>
      </c>
    </row>
    <row r="4862" spans="20:20">
      <c r="T4862" t="str">
        <f t="shared" si="87"/>
        <v/>
      </c>
    </row>
    <row r="4863" spans="20:20">
      <c r="T4863" t="str">
        <f t="shared" si="87"/>
        <v/>
      </c>
    </row>
    <row r="4864" spans="20:20">
      <c r="T4864" t="str">
        <f t="shared" si="87"/>
        <v/>
      </c>
    </row>
    <row r="4865" spans="20:20">
      <c r="T4865" t="str">
        <f t="shared" si="87"/>
        <v/>
      </c>
    </row>
    <row r="4866" spans="20:20">
      <c r="T4866" t="str">
        <f t="shared" ref="T4866:T4929" si="88">IF(C4866="","",UPPER(LEFT(SUBSTITUTE(C4866," ",""),3))&amp;"-"&amp;TEXT(B4866,"AAMMDD")&amp;"-1")</f>
        <v/>
      </c>
    </row>
    <row r="4867" spans="20:20">
      <c r="T4867" t="str">
        <f t="shared" si="88"/>
        <v/>
      </c>
    </row>
    <row r="4868" spans="20:20">
      <c r="T4868" t="str">
        <f t="shared" si="88"/>
        <v/>
      </c>
    </row>
    <row r="4869" spans="20:20">
      <c r="T4869" t="str">
        <f t="shared" si="88"/>
        <v/>
      </c>
    </row>
    <row r="4870" spans="20:20">
      <c r="T4870" t="str">
        <f t="shared" si="88"/>
        <v/>
      </c>
    </row>
    <row r="4871" spans="20:20">
      <c r="T4871" t="str">
        <f t="shared" si="88"/>
        <v/>
      </c>
    </row>
    <row r="4872" spans="20:20">
      <c r="T4872" t="str">
        <f t="shared" si="88"/>
        <v/>
      </c>
    </row>
    <row r="4873" spans="20:20">
      <c r="T4873" t="str">
        <f t="shared" si="88"/>
        <v/>
      </c>
    </row>
    <row r="4874" spans="20:20">
      <c r="T4874" t="str">
        <f t="shared" si="88"/>
        <v/>
      </c>
    </row>
    <row r="4875" spans="20:20">
      <c r="T4875" t="str">
        <f t="shared" si="88"/>
        <v/>
      </c>
    </row>
    <row r="4876" spans="20:20">
      <c r="T4876" t="str">
        <f t="shared" si="88"/>
        <v/>
      </c>
    </row>
    <row r="4877" spans="20:20">
      <c r="T4877" t="str">
        <f t="shared" si="88"/>
        <v/>
      </c>
    </row>
    <row r="4878" spans="20:20">
      <c r="T4878" t="str">
        <f t="shared" si="88"/>
        <v/>
      </c>
    </row>
    <row r="4879" spans="20:20">
      <c r="T4879" t="str">
        <f t="shared" si="88"/>
        <v/>
      </c>
    </row>
    <row r="4880" spans="20:20">
      <c r="T4880" t="str">
        <f t="shared" si="88"/>
        <v/>
      </c>
    </row>
    <row r="4881" spans="20:20">
      <c r="T4881" t="str">
        <f t="shared" si="88"/>
        <v/>
      </c>
    </row>
    <row r="4882" spans="20:20">
      <c r="T4882" t="str">
        <f t="shared" si="88"/>
        <v/>
      </c>
    </row>
    <row r="4883" spans="20:20">
      <c r="T4883" t="str">
        <f t="shared" si="88"/>
        <v/>
      </c>
    </row>
    <row r="4884" spans="20:20">
      <c r="T4884" t="str">
        <f t="shared" si="88"/>
        <v/>
      </c>
    </row>
    <row r="4885" spans="20:20">
      <c r="T4885" t="str">
        <f t="shared" si="88"/>
        <v/>
      </c>
    </row>
    <row r="4886" spans="20:20">
      <c r="T4886" t="str">
        <f t="shared" si="88"/>
        <v/>
      </c>
    </row>
    <row r="4887" spans="20:20">
      <c r="T4887" t="str">
        <f t="shared" si="88"/>
        <v/>
      </c>
    </row>
    <row r="4888" spans="20:20">
      <c r="T4888" t="str">
        <f t="shared" si="88"/>
        <v/>
      </c>
    </row>
    <row r="4889" spans="20:20">
      <c r="T4889" t="str">
        <f t="shared" si="88"/>
        <v/>
      </c>
    </row>
    <row r="4890" spans="20:20">
      <c r="T4890" t="str">
        <f t="shared" si="88"/>
        <v/>
      </c>
    </row>
    <row r="4891" spans="20:20">
      <c r="T4891" t="str">
        <f t="shared" si="88"/>
        <v/>
      </c>
    </row>
    <row r="4892" spans="20:20">
      <c r="T4892" t="str">
        <f t="shared" si="88"/>
        <v/>
      </c>
    </row>
    <row r="4893" spans="20:20">
      <c r="T4893" t="str">
        <f t="shared" si="88"/>
        <v/>
      </c>
    </row>
    <row r="4894" spans="20:20">
      <c r="T4894" t="str">
        <f t="shared" si="88"/>
        <v/>
      </c>
    </row>
    <row r="4895" spans="20:20">
      <c r="T4895" t="str">
        <f t="shared" si="88"/>
        <v/>
      </c>
    </row>
    <row r="4896" spans="20:20">
      <c r="T4896" t="str">
        <f t="shared" si="88"/>
        <v/>
      </c>
    </row>
    <row r="4897" spans="20:20">
      <c r="T4897" t="str">
        <f t="shared" si="88"/>
        <v/>
      </c>
    </row>
    <row r="4898" spans="20:20">
      <c r="T4898" t="str">
        <f t="shared" si="88"/>
        <v/>
      </c>
    </row>
    <row r="4899" spans="20:20">
      <c r="T4899" t="str">
        <f t="shared" si="88"/>
        <v/>
      </c>
    </row>
    <row r="4900" spans="20:20">
      <c r="T4900" t="str">
        <f t="shared" si="88"/>
        <v/>
      </c>
    </row>
    <row r="4901" spans="20:20">
      <c r="T4901" t="str">
        <f t="shared" si="88"/>
        <v/>
      </c>
    </row>
    <row r="4902" spans="20:20">
      <c r="T4902" t="str">
        <f t="shared" si="88"/>
        <v/>
      </c>
    </row>
    <row r="4903" spans="20:20">
      <c r="T4903" t="str">
        <f t="shared" si="88"/>
        <v/>
      </c>
    </row>
    <row r="4904" spans="20:20">
      <c r="T4904" t="str">
        <f t="shared" si="88"/>
        <v/>
      </c>
    </row>
    <row r="4905" spans="20:20">
      <c r="T4905" t="str">
        <f t="shared" si="88"/>
        <v/>
      </c>
    </row>
    <row r="4906" spans="20:20">
      <c r="T4906" t="str">
        <f t="shared" si="88"/>
        <v/>
      </c>
    </row>
    <row r="4907" spans="20:20">
      <c r="T4907" t="str">
        <f t="shared" si="88"/>
        <v/>
      </c>
    </row>
    <row r="4908" spans="20:20">
      <c r="T4908" t="str">
        <f t="shared" si="88"/>
        <v/>
      </c>
    </row>
    <row r="4909" spans="20:20">
      <c r="T4909" t="str">
        <f t="shared" si="88"/>
        <v/>
      </c>
    </row>
    <row r="4910" spans="20:20">
      <c r="T4910" t="str">
        <f t="shared" si="88"/>
        <v/>
      </c>
    </row>
    <row r="4911" spans="20:20">
      <c r="T4911" t="str">
        <f t="shared" si="88"/>
        <v/>
      </c>
    </row>
    <row r="4912" spans="20:20">
      <c r="T4912" t="str">
        <f t="shared" si="88"/>
        <v/>
      </c>
    </row>
    <row r="4913" spans="20:20">
      <c r="T4913" t="str">
        <f t="shared" si="88"/>
        <v/>
      </c>
    </row>
    <row r="4914" spans="20:20">
      <c r="T4914" t="str">
        <f t="shared" si="88"/>
        <v/>
      </c>
    </row>
    <row r="4915" spans="20:20">
      <c r="T4915" t="str">
        <f t="shared" si="88"/>
        <v/>
      </c>
    </row>
    <row r="4916" spans="20:20">
      <c r="T4916" t="str">
        <f t="shared" si="88"/>
        <v/>
      </c>
    </row>
    <row r="4917" spans="20:20">
      <c r="T4917" t="str">
        <f t="shared" si="88"/>
        <v/>
      </c>
    </row>
    <row r="4918" spans="20:20">
      <c r="T4918" t="str">
        <f t="shared" si="88"/>
        <v/>
      </c>
    </row>
    <row r="4919" spans="20:20">
      <c r="T4919" t="str">
        <f t="shared" si="88"/>
        <v/>
      </c>
    </row>
    <row r="4920" spans="20:20">
      <c r="T4920" t="str">
        <f t="shared" si="88"/>
        <v/>
      </c>
    </row>
    <row r="4921" spans="20:20">
      <c r="T4921" t="str">
        <f t="shared" si="88"/>
        <v/>
      </c>
    </row>
    <row r="4922" spans="20:20">
      <c r="T4922" t="str">
        <f t="shared" si="88"/>
        <v/>
      </c>
    </row>
    <row r="4923" spans="20:20">
      <c r="T4923" t="str">
        <f t="shared" si="88"/>
        <v/>
      </c>
    </row>
    <row r="4924" spans="20:20">
      <c r="T4924" t="str">
        <f t="shared" si="88"/>
        <v/>
      </c>
    </row>
    <row r="4925" spans="20:20">
      <c r="T4925" t="str">
        <f t="shared" si="88"/>
        <v/>
      </c>
    </row>
    <row r="4926" spans="20:20">
      <c r="T4926" t="str">
        <f t="shared" si="88"/>
        <v/>
      </c>
    </row>
    <row r="4927" spans="20:20">
      <c r="T4927" t="str">
        <f t="shared" si="88"/>
        <v/>
      </c>
    </row>
    <row r="4928" spans="20:20">
      <c r="T4928" t="str">
        <f t="shared" si="88"/>
        <v/>
      </c>
    </row>
    <row r="4929" spans="20:20">
      <c r="T4929" t="str">
        <f t="shared" si="88"/>
        <v/>
      </c>
    </row>
    <row r="4930" spans="20:20">
      <c r="T4930" t="str">
        <f t="shared" ref="T4930:T4993" si="89">IF(C4930="","",UPPER(LEFT(SUBSTITUTE(C4930," ",""),3))&amp;"-"&amp;TEXT(B4930,"AAMMDD")&amp;"-1")</f>
        <v/>
      </c>
    </row>
    <row r="4931" spans="20:20">
      <c r="T4931" t="str">
        <f t="shared" si="89"/>
        <v/>
      </c>
    </row>
    <row r="4932" spans="20:20">
      <c r="T4932" t="str">
        <f t="shared" si="89"/>
        <v/>
      </c>
    </row>
    <row r="4933" spans="20:20">
      <c r="T4933" t="str">
        <f t="shared" si="89"/>
        <v/>
      </c>
    </row>
    <row r="4934" spans="20:20">
      <c r="T4934" t="str">
        <f t="shared" si="89"/>
        <v/>
      </c>
    </row>
    <row r="4935" spans="20:20">
      <c r="T4935" t="str">
        <f t="shared" si="89"/>
        <v/>
      </c>
    </row>
    <row r="4936" spans="20:20">
      <c r="T4936" t="str">
        <f t="shared" si="89"/>
        <v/>
      </c>
    </row>
    <row r="4937" spans="20:20">
      <c r="T4937" t="str">
        <f t="shared" si="89"/>
        <v/>
      </c>
    </row>
    <row r="4938" spans="20:20">
      <c r="T4938" t="str">
        <f t="shared" si="89"/>
        <v/>
      </c>
    </row>
    <row r="4939" spans="20:20">
      <c r="T4939" t="str">
        <f t="shared" si="89"/>
        <v/>
      </c>
    </row>
    <row r="4940" spans="20:20">
      <c r="T4940" t="str">
        <f t="shared" si="89"/>
        <v/>
      </c>
    </row>
    <row r="4941" spans="20:20">
      <c r="T4941" t="str">
        <f t="shared" si="89"/>
        <v/>
      </c>
    </row>
    <row r="4942" spans="20:20">
      <c r="T4942" t="str">
        <f t="shared" si="89"/>
        <v/>
      </c>
    </row>
    <row r="4943" spans="20:20">
      <c r="T4943" t="str">
        <f t="shared" si="89"/>
        <v/>
      </c>
    </row>
    <row r="4944" spans="20:20">
      <c r="T4944" t="str">
        <f t="shared" si="89"/>
        <v/>
      </c>
    </row>
    <row r="4945" spans="20:20">
      <c r="T4945" t="str">
        <f t="shared" si="89"/>
        <v/>
      </c>
    </row>
    <row r="4946" spans="20:20">
      <c r="T4946" t="str">
        <f t="shared" si="89"/>
        <v/>
      </c>
    </row>
    <row r="4947" spans="20:20">
      <c r="T4947" t="str">
        <f t="shared" si="89"/>
        <v/>
      </c>
    </row>
    <row r="4948" spans="20:20">
      <c r="T4948" t="str">
        <f t="shared" si="89"/>
        <v/>
      </c>
    </row>
    <row r="4949" spans="20:20">
      <c r="T4949" t="str">
        <f t="shared" si="89"/>
        <v/>
      </c>
    </row>
    <row r="4950" spans="20:20">
      <c r="T4950" t="str">
        <f t="shared" si="89"/>
        <v/>
      </c>
    </row>
    <row r="4951" spans="20:20">
      <c r="T4951" t="str">
        <f t="shared" si="89"/>
        <v/>
      </c>
    </row>
    <row r="4952" spans="20:20">
      <c r="T4952" t="str">
        <f t="shared" si="89"/>
        <v/>
      </c>
    </row>
    <row r="4953" spans="20:20">
      <c r="T4953" t="str">
        <f t="shared" si="89"/>
        <v/>
      </c>
    </row>
    <row r="4954" spans="20:20">
      <c r="T4954" t="str">
        <f t="shared" si="89"/>
        <v/>
      </c>
    </row>
    <row r="4955" spans="20:20">
      <c r="T4955" t="str">
        <f t="shared" si="89"/>
        <v/>
      </c>
    </row>
    <row r="4956" spans="20:20">
      <c r="T4956" t="str">
        <f t="shared" si="89"/>
        <v/>
      </c>
    </row>
    <row r="4957" spans="20:20">
      <c r="T4957" t="str">
        <f t="shared" si="89"/>
        <v/>
      </c>
    </row>
    <row r="4958" spans="20:20">
      <c r="T4958" t="str">
        <f t="shared" si="89"/>
        <v/>
      </c>
    </row>
    <row r="4959" spans="20:20">
      <c r="T4959" t="str">
        <f t="shared" si="89"/>
        <v/>
      </c>
    </row>
    <row r="4960" spans="20:20">
      <c r="T4960" t="str">
        <f t="shared" si="89"/>
        <v/>
      </c>
    </row>
    <row r="4961" spans="20:20">
      <c r="T4961" t="str">
        <f t="shared" si="89"/>
        <v/>
      </c>
    </row>
    <row r="4962" spans="20:20">
      <c r="T4962" t="str">
        <f t="shared" si="89"/>
        <v/>
      </c>
    </row>
    <row r="4963" spans="20:20">
      <c r="T4963" t="str">
        <f t="shared" si="89"/>
        <v/>
      </c>
    </row>
    <row r="4964" spans="20:20">
      <c r="T4964" t="str">
        <f t="shared" si="89"/>
        <v/>
      </c>
    </row>
    <row r="4965" spans="20:20">
      <c r="T4965" t="str">
        <f t="shared" si="89"/>
        <v/>
      </c>
    </row>
    <row r="4966" spans="20:20">
      <c r="T4966" t="str">
        <f t="shared" si="89"/>
        <v/>
      </c>
    </row>
    <row r="4967" spans="20:20">
      <c r="T4967" t="str">
        <f t="shared" si="89"/>
        <v/>
      </c>
    </row>
    <row r="4968" spans="20:20">
      <c r="T4968" t="str">
        <f t="shared" si="89"/>
        <v/>
      </c>
    </row>
    <row r="4969" spans="20:20">
      <c r="T4969" t="str">
        <f t="shared" si="89"/>
        <v/>
      </c>
    </row>
    <row r="4970" spans="20:20">
      <c r="T4970" t="str">
        <f t="shared" si="89"/>
        <v/>
      </c>
    </row>
    <row r="4971" spans="20:20">
      <c r="T4971" t="str">
        <f t="shared" si="89"/>
        <v/>
      </c>
    </row>
    <row r="4972" spans="20:20">
      <c r="T4972" t="str">
        <f t="shared" si="89"/>
        <v/>
      </c>
    </row>
    <row r="4973" spans="20:20">
      <c r="T4973" t="str">
        <f t="shared" si="89"/>
        <v/>
      </c>
    </row>
    <row r="4974" spans="20:20">
      <c r="T4974" t="str">
        <f t="shared" si="89"/>
        <v/>
      </c>
    </row>
    <row r="4975" spans="20:20">
      <c r="T4975" t="str">
        <f t="shared" si="89"/>
        <v/>
      </c>
    </row>
    <row r="4976" spans="20:20">
      <c r="T4976" t="str">
        <f t="shared" si="89"/>
        <v/>
      </c>
    </row>
    <row r="4977" spans="20:20">
      <c r="T4977" t="str">
        <f t="shared" si="89"/>
        <v/>
      </c>
    </row>
    <row r="4978" spans="20:20">
      <c r="T4978" t="str">
        <f t="shared" si="89"/>
        <v/>
      </c>
    </row>
    <row r="4979" spans="20:20">
      <c r="T4979" t="str">
        <f t="shared" si="89"/>
        <v/>
      </c>
    </row>
    <row r="4980" spans="20:20">
      <c r="T4980" t="str">
        <f t="shared" si="89"/>
        <v/>
      </c>
    </row>
    <row r="4981" spans="20:20">
      <c r="T4981" t="str">
        <f t="shared" si="89"/>
        <v/>
      </c>
    </row>
    <row r="4982" spans="20:20">
      <c r="T4982" t="str">
        <f t="shared" si="89"/>
        <v/>
      </c>
    </row>
    <row r="4983" spans="20:20">
      <c r="T4983" t="str">
        <f t="shared" si="89"/>
        <v/>
      </c>
    </row>
    <row r="4984" spans="20:20">
      <c r="T4984" t="str">
        <f t="shared" si="89"/>
        <v/>
      </c>
    </row>
    <row r="4985" spans="20:20">
      <c r="T4985" t="str">
        <f t="shared" si="89"/>
        <v/>
      </c>
    </row>
    <row r="4986" spans="20:20">
      <c r="T4986" t="str">
        <f t="shared" si="89"/>
        <v/>
      </c>
    </row>
    <row r="4987" spans="20:20">
      <c r="T4987" t="str">
        <f t="shared" si="89"/>
        <v/>
      </c>
    </row>
    <row r="4988" spans="20:20">
      <c r="T4988" t="str">
        <f t="shared" si="89"/>
        <v/>
      </c>
    </row>
    <row r="4989" spans="20:20">
      <c r="T4989" t="str">
        <f t="shared" si="89"/>
        <v/>
      </c>
    </row>
    <row r="4990" spans="20:20">
      <c r="T4990" t="str">
        <f t="shared" si="89"/>
        <v/>
      </c>
    </row>
    <row r="4991" spans="20:20">
      <c r="T4991" t="str">
        <f t="shared" si="89"/>
        <v/>
      </c>
    </row>
    <row r="4992" spans="20:20">
      <c r="T4992" t="str">
        <f t="shared" si="89"/>
        <v/>
      </c>
    </row>
    <row r="4993" spans="20:20">
      <c r="T4993" t="str">
        <f t="shared" si="89"/>
        <v/>
      </c>
    </row>
    <row r="4994" spans="20:20">
      <c r="T4994" t="str">
        <f t="shared" ref="T4994:T5057" si="90">IF(C4994="","",UPPER(LEFT(SUBSTITUTE(C4994," ",""),3))&amp;"-"&amp;TEXT(B4994,"AAMMDD")&amp;"-1")</f>
        <v/>
      </c>
    </row>
    <row r="4995" spans="20:20">
      <c r="T4995" t="str">
        <f t="shared" si="90"/>
        <v/>
      </c>
    </row>
    <row r="4996" spans="20:20">
      <c r="T4996" t="str">
        <f t="shared" si="90"/>
        <v/>
      </c>
    </row>
    <row r="4997" spans="20:20">
      <c r="T4997" t="str">
        <f t="shared" si="90"/>
        <v/>
      </c>
    </row>
    <row r="4998" spans="20:20">
      <c r="T4998" t="str">
        <f t="shared" si="90"/>
        <v/>
      </c>
    </row>
    <row r="4999" spans="20:20">
      <c r="T4999" t="str">
        <f t="shared" si="90"/>
        <v/>
      </c>
    </row>
    <row r="5000" spans="20:20">
      <c r="T5000" t="str">
        <f t="shared" si="90"/>
        <v/>
      </c>
    </row>
    <row r="5001" spans="20:20">
      <c r="T5001" t="str">
        <f t="shared" si="90"/>
        <v/>
      </c>
    </row>
    <row r="5002" spans="20:20">
      <c r="T5002" t="str">
        <f t="shared" si="90"/>
        <v/>
      </c>
    </row>
    <row r="5003" spans="20:20">
      <c r="T5003" t="str">
        <f t="shared" si="90"/>
        <v/>
      </c>
    </row>
    <row r="5004" spans="20:20">
      <c r="T5004" t="str">
        <f t="shared" si="90"/>
        <v/>
      </c>
    </row>
    <row r="5005" spans="20:20">
      <c r="T5005" t="str">
        <f t="shared" si="90"/>
        <v/>
      </c>
    </row>
    <row r="5006" spans="20:20">
      <c r="T5006" t="str">
        <f t="shared" si="90"/>
        <v/>
      </c>
    </row>
    <row r="5007" spans="20:20">
      <c r="T5007" t="str">
        <f t="shared" si="90"/>
        <v/>
      </c>
    </row>
    <row r="5008" spans="20:20">
      <c r="T5008" t="str">
        <f t="shared" si="90"/>
        <v/>
      </c>
    </row>
    <row r="5009" spans="20:20">
      <c r="T5009" t="str">
        <f t="shared" si="90"/>
        <v/>
      </c>
    </row>
    <row r="5010" spans="20:20">
      <c r="T5010" t="str">
        <f t="shared" si="90"/>
        <v/>
      </c>
    </row>
    <row r="5011" spans="20:20">
      <c r="T5011" t="str">
        <f t="shared" si="90"/>
        <v/>
      </c>
    </row>
    <row r="5012" spans="20:20">
      <c r="T5012" t="str">
        <f t="shared" si="90"/>
        <v/>
      </c>
    </row>
    <row r="5013" spans="20:20">
      <c r="T5013" t="str">
        <f t="shared" si="90"/>
        <v/>
      </c>
    </row>
    <row r="5014" spans="20:20">
      <c r="T5014" t="str">
        <f t="shared" si="90"/>
        <v/>
      </c>
    </row>
    <row r="5015" spans="20:20">
      <c r="T5015" t="str">
        <f t="shared" si="90"/>
        <v/>
      </c>
    </row>
    <row r="5016" spans="20:20">
      <c r="T5016" t="str">
        <f t="shared" si="90"/>
        <v/>
      </c>
    </row>
    <row r="5017" spans="20:20">
      <c r="T5017" t="str">
        <f t="shared" si="90"/>
        <v/>
      </c>
    </row>
    <row r="5018" spans="20:20">
      <c r="T5018" t="str">
        <f t="shared" si="90"/>
        <v/>
      </c>
    </row>
    <row r="5019" spans="20:20">
      <c r="T5019" t="str">
        <f t="shared" si="90"/>
        <v/>
      </c>
    </row>
    <row r="5020" spans="20:20">
      <c r="T5020" t="str">
        <f t="shared" si="90"/>
        <v/>
      </c>
    </row>
    <row r="5021" spans="20:20">
      <c r="T5021" t="str">
        <f t="shared" si="90"/>
        <v/>
      </c>
    </row>
    <row r="5022" spans="20:20">
      <c r="T5022" t="str">
        <f t="shared" si="90"/>
        <v/>
      </c>
    </row>
    <row r="5023" spans="20:20">
      <c r="T5023" t="str">
        <f t="shared" si="90"/>
        <v/>
      </c>
    </row>
    <row r="5024" spans="20:20">
      <c r="T5024" t="str">
        <f t="shared" si="90"/>
        <v/>
      </c>
    </row>
    <row r="5025" spans="20:20">
      <c r="T5025" t="str">
        <f t="shared" si="90"/>
        <v/>
      </c>
    </row>
    <row r="5026" spans="20:20">
      <c r="T5026" t="str">
        <f t="shared" si="90"/>
        <v/>
      </c>
    </row>
    <row r="5027" spans="20:20">
      <c r="T5027" t="str">
        <f t="shared" si="90"/>
        <v/>
      </c>
    </row>
    <row r="5028" spans="20:20">
      <c r="T5028" t="str">
        <f t="shared" si="90"/>
        <v/>
      </c>
    </row>
    <row r="5029" spans="20:20">
      <c r="T5029" t="str">
        <f t="shared" si="90"/>
        <v/>
      </c>
    </row>
    <row r="5030" spans="20:20">
      <c r="T5030" t="str">
        <f t="shared" si="90"/>
        <v/>
      </c>
    </row>
    <row r="5031" spans="20:20">
      <c r="T5031" t="str">
        <f t="shared" si="90"/>
        <v/>
      </c>
    </row>
    <row r="5032" spans="20:20">
      <c r="T5032" t="str">
        <f t="shared" si="90"/>
        <v/>
      </c>
    </row>
    <row r="5033" spans="20:20">
      <c r="T5033" t="str">
        <f t="shared" si="90"/>
        <v/>
      </c>
    </row>
    <row r="5034" spans="20:20">
      <c r="T5034" t="str">
        <f t="shared" si="90"/>
        <v/>
      </c>
    </row>
    <row r="5035" spans="20:20">
      <c r="T5035" t="str">
        <f t="shared" si="90"/>
        <v/>
      </c>
    </row>
    <row r="5036" spans="20:20">
      <c r="T5036" t="str">
        <f t="shared" si="90"/>
        <v/>
      </c>
    </row>
    <row r="5037" spans="20:20">
      <c r="T5037" t="str">
        <f t="shared" si="90"/>
        <v/>
      </c>
    </row>
    <row r="5038" spans="20:20">
      <c r="T5038" t="str">
        <f t="shared" si="90"/>
        <v/>
      </c>
    </row>
    <row r="5039" spans="20:20">
      <c r="T5039" t="str">
        <f t="shared" si="90"/>
        <v/>
      </c>
    </row>
    <row r="5040" spans="20:20">
      <c r="T5040" t="str">
        <f t="shared" si="90"/>
        <v/>
      </c>
    </row>
    <row r="5041" spans="20:20">
      <c r="T5041" t="str">
        <f t="shared" si="90"/>
        <v/>
      </c>
    </row>
    <row r="5042" spans="20:20">
      <c r="T5042" t="str">
        <f t="shared" si="90"/>
        <v/>
      </c>
    </row>
    <row r="5043" spans="20:20">
      <c r="T5043" t="str">
        <f t="shared" si="90"/>
        <v/>
      </c>
    </row>
    <row r="5044" spans="20:20">
      <c r="T5044" t="str">
        <f t="shared" si="90"/>
        <v/>
      </c>
    </row>
    <row r="5045" spans="20:20">
      <c r="T5045" t="str">
        <f t="shared" si="90"/>
        <v/>
      </c>
    </row>
    <row r="5046" spans="20:20">
      <c r="T5046" t="str">
        <f t="shared" si="90"/>
        <v/>
      </c>
    </row>
    <row r="5047" spans="20:20">
      <c r="T5047" t="str">
        <f t="shared" si="90"/>
        <v/>
      </c>
    </row>
    <row r="5048" spans="20:20">
      <c r="T5048" t="str">
        <f t="shared" si="90"/>
        <v/>
      </c>
    </row>
    <row r="5049" spans="20:20">
      <c r="T5049" t="str">
        <f t="shared" si="90"/>
        <v/>
      </c>
    </row>
    <row r="5050" spans="20:20">
      <c r="T5050" t="str">
        <f t="shared" si="90"/>
        <v/>
      </c>
    </row>
    <row r="5051" spans="20:20">
      <c r="T5051" t="str">
        <f t="shared" si="90"/>
        <v/>
      </c>
    </row>
    <row r="5052" spans="20:20">
      <c r="T5052" t="str">
        <f t="shared" si="90"/>
        <v/>
      </c>
    </row>
    <row r="5053" spans="20:20">
      <c r="T5053" t="str">
        <f t="shared" si="90"/>
        <v/>
      </c>
    </row>
    <row r="5054" spans="20:20">
      <c r="T5054" t="str">
        <f t="shared" si="90"/>
        <v/>
      </c>
    </row>
    <row r="5055" spans="20:20">
      <c r="T5055" t="str">
        <f t="shared" si="90"/>
        <v/>
      </c>
    </row>
    <row r="5056" spans="20:20">
      <c r="T5056" t="str">
        <f t="shared" si="90"/>
        <v/>
      </c>
    </row>
    <row r="5057" spans="20:20">
      <c r="T5057" t="str">
        <f t="shared" si="90"/>
        <v/>
      </c>
    </row>
    <row r="5058" spans="20:20">
      <c r="T5058" t="str">
        <f t="shared" ref="T5058:T5121" si="91">IF(C5058="","",UPPER(LEFT(SUBSTITUTE(C5058," ",""),3))&amp;"-"&amp;TEXT(B5058,"AAMMDD")&amp;"-1")</f>
        <v/>
      </c>
    </row>
    <row r="5059" spans="20:20">
      <c r="T5059" t="str">
        <f t="shared" si="91"/>
        <v/>
      </c>
    </row>
    <row r="5060" spans="20:20">
      <c r="T5060" t="str">
        <f t="shared" si="91"/>
        <v/>
      </c>
    </row>
    <row r="5061" spans="20:20">
      <c r="T5061" t="str">
        <f t="shared" si="91"/>
        <v/>
      </c>
    </row>
    <row r="5062" spans="20:20">
      <c r="T5062" t="str">
        <f t="shared" si="91"/>
        <v/>
      </c>
    </row>
    <row r="5063" spans="20:20">
      <c r="T5063" t="str">
        <f t="shared" si="91"/>
        <v/>
      </c>
    </row>
    <row r="5064" spans="20:20">
      <c r="T5064" t="str">
        <f t="shared" si="91"/>
        <v/>
      </c>
    </row>
    <row r="5065" spans="20:20">
      <c r="T5065" t="str">
        <f t="shared" si="91"/>
        <v/>
      </c>
    </row>
    <row r="5066" spans="20:20">
      <c r="T5066" t="str">
        <f t="shared" si="91"/>
        <v/>
      </c>
    </row>
    <row r="5067" spans="20:20">
      <c r="T5067" t="str">
        <f t="shared" si="91"/>
        <v/>
      </c>
    </row>
    <row r="5068" spans="20:20">
      <c r="T5068" t="str">
        <f t="shared" si="91"/>
        <v/>
      </c>
    </row>
    <row r="5069" spans="20:20">
      <c r="T5069" t="str">
        <f t="shared" si="91"/>
        <v/>
      </c>
    </row>
    <row r="5070" spans="20:20">
      <c r="T5070" t="str">
        <f t="shared" si="91"/>
        <v/>
      </c>
    </row>
    <row r="5071" spans="20:20">
      <c r="T5071" t="str">
        <f t="shared" si="91"/>
        <v/>
      </c>
    </row>
    <row r="5072" spans="20:20">
      <c r="T5072" t="str">
        <f t="shared" si="91"/>
        <v/>
      </c>
    </row>
    <row r="5073" spans="20:20">
      <c r="T5073" t="str">
        <f t="shared" si="91"/>
        <v/>
      </c>
    </row>
    <row r="5074" spans="20:20">
      <c r="T5074" t="str">
        <f t="shared" si="91"/>
        <v/>
      </c>
    </row>
    <row r="5075" spans="20:20">
      <c r="T5075" t="str">
        <f t="shared" si="91"/>
        <v/>
      </c>
    </row>
    <row r="5076" spans="20:20">
      <c r="T5076" t="str">
        <f t="shared" si="91"/>
        <v/>
      </c>
    </row>
    <row r="5077" spans="20:20">
      <c r="T5077" t="str">
        <f t="shared" si="91"/>
        <v/>
      </c>
    </row>
    <row r="5078" spans="20:20">
      <c r="T5078" t="str">
        <f t="shared" si="91"/>
        <v/>
      </c>
    </row>
    <row r="5079" spans="20:20">
      <c r="T5079" t="str">
        <f t="shared" si="91"/>
        <v/>
      </c>
    </row>
    <row r="5080" spans="20:20">
      <c r="T5080" t="str">
        <f t="shared" si="91"/>
        <v/>
      </c>
    </row>
    <row r="5081" spans="20:20">
      <c r="T5081" t="str">
        <f t="shared" si="91"/>
        <v/>
      </c>
    </row>
    <row r="5082" spans="20:20">
      <c r="T5082" t="str">
        <f t="shared" si="91"/>
        <v/>
      </c>
    </row>
    <row r="5083" spans="20:20">
      <c r="T5083" t="str">
        <f t="shared" si="91"/>
        <v/>
      </c>
    </row>
    <row r="5084" spans="20:20">
      <c r="T5084" t="str">
        <f t="shared" si="91"/>
        <v/>
      </c>
    </row>
    <row r="5085" spans="20:20">
      <c r="T5085" t="str">
        <f t="shared" si="91"/>
        <v/>
      </c>
    </row>
    <row r="5086" spans="20:20">
      <c r="T5086" t="str">
        <f t="shared" si="91"/>
        <v/>
      </c>
    </row>
    <row r="5087" spans="20:20">
      <c r="T5087" t="str">
        <f t="shared" si="91"/>
        <v/>
      </c>
    </row>
    <row r="5088" spans="20:20">
      <c r="T5088" t="str">
        <f t="shared" si="91"/>
        <v/>
      </c>
    </row>
    <row r="5089" spans="20:20">
      <c r="T5089" t="str">
        <f t="shared" si="91"/>
        <v/>
      </c>
    </row>
    <row r="5090" spans="20:20">
      <c r="T5090" t="str">
        <f t="shared" si="91"/>
        <v/>
      </c>
    </row>
    <row r="5091" spans="20:20">
      <c r="T5091" t="str">
        <f t="shared" si="91"/>
        <v/>
      </c>
    </row>
    <row r="5092" spans="20:20">
      <c r="T5092" t="str">
        <f t="shared" si="91"/>
        <v/>
      </c>
    </row>
    <row r="5093" spans="20:20">
      <c r="T5093" t="str">
        <f t="shared" si="91"/>
        <v/>
      </c>
    </row>
    <row r="5094" spans="20:20">
      <c r="T5094" t="str">
        <f t="shared" si="91"/>
        <v/>
      </c>
    </row>
    <row r="5095" spans="20:20">
      <c r="T5095" t="str">
        <f t="shared" si="91"/>
        <v/>
      </c>
    </row>
    <row r="5096" spans="20:20">
      <c r="T5096" t="str">
        <f t="shared" si="91"/>
        <v/>
      </c>
    </row>
    <row r="5097" spans="20:20">
      <c r="T5097" t="str">
        <f t="shared" si="91"/>
        <v/>
      </c>
    </row>
    <row r="5098" spans="20:20">
      <c r="T5098" t="str">
        <f t="shared" si="91"/>
        <v/>
      </c>
    </row>
    <row r="5099" spans="20:20">
      <c r="T5099" t="str">
        <f t="shared" si="91"/>
        <v/>
      </c>
    </row>
    <row r="5100" spans="20:20">
      <c r="T5100" t="str">
        <f t="shared" si="91"/>
        <v/>
      </c>
    </row>
    <row r="5101" spans="20:20">
      <c r="T5101" t="str">
        <f t="shared" si="91"/>
        <v/>
      </c>
    </row>
    <row r="5102" spans="20:20">
      <c r="T5102" t="str">
        <f t="shared" si="91"/>
        <v/>
      </c>
    </row>
    <row r="5103" spans="20:20">
      <c r="T5103" t="str">
        <f t="shared" si="91"/>
        <v/>
      </c>
    </row>
    <row r="5104" spans="20:20">
      <c r="T5104" t="str">
        <f t="shared" si="91"/>
        <v/>
      </c>
    </row>
    <row r="5105" spans="20:20">
      <c r="T5105" t="str">
        <f t="shared" si="91"/>
        <v/>
      </c>
    </row>
    <row r="5106" spans="20:20">
      <c r="T5106" t="str">
        <f t="shared" si="91"/>
        <v/>
      </c>
    </row>
    <row r="5107" spans="20:20">
      <c r="T5107" t="str">
        <f t="shared" si="91"/>
        <v/>
      </c>
    </row>
    <row r="5108" spans="20:20">
      <c r="T5108" t="str">
        <f t="shared" si="91"/>
        <v/>
      </c>
    </row>
    <row r="5109" spans="20:20">
      <c r="T5109" t="str">
        <f t="shared" si="91"/>
        <v/>
      </c>
    </row>
    <row r="5110" spans="20:20">
      <c r="T5110" t="str">
        <f t="shared" si="91"/>
        <v/>
      </c>
    </row>
    <row r="5111" spans="20:20">
      <c r="T5111" t="str">
        <f t="shared" si="91"/>
        <v/>
      </c>
    </row>
    <row r="5112" spans="20:20">
      <c r="T5112" t="str">
        <f t="shared" si="91"/>
        <v/>
      </c>
    </row>
    <row r="5113" spans="20:20">
      <c r="T5113" t="str">
        <f t="shared" si="91"/>
        <v/>
      </c>
    </row>
    <row r="5114" spans="20:20">
      <c r="T5114" t="str">
        <f t="shared" si="91"/>
        <v/>
      </c>
    </row>
    <row r="5115" spans="20:20">
      <c r="T5115" t="str">
        <f t="shared" si="91"/>
        <v/>
      </c>
    </row>
    <row r="5116" spans="20:20">
      <c r="T5116" t="str">
        <f t="shared" si="91"/>
        <v/>
      </c>
    </row>
    <row r="5117" spans="20:20">
      <c r="T5117" t="str">
        <f t="shared" si="91"/>
        <v/>
      </c>
    </row>
    <row r="5118" spans="20:20">
      <c r="T5118" t="str">
        <f t="shared" si="91"/>
        <v/>
      </c>
    </row>
    <row r="5119" spans="20:20">
      <c r="T5119" t="str">
        <f t="shared" si="91"/>
        <v/>
      </c>
    </row>
    <row r="5120" spans="20:20">
      <c r="T5120" t="str">
        <f t="shared" si="91"/>
        <v/>
      </c>
    </row>
    <row r="5121" spans="20:20">
      <c r="T5121" t="str">
        <f t="shared" si="91"/>
        <v/>
      </c>
    </row>
    <row r="5122" spans="20:20">
      <c r="T5122" t="str">
        <f t="shared" ref="T5122:T5185" si="92">IF(C5122="","",UPPER(LEFT(SUBSTITUTE(C5122," ",""),3))&amp;"-"&amp;TEXT(B5122,"AAMMDD")&amp;"-1")</f>
        <v/>
      </c>
    </row>
    <row r="5123" spans="20:20">
      <c r="T5123" t="str">
        <f t="shared" si="92"/>
        <v/>
      </c>
    </row>
    <row r="5124" spans="20:20">
      <c r="T5124" t="str">
        <f t="shared" si="92"/>
        <v/>
      </c>
    </row>
    <row r="5125" spans="20:20">
      <c r="T5125" t="str">
        <f t="shared" si="92"/>
        <v/>
      </c>
    </row>
    <row r="5126" spans="20:20">
      <c r="T5126" t="str">
        <f t="shared" si="92"/>
        <v/>
      </c>
    </row>
    <row r="5127" spans="20:20">
      <c r="T5127" t="str">
        <f t="shared" si="92"/>
        <v/>
      </c>
    </row>
    <row r="5128" spans="20:20">
      <c r="T5128" t="str">
        <f t="shared" si="92"/>
        <v/>
      </c>
    </row>
    <row r="5129" spans="20:20">
      <c r="T5129" t="str">
        <f t="shared" si="92"/>
        <v/>
      </c>
    </row>
    <row r="5130" spans="20:20">
      <c r="T5130" t="str">
        <f t="shared" si="92"/>
        <v/>
      </c>
    </row>
    <row r="5131" spans="20:20">
      <c r="T5131" t="str">
        <f t="shared" si="92"/>
        <v/>
      </c>
    </row>
    <row r="5132" spans="20:20">
      <c r="T5132" t="str">
        <f t="shared" si="92"/>
        <v/>
      </c>
    </row>
    <row r="5133" spans="20:20">
      <c r="T5133" t="str">
        <f t="shared" si="92"/>
        <v/>
      </c>
    </row>
    <row r="5134" spans="20:20">
      <c r="T5134" t="str">
        <f t="shared" si="92"/>
        <v/>
      </c>
    </row>
    <row r="5135" spans="20:20">
      <c r="T5135" t="str">
        <f t="shared" si="92"/>
        <v/>
      </c>
    </row>
    <row r="5136" spans="20:20">
      <c r="T5136" t="str">
        <f t="shared" si="92"/>
        <v/>
      </c>
    </row>
    <row r="5137" spans="20:20">
      <c r="T5137" t="str">
        <f t="shared" si="92"/>
        <v/>
      </c>
    </row>
    <row r="5138" spans="20:20">
      <c r="T5138" t="str">
        <f t="shared" si="92"/>
        <v/>
      </c>
    </row>
    <row r="5139" spans="20:20">
      <c r="T5139" t="str">
        <f t="shared" si="92"/>
        <v/>
      </c>
    </row>
    <row r="5140" spans="20:20">
      <c r="T5140" t="str">
        <f t="shared" si="92"/>
        <v/>
      </c>
    </row>
    <row r="5141" spans="20:20">
      <c r="T5141" t="str">
        <f t="shared" si="92"/>
        <v/>
      </c>
    </row>
    <row r="5142" spans="20:20">
      <c r="T5142" t="str">
        <f t="shared" si="92"/>
        <v/>
      </c>
    </row>
    <row r="5143" spans="20:20">
      <c r="T5143" t="str">
        <f t="shared" si="92"/>
        <v/>
      </c>
    </row>
    <row r="5144" spans="20:20">
      <c r="T5144" t="str">
        <f t="shared" si="92"/>
        <v/>
      </c>
    </row>
    <row r="5145" spans="20:20">
      <c r="T5145" t="str">
        <f t="shared" si="92"/>
        <v/>
      </c>
    </row>
    <row r="5146" spans="20:20">
      <c r="T5146" t="str">
        <f t="shared" si="92"/>
        <v/>
      </c>
    </row>
    <row r="5147" spans="20:20">
      <c r="T5147" t="str">
        <f t="shared" si="92"/>
        <v/>
      </c>
    </row>
    <row r="5148" spans="20:20">
      <c r="T5148" t="str">
        <f t="shared" si="92"/>
        <v/>
      </c>
    </row>
    <row r="5149" spans="20:20">
      <c r="T5149" t="str">
        <f t="shared" si="92"/>
        <v/>
      </c>
    </row>
    <row r="5150" spans="20:20">
      <c r="T5150" t="str">
        <f t="shared" si="92"/>
        <v/>
      </c>
    </row>
    <row r="5151" spans="20:20">
      <c r="T5151" t="str">
        <f t="shared" si="92"/>
        <v/>
      </c>
    </row>
    <row r="5152" spans="20:20">
      <c r="T5152" t="str">
        <f t="shared" si="92"/>
        <v/>
      </c>
    </row>
    <row r="5153" spans="20:20">
      <c r="T5153" t="str">
        <f t="shared" si="92"/>
        <v/>
      </c>
    </row>
    <row r="5154" spans="20:20">
      <c r="T5154" t="str">
        <f t="shared" si="92"/>
        <v/>
      </c>
    </row>
    <row r="5155" spans="20:20">
      <c r="T5155" t="str">
        <f t="shared" si="92"/>
        <v/>
      </c>
    </row>
    <row r="5156" spans="20:20">
      <c r="T5156" t="str">
        <f t="shared" si="92"/>
        <v/>
      </c>
    </row>
    <row r="5157" spans="20:20">
      <c r="T5157" t="str">
        <f t="shared" si="92"/>
        <v/>
      </c>
    </row>
    <row r="5158" spans="20:20">
      <c r="T5158" t="str">
        <f t="shared" si="92"/>
        <v/>
      </c>
    </row>
    <row r="5159" spans="20:20">
      <c r="T5159" t="str">
        <f t="shared" si="92"/>
        <v/>
      </c>
    </row>
    <row r="5160" spans="20:20">
      <c r="T5160" t="str">
        <f t="shared" si="92"/>
        <v/>
      </c>
    </row>
    <row r="5161" spans="20:20">
      <c r="T5161" t="str">
        <f t="shared" si="92"/>
        <v/>
      </c>
    </row>
    <row r="5162" spans="20:20">
      <c r="T5162" t="str">
        <f t="shared" si="92"/>
        <v/>
      </c>
    </row>
    <row r="5163" spans="20:20">
      <c r="T5163" t="str">
        <f t="shared" si="92"/>
        <v/>
      </c>
    </row>
    <row r="5164" spans="20:20">
      <c r="T5164" t="str">
        <f t="shared" si="92"/>
        <v/>
      </c>
    </row>
    <row r="5165" spans="20:20">
      <c r="T5165" t="str">
        <f t="shared" si="92"/>
        <v/>
      </c>
    </row>
    <row r="5166" spans="20:20">
      <c r="T5166" t="str">
        <f t="shared" si="92"/>
        <v/>
      </c>
    </row>
    <row r="5167" spans="20:20">
      <c r="T5167" t="str">
        <f t="shared" si="92"/>
        <v/>
      </c>
    </row>
    <row r="5168" spans="20:20">
      <c r="T5168" t="str">
        <f t="shared" si="92"/>
        <v/>
      </c>
    </row>
    <row r="5169" spans="20:20">
      <c r="T5169" t="str">
        <f t="shared" si="92"/>
        <v/>
      </c>
    </row>
    <row r="5170" spans="20:20">
      <c r="T5170" t="str">
        <f t="shared" si="92"/>
        <v/>
      </c>
    </row>
    <row r="5171" spans="20:20">
      <c r="T5171" t="str">
        <f t="shared" si="92"/>
        <v/>
      </c>
    </row>
    <row r="5172" spans="20:20">
      <c r="T5172" t="str">
        <f t="shared" si="92"/>
        <v/>
      </c>
    </row>
    <row r="5173" spans="20:20">
      <c r="T5173" t="str">
        <f t="shared" si="92"/>
        <v/>
      </c>
    </row>
    <row r="5174" spans="20:20">
      <c r="T5174" t="str">
        <f t="shared" si="92"/>
        <v/>
      </c>
    </row>
    <row r="5175" spans="20:20">
      <c r="T5175" t="str">
        <f t="shared" si="92"/>
        <v/>
      </c>
    </row>
    <row r="5176" spans="20:20">
      <c r="T5176" t="str">
        <f t="shared" si="92"/>
        <v/>
      </c>
    </row>
    <row r="5177" spans="20:20">
      <c r="T5177" t="str">
        <f t="shared" si="92"/>
        <v/>
      </c>
    </row>
    <row r="5178" spans="20:20">
      <c r="T5178" t="str">
        <f t="shared" si="92"/>
        <v/>
      </c>
    </row>
    <row r="5179" spans="20:20">
      <c r="T5179" t="str">
        <f t="shared" si="92"/>
        <v/>
      </c>
    </row>
    <row r="5180" spans="20:20">
      <c r="T5180" t="str">
        <f t="shared" si="92"/>
        <v/>
      </c>
    </row>
    <row r="5181" spans="20:20">
      <c r="T5181" t="str">
        <f t="shared" si="92"/>
        <v/>
      </c>
    </row>
    <row r="5182" spans="20:20">
      <c r="T5182" t="str">
        <f t="shared" si="92"/>
        <v/>
      </c>
    </row>
    <row r="5183" spans="20:20">
      <c r="T5183" t="str">
        <f t="shared" si="92"/>
        <v/>
      </c>
    </row>
    <row r="5184" spans="20:20">
      <c r="T5184" t="str">
        <f t="shared" si="92"/>
        <v/>
      </c>
    </row>
    <row r="5185" spans="20:20">
      <c r="T5185" t="str">
        <f t="shared" si="92"/>
        <v/>
      </c>
    </row>
    <row r="5186" spans="20:20">
      <c r="T5186" t="str">
        <f t="shared" ref="T5186:T5249" si="93">IF(C5186="","",UPPER(LEFT(SUBSTITUTE(C5186," ",""),3))&amp;"-"&amp;TEXT(B5186,"AAMMDD")&amp;"-1")</f>
        <v/>
      </c>
    </row>
    <row r="5187" spans="20:20">
      <c r="T5187" t="str">
        <f t="shared" si="93"/>
        <v/>
      </c>
    </row>
    <row r="5188" spans="20:20">
      <c r="T5188" t="str">
        <f t="shared" si="93"/>
        <v/>
      </c>
    </row>
    <row r="5189" spans="20:20">
      <c r="T5189" t="str">
        <f t="shared" si="93"/>
        <v/>
      </c>
    </row>
    <row r="5190" spans="20:20">
      <c r="T5190" t="str">
        <f t="shared" si="93"/>
        <v/>
      </c>
    </row>
    <row r="5191" spans="20:20">
      <c r="T5191" t="str">
        <f t="shared" si="93"/>
        <v/>
      </c>
    </row>
    <row r="5192" spans="20:20">
      <c r="T5192" t="str">
        <f t="shared" si="93"/>
        <v/>
      </c>
    </row>
    <row r="5193" spans="20:20">
      <c r="T5193" t="str">
        <f t="shared" si="93"/>
        <v/>
      </c>
    </row>
    <row r="5194" spans="20:20">
      <c r="T5194" t="str">
        <f t="shared" si="93"/>
        <v/>
      </c>
    </row>
    <row r="5195" spans="20:20">
      <c r="T5195" t="str">
        <f t="shared" si="93"/>
        <v/>
      </c>
    </row>
    <row r="5196" spans="20:20">
      <c r="T5196" t="str">
        <f t="shared" si="93"/>
        <v/>
      </c>
    </row>
    <row r="5197" spans="20:20">
      <c r="T5197" t="str">
        <f t="shared" si="93"/>
        <v/>
      </c>
    </row>
    <row r="5198" spans="20:20">
      <c r="T5198" t="str">
        <f t="shared" si="93"/>
        <v/>
      </c>
    </row>
    <row r="5199" spans="20:20">
      <c r="T5199" t="str">
        <f t="shared" si="93"/>
        <v/>
      </c>
    </row>
    <row r="5200" spans="20:20">
      <c r="T5200" t="str">
        <f t="shared" si="93"/>
        <v/>
      </c>
    </row>
    <row r="5201" spans="20:20">
      <c r="T5201" t="str">
        <f t="shared" si="93"/>
        <v/>
      </c>
    </row>
    <row r="5202" spans="20:20">
      <c r="T5202" t="str">
        <f t="shared" si="93"/>
        <v/>
      </c>
    </row>
    <row r="5203" spans="20:20">
      <c r="T5203" t="str">
        <f t="shared" si="93"/>
        <v/>
      </c>
    </row>
    <row r="5204" spans="20:20">
      <c r="T5204" t="str">
        <f t="shared" si="93"/>
        <v/>
      </c>
    </row>
    <row r="5205" spans="20:20">
      <c r="T5205" t="str">
        <f t="shared" si="93"/>
        <v/>
      </c>
    </row>
    <row r="5206" spans="20:20">
      <c r="T5206" t="str">
        <f t="shared" si="93"/>
        <v/>
      </c>
    </row>
    <row r="5207" spans="20:20">
      <c r="T5207" t="str">
        <f t="shared" si="93"/>
        <v/>
      </c>
    </row>
    <row r="5208" spans="20:20">
      <c r="T5208" t="str">
        <f t="shared" si="93"/>
        <v/>
      </c>
    </row>
    <row r="5209" spans="20:20">
      <c r="T5209" t="str">
        <f t="shared" si="93"/>
        <v/>
      </c>
    </row>
    <row r="5210" spans="20:20">
      <c r="T5210" t="str">
        <f t="shared" si="93"/>
        <v/>
      </c>
    </row>
    <row r="5211" spans="20:20">
      <c r="T5211" t="str">
        <f t="shared" si="93"/>
        <v/>
      </c>
    </row>
    <row r="5212" spans="20:20">
      <c r="T5212" t="str">
        <f t="shared" si="93"/>
        <v/>
      </c>
    </row>
    <row r="5213" spans="20:20">
      <c r="T5213" t="str">
        <f t="shared" si="93"/>
        <v/>
      </c>
    </row>
    <row r="5214" spans="20:20">
      <c r="T5214" t="str">
        <f t="shared" si="93"/>
        <v/>
      </c>
    </row>
    <row r="5215" spans="20:20">
      <c r="T5215" t="str">
        <f t="shared" si="93"/>
        <v/>
      </c>
    </row>
    <row r="5216" spans="20:20">
      <c r="T5216" t="str">
        <f t="shared" si="93"/>
        <v/>
      </c>
    </row>
    <row r="5217" spans="20:20">
      <c r="T5217" t="str">
        <f t="shared" si="93"/>
        <v/>
      </c>
    </row>
    <row r="5218" spans="20:20">
      <c r="T5218" t="str">
        <f t="shared" si="93"/>
        <v/>
      </c>
    </row>
    <row r="5219" spans="20:20">
      <c r="T5219" t="str">
        <f t="shared" si="93"/>
        <v/>
      </c>
    </row>
    <row r="5220" spans="20:20">
      <c r="T5220" t="str">
        <f t="shared" si="93"/>
        <v/>
      </c>
    </row>
    <row r="5221" spans="20:20">
      <c r="T5221" t="str">
        <f t="shared" si="93"/>
        <v/>
      </c>
    </row>
    <row r="5222" spans="20:20">
      <c r="T5222" t="str">
        <f t="shared" si="93"/>
        <v/>
      </c>
    </row>
    <row r="5223" spans="20:20">
      <c r="T5223" t="str">
        <f t="shared" si="93"/>
        <v/>
      </c>
    </row>
    <row r="5224" spans="20:20">
      <c r="T5224" t="str">
        <f t="shared" si="93"/>
        <v/>
      </c>
    </row>
    <row r="5225" spans="20:20">
      <c r="T5225" t="str">
        <f t="shared" si="93"/>
        <v/>
      </c>
    </row>
    <row r="5226" spans="20:20">
      <c r="T5226" t="str">
        <f t="shared" si="93"/>
        <v/>
      </c>
    </row>
    <row r="5227" spans="20:20">
      <c r="T5227" t="str">
        <f t="shared" si="93"/>
        <v/>
      </c>
    </row>
    <row r="5228" spans="20:20">
      <c r="T5228" t="str">
        <f t="shared" si="93"/>
        <v/>
      </c>
    </row>
    <row r="5229" spans="20:20">
      <c r="T5229" t="str">
        <f t="shared" si="93"/>
        <v/>
      </c>
    </row>
    <row r="5230" spans="20:20">
      <c r="T5230" t="str">
        <f t="shared" si="93"/>
        <v/>
      </c>
    </row>
    <row r="5231" spans="20:20">
      <c r="T5231" t="str">
        <f t="shared" si="93"/>
        <v/>
      </c>
    </row>
    <row r="5232" spans="20:20">
      <c r="T5232" t="str">
        <f t="shared" si="93"/>
        <v/>
      </c>
    </row>
    <row r="5233" spans="20:20">
      <c r="T5233" t="str">
        <f t="shared" si="93"/>
        <v/>
      </c>
    </row>
    <row r="5234" spans="20:20">
      <c r="T5234" t="str">
        <f t="shared" si="93"/>
        <v/>
      </c>
    </row>
    <row r="5235" spans="20:20">
      <c r="T5235" t="str">
        <f t="shared" si="93"/>
        <v/>
      </c>
    </row>
    <row r="5236" spans="20:20">
      <c r="T5236" t="str">
        <f t="shared" si="93"/>
        <v/>
      </c>
    </row>
    <row r="5237" spans="20:20">
      <c r="T5237" t="str">
        <f t="shared" si="93"/>
        <v/>
      </c>
    </row>
    <row r="5238" spans="20:20">
      <c r="T5238" t="str">
        <f t="shared" si="93"/>
        <v/>
      </c>
    </row>
    <row r="5239" spans="20:20">
      <c r="T5239" t="str">
        <f t="shared" si="93"/>
        <v/>
      </c>
    </row>
    <row r="5240" spans="20:20">
      <c r="T5240" t="str">
        <f t="shared" si="93"/>
        <v/>
      </c>
    </row>
    <row r="5241" spans="20:20">
      <c r="T5241" t="str">
        <f t="shared" si="93"/>
        <v/>
      </c>
    </row>
    <row r="5242" spans="20:20">
      <c r="T5242" t="str">
        <f t="shared" si="93"/>
        <v/>
      </c>
    </row>
    <row r="5243" spans="20:20">
      <c r="T5243" t="str">
        <f t="shared" si="93"/>
        <v/>
      </c>
    </row>
    <row r="5244" spans="20:20">
      <c r="T5244" t="str">
        <f t="shared" si="93"/>
        <v/>
      </c>
    </row>
    <row r="5245" spans="20:20">
      <c r="T5245" t="str">
        <f t="shared" si="93"/>
        <v/>
      </c>
    </row>
    <row r="5246" spans="20:20">
      <c r="T5246" t="str">
        <f t="shared" si="93"/>
        <v/>
      </c>
    </row>
    <row r="5247" spans="20:20">
      <c r="T5247" t="str">
        <f t="shared" si="93"/>
        <v/>
      </c>
    </row>
    <row r="5248" spans="20:20">
      <c r="T5248" t="str">
        <f t="shared" si="93"/>
        <v/>
      </c>
    </row>
    <row r="5249" spans="20:20">
      <c r="T5249" t="str">
        <f t="shared" si="93"/>
        <v/>
      </c>
    </row>
    <row r="5250" spans="20:20">
      <c r="T5250" t="str">
        <f t="shared" ref="T5250:T5313" si="94">IF(C5250="","",UPPER(LEFT(SUBSTITUTE(C5250," ",""),3))&amp;"-"&amp;TEXT(B5250,"AAMMDD")&amp;"-1")</f>
        <v/>
      </c>
    </row>
    <row r="5251" spans="20:20">
      <c r="T5251" t="str">
        <f t="shared" si="94"/>
        <v/>
      </c>
    </row>
    <row r="5252" spans="20:20">
      <c r="T5252" t="str">
        <f t="shared" si="94"/>
        <v/>
      </c>
    </row>
    <row r="5253" spans="20:20">
      <c r="T5253" t="str">
        <f t="shared" si="94"/>
        <v/>
      </c>
    </row>
    <row r="5254" spans="20:20">
      <c r="T5254" t="str">
        <f t="shared" si="94"/>
        <v/>
      </c>
    </row>
    <row r="5255" spans="20:20">
      <c r="T5255" t="str">
        <f t="shared" si="94"/>
        <v/>
      </c>
    </row>
    <row r="5256" spans="20:20">
      <c r="T5256" t="str">
        <f t="shared" si="94"/>
        <v/>
      </c>
    </row>
    <row r="5257" spans="20:20">
      <c r="T5257" t="str">
        <f t="shared" si="94"/>
        <v/>
      </c>
    </row>
    <row r="5258" spans="20:20">
      <c r="T5258" t="str">
        <f t="shared" si="94"/>
        <v/>
      </c>
    </row>
    <row r="5259" spans="20:20">
      <c r="T5259" t="str">
        <f t="shared" si="94"/>
        <v/>
      </c>
    </row>
    <row r="5260" spans="20:20">
      <c r="T5260" t="str">
        <f t="shared" si="94"/>
        <v/>
      </c>
    </row>
    <row r="5261" spans="20:20">
      <c r="T5261" t="str">
        <f t="shared" si="94"/>
        <v/>
      </c>
    </row>
    <row r="5262" spans="20:20">
      <c r="T5262" t="str">
        <f t="shared" si="94"/>
        <v/>
      </c>
    </row>
    <row r="5263" spans="20:20">
      <c r="T5263" t="str">
        <f t="shared" si="94"/>
        <v/>
      </c>
    </row>
    <row r="5264" spans="20:20">
      <c r="T5264" t="str">
        <f t="shared" si="94"/>
        <v/>
      </c>
    </row>
    <row r="5265" spans="20:20">
      <c r="T5265" t="str">
        <f t="shared" si="94"/>
        <v/>
      </c>
    </row>
    <row r="5266" spans="20:20">
      <c r="T5266" t="str">
        <f t="shared" si="94"/>
        <v/>
      </c>
    </row>
    <row r="5267" spans="20:20">
      <c r="T5267" t="str">
        <f t="shared" si="94"/>
        <v/>
      </c>
    </row>
    <row r="5268" spans="20:20">
      <c r="T5268" t="str">
        <f t="shared" si="94"/>
        <v/>
      </c>
    </row>
    <row r="5269" spans="20:20">
      <c r="T5269" t="str">
        <f t="shared" si="94"/>
        <v/>
      </c>
    </row>
    <row r="5270" spans="20:20">
      <c r="T5270" t="str">
        <f t="shared" si="94"/>
        <v/>
      </c>
    </row>
    <row r="5271" spans="20:20">
      <c r="T5271" t="str">
        <f t="shared" si="94"/>
        <v/>
      </c>
    </row>
    <row r="5272" spans="20:20">
      <c r="T5272" t="str">
        <f t="shared" si="94"/>
        <v/>
      </c>
    </row>
    <row r="5273" spans="20:20">
      <c r="T5273" t="str">
        <f t="shared" si="94"/>
        <v/>
      </c>
    </row>
    <row r="5274" spans="20:20">
      <c r="T5274" t="str">
        <f t="shared" si="94"/>
        <v/>
      </c>
    </row>
    <row r="5275" spans="20:20">
      <c r="T5275" t="str">
        <f t="shared" si="94"/>
        <v/>
      </c>
    </row>
    <row r="5276" spans="20:20">
      <c r="T5276" t="str">
        <f t="shared" si="94"/>
        <v/>
      </c>
    </row>
    <row r="5277" spans="20:20">
      <c r="T5277" t="str">
        <f t="shared" si="94"/>
        <v/>
      </c>
    </row>
    <row r="5278" spans="20:20">
      <c r="T5278" t="str">
        <f t="shared" si="94"/>
        <v/>
      </c>
    </row>
    <row r="5279" spans="20:20">
      <c r="T5279" t="str">
        <f t="shared" si="94"/>
        <v/>
      </c>
    </row>
    <row r="5280" spans="20:20">
      <c r="T5280" t="str">
        <f t="shared" si="94"/>
        <v/>
      </c>
    </row>
    <row r="5281" spans="20:20">
      <c r="T5281" t="str">
        <f t="shared" si="94"/>
        <v/>
      </c>
    </row>
    <row r="5282" spans="20:20">
      <c r="T5282" t="str">
        <f t="shared" si="94"/>
        <v/>
      </c>
    </row>
    <row r="5283" spans="20:20">
      <c r="T5283" t="str">
        <f t="shared" si="94"/>
        <v/>
      </c>
    </row>
    <row r="5284" spans="20:20">
      <c r="T5284" t="str">
        <f t="shared" si="94"/>
        <v/>
      </c>
    </row>
    <row r="5285" spans="20:20">
      <c r="T5285" t="str">
        <f t="shared" si="94"/>
        <v/>
      </c>
    </row>
    <row r="5286" spans="20:20">
      <c r="T5286" t="str">
        <f t="shared" si="94"/>
        <v/>
      </c>
    </row>
    <row r="5287" spans="20:20">
      <c r="T5287" t="str">
        <f t="shared" si="94"/>
        <v/>
      </c>
    </row>
    <row r="5288" spans="20:20">
      <c r="T5288" t="str">
        <f t="shared" si="94"/>
        <v/>
      </c>
    </row>
    <row r="5289" spans="20:20">
      <c r="T5289" t="str">
        <f t="shared" si="94"/>
        <v/>
      </c>
    </row>
    <row r="5290" spans="20:20">
      <c r="T5290" t="str">
        <f t="shared" si="94"/>
        <v/>
      </c>
    </row>
    <row r="5291" spans="20:20">
      <c r="T5291" t="str">
        <f t="shared" si="94"/>
        <v/>
      </c>
    </row>
    <row r="5292" spans="20:20">
      <c r="T5292" t="str">
        <f t="shared" si="94"/>
        <v/>
      </c>
    </row>
    <row r="5293" spans="20:20">
      <c r="T5293" t="str">
        <f t="shared" si="94"/>
        <v/>
      </c>
    </row>
    <row r="5294" spans="20:20">
      <c r="T5294" t="str">
        <f t="shared" si="94"/>
        <v/>
      </c>
    </row>
    <row r="5295" spans="20:20">
      <c r="T5295" t="str">
        <f t="shared" si="94"/>
        <v/>
      </c>
    </row>
    <row r="5296" spans="20:20">
      <c r="T5296" t="str">
        <f t="shared" si="94"/>
        <v/>
      </c>
    </row>
    <row r="5297" spans="20:20">
      <c r="T5297" t="str">
        <f t="shared" si="94"/>
        <v/>
      </c>
    </row>
    <row r="5298" spans="20:20">
      <c r="T5298" t="str">
        <f t="shared" si="94"/>
        <v/>
      </c>
    </row>
    <row r="5299" spans="20:20">
      <c r="T5299" t="str">
        <f t="shared" si="94"/>
        <v/>
      </c>
    </row>
    <row r="5300" spans="20:20">
      <c r="T5300" t="str">
        <f t="shared" si="94"/>
        <v/>
      </c>
    </row>
    <row r="5301" spans="20:20">
      <c r="T5301" t="str">
        <f t="shared" si="94"/>
        <v/>
      </c>
    </row>
    <row r="5302" spans="20:20">
      <c r="T5302" t="str">
        <f t="shared" si="94"/>
        <v/>
      </c>
    </row>
    <row r="5303" spans="20:20">
      <c r="T5303" t="str">
        <f t="shared" si="94"/>
        <v/>
      </c>
    </row>
    <row r="5304" spans="20:20">
      <c r="T5304" t="str">
        <f t="shared" si="94"/>
        <v/>
      </c>
    </row>
    <row r="5305" spans="20:20">
      <c r="T5305" t="str">
        <f t="shared" si="94"/>
        <v/>
      </c>
    </row>
    <row r="5306" spans="20:20">
      <c r="T5306" t="str">
        <f t="shared" si="94"/>
        <v/>
      </c>
    </row>
    <row r="5307" spans="20:20">
      <c r="T5307" t="str">
        <f t="shared" si="94"/>
        <v/>
      </c>
    </row>
    <row r="5308" spans="20:20">
      <c r="T5308" t="str">
        <f t="shared" si="94"/>
        <v/>
      </c>
    </row>
    <row r="5309" spans="20:20">
      <c r="T5309" t="str">
        <f t="shared" si="94"/>
        <v/>
      </c>
    </row>
    <row r="5310" spans="20:20">
      <c r="T5310" t="str">
        <f t="shared" si="94"/>
        <v/>
      </c>
    </row>
    <row r="5311" spans="20:20">
      <c r="T5311" t="str">
        <f t="shared" si="94"/>
        <v/>
      </c>
    </row>
    <row r="5312" spans="20:20">
      <c r="T5312" t="str">
        <f t="shared" si="94"/>
        <v/>
      </c>
    </row>
    <row r="5313" spans="20:20">
      <c r="T5313" t="str">
        <f t="shared" si="94"/>
        <v/>
      </c>
    </row>
    <row r="5314" spans="20:20">
      <c r="T5314" t="str">
        <f t="shared" ref="T5314:T5377" si="95">IF(C5314="","",UPPER(LEFT(SUBSTITUTE(C5314," ",""),3))&amp;"-"&amp;TEXT(B5314,"AAMMDD")&amp;"-1")</f>
        <v/>
      </c>
    </row>
    <row r="5315" spans="20:20">
      <c r="T5315" t="str">
        <f t="shared" si="95"/>
        <v/>
      </c>
    </row>
    <row r="5316" spans="20:20">
      <c r="T5316" t="str">
        <f t="shared" si="95"/>
        <v/>
      </c>
    </row>
    <row r="5317" spans="20:20">
      <c r="T5317" t="str">
        <f t="shared" si="95"/>
        <v/>
      </c>
    </row>
    <row r="5318" spans="20:20">
      <c r="T5318" t="str">
        <f t="shared" si="95"/>
        <v/>
      </c>
    </row>
    <row r="5319" spans="20:20">
      <c r="T5319" t="str">
        <f t="shared" si="95"/>
        <v/>
      </c>
    </row>
    <row r="5320" spans="20:20">
      <c r="T5320" t="str">
        <f t="shared" si="95"/>
        <v/>
      </c>
    </row>
    <row r="5321" spans="20:20">
      <c r="T5321" t="str">
        <f t="shared" si="95"/>
        <v/>
      </c>
    </row>
    <row r="5322" spans="20:20">
      <c r="T5322" t="str">
        <f t="shared" si="95"/>
        <v/>
      </c>
    </row>
    <row r="5323" spans="20:20">
      <c r="T5323" t="str">
        <f t="shared" si="95"/>
        <v/>
      </c>
    </row>
    <row r="5324" spans="20:20">
      <c r="T5324" t="str">
        <f t="shared" si="95"/>
        <v/>
      </c>
    </row>
    <row r="5325" spans="20:20">
      <c r="T5325" t="str">
        <f t="shared" si="95"/>
        <v/>
      </c>
    </row>
    <row r="5326" spans="20:20">
      <c r="T5326" t="str">
        <f t="shared" si="95"/>
        <v/>
      </c>
    </row>
    <row r="5327" spans="20:20">
      <c r="T5327" t="str">
        <f t="shared" si="95"/>
        <v/>
      </c>
    </row>
    <row r="5328" spans="20:20">
      <c r="T5328" t="str">
        <f t="shared" si="95"/>
        <v/>
      </c>
    </row>
    <row r="5329" spans="20:20">
      <c r="T5329" t="str">
        <f t="shared" si="95"/>
        <v/>
      </c>
    </row>
    <row r="5330" spans="20:20">
      <c r="T5330" t="str">
        <f t="shared" si="95"/>
        <v/>
      </c>
    </row>
    <row r="5331" spans="20:20">
      <c r="T5331" t="str">
        <f t="shared" si="95"/>
        <v/>
      </c>
    </row>
    <row r="5332" spans="20:20">
      <c r="T5332" t="str">
        <f t="shared" si="95"/>
        <v/>
      </c>
    </row>
    <row r="5333" spans="20:20">
      <c r="T5333" t="str">
        <f t="shared" si="95"/>
        <v/>
      </c>
    </row>
    <row r="5334" spans="20:20">
      <c r="T5334" t="str">
        <f t="shared" si="95"/>
        <v/>
      </c>
    </row>
    <row r="5335" spans="20:20">
      <c r="T5335" t="str">
        <f t="shared" si="95"/>
        <v/>
      </c>
    </row>
    <row r="5336" spans="20:20">
      <c r="T5336" t="str">
        <f t="shared" si="95"/>
        <v/>
      </c>
    </row>
    <row r="5337" spans="20:20">
      <c r="T5337" t="str">
        <f t="shared" si="95"/>
        <v/>
      </c>
    </row>
    <row r="5338" spans="20:20">
      <c r="T5338" t="str">
        <f t="shared" si="95"/>
        <v/>
      </c>
    </row>
    <row r="5339" spans="20:20">
      <c r="T5339" t="str">
        <f t="shared" si="95"/>
        <v/>
      </c>
    </row>
    <row r="5340" spans="20:20">
      <c r="T5340" t="str">
        <f t="shared" si="95"/>
        <v/>
      </c>
    </row>
    <row r="5341" spans="20:20">
      <c r="T5341" t="str">
        <f t="shared" si="95"/>
        <v/>
      </c>
    </row>
    <row r="5342" spans="20:20">
      <c r="T5342" t="str">
        <f t="shared" si="95"/>
        <v/>
      </c>
    </row>
    <row r="5343" spans="20:20">
      <c r="T5343" t="str">
        <f t="shared" si="95"/>
        <v/>
      </c>
    </row>
    <row r="5344" spans="20:20">
      <c r="T5344" t="str">
        <f t="shared" si="95"/>
        <v/>
      </c>
    </row>
    <row r="5345" spans="20:20">
      <c r="T5345" t="str">
        <f t="shared" si="95"/>
        <v/>
      </c>
    </row>
    <row r="5346" spans="20:20">
      <c r="T5346" t="str">
        <f t="shared" si="95"/>
        <v/>
      </c>
    </row>
    <row r="5347" spans="20:20">
      <c r="T5347" t="str">
        <f t="shared" si="95"/>
        <v/>
      </c>
    </row>
    <row r="5348" spans="20:20">
      <c r="T5348" t="str">
        <f t="shared" si="95"/>
        <v/>
      </c>
    </row>
    <row r="5349" spans="20:20">
      <c r="T5349" t="str">
        <f t="shared" si="95"/>
        <v/>
      </c>
    </row>
    <row r="5350" spans="20:20">
      <c r="T5350" t="str">
        <f t="shared" si="95"/>
        <v/>
      </c>
    </row>
    <row r="5351" spans="20:20">
      <c r="T5351" t="str">
        <f t="shared" si="95"/>
        <v/>
      </c>
    </row>
    <row r="5352" spans="20:20">
      <c r="T5352" t="str">
        <f t="shared" si="95"/>
        <v/>
      </c>
    </row>
    <row r="5353" spans="20:20">
      <c r="T5353" t="str">
        <f t="shared" si="95"/>
        <v/>
      </c>
    </row>
    <row r="5354" spans="20:20">
      <c r="T5354" t="str">
        <f t="shared" si="95"/>
        <v/>
      </c>
    </row>
    <row r="5355" spans="20:20">
      <c r="T5355" t="str">
        <f t="shared" si="95"/>
        <v/>
      </c>
    </row>
    <row r="5356" spans="20:20">
      <c r="T5356" t="str">
        <f t="shared" si="95"/>
        <v/>
      </c>
    </row>
    <row r="5357" spans="20:20">
      <c r="T5357" t="str">
        <f t="shared" si="95"/>
        <v/>
      </c>
    </row>
    <row r="5358" spans="20:20">
      <c r="T5358" t="str">
        <f t="shared" si="95"/>
        <v/>
      </c>
    </row>
    <row r="5359" spans="20:20">
      <c r="T5359" t="str">
        <f t="shared" si="95"/>
        <v/>
      </c>
    </row>
    <row r="5360" spans="20:20">
      <c r="T5360" t="str">
        <f t="shared" si="95"/>
        <v/>
      </c>
    </row>
    <row r="5361" spans="20:20">
      <c r="T5361" t="str">
        <f t="shared" si="95"/>
        <v/>
      </c>
    </row>
    <row r="5362" spans="20:20">
      <c r="T5362" t="str">
        <f t="shared" si="95"/>
        <v/>
      </c>
    </row>
    <row r="5363" spans="20:20">
      <c r="T5363" t="str">
        <f t="shared" si="95"/>
        <v/>
      </c>
    </row>
    <row r="5364" spans="20:20">
      <c r="T5364" t="str">
        <f t="shared" si="95"/>
        <v/>
      </c>
    </row>
    <row r="5365" spans="20:20">
      <c r="T5365" t="str">
        <f t="shared" si="95"/>
        <v/>
      </c>
    </row>
    <row r="5366" spans="20:20">
      <c r="T5366" t="str">
        <f t="shared" si="95"/>
        <v/>
      </c>
    </row>
    <row r="5367" spans="20:20">
      <c r="T5367" t="str">
        <f t="shared" si="95"/>
        <v/>
      </c>
    </row>
    <row r="5368" spans="20:20">
      <c r="T5368" t="str">
        <f t="shared" si="95"/>
        <v/>
      </c>
    </row>
    <row r="5369" spans="20:20">
      <c r="T5369" t="str">
        <f t="shared" si="95"/>
        <v/>
      </c>
    </row>
    <row r="5370" spans="20:20">
      <c r="T5370" t="str">
        <f t="shared" si="95"/>
        <v/>
      </c>
    </row>
    <row r="5371" spans="20:20">
      <c r="T5371" t="str">
        <f t="shared" si="95"/>
        <v/>
      </c>
    </row>
    <row r="5372" spans="20:20">
      <c r="T5372" t="str">
        <f t="shared" si="95"/>
        <v/>
      </c>
    </row>
    <row r="5373" spans="20:20">
      <c r="T5373" t="str">
        <f t="shared" si="95"/>
        <v/>
      </c>
    </row>
    <row r="5374" spans="20:20">
      <c r="T5374" t="str">
        <f t="shared" si="95"/>
        <v/>
      </c>
    </row>
    <row r="5375" spans="20:20">
      <c r="T5375" t="str">
        <f t="shared" si="95"/>
        <v/>
      </c>
    </row>
    <row r="5376" spans="20:20">
      <c r="T5376" t="str">
        <f t="shared" si="95"/>
        <v/>
      </c>
    </row>
    <row r="5377" spans="20:20">
      <c r="T5377" t="str">
        <f t="shared" si="95"/>
        <v/>
      </c>
    </row>
    <row r="5378" spans="20:20">
      <c r="T5378" t="str">
        <f t="shared" ref="T5378:T5441" si="96">IF(C5378="","",UPPER(LEFT(SUBSTITUTE(C5378," ",""),3))&amp;"-"&amp;TEXT(B5378,"AAMMDD")&amp;"-1")</f>
        <v/>
      </c>
    </row>
    <row r="5379" spans="20:20">
      <c r="T5379" t="str">
        <f t="shared" si="96"/>
        <v/>
      </c>
    </row>
    <row r="5380" spans="20:20">
      <c r="T5380" t="str">
        <f t="shared" si="96"/>
        <v/>
      </c>
    </row>
    <row r="5381" spans="20:20">
      <c r="T5381" t="str">
        <f t="shared" si="96"/>
        <v/>
      </c>
    </row>
    <row r="5382" spans="20:20">
      <c r="T5382" t="str">
        <f t="shared" si="96"/>
        <v/>
      </c>
    </row>
    <row r="5383" spans="20:20">
      <c r="T5383" t="str">
        <f t="shared" si="96"/>
        <v/>
      </c>
    </row>
    <row r="5384" spans="20:20">
      <c r="T5384" t="str">
        <f t="shared" si="96"/>
        <v/>
      </c>
    </row>
    <row r="5385" spans="20:20">
      <c r="T5385" t="str">
        <f t="shared" si="96"/>
        <v/>
      </c>
    </row>
    <row r="5386" spans="20:20">
      <c r="T5386" t="str">
        <f t="shared" si="96"/>
        <v/>
      </c>
    </row>
    <row r="5387" spans="20:20">
      <c r="T5387" t="str">
        <f t="shared" si="96"/>
        <v/>
      </c>
    </row>
    <row r="5388" spans="20:20">
      <c r="T5388" t="str">
        <f t="shared" si="96"/>
        <v/>
      </c>
    </row>
    <row r="5389" spans="20:20">
      <c r="T5389" t="str">
        <f t="shared" si="96"/>
        <v/>
      </c>
    </row>
    <row r="5390" spans="20:20">
      <c r="T5390" t="str">
        <f t="shared" si="96"/>
        <v/>
      </c>
    </row>
    <row r="5391" spans="20:20">
      <c r="T5391" t="str">
        <f t="shared" si="96"/>
        <v/>
      </c>
    </row>
    <row r="5392" spans="20:20">
      <c r="T5392" t="str">
        <f t="shared" si="96"/>
        <v/>
      </c>
    </row>
    <row r="5393" spans="20:20">
      <c r="T5393" t="str">
        <f t="shared" si="96"/>
        <v/>
      </c>
    </row>
    <row r="5394" spans="20:20">
      <c r="T5394" t="str">
        <f t="shared" si="96"/>
        <v/>
      </c>
    </row>
    <row r="5395" spans="20:20">
      <c r="T5395" t="str">
        <f t="shared" si="96"/>
        <v/>
      </c>
    </row>
    <row r="5396" spans="20:20">
      <c r="T5396" t="str">
        <f t="shared" si="96"/>
        <v/>
      </c>
    </row>
    <row r="5397" spans="20:20">
      <c r="T5397" t="str">
        <f t="shared" si="96"/>
        <v/>
      </c>
    </row>
    <row r="5398" spans="20:20">
      <c r="T5398" t="str">
        <f t="shared" si="96"/>
        <v/>
      </c>
    </row>
    <row r="5399" spans="20:20">
      <c r="T5399" t="str">
        <f t="shared" si="96"/>
        <v/>
      </c>
    </row>
    <row r="5400" spans="20:20">
      <c r="T5400" t="str">
        <f t="shared" si="96"/>
        <v/>
      </c>
    </row>
    <row r="5401" spans="20:20">
      <c r="T5401" t="str">
        <f t="shared" si="96"/>
        <v/>
      </c>
    </row>
    <row r="5402" spans="20:20">
      <c r="T5402" t="str">
        <f t="shared" si="96"/>
        <v/>
      </c>
    </row>
    <row r="5403" spans="20:20">
      <c r="T5403" t="str">
        <f t="shared" si="96"/>
        <v/>
      </c>
    </row>
    <row r="5404" spans="20:20">
      <c r="T5404" t="str">
        <f t="shared" si="96"/>
        <v/>
      </c>
    </row>
    <row r="5405" spans="20:20">
      <c r="T5405" t="str">
        <f t="shared" si="96"/>
        <v/>
      </c>
    </row>
    <row r="5406" spans="20:20">
      <c r="T5406" t="str">
        <f t="shared" si="96"/>
        <v/>
      </c>
    </row>
    <row r="5407" spans="20:20">
      <c r="T5407" t="str">
        <f t="shared" si="96"/>
        <v/>
      </c>
    </row>
    <row r="5408" spans="20:20">
      <c r="T5408" t="str">
        <f t="shared" si="96"/>
        <v/>
      </c>
    </row>
    <row r="5409" spans="20:20">
      <c r="T5409" t="str">
        <f t="shared" si="96"/>
        <v/>
      </c>
    </row>
    <row r="5410" spans="20:20">
      <c r="T5410" t="str">
        <f t="shared" si="96"/>
        <v/>
      </c>
    </row>
    <row r="5411" spans="20:20">
      <c r="T5411" t="str">
        <f t="shared" si="96"/>
        <v/>
      </c>
    </row>
    <row r="5412" spans="20:20">
      <c r="T5412" t="str">
        <f t="shared" si="96"/>
        <v/>
      </c>
    </row>
    <row r="5413" spans="20:20">
      <c r="T5413" t="str">
        <f t="shared" si="96"/>
        <v/>
      </c>
    </row>
    <row r="5414" spans="20:20">
      <c r="T5414" t="str">
        <f t="shared" si="96"/>
        <v/>
      </c>
    </row>
    <row r="5415" spans="20:20">
      <c r="T5415" t="str">
        <f t="shared" si="96"/>
        <v/>
      </c>
    </row>
    <row r="5416" spans="20:20">
      <c r="T5416" t="str">
        <f t="shared" si="96"/>
        <v/>
      </c>
    </row>
    <row r="5417" spans="20:20">
      <c r="T5417" t="str">
        <f t="shared" si="96"/>
        <v/>
      </c>
    </row>
    <row r="5418" spans="20:20">
      <c r="T5418" t="str">
        <f t="shared" si="96"/>
        <v/>
      </c>
    </row>
    <row r="5419" spans="20:20">
      <c r="T5419" t="str">
        <f t="shared" si="96"/>
        <v/>
      </c>
    </row>
    <row r="5420" spans="20:20">
      <c r="T5420" t="str">
        <f t="shared" si="96"/>
        <v/>
      </c>
    </row>
    <row r="5421" spans="20:20">
      <c r="T5421" t="str">
        <f t="shared" si="96"/>
        <v/>
      </c>
    </row>
    <row r="5422" spans="20:20">
      <c r="T5422" t="str">
        <f t="shared" si="96"/>
        <v/>
      </c>
    </row>
    <row r="5423" spans="20:20">
      <c r="T5423" t="str">
        <f t="shared" si="96"/>
        <v/>
      </c>
    </row>
    <row r="5424" spans="20:20">
      <c r="T5424" t="str">
        <f t="shared" si="96"/>
        <v/>
      </c>
    </row>
    <row r="5425" spans="20:20">
      <c r="T5425" t="str">
        <f t="shared" si="96"/>
        <v/>
      </c>
    </row>
    <row r="5426" spans="20:20">
      <c r="T5426" t="str">
        <f t="shared" si="96"/>
        <v/>
      </c>
    </row>
    <row r="5427" spans="20:20">
      <c r="T5427" t="str">
        <f t="shared" si="96"/>
        <v/>
      </c>
    </row>
    <row r="5428" spans="20:20">
      <c r="T5428" t="str">
        <f t="shared" si="96"/>
        <v/>
      </c>
    </row>
    <row r="5429" spans="20:20">
      <c r="T5429" t="str">
        <f t="shared" si="96"/>
        <v/>
      </c>
    </row>
    <row r="5430" spans="20:20">
      <c r="T5430" t="str">
        <f t="shared" si="96"/>
        <v/>
      </c>
    </row>
    <row r="5431" spans="20:20">
      <c r="T5431" t="str">
        <f t="shared" si="96"/>
        <v/>
      </c>
    </row>
    <row r="5432" spans="20:20">
      <c r="T5432" t="str">
        <f t="shared" si="96"/>
        <v/>
      </c>
    </row>
    <row r="5433" spans="20:20">
      <c r="T5433" t="str">
        <f t="shared" si="96"/>
        <v/>
      </c>
    </row>
    <row r="5434" spans="20:20">
      <c r="T5434" t="str">
        <f t="shared" si="96"/>
        <v/>
      </c>
    </row>
    <row r="5435" spans="20:20">
      <c r="T5435" t="str">
        <f t="shared" si="96"/>
        <v/>
      </c>
    </row>
    <row r="5436" spans="20:20">
      <c r="T5436" t="str">
        <f t="shared" si="96"/>
        <v/>
      </c>
    </row>
    <row r="5437" spans="20:20">
      <c r="T5437" t="str">
        <f t="shared" si="96"/>
        <v/>
      </c>
    </row>
    <row r="5438" spans="20:20">
      <c r="T5438" t="str">
        <f t="shared" si="96"/>
        <v/>
      </c>
    </row>
    <row r="5439" spans="20:20">
      <c r="T5439" t="str">
        <f t="shared" si="96"/>
        <v/>
      </c>
    </row>
    <row r="5440" spans="20:20">
      <c r="T5440" t="str">
        <f t="shared" si="96"/>
        <v/>
      </c>
    </row>
    <row r="5441" spans="20:20">
      <c r="T5441" t="str">
        <f t="shared" si="96"/>
        <v/>
      </c>
    </row>
    <row r="5442" spans="20:20">
      <c r="T5442" t="str">
        <f t="shared" ref="T5442:T5505" si="97">IF(C5442="","",UPPER(LEFT(SUBSTITUTE(C5442," ",""),3))&amp;"-"&amp;TEXT(B5442,"AAMMDD")&amp;"-1")</f>
        <v/>
      </c>
    </row>
    <row r="5443" spans="20:20">
      <c r="T5443" t="str">
        <f t="shared" si="97"/>
        <v/>
      </c>
    </row>
    <row r="5444" spans="20:20">
      <c r="T5444" t="str">
        <f t="shared" si="97"/>
        <v/>
      </c>
    </row>
    <row r="5445" spans="20:20">
      <c r="T5445" t="str">
        <f t="shared" si="97"/>
        <v/>
      </c>
    </row>
    <row r="5446" spans="20:20">
      <c r="T5446" t="str">
        <f t="shared" si="97"/>
        <v/>
      </c>
    </row>
    <row r="5447" spans="20:20">
      <c r="T5447" t="str">
        <f t="shared" si="97"/>
        <v/>
      </c>
    </row>
    <row r="5448" spans="20:20">
      <c r="T5448" t="str">
        <f t="shared" si="97"/>
        <v/>
      </c>
    </row>
    <row r="5449" spans="20:20">
      <c r="T5449" t="str">
        <f t="shared" si="97"/>
        <v/>
      </c>
    </row>
    <row r="5450" spans="20:20">
      <c r="T5450" t="str">
        <f t="shared" si="97"/>
        <v/>
      </c>
    </row>
    <row r="5451" spans="20:20">
      <c r="T5451" t="str">
        <f t="shared" si="97"/>
        <v/>
      </c>
    </row>
    <row r="5452" spans="20:20">
      <c r="T5452" t="str">
        <f t="shared" si="97"/>
        <v/>
      </c>
    </row>
    <row r="5453" spans="20:20">
      <c r="T5453" t="str">
        <f t="shared" si="97"/>
        <v/>
      </c>
    </row>
    <row r="5454" spans="20:20">
      <c r="T5454" t="str">
        <f t="shared" si="97"/>
        <v/>
      </c>
    </row>
    <row r="5455" spans="20:20">
      <c r="T5455" t="str">
        <f t="shared" si="97"/>
        <v/>
      </c>
    </row>
    <row r="5456" spans="20:20">
      <c r="T5456" t="str">
        <f t="shared" si="97"/>
        <v/>
      </c>
    </row>
    <row r="5457" spans="20:20">
      <c r="T5457" t="str">
        <f t="shared" si="97"/>
        <v/>
      </c>
    </row>
    <row r="5458" spans="20:20">
      <c r="T5458" t="str">
        <f t="shared" si="97"/>
        <v/>
      </c>
    </row>
    <row r="5459" spans="20:20">
      <c r="T5459" t="str">
        <f t="shared" si="97"/>
        <v/>
      </c>
    </row>
    <row r="5460" spans="20:20">
      <c r="T5460" t="str">
        <f t="shared" si="97"/>
        <v/>
      </c>
    </row>
    <row r="5461" spans="20:20">
      <c r="T5461" t="str">
        <f t="shared" si="97"/>
        <v/>
      </c>
    </row>
    <row r="5462" spans="20:20">
      <c r="T5462" t="str">
        <f t="shared" si="97"/>
        <v/>
      </c>
    </row>
    <row r="5463" spans="20:20">
      <c r="T5463" t="str">
        <f t="shared" si="97"/>
        <v/>
      </c>
    </row>
    <row r="5464" spans="20:20">
      <c r="T5464" t="str">
        <f t="shared" si="97"/>
        <v/>
      </c>
    </row>
    <row r="5465" spans="20:20">
      <c r="T5465" t="str">
        <f t="shared" si="97"/>
        <v/>
      </c>
    </row>
    <row r="5466" spans="20:20">
      <c r="T5466" t="str">
        <f t="shared" si="97"/>
        <v/>
      </c>
    </row>
    <row r="5467" spans="20:20">
      <c r="T5467" t="str">
        <f t="shared" si="97"/>
        <v/>
      </c>
    </row>
    <row r="5468" spans="20:20">
      <c r="T5468" t="str">
        <f t="shared" si="97"/>
        <v/>
      </c>
    </row>
    <row r="5469" spans="20:20">
      <c r="T5469" t="str">
        <f t="shared" si="97"/>
        <v/>
      </c>
    </row>
    <row r="5470" spans="20:20">
      <c r="T5470" t="str">
        <f t="shared" si="97"/>
        <v/>
      </c>
    </row>
    <row r="5471" spans="20:20">
      <c r="T5471" t="str">
        <f t="shared" si="97"/>
        <v/>
      </c>
    </row>
    <row r="5472" spans="20:20">
      <c r="T5472" t="str">
        <f t="shared" si="97"/>
        <v/>
      </c>
    </row>
    <row r="5473" spans="20:20">
      <c r="T5473" t="str">
        <f t="shared" si="97"/>
        <v/>
      </c>
    </row>
    <row r="5474" spans="20:20">
      <c r="T5474" t="str">
        <f t="shared" si="97"/>
        <v/>
      </c>
    </row>
    <row r="5475" spans="20:20">
      <c r="T5475" t="str">
        <f t="shared" si="97"/>
        <v/>
      </c>
    </row>
    <row r="5476" spans="20:20">
      <c r="T5476" t="str">
        <f t="shared" si="97"/>
        <v/>
      </c>
    </row>
    <row r="5477" spans="20:20">
      <c r="T5477" t="str">
        <f t="shared" si="97"/>
        <v/>
      </c>
    </row>
    <row r="5478" spans="20:20">
      <c r="T5478" t="str">
        <f t="shared" si="97"/>
        <v/>
      </c>
    </row>
    <row r="5479" spans="20:20">
      <c r="T5479" t="str">
        <f t="shared" si="97"/>
        <v/>
      </c>
    </row>
    <row r="5480" spans="20:20">
      <c r="T5480" t="str">
        <f t="shared" si="97"/>
        <v/>
      </c>
    </row>
    <row r="5481" spans="20:20">
      <c r="T5481" t="str">
        <f t="shared" si="97"/>
        <v/>
      </c>
    </row>
    <row r="5482" spans="20:20">
      <c r="T5482" t="str">
        <f t="shared" si="97"/>
        <v/>
      </c>
    </row>
    <row r="5483" spans="20:20">
      <c r="T5483" t="str">
        <f t="shared" si="97"/>
        <v/>
      </c>
    </row>
    <row r="5484" spans="20:20">
      <c r="T5484" t="str">
        <f t="shared" si="97"/>
        <v/>
      </c>
    </row>
    <row r="5485" spans="20:20">
      <c r="T5485" t="str">
        <f t="shared" si="97"/>
        <v/>
      </c>
    </row>
    <row r="5486" spans="20:20">
      <c r="T5486" t="str">
        <f t="shared" si="97"/>
        <v/>
      </c>
    </row>
    <row r="5487" spans="20:20">
      <c r="T5487" t="str">
        <f t="shared" si="97"/>
        <v/>
      </c>
    </row>
    <row r="5488" spans="20:20">
      <c r="T5488" t="str">
        <f t="shared" si="97"/>
        <v/>
      </c>
    </row>
    <row r="5489" spans="20:20">
      <c r="T5489" t="str">
        <f t="shared" si="97"/>
        <v/>
      </c>
    </row>
    <row r="5490" spans="20:20">
      <c r="T5490" t="str">
        <f t="shared" si="97"/>
        <v/>
      </c>
    </row>
    <row r="5491" spans="20:20">
      <c r="T5491" t="str">
        <f t="shared" si="97"/>
        <v/>
      </c>
    </row>
    <row r="5492" spans="20:20">
      <c r="T5492" t="str">
        <f t="shared" si="97"/>
        <v/>
      </c>
    </row>
    <row r="5493" spans="20:20">
      <c r="T5493" t="str">
        <f t="shared" si="97"/>
        <v/>
      </c>
    </row>
    <row r="5494" spans="20:20">
      <c r="T5494" t="str">
        <f t="shared" si="97"/>
        <v/>
      </c>
    </row>
    <row r="5495" spans="20:20">
      <c r="T5495" t="str">
        <f t="shared" si="97"/>
        <v/>
      </c>
    </row>
    <row r="5496" spans="20:20">
      <c r="T5496" t="str">
        <f t="shared" si="97"/>
        <v/>
      </c>
    </row>
    <row r="5497" spans="20:20">
      <c r="T5497" t="str">
        <f t="shared" si="97"/>
        <v/>
      </c>
    </row>
    <row r="5498" spans="20:20">
      <c r="T5498" t="str">
        <f t="shared" si="97"/>
        <v/>
      </c>
    </row>
    <row r="5499" spans="20:20">
      <c r="T5499" t="str">
        <f t="shared" si="97"/>
        <v/>
      </c>
    </row>
    <row r="5500" spans="20:20">
      <c r="T5500" t="str">
        <f t="shared" si="97"/>
        <v/>
      </c>
    </row>
    <row r="5501" spans="20:20">
      <c r="T5501" t="str">
        <f t="shared" si="97"/>
        <v/>
      </c>
    </row>
    <row r="5502" spans="20:20">
      <c r="T5502" t="str">
        <f t="shared" si="97"/>
        <v/>
      </c>
    </row>
    <row r="5503" spans="20:20">
      <c r="T5503" t="str">
        <f t="shared" si="97"/>
        <v/>
      </c>
    </row>
    <row r="5504" spans="20:20">
      <c r="T5504" t="str">
        <f t="shared" si="97"/>
        <v/>
      </c>
    </row>
    <row r="5505" spans="20:20">
      <c r="T5505" t="str">
        <f t="shared" si="97"/>
        <v/>
      </c>
    </row>
    <row r="5506" spans="20:20">
      <c r="T5506" t="str">
        <f t="shared" ref="T5506:T5569" si="98">IF(C5506="","",UPPER(LEFT(SUBSTITUTE(C5506," ",""),3))&amp;"-"&amp;TEXT(B5506,"AAMMDD")&amp;"-1")</f>
        <v/>
      </c>
    </row>
    <row r="5507" spans="20:20">
      <c r="T5507" t="str">
        <f t="shared" si="98"/>
        <v/>
      </c>
    </row>
    <row r="5508" spans="20:20">
      <c r="T5508" t="str">
        <f t="shared" si="98"/>
        <v/>
      </c>
    </row>
    <row r="5509" spans="20:20">
      <c r="T5509" t="str">
        <f t="shared" si="98"/>
        <v/>
      </c>
    </row>
    <row r="5510" spans="20:20">
      <c r="T5510" t="str">
        <f t="shared" si="98"/>
        <v/>
      </c>
    </row>
    <row r="5511" spans="20:20">
      <c r="T5511" t="str">
        <f t="shared" si="98"/>
        <v/>
      </c>
    </row>
    <row r="5512" spans="20:20">
      <c r="T5512" t="str">
        <f t="shared" si="98"/>
        <v/>
      </c>
    </row>
    <row r="5513" spans="20:20">
      <c r="T5513" t="str">
        <f t="shared" si="98"/>
        <v/>
      </c>
    </row>
    <row r="5514" spans="20:20">
      <c r="T5514" t="str">
        <f t="shared" si="98"/>
        <v/>
      </c>
    </row>
    <row r="5515" spans="20:20">
      <c r="T5515" t="str">
        <f t="shared" si="98"/>
        <v/>
      </c>
    </row>
    <row r="5516" spans="20:20">
      <c r="T5516" t="str">
        <f t="shared" si="98"/>
        <v/>
      </c>
    </row>
    <row r="5517" spans="20:20">
      <c r="T5517" t="str">
        <f t="shared" si="98"/>
        <v/>
      </c>
    </row>
    <row r="5518" spans="20:20">
      <c r="T5518" t="str">
        <f t="shared" si="98"/>
        <v/>
      </c>
    </row>
    <row r="5519" spans="20:20">
      <c r="T5519" t="str">
        <f t="shared" si="98"/>
        <v/>
      </c>
    </row>
    <row r="5520" spans="20:20">
      <c r="T5520" t="str">
        <f t="shared" si="98"/>
        <v/>
      </c>
    </row>
    <row r="5521" spans="20:20">
      <c r="T5521" t="str">
        <f t="shared" si="98"/>
        <v/>
      </c>
    </row>
    <row r="5522" spans="20:20">
      <c r="T5522" t="str">
        <f t="shared" si="98"/>
        <v/>
      </c>
    </row>
    <row r="5523" spans="20:20">
      <c r="T5523" t="str">
        <f t="shared" si="98"/>
        <v/>
      </c>
    </row>
    <row r="5524" spans="20:20">
      <c r="T5524" t="str">
        <f t="shared" si="98"/>
        <v/>
      </c>
    </row>
    <row r="5525" spans="20:20">
      <c r="T5525" t="str">
        <f t="shared" si="98"/>
        <v/>
      </c>
    </row>
    <row r="5526" spans="20:20">
      <c r="T5526" t="str">
        <f t="shared" si="98"/>
        <v/>
      </c>
    </row>
    <row r="5527" spans="20:20">
      <c r="T5527" t="str">
        <f t="shared" si="98"/>
        <v/>
      </c>
    </row>
    <row r="5528" spans="20:20">
      <c r="T5528" t="str">
        <f t="shared" si="98"/>
        <v/>
      </c>
    </row>
    <row r="5529" spans="20:20">
      <c r="T5529" t="str">
        <f t="shared" si="98"/>
        <v/>
      </c>
    </row>
    <row r="5530" spans="20:20">
      <c r="T5530" t="str">
        <f t="shared" si="98"/>
        <v/>
      </c>
    </row>
    <row r="5531" spans="20:20">
      <c r="T5531" t="str">
        <f t="shared" si="98"/>
        <v/>
      </c>
    </row>
    <row r="5532" spans="20:20">
      <c r="T5532" t="str">
        <f t="shared" si="98"/>
        <v/>
      </c>
    </row>
    <row r="5533" spans="20:20">
      <c r="T5533" t="str">
        <f t="shared" si="98"/>
        <v/>
      </c>
    </row>
    <row r="5534" spans="20:20">
      <c r="T5534" t="str">
        <f t="shared" si="98"/>
        <v/>
      </c>
    </row>
    <row r="5535" spans="20:20">
      <c r="T5535" t="str">
        <f t="shared" si="98"/>
        <v/>
      </c>
    </row>
    <row r="5536" spans="20:20">
      <c r="T5536" t="str">
        <f t="shared" si="98"/>
        <v/>
      </c>
    </row>
    <row r="5537" spans="20:20">
      <c r="T5537" t="str">
        <f t="shared" si="98"/>
        <v/>
      </c>
    </row>
    <row r="5538" spans="20:20">
      <c r="T5538" t="str">
        <f t="shared" si="98"/>
        <v/>
      </c>
    </row>
    <row r="5539" spans="20:20">
      <c r="T5539" t="str">
        <f t="shared" si="98"/>
        <v/>
      </c>
    </row>
    <row r="5540" spans="20:20">
      <c r="T5540" t="str">
        <f t="shared" si="98"/>
        <v/>
      </c>
    </row>
    <row r="5541" spans="20:20">
      <c r="T5541" t="str">
        <f t="shared" si="98"/>
        <v/>
      </c>
    </row>
    <row r="5542" spans="20:20">
      <c r="T5542" t="str">
        <f t="shared" si="98"/>
        <v/>
      </c>
    </row>
    <row r="5543" spans="20:20">
      <c r="T5543" t="str">
        <f t="shared" si="98"/>
        <v/>
      </c>
    </row>
    <row r="5544" spans="20:20">
      <c r="T5544" t="str">
        <f t="shared" si="98"/>
        <v/>
      </c>
    </row>
    <row r="5545" spans="20:20">
      <c r="T5545" t="str">
        <f t="shared" si="98"/>
        <v/>
      </c>
    </row>
    <row r="5546" spans="20:20">
      <c r="T5546" t="str">
        <f t="shared" si="98"/>
        <v/>
      </c>
    </row>
    <row r="5547" spans="20:20">
      <c r="T5547" t="str">
        <f t="shared" si="98"/>
        <v/>
      </c>
    </row>
    <row r="5548" spans="20:20">
      <c r="T5548" t="str">
        <f t="shared" si="98"/>
        <v/>
      </c>
    </row>
    <row r="5549" spans="20:20">
      <c r="T5549" t="str">
        <f t="shared" si="98"/>
        <v/>
      </c>
    </row>
    <row r="5550" spans="20:20">
      <c r="T5550" t="str">
        <f t="shared" si="98"/>
        <v/>
      </c>
    </row>
    <row r="5551" spans="20:20">
      <c r="T5551" t="str">
        <f t="shared" si="98"/>
        <v/>
      </c>
    </row>
    <row r="5552" spans="20:20">
      <c r="T5552" t="str">
        <f t="shared" si="98"/>
        <v/>
      </c>
    </row>
    <row r="5553" spans="20:20">
      <c r="T5553" t="str">
        <f t="shared" si="98"/>
        <v/>
      </c>
    </row>
    <row r="5554" spans="20:20">
      <c r="T5554" t="str">
        <f t="shared" si="98"/>
        <v/>
      </c>
    </row>
    <row r="5555" spans="20:20">
      <c r="T5555" t="str">
        <f t="shared" si="98"/>
        <v/>
      </c>
    </row>
    <row r="5556" spans="20:20">
      <c r="T5556" t="str">
        <f t="shared" si="98"/>
        <v/>
      </c>
    </row>
    <row r="5557" spans="20:20">
      <c r="T5557" t="str">
        <f t="shared" si="98"/>
        <v/>
      </c>
    </row>
    <row r="5558" spans="20:20">
      <c r="T5558" t="str">
        <f t="shared" si="98"/>
        <v/>
      </c>
    </row>
    <row r="5559" spans="20:20">
      <c r="T5559" t="str">
        <f t="shared" si="98"/>
        <v/>
      </c>
    </row>
    <row r="5560" spans="20:20">
      <c r="T5560" t="str">
        <f t="shared" si="98"/>
        <v/>
      </c>
    </row>
    <row r="5561" spans="20:20">
      <c r="T5561" t="str">
        <f t="shared" si="98"/>
        <v/>
      </c>
    </row>
    <row r="5562" spans="20:20">
      <c r="T5562" t="str">
        <f t="shared" si="98"/>
        <v/>
      </c>
    </row>
    <row r="5563" spans="20:20">
      <c r="T5563" t="str">
        <f t="shared" si="98"/>
        <v/>
      </c>
    </row>
    <row r="5564" spans="20:20">
      <c r="T5564" t="str">
        <f t="shared" si="98"/>
        <v/>
      </c>
    </row>
    <row r="5565" spans="20:20">
      <c r="T5565" t="str">
        <f t="shared" si="98"/>
        <v/>
      </c>
    </row>
    <row r="5566" spans="20:20">
      <c r="T5566" t="str">
        <f t="shared" si="98"/>
        <v/>
      </c>
    </row>
    <row r="5567" spans="20:20">
      <c r="T5567" t="str">
        <f t="shared" si="98"/>
        <v/>
      </c>
    </row>
    <row r="5568" spans="20:20">
      <c r="T5568" t="str">
        <f t="shared" si="98"/>
        <v/>
      </c>
    </row>
    <row r="5569" spans="20:20">
      <c r="T5569" t="str">
        <f t="shared" si="98"/>
        <v/>
      </c>
    </row>
    <row r="5570" spans="20:20">
      <c r="T5570" t="str">
        <f t="shared" ref="T5570:T5633" si="99">IF(C5570="","",UPPER(LEFT(SUBSTITUTE(C5570," ",""),3))&amp;"-"&amp;TEXT(B5570,"AAMMDD")&amp;"-1")</f>
        <v/>
      </c>
    </row>
    <row r="5571" spans="20:20">
      <c r="T5571" t="str">
        <f t="shared" si="99"/>
        <v/>
      </c>
    </row>
    <row r="5572" spans="20:20">
      <c r="T5572" t="str">
        <f t="shared" si="99"/>
        <v/>
      </c>
    </row>
    <row r="5573" spans="20:20">
      <c r="T5573" t="str">
        <f t="shared" si="99"/>
        <v/>
      </c>
    </row>
    <row r="5574" spans="20:20">
      <c r="T5574" t="str">
        <f t="shared" si="99"/>
        <v/>
      </c>
    </row>
    <row r="5575" spans="20:20">
      <c r="T5575" t="str">
        <f t="shared" si="99"/>
        <v/>
      </c>
    </row>
    <row r="5576" spans="20:20">
      <c r="T5576" t="str">
        <f t="shared" si="99"/>
        <v/>
      </c>
    </row>
    <row r="5577" spans="20:20">
      <c r="T5577" t="str">
        <f t="shared" si="99"/>
        <v/>
      </c>
    </row>
    <row r="5578" spans="20:20">
      <c r="T5578" t="str">
        <f t="shared" si="99"/>
        <v/>
      </c>
    </row>
    <row r="5579" spans="20:20">
      <c r="T5579" t="str">
        <f t="shared" si="99"/>
        <v/>
      </c>
    </row>
    <row r="5580" spans="20:20">
      <c r="T5580" t="str">
        <f t="shared" si="99"/>
        <v/>
      </c>
    </row>
    <row r="5581" spans="20:20">
      <c r="T5581" t="str">
        <f t="shared" si="99"/>
        <v/>
      </c>
    </row>
    <row r="5582" spans="20:20">
      <c r="T5582" t="str">
        <f t="shared" si="99"/>
        <v/>
      </c>
    </row>
    <row r="5583" spans="20:20">
      <c r="T5583" t="str">
        <f t="shared" si="99"/>
        <v/>
      </c>
    </row>
    <row r="5584" spans="20:20">
      <c r="T5584" t="str">
        <f t="shared" si="99"/>
        <v/>
      </c>
    </row>
    <row r="5585" spans="20:20">
      <c r="T5585" t="str">
        <f t="shared" si="99"/>
        <v/>
      </c>
    </row>
    <row r="5586" spans="20:20">
      <c r="T5586" t="str">
        <f t="shared" si="99"/>
        <v/>
      </c>
    </row>
    <row r="5587" spans="20:20">
      <c r="T5587" t="str">
        <f t="shared" si="99"/>
        <v/>
      </c>
    </row>
    <row r="5588" spans="20:20">
      <c r="T5588" t="str">
        <f t="shared" si="99"/>
        <v/>
      </c>
    </row>
    <row r="5589" spans="20:20">
      <c r="T5589" t="str">
        <f t="shared" si="99"/>
        <v/>
      </c>
    </row>
    <row r="5590" spans="20:20">
      <c r="T5590" t="str">
        <f t="shared" si="99"/>
        <v/>
      </c>
    </row>
    <row r="5591" spans="20:20">
      <c r="T5591" t="str">
        <f t="shared" si="99"/>
        <v/>
      </c>
    </row>
    <row r="5592" spans="20:20">
      <c r="T5592" t="str">
        <f t="shared" si="99"/>
        <v/>
      </c>
    </row>
    <row r="5593" spans="20:20">
      <c r="T5593" t="str">
        <f t="shared" si="99"/>
        <v/>
      </c>
    </row>
    <row r="5594" spans="20:20">
      <c r="T5594" t="str">
        <f t="shared" si="99"/>
        <v/>
      </c>
    </row>
    <row r="5595" spans="20:20">
      <c r="T5595" t="str">
        <f t="shared" si="99"/>
        <v/>
      </c>
    </row>
    <row r="5596" spans="20:20">
      <c r="T5596" t="str">
        <f t="shared" si="99"/>
        <v/>
      </c>
    </row>
    <row r="5597" spans="20:20">
      <c r="T5597" t="str">
        <f t="shared" si="99"/>
        <v/>
      </c>
    </row>
    <row r="5598" spans="20:20">
      <c r="T5598" t="str">
        <f t="shared" si="99"/>
        <v/>
      </c>
    </row>
    <row r="5599" spans="20:20">
      <c r="T5599" t="str">
        <f t="shared" si="99"/>
        <v/>
      </c>
    </row>
    <row r="5600" spans="20:20">
      <c r="T5600" t="str">
        <f t="shared" si="99"/>
        <v/>
      </c>
    </row>
    <row r="5601" spans="20:20">
      <c r="T5601" t="str">
        <f t="shared" si="99"/>
        <v/>
      </c>
    </row>
    <row r="5602" spans="20:20">
      <c r="T5602" t="str">
        <f t="shared" si="99"/>
        <v/>
      </c>
    </row>
    <row r="5603" spans="20:20">
      <c r="T5603" t="str">
        <f t="shared" si="99"/>
        <v/>
      </c>
    </row>
    <row r="5604" spans="20:20">
      <c r="T5604" t="str">
        <f t="shared" si="99"/>
        <v/>
      </c>
    </row>
    <row r="5605" spans="20:20">
      <c r="T5605" t="str">
        <f t="shared" si="99"/>
        <v/>
      </c>
    </row>
    <row r="5606" spans="20:20">
      <c r="T5606" t="str">
        <f t="shared" si="99"/>
        <v/>
      </c>
    </row>
    <row r="5607" spans="20:20">
      <c r="T5607" t="str">
        <f t="shared" si="99"/>
        <v/>
      </c>
    </row>
    <row r="5608" spans="20:20">
      <c r="T5608" t="str">
        <f t="shared" si="99"/>
        <v/>
      </c>
    </row>
    <row r="5609" spans="20:20">
      <c r="T5609" t="str">
        <f t="shared" si="99"/>
        <v/>
      </c>
    </row>
    <row r="5610" spans="20:20">
      <c r="T5610" t="str">
        <f t="shared" si="99"/>
        <v/>
      </c>
    </row>
    <row r="5611" spans="20:20">
      <c r="T5611" t="str">
        <f t="shared" si="99"/>
        <v/>
      </c>
    </row>
    <row r="5612" spans="20:20">
      <c r="T5612" t="str">
        <f t="shared" si="99"/>
        <v/>
      </c>
    </row>
    <row r="5613" spans="20:20">
      <c r="T5613" t="str">
        <f t="shared" si="99"/>
        <v/>
      </c>
    </row>
    <row r="5614" spans="20:20">
      <c r="T5614" t="str">
        <f t="shared" si="99"/>
        <v/>
      </c>
    </row>
    <row r="5615" spans="20:20">
      <c r="T5615" t="str">
        <f t="shared" si="99"/>
        <v/>
      </c>
    </row>
    <row r="5616" spans="20:20">
      <c r="T5616" t="str">
        <f t="shared" si="99"/>
        <v/>
      </c>
    </row>
    <row r="5617" spans="20:20">
      <c r="T5617" t="str">
        <f t="shared" si="99"/>
        <v/>
      </c>
    </row>
    <row r="5618" spans="20:20">
      <c r="T5618" t="str">
        <f t="shared" si="99"/>
        <v/>
      </c>
    </row>
    <row r="5619" spans="20:20">
      <c r="T5619" t="str">
        <f t="shared" si="99"/>
        <v/>
      </c>
    </row>
    <row r="5620" spans="20:20">
      <c r="T5620" t="str">
        <f t="shared" si="99"/>
        <v/>
      </c>
    </row>
    <row r="5621" spans="20:20">
      <c r="T5621" t="str">
        <f t="shared" si="99"/>
        <v/>
      </c>
    </row>
    <row r="5622" spans="20:20">
      <c r="T5622" t="str">
        <f t="shared" si="99"/>
        <v/>
      </c>
    </row>
    <row r="5623" spans="20:20">
      <c r="T5623" t="str">
        <f t="shared" si="99"/>
        <v/>
      </c>
    </row>
    <row r="5624" spans="20:20">
      <c r="T5624" t="str">
        <f t="shared" si="99"/>
        <v/>
      </c>
    </row>
    <row r="5625" spans="20:20">
      <c r="T5625" t="str">
        <f t="shared" si="99"/>
        <v/>
      </c>
    </row>
    <row r="5626" spans="20:20">
      <c r="T5626" t="str">
        <f t="shared" si="99"/>
        <v/>
      </c>
    </row>
    <row r="5627" spans="20:20">
      <c r="T5627" t="str">
        <f t="shared" si="99"/>
        <v/>
      </c>
    </row>
    <row r="5628" spans="20:20">
      <c r="T5628" t="str">
        <f t="shared" si="99"/>
        <v/>
      </c>
    </row>
    <row r="5629" spans="20:20">
      <c r="T5629" t="str">
        <f t="shared" si="99"/>
        <v/>
      </c>
    </row>
    <row r="5630" spans="20:20">
      <c r="T5630" t="str">
        <f t="shared" si="99"/>
        <v/>
      </c>
    </row>
    <row r="5631" spans="20:20">
      <c r="T5631" t="str">
        <f t="shared" si="99"/>
        <v/>
      </c>
    </row>
    <row r="5632" spans="20:20">
      <c r="T5632" t="str">
        <f t="shared" si="99"/>
        <v/>
      </c>
    </row>
    <row r="5633" spans="20:20">
      <c r="T5633" t="str">
        <f t="shared" si="99"/>
        <v/>
      </c>
    </row>
    <row r="5634" spans="20:20">
      <c r="T5634" t="str">
        <f t="shared" ref="T5634:T5697" si="100">IF(C5634="","",UPPER(LEFT(SUBSTITUTE(C5634," ",""),3))&amp;"-"&amp;TEXT(B5634,"AAMMDD")&amp;"-1")</f>
        <v/>
      </c>
    </row>
    <row r="5635" spans="20:20">
      <c r="T5635" t="str">
        <f t="shared" si="100"/>
        <v/>
      </c>
    </row>
    <row r="5636" spans="20:20">
      <c r="T5636" t="str">
        <f t="shared" si="100"/>
        <v/>
      </c>
    </row>
    <row r="5637" spans="20:20">
      <c r="T5637" t="str">
        <f t="shared" si="100"/>
        <v/>
      </c>
    </row>
    <row r="5638" spans="20:20">
      <c r="T5638" t="str">
        <f t="shared" si="100"/>
        <v/>
      </c>
    </row>
    <row r="5639" spans="20:20">
      <c r="T5639" t="str">
        <f t="shared" si="100"/>
        <v/>
      </c>
    </row>
    <row r="5640" spans="20:20">
      <c r="T5640" t="str">
        <f t="shared" si="100"/>
        <v/>
      </c>
    </row>
    <row r="5641" spans="20:20">
      <c r="T5641" t="str">
        <f t="shared" si="100"/>
        <v/>
      </c>
    </row>
    <row r="5642" spans="20:20">
      <c r="T5642" t="str">
        <f t="shared" si="100"/>
        <v/>
      </c>
    </row>
    <row r="5643" spans="20:20">
      <c r="T5643" t="str">
        <f t="shared" si="100"/>
        <v/>
      </c>
    </row>
    <row r="5644" spans="20:20">
      <c r="T5644" t="str">
        <f t="shared" si="100"/>
        <v/>
      </c>
    </row>
    <row r="5645" spans="20:20">
      <c r="T5645" t="str">
        <f t="shared" si="100"/>
        <v/>
      </c>
    </row>
    <row r="5646" spans="20:20">
      <c r="T5646" t="str">
        <f t="shared" si="100"/>
        <v/>
      </c>
    </row>
    <row r="5647" spans="20:20">
      <c r="T5647" t="str">
        <f t="shared" si="100"/>
        <v/>
      </c>
    </row>
    <row r="5648" spans="20:20">
      <c r="T5648" t="str">
        <f t="shared" si="100"/>
        <v/>
      </c>
    </row>
    <row r="5649" spans="20:20">
      <c r="T5649" t="str">
        <f t="shared" si="100"/>
        <v/>
      </c>
    </row>
    <row r="5650" spans="20:20">
      <c r="T5650" t="str">
        <f t="shared" si="100"/>
        <v/>
      </c>
    </row>
    <row r="5651" spans="20:20">
      <c r="T5651" t="str">
        <f t="shared" si="100"/>
        <v/>
      </c>
    </row>
    <row r="5652" spans="20:20">
      <c r="T5652" t="str">
        <f t="shared" si="100"/>
        <v/>
      </c>
    </row>
    <row r="5653" spans="20:20">
      <c r="T5653" t="str">
        <f t="shared" si="100"/>
        <v/>
      </c>
    </row>
    <row r="5654" spans="20:20">
      <c r="T5654" t="str">
        <f t="shared" si="100"/>
        <v/>
      </c>
    </row>
    <row r="5655" spans="20:20">
      <c r="T5655" t="str">
        <f t="shared" si="100"/>
        <v/>
      </c>
    </row>
    <row r="5656" spans="20:20">
      <c r="T5656" t="str">
        <f t="shared" si="100"/>
        <v/>
      </c>
    </row>
    <row r="5657" spans="20:20">
      <c r="T5657" t="str">
        <f t="shared" si="100"/>
        <v/>
      </c>
    </row>
    <row r="5658" spans="20:20">
      <c r="T5658" t="str">
        <f t="shared" si="100"/>
        <v/>
      </c>
    </row>
    <row r="5659" spans="20:20">
      <c r="T5659" t="str">
        <f t="shared" si="100"/>
        <v/>
      </c>
    </row>
    <row r="5660" spans="20:20">
      <c r="T5660" t="str">
        <f t="shared" si="100"/>
        <v/>
      </c>
    </row>
    <row r="5661" spans="20:20">
      <c r="T5661" t="str">
        <f t="shared" si="100"/>
        <v/>
      </c>
    </row>
    <row r="5662" spans="20:20">
      <c r="T5662" t="str">
        <f t="shared" si="100"/>
        <v/>
      </c>
    </row>
    <row r="5663" spans="20:20">
      <c r="T5663" t="str">
        <f t="shared" si="100"/>
        <v/>
      </c>
    </row>
    <row r="5664" spans="20:20">
      <c r="T5664" t="str">
        <f t="shared" si="100"/>
        <v/>
      </c>
    </row>
    <row r="5665" spans="20:20">
      <c r="T5665" t="str">
        <f t="shared" si="100"/>
        <v/>
      </c>
    </row>
    <row r="5666" spans="20:20">
      <c r="T5666" t="str">
        <f t="shared" si="100"/>
        <v/>
      </c>
    </row>
    <row r="5667" spans="20:20">
      <c r="T5667" t="str">
        <f t="shared" si="100"/>
        <v/>
      </c>
    </row>
    <row r="5668" spans="20:20">
      <c r="T5668" t="str">
        <f t="shared" si="100"/>
        <v/>
      </c>
    </row>
    <row r="5669" spans="20:20">
      <c r="T5669" t="str">
        <f t="shared" si="100"/>
        <v/>
      </c>
    </row>
    <row r="5670" spans="20:20">
      <c r="T5670" t="str">
        <f t="shared" si="100"/>
        <v/>
      </c>
    </row>
    <row r="5671" spans="20:20">
      <c r="T5671" t="str">
        <f t="shared" si="100"/>
        <v/>
      </c>
    </row>
    <row r="5672" spans="20:20">
      <c r="T5672" t="str">
        <f t="shared" si="100"/>
        <v/>
      </c>
    </row>
    <row r="5673" spans="20:20">
      <c r="T5673" t="str">
        <f t="shared" si="100"/>
        <v/>
      </c>
    </row>
    <row r="5674" spans="20:20">
      <c r="T5674" t="str">
        <f t="shared" si="100"/>
        <v/>
      </c>
    </row>
    <row r="5675" spans="20:20">
      <c r="T5675" t="str">
        <f t="shared" si="100"/>
        <v/>
      </c>
    </row>
    <row r="5676" spans="20:20">
      <c r="T5676" t="str">
        <f t="shared" si="100"/>
        <v/>
      </c>
    </row>
    <row r="5677" spans="20:20">
      <c r="T5677" t="str">
        <f t="shared" si="100"/>
        <v/>
      </c>
    </row>
    <row r="5678" spans="20:20">
      <c r="T5678" t="str">
        <f t="shared" si="100"/>
        <v/>
      </c>
    </row>
    <row r="5679" spans="20:20">
      <c r="T5679" t="str">
        <f t="shared" si="100"/>
        <v/>
      </c>
    </row>
    <row r="5680" spans="20:20">
      <c r="T5680" t="str">
        <f t="shared" si="100"/>
        <v/>
      </c>
    </row>
    <row r="5681" spans="20:20">
      <c r="T5681" t="str">
        <f t="shared" si="100"/>
        <v/>
      </c>
    </row>
    <row r="5682" spans="20:20">
      <c r="T5682" t="str">
        <f t="shared" si="100"/>
        <v/>
      </c>
    </row>
    <row r="5683" spans="20:20">
      <c r="T5683" t="str">
        <f t="shared" si="100"/>
        <v/>
      </c>
    </row>
    <row r="5684" spans="20:20">
      <c r="T5684" t="str">
        <f t="shared" si="100"/>
        <v/>
      </c>
    </row>
    <row r="5685" spans="20:20">
      <c r="T5685" t="str">
        <f t="shared" si="100"/>
        <v/>
      </c>
    </row>
    <row r="5686" spans="20:20">
      <c r="T5686" t="str">
        <f t="shared" si="100"/>
        <v/>
      </c>
    </row>
    <row r="5687" spans="20:20">
      <c r="T5687" t="str">
        <f t="shared" si="100"/>
        <v/>
      </c>
    </row>
    <row r="5688" spans="20:20">
      <c r="T5688" t="str">
        <f t="shared" si="100"/>
        <v/>
      </c>
    </row>
    <row r="5689" spans="20:20">
      <c r="T5689" t="str">
        <f t="shared" si="100"/>
        <v/>
      </c>
    </row>
    <row r="5690" spans="20:20">
      <c r="T5690" t="str">
        <f t="shared" si="100"/>
        <v/>
      </c>
    </row>
    <row r="5691" spans="20:20">
      <c r="T5691" t="str">
        <f t="shared" si="100"/>
        <v/>
      </c>
    </row>
    <row r="5692" spans="20:20">
      <c r="T5692" t="str">
        <f t="shared" si="100"/>
        <v/>
      </c>
    </row>
    <row r="5693" spans="20:20">
      <c r="T5693" t="str">
        <f t="shared" si="100"/>
        <v/>
      </c>
    </row>
    <row r="5694" spans="20:20">
      <c r="T5694" t="str">
        <f t="shared" si="100"/>
        <v/>
      </c>
    </row>
    <row r="5695" spans="20:20">
      <c r="T5695" t="str">
        <f t="shared" si="100"/>
        <v/>
      </c>
    </row>
    <row r="5696" spans="20:20">
      <c r="T5696" t="str">
        <f t="shared" si="100"/>
        <v/>
      </c>
    </row>
    <row r="5697" spans="20:20">
      <c r="T5697" t="str">
        <f t="shared" si="100"/>
        <v/>
      </c>
    </row>
    <row r="5698" spans="20:20">
      <c r="T5698" t="str">
        <f t="shared" ref="T5698:T5761" si="101">IF(C5698="","",UPPER(LEFT(SUBSTITUTE(C5698," ",""),3))&amp;"-"&amp;TEXT(B5698,"AAMMDD")&amp;"-1")</f>
        <v/>
      </c>
    </row>
    <row r="5699" spans="20:20">
      <c r="T5699" t="str">
        <f t="shared" si="101"/>
        <v/>
      </c>
    </row>
    <row r="5700" spans="20:20">
      <c r="T5700" t="str">
        <f t="shared" si="101"/>
        <v/>
      </c>
    </row>
    <row r="5701" spans="20:20">
      <c r="T5701" t="str">
        <f t="shared" si="101"/>
        <v/>
      </c>
    </row>
    <row r="5702" spans="20:20">
      <c r="T5702" t="str">
        <f t="shared" si="101"/>
        <v/>
      </c>
    </row>
    <row r="5703" spans="20:20">
      <c r="T5703" t="str">
        <f t="shared" si="101"/>
        <v/>
      </c>
    </row>
    <row r="5704" spans="20:20">
      <c r="T5704" t="str">
        <f t="shared" si="101"/>
        <v/>
      </c>
    </row>
    <row r="5705" spans="20:20">
      <c r="T5705" t="str">
        <f t="shared" si="101"/>
        <v/>
      </c>
    </row>
    <row r="5706" spans="20:20">
      <c r="T5706" t="str">
        <f t="shared" si="101"/>
        <v/>
      </c>
    </row>
    <row r="5707" spans="20:20">
      <c r="T5707" t="str">
        <f t="shared" si="101"/>
        <v/>
      </c>
    </row>
    <row r="5708" spans="20:20">
      <c r="T5708" t="str">
        <f t="shared" si="101"/>
        <v/>
      </c>
    </row>
    <row r="5709" spans="20:20">
      <c r="T5709" t="str">
        <f t="shared" si="101"/>
        <v/>
      </c>
    </row>
    <row r="5710" spans="20:20">
      <c r="T5710" t="str">
        <f t="shared" si="101"/>
        <v/>
      </c>
    </row>
    <row r="5711" spans="20:20">
      <c r="T5711" t="str">
        <f t="shared" si="101"/>
        <v/>
      </c>
    </row>
    <row r="5712" spans="20:20">
      <c r="T5712" t="str">
        <f t="shared" si="101"/>
        <v/>
      </c>
    </row>
    <row r="5713" spans="20:20">
      <c r="T5713" t="str">
        <f t="shared" si="101"/>
        <v/>
      </c>
    </row>
    <row r="5714" spans="20:20">
      <c r="T5714" t="str">
        <f t="shared" si="101"/>
        <v/>
      </c>
    </row>
    <row r="5715" spans="20:20">
      <c r="T5715" t="str">
        <f t="shared" si="101"/>
        <v/>
      </c>
    </row>
    <row r="5716" spans="20:20">
      <c r="T5716" t="str">
        <f t="shared" si="101"/>
        <v/>
      </c>
    </row>
    <row r="5717" spans="20:20">
      <c r="T5717" t="str">
        <f t="shared" si="101"/>
        <v/>
      </c>
    </row>
    <row r="5718" spans="20:20">
      <c r="T5718" t="str">
        <f t="shared" si="101"/>
        <v/>
      </c>
    </row>
    <row r="5719" spans="20:20">
      <c r="T5719" t="str">
        <f t="shared" si="101"/>
        <v/>
      </c>
    </row>
    <row r="5720" spans="20:20">
      <c r="T5720" t="str">
        <f t="shared" si="101"/>
        <v/>
      </c>
    </row>
    <row r="5721" spans="20:20">
      <c r="T5721" t="str">
        <f t="shared" si="101"/>
        <v/>
      </c>
    </row>
    <row r="5722" spans="20:20">
      <c r="T5722" t="str">
        <f t="shared" si="101"/>
        <v/>
      </c>
    </row>
    <row r="5723" spans="20:20">
      <c r="T5723" t="str">
        <f t="shared" si="101"/>
        <v/>
      </c>
    </row>
    <row r="5724" spans="20:20">
      <c r="T5724" t="str">
        <f t="shared" si="101"/>
        <v/>
      </c>
    </row>
    <row r="5725" spans="20:20">
      <c r="T5725" t="str">
        <f t="shared" si="101"/>
        <v/>
      </c>
    </row>
    <row r="5726" spans="20:20">
      <c r="T5726" t="str">
        <f t="shared" si="101"/>
        <v/>
      </c>
    </row>
    <row r="5727" spans="20:20">
      <c r="T5727" t="str">
        <f t="shared" si="101"/>
        <v/>
      </c>
    </row>
    <row r="5728" spans="20:20">
      <c r="T5728" t="str">
        <f t="shared" si="101"/>
        <v/>
      </c>
    </row>
    <row r="5729" spans="20:20">
      <c r="T5729" t="str">
        <f t="shared" si="101"/>
        <v/>
      </c>
    </row>
    <row r="5730" spans="20:20">
      <c r="T5730" t="str">
        <f t="shared" si="101"/>
        <v/>
      </c>
    </row>
    <row r="5731" spans="20:20">
      <c r="T5731" t="str">
        <f t="shared" si="101"/>
        <v/>
      </c>
    </row>
    <row r="5732" spans="20:20">
      <c r="T5732" t="str">
        <f t="shared" si="101"/>
        <v/>
      </c>
    </row>
    <row r="5733" spans="20:20">
      <c r="T5733" t="str">
        <f t="shared" si="101"/>
        <v/>
      </c>
    </row>
    <row r="5734" spans="20:20">
      <c r="T5734" t="str">
        <f t="shared" si="101"/>
        <v/>
      </c>
    </row>
    <row r="5735" spans="20:20">
      <c r="T5735" t="str">
        <f t="shared" si="101"/>
        <v/>
      </c>
    </row>
    <row r="5736" spans="20:20">
      <c r="T5736" t="str">
        <f t="shared" si="101"/>
        <v/>
      </c>
    </row>
    <row r="5737" spans="20:20">
      <c r="T5737" t="str">
        <f t="shared" si="101"/>
        <v/>
      </c>
    </row>
    <row r="5738" spans="20:20">
      <c r="T5738" t="str">
        <f t="shared" si="101"/>
        <v/>
      </c>
    </row>
    <row r="5739" spans="20:20">
      <c r="T5739" t="str">
        <f t="shared" si="101"/>
        <v/>
      </c>
    </row>
    <row r="5740" spans="20:20">
      <c r="T5740" t="str">
        <f t="shared" si="101"/>
        <v/>
      </c>
    </row>
    <row r="5741" spans="20:20">
      <c r="T5741" t="str">
        <f t="shared" si="101"/>
        <v/>
      </c>
    </row>
    <row r="5742" spans="20:20">
      <c r="T5742" t="str">
        <f t="shared" si="101"/>
        <v/>
      </c>
    </row>
    <row r="5743" spans="20:20">
      <c r="T5743" t="str">
        <f t="shared" si="101"/>
        <v/>
      </c>
    </row>
    <row r="5744" spans="20:20">
      <c r="T5744" t="str">
        <f t="shared" si="101"/>
        <v/>
      </c>
    </row>
    <row r="5745" spans="20:20">
      <c r="T5745" t="str">
        <f t="shared" si="101"/>
        <v/>
      </c>
    </row>
    <row r="5746" spans="20:20">
      <c r="T5746" t="str">
        <f t="shared" si="101"/>
        <v/>
      </c>
    </row>
    <row r="5747" spans="20:20">
      <c r="T5747" t="str">
        <f t="shared" si="101"/>
        <v/>
      </c>
    </row>
    <row r="5748" spans="20:20">
      <c r="T5748" t="str">
        <f t="shared" si="101"/>
        <v/>
      </c>
    </row>
    <row r="5749" spans="20:20">
      <c r="T5749" t="str">
        <f t="shared" si="101"/>
        <v/>
      </c>
    </row>
    <row r="5750" spans="20:20">
      <c r="T5750" t="str">
        <f t="shared" si="101"/>
        <v/>
      </c>
    </row>
    <row r="5751" spans="20:20">
      <c r="T5751" t="str">
        <f t="shared" si="101"/>
        <v/>
      </c>
    </row>
    <row r="5752" spans="20:20">
      <c r="T5752" t="str">
        <f t="shared" si="101"/>
        <v/>
      </c>
    </row>
    <row r="5753" spans="20:20">
      <c r="T5753" t="str">
        <f t="shared" si="101"/>
        <v/>
      </c>
    </row>
    <row r="5754" spans="20:20">
      <c r="T5754" t="str">
        <f t="shared" si="101"/>
        <v/>
      </c>
    </row>
    <row r="5755" spans="20:20">
      <c r="T5755" t="str">
        <f t="shared" si="101"/>
        <v/>
      </c>
    </row>
    <row r="5756" spans="20:20">
      <c r="T5756" t="str">
        <f t="shared" si="101"/>
        <v/>
      </c>
    </row>
    <row r="5757" spans="20:20">
      <c r="T5757" t="str">
        <f t="shared" si="101"/>
        <v/>
      </c>
    </row>
    <row r="5758" spans="20:20">
      <c r="T5758" t="str">
        <f t="shared" si="101"/>
        <v/>
      </c>
    </row>
    <row r="5759" spans="20:20">
      <c r="T5759" t="str">
        <f t="shared" si="101"/>
        <v/>
      </c>
    </row>
    <row r="5760" spans="20:20">
      <c r="T5760" t="str">
        <f t="shared" si="101"/>
        <v/>
      </c>
    </row>
    <row r="5761" spans="20:20">
      <c r="T5761" t="str">
        <f t="shared" si="101"/>
        <v/>
      </c>
    </row>
    <row r="5762" spans="20:20">
      <c r="T5762" t="str">
        <f t="shared" ref="T5762:T5825" si="102">IF(C5762="","",UPPER(LEFT(SUBSTITUTE(C5762," ",""),3))&amp;"-"&amp;TEXT(B5762,"AAMMDD")&amp;"-1")</f>
        <v/>
      </c>
    </row>
    <row r="5763" spans="20:20">
      <c r="T5763" t="str">
        <f t="shared" si="102"/>
        <v/>
      </c>
    </row>
    <row r="5764" spans="20:20">
      <c r="T5764" t="str">
        <f t="shared" si="102"/>
        <v/>
      </c>
    </row>
    <row r="5765" spans="20:20">
      <c r="T5765" t="str">
        <f t="shared" si="102"/>
        <v/>
      </c>
    </row>
    <row r="5766" spans="20:20">
      <c r="T5766" t="str">
        <f t="shared" si="102"/>
        <v/>
      </c>
    </row>
    <row r="5767" spans="20:20">
      <c r="T5767" t="str">
        <f t="shared" si="102"/>
        <v/>
      </c>
    </row>
    <row r="5768" spans="20:20">
      <c r="T5768" t="str">
        <f t="shared" si="102"/>
        <v/>
      </c>
    </row>
    <row r="5769" spans="20:20">
      <c r="T5769" t="str">
        <f t="shared" si="102"/>
        <v/>
      </c>
    </row>
    <row r="5770" spans="20:20">
      <c r="T5770" t="str">
        <f t="shared" si="102"/>
        <v/>
      </c>
    </row>
    <row r="5771" spans="20:20">
      <c r="T5771" t="str">
        <f t="shared" si="102"/>
        <v/>
      </c>
    </row>
    <row r="5772" spans="20:20">
      <c r="T5772" t="str">
        <f t="shared" si="102"/>
        <v/>
      </c>
    </row>
    <row r="5773" spans="20:20">
      <c r="T5773" t="str">
        <f t="shared" si="102"/>
        <v/>
      </c>
    </row>
    <row r="5774" spans="20:20">
      <c r="T5774" t="str">
        <f t="shared" si="102"/>
        <v/>
      </c>
    </row>
    <row r="5775" spans="20:20">
      <c r="T5775" t="str">
        <f t="shared" si="102"/>
        <v/>
      </c>
    </row>
    <row r="5776" spans="20:20">
      <c r="T5776" t="str">
        <f t="shared" si="102"/>
        <v/>
      </c>
    </row>
    <row r="5777" spans="20:20">
      <c r="T5777" t="str">
        <f t="shared" si="102"/>
        <v/>
      </c>
    </row>
    <row r="5778" spans="20:20">
      <c r="T5778" t="str">
        <f t="shared" si="102"/>
        <v/>
      </c>
    </row>
    <row r="5779" spans="20:20">
      <c r="T5779" t="str">
        <f t="shared" si="102"/>
        <v/>
      </c>
    </row>
    <row r="5780" spans="20:20">
      <c r="T5780" t="str">
        <f t="shared" si="102"/>
        <v/>
      </c>
    </row>
    <row r="5781" spans="20:20">
      <c r="T5781" t="str">
        <f t="shared" si="102"/>
        <v/>
      </c>
    </row>
    <row r="5782" spans="20:20">
      <c r="T5782" t="str">
        <f t="shared" si="102"/>
        <v/>
      </c>
    </row>
    <row r="5783" spans="20:20">
      <c r="T5783" t="str">
        <f t="shared" si="102"/>
        <v/>
      </c>
    </row>
    <row r="5784" spans="20:20">
      <c r="T5784" t="str">
        <f t="shared" si="102"/>
        <v/>
      </c>
    </row>
    <row r="5785" spans="20:20">
      <c r="T5785" t="str">
        <f t="shared" si="102"/>
        <v/>
      </c>
    </row>
    <row r="5786" spans="20:20">
      <c r="T5786" t="str">
        <f t="shared" si="102"/>
        <v/>
      </c>
    </row>
    <row r="5787" spans="20:20">
      <c r="T5787" t="str">
        <f t="shared" si="102"/>
        <v/>
      </c>
    </row>
    <row r="5788" spans="20:20">
      <c r="T5788" t="str">
        <f t="shared" si="102"/>
        <v/>
      </c>
    </row>
    <row r="5789" spans="20:20">
      <c r="T5789" t="str">
        <f t="shared" si="102"/>
        <v/>
      </c>
    </row>
    <row r="5790" spans="20:20">
      <c r="T5790" t="str">
        <f t="shared" si="102"/>
        <v/>
      </c>
    </row>
    <row r="5791" spans="20:20">
      <c r="T5791" t="str">
        <f t="shared" si="102"/>
        <v/>
      </c>
    </row>
    <row r="5792" spans="20:20">
      <c r="T5792" t="str">
        <f t="shared" si="102"/>
        <v/>
      </c>
    </row>
    <row r="5793" spans="20:20">
      <c r="T5793" t="str">
        <f t="shared" si="102"/>
        <v/>
      </c>
    </row>
    <row r="5794" spans="20:20">
      <c r="T5794" t="str">
        <f t="shared" si="102"/>
        <v/>
      </c>
    </row>
    <row r="5795" spans="20:20">
      <c r="T5795" t="str">
        <f t="shared" si="102"/>
        <v/>
      </c>
    </row>
    <row r="5796" spans="20:20">
      <c r="T5796" t="str">
        <f t="shared" si="102"/>
        <v/>
      </c>
    </row>
    <row r="5797" spans="20:20">
      <c r="T5797" t="str">
        <f t="shared" si="102"/>
        <v/>
      </c>
    </row>
    <row r="5798" spans="20:20">
      <c r="T5798" t="str">
        <f t="shared" si="102"/>
        <v/>
      </c>
    </row>
    <row r="5799" spans="20:20">
      <c r="T5799" t="str">
        <f t="shared" si="102"/>
        <v/>
      </c>
    </row>
    <row r="5800" spans="20:20">
      <c r="T5800" t="str">
        <f t="shared" si="102"/>
        <v/>
      </c>
    </row>
    <row r="5801" spans="20:20">
      <c r="T5801" t="str">
        <f t="shared" si="102"/>
        <v/>
      </c>
    </row>
    <row r="5802" spans="20:20">
      <c r="T5802" t="str">
        <f t="shared" si="102"/>
        <v/>
      </c>
    </row>
    <row r="5803" spans="20:20">
      <c r="T5803" t="str">
        <f t="shared" si="102"/>
        <v/>
      </c>
    </row>
    <row r="5804" spans="20:20">
      <c r="T5804" t="str">
        <f t="shared" si="102"/>
        <v/>
      </c>
    </row>
    <row r="5805" spans="20:20">
      <c r="T5805" t="str">
        <f t="shared" si="102"/>
        <v/>
      </c>
    </row>
    <row r="5806" spans="20:20">
      <c r="T5806" t="str">
        <f t="shared" si="102"/>
        <v/>
      </c>
    </row>
    <row r="5807" spans="20:20">
      <c r="T5807" t="str">
        <f t="shared" si="102"/>
        <v/>
      </c>
    </row>
    <row r="5808" spans="20:20">
      <c r="T5808" t="str">
        <f t="shared" si="102"/>
        <v/>
      </c>
    </row>
    <row r="5809" spans="20:20">
      <c r="T5809" t="str">
        <f t="shared" si="102"/>
        <v/>
      </c>
    </row>
    <row r="5810" spans="20:20">
      <c r="T5810" t="str">
        <f t="shared" si="102"/>
        <v/>
      </c>
    </row>
    <row r="5811" spans="20:20">
      <c r="T5811" t="str">
        <f t="shared" si="102"/>
        <v/>
      </c>
    </row>
    <row r="5812" spans="20:20">
      <c r="T5812" t="str">
        <f t="shared" si="102"/>
        <v/>
      </c>
    </row>
    <row r="5813" spans="20:20">
      <c r="T5813" t="str">
        <f t="shared" si="102"/>
        <v/>
      </c>
    </row>
    <row r="5814" spans="20:20">
      <c r="T5814" t="str">
        <f t="shared" si="102"/>
        <v/>
      </c>
    </row>
    <row r="5815" spans="20:20">
      <c r="T5815" t="str">
        <f t="shared" si="102"/>
        <v/>
      </c>
    </row>
    <row r="5816" spans="20:20">
      <c r="T5816" t="str">
        <f t="shared" si="102"/>
        <v/>
      </c>
    </row>
    <row r="5817" spans="20:20">
      <c r="T5817" t="str">
        <f t="shared" si="102"/>
        <v/>
      </c>
    </row>
    <row r="5818" spans="20:20">
      <c r="T5818" t="str">
        <f t="shared" si="102"/>
        <v/>
      </c>
    </row>
    <row r="5819" spans="20:20">
      <c r="T5819" t="str">
        <f t="shared" si="102"/>
        <v/>
      </c>
    </row>
    <row r="5820" spans="20:20">
      <c r="T5820" t="str">
        <f t="shared" si="102"/>
        <v/>
      </c>
    </row>
    <row r="5821" spans="20:20">
      <c r="T5821" t="str">
        <f t="shared" si="102"/>
        <v/>
      </c>
    </row>
    <row r="5822" spans="20:20">
      <c r="T5822" t="str">
        <f t="shared" si="102"/>
        <v/>
      </c>
    </row>
    <row r="5823" spans="20:20">
      <c r="T5823" t="str">
        <f t="shared" si="102"/>
        <v/>
      </c>
    </row>
    <row r="5824" spans="20:20">
      <c r="T5824" t="str">
        <f t="shared" si="102"/>
        <v/>
      </c>
    </row>
    <row r="5825" spans="20:20">
      <c r="T5825" t="str">
        <f t="shared" si="102"/>
        <v/>
      </c>
    </row>
    <row r="5826" spans="20:20">
      <c r="T5826" t="str">
        <f t="shared" ref="T5826:T5889" si="103">IF(C5826="","",UPPER(LEFT(SUBSTITUTE(C5826," ",""),3))&amp;"-"&amp;TEXT(B5826,"AAMMDD")&amp;"-1")</f>
        <v/>
      </c>
    </row>
    <row r="5827" spans="20:20">
      <c r="T5827" t="str">
        <f t="shared" si="103"/>
        <v/>
      </c>
    </row>
    <row r="5828" spans="20:20">
      <c r="T5828" t="str">
        <f t="shared" si="103"/>
        <v/>
      </c>
    </row>
    <row r="5829" spans="20:20">
      <c r="T5829" t="str">
        <f t="shared" si="103"/>
        <v/>
      </c>
    </row>
    <row r="5830" spans="20:20">
      <c r="T5830" t="str">
        <f t="shared" si="103"/>
        <v/>
      </c>
    </row>
    <row r="5831" spans="20:20">
      <c r="T5831" t="str">
        <f t="shared" si="103"/>
        <v/>
      </c>
    </row>
    <row r="5832" spans="20:20">
      <c r="T5832" t="str">
        <f t="shared" si="103"/>
        <v/>
      </c>
    </row>
    <row r="5833" spans="20:20">
      <c r="T5833" t="str">
        <f t="shared" si="103"/>
        <v/>
      </c>
    </row>
    <row r="5834" spans="20:20">
      <c r="T5834" t="str">
        <f t="shared" si="103"/>
        <v/>
      </c>
    </row>
    <row r="5835" spans="20:20">
      <c r="T5835" t="str">
        <f t="shared" si="103"/>
        <v/>
      </c>
    </row>
    <row r="5836" spans="20:20">
      <c r="T5836" t="str">
        <f t="shared" si="103"/>
        <v/>
      </c>
    </row>
    <row r="5837" spans="20:20">
      <c r="T5837" t="str">
        <f t="shared" si="103"/>
        <v/>
      </c>
    </row>
    <row r="5838" spans="20:20">
      <c r="T5838" t="str">
        <f t="shared" si="103"/>
        <v/>
      </c>
    </row>
    <row r="5839" spans="20:20">
      <c r="T5839" t="str">
        <f t="shared" si="103"/>
        <v/>
      </c>
    </row>
    <row r="5840" spans="20:20">
      <c r="T5840" t="str">
        <f t="shared" si="103"/>
        <v/>
      </c>
    </row>
    <row r="5841" spans="20:20">
      <c r="T5841" t="str">
        <f t="shared" si="103"/>
        <v/>
      </c>
    </row>
    <row r="5842" spans="20:20">
      <c r="T5842" t="str">
        <f t="shared" si="103"/>
        <v/>
      </c>
    </row>
    <row r="5843" spans="20:20">
      <c r="T5843" t="str">
        <f t="shared" si="103"/>
        <v/>
      </c>
    </row>
    <row r="5844" spans="20:20">
      <c r="T5844" t="str">
        <f t="shared" si="103"/>
        <v/>
      </c>
    </row>
    <row r="5845" spans="20:20">
      <c r="T5845" t="str">
        <f t="shared" si="103"/>
        <v/>
      </c>
    </row>
    <row r="5846" spans="20:20">
      <c r="T5846" t="str">
        <f t="shared" si="103"/>
        <v/>
      </c>
    </row>
    <row r="5847" spans="20:20">
      <c r="T5847" t="str">
        <f t="shared" si="103"/>
        <v/>
      </c>
    </row>
    <row r="5848" spans="20:20">
      <c r="T5848" t="str">
        <f t="shared" si="103"/>
        <v/>
      </c>
    </row>
    <row r="5849" spans="20:20">
      <c r="T5849" t="str">
        <f t="shared" si="103"/>
        <v/>
      </c>
    </row>
    <row r="5850" spans="20:20">
      <c r="T5850" t="str">
        <f t="shared" si="103"/>
        <v/>
      </c>
    </row>
    <row r="5851" spans="20:20">
      <c r="T5851" t="str">
        <f t="shared" si="103"/>
        <v/>
      </c>
    </row>
    <row r="5852" spans="20:20">
      <c r="T5852" t="str">
        <f t="shared" si="103"/>
        <v/>
      </c>
    </row>
    <row r="5853" spans="20:20">
      <c r="T5853" t="str">
        <f t="shared" si="103"/>
        <v/>
      </c>
    </row>
    <row r="5854" spans="20:20">
      <c r="T5854" t="str">
        <f t="shared" si="103"/>
        <v/>
      </c>
    </row>
    <row r="5855" spans="20:20">
      <c r="T5855" t="str">
        <f t="shared" si="103"/>
        <v/>
      </c>
    </row>
    <row r="5856" spans="20:20">
      <c r="T5856" t="str">
        <f t="shared" si="103"/>
        <v/>
      </c>
    </row>
    <row r="5857" spans="20:20">
      <c r="T5857" t="str">
        <f t="shared" si="103"/>
        <v/>
      </c>
    </row>
    <row r="5858" spans="20:20">
      <c r="T5858" t="str">
        <f t="shared" si="103"/>
        <v/>
      </c>
    </row>
    <row r="5859" spans="20:20">
      <c r="T5859" t="str">
        <f t="shared" si="103"/>
        <v/>
      </c>
    </row>
    <row r="5860" spans="20:20">
      <c r="T5860" t="str">
        <f t="shared" si="103"/>
        <v/>
      </c>
    </row>
    <row r="5861" spans="20:20">
      <c r="T5861" t="str">
        <f t="shared" si="103"/>
        <v/>
      </c>
    </row>
    <row r="5862" spans="20:20">
      <c r="T5862" t="str">
        <f t="shared" si="103"/>
        <v/>
      </c>
    </row>
    <row r="5863" spans="20:20">
      <c r="T5863" t="str">
        <f t="shared" si="103"/>
        <v/>
      </c>
    </row>
    <row r="5864" spans="20:20">
      <c r="T5864" t="str">
        <f t="shared" si="103"/>
        <v/>
      </c>
    </row>
    <row r="5865" spans="20:20">
      <c r="T5865" t="str">
        <f t="shared" si="103"/>
        <v/>
      </c>
    </row>
    <row r="5866" spans="20:20">
      <c r="T5866" t="str">
        <f t="shared" si="103"/>
        <v/>
      </c>
    </row>
    <row r="5867" spans="20:20">
      <c r="T5867" t="str">
        <f t="shared" si="103"/>
        <v/>
      </c>
    </row>
    <row r="5868" spans="20:20">
      <c r="T5868" t="str">
        <f t="shared" si="103"/>
        <v/>
      </c>
    </row>
    <row r="5869" spans="20:20">
      <c r="T5869" t="str">
        <f t="shared" si="103"/>
        <v/>
      </c>
    </row>
    <row r="5870" spans="20:20">
      <c r="T5870" t="str">
        <f t="shared" si="103"/>
        <v/>
      </c>
    </row>
    <row r="5871" spans="20:20">
      <c r="T5871" t="str">
        <f t="shared" si="103"/>
        <v/>
      </c>
    </row>
    <row r="5872" spans="20:20">
      <c r="T5872" t="str">
        <f t="shared" si="103"/>
        <v/>
      </c>
    </row>
    <row r="5873" spans="20:20">
      <c r="T5873" t="str">
        <f t="shared" si="103"/>
        <v/>
      </c>
    </row>
    <row r="5874" spans="20:20">
      <c r="T5874" t="str">
        <f t="shared" si="103"/>
        <v/>
      </c>
    </row>
    <row r="5875" spans="20:20">
      <c r="T5875" t="str">
        <f t="shared" si="103"/>
        <v/>
      </c>
    </row>
    <row r="5876" spans="20:20">
      <c r="T5876" t="str">
        <f t="shared" si="103"/>
        <v/>
      </c>
    </row>
    <row r="5877" spans="20:20">
      <c r="T5877" t="str">
        <f t="shared" si="103"/>
        <v/>
      </c>
    </row>
    <row r="5878" spans="20:20">
      <c r="T5878" t="str">
        <f t="shared" si="103"/>
        <v/>
      </c>
    </row>
    <row r="5879" spans="20:20">
      <c r="T5879" t="str">
        <f t="shared" si="103"/>
        <v/>
      </c>
    </row>
    <row r="5880" spans="20:20">
      <c r="T5880" t="str">
        <f t="shared" si="103"/>
        <v/>
      </c>
    </row>
    <row r="5881" spans="20:20">
      <c r="T5881" t="str">
        <f t="shared" si="103"/>
        <v/>
      </c>
    </row>
    <row r="5882" spans="20:20">
      <c r="T5882" t="str">
        <f t="shared" si="103"/>
        <v/>
      </c>
    </row>
    <row r="5883" spans="20:20">
      <c r="T5883" t="str">
        <f t="shared" si="103"/>
        <v/>
      </c>
    </row>
    <row r="5884" spans="20:20">
      <c r="T5884" t="str">
        <f t="shared" si="103"/>
        <v/>
      </c>
    </row>
    <row r="5885" spans="20:20">
      <c r="T5885" t="str">
        <f t="shared" si="103"/>
        <v/>
      </c>
    </row>
    <row r="5886" spans="20:20">
      <c r="T5886" t="str">
        <f t="shared" si="103"/>
        <v/>
      </c>
    </row>
    <row r="5887" spans="20:20">
      <c r="T5887" t="str">
        <f t="shared" si="103"/>
        <v/>
      </c>
    </row>
    <row r="5888" spans="20:20">
      <c r="T5888" t="str">
        <f t="shared" si="103"/>
        <v/>
      </c>
    </row>
    <row r="5889" spans="20:20">
      <c r="T5889" t="str">
        <f t="shared" si="103"/>
        <v/>
      </c>
    </row>
    <row r="5890" spans="20:20">
      <c r="T5890" t="str">
        <f t="shared" ref="T5890:T5953" si="104">IF(C5890="","",UPPER(LEFT(SUBSTITUTE(C5890," ",""),3))&amp;"-"&amp;TEXT(B5890,"AAMMDD")&amp;"-1")</f>
        <v/>
      </c>
    </row>
    <row r="5891" spans="20:20">
      <c r="T5891" t="str">
        <f t="shared" si="104"/>
        <v/>
      </c>
    </row>
    <row r="5892" spans="20:20">
      <c r="T5892" t="str">
        <f t="shared" si="104"/>
        <v/>
      </c>
    </row>
    <row r="5893" spans="20:20">
      <c r="T5893" t="str">
        <f t="shared" si="104"/>
        <v/>
      </c>
    </row>
    <row r="5894" spans="20:20">
      <c r="T5894" t="str">
        <f t="shared" si="104"/>
        <v/>
      </c>
    </row>
    <row r="5895" spans="20:20">
      <c r="T5895" t="str">
        <f t="shared" si="104"/>
        <v/>
      </c>
    </row>
    <row r="5896" spans="20:20">
      <c r="T5896" t="str">
        <f t="shared" si="104"/>
        <v/>
      </c>
    </row>
    <row r="5897" spans="20:20">
      <c r="T5897" t="str">
        <f t="shared" si="104"/>
        <v/>
      </c>
    </row>
    <row r="5898" spans="20:20">
      <c r="T5898" t="str">
        <f t="shared" si="104"/>
        <v/>
      </c>
    </row>
    <row r="5899" spans="20:20">
      <c r="T5899" t="str">
        <f t="shared" si="104"/>
        <v/>
      </c>
    </row>
    <row r="5900" spans="20:20">
      <c r="T5900" t="str">
        <f t="shared" si="104"/>
        <v/>
      </c>
    </row>
    <row r="5901" spans="20:20">
      <c r="T5901" t="str">
        <f t="shared" si="104"/>
        <v/>
      </c>
    </row>
    <row r="5902" spans="20:20">
      <c r="T5902" t="str">
        <f t="shared" si="104"/>
        <v/>
      </c>
    </row>
    <row r="5903" spans="20:20">
      <c r="T5903" t="str">
        <f t="shared" si="104"/>
        <v/>
      </c>
    </row>
    <row r="5904" spans="20:20">
      <c r="T5904" t="str">
        <f t="shared" si="104"/>
        <v/>
      </c>
    </row>
    <row r="5905" spans="20:20">
      <c r="T5905" t="str">
        <f t="shared" si="104"/>
        <v/>
      </c>
    </row>
    <row r="5906" spans="20:20">
      <c r="T5906" t="str">
        <f t="shared" si="104"/>
        <v/>
      </c>
    </row>
    <row r="5907" spans="20:20">
      <c r="T5907" t="str">
        <f t="shared" si="104"/>
        <v/>
      </c>
    </row>
    <row r="5908" spans="20:20">
      <c r="T5908" t="str">
        <f t="shared" si="104"/>
        <v/>
      </c>
    </row>
    <row r="5909" spans="20:20">
      <c r="T5909" t="str">
        <f t="shared" si="104"/>
        <v/>
      </c>
    </row>
    <row r="5910" spans="20:20">
      <c r="T5910" t="str">
        <f t="shared" si="104"/>
        <v/>
      </c>
    </row>
    <row r="5911" spans="20:20">
      <c r="T5911" t="str">
        <f t="shared" si="104"/>
        <v/>
      </c>
    </row>
    <row r="5912" spans="20:20">
      <c r="T5912" t="str">
        <f t="shared" si="104"/>
        <v/>
      </c>
    </row>
    <row r="5913" spans="20:20">
      <c r="T5913" t="str">
        <f t="shared" si="104"/>
        <v/>
      </c>
    </row>
    <row r="5914" spans="20:20">
      <c r="T5914" t="str">
        <f t="shared" si="104"/>
        <v/>
      </c>
    </row>
    <row r="5915" spans="20:20">
      <c r="T5915" t="str">
        <f t="shared" si="104"/>
        <v/>
      </c>
    </row>
    <row r="5916" spans="20:20">
      <c r="T5916" t="str">
        <f t="shared" si="104"/>
        <v/>
      </c>
    </row>
    <row r="5917" spans="20:20">
      <c r="T5917" t="str">
        <f t="shared" si="104"/>
        <v/>
      </c>
    </row>
    <row r="5918" spans="20:20">
      <c r="T5918" t="str">
        <f t="shared" si="104"/>
        <v/>
      </c>
    </row>
    <row r="5919" spans="20:20">
      <c r="T5919" t="str">
        <f t="shared" si="104"/>
        <v/>
      </c>
    </row>
    <row r="5920" spans="20:20">
      <c r="T5920" t="str">
        <f t="shared" si="104"/>
        <v/>
      </c>
    </row>
    <row r="5921" spans="20:20">
      <c r="T5921" t="str">
        <f t="shared" si="104"/>
        <v/>
      </c>
    </row>
    <row r="5922" spans="20:20">
      <c r="T5922" t="str">
        <f t="shared" si="104"/>
        <v/>
      </c>
    </row>
    <row r="5923" spans="20:20">
      <c r="T5923" t="str">
        <f t="shared" si="104"/>
        <v/>
      </c>
    </row>
    <row r="5924" spans="20:20">
      <c r="T5924" t="str">
        <f t="shared" si="104"/>
        <v/>
      </c>
    </row>
    <row r="5925" spans="20:20">
      <c r="T5925" t="str">
        <f t="shared" si="104"/>
        <v/>
      </c>
    </row>
    <row r="5926" spans="20:20">
      <c r="T5926" t="str">
        <f t="shared" si="104"/>
        <v/>
      </c>
    </row>
    <row r="5927" spans="20:20">
      <c r="T5927" t="str">
        <f t="shared" si="104"/>
        <v/>
      </c>
    </row>
    <row r="5928" spans="20:20">
      <c r="T5928" t="str">
        <f t="shared" si="104"/>
        <v/>
      </c>
    </row>
    <row r="5929" spans="20:20">
      <c r="T5929" t="str">
        <f t="shared" si="104"/>
        <v/>
      </c>
    </row>
    <row r="5930" spans="20:20">
      <c r="T5930" t="str">
        <f t="shared" si="104"/>
        <v/>
      </c>
    </row>
    <row r="5931" spans="20:20">
      <c r="T5931" t="str">
        <f t="shared" si="104"/>
        <v/>
      </c>
    </row>
    <row r="5932" spans="20:20">
      <c r="T5932" t="str">
        <f t="shared" si="104"/>
        <v/>
      </c>
    </row>
    <row r="5933" spans="20:20">
      <c r="T5933" t="str">
        <f t="shared" si="104"/>
        <v/>
      </c>
    </row>
    <row r="5934" spans="20:20">
      <c r="T5934" t="str">
        <f t="shared" si="104"/>
        <v/>
      </c>
    </row>
    <row r="5935" spans="20:20">
      <c r="T5935" t="str">
        <f t="shared" si="104"/>
        <v/>
      </c>
    </row>
    <row r="5936" spans="20:20">
      <c r="T5936" t="str">
        <f t="shared" si="104"/>
        <v/>
      </c>
    </row>
    <row r="5937" spans="20:20">
      <c r="T5937" t="str">
        <f t="shared" si="104"/>
        <v/>
      </c>
    </row>
    <row r="5938" spans="20:20">
      <c r="T5938" t="str">
        <f t="shared" si="104"/>
        <v/>
      </c>
    </row>
    <row r="5939" spans="20:20">
      <c r="T5939" t="str">
        <f t="shared" si="104"/>
        <v/>
      </c>
    </row>
    <row r="5940" spans="20:20">
      <c r="T5940" t="str">
        <f t="shared" si="104"/>
        <v/>
      </c>
    </row>
    <row r="5941" spans="20:20">
      <c r="T5941" t="str">
        <f t="shared" si="104"/>
        <v/>
      </c>
    </row>
    <row r="5942" spans="20:20">
      <c r="T5942" t="str">
        <f t="shared" si="104"/>
        <v/>
      </c>
    </row>
    <row r="5943" spans="20:20">
      <c r="T5943" t="str">
        <f t="shared" si="104"/>
        <v/>
      </c>
    </row>
    <row r="5944" spans="20:20">
      <c r="T5944" t="str">
        <f t="shared" si="104"/>
        <v/>
      </c>
    </row>
    <row r="5945" spans="20:20">
      <c r="T5945" t="str">
        <f t="shared" si="104"/>
        <v/>
      </c>
    </row>
    <row r="5946" spans="20:20">
      <c r="T5946" t="str">
        <f t="shared" si="104"/>
        <v/>
      </c>
    </row>
    <row r="5947" spans="20:20">
      <c r="T5947" t="str">
        <f t="shared" si="104"/>
        <v/>
      </c>
    </row>
    <row r="5948" spans="20:20">
      <c r="T5948" t="str">
        <f t="shared" si="104"/>
        <v/>
      </c>
    </row>
    <row r="5949" spans="20:20">
      <c r="T5949" t="str">
        <f t="shared" si="104"/>
        <v/>
      </c>
    </row>
    <row r="5950" spans="20:20">
      <c r="T5950" t="str">
        <f t="shared" si="104"/>
        <v/>
      </c>
    </row>
    <row r="5951" spans="20:20">
      <c r="T5951" t="str">
        <f t="shared" si="104"/>
        <v/>
      </c>
    </row>
    <row r="5952" spans="20:20">
      <c r="T5952" t="str">
        <f t="shared" si="104"/>
        <v/>
      </c>
    </row>
    <row r="5953" spans="20:20">
      <c r="T5953" t="str">
        <f t="shared" si="104"/>
        <v/>
      </c>
    </row>
    <row r="5954" spans="20:20">
      <c r="T5954" t="str">
        <f t="shared" ref="T5954:T6017" si="105">IF(C5954="","",UPPER(LEFT(SUBSTITUTE(C5954," ",""),3))&amp;"-"&amp;TEXT(B5954,"AAMMDD")&amp;"-1")</f>
        <v/>
      </c>
    </row>
    <row r="5955" spans="20:20">
      <c r="T5955" t="str">
        <f t="shared" si="105"/>
        <v/>
      </c>
    </row>
    <row r="5956" spans="20:20">
      <c r="T5956" t="str">
        <f t="shared" si="105"/>
        <v/>
      </c>
    </row>
    <row r="5957" spans="20:20">
      <c r="T5957" t="str">
        <f t="shared" si="105"/>
        <v/>
      </c>
    </row>
    <row r="5958" spans="20:20">
      <c r="T5958" t="str">
        <f t="shared" si="105"/>
        <v/>
      </c>
    </row>
    <row r="5959" spans="20:20">
      <c r="T5959" t="str">
        <f t="shared" si="105"/>
        <v/>
      </c>
    </row>
    <row r="5960" spans="20:20">
      <c r="T5960" t="str">
        <f t="shared" si="105"/>
        <v/>
      </c>
    </row>
    <row r="5961" spans="20:20">
      <c r="T5961" t="str">
        <f t="shared" si="105"/>
        <v/>
      </c>
    </row>
    <row r="5962" spans="20:20">
      <c r="T5962" t="str">
        <f t="shared" si="105"/>
        <v/>
      </c>
    </row>
    <row r="5963" spans="20:20">
      <c r="T5963" t="str">
        <f t="shared" si="105"/>
        <v/>
      </c>
    </row>
    <row r="5964" spans="20:20">
      <c r="T5964" t="str">
        <f t="shared" si="105"/>
        <v/>
      </c>
    </row>
    <row r="5965" spans="20:20">
      <c r="T5965" t="str">
        <f t="shared" si="105"/>
        <v/>
      </c>
    </row>
    <row r="5966" spans="20:20">
      <c r="T5966" t="str">
        <f t="shared" si="105"/>
        <v/>
      </c>
    </row>
    <row r="5967" spans="20:20">
      <c r="T5967" t="str">
        <f t="shared" si="105"/>
        <v/>
      </c>
    </row>
    <row r="5968" spans="20:20">
      <c r="T5968" t="str">
        <f t="shared" si="105"/>
        <v/>
      </c>
    </row>
    <row r="5969" spans="20:20">
      <c r="T5969" t="str">
        <f t="shared" si="105"/>
        <v/>
      </c>
    </row>
    <row r="5970" spans="20:20">
      <c r="T5970" t="str">
        <f t="shared" si="105"/>
        <v/>
      </c>
    </row>
    <row r="5971" spans="20:20">
      <c r="T5971" t="str">
        <f t="shared" si="105"/>
        <v/>
      </c>
    </row>
    <row r="5972" spans="20:20">
      <c r="T5972" t="str">
        <f t="shared" si="105"/>
        <v/>
      </c>
    </row>
    <row r="5973" spans="20:20">
      <c r="T5973" t="str">
        <f t="shared" si="105"/>
        <v/>
      </c>
    </row>
    <row r="5974" spans="20:20">
      <c r="T5974" t="str">
        <f t="shared" si="105"/>
        <v/>
      </c>
    </row>
    <row r="5975" spans="20:20">
      <c r="T5975" t="str">
        <f t="shared" si="105"/>
        <v/>
      </c>
    </row>
    <row r="5976" spans="20:20">
      <c r="T5976" t="str">
        <f t="shared" si="105"/>
        <v/>
      </c>
    </row>
    <row r="5977" spans="20:20">
      <c r="T5977" t="str">
        <f t="shared" si="105"/>
        <v/>
      </c>
    </row>
    <row r="5978" spans="20:20">
      <c r="T5978" t="str">
        <f t="shared" si="105"/>
        <v/>
      </c>
    </row>
    <row r="5979" spans="20:20">
      <c r="T5979" t="str">
        <f t="shared" si="105"/>
        <v/>
      </c>
    </row>
    <row r="5980" spans="20:20">
      <c r="T5980" t="str">
        <f t="shared" si="105"/>
        <v/>
      </c>
    </row>
    <row r="5981" spans="20:20">
      <c r="T5981" t="str">
        <f t="shared" si="105"/>
        <v/>
      </c>
    </row>
    <row r="5982" spans="20:20">
      <c r="T5982" t="str">
        <f t="shared" si="105"/>
        <v/>
      </c>
    </row>
    <row r="5983" spans="20:20">
      <c r="T5983" t="str">
        <f t="shared" si="105"/>
        <v/>
      </c>
    </row>
    <row r="5984" spans="20:20">
      <c r="T5984" t="str">
        <f t="shared" si="105"/>
        <v/>
      </c>
    </row>
    <row r="5985" spans="20:20">
      <c r="T5985" t="str">
        <f t="shared" si="105"/>
        <v/>
      </c>
    </row>
    <row r="5986" spans="20:20">
      <c r="T5986" t="str">
        <f t="shared" si="105"/>
        <v/>
      </c>
    </row>
    <row r="5987" spans="20:20">
      <c r="T5987" t="str">
        <f t="shared" si="105"/>
        <v/>
      </c>
    </row>
    <row r="5988" spans="20:20">
      <c r="T5988" t="str">
        <f t="shared" si="105"/>
        <v/>
      </c>
    </row>
    <row r="5989" spans="20:20">
      <c r="T5989" t="str">
        <f t="shared" si="105"/>
        <v/>
      </c>
    </row>
    <row r="5990" spans="20:20">
      <c r="T5990" t="str">
        <f t="shared" si="105"/>
        <v/>
      </c>
    </row>
    <row r="5991" spans="20:20">
      <c r="T5991" t="str">
        <f t="shared" si="105"/>
        <v/>
      </c>
    </row>
    <row r="5992" spans="20:20">
      <c r="T5992" t="str">
        <f t="shared" si="105"/>
        <v/>
      </c>
    </row>
    <row r="5993" spans="20:20">
      <c r="T5993" t="str">
        <f t="shared" si="105"/>
        <v/>
      </c>
    </row>
    <row r="5994" spans="20:20">
      <c r="T5994" t="str">
        <f t="shared" si="105"/>
        <v/>
      </c>
    </row>
    <row r="5995" spans="20:20">
      <c r="T5995" t="str">
        <f t="shared" si="105"/>
        <v/>
      </c>
    </row>
    <row r="5996" spans="20:20">
      <c r="T5996" t="str">
        <f t="shared" si="105"/>
        <v/>
      </c>
    </row>
    <row r="5997" spans="20:20">
      <c r="T5997" t="str">
        <f t="shared" si="105"/>
        <v/>
      </c>
    </row>
    <row r="5998" spans="20:20">
      <c r="T5998" t="str">
        <f t="shared" si="105"/>
        <v/>
      </c>
    </row>
    <row r="5999" spans="20:20">
      <c r="T5999" t="str">
        <f t="shared" si="105"/>
        <v/>
      </c>
    </row>
    <row r="6000" spans="20:20">
      <c r="T6000" t="str">
        <f t="shared" si="105"/>
        <v/>
      </c>
    </row>
    <row r="6001" spans="20:20">
      <c r="T6001" t="str">
        <f t="shared" si="105"/>
        <v/>
      </c>
    </row>
    <row r="6002" spans="20:20">
      <c r="T6002" t="str">
        <f t="shared" si="105"/>
        <v/>
      </c>
    </row>
    <row r="6003" spans="20:20">
      <c r="T6003" t="str">
        <f t="shared" si="105"/>
        <v/>
      </c>
    </row>
    <row r="6004" spans="20:20">
      <c r="T6004" t="str">
        <f t="shared" si="105"/>
        <v/>
      </c>
    </row>
    <row r="6005" spans="20:20">
      <c r="T6005" t="str">
        <f t="shared" si="105"/>
        <v/>
      </c>
    </row>
    <row r="6006" spans="20:20">
      <c r="T6006" t="str">
        <f t="shared" si="105"/>
        <v/>
      </c>
    </row>
    <row r="6007" spans="20:20">
      <c r="T6007" t="str">
        <f t="shared" si="105"/>
        <v/>
      </c>
    </row>
    <row r="6008" spans="20:20">
      <c r="T6008" t="str">
        <f t="shared" si="105"/>
        <v/>
      </c>
    </row>
    <row r="6009" spans="20:20">
      <c r="T6009" t="str">
        <f t="shared" si="105"/>
        <v/>
      </c>
    </row>
    <row r="6010" spans="20:20">
      <c r="T6010" t="str">
        <f t="shared" si="105"/>
        <v/>
      </c>
    </row>
    <row r="6011" spans="20:20">
      <c r="T6011" t="str">
        <f t="shared" si="105"/>
        <v/>
      </c>
    </row>
    <row r="6012" spans="20:20">
      <c r="T6012" t="str">
        <f t="shared" si="105"/>
        <v/>
      </c>
    </row>
    <row r="6013" spans="20:20">
      <c r="T6013" t="str">
        <f t="shared" si="105"/>
        <v/>
      </c>
    </row>
    <row r="6014" spans="20:20">
      <c r="T6014" t="str">
        <f t="shared" si="105"/>
        <v/>
      </c>
    </row>
    <row r="6015" spans="20:20">
      <c r="T6015" t="str">
        <f t="shared" si="105"/>
        <v/>
      </c>
    </row>
    <row r="6016" spans="20:20">
      <c r="T6016" t="str">
        <f t="shared" si="105"/>
        <v/>
      </c>
    </row>
    <row r="6017" spans="20:20">
      <c r="T6017" t="str">
        <f t="shared" si="105"/>
        <v/>
      </c>
    </row>
    <row r="6018" spans="20:20">
      <c r="T6018" t="str">
        <f t="shared" ref="T6018:T6081" si="106">IF(C6018="","",UPPER(LEFT(SUBSTITUTE(C6018," ",""),3))&amp;"-"&amp;TEXT(B6018,"AAMMDD")&amp;"-1")</f>
        <v/>
      </c>
    </row>
    <row r="6019" spans="20:20">
      <c r="T6019" t="str">
        <f t="shared" si="106"/>
        <v/>
      </c>
    </row>
    <row r="6020" spans="20:20">
      <c r="T6020" t="str">
        <f t="shared" si="106"/>
        <v/>
      </c>
    </row>
    <row r="6021" spans="20:20">
      <c r="T6021" t="str">
        <f t="shared" si="106"/>
        <v/>
      </c>
    </row>
    <row r="6022" spans="20:20">
      <c r="T6022" t="str">
        <f t="shared" si="106"/>
        <v/>
      </c>
    </row>
    <row r="6023" spans="20:20">
      <c r="T6023" t="str">
        <f t="shared" si="106"/>
        <v/>
      </c>
    </row>
    <row r="6024" spans="20:20">
      <c r="T6024" t="str">
        <f t="shared" si="106"/>
        <v/>
      </c>
    </row>
    <row r="6025" spans="20:20">
      <c r="T6025" t="str">
        <f t="shared" si="106"/>
        <v/>
      </c>
    </row>
    <row r="6026" spans="20:20">
      <c r="T6026" t="str">
        <f t="shared" si="106"/>
        <v/>
      </c>
    </row>
    <row r="6027" spans="20:20">
      <c r="T6027" t="str">
        <f t="shared" si="106"/>
        <v/>
      </c>
    </row>
    <row r="6028" spans="20:20">
      <c r="T6028" t="str">
        <f t="shared" si="106"/>
        <v/>
      </c>
    </row>
    <row r="6029" spans="20:20">
      <c r="T6029" t="str">
        <f t="shared" si="106"/>
        <v/>
      </c>
    </row>
    <row r="6030" spans="20:20">
      <c r="T6030" t="str">
        <f t="shared" si="106"/>
        <v/>
      </c>
    </row>
    <row r="6031" spans="20:20">
      <c r="T6031" t="str">
        <f t="shared" si="106"/>
        <v/>
      </c>
    </row>
    <row r="6032" spans="20:20">
      <c r="T6032" t="str">
        <f t="shared" si="106"/>
        <v/>
      </c>
    </row>
    <row r="6033" spans="20:20">
      <c r="T6033" t="str">
        <f t="shared" si="106"/>
        <v/>
      </c>
    </row>
    <row r="6034" spans="20:20">
      <c r="T6034" t="str">
        <f t="shared" si="106"/>
        <v/>
      </c>
    </row>
    <row r="6035" spans="20:20">
      <c r="T6035" t="str">
        <f t="shared" si="106"/>
        <v/>
      </c>
    </row>
    <row r="6036" spans="20:20">
      <c r="T6036" t="str">
        <f t="shared" si="106"/>
        <v/>
      </c>
    </row>
    <row r="6037" spans="20:20">
      <c r="T6037" t="str">
        <f t="shared" si="106"/>
        <v/>
      </c>
    </row>
    <row r="6038" spans="20:20">
      <c r="T6038" t="str">
        <f t="shared" si="106"/>
        <v/>
      </c>
    </row>
    <row r="6039" spans="20:20">
      <c r="T6039" t="str">
        <f t="shared" si="106"/>
        <v/>
      </c>
    </row>
    <row r="6040" spans="20:20">
      <c r="T6040" t="str">
        <f t="shared" si="106"/>
        <v/>
      </c>
    </row>
    <row r="6041" spans="20:20">
      <c r="T6041" t="str">
        <f t="shared" si="106"/>
        <v/>
      </c>
    </row>
    <row r="6042" spans="20:20">
      <c r="T6042" t="str">
        <f t="shared" si="106"/>
        <v/>
      </c>
    </row>
    <row r="6043" spans="20:20">
      <c r="T6043" t="str">
        <f t="shared" si="106"/>
        <v/>
      </c>
    </row>
    <row r="6044" spans="20:20">
      <c r="T6044" t="str">
        <f t="shared" si="106"/>
        <v/>
      </c>
    </row>
    <row r="6045" spans="20:20">
      <c r="T6045" t="str">
        <f t="shared" si="106"/>
        <v/>
      </c>
    </row>
    <row r="6046" spans="20:20">
      <c r="T6046" t="str">
        <f t="shared" si="106"/>
        <v/>
      </c>
    </row>
    <row r="6047" spans="20:20">
      <c r="T6047" t="str">
        <f t="shared" si="106"/>
        <v/>
      </c>
    </row>
    <row r="6048" spans="20:20">
      <c r="T6048" t="str">
        <f t="shared" si="106"/>
        <v/>
      </c>
    </row>
    <row r="6049" spans="20:20">
      <c r="T6049" t="str">
        <f t="shared" si="106"/>
        <v/>
      </c>
    </row>
    <row r="6050" spans="20:20">
      <c r="T6050" t="str">
        <f t="shared" si="106"/>
        <v/>
      </c>
    </row>
    <row r="6051" spans="20:20">
      <c r="T6051" t="str">
        <f t="shared" si="106"/>
        <v/>
      </c>
    </row>
    <row r="6052" spans="20:20">
      <c r="T6052" t="str">
        <f t="shared" si="106"/>
        <v/>
      </c>
    </row>
    <row r="6053" spans="20:20">
      <c r="T6053" t="str">
        <f t="shared" si="106"/>
        <v/>
      </c>
    </row>
    <row r="6054" spans="20:20">
      <c r="T6054" t="str">
        <f t="shared" si="106"/>
        <v/>
      </c>
    </row>
    <row r="6055" spans="20:20">
      <c r="T6055" t="str">
        <f t="shared" si="106"/>
        <v/>
      </c>
    </row>
    <row r="6056" spans="20:20">
      <c r="T6056" t="str">
        <f t="shared" si="106"/>
        <v/>
      </c>
    </row>
    <row r="6057" spans="20:20">
      <c r="T6057" t="str">
        <f t="shared" si="106"/>
        <v/>
      </c>
    </row>
    <row r="6058" spans="20:20">
      <c r="T6058" t="str">
        <f t="shared" si="106"/>
        <v/>
      </c>
    </row>
    <row r="6059" spans="20:20">
      <c r="T6059" t="str">
        <f t="shared" si="106"/>
        <v/>
      </c>
    </row>
    <row r="6060" spans="20:20">
      <c r="T6060" t="str">
        <f t="shared" si="106"/>
        <v/>
      </c>
    </row>
    <row r="6061" spans="20:20">
      <c r="T6061" t="str">
        <f t="shared" si="106"/>
        <v/>
      </c>
    </row>
    <row r="6062" spans="20:20">
      <c r="T6062" t="str">
        <f t="shared" si="106"/>
        <v/>
      </c>
    </row>
    <row r="6063" spans="20:20">
      <c r="T6063" t="str">
        <f t="shared" si="106"/>
        <v/>
      </c>
    </row>
    <row r="6064" spans="20:20">
      <c r="T6064" t="str">
        <f t="shared" si="106"/>
        <v/>
      </c>
    </row>
    <row r="6065" spans="20:20">
      <c r="T6065" t="str">
        <f t="shared" si="106"/>
        <v/>
      </c>
    </row>
    <row r="6066" spans="20:20">
      <c r="T6066" t="str">
        <f t="shared" si="106"/>
        <v/>
      </c>
    </row>
    <row r="6067" spans="20:20">
      <c r="T6067" t="str">
        <f t="shared" si="106"/>
        <v/>
      </c>
    </row>
    <row r="6068" spans="20:20">
      <c r="T6068" t="str">
        <f t="shared" si="106"/>
        <v/>
      </c>
    </row>
    <row r="6069" spans="20:20">
      <c r="T6069" t="str">
        <f t="shared" si="106"/>
        <v/>
      </c>
    </row>
    <row r="6070" spans="20:20">
      <c r="T6070" t="str">
        <f t="shared" si="106"/>
        <v/>
      </c>
    </row>
    <row r="6071" spans="20:20">
      <c r="T6071" t="str">
        <f t="shared" si="106"/>
        <v/>
      </c>
    </row>
    <row r="6072" spans="20:20">
      <c r="T6072" t="str">
        <f t="shared" si="106"/>
        <v/>
      </c>
    </row>
    <row r="6073" spans="20:20">
      <c r="T6073" t="str">
        <f t="shared" si="106"/>
        <v/>
      </c>
    </row>
    <row r="6074" spans="20:20">
      <c r="T6074" t="str">
        <f t="shared" si="106"/>
        <v/>
      </c>
    </row>
    <row r="6075" spans="20:20">
      <c r="T6075" t="str">
        <f t="shared" si="106"/>
        <v/>
      </c>
    </row>
    <row r="6076" spans="20:20">
      <c r="T6076" t="str">
        <f t="shared" si="106"/>
        <v/>
      </c>
    </row>
    <row r="6077" spans="20:20">
      <c r="T6077" t="str">
        <f t="shared" si="106"/>
        <v/>
      </c>
    </row>
    <row r="6078" spans="20:20">
      <c r="T6078" t="str">
        <f t="shared" si="106"/>
        <v/>
      </c>
    </row>
    <row r="6079" spans="20:20">
      <c r="T6079" t="str">
        <f t="shared" si="106"/>
        <v/>
      </c>
    </row>
    <row r="6080" spans="20:20">
      <c r="T6080" t="str">
        <f t="shared" si="106"/>
        <v/>
      </c>
    </row>
    <row r="6081" spans="20:20">
      <c r="T6081" t="str">
        <f t="shared" si="106"/>
        <v/>
      </c>
    </row>
    <row r="6082" spans="20:20">
      <c r="T6082" t="str">
        <f t="shared" ref="T6082:T6145" si="107">IF(C6082="","",UPPER(LEFT(SUBSTITUTE(C6082," ",""),3))&amp;"-"&amp;TEXT(B6082,"AAMMDD")&amp;"-1")</f>
        <v/>
      </c>
    </row>
    <row r="6083" spans="20:20">
      <c r="T6083" t="str">
        <f t="shared" si="107"/>
        <v/>
      </c>
    </row>
    <row r="6084" spans="20:20">
      <c r="T6084" t="str">
        <f t="shared" si="107"/>
        <v/>
      </c>
    </row>
    <row r="6085" spans="20:20">
      <c r="T6085" t="str">
        <f t="shared" si="107"/>
        <v/>
      </c>
    </row>
    <row r="6086" spans="20:20">
      <c r="T6086" t="str">
        <f t="shared" si="107"/>
        <v/>
      </c>
    </row>
    <row r="6087" spans="20:20">
      <c r="T6087" t="str">
        <f t="shared" si="107"/>
        <v/>
      </c>
    </row>
    <row r="6088" spans="20:20">
      <c r="T6088" t="str">
        <f t="shared" si="107"/>
        <v/>
      </c>
    </row>
    <row r="6089" spans="20:20">
      <c r="T6089" t="str">
        <f t="shared" si="107"/>
        <v/>
      </c>
    </row>
    <row r="6090" spans="20:20">
      <c r="T6090" t="str">
        <f t="shared" si="107"/>
        <v/>
      </c>
    </row>
    <row r="6091" spans="20:20">
      <c r="T6091" t="str">
        <f t="shared" si="107"/>
        <v/>
      </c>
    </row>
    <row r="6092" spans="20:20">
      <c r="T6092" t="str">
        <f t="shared" si="107"/>
        <v/>
      </c>
    </row>
    <row r="6093" spans="20:20">
      <c r="T6093" t="str">
        <f t="shared" si="107"/>
        <v/>
      </c>
    </row>
    <row r="6094" spans="20:20">
      <c r="T6094" t="str">
        <f t="shared" si="107"/>
        <v/>
      </c>
    </row>
    <row r="6095" spans="20:20">
      <c r="T6095" t="str">
        <f t="shared" si="107"/>
        <v/>
      </c>
    </row>
    <row r="6096" spans="20:20">
      <c r="T6096" t="str">
        <f t="shared" si="107"/>
        <v/>
      </c>
    </row>
    <row r="6097" spans="20:20">
      <c r="T6097" t="str">
        <f t="shared" si="107"/>
        <v/>
      </c>
    </row>
    <row r="6098" spans="20:20">
      <c r="T6098" t="str">
        <f t="shared" si="107"/>
        <v/>
      </c>
    </row>
    <row r="6099" spans="20:20">
      <c r="T6099" t="str">
        <f t="shared" si="107"/>
        <v/>
      </c>
    </row>
    <row r="6100" spans="20:20">
      <c r="T6100" t="str">
        <f t="shared" si="107"/>
        <v/>
      </c>
    </row>
    <row r="6101" spans="20:20">
      <c r="T6101" t="str">
        <f t="shared" si="107"/>
        <v/>
      </c>
    </row>
    <row r="6102" spans="20:20">
      <c r="T6102" t="str">
        <f t="shared" si="107"/>
        <v/>
      </c>
    </row>
    <row r="6103" spans="20:20">
      <c r="T6103" t="str">
        <f t="shared" si="107"/>
        <v/>
      </c>
    </row>
    <row r="6104" spans="20:20">
      <c r="T6104" t="str">
        <f t="shared" si="107"/>
        <v/>
      </c>
    </row>
    <row r="6105" spans="20:20">
      <c r="T6105" t="str">
        <f t="shared" si="107"/>
        <v/>
      </c>
    </row>
    <row r="6106" spans="20:20">
      <c r="T6106" t="str">
        <f t="shared" si="107"/>
        <v/>
      </c>
    </row>
    <row r="6107" spans="20:20">
      <c r="T6107" t="str">
        <f t="shared" si="107"/>
        <v/>
      </c>
    </row>
    <row r="6108" spans="20:20">
      <c r="T6108" t="str">
        <f t="shared" si="107"/>
        <v/>
      </c>
    </row>
    <row r="6109" spans="20:20">
      <c r="T6109" t="str">
        <f t="shared" si="107"/>
        <v/>
      </c>
    </row>
    <row r="6110" spans="20:20">
      <c r="T6110" t="str">
        <f t="shared" si="107"/>
        <v/>
      </c>
    </row>
    <row r="6111" spans="20:20">
      <c r="T6111" t="str">
        <f t="shared" si="107"/>
        <v/>
      </c>
    </row>
    <row r="6112" spans="20:20">
      <c r="T6112" t="str">
        <f t="shared" si="107"/>
        <v/>
      </c>
    </row>
    <row r="6113" spans="20:20">
      <c r="T6113" t="str">
        <f t="shared" si="107"/>
        <v/>
      </c>
    </row>
    <row r="6114" spans="20:20">
      <c r="T6114" t="str">
        <f t="shared" si="107"/>
        <v/>
      </c>
    </row>
    <row r="6115" spans="20:20">
      <c r="T6115" t="str">
        <f t="shared" si="107"/>
        <v/>
      </c>
    </row>
    <row r="6116" spans="20:20">
      <c r="T6116" t="str">
        <f t="shared" si="107"/>
        <v/>
      </c>
    </row>
    <row r="6117" spans="20:20">
      <c r="T6117" t="str">
        <f t="shared" si="107"/>
        <v/>
      </c>
    </row>
    <row r="6118" spans="20:20">
      <c r="T6118" t="str">
        <f t="shared" si="107"/>
        <v/>
      </c>
    </row>
    <row r="6119" spans="20:20">
      <c r="T6119" t="str">
        <f t="shared" si="107"/>
        <v/>
      </c>
    </row>
    <row r="6120" spans="20:20">
      <c r="T6120" t="str">
        <f t="shared" si="107"/>
        <v/>
      </c>
    </row>
    <row r="6121" spans="20:20">
      <c r="T6121" t="str">
        <f t="shared" si="107"/>
        <v/>
      </c>
    </row>
    <row r="6122" spans="20:20">
      <c r="T6122" t="str">
        <f t="shared" si="107"/>
        <v/>
      </c>
    </row>
    <row r="6123" spans="20:20">
      <c r="T6123" t="str">
        <f t="shared" si="107"/>
        <v/>
      </c>
    </row>
    <row r="6124" spans="20:20">
      <c r="T6124" t="str">
        <f t="shared" si="107"/>
        <v/>
      </c>
    </row>
    <row r="6125" spans="20:20">
      <c r="T6125" t="str">
        <f t="shared" si="107"/>
        <v/>
      </c>
    </row>
    <row r="6126" spans="20:20">
      <c r="T6126" t="str">
        <f t="shared" si="107"/>
        <v/>
      </c>
    </row>
    <row r="6127" spans="20:20">
      <c r="T6127" t="str">
        <f t="shared" si="107"/>
        <v/>
      </c>
    </row>
    <row r="6128" spans="20:20">
      <c r="T6128" t="str">
        <f t="shared" si="107"/>
        <v/>
      </c>
    </row>
    <row r="6129" spans="20:20">
      <c r="T6129" t="str">
        <f t="shared" si="107"/>
        <v/>
      </c>
    </row>
    <row r="6130" spans="20:20">
      <c r="T6130" t="str">
        <f t="shared" si="107"/>
        <v/>
      </c>
    </row>
    <row r="6131" spans="20:20">
      <c r="T6131" t="str">
        <f t="shared" si="107"/>
        <v/>
      </c>
    </row>
    <row r="6132" spans="20:20">
      <c r="T6132" t="str">
        <f t="shared" si="107"/>
        <v/>
      </c>
    </row>
    <row r="6133" spans="20:20">
      <c r="T6133" t="str">
        <f t="shared" si="107"/>
        <v/>
      </c>
    </row>
    <row r="6134" spans="20:20">
      <c r="T6134" t="str">
        <f t="shared" si="107"/>
        <v/>
      </c>
    </row>
    <row r="6135" spans="20:20">
      <c r="T6135" t="str">
        <f t="shared" si="107"/>
        <v/>
      </c>
    </row>
    <row r="6136" spans="20:20">
      <c r="T6136" t="str">
        <f t="shared" si="107"/>
        <v/>
      </c>
    </row>
    <row r="6137" spans="20:20">
      <c r="T6137" t="str">
        <f t="shared" si="107"/>
        <v/>
      </c>
    </row>
    <row r="6138" spans="20:20">
      <c r="T6138" t="str">
        <f t="shared" si="107"/>
        <v/>
      </c>
    </row>
    <row r="6139" spans="20:20">
      <c r="T6139" t="str">
        <f t="shared" si="107"/>
        <v/>
      </c>
    </row>
    <row r="6140" spans="20:20">
      <c r="T6140" t="str">
        <f t="shared" si="107"/>
        <v/>
      </c>
    </row>
    <row r="6141" spans="20:20">
      <c r="T6141" t="str">
        <f t="shared" si="107"/>
        <v/>
      </c>
    </row>
    <row r="6142" spans="20:20">
      <c r="T6142" t="str">
        <f t="shared" si="107"/>
        <v/>
      </c>
    </row>
    <row r="6143" spans="20:20">
      <c r="T6143" t="str">
        <f t="shared" si="107"/>
        <v/>
      </c>
    </row>
    <row r="6144" spans="20:20">
      <c r="T6144" t="str">
        <f t="shared" si="107"/>
        <v/>
      </c>
    </row>
    <row r="6145" spans="20:20">
      <c r="T6145" t="str">
        <f t="shared" si="107"/>
        <v/>
      </c>
    </row>
    <row r="6146" spans="20:20">
      <c r="T6146" t="str">
        <f t="shared" ref="T6146:T6209" si="108">IF(C6146="","",UPPER(LEFT(SUBSTITUTE(C6146," ",""),3))&amp;"-"&amp;TEXT(B6146,"AAMMDD")&amp;"-1")</f>
        <v/>
      </c>
    </row>
    <row r="6147" spans="20:20">
      <c r="T6147" t="str">
        <f t="shared" si="108"/>
        <v/>
      </c>
    </row>
    <row r="6148" spans="20:20">
      <c r="T6148" t="str">
        <f t="shared" si="108"/>
        <v/>
      </c>
    </row>
    <row r="6149" spans="20:20">
      <c r="T6149" t="str">
        <f t="shared" si="108"/>
        <v/>
      </c>
    </row>
    <row r="6150" spans="20:20">
      <c r="T6150" t="str">
        <f t="shared" si="108"/>
        <v/>
      </c>
    </row>
    <row r="6151" spans="20:20">
      <c r="T6151" t="str">
        <f t="shared" si="108"/>
        <v/>
      </c>
    </row>
    <row r="6152" spans="20:20">
      <c r="T6152" t="str">
        <f t="shared" si="108"/>
        <v/>
      </c>
    </row>
    <row r="6153" spans="20:20">
      <c r="T6153" t="str">
        <f t="shared" si="108"/>
        <v/>
      </c>
    </row>
    <row r="6154" spans="20:20">
      <c r="T6154" t="str">
        <f t="shared" si="108"/>
        <v/>
      </c>
    </row>
    <row r="6155" spans="20:20">
      <c r="T6155" t="str">
        <f t="shared" si="108"/>
        <v/>
      </c>
    </row>
    <row r="6156" spans="20:20">
      <c r="T6156" t="str">
        <f t="shared" si="108"/>
        <v/>
      </c>
    </row>
    <row r="6157" spans="20:20">
      <c r="T6157" t="str">
        <f t="shared" si="108"/>
        <v/>
      </c>
    </row>
    <row r="6158" spans="20:20">
      <c r="T6158" t="str">
        <f t="shared" si="108"/>
        <v/>
      </c>
    </row>
    <row r="6159" spans="20:20">
      <c r="T6159" t="str">
        <f t="shared" si="108"/>
        <v/>
      </c>
    </row>
    <row r="6160" spans="20:20">
      <c r="T6160" t="str">
        <f t="shared" si="108"/>
        <v/>
      </c>
    </row>
    <row r="6161" spans="20:20">
      <c r="T6161" t="str">
        <f t="shared" si="108"/>
        <v/>
      </c>
    </row>
    <row r="6162" spans="20:20">
      <c r="T6162" t="str">
        <f t="shared" si="108"/>
        <v/>
      </c>
    </row>
    <row r="6163" spans="20:20">
      <c r="T6163" t="str">
        <f t="shared" si="108"/>
        <v/>
      </c>
    </row>
    <row r="6164" spans="20:20">
      <c r="T6164" t="str">
        <f t="shared" si="108"/>
        <v/>
      </c>
    </row>
    <row r="6165" spans="20:20">
      <c r="T6165" t="str">
        <f t="shared" si="108"/>
        <v/>
      </c>
    </row>
    <row r="6166" spans="20:20">
      <c r="T6166" t="str">
        <f t="shared" si="108"/>
        <v/>
      </c>
    </row>
    <row r="6167" spans="20:20">
      <c r="T6167" t="str">
        <f t="shared" si="108"/>
        <v/>
      </c>
    </row>
    <row r="6168" spans="20:20">
      <c r="T6168" t="str">
        <f t="shared" si="108"/>
        <v/>
      </c>
    </row>
    <row r="6169" spans="20:20">
      <c r="T6169" t="str">
        <f t="shared" si="108"/>
        <v/>
      </c>
    </row>
    <row r="6170" spans="20:20">
      <c r="T6170" t="str">
        <f t="shared" si="108"/>
        <v/>
      </c>
    </row>
    <row r="6171" spans="20:20">
      <c r="T6171" t="str">
        <f t="shared" si="108"/>
        <v/>
      </c>
    </row>
    <row r="6172" spans="20:20">
      <c r="T6172" t="str">
        <f t="shared" si="108"/>
        <v/>
      </c>
    </row>
    <row r="6173" spans="20:20">
      <c r="T6173" t="str">
        <f t="shared" si="108"/>
        <v/>
      </c>
    </row>
    <row r="6174" spans="20:20">
      <c r="T6174" t="str">
        <f t="shared" si="108"/>
        <v/>
      </c>
    </row>
    <row r="6175" spans="20:20">
      <c r="T6175" t="str">
        <f t="shared" si="108"/>
        <v/>
      </c>
    </row>
    <row r="6176" spans="20:20">
      <c r="T6176" t="str">
        <f t="shared" si="108"/>
        <v/>
      </c>
    </row>
    <row r="6177" spans="20:20">
      <c r="T6177" t="str">
        <f t="shared" si="108"/>
        <v/>
      </c>
    </row>
    <row r="6178" spans="20:20">
      <c r="T6178" t="str">
        <f t="shared" si="108"/>
        <v/>
      </c>
    </row>
    <row r="6179" spans="20:20">
      <c r="T6179" t="str">
        <f t="shared" si="108"/>
        <v/>
      </c>
    </row>
    <row r="6180" spans="20:20">
      <c r="T6180" t="str">
        <f t="shared" si="108"/>
        <v/>
      </c>
    </row>
    <row r="6181" spans="20:20">
      <c r="T6181" t="str">
        <f t="shared" si="108"/>
        <v/>
      </c>
    </row>
    <row r="6182" spans="20:20">
      <c r="T6182" t="str">
        <f t="shared" si="108"/>
        <v/>
      </c>
    </row>
    <row r="6183" spans="20:20">
      <c r="T6183" t="str">
        <f t="shared" si="108"/>
        <v/>
      </c>
    </row>
    <row r="6184" spans="20:20">
      <c r="T6184" t="str">
        <f t="shared" si="108"/>
        <v/>
      </c>
    </row>
    <row r="6185" spans="20:20">
      <c r="T6185" t="str">
        <f t="shared" si="108"/>
        <v/>
      </c>
    </row>
    <row r="6186" spans="20:20">
      <c r="T6186" t="str">
        <f t="shared" si="108"/>
        <v/>
      </c>
    </row>
    <row r="6187" spans="20:20">
      <c r="T6187" t="str">
        <f t="shared" si="108"/>
        <v/>
      </c>
    </row>
    <row r="6188" spans="20:20">
      <c r="T6188" t="str">
        <f t="shared" si="108"/>
        <v/>
      </c>
    </row>
    <row r="6189" spans="20:20">
      <c r="T6189" t="str">
        <f t="shared" si="108"/>
        <v/>
      </c>
    </row>
    <row r="6190" spans="20:20">
      <c r="T6190" t="str">
        <f t="shared" si="108"/>
        <v/>
      </c>
    </row>
    <row r="6191" spans="20:20">
      <c r="T6191" t="str">
        <f t="shared" si="108"/>
        <v/>
      </c>
    </row>
    <row r="6192" spans="20:20">
      <c r="T6192" t="str">
        <f t="shared" si="108"/>
        <v/>
      </c>
    </row>
    <row r="6193" spans="20:20">
      <c r="T6193" t="str">
        <f t="shared" si="108"/>
        <v/>
      </c>
    </row>
    <row r="6194" spans="20:20">
      <c r="T6194" t="str">
        <f t="shared" si="108"/>
        <v/>
      </c>
    </row>
    <row r="6195" spans="20:20">
      <c r="T6195" t="str">
        <f t="shared" si="108"/>
        <v/>
      </c>
    </row>
    <row r="6196" spans="20:20">
      <c r="T6196" t="str">
        <f t="shared" si="108"/>
        <v/>
      </c>
    </row>
    <row r="6197" spans="20:20">
      <c r="T6197" t="str">
        <f t="shared" si="108"/>
        <v/>
      </c>
    </row>
    <row r="6198" spans="20:20">
      <c r="T6198" t="str">
        <f t="shared" si="108"/>
        <v/>
      </c>
    </row>
    <row r="6199" spans="20:20">
      <c r="T6199" t="str">
        <f t="shared" si="108"/>
        <v/>
      </c>
    </row>
    <row r="6200" spans="20:20">
      <c r="T6200" t="str">
        <f t="shared" si="108"/>
        <v/>
      </c>
    </row>
    <row r="6201" spans="20:20">
      <c r="T6201" t="str">
        <f t="shared" si="108"/>
        <v/>
      </c>
    </row>
    <row r="6202" spans="20:20">
      <c r="T6202" t="str">
        <f t="shared" si="108"/>
        <v/>
      </c>
    </row>
    <row r="6203" spans="20:20">
      <c r="T6203" t="str">
        <f t="shared" si="108"/>
        <v/>
      </c>
    </row>
    <row r="6204" spans="20:20">
      <c r="T6204" t="str">
        <f t="shared" si="108"/>
        <v/>
      </c>
    </row>
    <row r="6205" spans="20:20">
      <c r="T6205" t="str">
        <f t="shared" si="108"/>
        <v/>
      </c>
    </row>
    <row r="6206" spans="20:20">
      <c r="T6206" t="str">
        <f t="shared" si="108"/>
        <v/>
      </c>
    </row>
    <row r="6207" spans="20:20">
      <c r="T6207" t="str">
        <f t="shared" si="108"/>
        <v/>
      </c>
    </row>
    <row r="6208" spans="20:20">
      <c r="T6208" t="str">
        <f t="shared" si="108"/>
        <v/>
      </c>
    </row>
    <row r="6209" spans="20:20">
      <c r="T6209" t="str">
        <f t="shared" si="108"/>
        <v/>
      </c>
    </row>
    <row r="6210" spans="20:20">
      <c r="T6210" t="str">
        <f t="shared" ref="T6210:T6273" si="109">IF(C6210="","",UPPER(LEFT(SUBSTITUTE(C6210," ",""),3))&amp;"-"&amp;TEXT(B6210,"AAMMDD")&amp;"-1")</f>
        <v/>
      </c>
    </row>
    <row r="6211" spans="20:20">
      <c r="T6211" t="str">
        <f t="shared" si="109"/>
        <v/>
      </c>
    </row>
    <row r="6212" spans="20:20">
      <c r="T6212" t="str">
        <f t="shared" si="109"/>
        <v/>
      </c>
    </row>
    <row r="6213" spans="20:20">
      <c r="T6213" t="str">
        <f t="shared" si="109"/>
        <v/>
      </c>
    </row>
    <row r="6214" spans="20:20">
      <c r="T6214" t="str">
        <f t="shared" si="109"/>
        <v/>
      </c>
    </row>
    <row r="6215" spans="20:20">
      <c r="T6215" t="str">
        <f t="shared" si="109"/>
        <v/>
      </c>
    </row>
    <row r="6216" spans="20:20">
      <c r="T6216" t="str">
        <f t="shared" si="109"/>
        <v/>
      </c>
    </row>
    <row r="6217" spans="20:20">
      <c r="T6217" t="str">
        <f t="shared" si="109"/>
        <v/>
      </c>
    </row>
    <row r="6218" spans="20:20">
      <c r="T6218" t="str">
        <f t="shared" si="109"/>
        <v/>
      </c>
    </row>
    <row r="6219" spans="20:20">
      <c r="T6219" t="str">
        <f t="shared" si="109"/>
        <v/>
      </c>
    </row>
    <row r="6220" spans="20:20">
      <c r="T6220" t="str">
        <f t="shared" si="109"/>
        <v/>
      </c>
    </row>
    <row r="6221" spans="20:20">
      <c r="T6221" t="str">
        <f t="shared" si="109"/>
        <v/>
      </c>
    </row>
    <row r="6222" spans="20:20">
      <c r="T6222" t="str">
        <f t="shared" si="109"/>
        <v/>
      </c>
    </row>
    <row r="6223" spans="20:20">
      <c r="T6223" t="str">
        <f t="shared" si="109"/>
        <v/>
      </c>
    </row>
    <row r="6224" spans="20:20">
      <c r="T6224" t="str">
        <f t="shared" si="109"/>
        <v/>
      </c>
    </row>
    <row r="6225" spans="20:20">
      <c r="T6225" t="str">
        <f t="shared" si="109"/>
        <v/>
      </c>
    </row>
    <row r="6226" spans="20:20">
      <c r="T6226" t="str">
        <f t="shared" si="109"/>
        <v/>
      </c>
    </row>
    <row r="6227" spans="20:20">
      <c r="T6227" t="str">
        <f t="shared" si="109"/>
        <v/>
      </c>
    </row>
    <row r="6228" spans="20:20">
      <c r="T6228" t="str">
        <f t="shared" si="109"/>
        <v/>
      </c>
    </row>
    <row r="6229" spans="20:20">
      <c r="T6229" t="str">
        <f t="shared" si="109"/>
        <v/>
      </c>
    </row>
    <row r="6230" spans="20:20">
      <c r="T6230" t="str">
        <f t="shared" si="109"/>
        <v/>
      </c>
    </row>
    <row r="6231" spans="20:20">
      <c r="T6231" t="str">
        <f t="shared" si="109"/>
        <v/>
      </c>
    </row>
    <row r="6232" spans="20:20">
      <c r="T6232" t="str">
        <f t="shared" si="109"/>
        <v/>
      </c>
    </row>
    <row r="6233" spans="20:20">
      <c r="T6233" t="str">
        <f t="shared" si="109"/>
        <v/>
      </c>
    </row>
    <row r="6234" spans="20:20">
      <c r="T6234" t="str">
        <f t="shared" si="109"/>
        <v/>
      </c>
    </row>
    <row r="6235" spans="20:20">
      <c r="T6235" t="str">
        <f t="shared" si="109"/>
        <v/>
      </c>
    </row>
    <row r="6236" spans="20:20">
      <c r="T6236" t="str">
        <f t="shared" si="109"/>
        <v/>
      </c>
    </row>
    <row r="6237" spans="20:20">
      <c r="T6237" t="str">
        <f t="shared" si="109"/>
        <v/>
      </c>
    </row>
    <row r="6238" spans="20:20">
      <c r="T6238" t="str">
        <f t="shared" si="109"/>
        <v/>
      </c>
    </row>
    <row r="6239" spans="20:20">
      <c r="T6239" t="str">
        <f t="shared" si="109"/>
        <v/>
      </c>
    </row>
    <row r="6240" spans="20:20">
      <c r="T6240" t="str">
        <f t="shared" si="109"/>
        <v/>
      </c>
    </row>
    <row r="6241" spans="20:20">
      <c r="T6241" t="str">
        <f t="shared" si="109"/>
        <v/>
      </c>
    </row>
    <row r="6242" spans="20:20">
      <c r="T6242" t="str">
        <f t="shared" si="109"/>
        <v/>
      </c>
    </row>
    <row r="6243" spans="20:20">
      <c r="T6243" t="str">
        <f t="shared" si="109"/>
        <v/>
      </c>
    </row>
    <row r="6244" spans="20:20">
      <c r="T6244" t="str">
        <f t="shared" si="109"/>
        <v/>
      </c>
    </row>
    <row r="6245" spans="20:20">
      <c r="T6245" t="str">
        <f t="shared" si="109"/>
        <v/>
      </c>
    </row>
    <row r="6246" spans="20:20">
      <c r="T6246" t="str">
        <f t="shared" si="109"/>
        <v/>
      </c>
    </row>
    <row r="6247" spans="20:20">
      <c r="T6247" t="str">
        <f t="shared" si="109"/>
        <v/>
      </c>
    </row>
    <row r="6248" spans="20:20">
      <c r="T6248" t="str">
        <f t="shared" si="109"/>
        <v/>
      </c>
    </row>
    <row r="6249" spans="20:20">
      <c r="T6249" t="str">
        <f t="shared" si="109"/>
        <v/>
      </c>
    </row>
    <row r="6250" spans="20:20">
      <c r="T6250" t="str">
        <f t="shared" si="109"/>
        <v/>
      </c>
    </row>
    <row r="6251" spans="20:20">
      <c r="T6251" t="str">
        <f t="shared" si="109"/>
        <v/>
      </c>
    </row>
    <row r="6252" spans="20:20">
      <c r="T6252" t="str">
        <f t="shared" si="109"/>
        <v/>
      </c>
    </row>
    <row r="6253" spans="20:20">
      <c r="T6253" t="str">
        <f t="shared" si="109"/>
        <v/>
      </c>
    </row>
    <row r="6254" spans="20:20">
      <c r="T6254" t="str">
        <f t="shared" si="109"/>
        <v/>
      </c>
    </row>
    <row r="6255" spans="20:20">
      <c r="T6255" t="str">
        <f t="shared" si="109"/>
        <v/>
      </c>
    </row>
    <row r="6256" spans="20:20">
      <c r="T6256" t="str">
        <f t="shared" si="109"/>
        <v/>
      </c>
    </row>
    <row r="6257" spans="20:20">
      <c r="T6257" t="str">
        <f t="shared" si="109"/>
        <v/>
      </c>
    </row>
    <row r="6258" spans="20:20">
      <c r="T6258" t="str">
        <f t="shared" si="109"/>
        <v/>
      </c>
    </row>
    <row r="6259" spans="20:20">
      <c r="T6259" t="str">
        <f t="shared" si="109"/>
        <v/>
      </c>
    </row>
    <row r="6260" spans="20:20">
      <c r="T6260" t="str">
        <f t="shared" si="109"/>
        <v/>
      </c>
    </row>
    <row r="6261" spans="20:20">
      <c r="T6261" t="str">
        <f t="shared" si="109"/>
        <v/>
      </c>
    </row>
    <row r="6262" spans="20:20">
      <c r="T6262" t="str">
        <f t="shared" si="109"/>
        <v/>
      </c>
    </row>
    <row r="6263" spans="20:20">
      <c r="T6263" t="str">
        <f t="shared" si="109"/>
        <v/>
      </c>
    </row>
    <row r="6264" spans="20:20">
      <c r="T6264" t="str">
        <f t="shared" si="109"/>
        <v/>
      </c>
    </row>
    <row r="6265" spans="20:20">
      <c r="T6265" t="str">
        <f t="shared" si="109"/>
        <v/>
      </c>
    </row>
    <row r="6266" spans="20:20">
      <c r="T6266" t="str">
        <f t="shared" si="109"/>
        <v/>
      </c>
    </row>
    <row r="6267" spans="20:20">
      <c r="T6267" t="str">
        <f t="shared" si="109"/>
        <v/>
      </c>
    </row>
    <row r="6268" spans="20:20">
      <c r="T6268" t="str">
        <f t="shared" si="109"/>
        <v/>
      </c>
    </row>
    <row r="6269" spans="20:20">
      <c r="T6269" t="str">
        <f t="shared" si="109"/>
        <v/>
      </c>
    </row>
    <row r="6270" spans="20:20">
      <c r="T6270" t="str">
        <f t="shared" si="109"/>
        <v/>
      </c>
    </row>
    <row r="6271" spans="20:20">
      <c r="T6271" t="str">
        <f t="shared" si="109"/>
        <v/>
      </c>
    </row>
    <row r="6272" spans="20:20">
      <c r="T6272" t="str">
        <f t="shared" si="109"/>
        <v/>
      </c>
    </row>
    <row r="6273" spans="20:20">
      <c r="T6273" t="str">
        <f t="shared" si="109"/>
        <v/>
      </c>
    </row>
    <row r="6274" spans="20:20">
      <c r="T6274" t="str">
        <f t="shared" ref="T6274:T6337" si="110">IF(C6274="","",UPPER(LEFT(SUBSTITUTE(C6274," ",""),3))&amp;"-"&amp;TEXT(B6274,"AAMMDD")&amp;"-1")</f>
        <v/>
      </c>
    </row>
    <row r="6275" spans="20:20">
      <c r="T6275" t="str">
        <f t="shared" si="110"/>
        <v/>
      </c>
    </row>
    <row r="6276" spans="20:20">
      <c r="T6276" t="str">
        <f t="shared" si="110"/>
        <v/>
      </c>
    </row>
    <row r="6277" spans="20:20">
      <c r="T6277" t="str">
        <f t="shared" si="110"/>
        <v/>
      </c>
    </row>
    <row r="6278" spans="20:20">
      <c r="T6278" t="str">
        <f t="shared" si="110"/>
        <v/>
      </c>
    </row>
    <row r="6279" spans="20:20">
      <c r="T6279" t="str">
        <f t="shared" si="110"/>
        <v/>
      </c>
    </row>
    <row r="6280" spans="20:20">
      <c r="T6280" t="str">
        <f t="shared" si="110"/>
        <v/>
      </c>
    </row>
    <row r="6281" spans="20:20">
      <c r="T6281" t="str">
        <f t="shared" si="110"/>
        <v/>
      </c>
    </row>
    <row r="6282" spans="20:20">
      <c r="T6282" t="str">
        <f t="shared" si="110"/>
        <v/>
      </c>
    </row>
    <row r="6283" spans="20:20">
      <c r="T6283" t="str">
        <f t="shared" si="110"/>
        <v/>
      </c>
    </row>
    <row r="6284" spans="20:20">
      <c r="T6284" t="str">
        <f t="shared" si="110"/>
        <v/>
      </c>
    </row>
    <row r="6285" spans="20:20">
      <c r="T6285" t="str">
        <f t="shared" si="110"/>
        <v/>
      </c>
    </row>
    <row r="6286" spans="20:20">
      <c r="T6286" t="str">
        <f t="shared" si="110"/>
        <v/>
      </c>
    </row>
    <row r="6287" spans="20:20">
      <c r="T6287" t="str">
        <f t="shared" si="110"/>
        <v/>
      </c>
    </row>
    <row r="6288" spans="20:20">
      <c r="T6288" t="str">
        <f t="shared" si="110"/>
        <v/>
      </c>
    </row>
    <row r="6289" spans="20:20">
      <c r="T6289" t="str">
        <f t="shared" si="110"/>
        <v/>
      </c>
    </row>
    <row r="6290" spans="20:20">
      <c r="T6290" t="str">
        <f t="shared" si="110"/>
        <v/>
      </c>
    </row>
    <row r="6291" spans="20:20">
      <c r="T6291" t="str">
        <f t="shared" si="110"/>
        <v/>
      </c>
    </row>
    <row r="6292" spans="20:20">
      <c r="T6292" t="str">
        <f t="shared" si="110"/>
        <v/>
      </c>
    </row>
    <row r="6293" spans="20:20">
      <c r="T6293" t="str">
        <f t="shared" si="110"/>
        <v/>
      </c>
    </row>
    <row r="6294" spans="20:20">
      <c r="T6294" t="str">
        <f t="shared" si="110"/>
        <v/>
      </c>
    </row>
    <row r="6295" spans="20:20">
      <c r="T6295" t="str">
        <f t="shared" si="110"/>
        <v/>
      </c>
    </row>
    <row r="6296" spans="20:20">
      <c r="T6296" t="str">
        <f t="shared" si="110"/>
        <v/>
      </c>
    </row>
    <row r="6297" spans="20:20">
      <c r="T6297" t="str">
        <f t="shared" si="110"/>
        <v/>
      </c>
    </row>
    <row r="6298" spans="20:20">
      <c r="T6298" t="str">
        <f t="shared" si="110"/>
        <v/>
      </c>
    </row>
    <row r="6299" spans="20:20">
      <c r="T6299" t="str">
        <f t="shared" si="110"/>
        <v/>
      </c>
    </row>
    <row r="6300" spans="20:20">
      <c r="T6300" t="str">
        <f t="shared" si="110"/>
        <v/>
      </c>
    </row>
    <row r="6301" spans="20:20">
      <c r="T6301" t="str">
        <f t="shared" si="110"/>
        <v/>
      </c>
    </row>
    <row r="6302" spans="20:20">
      <c r="T6302" t="str">
        <f t="shared" si="110"/>
        <v/>
      </c>
    </row>
    <row r="6303" spans="20:20">
      <c r="T6303" t="str">
        <f t="shared" si="110"/>
        <v/>
      </c>
    </row>
    <row r="6304" spans="20:20">
      <c r="T6304" t="str">
        <f t="shared" si="110"/>
        <v/>
      </c>
    </row>
    <row r="6305" spans="20:20">
      <c r="T6305" t="str">
        <f t="shared" si="110"/>
        <v/>
      </c>
    </row>
    <row r="6306" spans="20:20">
      <c r="T6306" t="str">
        <f t="shared" si="110"/>
        <v/>
      </c>
    </row>
    <row r="6307" spans="20:20">
      <c r="T6307" t="str">
        <f t="shared" si="110"/>
        <v/>
      </c>
    </row>
    <row r="6308" spans="20:20">
      <c r="T6308" t="str">
        <f t="shared" si="110"/>
        <v/>
      </c>
    </row>
    <row r="6309" spans="20:20">
      <c r="T6309" t="str">
        <f t="shared" si="110"/>
        <v/>
      </c>
    </row>
    <row r="6310" spans="20:20">
      <c r="T6310" t="str">
        <f t="shared" si="110"/>
        <v/>
      </c>
    </row>
    <row r="6311" spans="20:20">
      <c r="T6311" t="str">
        <f t="shared" si="110"/>
        <v/>
      </c>
    </row>
    <row r="6312" spans="20:20">
      <c r="T6312" t="str">
        <f t="shared" si="110"/>
        <v/>
      </c>
    </row>
    <row r="6313" spans="20:20">
      <c r="T6313" t="str">
        <f t="shared" si="110"/>
        <v/>
      </c>
    </row>
    <row r="6314" spans="20:20">
      <c r="T6314" t="str">
        <f t="shared" si="110"/>
        <v/>
      </c>
    </row>
    <row r="6315" spans="20:20">
      <c r="T6315" t="str">
        <f t="shared" si="110"/>
        <v/>
      </c>
    </row>
    <row r="6316" spans="20:20">
      <c r="T6316" t="str">
        <f t="shared" si="110"/>
        <v/>
      </c>
    </row>
    <row r="6317" spans="20:20">
      <c r="T6317" t="str">
        <f t="shared" si="110"/>
        <v/>
      </c>
    </row>
    <row r="6318" spans="20:20">
      <c r="T6318" t="str">
        <f t="shared" si="110"/>
        <v/>
      </c>
    </row>
    <row r="6319" spans="20:20">
      <c r="T6319" t="str">
        <f t="shared" si="110"/>
        <v/>
      </c>
    </row>
    <row r="6320" spans="20:20">
      <c r="T6320" t="str">
        <f t="shared" si="110"/>
        <v/>
      </c>
    </row>
    <row r="6321" spans="20:20">
      <c r="T6321" t="str">
        <f t="shared" si="110"/>
        <v/>
      </c>
    </row>
    <row r="6322" spans="20:20">
      <c r="T6322" t="str">
        <f t="shared" si="110"/>
        <v/>
      </c>
    </row>
    <row r="6323" spans="20:20">
      <c r="T6323" t="str">
        <f t="shared" si="110"/>
        <v/>
      </c>
    </row>
    <row r="6324" spans="20:20">
      <c r="T6324" t="str">
        <f t="shared" si="110"/>
        <v/>
      </c>
    </row>
    <row r="6325" spans="20:20">
      <c r="T6325" t="str">
        <f t="shared" si="110"/>
        <v/>
      </c>
    </row>
    <row r="6326" spans="20:20">
      <c r="T6326" t="str">
        <f t="shared" si="110"/>
        <v/>
      </c>
    </row>
    <row r="6327" spans="20:20">
      <c r="T6327" t="str">
        <f t="shared" si="110"/>
        <v/>
      </c>
    </row>
    <row r="6328" spans="20:20">
      <c r="T6328" t="str">
        <f t="shared" si="110"/>
        <v/>
      </c>
    </row>
    <row r="6329" spans="20:20">
      <c r="T6329" t="str">
        <f t="shared" si="110"/>
        <v/>
      </c>
    </row>
    <row r="6330" spans="20:20">
      <c r="T6330" t="str">
        <f t="shared" si="110"/>
        <v/>
      </c>
    </row>
    <row r="6331" spans="20:20">
      <c r="T6331" t="str">
        <f t="shared" si="110"/>
        <v/>
      </c>
    </row>
    <row r="6332" spans="20:20">
      <c r="T6332" t="str">
        <f t="shared" si="110"/>
        <v/>
      </c>
    </row>
    <row r="6333" spans="20:20">
      <c r="T6333" t="str">
        <f t="shared" si="110"/>
        <v/>
      </c>
    </row>
    <row r="6334" spans="20:20">
      <c r="T6334" t="str">
        <f t="shared" si="110"/>
        <v/>
      </c>
    </row>
    <row r="6335" spans="20:20">
      <c r="T6335" t="str">
        <f t="shared" si="110"/>
        <v/>
      </c>
    </row>
    <row r="6336" spans="20:20">
      <c r="T6336" t="str">
        <f t="shared" si="110"/>
        <v/>
      </c>
    </row>
    <row r="6337" spans="20:20">
      <c r="T6337" t="str">
        <f t="shared" si="110"/>
        <v/>
      </c>
    </row>
    <row r="6338" spans="20:20">
      <c r="T6338" t="str">
        <f t="shared" ref="T6338:T6401" si="111">IF(C6338="","",UPPER(LEFT(SUBSTITUTE(C6338," ",""),3))&amp;"-"&amp;TEXT(B6338,"AAMMDD")&amp;"-1")</f>
        <v/>
      </c>
    </row>
    <row r="6339" spans="20:20">
      <c r="T6339" t="str">
        <f t="shared" si="111"/>
        <v/>
      </c>
    </row>
    <row r="6340" spans="20:20">
      <c r="T6340" t="str">
        <f t="shared" si="111"/>
        <v/>
      </c>
    </row>
    <row r="6341" spans="20:20">
      <c r="T6341" t="str">
        <f t="shared" si="111"/>
        <v/>
      </c>
    </row>
    <row r="6342" spans="20:20">
      <c r="T6342" t="str">
        <f t="shared" si="111"/>
        <v/>
      </c>
    </row>
    <row r="6343" spans="20:20">
      <c r="T6343" t="str">
        <f t="shared" si="111"/>
        <v/>
      </c>
    </row>
    <row r="6344" spans="20:20">
      <c r="T6344" t="str">
        <f t="shared" si="111"/>
        <v/>
      </c>
    </row>
    <row r="6345" spans="20:20">
      <c r="T6345" t="str">
        <f t="shared" si="111"/>
        <v/>
      </c>
    </row>
    <row r="6346" spans="20:20">
      <c r="T6346" t="str">
        <f t="shared" si="111"/>
        <v/>
      </c>
    </row>
    <row r="6347" spans="20:20">
      <c r="T6347" t="str">
        <f t="shared" si="111"/>
        <v/>
      </c>
    </row>
    <row r="6348" spans="20:20">
      <c r="T6348" t="str">
        <f t="shared" si="111"/>
        <v/>
      </c>
    </row>
    <row r="6349" spans="20:20">
      <c r="T6349" t="str">
        <f t="shared" si="111"/>
        <v/>
      </c>
    </row>
    <row r="6350" spans="20:20">
      <c r="T6350" t="str">
        <f t="shared" si="111"/>
        <v/>
      </c>
    </row>
    <row r="6351" spans="20:20">
      <c r="T6351" t="str">
        <f t="shared" si="111"/>
        <v/>
      </c>
    </row>
    <row r="6352" spans="20:20">
      <c r="T6352" t="str">
        <f t="shared" si="111"/>
        <v/>
      </c>
    </row>
    <row r="6353" spans="20:20">
      <c r="T6353" t="str">
        <f t="shared" si="111"/>
        <v/>
      </c>
    </row>
    <row r="6354" spans="20:20">
      <c r="T6354" t="str">
        <f t="shared" si="111"/>
        <v/>
      </c>
    </row>
    <row r="6355" spans="20:20">
      <c r="T6355" t="str">
        <f t="shared" si="111"/>
        <v/>
      </c>
    </row>
    <row r="6356" spans="20:20">
      <c r="T6356" t="str">
        <f t="shared" si="111"/>
        <v/>
      </c>
    </row>
    <row r="6357" spans="20:20">
      <c r="T6357" t="str">
        <f t="shared" si="111"/>
        <v/>
      </c>
    </row>
    <row r="6358" spans="20:20">
      <c r="T6358" t="str">
        <f t="shared" si="111"/>
        <v/>
      </c>
    </row>
    <row r="6359" spans="20:20">
      <c r="T6359" t="str">
        <f t="shared" si="111"/>
        <v/>
      </c>
    </row>
    <row r="6360" spans="20:20">
      <c r="T6360" t="str">
        <f t="shared" si="111"/>
        <v/>
      </c>
    </row>
    <row r="6361" spans="20:20">
      <c r="T6361" t="str">
        <f t="shared" si="111"/>
        <v/>
      </c>
    </row>
    <row r="6362" spans="20:20">
      <c r="T6362" t="str">
        <f t="shared" si="111"/>
        <v/>
      </c>
    </row>
    <row r="6363" spans="20:20">
      <c r="T6363" t="str">
        <f t="shared" si="111"/>
        <v/>
      </c>
    </row>
    <row r="6364" spans="20:20">
      <c r="T6364" t="str">
        <f t="shared" si="111"/>
        <v/>
      </c>
    </row>
    <row r="6365" spans="20:20">
      <c r="T6365" t="str">
        <f t="shared" si="111"/>
        <v/>
      </c>
    </row>
    <row r="6366" spans="20:20">
      <c r="T6366" t="str">
        <f t="shared" si="111"/>
        <v/>
      </c>
    </row>
    <row r="6367" spans="20:20">
      <c r="T6367" t="str">
        <f t="shared" si="111"/>
        <v/>
      </c>
    </row>
    <row r="6368" spans="20:20">
      <c r="T6368" t="str">
        <f t="shared" si="111"/>
        <v/>
      </c>
    </row>
    <row r="6369" spans="20:20">
      <c r="T6369" t="str">
        <f t="shared" si="111"/>
        <v/>
      </c>
    </row>
    <row r="6370" spans="20:20">
      <c r="T6370" t="str">
        <f t="shared" si="111"/>
        <v/>
      </c>
    </row>
    <row r="6371" spans="20:20">
      <c r="T6371" t="str">
        <f t="shared" si="111"/>
        <v/>
      </c>
    </row>
    <row r="6372" spans="20:20">
      <c r="T6372" t="str">
        <f t="shared" si="111"/>
        <v/>
      </c>
    </row>
    <row r="6373" spans="20:20">
      <c r="T6373" t="str">
        <f t="shared" si="111"/>
        <v/>
      </c>
    </row>
    <row r="6374" spans="20:20">
      <c r="T6374" t="str">
        <f t="shared" si="111"/>
        <v/>
      </c>
    </row>
    <row r="6375" spans="20:20">
      <c r="T6375" t="str">
        <f t="shared" si="111"/>
        <v/>
      </c>
    </row>
    <row r="6376" spans="20:20">
      <c r="T6376" t="str">
        <f t="shared" si="111"/>
        <v/>
      </c>
    </row>
    <row r="6377" spans="20:20">
      <c r="T6377" t="str">
        <f t="shared" si="111"/>
        <v/>
      </c>
    </row>
    <row r="6378" spans="20:20">
      <c r="T6378" t="str">
        <f t="shared" si="111"/>
        <v/>
      </c>
    </row>
    <row r="6379" spans="20:20">
      <c r="T6379" t="str">
        <f t="shared" si="111"/>
        <v/>
      </c>
    </row>
    <row r="6380" spans="20:20">
      <c r="T6380" t="str">
        <f t="shared" si="111"/>
        <v/>
      </c>
    </row>
    <row r="6381" spans="20:20">
      <c r="T6381" t="str">
        <f t="shared" si="111"/>
        <v/>
      </c>
    </row>
    <row r="6382" spans="20:20">
      <c r="T6382" t="str">
        <f t="shared" si="111"/>
        <v/>
      </c>
    </row>
    <row r="6383" spans="20:20">
      <c r="T6383" t="str">
        <f t="shared" si="111"/>
        <v/>
      </c>
    </row>
    <row r="6384" spans="20:20">
      <c r="T6384" t="str">
        <f t="shared" si="111"/>
        <v/>
      </c>
    </row>
    <row r="6385" spans="20:20">
      <c r="T6385" t="str">
        <f t="shared" si="111"/>
        <v/>
      </c>
    </row>
    <row r="6386" spans="20:20">
      <c r="T6386" t="str">
        <f t="shared" si="111"/>
        <v/>
      </c>
    </row>
    <row r="6387" spans="20:20">
      <c r="T6387" t="str">
        <f t="shared" si="111"/>
        <v/>
      </c>
    </row>
    <row r="6388" spans="20:20">
      <c r="T6388" t="str">
        <f t="shared" si="111"/>
        <v/>
      </c>
    </row>
    <row r="6389" spans="20:20">
      <c r="T6389" t="str">
        <f t="shared" si="111"/>
        <v/>
      </c>
    </row>
    <row r="6390" spans="20:20">
      <c r="T6390" t="str">
        <f t="shared" si="111"/>
        <v/>
      </c>
    </row>
    <row r="6391" spans="20:20">
      <c r="T6391" t="str">
        <f t="shared" si="111"/>
        <v/>
      </c>
    </row>
    <row r="6392" spans="20:20">
      <c r="T6392" t="str">
        <f t="shared" si="111"/>
        <v/>
      </c>
    </row>
    <row r="6393" spans="20:20">
      <c r="T6393" t="str">
        <f t="shared" si="111"/>
        <v/>
      </c>
    </row>
    <row r="6394" spans="20:20">
      <c r="T6394" t="str">
        <f t="shared" si="111"/>
        <v/>
      </c>
    </row>
    <row r="6395" spans="20:20">
      <c r="T6395" t="str">
        <f t="shared" si="111"/>
        <v/>
      </c>
    </row>
    <row r="6396" spans="20:20">
      <c r="T6396" t="str">
        <f t="shared" si="111"/>
        <v/>
      </c>
    </row>
    <row r="6397" spans="20:20">
      <c r="T6397" t="str">
        <f t="shared" si="111"/>
        <v/>
      </c>
    </row>
    <row r="6398" spans="20:20">
      <c r="T6398" t="str">
        <f t="shared" si="111"/>
        <v/>
      </c>
    </row>
    <row r="6399" spans="20:20">
      <c r="T6399" t="str">
        <f t="shared" si="111"/>
        <v/>
      </c>
    </row>
    <row r="6400" spans="20:20">
      <c r="T6400" t="str">
        <f t="shared" si="111"/>
        <v/>
      </c>
    </row>
    <row r="6401" spans="20:20">
      <c r="T6401" t="str">
        <f t="shared" si="111"/>
        <v/>
      </c>
    </row>
    <row r="6402" spans="20:20">
      <c r="T6402" t="str">
        <f t="shared" ref="T6402:T6465" si="112">IF(C6402="","",UPPER(LEFT(SUBSTITUTE(C6402," ",""),3))&amp;"-"&amp;TEXT(B6402,"AAMMDD")&amp;"-1")</f>
        <v/>
      </c>
    </row>
    <row r="6403" spans="20:20">
      <c r="T6403" t="str">
        <f t="shared" si="112"/>
        <v/>
      </c>
    </row>
    <row r="6404" spans="20:20">
      <c r="T6404" t="str">
        <f t="shared" si="112"/>
        <v/>
      </c>
    </row>
    <row r="6405" spans="20:20">
      <c r="T6405" t="str">
        <f t="shared" si="112"/>
        <v/>
      </c>
    </row>
    <row r="6406" spans="20:20">
      <c r="T6406" t="str">
        <f t="shared" si="112"/>
        <v/>
      </c>
    </row>
    <row r="6407" spans="20:20">
      <c r="T6407" t="str">
        <f t="shared" si="112"/>
        <v/>
      </c>
    </row>
    <row r="6408" spans="20:20">
      <c r="T6408" t="str">
        <f t="shared" si="112"/>
        <v/>
      </c>
    </row>
    <row r="6409" spans="20:20">
      <c r="T6409" t="str">
        <f t="shared" si="112"/>
        <v/>
      </c>
    </row>
    <row r="6410" spans="20:20">
      <c r="T6410" t="str">
        <f t="shared" si="112"/>
        <v/>
      </c>
    </row>
    <row r="6411" spans="20:20">
      <c r="T6411" t="str">
        <f t="shared" si="112"/>
        <v/>
      </c>
    </row>
    <row r="6412" spans="20:20">
      <c r="T6412" t="str">
        <f t="shared" si="112"/>
        <v/>
      </c>
    </row>
    <row r="6413" spans="20:20">
      <c r="T6413" t="str">
        <f t="shared" si="112"/>
        <v/>
      </c>
    </row>
    <row r="6414" spans="20:20">
      <c r="T6414" t="str">
        <f t="shared" si="112"/>
        <v/>
      </c>
    </row>
    <row r="6415" spans="20:20">
      <c r="T6415" t="str">
        <f t="shared" si="112"/>
        <v/>
      </c>
    </row>
    <row r="6416" spans="20:20">
      <c r="T6416" t="str">
        <f t="shared" si="112"/>
        <v/>
      </c>
    </row>
    <row r="6417" spans="20:20">
      <c r="T6417" t="str">
        <f t="shared" si="112"/>
        <v/>
      </c>
    </row>
    <row r="6418" spans="20:20">
      <c r="T6418" t="str">
        <f t="shared" si="112"/>
        <v/>
      </c>
    </row>
    <row r="6419" spans="20:20">
      <c r="T6419" t="str">
        <f t="shared" si="112"/>
        <v/>
      </c>
    </row>
    <row r="6420" spans="20:20">
      <c r="T6420" t="str">
        <f t="shared" si="112"/>
        <v/>
      </c>
    </row>
    <row r="6421" spans="20:20">
      <c r="T6421" t="str">
        <f t="shared" si="112"/>
        <v/>
      </c>
    </row>
    <row r="6422" spans="20:20">
      <c r="T6422" t="str">
        <f t="shared" si="112"/>
        <v/>
      </c>
    </row>
    <row r="6423" spans="20:20">
      <c r="T6423" t="str">
        <f t="shared" si="112"/>
        <v/>
      </c>
    </row>
    <row r="6424" spans="20:20">
      <c r="T6424" t="str">
        <f t="shared" si="112"/>
        <v/>
      </c>
    </row>
    <row r="6425" spans="20:20">
      <c r="T6425" t="str">
        <f t="shared" si="112"/>
        <v/>
      </c>
    </row>
    <row r="6426" spans="20:20">
      <c r="T6426" t="str">
        <f t="shared" si="112"/>
        <v/>
      </c>
    </row>
    <row r="6427" spans="20:20">
      <c r="T6427" t="str">
        <f t="shared" si="112"/>
        <v/>
      </c>
    </row>
    <row r="6428" spans="20:20">
      <c r="T6428" t="str">
        <f t="shared" si="112"/>
        <v/>
      </c>
    </row>
    <row r="6429" spans="20:20">
      <c r="T6429" t="str">
        <f t="shared" si="112"/>
        <v/>
      </c>
    </row>
    <row r="6430" spans="20:20">
      <c r="T6430" t="str">
        <f t="shared" si="112"/>
        <v/>
      </c>
    </row>
    <row r="6431" spans="20:20">
      <c r="T6431" t="str">
        <f t="shared" si="112"/>
        <v/>
      </c>
    </row>
    <row r="6432" spans="20:20">
      <c r="T6432" t="str">
        <f t="shared" si="112"/>
        <v/>
      </c>
    </row>
    <row r="6433" spans="20:20">
      <c r="T6433" t="str">
        <f t="shared" si="112"/>
        <v/>
      </c>
    </row>
    <row r="6434" spans="20:20">
      <c r="T6434" t="str">
        <f t="shared" si="112"/>
        <v/>
      </c>
    </row>
    <row r="6435" spans="20:20">
      <c r="T6435" t="str">
        <f t="shared" si="112"/>
        <v/>
      </c>
    </row>
    <row r="6436" spans="20:20">
      <c r="T6436" t="str">
        <f t="shared" si="112"/>
        <v/>
      </c>
    </row>
    <row r="6437" spans="20:20">
      <c r="T6437" t="str">
        <f t="shared" si="112"/>
        <v/>
      </c>
    </row>
    <row r="6438" spans="20:20">
      <c r="T6438" t="str">
        <f t="shared" si="112"/>
        <v/>
      </c>
    </row>
    <row r="6439" spans="20:20">
      <c r="T6439" t="str">
        <f t="shared" si="112"/>
        <v/>
      </c>
    </row>
    <row r="6440" spans="20:20">
      <c r="T6440" t="str">
        <f t="shared" si="112"/>
        <v/>
      </c>
    </row>
    <row r="6441" spans="20:20">
      <c r="T6441" t="str">
        <f t="shared" si="112"/>
        <v/>
      </c>
    </row>
    <row r="6442" spans="20:20">
      <c r="T6442" t="str">
        <f t="shared" si="112"/>
        <v/>
      </c>
    </row>
    <row r="6443" spans="20:20">
      <c r="T6443" t="str">
        <f t="shared" si="112"/>
        <v/>
      </c>
    </row>
    <row r="6444" spans="20:20">
      <c r="T6444" t="str">
        <f t="shared" si="112"/>
        <v/>
      </c>
    </row>
    <row r="6445" spans="20:20">
      <c r="T6445" t="str">
        <f t="shared" si="112"/>
        <v/>
      </c>
    </row>
    <row r="6446" spans="20:20">
      <c r="T6446" t="str">
        <f t="shared" si="112"/>
        <v/>
      </c>
    </row>
    <row r="6447" spans="20:20">
      <c r="T6447" t="str">
        <f t="shared" si="112"/>
        <v/>
      </c>
    </row>
    <row r="6448" spans="20:20">
      <c r="T6448" t="str">
        <f t="shared" si="112"/>
        <v/>
      </c>
    </row>
    <row r="6449" spans="20:20">
      <c r="T6449" t="str">
        <f t="shared" si="112"/>
        <v/>
      </c>
    </row>
    <row r="6450" spans="20:20">
      <c r="T6450" t="str">
        <f t="shared" si="112"/>
        <v/>
      </c>
    </row>
    <row r="6451" spans="20:20">
      <c r="T6451" t="str">
        <f t="shared" si="112"/>
        <v/>
      </c>
    </row>
    <row r="6452" spans="20:20">
      <c r="T6452" t="str">
        <f t="shared" si="112"/>
        <v/>
      </c>
    </row>
    <row r="6453" spans="20:20">
      <c r="T6453" t="str">
        <f t="shared" si="112"/>
        <v/>
      </c>
    </row>
    <row r="6454" spans="20:20">
      <c r="T6454" t="str">
        <f t="shared" si="112"/>
        <v/>
      </c>
    </row>
    <row r="6455" spans="20:20">
      <c r="T6455" t="str">
        <f t="shared" si="112"/>
        <v/>
      </c>
    </row>
    <row r="6456" spans="20:20">
      <c r="T6456" t="str">
        <f t="shared" si="112"/>
        <v/>
      </c>
    </row>
    <row r="6457" spans="20:20">
      <c r="T6457" t="str">
        <f t="shared" si="112"/>
        <v/>
      </c>
    </row>
    <row r="6458" spans="20:20">
      <c r="T6458" t="str">
        <f t="shared" si="112"/>
        <v/>
      </c>
    </row>
    <row r="6459" spans="20:20">
      <c r="T6459" t="str">
        <f t="shared" si="112"/>
        <v/>
      </c>
    </row>
    <row r="6460" spans="20:20">
      <c r="T6460" t="str">
        <f t="shared" si="112"/>
        <v/>
      </c>
    </row>
    <row r="6461" spans="20:20">
      <c r="T6461" t="str">
        <f t="shared" si="112"/>
        <v/>
      </c>
    </row>
    <row r="6462" spans="20:20">
      <c r="T6462" t="str">
        <f t="shared" si="112"/>
        <v/>
      </c>
    </row>
    <row r="6463" spans="20:20">
      <c r="T6463" t="str">
        <f t="shared" si="112"/>
        <v/>
      </c>
    </row>
    <row r="6464" spans="20:20">
      <c r="T6464" t="str">
        <f t="shared" si="112"/>
        <v/>
      </c>
    </row>
    <row r="6465" spans="20:20">
      <c r="T6465" t="str">
        <f t="shared" si="112"/>
        <v/>
      </c>
    </row>
    <row r="6466" spans="20:20">
      <c r="T6466" t="str">
        <f t="shared" ref="T6466:T6529" si="113">IF(C6466="","",UPPER(LEFT(SUBSTITUTE(C6466," ",""),3))&amp;"-"&amp;TEXT(B6466,"AAMMDD")&amp;"-1")</f>
        <v/>
      </c>
    </row>
    <row r="6467" spans="20:20">
      <c r="T6467" t="str">
        <f t="shared" si="113"/>
        <v/>
      </c>
    </row>
    <row r="6468" spans="20:20">
      <c r="T6468" t="str">
        <f t="shared" si="113"/>
        <v/>
      </c>
    </row>
    <row r="6469" spans="20:20">
      <c r="T6469" t="str">
        <f t="shared" si="113"/>
        <v/>
      </c>
    </row>
    <row r="6470" spans="20:20">
      <c r="T6470" t="str">
        <f t="shared" si="113"/>
        <v/>
      </c>
    </row>
    <row r="6471" spans="20:20">
      <c r="T6471" t="str">
        <f t="shared" si="113"/>
        <v/>
      </c>
    </row>
    <row r="6472" spans="20:20">
      <c r="T6472" t="str">
        <f t="shared" si="113"/>
        <v/>
      </c>
    </row>
    <row r="6473" spans="20:20">
      <c r="T6473" t="str">
        <f t="shared" si="113"/>
        <v/>
      </c>
    </row>
    <row r="6474" spans="20:20">
      <c r="T6474" t="str">
        <f t="shared" si="113"/>
        <v/>
      </c>
    </row>
    <row r="6475" spans="20:20">
      <c r="T6475" t="str">
        <f t="shared" si="113"/>
        <v/>
      </c>
    </row>
    <row r="6476" spans="20:20">
      <c r="T6476" t="str">
        <f t="shared" si="113"/>
        <v/>
      </c>
    </row>
    <row r="6477" spans="20:20">
      <c r="T6477" t="str">
        <f t="shared" si="113"/>
        <v/>
      </c>
    </row>
    <row r="6478" spans="20:20">
      <c r="T6478" t="str">
        <f t="shared" si="113"/>
        <v/>
      </c>
    </row>
    <row r="6479" spans="20:20">
      <c r="T6479" t="str">
        <f t="shared" si="113"/>
        <v/>
      </c>
    </row>
    <row r="6480" spans="20:20">
      <c r="T6480" t="str">
        <f t="shared" si="113"/>
        <v/>
      </c>
    </row>
    <row r="6481" spans="20:20">
      <c r="T6481" t="str">
        <f t="shared" si="113"/>
        <v/>
      </c>
    </row>
    <row r="6482" spans="20:20">
      <c r="T6482" t="str">
        <f t="shared" si="113"/>
        <v/>
      </c>
    </row>
    <row r="6483" spans="20:20">
      <c r="T6483" t="str">
        <f t="shared" si="113"/>
        <v/>
      </c>
    </row>
    <row r="6484" spans="20:20">
      <c r="T6484" t="str">
        <f t="shared" si="113"/>
        <v/>
      </c>
    </row>
    <row r="6485" spans="20:20">
      <c r="T6485" t="str">
        <f t="shared" si="113"/>
        <v/>
      </c>
    </row>
    <row r="6486" spans="20:20">
      <c r="T6486" t="str">
        <f t="shared" si="113"/>
        <v/>
      </c>
    </row>
    <row r="6487" spans="20:20">
      <c r="T6487" t="str">
        <f t="shared" si="113"/>
        <v/>
      </c>
    </row>
    <row r="6488" spans="20:20">
      <c r="T6488" t="str">
        <f t="shared" si="113"/>
        <v/>
      </c>
    </row>
    <row r="6489" spans="20:20">
      <c r="T6489" t="str">
        <f t="shared" si="113"/>
        <v/>
      </c>
    </row>
    <row r="6490" spans="20:20">
      <c r="T6490" t="str">
        <f t="shared" si="113"/>
        <v/>
      </c>
    </row>
    <row r="6491" spans="20:20">
      <c r="T6491" t="str">
        <f t="shared" si="113"/>
        <v/>
      </c>
    </row>
    <row r="6492" spans="20:20">
      <c r="T6492" t="str">
        <f t="shared" si="113"/>
        <v/>
      </c>
    </row>
    <row r="6493" spans="20:20">
      <c r="T6493" t="str">
        <f t="shared" si="113"/>
        <v/>
      </c>
    </row>
    <row r="6494" spans="20:20">
      <c r="T6494" t="str">
        <f t="shared" si="113"/>
        <v/>
      </c>
    </row>
    <row r="6495" spans="20:20">
      <c r="T6495" t="str">
        <f t="shared" si="113"/>
        <v/>
      </c>
    </row>
    <row r="6496" spans="20:20">
      <c r="T6496" t="str">
        <f t="shared" si="113"/>
        <v/>
      </c>
    </row>
    <row r="6497" spans="20:20">
      <c r="T6497" t="str">
        <f t="shared" si="113"/>
        <v/>
      </c>
    </row>
    <row r="6498" spans="20:20">
      <c r="T6498" t="str">
        <f t="shared" si="113"/>
        <v/>
      </c>
    </row>
    <row r="6499" spans="20:20">
      <c r="T6499" t="str">
        <f t="shared" si="113"/>
        <v/>
      </c>
    </row>
    <row r="6500" spans="20:20">
      <c r="T6500" t="str">
        <f t="shared" si="113"/>
        <v/>
      </c>
    </row>
    <row r="6501" spans="20:20">
      <c r="T6501" t="str">
        <f t="shared" si="113"/>
        <v/>
      </c>
    </row>
    <row r="6502" spans="20:20">
      <c r="T6502" t="str">
        <f t="shared" si="113"/>
        <v/>
      </c>
    </row>
    <row r="6503" spans="20:20">
      <c r="T6503" t="str">
        <f t="shared" si="113"/>
        <v/>
      </c>
    </row>
    <row r="6504" spans="20:20">
      <c r="T6504" t="str">
        <f t="shared" si="113"/>
        <v/>
      </c>
    </row>
    <row r="6505" spans="20:20">
      <c r="T6505" t="str">
        <f t="shared" si="113"/>
        <v/>
      </c>
    </row>
    <row r="6506" spans="20:20">
      <c r="T6506" t="str">
        <f t="shared" si="113"/>
        <v/>
      </c>
    </row>
    <row r="6507" spans="20:20">
      <c r="T6507" t="str">
        <f t="shared" si="113"/>
        <v/>
      </c>
    </row>
    <row r="6508" spans="20:20">
      <c r="T6508" t="str">
        <f t="shared" si="113"/>
        <v/>
      </c>
    </row>
    <row r="6509" spans="20:20">
      <c r="T6509" t="str">
        <f t="shared" si="113"/>
        <v/>
      </c>
    </row>
    <row r="6510" spans="20:20">
      <c r="T6510" t="str">
        <f t="shared" si="113"/>
        <v/>
      </c>
    </row>
    <row r="6511" spans="20:20">
      <c r="T6511" t="str">
        <f t="shared" si="113"/>
        <v/>
      </c>
    </row>
    <row r="6512" spans="20:20">
      <c r="T6512" t="str">
        <f t="shared" si="113"/>
        <v/>
      </c>
    </row>
    <row r="6513" spans="20:20">
      <c r="T6513" t="str">
        <f t="shared" si="113"/>
        <v/>
      </c>
    </row>
    <row r="6514" spans="20:20">
      <c r="T6514" t="str">
        <f t="shared" si="113"/>
        <v/>
      </c>
    </row>
    <row r="6515" spans="20:20">
      <c r="T6515" t="str">
        <f t="shared" si="113"/>
        <v/>
      </c>
    </row>
    <row r="6516" spans="20:20">
      <c r="T6516" t="str">
        <f t="shared" si="113"/>
        <v/>
      </c>
    </row>
    <row r="6517" spans="20:20">
      <c r="T6517" t="str">
        <f t="shared" si="113"/>
        <v/>
      </c>
    </row>
    <row r="6518" spans="20:20">
      <c r="T6518" t="str">
        <f t="shared" si="113"/>
        <v/>
      </c>
    </row>
    <row r="6519" spans="20:20">
      <c r="T6519" t="str">
        <f t="shared" si="113"/>
        <v/>
      </c>
    </row>
    <row r="6520" spans="20:20">
      <c r="T6520" t="str">
        <f t="shared" si="113"/>
        <v/>
      </c>
    </row>
    <row r="6521" spans="20:20">
      <c r="T6521" t="str">
        <f t="shared" si="113"/>
        <v/>
      </c>
    </row>
    <row r="6522" spans="20:20">
      <c r="T6522" t="str">
        <f t="shared" si="113"/>
        <v/>
      </c>
    </row>
    <row r="6523" spans="20:20">
      <c r="T6523" t="str">
        <f t="shared" si="113"/>
        <v/>
      </c>
    </row>
    <row r="6524" spans="20:20">
      <c r="T6524" t="str">
        <f t="shared" si="113"/>
        <v/>
      </c>
    </row>
    <row r="6525" spans="20:20">
      <c r="T6525" t="str">
        <f t="shared" si="113"/>
        <v/>
      </c>
    </row>
    <row r="6526" spans="20:20">
      <c r="T6526" t="str">
        <f t="shared" si="113"/>
        <v/>
      </c>
    </row>
    <row r="6527" spans="20:20">
      <c r="T6527" t="str">
        <f t="shared" si="113"/>
        <v/>
      </c>
    </row>
    <row r="6528" spans="20:20">
      <c r="T6528" t="str">
        <f t="shared" si="113"/>
        <v/>
      </c>
    </row>
    <row r="6529" spans="20:20">
      <c r="T6529" t="str">
        <f t="shared" si="113"/>
        <v/>
      </c>
    </row>
    <row r="6530" spans="20:20">
      <c r="T6530" t="str">
        <f t="shared" ref="T6530:T6593" si="114">IF(C6530="","",UPPER(LEFT(SUBSTITUTE(C6530," ",""),3))&amp;"-"&amp;TEXT(B6530,"AAMMDD")&amp;"-1")</f>
        <v/>
      </c>
    </row>
    <row r="6531" spans="20:20">
      <c r="T6531" t="str">
        <f t="shared" si="114"/>
        <v/>
      </c>
    </row>
    <row r="6532" spans="20:20">
      <c r="T6532" t="str">
        <f t="shared" si="114"/>
        <v/>
      </c>
    </row>
    <row r="6533" spans="20:20">
      <c r="T6533" t="str">
        <f t="shared" si="114"/>
        <v/>
      </c>
    </row>
    <row r="6534" spans="20:20">
      <c r="T6534" t="str">
        <f t="shared" si="114"/>
        <v/>
      </c>
    </row>
    <row r="6535" spans="20:20">
      <c r="T6535" t="str">
        <f t="shared" si="114"/>
        <v/>
      </c>
    </row>
    <row r="6536" spans="20:20">
      <c r="T6536" t="str">
        <f t="shared" si="114"/>
        <v/>
      </c>
    </row>
    <row r="6537" spans="20:20">
      <c r="T6537" t="str">
        <f t="shared" si="114"/>
        <v/>
      </c>
    </row>
    <row r="6538" spans="20:20">
      <c r="T6538" t="str">
        <f t="shared" si="114"/>
        <v/>
      </c>
    </row>
    <row r="6539" spans="20:20">
      <c r="T6539" t="str">
        <f t="shared" si="114"/>
        <v/>
      </c>
    </row>
    <row r="6540" spans="20:20">
      <c r="T6540" t="str">
        <f t="shared" si="114"/>
        <v/>
      </c>
    </row>
    <row r="6541" spans="20:20">
      <c r="T6541" t="str">
        <f t="shared" si="114"/>
        <v/>
      </c>
    </row>
    <row r="6542" spans="20:20">
      <c r="T6542" t="str">
        <f t="shared" si="114"/>
        <v/>
      </c>
    </row>
    <row r="6543" spans="20:20">
      <c r="T6543" t="str">
        <f t="shared" si="114"/>
        <v/>
      </c>
    </row>
    <row r="6544" spans="20:20">
      <c r="T6544" t="str">
        <f t="shared" si="114"/>
        <v/>
      </c>
    </row>
    <row r="6545" spans="20:20">
      <c r="T6545" t="str">
        <f t="shared" si="114"/>
        <v/>
      </c>
    </row>
    <row r="6546" spans="20:20">
      <c r="T6546" t="str">
        <f t="shared" si="114"/>
        <v/>
      </c>
    </row>
    <row r="6547" spans="20:20">
      <c r="T6547" t="str">
        <f t="shared" si="114"/>
        <v/>
      </c>
    </row>
    <row r="6548" spans="20:20">
      <c r="T6548" t="str">
        <f t="shared" si="114"/>
        <v/>
      </c>
    </row>
    <row r="6549" spans="20:20">
      <c r="T6549" t="str">
        <f t="shared" si="114"/>
        <v/>
      </c>
    </row>
    <row r="6550" spans="20:20">
      <c r="T6550" t="str">
        <f t="shared" si="114"/>
        <v/>
      </c>
    </row>
    <row r="6551" spans="20:20">
      <c r="T6551" t="str">
        <f t="shared" si="114"/>
        <v/>
      </c>
    </row>
    <row r="6552" spans="20:20">
      <c r="T6552" t="str">
        <f t="shared" si="114"/>
        <v/>
      </c>
    </row>
    <row r="6553" spans="20:20">
      <c r="T6553" t="str">
        <f t="shared" si="114"/>
        <v/>
      </c>
    </row>
    <row r="6554" spans="20:20">
      <c r="T6554" t="str">
        <f t="shared" si="114"/>
        <v/>
      </c>
    </row>
    <row r="6555" spans="20:20">
      <c r="T6555" t="str">
        <f t="shared" si="114"/>
        <v/>
      </c>
    </row>
    <row r="6556" spans="20:20">
      <c r="T6556" t="str">
        <f t="shared" si="114"/>
        <v/>
      </c>
    </row>
    <row r="6557" spans="20:20">
      <c r="T6557" t="str">
        <f t="shared" si="114"/>
        <v/>
      </c>
    </row>
    <row r="6558" spans="20:20">
      <c r="T6558" t="str">
        <f t="shared" si="114"/>
        <v/>
      </c>
    </row>
    <row r="6559" spans="20:20">
      <c r="T6559" t="str">
        <f t="shared" si="114"/>
        <v/>
      </c>
    </row>
    <row r="6560" spans="20:20">
      <c r="T6560" t="str">
        <f t="shared" si="114"/>
        <v/>
      </c>
    </row>
    <row r="6561" spans="20:20">
      <c r="T6561" t="str">
        <f t="shared" si="114"/>
        <v/>
      </c>
    </row>
    <row r="6562" spans="20:20">
      <c r="T6562" t="str">
        <f t="shared" si="114"/>
        <v/>
      </c>
    </row>
    <row r="6563" spans="20:20">
      <c r="T6563" t="str">
        <f t="shared" si="114"/>
        <v/>
      </c>
    </row>
    <row r="6564" spans="20:20">
      <c r="T6564" t="str">
        <f t="shared" si="114"/>
        <v/>
      </c>
    </row>
    <row r="6565" spans="20:20">
      <c r="T6565" t="str">
        <f t="shared" si="114"/>
        <v/>
      </c>
    </row>
    <row r="6566" spans="20:20">
      <c r="T6566" t="str">
        <f t="shared" si="114"/>
        <v/>
      </c>
    </row>
    <row r="6567" spans="20:20">
      <c r="T6567" t="str">
        <f t="shared" si="114"/>
        <v/>
      </c>
    </row>
    <row r="6568" spans="20:20">
      <c r="T6568" t="str">
        <f t="shared" si="114"/>
        <v/>
      </c>
    </row>
    <row r="6569" spans="20:20">
      <c r="T6569" t="str">
        <f t="shared" si="114"/>
        <v/>
      </c>
    </row>
    <row r="6570" spans="20:20">
      <c r="T6570" t="str">
        <f t="shared" si="114"/>
        <v/>
      </c>
    </row>
    <row r="6571" spans="20:20">
      <c r="T6571" t="str">
        <f t="shared" si="114"/>
        <v/>
      </c>
    </row>
    <row r="6572" spans="20:20">
      <c r="T6572" t="str">
        <f t="shared" si="114"/>
        <v/>
      </c>
    </row>
    <row r="6573" spans="20:20">
      <c r="T6573" t="str">
        <f t="shared" si="114"/>
        <v/>
      </c>
    </row>
    <row r="6574" spans="20:20">
      <c r="T6574" t="str">
        <f t="shared" si="114"/>
        <v/>
      </c>
    </row>
    <row r="6575" spans="20:20">
      <c r="T6575" t="str">
        <f t="shared" si="114"/>
        <v/>
      </c>
    </row>
    <row r="6576" spans="20:20">
      <c r="T6576" t="str">
        <f t="shared" si="114"/>
        <v/>
      </c>
    </row>
    <row r="6577" spans="20:20">
      <c r="T6577" t="str">
        <f t="shared" si="114"/>
        <v/>
      </c>
    </row>
    <row r="6578" spans="20:20">
      <c r="T6578" t="str">
        <f t="shared" si="114"/>
        <v/>
      </c>
    </row>
    <row r="6579" spans="20:20">
      <c r="T6579" t="str">
        <f t="shared" si="114"/>
        <v/>
      </c>
    </row>
    <row r="6580" spans="20:20">
      <c r="T6580" t="str">
        <f t="shared" si="114"/>
        <v/>
      </c>
    </row>
    <row r="6581" spans="20:20">
      <c r="T6581" t="str">
        <f t="shared" si="114"/>
        <v/>
      </c>
    </row>
    <row r="6582" spans="20:20">
      <c r="T6582" t="str">
        <f t="shared" si="114"/>
        <v/>
      </c>
    </row>
    <row r="6583" spans="20:20">
      <c r="T6583" t="str">
        <f t="shared" si="114"/>
        <v/>
      </c>
    </row>
    <row r="6584" spans="20:20">
      <c r="T6584" t="str">
        <f t="shared" si="114"/>
        <v/>
      </c>
    </row>
    <row r="6585" spans="20:20">
      <c r="T6585" t="str">
        <f t="shared" si="114"/>
        <v/>
      </c>
    </row>
    <row r="6586" spans="20:20">
      <c r="T6586" t="str">
        <f t="shared" si="114"/>
        <v/>
      </c>
    </row>
    <row r="6587" spans="20:20">
      <c r="T6587" t="str">
        <f t="shared" si="114"/>
        <v/>
      </c>
    </row>
    <row r="6588" spans="20:20">
      <c r="T6588" t="str">
        <f t="shared" si="114"/>
        <v/>
      </c>
    </row>
    <row r="6589" spans="20:20">
      <c r="T6589" t="str">
        <f t="shared" si="114"/>
        <v/>
      </c>
    </row>
    <row r="6590" spans="20:20">
      <c r="T6590" t="str">
        <f t="shared" si="114"/>
        <v/>
      </c>
    </row>
    <row r="6591" spans="20:20">
      <c r="T6591" t="str">
        <f t="shared" si="114"/>
        <v/>
      </c>
    </row>
    <row r="6592" spans="20:20">
      <c r="T6592" t="str">
        <f t="shared" si="114"/>
        <v/>
      </c>
    </row>
    <row r="6593" spans="20:20">
      <c r="T6593" t="str">
        <f t="shared" si="114"/>
        <v/>
      </c>
    </row>
    <row r="6594" spans="20:20">
      <c r="T6594" t="str">
        <f t="shared" ref="T6594:T6657" si="115">IF(C6594="","",UPPER(LEFT(SUBSTITUTE(C6594," ",""),3))&amp;"-"&amp;TEXT(B6594,"AAMMDD")&amp;"-1")</f>
        <v/>
      </c>
    </row>
    <row r="6595" spans="20:20">
      <c r="T6595" t="str">
        <f t="shared" si="115"/>
        <v/>
      </c>
    </row>
    <row r="6596" spans="20:20">
      <c r="T6596" t="str">
        <f t="shared" si="115"/>
        <v/>
      </c>
    </row>
    <row r="6597" spans="20:20">
      <c r="T6597" t="str">
        <f t="shared" si="115"/>
        <v/>
      </c>
    </row>
    <row r="6598" spans="20:20">
      <c r="T6598" t="str">
        <f t="shared" si="115"/>
        <v/>
      </c>
    </row>
    <row r="6599" spans="20:20">
      <c r="T6599" t="str">
        <f t="shared" si="115"/>
        <v/>
      </c>
    </row>
    <row r="6600" spans="20:20">
      <c r="T6600" t="str">
        <f t="shared" si="115"/>
        <v/>
      </c>
    </row>
    <row r="6601" spans="20:20">
      <c r="T6601" t="str">
        <f t="shared" si="115"/>
        <v/>
      </c>
    </row>
    <row r="6602" spans="20:20">
      <c r="T6602" t="str">
        <f t="shared" si="115"/>
        <v/>
      </c>
    </row>
    <row r="6603" spans="20:20">
      <c r="T6603" t="str">
        <f t="shared" si="115"/>
        <v/>
      </c>
    </row>
    <row r="6604" spans="20:20">
      <c r="T6604" t="str">
        <f t="shared" si="115"/>
        <v/>
      </c>
    </row>
    <row r="6605" spans="20:20">
      <c r="T6605" t="str">
        <f t="shared" si="115"/>
        <v/>
      </c>
    </row>
    <row r="6606" spans="20:20">
      <c r="T6606" t="str">
        <f t="shared" si="115"/>
        <v/>
      </c>
    </row>
    <row r="6607" spans="20:20">
      <c r="T6607" t="str">
        <f t="shared" si="115"/>
        <v/>
      </c>
    </row>
    <row r="6608" spans="20:20">
      <c r="T6608" t="str">
        <f t="shared" si="115"/>
        <v/>
      </c>
    </row>
    <row r="6609" spans="20:20">
      <c r="T6609" t="str">
        <f t="shared" si="115"/>
        <v/>
      </c>
    </row>
    <row r="6610" spans="20:20">
      <c r="T6610" t="str">
        <f t="shared" si="115"/>
        <v/>
      </c>
    </row>
    <row r="6611" spans="20:20">
      <c r="T6611" t="str">
        <f t="shared" si="115"/>
        <v/>
      </c>
    </row>
    <row r="6612" spans="20:20">
      <c r="T6612" t="str">
        <f t="shared" si="115"/>
        <v/>
      </c>
    </row>
    <row r="6613" spans="20:20">
      <c r="T6613" t="str">
        <f t="shared" si="115"/>
        <v/>
      </c>
    </row>
    <row r="6614" spans="20:20">
      <c r="T6614" t="str">
        <f t="shared" si="115"/>
        <v/>
      </c>
    </row>
    <row r="6615" spans="20:20">
      <c r="T6615" t="str">
        <f t="shared" si="115"/>
        <v/>
      </c>
    </row>
    <row r="6616" spans="20:20">
      <c r="T6616" t="str">
        <f t="shared" si="115"/>
        <v/>
      </c>
    </row>
    <row r="6617" spans="20:20">
      <c r="T6617" t="str">
        <f t="shared" si="115"/>
        <v/>
      </c>
    </row>
    <row r="6618" spans="20:20">
      <c r="T6618" t="str">
        <f t="shared" si="115"/>
        <v/>
      </c>
    </row>
    <row r="6619" spans="20:20">
      <c r="T6619" t="str">
        <f t="shared" si="115"/>
        <v/>
      </c>
    </row>
    <row r="6620" spans="20:20">
      <c r="T6620" t="str">
        <f t="shared" si="115"/>
        <v/>
      </c>
    </row>
    <row r="6621" spans="20:20">
      <c r="T6621" t="str">
        <f t="shared" si="115"/>
        <v/>
      </c>
    </row>
    <row r="6622" spans="20:20">
      <c r="T6622" t="str">
        <f t="shared" si="115"/>
        <v/>
      </c>
    </row>
    <row r="6623" spans="20:20">
      <c r="T6623" t="str">
        <f t="shared" si="115"/>
        <v/>
      </c>
    </row>
    <row r="6624" spans="20:20">
      <c r="T6624" t="str">
        <f t="shared" si="115"/>
        <v/>
      </c>
    </row>
    <row r="6625" spans="20:20">
      <c r="T6625" t="str">
        <f t="shared" si="115"/>
        <v/>
      </c>
    </row>
    <row r="6626" spans="20:20">
      <c r="T6626" t="str">
        <f t="shared" si="115"/>
        <v/>
      </c>
    </row>
    <row r="6627" spans="20:20">
      <c r="T6627" t="str">
        <f t="shared" si="115"/>
        <v/>
      </c>
    </row>
    <row r="6628" spans="20:20">
      <c r="T6628" t="str">
        <f t="shared" si="115"/>
        <v/>
      </c>
    </row>
    <row r="6629" spans="20:20">
      <c r="T6629" t="str">
        <f t="shared" si="115"/>
        <v/>
      </c>
    </row>
    <row r="6630" spans="20:20">
      <c r="T6630" t="str">
        <f t="shared" si="115"/>
        <v/>
      </c>
    </row>
    <row r="6631" spans="20:20">
      <c r="T6631" t="str">
        <f t="shared" si="115"/>
        <v/>
      </c>
    </row>
    <row r="6632" spans="20:20">
      <c r="T6632" t="str">
        <f t="shared" si="115"/>
        <v/>
      </c>
    </row>
    <row r="6633" spans="20:20">
      <c r="T6633" t="str">
        <f t="shared" si="115"/>
        <v/>
      </c>
    </row>
    <row r="6634" spans="20:20">
      <c r="T6634" t="str">
        <f t="shared" si="115"/>
        <v/>
      </c>
    </row>
    <row r="6635" spans="20:20">
      <c r="T6635" t="str">
        <f t="shared" si="115"/>
        <v/>
      </c>
    </row>
    <row r="6636" spans="20:20">
      <c r="T6636" t="str">
        <f t="shared" si="115"/>
        <v/>
      </c>
    </row>
    <row r="6637" spans="20:20">
      <c r="T6637" t="str">
        <f t="shared" si="115"/>
        <v/>
      </c>
    </row>
    <row r="6638" spans="20:20">
      <c r="T6638" t="str">
        <f t="shared" si="115"/>
        <v/>
      </c>
    </row>
    <row r="6639" spans="20:20">
      <c r="T6639" t="str">
        <f t="shared" si="115"/>
        <v/>
      </c>
    </row>
    <row r="6640" spans="20:20">
      <c r="T6640" t="str">
        <f t="shared" si="115"/>
        <v/>
      </c>
    </row>
    <row r="6641" spans="20:20">
      <c r="T6641" t="str">
        <f t="shared" si="115"/>
        <v/>
      </c>
    </row>
    <row r="6642" spans="20:20">
      <c r="T6642" t="str">
        <f t="shared" si="115"/>
        <v/>
      </c>
    </row>
    <row r="6643" spans="20:20">
      <c r="T6643" t="str">
        <f t="shared" si="115"/>
        <v/>
      </c>
    </row>
    <row r="6644" spans="20:20">
      <c r="T6644" t="str">
        <f t="shared" si="115"/>
        <v/>
      </c>
    </row>
    <row r="6645" spans="20:20">
      <c r="T6645" t="str">
        <f t="shared" si="115"/>
        <v/>
      </c>
    </row>
    <row r="6646" spans="20:20">
      <c r="T6646" t="str">
        <f t="shared" si="115"/>
        <v/>
      </c>
    </row>
    <row r="6647" spans="20:20">
      <c r="T6647" t="str">
        <f t="shared" si="115"/>
        <v/>
      </c>
    </row>
    <row r="6648" spans="20:20">
      <c r="T6648" t="str">
        <f t="shared" si="115"/>
        <v/>
      </c>
    </row>
    <row r="6649" spans="20:20">
      <c r="T6649" t="str">
        <f t="shared" si="115"/>
        <v/>
      </c>
    </row>
    <row r="6650" spans="20:20">
      <c r="T6650" t="str">
        <f t="shared" si="115"/>
        <v/>
      </c>
    </row>
    <row r="6651" spans="20:20">
      <c r="T6651" t="str">
        <f t="shared" si="115"/>
        <v/>
      </c>
    </row>
    <row r="6652" spans="20:20">
      <c r="T6652" t="str">
        <f t="shared" si="115"/>
        <v/>
      </c>
    </row>
    <row r="6653" spans="20:20">
      <c r="T6653" t="str">
        <f t="shared" si="115"/>
        <v/>
      </c>
    </row>
    <row r="6654" spans="20:20">
      <c r="T6654" t="str">
        <f t="shared" si="115"/>
        <v/>
      </c>
    </row>
    <row r="6655" spans="20:20">
      <c r="T6655" t="str">
        <f t="shared" si="115"/>
        <v/>
      </c>
    </row>
    <row r="6656" spans="20:20">
      <c r="T6656" t="str">
        <f t="shared" si="115"/>
        <v/>
      </c>
    </row>
    <row r="6657" spans="20:20">
      <c r="T6657" t="str">
        <f t="shared" si="115"/>
        <v/>
      </c>
    </row>
    <row r="6658" spans="20:20">
      <c r="T6658" t="str">
        <f t="shared" ref="T6658:T6721" si="116">IF(C6658="","",UPPER(LEFT(SUBSTITUTE(C6658," ",""),3))&amp;"-"&amp;TEXT(B6658,"AAMMDD")&amp;"-1")</f>
        <v/>
      </c>
    </row>
    <row r="6659" spans="20:20">
      <c r="T6659" t="str">
        <f t="shared" si="116"/>
        <v/>
      </c>
    </row>
    <row r="6660" spans="20:20">
      <c r="T6660" t="str">
        <f t="shared" si="116"/>
        <v/>
      </c>
    </row>
    <row r="6661" spans="20:20">
      <c r="T6661" t="str">
        <f t="shared" si="116"/>
        <v/>
      </c>
    </row>
    <row r="6662" spans="20:20">
      <c r="T6662" t="str">
        <f t="shared" si="116"/>
        <v/>
      </c>
    </row>
    <row r="6663" spans="20:20">
      <c r="T6663" t="str">
        <f t="shared" si="116"/>
        <v/>
      </c>
    </row>
    <row r="6664" spans="20:20">
      <c r="T6664" t="str">
        <f t="shared" si="116"/>
        <v/>
      </c>
    </row>
    <row r="6665" spans="20:20">
      <c r="T6665" t="str">
        <f t="shared" si="116"/>
        <v/>
      </c>
    </row>
    <row r="6666" spans="20:20">
      <c r="T6666" t="str">
        <f t="shared" si="116"/>
        <v/>
      </c>
    </row>
    <row r="6667" spans="20:20">
      <c r="T6667" t="str">
        <f t="shared" si="116"/>
        <v/>
      </c>
    </row>
    <row r="6668" spans="20:20">
      <c r="T6668" t="str">
        <f t="shared" si="116"/>
        <v/>
      </c>
    </row>
    <row r="6669" spans="20:20">
      <c r="T6669" t="str">
        <f t="shared" si="116"/>
        <v/>
      </c>
    </row>
    <row r="6670" spans="20:20">
      <c r="T6670" t="str">
        <f t="shared" si="116"/>
        <v/>
      </c>
    </row>
    <row r="6671" spans="20:20">
      <c r="T6671" t="str">
        <f t="shared" si="116"/>
        <v/>
      </c>
    </row>
    <row r="6672" spans="20:20">
      <c r="T6672" t="str">
        <f t="shared" si="116"/>
        <v/>
      </c>
    </row>
    <row r="6673" spans="20:20">
      <c r="T6673" t="str">
        <f t="shared" si="116"/>
        <v/>
      </c>
    </row>
    <row r="6674" spans="20:20">
      <c r="T6674" t="str">
        <f t="shared" si="116"/>
        <v/>
      </c>
    </row>
    <row r="6675" spans="20:20">
      <c r="T6675" t="str">
        <f t="shared" si="116"/>
        <v/>
      </c>
    </row>
    <row r="6676" spans="20:20">
      <c r="T6676" t="str">
        <f t="shared" si="116"/>
        <v/>
      </c>
    </row>
    <row r="6677" spans="20:20">
      <c r="T6677" t="str">
        <f t="shared" si="116"/>
        <v/>
      </c>
    </row>
    <row r="6678" spans="20:20">
      <c r="T6678" t="str">
        <f t="shared" si="116"/>
        <v/>
      </c>
    </row>
    <row r="6679" spans="20:20">
      <c r="T6679" t="str">
        <f t="shared" si="116"/>
        <v/>
      </c>
    </row>
    <row r="6680" spans="20:20">
      <c r="T6680" t="str">
        <f t="shared" si="116"/>
        <v/>
      </c>
    </row>
    <row r="6681" spans="20:20">
      <c r="T6681" t="str">
        <f t="shared" si="116"/>
        <v/>
      </c>
    </row>
    <row r="6682" spans="20:20">
      <c r="T6682" t="str">
        <f t="shared" si="116"/>
        <v/>
      </c>
    </row>
    <row r="6683" spans="20:20">
      <c r="T6683" t="str">
        <f t="shared" si="116"/>
        <v/>
      </c>
    </row>
    <row r="6684" spans="20:20">
      <c r="T6684" t="str">
        <f t="shared" si="116"/>
        <v/>
      </c>
    </row>
    <row r="6685" spans="20:20">
      <c r="T6685" t="str">
        <f t="shared" si="116"/>
        <v/>
      </c>
    </row>
    <row r="6686" spans="20:20">
      <c r="T6686" t="str">
        <f t="shared" si="116"/>
        <v/>
      </c>
    </row>
    <row r="6687" spans="20:20">
      <c r="T6687" t="str">
        <f t="shared" si="116"/>
        <v/>
      </c>
    </row>
    <row r="6688" spans="20:20">
      <c r="T6688" t="str">
        <f t="shared" si="116"/>
        <v/>
      </c>
    </row>
    <row r="6689" spans="20:20">
      <c r="T6689" t="str">
        <f t="shared" si="116"/>
        <v/>
      </c>
    </row>
    <row r="6690" spans="20:20">
      <c r="T6690" t="str">
        <f t="shared" si="116"/>
        <v/>
      </c>
    </row>
    <row r="6691" spans="20:20">
      <c r="T6691" t="str">
        <f t="shared" si="116"/>
        <v/>
      </c>
    </row>
    <row r="6692" spans="20:20">
      <c r="T6692" t="str">
        <f t="shared" si="116"/>
        <v/>
      </c>
    </row>
    <row r="6693" spans="20:20">
      <c r="T6693" t="str">
        <f t="shared" si="116"/>
        <v/>
      </c>
    </row>
    <row r="6694" spans="20:20">
      <c r="T6694" t="str">
        <f t="shared" si="116"/>
        <v/>
      </c>
    </row>
    <row r="6695" spans="20:20">
      <c r="T6695" t="str">
        <f t="shared" si="116"/>
        <v/>
      </c>
    </row>
    <row r="6696" spans="20:20">
      <c r="T6696" t="str">
        <f t="shared" si="116"/>
        <v/>
      </c>
    </row>
    <row r="6697" spans="20:20">
      <c r="T6697" t="str">
        <f t="shared" si="116"/>
        <v/>
      </c>
    </row>
    <row r="6698" spans="20:20">
      <c r="T6698" t="str">
        <f t="shared" si="116"/>
        <v/>
      </c>
    </row>
    <row r="6699" spans="20:20">
      <c r="T6699" t="str">
        <f t="shared" si="116"/>
        <v/>
      </c>
    </row>
    <row r="6700" spans="20:20">
      <c r="T6700" t="str">
        <f t="shared" si="116"/>
        <v/>
      </c>
    </row>
    <row r="6701" spans="20:20">
      <c r="T6701" t="str">
        <f t="shared" si="116"/>
        <v/>
      </c>
    </row>
    <row r="6702" spans="20:20">
      <c r="T6702" t="str">
        <f t="shared" si="116"/>
        <v/>
      </c>
    </row>
    <row r="6703" spans="20:20">
      <c r="T6703" t="str">
        <f t="shared" si="116"/>
        <v/>
      </c>
    </row>
    <row r="6704" spans="20:20">
      <c r="T6704" t="str">
        <f t="shared" si="116"/>
        <v/>
      </c>
    </row>
    <row r="6705" spans="20:20">
      <c r="T6705" t="str">
        <f t="shared" si="116"/>
        <v/>
      </c>
    </row>
    <row r="6706" spans="20:20">
      <c r="T6706" t="str">
        <f t="shared" si="116"/>
        <v/>
      </c>
    </row>
    <row r="6707" spans="20:20">
      <c r="T6707" t="str">
        <f t="shared" si="116"/>
        <v/>
      </c>
    </row>
    <row r="6708" spans="20:20">
      <c r="T6708" t="str">
        <f t="shared" si="116"/>
        <v/>
      </c>
    </row>
    <row r="6709" spans="20:20">
      <c r="T6709" t="str">
        <f t="shared" si="116"/>
        <v/>
      </c>
    </row>
    <row r="6710" spans="20:20">
      <c r="T6710" t="str">
        <f t="shared" si="116"/>
        <v/>
      </c>
    </row>
    <row r="6711" spans="20:20">
      <c r="T6711" t="str">
        <f t="shared" si="116"/>
        <v/>
      </c>
    </row>
    <row r="6712" spans="20:20">
      <c r="T6712" t="str">
        <f t="shared" si="116"/>
        <v/>
      </c>
    </row>
    <row r="6713" spans="20:20">
      <c r="T6713" t="str">
        <f t="shared" si="116"/>
        <v/>
      </c>
    </row>
    <row r="6714" spans="20:20">
      <c r="T6714" t="str">
        <f t="shared" si="116"/>
        <v/>
      </c>
    </row>
    <row r="6715" spans="20:20">
      <c r="T6715" t="str">
        <f t="shared" si="116"/>
        <v/>
      </c>
    </row>
    <row r="6716" spans="20:20">
      <c r="T6716" t="str">
        <f t="shared" si="116"/>
        <v/>
      </c>
    </row>
    <row r="6717" spans="20:20">
      <c r="T6717" t="str">
        <f t="shared" si="116"/>
        <v/>
      </c>
    </row>
    <row r="6718" spans="20:20">
      <c r="T6718" t="str">
        <f t="shared" si="116"/>
        <v/>
      </c>
    </row>
    <row r="6719" spans="20:20">
      <c r="T6719" t="str">
        <f t="shared" si="116"/>
        <v/>
      </c>
    </row>
    <row r="6720" spans="20:20">
      <c r="T6720" t="str">
        <f t="shared" si="116"/>
        <v/>
      </c>
    </row>
    <row r="6721" spans="20:20">
      <c r="T6721" t="str">
        <f t="shared" si="116"/>
        <v/>
      </c>
    </row>
    <row r="6722" spans="20:20">
      <c r="T6722" t="str">
        <f t="shared" ref="T6722:T6785" si="117">IF(C6722="","",UPPER(LEFT(SUBSTITUTE(C6722," ",""),3))&amp;"-"&amp;TEXT(B6722,"AAMMDD")&amp;"-1")</f>
        <v/>
      </c>
    </row>
    <row r="6723" spans="20:20">
      <c r="T6723" t="str">
        <f t="shared" si="117"/>
        <v/>
      </c>
    </row>
    <row r="6724" spans="20:20">
      <c r="T6724" t="str">
        <f t="shared" si="117"/>
        <v/>
      </c>
    </row>
    <row r="6725" spans="20:20">
      <c r="T6725" t="str">
        <f t="shared" si="117"/>
        <v/>
      </c>
    </row>
    <row r="6726" spans="20:20">
      <c r="T6726" t="str">
        <f t="shared" si="117"/>
        <v/>
      </c>
    </row>
    <row r="6727" spans="20:20">
      <c r="T6727" t="str">
        <f t="shared" si="117"/>
        <v/>
      </c>
    </row>
    <row r="6728" spans="20:20">
      <c r="T6728" t="str">
        <f t="shared" si="117"/>
        <v/>
      </c>
    </row>
    <row r="6729" spans="20:20">
      <c r="T6729" t="str">
        <f t="shared" si="117"/>
        <v/>
      </c>
    </row>
    <row r="6730" spans="20:20">
      <c r="T6730" t="str">
        <f t="shared" si="117"/>
        <v/>
      </c>
    </row>
    <row r="6731" spans="20:20">
      <c r="T6731" t="str">
        <f t="shared" si="117"/>
        <v/>
      </c>
    </row>
    <row r="6732" spans="20:20">
      <c r="T6732" t="str">
        <f t="shared" si="117"/>
        <v/>
      </c>
    </row>
    <row r="6733" spans="20:20">
      <c r="T6733" t="str">
        <f t="shared" si="117"/>
        <v/>
      </c>
    </row>
    <row r="6734" spans="20:20">
      <c r="T6734" t="str">
        <f t="shared" si="117"/>
        <v/>
      </c>
    </row>
    <row r="6735" spans="20:20">
      <c r="T6735" t="str">
        <f t="shared" si="117"/>
        <v/>
      </c>
    </row>
    <row r="6736" spans="20:20">
      <c r="T6736" t="str">
        <f t="shared" si="117"/>
        <v/>
      </c>
    </row>
    <row r="6737" spans="20:20">
      <c r="T6737" t="str">
        <f t="shared" si="117"/>
        <v/>
      </c>
    </row>
    <row r="6738" spans="20:20">
      <c r="T6738" t="str">
        <f t="shared" si="117"/>
        <v/>
      </c>
    </row>
    <row r="6739" spans="20:20">
      <c r="T6739" t="str">
        <f t="shared" si="117"/>
        <v/>
      </c>
    </row>
    <row r="6740" spans="20:20">
      <c r="T6740" t="str">
        <f t="shared" si="117"/>
        <v/>
      </c>
    </row>
    <row r="6741" spans="20:20">
      <c r="T6741" t="str">
        <f t="shared" si="117"/>
        <v/>
      </c>
    </row>
    <row r="6742" spans="20:20">
      <c r="T6742" t="str">
        <f t="shared" si="117"/>
        <v/>
      </c>
    </row>
    <row r="6743" spans="20:20">
      <c r="T6743" t="str">
        <f t="shared" si="117"/>
        <v/>
      </c>
    </row>
    <row r="6744" spans="20:20">
      <c r="T6744" t="str">
        <f t="shared" si="117"/>
        <v/>
      </c>
    </row>
    <row r="6745" spans="20:20">
      <c r="T6745" t="str">
        <f t="shared" si="117"/>
        <v/>
      </c>
    </row>
    <row r="6746" spans="20:20">
      <c r="T6746" t="str">
        <f t="shared" si="117"/>
        <v/>
      </c>
    </row>
    <row r="6747" spans="20:20">
      <c r="T6747" t="str">
        <f t="shared" si="117"/>
        <v/>
      </c>
    </row>
    <row r="6748" spans="20:20">
      <c r="T6748" t="str">
        <f t="shared" si="117"/>
        <v/>
      </c>
    </row>
    <row r="6749" spans="20:20">
      <c r="T6749" t="str">
        <f t="shared" si="117"/>
        <v/>
      </c>
    </row>
    <row r="6750" spans="20:20">
      <c r="T6750" t="str">
        <f t="shared" si="117"/>
        <v/>
      </c>
    </row>
    <row r="6751" spans="20:20">
      <c r="T6751" t="str">
        <f t="shared" si="117"/>
        <v/>
      </c>
    </row>
    <row r="6752" spans="20:20">
      <c r="T6752" t="str">
        <f t="shared" si="117"/>
        <v/>
      </c>
    </row>
    <row r="6753" spans="20:20">
      <c r="T6753" t="str">
        <f t="shared" si="117"/>
        <v/>
      </c>
    </row>
    <row r="6754" spans="20:20">
      <c r="T6754" t="str">
        <f t="shared" si="117"/>
        <v/>
      </c>
    </row>
    <row r="6755" spans="20:20">
      <c r="T6755" t="str">
        <f t="shared" si="117"/>
        <v/>
      </c>
    </row>
    <row r="6756" spans="20:20">
      <c r="T6756" t="str">
        <f t="shared" si="117"/>
        <v/>
      </c>
    </row>
    <row r="6757" spans="20:20">
      <c r="T6757" t="str">
        <f t="shared" si="117"/>
        <v/>
      </c>
    </row>
    <row r="6758" spans="20:20">
      <c r="T6758" t="str">
        <f t="shared" si="117"/>
        <v/>
      </c>
    </row>
    <row r="6759" spans="20:20">
      <c r="T6759" t="str">
        <f t="shared" si="117"/>
        <v/>
      </c>
    </row>
    <row r="6760" spans="20:20">
      <c r="T6760" t="str">
        <f t="shared" si="117"/>
        <v/>
      </c>
    </row>
    <row r="6761" spans="20:20">
      <c r="T6761" t="str">
        <f t="shared" si="117"/>
        <v/>
      </c>
    </row>
    <row r="6762" spans="20:20">
      <c r="T6762" t="str">
        <f t="shared" si="117"/>
        <v/>
      </c>
    </row>
    <row r="6763" spans="20:20">
      <c r="T6763" t="str">
        <f t="shared" si="117"/>
        <v/>
      </c>
    </row>
    <row r="6764" spans="20:20">
      <c r="T6764" t="str">
        <f t="shared" si="117"/>
        <v/>
      </c>
    </row>
    <row r="6765" spans="20:20">
      <c r="T6765" t="str">
        <f t="shared" si="117"/>
        <v/>
      </c>
    </row>
    <row r="6766" spans="20:20">
      <c r="T6766" t="str">
        <f t="shared" si="117"/>
        <v/>
      </c>
    </row>
    <row r="6767" spans="20:20">
      <c r="T6767" t="str">
        <f t="shared" si="117"/>
        <v/>
      </c>
    </row>
    <row r="6768" spans="20:20">
      <c r="T6768" t="str">
        <f t="shared" si="117"/>
        <v/>
      </c>
    </row>
    <row r="6769" spans="20:20">
      <c r="T6769" t="str">
        <f t="shared" si="117"/>
        <v/>
      </c>
    </row>
    <row r="6770" spans="20:20">
      <c r="T6770" t="str">
        <f t="shared" si="117"/>
        <v/>
      </c>
    </row>
    <row r="6771" spans="20:20">
      <c r="T6771" t="str">
        <f t="shared" si="117"/>
        <v/>
      </c>
    </row>
    <row r="6772" spans="20:20">
      <c r="T6772" t="str">
        <f t="shared" si="117"/>
        <v/>
      </c>
    </row>
    <row r="6773" spans="20:20">
      <c r="T6773" t="str">
        <f t="shared" si="117"/>
        <v/>
      </c>
    </row>
    <row r="6774" spans="20:20">
      <c r="T6774" t="str">
        <f t="shared" si="117"/>
        <v/>
      </c>
    </row>
    <row r="6775" spans="20:20">
      <c r="T6775" t="str">
        <f t="shared" si="117"/>
        <v/>
      </c>
    </row>
    <row r="6776" spans="20:20">
      <c r="T6776" t="str">
        <f t="shared" si="117"/>
        <v/>
      </c>
    </row>
    <row r="6777" spans="20:20">
      <c r="T6777" t="str">
        <f t="shared" si="117"/>
        <v/>
      </c>
    </row>
    <row r="6778" spans="20:20">
      <c r="T6778" t="str">
        <f t="shared" si="117"/>
        <v/>
      </c>
    </row>
    <row r="6779" spans="20:20">
      <c r="T6779" t="str">
        <f t="shared" si="117"/>
        <v/>
      </c>
    </row>
    <row r="6780" spans="20:20">
      <c r="T6780" t="str">
        <f t="shared" si="117"/>
        <v/>
      </c>
    </row>
    <row r="6781" spans="20:20">
      <c r="T6781" t="str">
        <f t="shared" si="117"/>
        <v/>
      </c>
    </row>
    <row r="6782" spans="20:20">
      <c r="T6782" t="str">
        <f t="shared" si="117"/>
        <v/>
      </c>
    </row>
    <row r="6783" spans="20:20">
      <c r="T6783" t="str">
        <f t="shared" si="117"/>
        <v/>
      </c>
    </row>
    <row r="6784" spans="20:20">
      <c r="T6784" t="str">
        <f t="shared" si="117"/>
        <v/>
      </c>
    </row>
    <row r="6785" spans="20:20">
      <c r="T6785" t="str">
        <f t="shared" si="117"/>
        <v/>
      </c>
    </row>
    <row r="6786" spans="20:20">
      <c r="T6786" t="str">
        <f t="shared" ref="T6786:T6849" si="118">IF(C6786="","",UPPER(LEFT(SUBSTITUTE(C6786," ",""),3))&amp;"-"&amp;TEXT(B6786,"AAMMDD")&amp;"-1")</f>
        <v/>
      </c>
    </row>
    <row r="6787" spans="20:20">
      <c r="T6787" t="str">
        <f t="shared" si="118"/>
        <v/>
      </c>
    </row>
    <row r="6788" spans="20:20">
      <c r="T6788" t="str">
        <f t="shared" si="118"/>
        <v/>
      </c>
    </row>
    <row r="6789" spans="20:20">
      <c r="T6789" t="str">
        <f t="shared" si="118"/>
        <v/>
      </c>
    </row>
    <row r="6790" spans="20:20">
      <c r="T6790" t="str">
        <f t="shared" si="118"/>
        <v/>
      </c>
    </row>
    <row r="6791" spans="20:20">
      <c r="T6791" t="str">
        <f t="shared" si="118"/>
        <v/>
      </c>
    </row>
    <row r="6792" spans="20:20">
      <c r="T6792" t="str">
        <f t="shared" si="118"/>
        <v/>
      </c>
    </row>
    <row r="6793" spans="20:20">
      <c r="T6793" t="str">
        <f t="shared" si="118"/>
        <v/>
      </c>
    </row>
    <row r="6794" spans="20:20">
      <c r="T6794" t="str">
        <f t="shared" si="118"/>
        <v/>
      </c>
    </row>
    <row r="6795" spans="20:20">
      <c r="T6795" t="str">
        <f t="shared" si="118"/>
        <v/>
      </c>
    </row>
    <row r="6796" spans="20:20">
      <c r="T6796" t="str">
        <f t="shared" si="118"/>
        <v/>
      </c>
    </row>
    <row r="6797" spans="20:20">
      <c r="T6797" t="str">
        <f t="shared" si="118"/>
        <v/>
      </c>
    </row>
    <row r="6798" spans="20:20">
      <c r="T6798" t="str">
        <f t="shared" si="118"/>
        <v/>
      </c>
    </row>
    <row r="6799" spans="20:20">
      <c r="T6799" t="str">
        <f t="shared" si="118"/>
        <v/>
      </c>
    </row>
    <row r="6800" spans="20:20">
      <c r="T6800" t="str">
        <f t="shared" si="118"/>
        <v/>
      </c>
    </row>
    <row r="6801" spans="20:20">
      <c r="T6801" t="str">
        <f t="shared" si="118"/>
        <v/>
      </c>
    </row>
    <row r="6802" spans="20:20">
      <c r="T6802" t="str">
        <f t="shared" si="118"/>
        <v/>
      </c>
    </row>
    <row r="6803" spans="20:20">
      <c r="T6803" t="str">
        <f t="shared" si="118"/>
        <v/>
      </c>
    </row>
    <row r="6804" spans="20:20">
      <c r="T6804" t="str">
        <f t="shared" si="118"/>
        <v/>
      </c>
    </row>
    <row r="6805" spans="20:20">
      <c r="T6805" t="str">
        <f t="shared" si="118"/>
        <v/>
      </c>
    </row>
    <row r="6806" spans="20:20">
      <c r="T6806" t="str">
        <f t="shared" si="118"/>
        <v/>
      </c>
    </row>
    <row r="6807" spans="20:20">
      <c r="T6807" t="str">
        <f t="shared" si="118"/>
        <v/>
      </c>
    </row>
    <row r="6808" spans="20:20">
      <c r="T6808" t="str">
        <f t="shared" si="118"/>
        <v/>
      </c>
    </row>
    <row r="6809" spans="20:20">
      <c r="T6809" t="str">
        <f t="shared" si="118"/>
        <v/>
      </c>
    </row>
    <row r="6810" spans="20:20">
      <c r="T6810" t="str">
        <f t="shared" si="118"/>
        <v/>
      </c>
    </row>
    <row r="6811" spans="20:20">
      <c r="T6811" t="str">
        <f t="shared" si="118"/>
        <v/>
      </c>
    </row>
    <row r="6812" spans="20:20">
      <c r="T6812" t="str">
        <f t="shared" si="118"/>
        <v/>
      </c>
    </row>
    <row r="6813" spans="20:20">
      <c r="T6813" t="str">
        <f t="shared" si="118"/>
        <v/>
      </c>
    </row>
    <row r="6814" spans="20:20">
      <c r="T6814" t="str">
        <f t="shared" si="118"/>
        <v/>
      </c>
    </row>
    <row r="6815" spans="20:20">
      <c r="T6815" t="str">
        <f t="shared" si="118"/>
        <v/>
      </c>
    </row>
    <row r="6816" spans="20:20">
      <c r="T6816" t="str">
        <f t="shared" si="118"/>
        <v/>
      </c>
    </row>
    <row r="6817" spans="20:20">
      <c r="T6817" t="str">
        <f t="shared" si="118"/>
        <v/>
      </c>
    </row>
    <row r="6818" spans="20:20">
      <c r="T6818" t="str">
        <f t="shared" si="118"/>
        <v/>
      </c>
    </row>
    <row r="6819" spans="20:20">
      <c r="T6819" t="str">
        <f t="shared" si="118"/>
        <v/>
      </c>
    </row>
    <row r="6820" spans="20:20">
      <c r="T6820" t="str">
        <f t="shared" si="118"/>
        <v/>
      </c>
    </row>
    <row r="6821" spans="20:20">
      <c r="T6821" t="str">
        <f t="shared" si="118"/>
        <v/>
      </c>
    </row>
    <row r="6822" spans="20:20">
      <c r="T6822" t="str">
        <f t="shared" si="118"/>
        <v/>
      </c>
    </row>
    <row r="6823" spans="20:20">
      <c r="T6823" t="str">
        <f t="shared" si="118"/>
        <v/>
      </c>
    </row>
    <row r="6824" spans="20:20">
      <c r="T6824" t="str">
        <f t="shared" si="118"/>
        <v/>
      </c>
    </row>
    <row r="6825" spans="20:20">
      <c r="T6825" t="str">
        <f t="shared" si="118"/>
        <v/>
      </c>
    </row>
    <row r="6826" spans="20:20">
      <c r="T6826" t="str">
        <f t="shared" si="118"/>
        <v/>
      </c>
    </row>
    <row r="6827" spans="20:20">
      <c r="T6827" t="str">
        <f t="shared" si="118"/>
        <v/>
      </c>
    </row>
    <row r="6828" spans="20:20">
      <c r="T6828" t="str">
        <f t="shared" si="118"/>
        <v/>
      </c>
    </row>
    <row r="6829" spans="20:20">
      <c r="T6829" t="str">
        <f t="shared" si="118"/>
        <v/>
      </c>
    </row>
    <row r="6830" spans="20:20">
      <c r="T6830" t="str">
        <f t="shared" si="118"/>
        <v/>
      </c>
    </row>
    <row r="6831" spans="20:20">
      <c r="T6831" t="str">
        <f t="shared" si="118"/>
        <v/>
      </c>
    </row>
    <row r="6832" spans="20:20">
      <c r="T6832" t="str">
        <f t="shared" si="118"/>
        <v/>
      </c>
    </row>
    <row r="6833" spans="20:20">
      <c r="T6833" t="str">
        <f t="shared" si="118"/>
        <v/>
      </c>
    </row>
    <row r="6834" spans="20:20">
      <c r="T6834" t="str">
        <f t="shared" si="118"/>
        <v/>
      </c>
    </row>
    <row r="6835" spans="20:20">
      <c r="T6835" t="str">
        <f t="shared" si="118"/>
        <v/>
      </c>
    </row>
    <row r="6836" spans="20:20">
      <c r="T6836" t="str">
        <f t="shared" si="118"/>
        <v/>
      </c>
    </row>
    <row r="6837" spans="20:20">
      <c r="T6837" t="str">
        <f t="shared" si="118"/>
        <v/>
      </c>
    </row>
    <row r="6838" spans="20:20">
      <c r="T6838" t="str">
        <f t="shared" si="118"/>
        <v/>
      </c>
    </row>
    <row r="6839" spans="20:20">
      <c r="T6839" t="str">
        <f t="shared" si="118"/>
        <v/>
      </c>
    </row>
    <row r="6840" spans="20:20">
      <c r="T6840" t="str">
        <f t="shared" si="118"/>
        <v/>
      </c>
    </row>
    <row r="6841" spans="20:20">
      <c r="T6841" t="str">
        <f t="shared" si="118"/>
        <v/>
      </c>
    </row>
    <row r="6842" spans="20:20">
      <c r="T6842" t="str">
        <f t="shared" si="118"/>
        <v/>
      </c>
    </row>
    <row r="6843" spans="20:20">
      <c r="T6843" t="str">
        <f t="shared" si="118"/>
        <v/>
      </c>
    </row>
    <row r="6844" spans="20:20">
      <c r="T6844" t="str">
        <f t="shared" si="118"/>
        <v/>
      </c>
    </row>
    <row r="6845" spans="20:20">
      <c r="T6845" t="str">
        <f t="shared" si="118"/>
        <v/>
      </c>
    </row>
    <row r="6846" spans="20:20">
      <c r="T6846" t="str">
        <f t="shared" si="118"/>
        <v/>
      </c>
    </row>
    <row r="6847" spans="20:20">
      <c r="T6847" t="str">
        <f t="shared" si="118"/>
        <v/>
      </c>
    </row>
    <row r="6848" spans="20:20">
      <c r="T6848" t="str">
        <f t="shared" si="118"/>
        <v/>
      </c>
    </row>
    <row r="6849" spans="20:20">
      <c r="T6849" t="str">
        <f t="shared" si="118"/>
        <v/>
      </c>
    </row>
    <row r="6850" spans="20:20">
      <c r="T6850" t="str">
        <f t="shared" ref="T6850:T6913" si="119">IF(C6850="","",UPPER(LEFT(SUBSTITUTE(C6850," ",""),3))&amp;"-"&amp;TEXT(B6850,"AAMMDD")&amp;"-1")</f>
        <v/>
      </c>
    </row>
    <row r="6851" spans="20:20">
      <c r="T6851" t="str">
        <f t="shared" si="119"/>
        <v/>
      </c>
    </row>
    <row r="6852" spans="20:20">
      <c r="T6852" t="str">
        <f t="shared" si="119"/>
        <v/>
      </c>
    </row>
    <row r="6853" spans="20:20">
      <c r="T6853" t="str">
        <f t="shared" si="119"/>
        <v/>
      </c>
    </row>
    <row r="6854" spans="20:20">
      <c r="T6854" t="str">
        <f t="shared" si="119"/>
        <v/>
      </c>
    </row>
    <row r="6855" spans="20:20">
      <c r="T6855" t="str">
        <f t="shared" si="119"/>
        <v/>
      </c>
    </row>
    <row r="6856" spans="20:20">
      <c r="T6856" t="str">
        <f t="shared" si="119"/>
        <v/>
      </c>
    </row>
    <row r="6857" spans="20:20">
      <c r="T6857" t="str">
        <f t="shared" si="119"/>
        <v/>
      </c>
    </row>
    <row r="6858" spans="20:20">
      <c r="T6858" t="str">
        <f t="shared" si="119"/>
        <v/>
      </c>
    </row>
    <row r="6859" spans="20:20">
      <c r="T6859" t="str">
        <f t="shared" si="119"/>
        <v/>
      </c>
    </row>
    <row r="6860" spans="20:20">
      <c r="T6860" t="str">
        <f t="shared" si="119"/>
        <v/>
      </c>
    </row>
    <row r="6861" spans="20:20">
      <c r="T6861" t="str">
        <f t="shared" si="119"/>
        <v/>
      </c>
    </row>
    <row r="6862" spans="20:20">
      <c r="T6862" t="str">
        <f t="shared" si="119"/>
        <v/>
      </c>
    </row>
    <row r="6863" spans="20:20">
      <c r="T6863" t="str">
        <f t="shared" si="119"/>
        <v/>
      </c>
    </row>
    <row r="6864" spans="20:20">
      <c r="T6864" t="str">
        <f t="shared" si="119"/>
        <v/>
      </c>
    </row>
    <row r="6865" spans="20:20">
      <c r="T6865" t="str">
        <f t="shared" si="119"/>
        <v/>
      </c>
    </row>
    <row r="6866" spans="20:20">
      <c r="T6866" t="str">
        <f t="shared" si="119"/>
        <v/>
      </c>
    </row>
    <row r="6867" spans="20:20">
      <c r="T6867" t="str">
        <f t="shared" si="119"/>
        <v/>
      </c>
    </row>
    <row r="6868" spans="20:20">
      <c r="T6868" t="str">
        <f t="shared" si="119"/>
        <v/>
      </c>
    </row>
    <row r="6869" spans="20:20">
      <c r="T6869" t="str">
        <f t="shared" si="119"/>
        <v/>
      </c>
    </row>
    <row r="6870" spans="20:20">
      <c r="T6870" t="str">
        <f t="shared" si="119"/>
        <v/>
      </c>
    </row>
    <row r="6871" spans="20:20">
      <c r="T6871" t="str">
        <f t="shared" si="119"/>
        <v/>
      </c>
    </row>
    <row r="6872" spans="20:20">
      <c r="T6872" t="str">
        <f t="shared" si="119"/>
        <v/>
      </c>
    </row>
    <row r="6873" spans="20:20">
      <c r="T6873" t="str">
        <f t="shared" si="119"/>
        <v/>
      </c>
    </row>
    <row r="6874" spans="20:20">
      <c r="T6874" t="str">
        <f t="shared" si="119"/>
        <v/>
      </c>
    </row>
    <row r="6875" spans="20:20">
      <c r="T6875" t="str">
        <f t="shared" si="119"/>
        <v/>
      </c>
    </row>
    <row r="6876" spans="20:20">
      <c r="T6876" t="str">
        <f t="shared" si="119"/>
        <v/>
      </c>
    </row>
    <row r="6877" spans="20:20">
      <c r="T6877" t="str">
        <f t="shared" si="119"/>
        <v/>
      </c>
    </row>
    <row r="6878" spans="20:20">
      <c r="T6878" t="str">
        <f t="shared" si="119"/>
        <v/>
      </c>
    </row>
    <row r="6879" spans="20:20">
      <c r="T6879" t="str">
        <f t="shared" si="119"/>
        <v/>
      </c>
    </row>
    <row r="6880" spans="20:20">
      <c r="T6880" t="str">
        <f t="shared" si="119"/>
        <v/>
      </c>
    </row>
    <row r="6881" spans="20:20">
      <c r="T6881" t="str">
        <f t="shared" si="119"/>
        <v/>
      </c>
    </row>
    <row r="6882" spans="20:20">
      <c r="T6882" t="str">
        <f t="shared" si="119"/>
        <v/>
      </c>
    </row>
    <row r="6883" spans="20:20">
      <c r="T6883" t="str">
        <f t="shared" si="119"/>
        <v/>
      </c>
    </row>
    <row r="6884" spans="20:20">
      <c r="T6884" t="str">
        <f t="shared" si="119"/>
        <v/>
      </c>
    </row>
    <row r="6885" spans="20:20">
      <c r="T6885" t="str">
        <f t="shared" si="119"/>
        <v/>
      </c>
    </row>
    <row r="6886" spans="20:20">
      <c r="T6886" t="str">
        <f t="shared" si="119"/>
        <v/>
      </c>
    </row>
    <row r="6887" spans="20:20">
      <c r="T6887" t="str">
        <f t="shared" si="119"/>
        <v/>
      </c>
    </row>
    <row r="6888" spans="20:20">
      <c r="T6888" t="str">
        <f t="shared" si="119"/>
        <v/>
      </c>
    </row>
    <row r="6889" spans="20:20">
      <c r="T6889" t="str">
        <f t="shared" si="119"/>
        <v/>
      </c>
    </row>
    <row r="6890" spans="20:20">
      <c r="T6890" t="str">
        <f t="shared" si="119"/>
        <v/>
      </c>
    </row>
    <row r="6891" spans="20:20">
      <c r="T6891" t="str">
        <f t="shared" si="119"/>
        <v/>
      </c>
    </row>
    <row r="6892" spans="20:20">
      <c r="T6892" t="str">
        <f t="shared" si="119"/>
        <v/>
      </c>
    </row>
    <row r="6893" spans="20:20">
      <c r="T6893" t="str">
        <f t="shared" si="119"/>
        <v/>
      </c>
    </row>
    <row r="6894" spans="20:20">
      <c r="T6894" t="str">
        <f t="shared" si="119"/>
        <v/>
      </c>
    </row>
    <row r="6895" spans="20:20">
      <c r="T6895" t="str">
        <f t="shared" si="119"/>
        <v/>
      </c>
    </row>
    <row r="6896" spans="20:20">
      <c r="T6896" t="str">
        <f t="shared" si="119"/>
        <v/>
      </c>
    </row>
    <row r="6897" spans="20:20">
      <c r="T6897" t="str">
        <f t="shared" si="119"/>
        <v/>
      </c>
    </row>
    <row r="6898" spans="20:20">
      <c r="T6898" t="str">
        <f t="shared" si="119"/>
        <v/>
      </c>
    </row>
    <row r="6899" spans="20:20">
      <c r="T6899" t="str">
        <f t="shared" si="119"/>
        <v/>
      </c>
    </row>
    <row r="6900" spans="20:20">
      <c r="T6900" t="str">
        <f t="shared" si="119"/>
        <v/>
      </c>
    </row>
    <row r="6901" spans="20:20">
      <c r="T6901" t="str">
        <f t="shared" si="119"/>
        <v/>
      </c>
    </row>
    <row r="6902" spans="20:20">
      <c r="T6902" t="str">
        <f t="shared" si="119"/>
        <v/>
      </c>
    </row>
    <row r="6903" spans="20:20">
      <c r="T6903" t="str">
        <f t="shared" si="119"/>
        <v/>
      </c>
    </row>
    <row r="6904" spans="20:20">
      <c r="T6904" t="str">
        <f t="shared" si="119"/>
        <v/>
      </c>
    </row>
    <row r="6905" spans="20:20">
      <c r="T6905" t="str">
        <f t="shared" si="119"/>
        <v/>
      </c>
    </row>
    <row r="6906" spans="20:20">
      <c r="T6906" t="str">
        <f t="shared" si="119"/>
        <v/>
      </c>
    </row>
    <row r="6907" spans="20:20">
      <c r="T6907" t="str">
        <f t="shared" si="119"/>
        <v/>
      </c>
    </row>
    <row r="6908" spans="20:20">
      <c r="T6908" t="str">
        <f t="shared" si="119"/>
        <v/>
      </c>
    </row>
    <row r="6909" spans="20:20">
      <c r="T6909" t="str">
        <f t="shared" si="119"/>
        <v/>
      </c>
    </row>
    <row r="6910" spans="20:20">
      <c r="T6910" t="str">
        <f t="shared" si="119"/>
        <v/>
      </c>
    </row>
    <row r="6911" spans="20:20">
      <c r="T6911" t="str">
        <f t="shared" si="119"/>
        <v/>
      </c>
    </row>
    <row r="6912" spans="20:20">
      <c r="T6912" t="str">
        <f t="shared" si="119"/>
        <v/>
      </c>
    </row>
    <row r="6913" spans="20:20">
      <c r="T6913" t="str">
        <f t="shared" si="119"/>
        <v/>
      </c>
    </row>
    <row r="6914" spans="20:20">
      <c r="T6914" t="str">
        <f t="shared" ref="T6914:T6977" si="120">IF(C6914="","",UPPER(LEFT(SUBSTITUTE(C6914," ",""),3))&amp;"-"&amp;TEXT(B6914,"AAMMDD")&amp;"-1")</f>
        <v/>
      </c>
    </row>
    <row r="6915" spans="20:20">
      <c r="T6915" t="str">
        <f t="shared" si="120"/>
        <v/>
      </c>
    </row>
    <row r="6916" spans="20:20">
      <c r="T6916" t="str">
        <f t="shared" si="120"/>
        <v/>
      </c>
    </row>
    <row r="6917" spans="20:20">
      <c r="T6917" t="str">
        <f t="shared" si="120"/>
        <v/>
      </c>
    </row>
    <row r="6918" spans="20:20">
      <c r="T6918" t="str">
        <f t="shared" si="120"/>
        <v/>
      </c>
    </row>
    <row r="6919" spans="20:20">
      <c r="T6919" t="str">
        <f t="shared" si="120"/>
        <v/>
      </c>
    </row>
    <row r="6920" spans="20:20">
      <c r="T6920" t="str">
        <f t="shared" si="120"/>
        <v/>
      </c>
    </row>
    <row r="6921" spans="20:20">
      <c r="T6921" t="str">
        <f t="shared" si="120"/>
        <v/>
      </c>
    </row>
    <row r="6922" spans="20:20">
      <c r="T6922" t="str">
        <f t="shared" si="120"/>
        <v/>
      </c>
    </row>
    <row r="6923" spans="20:20">
      <c r="T6923" t="str">
        <f t="shared" si="120"/>
        <v/>
      </c>
    </row>
    <row r="6924" spans="20:20">
      <c r="T6924" t="str">
        <f t="shared" si="120"/>
        <v/>
      </c>
    </row>
    <row r="6925" spans="20:20">
      <c r="T6925" t="str">
        <f t="shared" si="120"/>
        <v/>
      </c>
    </row>
    <row r="6926" spans="20:20">
      <c r="T6926" t="str">
        <f t="shared" si="120"/>
        <v/>
      </c>
    </row>
    <row r="6927" spans="20:20">
      <c r="T6927" t="str">
        <f t="shared" si="120"/>
        <v/>
      </c>
    </row>
    <row r="6928" spans="20:20">
      <c r="T6928" t="str">
        <f t="shared" si="120"/>
        <v/>
      </c>
    </row>
    <row r="6929" spans="20:20">
      <c r="T6929" t="str">
        <f t="shared" si="120"/>
        <v/>
      </c>
    </row>
    <row r="6930" spans="20:20">
      <c r="T6930" t="str">
        <f t="shared" si="120"/>
        <v/>
      </c>
    </row>
    <row r="6931" spans="20:20">
      <c r="T6931" t="str">
        <f t="shared" si="120"/>
        <v/>
      </c>
    </row>
    <row r="6932" spans="20:20">
      <c r="T6932" t="str">
        <f t="shared" si="120"/>
        <v/>
      </c>
    </row>
    <row r="6933" spans="20:20">
      <c r="T6933" t="str">
        <f t="shared" si="120"/>
        <v/>
      </c>
    </row>
    <row r="6934" spans="20:20">
      <c r="T6934" t="str">
        <f t="shared" si="120"/>
        <v/>
      </c>
    </row>
    <row r="6935" spans="20:20">
      <c r="T6935" t="str">
        <f t="shared" si="120"/>
        <v/>
      </c>
    </row>
    <row r="6936" spans="20:20">
      <c r="T6936" t="str">
        <f t="shared" si="120"/>
        <v/>
      </c>
    </row>
    <row r="6937" spans="20:20">
      <c r="T6937" t="str">
        <f t="shared" si="120"/>
        <v/>
      </c>
    </row>
    <row r="6938" spans="20:20">
      <c r="T6938" t="str">
        <f t="shared" si="120"/>
        <v/>
      </c>
    </row>
    <row r="6939" spans="20:20">
      <c r="T6939" t="str">
        <f t="shared" si="120"/>
        <v/>
      </c>
    </row>
    <row r="6940" spans="20:20">
      <c r="T6940" t="str">
        <f t="shared" si="120"/>
        <v/>
      </c>
    </row>
    <row r="6941" spans="20:20">
      <c r="T6941" t="str">
        <f t="shared" si="120"/>
        <v/>
      </c>
    </row>
    <row r="6942" spans="20:20">
      <c r="T6942" t="str">
        <f t="shared" si="120"/>
        <v/>
      </c>
    </row>
    <row r="6943" spans="20:20">
      <c r="T6943" t="str">
        <f t="shared" si="120"/>
        <v/>
      </c>
    </row>
    <row r="6944" spans="20:20">
      <c r="T6944" t="str">
        <f t="shared" si="120"/>
        <v/>
      </c>
    </row>
    <row r="6945" spans="20:20">
      <c r="T6945" t="str">
        <f t="shared" si="120"/>
        <v/>
      </c>
    </row>
    <row r="6946" spans="20:20">
      <c r="T6946" t="str">
        <f t="shared" si="120"/>
        <v/>
      </c>
    </row>
    <row r="6947" spans="20:20">
      <c r="T6947" t="str">
        <f t="shared" si="120"/>
        <v/>
      </c>
    </row>
    <row r="6948" spans="20:20">
      <c r="T6948" t="str">
        <f t="shared" si="120"/>
        <v/>
      </c>
    </row>
    <row r="6949" spans="20:20">
      <c r="T6949" t="str">
        <f t="shared" si="120"/>
        <v/>
      </c>
    </row>
    <row r="6950" spans="20:20">
      <c r="T6950" t="str">
        <f t="shared" si="120"/>
        <v/>
      </c>
    </row>
    <row r="6951" spans="20:20">
      <c r="T6951" t="str">
        <f t="shared" si="120"/>
        <v/>
      </c>
    </row>
    <row r="6952" spans="20:20">
      <c r="T6952" t="str">
        <f t="shared" si="120"/>
        <v/>
      </c>
    </row>
    <row r="6953" spans="20:20">
      <c r="T6953" t="str">
        <f t="shared" si="120"/>
        <v/>
      </c>
    </row>
    <row r="6954" spans="20:20">
      <c r="T6954" t="str">
        <f t="shared" si="120"/>
        <v/>
      </c>
    </row>
    <row r="6955" spans="20:20">
      <c r="T6955" t="str">
        <f t="shared" si="120"/>
        <v/>
      </c>
    </row>
    <row r="6956" spans="20:20">
      <c r="T6956" t="str">
        <f t="shared" si="120"/>
        <v/>
      </c>
    </row>
    <row r="6957" spans="20:20">
      <c r="T6957" t="str">
        <f t="shared" si="120"/>
        <v/>
      </c>
    </row>
    <row r="6958" spans="20:20">
      <c r="T6958" t="str">
        <f t="shared" si="120"/>
        <v/>
      </c>
    </row>
    <row r="6959" spans="20:20">
      <c r="T6959" t="str">
        <f t="shared" si="120"/>
        <v/>
      </c>
    </row>
    <row r="6960" spans="20:20">
      <c r="T6960" t="str">
        <f t="shared" si="120"/>
        <v/>
      </c>
    </row>
    <row r="6961" spans="20:20">
      <c r="T6961" t="str">
        <f t="shared" si="120"/>
        <v/>
      </c>
    </row>
    <row r="6962" spans="20:20">
      <c r="T6962" t="str">
        <f t="shared" si="120"/>
        <v/>
      </c>
    </row>
    <row r="6963" spans="20:20">
      <c r="T6963" t="str">
        <f t="shared" si="120"/>
        <v/>
      </c>
    </row>
    <row r="6964" spans="20:20">
      <c r="T6964" t="str">
        <f t="shared" si="120"/>
        <v/>
      </c>
    </row>
    <row r="6965" spans="20:20">
      <c r="T6965" t="str">
        <f t="shared" si="120"/>
        <v/>
      </c>
    </row>
    <row r="6966" spans="20:20">
      <c r="T6966" t="str">
        <f t="shared" si="120"/>
        <v/>
      </c>
    </row>
    <row r="6967" spans="20:20">
      <c r="T6967" t="str">
        <f t="shared" si="120"/>
        <v/>
      </c>
    </row>
    <row r="6968" spans="20:20">
      <c r="T6968" t="str">
        <f t="shared" si="120"/>
        <v/>
      </c>
    </row>
    <row r="6969" spans="20:20">
      <c r="T6969" t="str">
        <f t="shared" si="120"/>
        <v/>
      </c>
    </row>
    <row r="6970" spans="20:20">
      <c r="T6970" t="str">
        <f t="shared" si="120"/>
        <v/>
      </c>
    </row>
    <row r="6971" spans="20:20">
      <c r="T6971" t="str">
        <f t="shared" si="120"/>
        <v/>
      </c>
    </row>
    <row r="6972" spans="20:20">
      <c r="T6972" t="str">
        <f t="shared" si="120"/>
        <v/>
      </c>
    </row>
    <row r="6973" spans="20:20">
      <c r="T6973" t="str">
        <f t="shared" si="120"/>
        <v/>
      </c>
    </row>
    <row r="6974" spans="20:20">
      <c r="T6974" t="str">
        <f t="shared" si="120"/>
        <v/>
      </c>
    </row>
    <row r="6975" spans="20:20">
      <c r="T6975" t="str">
        <f t="shared" si="120"/>
        <v/>
      </c>
    </row>
    <row r="6976" spans="20:20">
      <c r="T6976" t="str">
        <f t="shared" si="120"/>
        <v/>
      </c>
    </row>
    <row r="6977" spans="20:20">
      <c r="T6977" t="str">
        <f t="shared" si="120"/>
        <v/>
      </c>
    </row>
    <row r="6978" spans="20:20">
      <c r="T6978" t="str">
        <f t="shared" ref="T6978:T7041" si="121">IF(C6978="","",UPPER(LEFT(SUBSTITUTE(C6978," ",""),3))&amp;"-"&amp;TEXT(B6978,"AAMMDD")&amp;"-1")</f>
        <v/>
      </c>
    </row>
    <row r="6979" spans="20:20">
      <c r="T6979" t="str">
        <f t="shared" si="121"/>
        <v/>
      </c>
    </row>
    <row r="6980" spans="20:20">
      <c r="T6980" t="str">
        <f t="shared" si="121"/>
        <v/>
      </c>
    </row>
    <row r="6981" spans="20:20">
      <c r="T6981" t="str">
        <f t="shared" si="121"/>
        <v/>
      </c>
    </row>
    <row r="6982" spans="20:20">
      <c r="T6982" t="str">
        <f t="shared" si="121"/>
        <v/>
      </c>
    </row>
    <row r="6983" spans="20:20">
      <c r="T6983" t="str">
        <f t="shared" si="121"/>
        <v/>
      </c>
    </row>
    <row r="6984" spans="20:20">
      <c r="T6984" t="str">
        <f t="shared" si="121"/>
        <v/>
      </c>
    </row>
    <row r="6985" spans="20:20">
      <c r="T6985" t="str">
        <f t="shared" si="121"/>
        <v/>
      </c>
    </row>
    <row r="6986" spans="20:20">
      <c r="T6986" t="str">
        <f t="shared" si="121"/>
        <v/>
      </c>
    </row>
    <row r="6987" spans="20:20">
      <c r="T6987" t="str">
        <f t="shared" si="121"/>
        <v/>
      </c>
    </row>
    <row r="6988" spans="20:20">
      <c r="T6988" t="str">
        <f t="shared" si="121"/>
        <v/>
      </c>
    </row>
    <row r="6989" spans="20:20">
      <c r="T6989" t="str">
        <f t="shared" si="121"/>
        <v/>
      </c>
    </row>
    <row r="6990" spans="20:20">
      <c r="T6990" t="str">
        <f t="shared" si="121"/>
        <v/>
      </c>
    </row>
    <row r="6991" spans="20:20">
      <c r="T6991" t="str">
        <f t="shared" si="121"/>
        <v/>
      </c>
    </row>
    <row r="6992" spans="20:20">
      <c r="T6992" t="str">
        <f t="shared" si="121"/>
        <v/>
      </c>
    </row>
    <row r="6993" spans="20:20">
      <c r="T6993" t="str">
        <f t="shared" si="121"/>
        <v/>
      </c>
    </row>
    <row r="6994" spans="20:20">
      <c r="T6994" t="str">
        <f t="shared" si="121"/>
        <v/>
      </c>
    </row>
    <row r="6995" spans="20:20">
      <c r="T6995" t="str">
        <f t="shared" si="121"/>
        <v/>
      </c>
    </row>
    <row r="6996" spans="20:20">
      <c r="T6996" t="str">
        <f t="shared" si="121"/>
        <v/>
      </c>
    </row>
    <row r="6997" spans="20:20">
      <c r="T6997" t="str">
        <f t="shared" si="121"/>
        <v/>
      </c>
    </row>
    <row r="6998" spans="20:20">
      <c r="T6998" t="str">
        <f t="shared" si="121"/>
        <v/>
      </c>
    </row>
    <row r="6999" spans="20:20">
      <c r="T6999" t="str">
        <f t="shared" si="121"/>
        <v/>
      </c>
    </row>
    <row r="7000" spans="20:20">
      <c r="T7000" t="str">
        <f t="shared" si="121"/>
        <v/>
      </c>
    </row>
    <row r="7001" spans="20:20">
      <c r="T7001" t="str">
        <f t="shared" si="121"/>
        <v/>
      </c>
    </row>
    <row r="7002" spans="20:20">
      <c r="T7002" t="str">
        <f t="shared" si="121"/>
        <v/>
      </c>
    </row>
    <row r="7003" spans="20:20">
      <c r="T7003" t="str">
        <f t="shared" si="121"/>
        <v/>
      </c>
    </row>
    <row r="7004" spans="20:20">
      <c r="T7004" t="str">
        <f t="shared" si="121"/>
        <v/>
      </c>
    </row>
    <row r="7005" spans="20:20">
      <c r="T7005" t="str">
        <f t="shared" si="121"/>
        <v/>
      </c>
    </row>
    <row r="7006" spans="20:20">
      <c r="T7006" t="str">
        <f t="shared" si="121"/>
        <v/>
      </c>
    </row>
    <row r="7007" spans="20:20">
      <c r="T7007" t="str">
        <f t="shared" si="121"/>
        <v/>
      </c>
    </row>
    <row r="7008" spans="20:20">
      <c r="T7008" t="str">
        <f t="shared" si="121"/>
        <v/>
      </c>
    </row>
    <row r="7009" spans="20:20">
      <c r="T7009" t="str">
        <f t="shared" si="121"/>
        <v/>
      </c>
    </row>
    <row r="7010" spans="20:20">
      <c r="T7010" t="str">
        <f t="shared" si="121"/>
        <v/>
      </c>
    </row>
    <row r="7011" spans="20:20">
      <c r="T7011" t="str">
        <f t="shared" si="121"/>
        <v/>
      </c>
    </row>
    <row r="7012" spans="20:20">
      <c r="T7012" t="str">
        <f t="shared" si="121"/>
        <v/>
      </c>
    </row>
    <row r="7013" spans="20:20">
      <c r="T7013" t="str">
        <f t="shared" si="121"/>
        <v/>
      </c>
    </row>
    <row r="7014" spans="20:20">
      <c r="T7014" t="str">
        <f t="shared" si="121"/>
        <v/>
      </c>
    </row>
    <row r="7015" spans="20:20">
      <c r="T7015" t="str">
        <f t="shared" si="121"/>
        <v/>
      </c>
    </row>
    <row r="7016" spans="20:20">
      <c r="T7016" t="str">
        <f t="shared" si="121"/>
        <v/>
      </c>
    </row>
    <row r="7017" spans="20:20">
      <c r="T7017" t="str">
        <f t="shared" si="121"/>
        <v/>
      </c>
    </row>
    <row r="7018" spans="20:20">
      <c r="T7018" t="str">
        <f t="shared" si="121"/>
        <v/>
      </c>
    </row>
    <row r="7019" spans="20:20">
      <c r="T7019" t="str">
        <f t="shared" si="121"/>
        <v/>
      </c>
    </row>
    <row r="7020" spans="20:20">
      <c r="T7020" t="str">
        <f t="shared" si="121"/>
        <v/>
      </c>
    </row>
    <row r="7021" spans="20:20">
      <c r="T7021" t="str">
        <f t="shared" si="121"/>
        <v/>
      </c>
    </row>
    <row r="7022" spans="20:20">
      <c r="T7022" t="str">
        <f t="shared" si="121"/>
        <v/>
      </c>
    </row>
    <row r="7023" spans="20:20">
      <c r="T7023" t="str">
        <f t="shared" si="121"/>
        <v/>
      </c>
    </row>
    <row r="7024" spans="20:20">
      <c r="T7024" t="str">
        <f t="shared" si="121"/>
        <v/>
      </c>
    </row>
    <row r="7025" spans="20:20">
      <c r="T7025" t="str">
        <f t="shared" si="121"/>
        <v/>
      </c>
    </row>
    <row r="7026" spans="20:20">
      <c r="T7026" t="str">
        <f t="shared" si="121"/>
        <v/>
      </c>
    </row>
    <row r="7027" spans="20:20">
      <c r="T7027" t="str">
        <f t="shared" si="121"/>
        <v/>
      </c>
    </row>
    <row r="7028" spans="20:20">
      <c r="T7028" t="str">
        <f t="shared" si="121"/>
        <v/>
      </c>
    </row>
    <row r="7029" spans="20:20">
      <c r="T7029" t="str">
        <f t="shared" si="121"/>
        <v/>
      </c>
    </row>
    <row r="7030" spans="20:20">
      <c r="T7030" t="str">
        <f t="shared" si="121"/>
        <v/>
      </c>
    </row>
    <row r="7031" spans="20:20">
      <c r="T7031" t="str">
        <f t="shared" si="121"/>
        <v/>
      </c>
    </row>
    <row r="7032" spans="20:20">
      <c r="T7032" t="str">
        <f t="shared" si="121"/>
        <v/>
      </c>
    </row>
    <row r="7033" spans="20:20">
      <c r="T7033" t="str">
        <f t="shared" si="121"/>
        <v/>
      </c>
    </row>
    <row r="7034" spans="20:20">
      <c r="T7034" t="str">
        <f t="shared" si="121"/>
        <v/>
      </c>
    </row>
    <row r="7035" spans="20:20">
      <c r="T7035" t="str">
        <f t="shared" si="121"/>
        <v/>
      </c>
    </row>
    <row r="7036" spans="20:20">
      <c r="T7036" t="str">
        <f t="shared" si="121"/>
        <v/>
      </c>
    </row>
    <row r="7037" spans="20:20">
      <c r="T7037" t="str">
        <f t="shared" si="121"/>
        <v/>
      </c>
    </row>
    <row r="7038" spans="20:20">
      <c r="T7038" t="str">
        <f t="shared" si="121"/>
        <v/>
      </c>
    </row>
    <row r="7039" spans="20:20">
      <c r="T7039" t="str">
        <f t="shared" si="121"/>
        <v/>
      </c>
    </row>
    <row r="7040" spans="20:20">
      <c r="T7040" t="str">
        <f t="shared" si="121"/>
        <v/>
      </c>
    </row>
    <row r="7041" spans="20:20">
      <c r="T7041" t="str">
        <f t="shared" si="121"/>
        <v/>
      </c>
    </row>
    <row r="7042" spans="20:20">
      <c r="T7042" t="str">
        <f t="shared" ref="T7042:T7105" si="122">IF(C7042="","",UPPER(LEFT(SUBSTITUTE(C7042," ",""),3))&amp;"-"&amp;TEXT(B7042,"AAMMDD")&amp;"-1")</f>
        <v/>
      </c>
    </row>
    <row r="7043" spans="20:20">
      <c r="T7043" t="str">
        <f t="shared" si="122"/>
        <v/>
      </c>
    </row>
    <row r="7044" spans="20:20">
      <c r="T7044" t="str">
        <f t="shared" si="122"/>
        <v/>
      </c>
    </row>
    <row r="7045" spans="20:20">
      <c r="T7045" t="str">
        <f t="shared" si="122"/>
        <v/>
      </c>
    </row>
    <row r="7046" spans="20:20">
      <c r="T7046" t="str">
        <f t="shared" si="122"/>
        <v/>
      </c>
    </row>
    <row r="7047" spans="20:20">
      <c r="T7047" t="str">
        <f t="shared" si="122"/>
        <v/>
      </c>
    </row>
    <row r="7048" spans="20:20">
      <c r="T7048" t="str">
        <f t="shared" si="122"/>
        <v/>
      </c>
    </row>
    <row r="7049" spans="20:20">
      <c r="T7049" t="str">
        <f t="shared" si="122"/>
        <v/>
      </c>
    </row>
    <row r="7050" spans="20:20">
      <c r="T7050" t="str">
        <f t="shared" si="122"/>
        <v/>
      </c>
    </row>
    <row r="7051" spans="20:20">
      <c r="T7051" t="str">
        <f t="shared" si="122"/>
        <v/>
      </c>
    </row>
    <row r="7052" spans="20:20">
      <c r="T7052" t="str">
        <f t="shared" si="122"/>
        <v/>
      </c>
    </row>
    <row r="7053" spans="20:20">
      <c r="T7053" t="str">
        <f t="shared" si="122"/>
        <v/>
      </c>
    </row>
    <row r="7054" spans="20:20">
      <c r="T7054" t="str">
        <f t="shared" si="122"/>
        <v/>
      </c>
    </row>
    <row r="7055" spans="20:20">
      <c r="T7055" t="str">
        <f t="shared" si="122"/>
        <v/>
      </c>
    </row>
    <row r="7056" spans="20:20">
      <c r="T7056" t="str">
        <f t="shared" si="122"/>
        <v/>
      </c>
    </row>
    <row r="7057" spans="20:20">
      <c r="T7057" t="str">
        <f t="shared" si="122"/>
        <v/>
      </c>
    </row>
    <row r="7058" spans="20:20">
      <c r="T7058" t="str">
        <f t="shared" si="122"/>
        <v/>
      </c>
    </row>
    <row r="7059" spans="20:20">
      <c r="T7059" t="str">
        <f t="shared" si="122"/>
        <v/>
      </c>
    </row>
    <row r="7060" spans="20:20">
      <c r="T7060" t="str">
        <f t="shared" si="122"/>
        <v/>
      </c>
    </row>
    <row r="7061" spans="20:20">
      <c r="T7061" t="str">
        <f t="shared" si="122"/>
        <v/>
      </c>
    </row>
    <row r="7062" spans="20:20">
      <c r="T7062" t="str">
        <f t="shared" si="122"/>
        <v/>
      </c>
    </row>
    <row r="7063" spans="20:20">
      <c r="T7063" t="str">
        <f t="shared" si="122"/>
        <v/>
      </c>
    </row>
    <row r="7064" spans="20:20">
      <c r="T7064" t="str">
        <f t="shared" si="122"/>
        <v/>
      </c>
    </row>
    <row r="7065" spans="20:20">
      <c r="T7065" t="str">
        <f t="shared" si="122"/>
        <v/>
      </c>
    </row>
    <row r="7066" spans="20:20">
      <c r="T7066" t="str">
        <f t="shared" si="122"/>
        <v/>
      </c>
    </row>
    <row r="7067" spans="20:20">
      <c r="T7067" t="str">
        <f t="shared" si="122"/>
        <v/>
      </c>
    </row>
    <row r="7068" spans="20:20">
      <c r="T7068" t="str">
        <f t="shared" si="122"/>
        <v/>
      </c>
    </row>
    <row r="7069" spans="20:20">
      <c r="T7069" t="str">
        <f t="shared" si="122"/>
        <v/>
      </c>
    </row>
    <row r="7070" spans="20:20">
      <c r="T7070" t="str">
        <f t="shared" si="122"/>
        <v/>
      </c>
    </row>
    <row r="7071" spans="20:20">
      <c r="T7071" t="str">
        <f t="shared" si="122"/>
        <v/>
      </c>
    </row>
    <row r="7072" spans="20:20">
      <c r="T7072" t="str">
        <f t="shared" si="122"/>
        <v/>
      </c>
    </row>
    <row r="7073" spans="20:20">
      <c r="T7073" t="str">
        <f t="shared" si="122"/>
        <v/>
      </c>
    </row>
    <row r="7074" spans="20:20">
      <c r="T7074" t="str">
        <f t="shared" si="122"/>
        <v/>
      </c>
    </row>
    <row r="7075" spans="20:20">
      <c r="T7075" t="str">
        <f t="shared" si="122"/>
        <v/>
      </c>
    </row>
    <row r="7076" spans="20:20">
      <c r="T7076" t="str">
        <f t="shared" si="122"/>
        <v/>
      </c>
    </row>
    <row r="7077" spans="20:20">
      <c r="T7077" t="str">
        <f t="shared" si="122"/>
        <v/>
      </c>
    </row>
    <row r="7078" spans="20:20">
      <c r="T7078" t="str">
        <f t="shared" si="122"/>
        <v/>
      </c>
    </row>
    <row r="7079" spans="20:20">
      <c r="T7079" t="str">
        <f t="shared" si="122"/>
        <v/>
      </c>
    </row>
    <row r="7080" spans="20:20">
      <c r="T7080" t="str">
        <f t="shared" si="122"/>
        <v/>
      </c>
    </row>
    <row r="7081" spans="20:20">
      <c r="T7081" t="str">
        <f t="shared" si="122"/>
        <v/>
      </c>
    </row>
    <row r="7082" spans="20:20">
      <c r="T7082" t="str">
        <f t="shared" si="122"/>
        <v/>
      </c>
    </row>
    <row r="7083" spans="20:20">
      <c r="T7083" t="str">
        <f t="shared" si="122"/>
        <v/>
      </c>
    </row>
    <row r="7084" spans="20:20">
      <c r="T7084" t="str">
        <f t="shared" si="122"/>
        <v/>
      </c>
    </row>
    <row r="7085" spans="20:20">
      <c r="T7085" t="str">
        <f t="shared" si="122"/>
        <v/>
      </c>
    </row>
    <row r="7086" spans="20:20">
      <c r="T7086" t="str">
        <f t="shared" si="122"/>
        <v/>
      </c>
    </row>
    <row r="7087" spans="20:20">
      <c r="T7087" t="str">
        <f t="shared" si="122"/>
        <v/>
      </c>
    </row>
    <row r="7088" spans="20:20">
      <c r="T7088" t="str">
        <f t="shared" si="122"/>
        <v/>
      </c>
    </row>
    <row r="7089" spans="20:20">
      <c r="T7089" t="str">
        <f t="shared" si="122"/>
        <v/>
      </c>
    </row>
    <row r="7090" spans="20:20">
      <c r="T7090" t="str">
        <f t="shared" si="122"/>
        <v/>
      </c>
    </row>
    <row r="7091" spans="20:20">
      <c r="T7091" t="str">
        <f t="shared" si="122"/>
        <v/>
      </c>
    </row>
    <row r="7092" spans="20:20">
      <c r="T7092" t="str">
        <f t="shared" si="122"/>
        <v/>
      </c>
    </row>
    <row r="7093" spans="20:20">
      <c r="T7093" t="str">
        <f t="shared" si="122"/>
        <v/>
      </c>
    </row>
    <row r="7094" spans="20:20">
      <c r="T7094" t="str">
        <f t="shared" si="122"/>
        <v/>
      </c>
    </row>
    <row r="7095" spans="20:20">
      <c r="T7095" t="str">
        <f t="shared" si="122"/>
        <v/>
      </c>
    </row>
    <row r="7096" spans="20:20">
      <c r="T7096" t="str">
        <f t="shared" si="122"/>
        <v/>
      </c>
    </row>
    <row r="7097" spans="20:20">
      <c r="T7097" t="str">
        <f t="shared" si="122"/>
        <v/>
      </c>
    </row>
    <row r="7098" spans="20:20">
      <c r="T7098" t="str">
        <f t="shared" si="122"/>
        <v/>
      </c>
    </row>
    <row r="7099" spans="20:20">
      <c r="T7099" t="str">
        <f t="shared" si="122"/>
        <v/>
      </c>
    </row>
    <row r="7100" spans="20:20">
      <c r="T7100" t="str">
        <f t="shared" si="122"/>
        <v/>
      </c>
    </row>
    <row r="7101" spans="20:20">
      <c r="T7101" t="str">
        <f t="shared" si="122"/>
        <v/>
      </c>
    </row>
    <row r="7102" spans="20:20">
      <c r="T7102" t="str">
        <f t="shared" si="122"/>
        <v/>
      </c>
    </row>
    <row r="7103" spans="20:20">
      <c r="T7103" t="str">
        <f t="shared" si="122"/>
        <v/>
      </c>
    </row>
    <row r="7104" spans="20:20">
      <c r="T7104" t="str">
        <f t="shared" si="122"/>
        <v/>
      </c>
    </row>
    <row r="7105" spans="20:20">
      <c r="T7105" t="str">
        <f t="shared" si="122"/>
        <v/>
      </c>
    </row>
    <row r="7106" spans="20:20">
      <c r="T7106" t="str">
        <f t="shared" ref="T7106:T7169" si="123">IF(C7106="","",UPPER(LEFT(SUBSTITUTE(C7106," ",""),3))&amp;"-"&amp;TEXT(B7106,"AAMMDD")&amp;"-1")</f>
        <v/>
      </c>
    </row>
    <row r="7107" spans="20:20">
      <c r="T7107" t="str">
        <f t="shared" si="123"/>
        <v/>
      </c>
    </row>
    <row r="7108" spans="20:20">
      <c r="T7108" t="str">
        <f t="shared" si="123"/>
        <v/>
      </c>
    </row>
    <row r="7109" spans="20:20">
      <c r="T7109" t="str">
        <f t="shared" si="123"/>
        <v/>
      </c>
    </row>
    <row r="7110" spans="20:20">
      <c r="T7110" t="str">
        <f t="shared" si="123"/>
        <v/>
      </c>
    </row>
    <row r="7111" spans="20:20">
      <c r="T7111" t="str">
        <f t="shared" si="123"/>
        <v/>
      </c>
    </row>
    <row r="7112" spans="20:20">
      <c r="T7112" t="str">
        <f t="shared" si="123"/>
        <v/>
      </c>
    </row>
    <row r="7113" spans="20:20">
      <c r="T7113" t="str">
        <f t="shared" si="123"/>
        <v/>
      </c>
    </row>
    <row r="7114" spans="20:20">
      <c r="T7114" t="str">
        <f t="shared" si="123"/>
        <v/>
      </c>
    </row>
    <row r="7115" spans="20:20">
      <c r="T7115" t="str">
        <f t="shared" si="123"/>
        <v/>
      </c>
    </row>
    <row r="7116" spans="20:20">
      <c r="T7116" t="str">
        <f t="shared" si="123"/>
        <v/>
      </c>
    </row>
    <row r="7117" spans="20:20">
      <c r="T7117" t="str">
        <f t="shared" si="123"/>
        <v/>
      </c>
    </row>
    <row r="7118" spans="20:20">
      <c r="T7118" t="str">
        <f t="shared" si="123"/>
        <v/>
      </c>
    </row>
    <row r="7119" spans="20:20">
      <c r="T7119" t="str">
        <f t="shared" si="123"/>
        <v/>
      </c>
    </row>
    <row r="7120" spans="20:20">
      <c r="T7120" t="str">
        <f t="shared" si="123"/>
        <v/>
      </c>
    </row>
    <row r="7121" spans="20:20">
      <c r="T7121" t="str">
        <f t="shared" si="123"/>
        <v/>
      </c>
    </row>
    <row r="7122" spans="20:20">
      <c r="T7122" t="str">
        <f t="shared" si="123"/>
        <v/>
      </c>
    </row>
    <row r="7123" spans="20:20">
      <c r="T7123" t="str">
        <f t="shared" si="123"/>
        <v/>
      </c>
    </row>
    <row r="7124" spans="20:20">
      <c r="T7124" t="str">
        <f t="shared" si="123"/>
        <v/>
      </c>
    </row>
    <row r="7125" spans="20:20">
      <c r="T7125" t="str">
        <f t="shared" si="123"/>
        <v/>
      </c>
    </row>
    <row r="7126" spans="20:20">
      <c r="T7126" t="str">
        <f t="shared" si="123"/>
        <v/>
      </c>
    </row>
    <row r="7127" spans="20:20">
      <c r="T7127" t="str">
        <f t="shared" si="123"/>
        <v/>
      </c>
    </row>
    <row r="7128" spans="20:20">
      <c r="T7128" t="str">
        <f t="shared" si="123"/>
        <v/>
      </c>
    </row>
    <row r="7129" spans="20:20">
      <c r="T7129" t="str">
        <f t="shared" si="123"/>
        <v/>
      </c>
    </row>
    <row r="7130" spans="20:20">
      <c r="T7130" t="str">
        <f t="shared" si="123"/>
        <v/>
      </c>
    </row>
    <row r="7131" spans="20:20">
      <c r="T7131" t="str">
        <f t="shared" si="123"/>
        <v/>
      </c>
    </row>
    <row r="7132" spans="20:20">
      <c r="T7132" t="str">
        <f t="shared" si="123"/>
        <v/>
      </c>
    </row>
    <row r="7133" spans="20:20">
      <c r="T7133" t="str">
        <f t="shared" si="123"/>
        <v/>
      </c>
    </row>
    <row r="7134" spans="20:20">
      <c r="T7134" t="str">
        <f t="shared" si="123"/>
        <v/>
      </c>
    </row>
    <row r="7135" spans="20:20">
      <c r="T7135" t="str">
        <f t="shared" si="123"/>
        <v/>
      </c>
    </row>
    <row r="7136" spans="20:20">
      <c r="T7136" t="str">
        <f t="shared" si="123"/>
        <v/>
      </c>
    </row>
    <row r="7137" spans="20:20">
      <c r="T7137" t="str">
        <f t="shared" si="123"/>
        <v/>
      </c>
    </row>
    <row r="7138" spans="20:20">
      <c r="T7138" t="str">
        <f t="shared" si="123"/>
        <v/>
      </c>
    </row>
    <row r="7139" spans="20:20">
      <c r="T7139" t="str">
        <f t="shared" si="123"/>
        <v/>
      </c>
    </row>
    <row r="7140" spans="20:20">
      <c r="T7140" t="str">
        <f t="shared" si="123"/>
        <v/>
      </c>
    </row>
    <row r="7141" spans="20:20">
      <c r="T7141" t="str">
        <f t="shared" si="123"/>
        <v/>
      </c>
    </row>
    <row r="7142" spans="20:20">
      <c r="T7142" t="str">
        <f t="shared" si="123"/>
        <v/>
      </c>
    </row>
    <row r="7143" spans="20:20">
      <c r="T7143" t="str">
        <f t="shared" si="123"/>
        <v/>
      </c>
    </row>
    <row r="7144" spans="20:20">
      <c r="T7144" t="str">
        <f t="shared" si="123"/>
        <v/>
      </c>
    </row>
    <row r="7145" spans="20:20">
      <c r="T7145" t="str">
        <f t="shared" si="123"/>
        <v/>
      </c>
    </row>
    <row r="7146" spans="20:20">
      <c r="T7146" t="str">
        <f t="shared" si="123"/>
        <v/>
      </c>
    </row>
    <row r="7147" spans="20:20">
      <c r="T7147" t="str">
        <f t="shared" si="123"/>
        <v/>
      </c>
    </row>
    <row r="7148" spans="20:20">
      <c r="T7148" t="str">
        <f t="shared" si="123"/>
        <v/>
      </c>
    </row>
    <row r="7149" spans="20:20">
      <c r="T7149" t="str">
        <f t="shared" si="123"/>
        <v/>
      </c>
    </row>
    <row r="7150" spans="20:20">
      <c r="T7150" t="str">
        <f t="shared" si="123"/>
        <v/>
      </c>
    </row>
    <row r="7151" spans="20:20">
      <c r="T7151" t="str">
        <f t="shared" si="123"/>
        <v/>
      </c>
    </row>
    <row r="7152" spans="20:20">
      <c r="T7152" t="str">
        <f t="shared" si="123"/>
        <v/>
      </c>
    </row>
    <row r="7153" spans="20:20">
      <c r="T7153" t="str">
        <f t="shared" si="123"/>
        <v/>
      </c>
    </row>
    <row r="7154" spans="20:20">
      <c r="T7154" t="str">
        <f t="shared" si="123"/>
        <v/>
      </c>
    </row>
    <row r="7155" spans="20:20">
      <c r="T7155" t="str">
        <f t="shared" si="123"/>
        <v/>
      </c>
    </row>
    <row r="7156" spans="20:20">
      <c r="T7156" t="str">
        <f t="shared" si="123"/>
        <v/>
      </c>
    </row>
    <row r="7157" spans="20:20">
      <c r="T7157" t="str">
        <f t="shared" si="123"/>
        <v/>
      </c>
    </row>
    <row r="7158" spans="20:20">
      <c r="T7158" t="str">
        <f t="shared" si="123"/>
        <v/>
      </c>
    </row>
    <row r="7159" spans="20:20">
      <c r="T7159" t="str">
        <f t="shared" si="123"/>
        <v/>
      </c>
    </row>
    <row r="7160" spans="20:20">
      <c r="T7160" t="str">
        <f t="shared" si="123"/>
        <v/>
      </c>
    </row>
    <row r="7161" spans="20:20">
      <c r="T7161" t="str">
        <f t="shared" si="123"/>
        <v/>
      </c>
    </row>
    <row r="7162" spans="20:20">
      <c r="T7162" t="str">
        <f t="shared" si="123"/>
        <v/>
      </c>
    </row>
    <row r="7163" spans="20:20">
      <c r="T7163" t="str">
        <f t="shared" si="123"/>
        <v/>
      </c>
    </row>
    <row r="7164" spans="20:20">
      <c r="T7164" t="str">
        <f t="shared" si="123"/>
        <v/>
      </c>
    </row>
    <row r="7165" spans="20:20">
      <c r="T7165" t="str">
        <f t="shared" si="123"/>
        <v/>
      </c>
    </row>
    <row r="7166" spans="20:20">
      <c r="T7166" t="str">
        <f t="shared" si="123"/>
        <v/>
      </c>
    </row>
    <row r="7167" spans="20:20">
      <c r="T7167" t="str">
        <f t="shared" si="123"/>
        <v/>
      </c>
    </row>
    <row r="7168" spans="20:20">
      <c r="T7168" t="str">
        <f t="shared" si="123"/>
        <v/>
      </c>
    </row>
    <row r="7169" spans="20:20">
      <c r="T7169" t="str">
        <f t="shared" si="123"/>
        <v/>
      </c>
    </row>
    <row r="7170" spans="20:20">
      <c r="T7170" t="str">
        <f t="shared" ref="T7170:T7233" si="124">IF(C7170="","",UPPER(LEFT(SUBSTITUTE(C7170," ",""),3))&amp;"-"&amp;TEXT(B7170,"AAMMDD")&amp;"-1")</f>
        <v/>
      </c>
    </row>
    <row r="7171" spans="20:20">
      <c r="T7171" t="str">
        <f t="shared" si="124"/>
        <v/>
      </c>
    </row>
    <row r="7172" spans="20:20">
      <c r="T7172" t="str">
        <f t="shared" si="124"/>
        <v/>
      </c>
    </row>
    <row r="7173" spans="20:20">
      <c r="T7173" t="str">
        <f t="shared" si="124"/>
        <v/>
      </c>
    </row>
    <row r="7174" spans="20:20">
      <c r="T7174" t="str">
        <f t="shared" si="124"/>
        <v/>
      </c>
    </row>
    <row r="7175" spans="20:20">
      <c r="T7175" t="str">
        <f t="shared" si="124"/>
        <v/>
      </c>
    </row>
    <row r="7176" spans="20:20">
      <c r="T7176" t="str">
        <f t="shared" si="124"/>
        <v/>
      </c>
    </row>
    <row r="7177" spans="20:20">
      <c r="T7177" t="str">
        <f t="shared" si="124"/>
        <v/>
      </c>
    </row>
    <row r="7178" spans="20:20">
      <c r="T7178" t="str">
        <f t="shared" si="124"/>
        <v/>
      </c>
    </row>
    <row r="7179" spans="20:20">
      <c r="T7179" t="str">
        <f t="shared" si="124"/>
        <v/>
      </c>
    </row>
    <row r="7180" spans="20:20">
      <c r="T7180" t="str">
        <f t="shared" si="124"/>
        <v/>
      </c>
    </row>
    <row r="7181" spans="20:20">
      <c r="T7181" t="str">
        <f t="shared" si="124"/>
        <v/>
      </c>
    </row>
    <row r="7182" spans="20:20">
      <c r="T7182" t="str">
        <f t="shared" si="124"/>
        <v/>
      </c>
    </row>
    <row r="7183" spans="20:20">
      <c r="T7183" t="str">
        <f t="shared" si="124"/>
        <v/>
      </c>
    </row>
    <row r="7184" spans="20:20">
      <c r="T7184" t="str">
        <f t="shared" si="124"/>
        <v/>
      </c>
    </row>
    <row r="7185" spans="20:20">
      <c r="T7185" t="str">
        <f t="shared" si="124"/>
        <v/>
      </c>
    </row>
    <row r="7186" spans="20:20">
      <c r="T7186" t="str">
        <f t="shared" si="124"/>
        <v/>
      </c>
    </row>
    <row r="7187" spans="20:20">
      <c r="T7187" t="str">
        <f t="shared" si="124"/>
        <v/>
      </c>
    </row>
    <row r="7188" spans="20:20">
      <c r="T7188" t="str">
        <f t="shared" si="124"/>
        <v/>
      </c>
    </row>
    <row r="7189" spans="20:20">
      <c r="T7189" t="str">
        <f t="shared" si="124"/>
        <v/>
      </c>
    </row>
    <row r="7190" spans="20:20">
      <c r="T7190" t="str">
        <f t="shared" si="124"/>
        <v/>
      </c>
    </row>
    <row r="7191" spans="20:20">
      <c r="T7191" t="str">
        <f t="shared" si="124"/>
        <v/>
      </c>
    </row>
    <row r="7192" spans="20:20">
      <c r="T7192" t="str">
        <f t="shared" si="124"/>
        <v/>
      </c>
    </row>
    <row r="7193" spans="20:20">
      <c r="T7193" t="str">
        <f t="shared" si="124"/>
        <v/>
      </c>
    </row>
    <row r="7194" spans="20:20">
      <c r="T7194" t="str">
        <f t="shared" si="124"/>
        <v/>
      </c>
    </row>
    <row r="7195" spans="20:20">
      <c r="T7195" t="str">
        <f t="shared" si="124"/>
        <v/>
      </c>
    </row>
    <row r="7196" spans="20:20">
      <c r="T7196" t="str">
        <f t="shared" si="124"/>
        <v/>
      </c>
    </row>
    <row r="7197" spans="20:20">
      <c r="T7197" t="str">
        <f t="shared" si="124"/>
        <v/>
      </c>
    </row>
    <row r="7198" spans="20:20">
      <c r="T7198" t="str">
        <f t="shared" si="124"/>
        <v/>
      </c>
    </row>
    <row r="7199" spans="20:20">
      <c r="T7199" t="str">
        <f t="shared" si="124"/>
        <v/>
      </c>
    </row>
    <row r="7200" spans="20:20">
      <c r="T7200" t="str">
        <f t="shared" si="124"/>
        <v/>
      </c>
    </row>
    <row r="7201" spans="20:20">
      <c r="T7201" t="str">
        <f t="shared" si="124"/>
        <v/>
      </c>
    </row>
    <row r="7202" spans="20:20">
      <c r="T7202" t="str">
        <f t="shared" si="124"/>
        <v/>
      </c>
    </row>
    <row r="7203" spans="20:20">
      <c r="T7203" t="str">
        <f t="shared" si="124"/>
        <v/>
      </c>
    </row>
    <row r="7204" spans="20:20">
      <c r="T7204" t="str">
        <f t="shared" si="124"/>
        <v/>
      </c>
    </row>
    <row r="7205" spans="20:20">
      <c r="T7205" t="str">
        <f t="shared" si="124"/>
        <v/>
      </c>
    </row>
    <row r="7206" spans="20:20">
      <c r="T7206" t="str">
        <f t="shared" si="124"/>
        <v/>
      </c>
    </row>
    <row r="7207" spans="20:20">
      <c r="T7207" t="str">
        <f t="shared" si="124"/>
        <v/>
      </c>
    </row>
    <row r="7208" spans="20:20">
      <c r="T7208" t="str">
        <f t="shared" si="124"/>
        <v/>
      </c>
    </row>
    <row r="7209" spans="20:20">
      <c r="T7209" t="str">
        <f t="shared" si="124"/>
        <v/>
      </c>
    </row>
    <row r="7210" spans="20:20">
      <c r="T7210" t="str">
        <f t="shared" si="124"/>
        <v/>
      </c>
    </row>
    <row r="7211" spans="20:20">
      <c r="T7211" t="str">
        <f t="shared" si="124"/>
        <v/>
      </c>
    </row>
    <row r="7212" spans="20:20">
      <c r="T7212" t="str">
        <f t="shared" si="124"/>
        <v/>
      </c>
    </row>
    <row r="7213" spans="20:20">
      <c r="T7213" t="str">
        <f t="shared" si="124"/>
        <v/>
      </c>
    </row>
    <row r="7214" spans="20:20">
      <c r="T7214" t="str">
        <f t="shared" si="124"/>
        <v/>
      </c>
    </row>
    <row r="7215" spans="20:20">
      <c r="T7215" t="str">
        <f t="shared" si="124"/>
        <v/>
      </c>
    </row>
    <row r="7216" spans="20:20">
      <c r="T7216" t="str">
        <f t="shared" si="124"/>
        <v/>
      </c>
    </row>
    <row r="7217" spans="20:20">
      <c r="T7217" t="str">
        <f t="shared" si="124"/>
        <v/>
      </c>
    </row>
    <row r="7218" spans="20:20">
      <c r="T7218" t="str">
        <f t="shared" si="124"/>
        <v/>
      </c>
    </row>
    <row r="7219" spans="20:20">
      <c r="T7219" t="str">
        <f t="shared" si="124"/>
        <v/>
      </c>
    </row>
    <row r="7220" spans="20:20">
      <c r="T7220" t="str">
        <f t="shared" si="124"/>
        <v/>
      </c>
    </row>
    <row r="7221" spans="20:20">
      <c r="T7221" t="str">
        <f t="shared" si="124"/>
        <v/>
      </c>
    </row>
    <row r="7222" spans="20:20">
      <c r="T7222" t="str">
        <f t="shared" si="124"/>
        <v/>
      </c>
    </row>
    <row r="7223" spans="20:20">
      <c r="T7223" t="str">
        <f t="shared" si="124"/>
        <v/>
      </c>
    </row>
    <row r="7224" spans="20:20">
      <c r="T7224" t="str">
        <f t="shared" si="124"/>
        <v/>
      </c>
    </row>
    <row r="7225" spans="20:20">
      <c r="T7225" t="str">
        <f t="shared" si="124"/>
        <v/>
      </c>
    </row>
    <row r="7226" spans="20:20">
      <c r="T7226" t="str">
        <f t="shared" si="124"/>
        <v/>
      </c>
    </row>
    <row r="7227" spans="20:20">
      <c r="T7227" t="str">
        <f t="shared" si="124"/>
        <v/>
      </c>
    </row>
    <row r="7228" spans="20:20">
      <c r="T7228" t="str">
        <f t="shared" si="124"/>
        <v/>
      </c>
    </row>
    <row r="7229" spans="20:20">
      <c r="T7229" t="str">
        <f t="shared" si="124"/>
        <v/>
      </c>
    </row>
    <row r="7230" spans="20:20">
      <c r="T7230" t="str">
        <f t="shared" si="124"/>
        <v/>
      </c>
    </row>
    <row r="7231" spans="20:20">
      <c r="T7231" t="str">
        <f t="shared" si="124"/>
        <v/>
      </c>
    </row>
    <row r="7232" spans="20:20">
      <c r="T7232" t="str">
        <f t="shared" si="124"/>
        <v/>
      </c>
    </row>
    <row r="7233" spans="20:20">
      <c r="T7233" t="str">
        <f t="shared" si="124"/>
        <v/>
      </c>
    </row>
    <row r="7234" spans="20:20">
      <c r="T7234" t="str">
        <f t="shared" ref="T7234:T7297" si="125">IF(C7234="","",UPPER(LEFT(SUBSTITUTE(C7234," ",""),3))&amp;"-"&amp;TEXT(B7234,"AAMMDD")&amp;"-1")</f>
        <v/>
      </c>
    </row>
    <row r="7235" spans="20:20">
      <c r="T7235" t="str">
        <f t="shared" si="125"/>
        <v/>
      </c>
    </row>
    <row r="7236" spans="20:20">
      <c r="T7236" t="str">
        <f t="shared" si="125"/>
        <v/>
      </c>
    </row>
    <row r="7237" spans="20:20">
      <c r="T7237" t="str">
        <f t="shared" si="125"/>
        <v/>
      </c>
    </row>
    <row r="7238" spans="20:20">
      <c r="T7238" t="str">
        <f t="shared" si="125"/>
        <v/>
      </c>
    </row>
    <row r="7239" spans="20:20">
      <c r="T7239" t="str">
        <f t="shared" si="125"/>
        <v/>
      </c>
    </row>
    <row r="7240" spans="20:20">
      <c r="T7240" t="str">
        <f t="shared" si="125"/>
        <v/>
      </c>
    </row>
    <row r="7241" spans="20:20">
      <c r="T7241" t="str">
        <f t="shared" si="125"/>
        <v/>
      </c>
    </row>
    <row r="7242" spans="20:20">
      <c r="T7242" t="str">
        <f t="shared" si="125"/>
        <v/>
      </c>
    </row>
    <row r="7243" spans="20:20">
      <c r="T7243" t="str">
        <f t="shared" si="125"/>
        <v/>
      </c>
    </row>
    <row r="7244" spans="20:20">
      <c r="T7244" t="str">
        <f t="shared" si="125"/>
        <v/>
      </c>
    </row>
    <row r="7245" spans="20:20">
      <c r="T7245" t="str">
        <f t="shared" si="125"/>
        <v/>
      </c>
    </row>
    <row r="7246" spans="20:20">
      <c r="T7246" t="str">
        <f t="shared" si="125"/>
        <v/>
      </c>
    </row>
    <row r="7247" spans="20:20">
      <c r="T7247" t="str">
        <f t="shared" si="125"/>
        <v/>
      </c>
    </row>
    <row r="7248" spans="20:20">
      <c r="T7248" t="str">
        <f t="shared" si="125"/>
        <v/>
      </c>
    </row>
    <row r="7249" spans="20:20">
      <c r="T7249" t="str">
        <f t="shared" si="125"/>
        <v/>
      </c>
    </row>
    <row r="7250" spans="20:20">
      <c r="T7250" t="str">
        <f t="shared" si="125"/>
        <v/>
      </c>
    </row>
    <row r="7251" spans="20:20">
      <c r="T7251" t="str">
        <f t="shared" si="125"/>
        <v/>
      </c>
    </row>
    <row r="7252" spans="20:20">
      <c r="T7252" t="str">
        <f t="shared" si="125"/>
        <v/>
      </c>
    </row>
    <row r="7253" spans="20:20">
      <c r="T7253" t="str">
        <f t="shared" si="125"/>
        <v/>
      </c>
    </row>
    <row r="7254" spans="20:20">
      <c r="T7254" t="str">
        <f t="shared" si="125"/>
        <v/>
      </c>
    </row>
    <row r="7255" spans="20:20">
      <c r="T7255" t="str">
        <f t="shared" si="125"/>
        <v/>
      </c>
    </row>
    <row r="7256" spans="20:20">
      <c r="T7256" t="str">
        <f t="shared" si="125"/>
        <v/>
      </c>
    </row>
    <row r="7257" spans="20:20">
      <c r="T7257" t="str">
        <f t="shared" si="125"/>
        <v/>
      </c>
    </row>
    <row r="7258" spans="20:20">
      <c r="T7258" t="str">
        <f t="shared" si="125"/>
        <v/>
      </c>
    </row>
    <row r="7259" spans="20:20">
      <c r="T7259" t="str">
        <f t="shared" si="125"/>
        <v/>
      </c>
    </row>
    <row r="7260" spans="20:20">
      <c r="T7260" t="str">
        <f t="shared" si="125"/>
        <v/>
      </c>
    </row>
    <row r="7261" spans="20:20">
      <c r="T7261" t="str">
        <f t="shared" si="125"/>
        <v/>
      </c>
    </row>
    <row r="7262" spans="20:20">
      <c r="T7262" t="str">
        <f t="shared" si="125"/>
        <v/>
      </c>
    </row>
    <row r="7263" spans="20:20">
      <c r="T7263" t="str">
        <f t="shared" si="125"/>
        <v/>
      </c>
    </row>
    <row r="7264" spans="20:20">
      <c r="T7264" t="str">
        <f t="shared" si="125"/>
        <v/>
      </c>
    </row>
    <row r="7265" spans="20:20">
      <c r="T7265" t="str">
        <f t="shared" si="125"/>
        <v/>
      </c>
    </row>
    <row r="7266" spans="20:20">
      <c r="T7266" t="str">
        <f t="shared" si="125"/>
        <v/>
      </c>
    </row>
    <row r="7267" spans="20:20">
      <c r="T7267" t="str">
        <f t="shared" si="125"/>
        <v/>
      </c>
    </row>
    <row r="7268" spans="20:20">
      <c r="T7268" t="str">
        <f t="shared" si="125"/>
        <v/>
      </c>
    </row>
    <row r="7269" spans="20:20">
      <c r="T7269" t="str">
        <f t="shared" si="125"/>
        <v/>
      </c>
    </row>
    <row r="7270" spans="20:20">
      <c r="T7270" t="str">
        <f t="shared" si="125"/>
        <v/>
      </c>
    </row>
    <row r="7271" spans="20:20">
      <c r="T7271" t="str">
        <f t="shared" si="125"/>
        <v/>
      </c>
    </row>
    <row r="7272" spans="20:20">
      <c r="T7272" t="str">
        <f t="shared" si="125"/>
        <v/>
      </c>
    </row>
    <row r="7273" spans="20:20">
      <c r="T7273" t="str">
        <f t="shared" si="125"/>
        <v/>
      </c>
    </row>
    <row r="7274" spans="20:20">
      <c r="T7274" t="str">
        <f t="shared" si="125"/>
        <v/>
      </c>
    </row>
    <row r="7275" spans="20:20">
      <c r="T7275" t="str">
        <f t="shared" si="125"/>
        <v/>
      </c>
    </row>
    <row r="7276" spans="20:20">
      <c r="T7276" t="str">
        <f t="shared" si="125"/>
        <v/>
      </c>
    </row>
    <row r="7277" spans="20:20">
      <c r="T7277" t="str">
        <f t="shared" si="125"/>
        <v/>
      </c>
    </row>
    <row r="7278" spans="20:20">
      <c r="T7278" t="str">
        <f t="shared" si="125"/>
        <v/>
      </c>
    </row>
    <row r="7279" spans="20:20">
      <c r="T7279" t="str">
        <f t="shared" si="125"/>
        <v/>
      </c>
    </row>
    <row r="7280" spans="20:20">
      <c r="T7280" t="str">
        <f t="shared" si="125"/>
        <v/>
      </c>
    </row>
    <row r="7281" spans="20:20">
      <c r="T7281" t="str">
        <f t="shared" si="125"/>
        <v/>
      </c>
    </row>
    <row r="7282" spans="20:20">
      <c r="T7282" t="str">
        <f t="shared" si="125"/>
        <v/>
      </c>
    </row>
    <row r="7283" spans="20:20">
      <c r="T7283" t="str">
        <f t="shared" si="125"/>
        <v/>
      </c>
    </row>
    <row r="7284" spans="20:20">
      <c r="T7284" t="str">
        <f t="shared" si="125"/>
        <v/>
      </c>
    </row>
    <row r="7285" spans="20:20">
      <c r="T7285" t="str">
        <f t="shared" si="125"/>
        <v/>
      </c>
    </row>
    <row r="7286" spans="20:20">
      <c r="T7286" t="str">
        <f t="shared" si="125"/>
        <v/>
      </c>
    </row>
    <row r="7287" spans="20:20">
      <c r="T7287" t="str">
        <f t="shared" si="125"/>
        <v/>
      </c>
    </row>
    <row r="7288" spans="20:20">
      <c r="T7288" t="str">
        <f t="shared" si="125"/>
        <v/>
      </c>
    </row>
    <row r="7289" spans="20:20">
      <c r="T7289" t="str">
        <f t="shared" si="125"/>
        <v/>
      </c>
    </row>
    <row r="7290" spans="20:20">
      <c r="T7290" t="str">
        <f t="shared" si="125"/>
        <v/>
      </c>
    </row>
    <row r="7291" spans="20:20">
      <c r="T7291" t="str">
        <f t="shared" si="125"/>
        <v/>
      </c>
    </row>
    <row r="7292" spans="20:20">
      <c r="T7292" t="str">
        <f t="shared" si="125"/>
        <v/>
      </c>
    </row>
    <row r="7293" spans="20:20">
      <c r="T7293" t="str">
        <f t="shared" si="125"/>
        <v/>
      </c>
    </row>
    <row r="7294" spans="20:20">
      <c r="T7294" t="str">
        <f t="shared" si="125"/>
        <v/>
      </c>
    </row>
    <row r="7295" spans="20:20">
      <c r="T7295" t="str">
        <f t="shared" si="125"/>
        <v/>
      </c>
    </row>
    <row r="7296" spans="20:20">
      <c r="T7296" t="str">
        <f t="shared" si="125"/>
        <v/>
      </c>
    </row>
    <row r="7297" spans="20:20">
      <c r="T7297" t="str">
        <f t="shared" si="125"/>
        <v/>
      </c>
    </row>
    <row r="7298" spans="20:20">
      <c r="T7298" t="str">
        <f t="shared" ref="T7298:T7361" si="126">IF(C7298="","",UPPER(LEFT(SUBSTITUTE(C7298," ",""),3))&amp;"-"&amp;TEXT(B7298,"AAMMDD")&amp;"-1")</f>
        <v/>
      </c>
    </row>
    <row r="7299" spans="20:20">
      <c r="T7299" t="str">
        <f t="shared" si="126"/>
        <v/>
      </c>
    </row>
    <row r="7300" spans="20:20">
      <c r="T7300" t="str">
        <f t="shared" si="126"/>
        <v/>
      </c>
    </row>
    <row r="7301" spans="20:20">
      <c r="T7301" t="str">
        <f t="shared" si="126"/>
        <v/>
      </c>
    </row>
    <row r="7302" spans="20:20">
      <c r="T7302" t="str">
        <f t="shared" si="126"/>
        <v/>
      </c>
    </row>
    <row r="7303" spans="20:20">
      <c r="T7303" t="str">
        <f t="shared" si="126"/>
        <v/>
      </c>
    </row>
    <row r="7304" spans="20:20">
      <c r="T7304" t="str">
        <f t="shared" si="126"/>
        <v/>
      </c>
    </row>
    <row r="7305" spans="20:20">
      <c r="T7305" t="str">
        <f t="shared" si="126"/>
        <v/>
      </c>
    </row>
    <row r="7306" spans="20:20">
      <c r="T7306" t="str">
        <f t="shared" si="126"/>
        <v/>
      </c>
    </row>
    <row r="7307" spans="20:20">
      <c r="T7307" t="str">
        <f t="shared" si="126"/>
        <v/>
      </c>
    </row>
    <row r="7308" spans="20:20">
      <c r="T7308" t="str">
        <f t="shared" si="126"/>
        <v/>
      </c>
    </row>
    <row r="7309" spans="20:20">
      <c r="T7309" t="str">
        <f t="shared" si="126"/>
        <v/>
      </c>
    </row>
    <row r="7310" spans="20:20">
      <c r="T7310" t="str">
        <f t="shared" si="126"/>
        <v/>
      </c>
    </row>
    <row r="7311" spans="20:20">
      <c r="T7311" t="str">
        <f t="shared" si="126"/>
        <v/>
      </c>
    </row>
    <row r="7312" spans="20:20">
      <c r="T7312" t="str">
        <f t="shared" si="126"/>
        <v/>
      </c>
    </row>
    <row r="7313" spans="20:20">
      <c r="T7313" t="str">
        <f t="shared" si="126"/>
        <v/>
      </c>
    </row>
    <row r="7314" spans="20:20">
      <c r="T7314" t="str">
        <f t="shared" si="126"/>
        <v/>
      </c>
    </row>
    <row r="7315" spans="20:20">
      <c r="T7315" t="str">
        <f t="shared" si="126"/>
        <v/>
      </c>
    </row>
    <row r="7316" spans="20:20">
      <c r="T7316" t="str">
        <f t="shared" si="126"/>
        <v/>
      </c>
    </row>
    <row r="7317" spans="20:20">
      <c r="T7317" t="str">
        <f t="shared" si="126"/>
        <v/>
      </c>
    </row>
    <row r="7318" spans="20:20">
      <c r="T7318" t="str">
        <f t="shared" si="126"/>
        <v/>
      </c>
    </row>
    <row r="7319" spans="20:20">
      <c r="T7319" t="str">
        <f t="shared" si="126"/>
        <v/>
      </c>
    </row>
    <row r="7320" spans="20:20">
      <c r="T7320" t="str">
        <f t="shared" si="126"/>
        <v/>
      </c>
    </row>
    <row r="7321" spans="20:20">
      <c r="T7321" t="str">
        <f t="shared" si="126"/>
        <v/>
      </c>
    </row>
    <row r="7322" spans="20:20">
      <c r="T7322" t="str">
        <f t="shared" si="126"/>
        <v/>
      </c>
    </row>
    <row r="7323" spans="20:20">
      <c r="T7323" t="str">
        <f t="shared" si="126"/>
        <v/>
      </c>
    </row>
    <row r="7324" spans="20:20">
      <c r="T7324" t="str">
        <f t="shared" si="126"/>
        <v/>
      </c>
    </row>
    <row r="7325" spans="20:20">
      <c r="T7325" t="str">
        <f t="shared" si="126"/>
        <v/>
      </c>
    </row>
    <row r="7326" spans="20:20">
      <c r="T7326" t="str">
        <f t="shared" si="126"/>
        <v/>
      </c>
    </row>
    <row r="7327" spans="20:20">
      <c r="T7327" t="str">
        <f t="shared" si="126"/>
        <v/>
      </c>
    </row>
    <row r="7328" spans="20:20">
      <c r="T7328" t="str">
        <f t="shared" si="126"/>
        <v/>
      </c>
    </row>
    <row r="7329" spans="20:20">
      <c r="T7329" t="str">
        <f t="shared" si="126"/>
        <v/>
      </c>
    </row>
    <row r="7330" spans="20:20">
      <c r="T7330" t="str">
        <f t="shared" si="126"/>
        <v/>
      </c>
    </row>
    <row r="7331" spans="20:20">
      <c r="T7331" t="str">
        <f t="shared" si="126"/>
        <v/>
      </c>
    </row>
    <row r="7332" spans="20:20">
      <c r="T7332" t="str">
        <f t="shared" si="126"/>
        <v/>
      </c>
    </row>
    <row r="7333" spans="20:20">
      <c r="T7333" t="str">
        <f t="shared" si="126"/>
        <v/>
      </c>
    </row>
    <row r="7334" spans="20:20">
      <c r="T7334" t="str">
        <f t="shared" si="126"/>
        <v/>
      </c>
    </row>
    <row r="7335" spans="20:20">
      <c r="T7335" t="str">
        <f t="shared" si="126"/>
        <v/>
      </c>
    </row>
    <row r="7336" spans="20:20">
      <c r="T7336" t="str">
        <f t="shared" si="126"/>
        <v/>
      </c>
    </row>
    <row r="7337" spans="20:20">
      <c r="T7337" t="str">
        <f t="shared" si="126"/>
        <v/>
      </c>
    </row>
    <row r="7338" spans="20:20">
      <c r="T7338" t="str">
        <f t="shared" si="126"/>
        <v/>
      </c>
    </row>
    <row r="7339" spans="20:20">
      <c r="T7339" t="str">
        <f t="shared" si="126"/>
        <v/>
      </c>
    </row>
    <row r="7340" spans="20:20">
      <c r="T7340" t="str">
        <f t="shared" si="126"/>
        <v/>
      </c>
    </row>
    <row r="7341" spans="20:20">
      <c r="T7341" t="str">
        <f t="shared" si="126"/>
        <v/>
      </c>
    </row>
    <row r="7342" spans="20:20">
      <c r="T7342" t="str">
        <f t="shared" si="126"/>
        <v/>
      </c>
    </row>
    <row r="7343" spans="20:20">
      <c r="T7343" t="str">
        <f t="shared" si="126"/>
        <v/>
      </c>
    </row>
    <row r="7344" spans="20:20">
      <c r="T7344" t="str">
        <f t="shared" si="126"/>
        <v/>
      </c>
    </row>
    <row r="7345" spans="20:20">
      <c r="T7345" t="str">
        <f t="shared" si="126"/>
        <v/>
      </c>
    </row>
    <row r="7346" spans="20:20">
      <c r="T7346" t="str">
        <f t="shared" si="126"/>
        <v/>
      </c>
    </row>
    <row r="7347" spans="20:20">
      <c r="T7347" t="str">
        <f t="shared" si="126"/>
        <v/>
      </c>
    </row>
    <row r="7348" spans="20:20">
      <c r="T7348" t="str">
        <f t="shared" si="126"/>
        <v/>
      </c>
    </row>
    <row r="7349" spans="20:20">
      <c r="T7349" t="str">
        <f t="shared" si="126"/>
        <v/>
      </c>
    </row>
    <row r="7350" spans="20:20">
      <c r="T7350" t="str">
        <f t="shared" si="126"/>
        <v/>
      </c>
    </row>
    <row r="7351" spans="20:20">
      <c r="T7351" t="str">
        <f t="shared" si="126"/>
        <v/>
      </c>
    </row>
    <row r="7352" spans="20:20">
      <c r="T7352" t="str">
        <f t="shared" si="126"/>
        <v/>
      </c>
    </row>
    <row r="7353" spans="20:20">
      <c r="T7353" t="str">
        <f t="shared" si="126"/>
        <v/>
      </c>
    </row>
    <row r="7354" spans="20:20">
      <c r="T7354" t="str">
        <f t="shared" si="126"/>
        <v/>
      </c>
    </row>
    <row r="7355" spans="20:20">
      <c r="T7355" t="str">
        <f t="shared" si="126"/>
        <v/>
      </c>
    </row>
    <row r="7356" spans="20:20">
      <c r="T7356" t="str">
        <f t="shared" si="126"/>
        <v/>
      </c>
    </row>
    <row r="7357" spans="20:20">
      <c r="T7357" t="str">
        <f t="shared" si="126"/>
        <v/>
      </c>
    </row>
    <row r="7358" spans="20:20">
      <c r="T7358" t="str">
        <f t="shared" si="126"/>
        <v/>
      </c>
    </row>
    <row r="7359" spans="20:20">
      <c r="T7359" t="str">
        <f t="shared" si="126"/>
        <v/>
      </c>
    </row>
    <row r="7360" spans="20:20">
      <c r="T7360" t="str">
        <f t="shared" si="126"/>
        <v/>
      </c>
    </row>
    <row r="7361" spans="20:20">
      <c r="T7361" t="str">
        <f t="shared" si="126"/>
        <v/>
      </c>
    </row>
    <row r="7362" spans="20:20">
      <c r="T7362" t="str">
        <f t="shared" ref="T7362:T7425" si="127">IF(C7362="","",UPPER(LEFT(SUBSTITUTE(C7362," ",""),3))&amp;"-"&amp;TEXT(B7362,"AAMMDD")&amp;"-1")</f>
        <v/>
      </c>
    </row>
    <row r="7363" spans="20:20">
      <c r="T7363" t="str">
        <f t="shared" si="127"/>
        <v/>
      </c>
    </row>
    <row r="7364" spans="20:20">
      <c r="T7364" t="str">
        <f t="shared" si="127"/>
        <v/>
      </c>
    </row>
    <row r="7365" spans="20:20">
      <c r="T7365" t="str">
        <f t="shared" si="127"/>
        <v/>
      </c>
    </row>
    <row r="7366" spans="20:20">
      <c r="T7366" t="str">
        <f t="shared" si="127"/>
        <v/>
      </c>
    </row>
    <row r="7367" spans="20:20">
      <c r="T7367" t="str">
        <f t="shared" si="127"/>
        <v/>
      </c>
    </row>
    <row r="7368" spans="20:20">
      <c r="T7368" t="str">
        <f t="shared" si="127"/>
        <v/>
      </c>
    </row>
    <row r="7369" spans="20:20">
      <c r="T7369" t="str">
        <f t="shared" si="127"/>
        <v/>
      </c>
    </row>
    <row r="7370" spans="20:20">
      <c r="T7370" t="str">
        <f t="shared" si="127"/>
        <v/>
      </c>
    </row>
    <row r="7371" spans="20:20">
      <c r="T7371" t="str">
        <f t="shared" si="127"/>
        <v/>
      </c>
    </row>
    <row r="7372" spans="20:20">
      <c r="T7372" t="str">
        <f t="shared" si="127"/>
        <v/>
      </c>
    </row>
    <row r="7373" spans="20:20">
      <c r="T7373" t="str">
        <f t="shared" si="127"/>
        <v/>
      </c>
    </row>
    <row r="7374" spans="20:20">
      <c r="T7374" t="str">
        <f t="shared" si="127"/>
        <v/>
      </c>
    </row>
    <row r="7375" spans="20:20">
      <c r="T7375" t="str">
        <f t="shared" si="127"/>
        <v/>
      </c>
    </row>
    <row r="7376" spans="20:20">
      <c r="T7376" t="str">
        <f t="shared" si="127"/>
        <v/>
      </c>
    </row>
    <row r="7377" spans="20:20">
      <c r="T7377" t="str">
        <f t="shared" si="127"/>
        <v/>
      </c>
    </row>
    <row r="7378" spans="20:20">
      <c r="T7378" t="str">
        <f t="shared" si="127"/>
        <v/>
      </c>
    </row>
    <row r="7379" spans="20:20">
      <c r="T7379" t="str">
        <f t="shared" si="127"/>
        <v/>
      </c>
    </row>
    <row r="7380" spans="20:20">
      <c r="T7380" t="str">
        <f t="shared" si="127"/>
        <v/>
      </c>
    </row>
    <row r="7381" spans="20:20">
      <c r="T7381" t="str">
        <f t="shared" si="127"/>
        <v/>
      </c>
    </row>
    <row r="7382" spans="20:20">
      <c r="T7382" t="str">
        <f t="shared" si="127"/>
        <v/>
      </c>
    </row>
    <row r="7383" spans="20:20">
      <c r="T7383" t="str">
        <f t="shared" si="127"/>
        <v/>
      </c>
    </row>
    <row r="7384" spans="20:20">
      <c r="T7384" t="str">
        <f t="shared" si="127"/>
        <v/>
      </c>
    </row>
    <row r="7385" spans="20:20">
      <c r="T7385" t="str">
        <f t="shared" si="127"/>
        <v/>
      </c>
    </row>
    <row r="7386" spans="20:20">
      <c r="T7386" t="str">
        <f t="shared" si="127"/>
        <v/>
      </c>
    </row>
    <row r="7387" spans="20:20">
      <c r="T7387" t="str">
        <f t="shared" si="127"/>
        <v/>
      </c>
    </row>
    <row r="7388" spans="20:20">
      <c r="T7388" t="str">
        <f t="shared" si="127"/>
        <v/>
      </c>
    </row>
    <row r="7389" spans="20:20">
      <c r="T7389" t="str">
        <f t="shared" si="127"/>
        <v/>
      </c>
    </row>
    <row r="7390" spans="20:20">
      <c r="T7390" t="str">
        <f t="shared" si="127"/>
        <v/>
      </c>
    </row>
    <row r="7391" spans="20:20">
      <c r="T7391" t="str">
        <f t="shared" si="127"/>
        <v/>
      </c>
    </row>
    <row r="7392" spans="20:20">
      <c r="T7392" t="str">
        <f t="shared" si="127"/>
        <v/>
      </c>
    </row>
    <row r="7393" spans="20:20">
      <c r="T7393" t="str">
        <f t="shared" si="127"/>
        <v/>
      </c>
    </row>
    <row r="7394" spans="20:20">
      <c r="T7394" t="str">
        <f t="shared" si="127"/>
        <v/>
      </c>
    </row>
    <row r="7395" spans="20:20">
      <c r="T7395" t="str">
        <f t="shared" si="127"/>
        <v/>
      </c>
    </row>
    <row r="7396" spans="20:20">
      <c r="T7396" t="str">
        <f t="shared" si="127"/>
        <v/>
      </c>
    </row>
    <row r="7397" spans="20:20">
      <c r="T7397" t="str">
        <f t="shared" si="127"/>
        <v/>
      </c>
    </row>
    <row r="7398" spans="20:20">
      <c r="T7398" t="str">
        <f t="shared" si="127"/>
        <v/>
      </c>
    </row>
    <row r="7399" spans="20:20">
      <c r="T7399" t="str">
        <f t="shared" si="127"/>
        <v/>
      </c>
    </row>
    <row r="7400" spans="20:20">
      <c r="T7400" t="str">
        <f t="shared" si="127"/>
        <v/>
      </c>
    </row>
    <row r="7401" spans="20:20">
      <c r="T7401" t="str">
        <f t="shared" si="127"/>
        <v/>
      </c>
    </row>
    <row r="7402" spans="20:20">
      <c r="T7402" t="str">
        <f t="shared" si="127"/>
        <v/>
      </c>
    </row>
    <row r="7403" spans="20:20">
      <c r="T7403" t="str">
        <f t="shared" si="127"/>
        <v/>
      </c>
    </row>
    <row r="7404" spans="20:20">
      <c r="T7404" t="str">
        <f t="shared" si="127"/>
        <v/>
      </c>
    </row>
    <row r="7405" spans="20:20">
      <c r="T7405" t="str">
        <f t="shared" si="127"/>
        <v/>
      </c>
    </row>
    <row r="7406" spans="20:20">
      <c r="T7406" t="str">
        <f t="shared" si="127"/>
        <v/>
      </c>
    </row>
    <row r="7407" spans="20:20">
      <c r="T7407" t="str">
        <f t="shared" si="127"/>
        <v/>
      </c>
    </row>
    <row r="7408" spans="20:20">
      <c r="T7408" t="str">
        <f t="shared" si="127"/>
        <v/>
      </c>
    </row>
    <row r="7409" spans="20:20">
      <c r="T7409" t="str">
        <f t="shared" si="127"/>
        <v/>
      </c>
    </row>
    <row r="7410" spans="20:20">
      <c r="T7410" t="str">
        <f t="shared" si="127"/>
        <v/>
      </c>
    </row>
    <row r="7411" spans="20:20">
      <c r="T7411" t="str">
        <f t="shared" si="127"/>
        <v/>
      </c>
    </row>
    <row r="7412" spans="20:20">
      <c r="T7412" t="str">
        <f t="shared" si="127"/>
        <v/>
      </c>
    </row>
    <row r="7413" spans="20:20">
      <c r="T7413" t="str">
        <f t="shared" si="127"/>
        <v/>
      </c>
    </row>
    <row r="7414" spans="20:20">
      <c r="T7414" t="str">
        <f t="shared" si="127"/>
        <v/>
      </c>
    </row>
    <row r="7415" spans="20:20">
      <c r="T7415" t="str">
        <f t="shared" si="127"/>
        <v/>
      </c>
    </row>
    <row r="7416" spans="20:20">
      <c r="T7416" t="str">
        <f t="shared" si="127"/>
        <v/>
      </c>
    </row>
    <row r="7417" spans="20:20">
      <c r="T7417" t="str">
        <f t="shared" si="127"/>
        <v/>
      </c>
    </row>
    <row r="7418" spans="20:20">
      <c r="T7418" t="str">
        <f t="shared" si="127"/>
        <v/>
      </c>
    </row>
    <row r="7419" spans="20:20">
      <c r="T7419" t="str">
        <f t="shared" si="127"/>
        <v/>
      </c>
    </row>
    <row r="7420" spans="20:20">
      <c r="T7420" t="str">
        <f t="shared" si="127"/>
        <v/>
      </c>
    </row>
    <row r="7421" spans="20:20">
      <c r="T7421" t="str">
        <f t="shared" si="127"/>
        <v/>
      </c>
    </row>
    <row r="7422" spans="20:20">
      <c r="T7422" t="str">
        <f t="shared" si="127"/>
        <v/>
      </c>
    </row>
    <row r="7423" spans="20:20">
      <c r="T7423" t="str">
        <f t="shared" si="127"/>
        <v/>
      </c>
    </row>
    <row r="7424" spans="20:20">
      <c r="T7424" t="str">
        <f t="shared" si="127"/>
        <v/>
      </c>
    </row>
    <row r="7425" spans="20:20">
      <c r="T7425" t="str">
        <f t="shared" si="127"/>
        <v/>
      </c>
    </row>
    <row r="7426" spans="20:20">
      <c r="T7426" t="str">
        <f t="shared" ref="T7426:T7489" si="128">IF(C7426="","",UPPER(LEFT(SUBSTITUTE(C7426," ",""),3))&amp;"-"&amp;TEXT(B7426,"AAMMDD")&amp;"-1")</f>
        <v/>
      </c>
    </row>
    <row r="7427" spans="20:20">
      <c r="T7427" t="str">
        <f t="shared" si="128"/>
        <v/>
      </c>
    </row>
    <row r="7428" spans="20:20">
      <c r="T7428" t="str">
        <f t="shared" si="128"/>
        <v/>
      </c>
    </row>
    <row r="7429" spans="20:20">
      <c r="T7429" t="str">
        <f t="shared" si="128"/>
        <v/>
      </c>
    </row>
    <row r="7430" spans="20:20">
      <c r="T7430" t="str">
        <f t="shared" si="128"/>
        <v/>
      </c>
    </row>
    <row r="7431" spans="20:20">
      <c r="T7431" t="str">
        <f t="shared" si="128"/>
        <v/>
      </c>
    </row>
    <row r="7432" spans="20:20">
      <c r="T7432" t="str">
        <f t="shared" si="128"/>
        <v/>
      </c>
    </row>
    <row r="7433" spans="20:20">
      <c r="T7433" t="str">
        <f t="shared" si="128"/>
        <v/>
      </c>
    </row>
    <row r="7434" spans="20:20">
      <c r="T7434" t="str">
        <f t="shared" si="128"/>
        <v/>
      </c>
    </row>
    <row r="7435" spans="20:20">
      <c r="T7435" t="str">
        <f t="shared" si="128"/>
        <v/>
      </c>
    </row>
    <row r="7436" spans="20:20">
      <c r="T7436" t="str">
        <f t="shared" si="128"/>
        <v/>
      </c>
    </row>
    <row r="7437" spans="20:20">
      <c r="T7437" t="str">
        <f t="shared" si="128"/>
        <v/>
      </c>
    </row>
    <row r="7438" spans="20:20">
      <c r="T7438" t="str">
        <f t="shared" si="128"/>
        <v/>
      </c>
    </row>
    <row r="7439" spans="20:20">
      <c r="T7439" t="str">
        <f t="shared" si="128"/>
        <v/>
      </c>
    </row>
    <row r="7440" spans="20:20">
      <c r="T7440" t="str">
        <f t="shared" si="128"/>
        <v/>
      </c>
    </row>
    <row r="7441" spans="20:20">
      <c r="T7441" t="str">
        <f t="shared" si="128"/>
        <v/>
      </c>
    </row>
    <row r="7442" spans="20:20">
      <c r="T7442" t="str">
        <f t="shared" si="128"/>
        <v/>
      </c>
    </row>
    <row r="7443" spans="20:20">
      <c r="T7443" t="str">
        <f t="shared" si="128"/>
        <v/>
      </c>
    </row>
    <row r="7444" spans="20:20">
      <c r="T7444" t="str">
        <f t="shared" si="128"/>
        <v/>
      </c>
    </row>
    <row r="7445" spans="20:20">
      <c r="T7445" t="str">
        <f t="shared" si="128"/>
        <v/>
      </c>
    </row>
    <row r="7446" spans="20:20">
      <c r="T7446" t="str">
        <f t="shared" si="128"/>
        <v/>
      </c>
    </row>
    <row r="7447" spans="20:20">
      <c r="T7447" t="str">
        <f t="shared" si="128"/>
        <v/>
      </c>
    </row>
    <row r="7448" spans="20:20">
      <c r="T7448" t="str">
        <f t="shared" si="128"/>
        <v/>
      </c>
    </row>
    <row r="7449" spans="20:20">
      <c r="T7449" t="str">
        <f t="shared" si="128"/>
        <v/>
      </c>
    </row>
    <row r="7450" spans="20:20">
      <c r="T7450" t="str">
        <f t="shared" si="128"/>
        <v/>
      </c>
    </row>
    <row r="7451" spans="20:20">
      <c r="T7451" t="str">
        <f t="shared" si="128"/>
        <v/>
      </c>
    </row>
    <row r="7452" spans="20:20">
      <c r="T7452" t="str">
        <f t="shared" si="128"/>
        <v/>
      </c>
    </row>
    <row r="7453" spans="20:20">
      <c r="T7453" t="str">
        <f t="shared" si="128"/>
        <v/>
      </c>
    </row>
    <row r="7454" spans="20:20">
      <c r="T7454" t="str">
        <f t="shared" si="128"/>
        <v/>
      </c>
    </row>
    <row r="7455" spans="20:20">
      <c r="T7455" t="str">
        <f t="shared" si="128"/>
        <v/>
      </c>
    </row>
    <row r="7456" spans="20:20">
      <c r="T7456" t="str">
        <f t="shared" si="128"/>
        <v/>
      </c>
    </row>
    <row r="7457" spans="20:20">
      <c r="T7457" t="str">
        <f t="shared" si="128"/>
        <v/>
      </c>
    </row>
    <row r="7458" spans="20:20">
      <c r="T7458" t="str">
        <f t="shared" si="128"/>
        <v/>
      </c>
    </row>
    <row r="7459" spans="20:20">
      <c r="T7459" t="str">
        <f t="shared" si="128"/>
        <v/>
      </c>
    </row>
    <row r="7460" spans="20:20">
      <c r="T7460" t="str">
        <f t="shared" si="128"/>
        <v/>
      </c>
    </row>
    <row r="7461" spans="20:20">
      <c r="T7461" t="str">
        <f t="shared" si="128"/>
        <v/>
      </c>
    </row>
    <row r="7462" spans="20:20">
      <c r="T7462" t="str">
        <f t="shared" si="128"/>
        <v/>
      </c>
    </row>
    <row r="7463" spans="20:20">
      <c r="T7463" t="str">
        <f t="shared" si="128"/>
        <v/>
      </c>
    </row>
    <row r="7464" spans="20:20">
      <c r="T7464" t="str">
        <f t="shared" si="128"/>
        <v/>
      </c>
    </row>
    <row r="7465" spans="20:20">
      <c r="T7465" t="str">
        <f t="shared" si="128"/>
        <v/>
      </c>
    </row>
    <row r="7466" spans="20:20">
      <c r="T7466" t="str">
        <f t="shared" si="128"/>
        <v/>
      </c>
    </row>
    <row r="7467" spans="20:20">
      <c r="T7467" t="str">
        <f t="shared" si="128"/>
        <v/>
      </c>
    </row>
    <row r="7468" spans="20:20">
      <c r="T7468" t="str">
        <f t="shared" si="128"/>
        <v/>
      </c>
    </row>
    <row r="7469" spans="20:20">
      <c r="T7469" t="str">
        <f t="shared" si="128"/>
        <v/>
      </c>
    </row>
    <row r="7470" spans="20:20">
      <c r="T7470" t="str">
        <f t="shared" si="128"/>
        <v/>
      </c>
    </row>
    <row r="7471" spans="20:20">
      <c r="T7471" t="str">
        <f t="shared" si="128"/>
        <v/>
      </c>
    </row>
    <row r="7472" spans="20:20">
      <c r="T7472" t="str">
        <f t="shared" si="128"/>
        <v/>
      </c>
    </row>
    <row r="7473" spans="20:20">
      <c r="T7473" t="str">
        <f t="shared" si="128"/>
        <v/>
      </c>
    </row>
    <row r="7474" spans="20:20">
      <c r="T7474" t="str">
        <f t="shared" si="128"/>
        <v/>
      </c>
    </row>
    <row r="7475" spans="20:20">
      <c r="T7475" t="str">
        <f t="shared" si="128"/>
        <v/>
      </c>
    </row>
    <row r="7476" spans="20:20">
      <c r="T7476" t="str">
        <f t="shared" si="128"/>
        <v/>
      </c>
    </row>
    <row r="7477" spans="20:20">
      <c r="T7477" t="str">
        <f t="shared" si="128"/>
        <v/>
      </c>
    </row>
    <row r="7478" spans="20:20">
      <c r="T7478" t="str">
        <f t="shared" si="128"/>
        <v/>
      </c>
    </row>
    <row r="7479" spans="20:20">
      <c r="T7479" t="str">
        <f t="shared" si="128"/>
        <v/>
      </c>
    </row>
    <row r="7480" spans="20:20">
      <c r="T7480" t="str">
        <f t="shared" si="128"/>
        <v/>
      </c>
    </row>
    <row r="7481" spans="20:20">
      <c r="T7481" t="str">
        <f t="shared" si="128"/>
        <v/>
      </c>
    </row>
    <row r="7482" spans="20:20">
      <c r="T7482" t="str">
        <f t="shared" si="128"/>
        <v/>
      </c>
    </row>
    <row r="7483" spans="20:20">
      <c r="T7483" t="str">
        <f t="shared" si="128"/>
        <v/>
      </c>
    </row>
    <row r="7484" spans="20:20">
      <c r="T7484" t="str">
        <f t="shared" si="128"/>
        <v/>
      </c>
    </row>
    <row r="7485" spans="20:20">
      <c r="T7485" t="str">
        <f t="shared" si="128"/>
        <v/>
      </c>
    </row>
    <row r="7486" spans="20:20">
      <c r="T7486" t="str">
        <f t="shared" si="128"/>
        <v/>
      </c>
    </row>
    <row r="7487" spans="20:20">
      <c r="T7487" t="str">
        <f t="shared" si="128"/>
        <v/>
      </c>
    </row>
    <row r="7488" spans="20:20">
      <c r="T7488" t="str">
        <f t="shared" si="128"/>
        <v/>
      </c>
    </row>
    <row r="7489" spans="20:20">
      <c r="T7489" t="str">
        <f t="shared" si="128"/>
        <v/>
      </c>
    </row>
    <row r="7490" spans="20:20">
      <c r="T7490" t="str">
        <f t="shared" ref="T7490:T7553" si="129">IF(C7490="","",UPPER(LEFT(SUBSTITUTE(C7490," ",""),3))&amp;"-"&amp;TEXT(B7490,"AAMMDD")&amp;"-1")</f>
        <v/>
      </c>
    </row>
    <row r="7491" spans="20:20">
      <c r="T7491" t="str">
        <f t="shared" si="129"/>
        <v/>
      </c>
    </row>
    <row r="7492" spans="20:20">
      <c r="T7492" t="str">
        <f t="shared" si="129"/>
        <v/>
      </c>
    </row>
    <row r="7493" spans="20:20">
      <c r="T7493" t="str">
        <f t="shared" si="129"/>
        <v/>
      </c>
    </row>
    <row r="7494" spans="20:20">
      <c r="T7494" t="str">
        <f t="shared" si="129"/>
        <v/>
      </c>
    </row>
    <row r="7495" spans="20:20">
      <c r="T7495" t="str">
        <f t="shared" si="129"/>
        <v/>
      </c>
    </row>
    <row r="7496" spans="20:20">
      <c r="T7496" t="str">
        <f t="shared" si="129"/>
        <v/>
      </c>
    </row>
    <row r="7497" spans="20:20">
      <c r="T7497" t="str">
        <f t="shared" si="129"/>
        <v/>
      </c>
    </row>
    <row r="7498" spans="20:20">
      <c r="T7498" t="str">
        <f t="shared" si="129"/>
        <v/>
      </c>
    </row>
    <row r="7499" spans="20:20">
      <c r="T7499" t="str">
        <f t="shared" si="129"/>
        <v/>
      </c>
    </row>
    <row r="7500" spans="20:20">
      <c r="T7500" t="str">
        <f t="shared" si="129"/>
        <v/>
      </c>
    </row>
    <row r="7501" spans="20:20">
      <c r="T7501" t="str">
        <f t="shared" si="129"/>
        <v/>
      </c>
    </row>
    <row r="7502" spans="20:20">
      <c r="T7502" t="str">
        <f t="shared" si="129"/>
        <v/>
      </c>
    </row>
    <row r="7503" spans="20:20">
      <c r="T7503" t="str">
        <f t="shared" si="129"/>
        <v/>
      </c>
    </row>
    <row r="7504" spans="20:20">
      <c r="T7504" t="str">
        <f t="shared" si="129"/>
        <v/>
      </c>
    </row>
    <row r="7505" spans="20:20">
      <c r="T7505" t="str">
        <f t="shared" si="129"/>
        <v/>
      </c>
    </row>
    <row r="7506" spans="20:20">
      <c r="T7506" t="str">
        <f t="shared" si="129"/>
        <v/>
      </c>
    </row>
    <row r="7507" spans="20:20">
      <c r="T7507" t="str">
        <f t="shared" si="129"/>
        <v/>
      </c>
    </row>
    <row r="7508" spans="20:20">
      <c r="T7508" t="str">
        <f t="shared" si="129"/>
        <v/>
      </c>
    </row>
    <row r="7509" spans="20:20">
      <c r="T7509" t="str">
        <f t="shared" si="129"/>
        <v/>
      </c>
    </row>
    <row r="7510" spans="20:20">
      <c r="T7510" t="str">
        <f t="shared" si="129"/>
        <v/>
      </c>
    </row>
    <row r="7511" spans="20:20">
      <c r="T7511" t="str">
        <f t="shared" si="129"/>
        <v/>
      </c>
    </row>
    <row r="7512" spans="20:20">
      <c r="T7512" t="str">
        <f t="shared" si="129"/>
        <v/>
      </c>
    </row>
    <row r="7513" spans="20:20">
      <c r="T7513" t="str">
        <f t="shared" si="129"/>
        <v/>
      </c>
    </row>
    <row r="7514" spans="20:20">
      <c r="T7514" t="str">
        <f t="shared" si="129"/>
        <v/>
      </c>
    </row>
    <row r="7515" spans="20:20">
      <c r="T7515" t="str">
        <f t="shared" si="129"/>
        <v/>
      </c>
    </row>
    <row r="7516" spans="20:20">
      <c r="T7516" t="str">
        <f t="shared" si="129"/>
        <v/>
      </c>
    </row>
    <row r="7517" spans="20:20">
      <c r="T7517" t="str">
        <f t="shared" si="129"/>
        <v/>
      </c>
    </row>
    <row r="7518" spans="20:20">
      <c r="T7518" t="str">
        <f t="shared" si="129"/>
        <v/>
      </c>
    </row>
    <row r="7519" spans="20:20">
      <c r="T7519" t="str">
        <f t="shared" si="129"/>
        <v/>
      </c>
    </row>
    <row r="7520" spans="20:20">
      <c r="T7520" t="str">
        <f t="shared" si="129"/>
        <v/>
      </c>
    </row>
    <row r="7521" spans="20:20">
      <c r="T7521" t="str">
        <f t="shared" si="129"/>
        <v/>
      </c>
    </row>
    <row r="7522" spans="20:20">
      <c r="T7522" t="str">
        <f t="shared" si="129"/>
        <v/>
      </c>
    </row>
    <row r="7523" spans="20:20">
      <c r="T7523" t="str">
        <f t="shared" si="129"/>
        <v/>
      </c>
    </row>
    <row r="7524" spans="20:20">
      <c r="T7524" t="str">
        <f t="shared" si="129"/>
        <v/>
      </c>
    </row>
    <row r="7525" spans="20:20">
      <c r="T7525" t="str">
        <f t="shared" si="129"/>
        <v/>
      </c>
    </row>
    <row r="7526" spans="20:20">
      <c r="T7526" t="str">
        <f t="shared" si="129"/>
        <v/>
      </c>
    </row>
    <row r="7527" spans="20:20">
      <c r="T7527" t="str">
        <f t="shared" si="129"/>
        <v/>
      </c>
    </row>
    <row r="7528" spans="20:20">
      <c r="T7528" t="str">
        <f t="shared" si="129"/>
        <v/>
      </c>
    </row>
    <row r="7529" spans="20:20">
      <c r="T7529" t="str">
        <f t="shared" si="129"/>
        <v/>
      </c>
    </row>
    <row r="7530" spans="20:20">
      <c r="T7530" t="str">
        <f t="shared" si="129"/>
        <v/>
      </c>
    </row>
    <row r="7531" spans="20:20">
      <c r="T7531" t="str">
        <f t="shared" si="129"/>
        <v/>
      </c>
    </row>
    <row r="7532" spans="20:20">
      <c r="T7532" t="str">
        <f t="shared" si="129"/>
        <v/>
      </c>
    </row>
    <row r="7533" spans="20:20">
      <c r="T7533" t="str">
        <f t="shared" si="129"/>
        <v/>
      </c>
    </row>
    <row r="7534" spans="20:20">
      <c r="T7534" t="str">
        <f t="shared" si="129"/>
        <v/>
      </c>
    </row>
    <row r="7535" spans="20:20">
      <c r="T7535" t="str">
        <f t="shared" si="129"/>
        <v/>
      </c>
    </row>
    <row r="7536" spans="20:20">
      <c r="T7536" t="str">
        <f t="shared" si="129"/>
        <v/>
      </c>
    </row>
    <row r="7537" spans="20:20">
      <c r="T7537" t="str">
        <f t="shared" si="129"/>
        <v/>
      </c>
    </row>
    <row r="7538" spans="20:20">
      <c r="T7538" t="str">
        <f t="shared" si="129"/>
        <v/>
      </c>
    </row>
    <row r="7539" spans="20:20">
      <c r="T7539" t="str">
        <f t="shared" si="129"/>
        <v/>
      </c>
    </row>
    <row r="7540" spans="20:20">
      <c r="T7540" t="str">
        <f t="shared" si="129"/>
        <v/>
      </c>
    </row>
    <row r="7541" spans="20:20">
      <c r="T7541" t="str">
        <f t="shared" si="129"/>
        <v/>
      </c>
    </row>
    <row r="7542" spans="20:20">
      <c r="T7542" t="str">
        <f t="shared" si="129"/>
        <v/>
      </c>
    </row>
    <row r="7543" spans="20:20">
      <c r="T7543" t="str">
        <f t="shared" si="129"/>
        <v/>
      </c>
    </row>
    <row r="7544" spans="20:20">
      <c r="T7544" t="str">
        <f t="shared" si="129"/>
        <v/>
      </c>
    </row>
    <row r="7545" spans="20:20">
      <c r="T7545" t="str">
        <f t="shared" si="129"/>
        <v/>
      </c>
    </row>
    <row r="7546" spans="20:20">
      <c r="T7546" t="str">
        <f t="shared" si="129"/>
        <v/>
      </c>
    </row>
    <row r="7547" spans="20:20">
      <c r="T7547" t="str">
        <f t="shared" si="129"/>
        <v/>
      </c>
    </row>
    <row r="7548" spans="20:20">
      <c r="T7548" t="str">
        <f t="shared" si="129"/>
        <v/>
      </c>
    </row>
    <row r="7549" spans="20:20">
      <c r="T7549" t="str">
        <f t="shared" si="129"/>
        <v/>
      </c>
    </row>
    <row r="7550" spans="20:20">
      <c r="T7550" t="str">
        <f t="shared" si="129"/>
        <v/>
      </c>
    </row>
    <row r="7551" spans="20:20">
      <c r="T7551" t="str">
        <f t="shared" si="129"/>
        <v/>
      </c>
    </row>
    <row r="7552" spans="20:20">
      <c r="T7552" t="str">
        <f t="shared" si="129"/>
        <v/>
      </c>
    </row>
    <row r="7553" spans="20:20">
      <c r="T7553" t="str">
        <f t="shared" si="129"/>
        <v/>
      </c>
    </row>
    <row r="7554" spans="20:20">
      <c r="T7554" t="str">
        <f t="shared" ref="T7554:T7617" si="130">IF(C7554="","",UPPER(LEFT(SUBSTITUTE(C7554," ",""),3))&amp;"-"&amp;TEXT(B7554,"AAMMDD")&amp;"-1")</f>
        <v/>
      </c>
    </row>
    <row r="7555" spans="20:20">
      <c r="T7555" t="str">
        <f t="shared" si="130"/>
        <v/>
      </c>
    </row>
    <row r="7556" spans="20:20">
      <c r="T7556" t="str">
        <f t="shared" si="130"/>
        <v/>
      </c>
    </row>
    <row r="7557" spans="20:20">
      <c r="T7557" t="str">
        <f t="shared" si="130"/>
        <v/>
      </c>
    </row>
    <row r="7558" spans="20:20">
      <c r="T7558" t="str">
        <f t="shared" si="130"/>
        <v/>
      </c>
    </row>
    <row r="7559" spans="20:20">
      <c r="T7559" t="str">
        <f t="shared" si="130"/>
        <v/>
      </c>
    </row>
    <row r="7560" spans="20:20">
      <c r="T7560" t="str">
        <f t="shared" si="130"/>
        <v/>
      </c>
    </row>
    <row r="7561" spans="20:20">
      <c r="T7561" t="str">
        <f t="shared" si="130"/>
        <v/>
      </c>
    </row>
    <row r="7562" spans="20:20">
      <c r="T7562" t="str">
        <f t="shared" si="130"/>
        <v/>
      </c>
    </row>
    <row r="7563" spans="20:20">
      <c r="T7563" t="str">
        <f t="shared" si="130"/>
        <v/>
      </c>
    </row>
    <row r="7564" spans="20:20">
      <c r="T7564" t="str">
        <f t="shared" si="130"/>
        <v/>
      </c>
    </row>
    <row r="7565" spans="20:20">
      <c r="T7565" t="str">
        <f t="shared" si="130"/>
        <v/>
      </c>
    </row>
    <row r="7566" spans="20:20">
      <c r="T7566" t="str">
        <f t="shared" si="130"/>
        <v/>
      </c>
    </row>
    <row r="7567" spans="20:20">
      <c r="T7567" t="str">
        <f t="shared" si="130"/>
        <v/>
      </c>
    </row>
    <row r="7568" spans="20:20">
      <c r="T7568" t="str">
        <f t="shared" si="130"/>
        <v/>
      </c>
    </row>
    <row r="7569" spans="20:20">
      <c r="T7569" t="str">
        <f t="shared" si="130"/>
        <v/>
      </c>
    </row>
    <row r="7570" spans="20:20">
      <c r="T7570" t="str">
        <f t="shared" si="130"/>
        <v/>
      </c>
    </row>
    <row r="7571" spans="20:20">
      <c r="T7571" t="str">
        <f t="shared" si="130"/>
        <v/>
      </c>
    </row>
    <row r="7572" spans="20:20">
      <c r="T7572" t="str">
        <f t="shared" si="130"/>
        <v/>
      </c>
    </row>
    <row r="7573" spans="20:20">
      <c r="T7573" t="str">
        <f t="shared" si="130"/>
        <v/>
      </c>
    </row>
    <row r="7574" spans="20:20">
      <c r="T7574" t="str">
        <f t="shared" si="130"/>
        <v/>
      </c>
    </row>
    <row r="7575" spans="20:20">
      <c r="T7575" t="str">
        <f t="shared" si="130"/>
        <v/>
      </c>
    </row>
    <row r="7576" spans="20:20">
      <c r="T7576" t="str">
        <f t="shared" si="130"/>
        <v/>
      </c>
    </row>
    <row r="7577" spans="20:20">
      <c r="T7577" t="str">
        <f t="shared" si="130"/>
        <v/>
      </c>
    </row>
    <row r="7578" spans="20:20">
      <c r="T7578" t="str">
        <f t="shared" si="130"/>
        <v/>
      </c>
    </row>
    <row r="7579" spans="20:20">
      <c r="T7579" t="str">
        <f t="shared" si="130"/>
        <v/>
      </c>
    </row>
    <row r="7580" spans="20:20">
      <c r="T7580" t="str">
        <f t="shared" si="130"/>
        <v/>
      </c>
    </row>
    <row r="7581" spans="20:20">
      <c r="T7581" t="str">
        <f t="shared" si="130"/>
        <v/>
      </c>
    </row>
    <row r="7582" spans="20:20">
      <c r="T7582" t="str">
        <f t="shared" si="130"/>
        <v/>
      </c>
    </row>
    <row r="7583" spans="20:20">
      <c r="T7583" t="str">
        <f t="shared" si="130"/>
        <v/>
      </c>
    </row>
    <row r="7584" spans="20:20">
      <c r="T7584" t="str">
        <f t="shared" si="130"/>
        <v/>
      </c>
    </row>
    <row r="7585" spans="20:20">
      <c r="T7585" t="str">
        <f t="shared" si="130"/>
        <v/>
      </c>
    </row>
    <row r="7586" spans="20:20">
      <c r="T7586" t="str">
        <f t="shared" si="130"/>
        <v/>
      </c>
    </row>
    <row r="7587" spans="20:20">
      <c r="T7587" t="str">
        <f t="shared" si="130"/>
        <v/>
      </c>
    </row>
    <row r="7588" spans="20:20">
      <c r="T7588" t="str">
        <f t="shared" si="130"/>
        <v/>
      </c>
    </row>
    <row r="7589" spans="20:20">
      <c r="T7589" t="str">
        <f t="shared" si="130"/>
        <v/>
      </c>
    </row>
    <row r="7590" spans="20:20">
      <c r="T7590" t="str">
        <f t="shared" si="130"/>
        <v/>
      </c>
    </row>
    <row r="7591" spans="20:20">
      <c r="T7591" t="str">
        <f t="shared" si="130"/>
        <v/>
      </c>
    </row>
    <row r="7592" spans="20:20">
      <c r="T7592" t="str">
        <f t="shared" si="130"/>
        <v/>
      </c>
    </row>
    <row r="7593" spans="20:20">
      <c r="T7593" t="str">
        <f t="shared" si="130"/>
        <v/>
      </c>
    </row>
    <row r="7594" spans="20:20">
      <c r="T7594" t="str">
        <f t="shared" si="130"/>
        <v/>
      </c>
    </row>
    <row r="7595" spans="20:20">
      <c r="T7595" t="str">
        <f t="shared" si="130"/>
        <v/>
      </c>
    </row>
    <row r="7596" spans="20:20">
      <c r="T7596" t="str">
        <f t="shared" si="130"/>
        <v/>
      </c>
    </row>
    <row r="7597" spans="20:20">
      <c r="T7597" t="str">
        <f t="shared" si="130"/>
        <v/>
      </c>
    </row>
    <row r="7598" spans="20:20">
      <c r="T7598" t="str">
        <f t="shared" si="130"/>
        <v/>
      </c>
    </row>
    <row r="7599" spans="20:20">
      <c r="T7599" t="str">
        <f t="shared" si="130"/>
        <v/>
      </c>
    </row>
    <row r="7600" spans="20:20">
      <c r="T7600" t="str">
        <f t="shared" si="130"/>
        <v/>
      </c>
    </row>
    <row r="7601" spans="20:20">
      <c r="T7601" t="str">
        <f t="shared" si="130"/>
        <v/>
      </c>
    </row>
    <row r="7602" spans="20:20">
      <c r="T7602" t="str">
        <f t="shared" si="130"/>
        <v/>
      </c>
    </row>
    <row r="7603" spans="20:20">
      <c r="T7603" t="str">
        <f t="shared" si="130"/>
        <v/>
      </c>
    </row>
    <row r="7604" spans="20:20">
      <c r="T7604" t="str">
        <f t="shared" si="130"/>
        <v/>
      </c>
    </row>
    <row r="7605" spans="20:20">
      <c r="T7605" t="str">
        <f t="shared" si="130"/>
        <v/>
      </c>
    </row>
    <row r="7606" spans="20:20">
      <c r="T7606" t="str">
        <f t="shared" si="130"/>
        <v/>
      </c>
    </row>
    <row r="7607" spans="20:20">
      <c r="T7607" t="str">
        <f t="shared" si="130"/>
        <v/>
      </c>
    </row>
    <row r="7608" spans="20:20">
      <c r="T7608" t="str">
        <f t="shared" si="130"/>
        <v/>
      </c>
    </row>
    <row r="7609" spans="20:20">
      <c r="T7609" t="str">
        <f t="shared" si="130"/>
        <v/>
      </c>
    </row>
    <row r="7610" spans="20:20">
      <c r="T7610" t="str">
        <f t="shared" si="130"/>
        <v/>
      </c>
    </row>
    <row r="7611" spans="20:20">
      <c r="T7611" t="str">
        <f t="shared" si="130"/>
        <v/>
      </c>
    </row>
    <row r="7612" spans="20:20">
      <c r="T7612" t="str">
        <f t="shared" si="130"/>
        <v/>
      </c>
    </row>
    <row r="7613" spans="20:20">
      <c r="T7613" t="str">
        <f t="shared" si="130"/>
        <v/>
      </c>
    </row>
    <row r="7614" spans="20:20">
      <c r="T7614" t="str">
        <f t="shared" si="130"/>
        <v/>
      </c>
    </row>
    <row r="7615" spans="20:20">
      <c r="T7615" t="str">
        <f t="shared" si="130"/>
        <v/>
      </c>
    </row>
    <row r="7616" spans="20:20">
      <c r="T7616" t="str">
        <f t="shared" si="130"/>
        <v/>
      </c>
    </row>
    <row r="7617" spans="20:20">
      <c r="T7617" t="str">
        <f t="shared" si="130"/>
        <v/>
      </c>
    </row>
    <row r="7618" spans="20:20">
      <c r="T7618" t="str">
        <f t="shared" ref="T7618:T7681" si="131">IF(C7618="","",UPPER(LEFT(SUBSTITUTE(C7618," ",""),3))&amp;"-"&amp;TEXT(B7618,"AAMMDD")&amp;"-1")</f>
        <v/>
      </c>
    </row>
    <row r="7619" spans="20:20">
      <c r="T7619" t="str">
        <f t="shared" si="131"/>
        <v/>
      </c>
    </row>
    <row r="7620" spans="20:20">
      <c r="T7620" t="str">
        <f t="shared" si="131"/>
        <v/>
      </c>
    </row>
    <row r="7621" spans="20:20">
      <c r="T7621" t="str">
        <f t="shared" si="131"/>
        <v/>
      </c>
    </row>
    <row r="7622" spans="20:20">
      <c r="T7622" t="str">
        <f t="shared" si="131"/>
        <v/>
      </c>
    </row>
    <row r="7623" spans="20:20">
      <c r="T7623" t="str">
        <f t="shared" si="131"/>
        <v/>
      </c>
    </row>
    <row r="7624" spans="20:20">
      <c r="T7624" t="str">
        <f t="shared" si="131"/>
        <v/>
      </c>
    </row>
    <row r="7625" spans="20:20">
      <c r="T7625" t="str">
        <f t="shared" si="131"/>
        <v/>
      </c>
    </row>
    <row r="7626" spans="20:20">
      <c r="T7626" t="str">
        <f t="shared" si="131"/>
        <v/>
      </c>
    </row>
    <row r="7627" spans="20:20">
      <c r="T7627" t="str">
        <f t="shared" si="131"/>
        <v/>
      </c>
    </row>
    <row r="7628" spans="20:20">
      <c r="T7628" t="str">
        <f t="shared" si="131"/>
        <v/>
      </c>
    </row>
    <row r="7629" spans="20:20">
      <c r="T7629" t="str">
        <f t="shared" si="131"/>
        <v/>
      </c>
    </row>
    <row r="7630" spans="20:20">
      <c r="T7630" t="str">
        <f t="shared" si="131"/>
        <v/>
      </c>
    </row>
    <row r="7631" spans="20:20">
      <c r="T7631" t="str">
        <f t="shared" si="131"/>
        <v/>
      </c>
    </row>
    <row r="7632" spans="20:20">
      <c r="T7632" t="str">
        <f t="shared" si="131"/>
        <v/>
      </c>
    </row>
    <row r="7633" spans="20:20">
      <c r="T7633" t="str">
        <f t="shared" si="131"/>
        <v/>
      </c>
    </row>
    <row r="7634" spans="20:20">
      <c r="T7634" t="str">
        <f t="shared" si="131"/>
        <v/>
      </c>
    </row>
    <row r="7635" spans="20:20">
      <c r="T7635" t="str">
        <f t="shared" si="131"/>
        <v/>
      </c>
    </row>
    <row r="7636" spans="20:20">
      <c r="T7636" t="str">
        <f t="shared" si="131"/>
        <v/>
      </c>
    </row>
    <row r="7637" spans="20:20">
      <c r="T7637" t="str">
        <f t="shared" si="131"/>
        <v/>
      </c>
    </row>
    <row r="7638" spans="20:20">
      <c r="T7638" t="str">
        <f t="shared" si="131"/>
        <v/>
      </c>
    </row>
    <row r="7639" spans="20:20">
      <c r="T7639" t="str">
        <f t="shared" si="131"/>
        <v/>
      </c>
    </row>
    <row r="7640" spans="20:20">
      <c r="T7640" t="str">
        <f t="shared" si="131"/>
        <v/>
      </c>
    </row>
    <row r="7641" spans="20:20">
      <c r="T7641" t="str">
        <f t="shared" si="131"/>
        <v/>
      </c>
    </row>
    <row r="7642" spans="20:20">
      <c r="T7642" t="str">
        <f t="shared" si="131"/>
        <v/>
      </c>
    </row>
    <row r="7643" spans="20:20">
      <c r="T7643" t="str">
        <f t="shared" si="131"/>
        <v/>
      </c>
    </row>
    <row r="7644" spans="20:20">
      <c r="T7644" t="str">
        <f t="shared" si="131"/>
        <v/>
      </c>
    </row>
    <row r="7645" spans="20:20">
      <c r="T7645" t="str">
        <f t="shared" si="131"/>
        <v/>
      </c>
    </row>
    <row r="7646" spans="20:20">
      <c r="T7646" t="str">
        <f t="shared" si="131"/>
        <v/>
      </c>
    </row>
    <row r="7647" spans="20:20">
      <c r="T7647" t="str">
        <f t="shared" si="131"/>
        <v/>
      </c>
    </row>
    <row r="7648" spans="20:20">
      <c r="T7648" t="str">
        <f t="shared" si="131"/>
        <v/>
      </c>
    </row>
    <row r="7649" spans="20:20">
      <c r="T7649" t="str">
        <f t="shared" si="131"/>
        <v/>
      </c>
    </row>
    <row r="7650" spans="20:20">
      <c r="T7650" t="str">
        <f t="shared" si="131"/>
        <v/>
      </c>
    </row>
    <row r="7651" spans="20:20">
      <c r="T7651" t="str">
        <f t="shared" si="131"/>
        <v/>
      </c>
    </row>
    <row r="7652" spans="20:20">
      <c r="T7652" t="str">
        <f t="shared" si="131"/>
        <v/>
      </c>
    </row>
    <row r="7653" spans="20:20">
      <c r="T7653" t="str">
        <f t="shared" si="131"/>
        <v/>
      </c>
    </row>
    <row r="7654" spans="20:20">
      <c r="T7654" t="str">
        <f t="shared" si="131"/>
        <v/>
      </c>
    </row>
    <row r="7655" spans="20:20">
      <c r="T7655" t="str">
        <f t="shared" si="131"/>
        <v/>
      </c>
    </row>
    <row r="7656" spans="20:20">
      <c r="T7656" t="str">
        <f t="shared" si="131"/>
        <v/>
      </c>
    </row>
    <row r="7657" spans="20:20">
      <c r="T7657" t="str">
        <f t="shared" si="131"/>
        <v/>
      </c>
    </row>
    <row r="7658" spans="20:20">
      <c r="T7658" t="str">
        <f t="shared" si="131"/>
        <v/>
      </c>
    </row>
    <row r="7659" spans="20:20">
      <c r="T7659" t="str">
        <f t="shared" si="131"/>
        <v/>
      </c>
    </row>
    <row r="7660" spans="20:20">
      <c r="T7660" t="str">
        <f t="shared" si="131"/>
        <v/>
      </c>
    </row>
    <row r="7661" spans="20:20">
      <c r="T7661" t="str">
        <f t="shared" si="131"/>
        <v/>
      </c>
    </row>
    <row r="7662" spans="20:20">
      <c r="T7662" t="str">
        <f t="shared" si="131"/>
        <v/>
      </c>
    </row>
    <row r="7663" spans="20:20">
      <c r="T7663" t="str">
        <f t="shared" si="131"/>
        <v/>
      </c>
    </row>
    <row r="7664" spans="20:20">
      <c r="T7664" t="str">
        <f t="shared" si="131"/>
        <v/>
      </c>
    </row>
    <row r="7665" spans="20:20">
      <c r="T7665" t="str">
        <f t="shared" si="131"/>
        <v/>
      </c>
    </row>
    <row r="7666" spans="20:20">
      <c r="T7666" t="str">
        <f t="shared" si="131"/>
        <v/>
      </c>
    </row>
    <row r="7667" spans="20:20">
      <c r="T7667" t="str">
        <f t="shared" si="131"/>
        <v/>
      </c>
    </row>
    <row r="7668" spans="20:20">
      <c r="T7668" t="str">
        <f t="shared" si="131"/>
        <v/>
      </c>
    </row>
    <row r="7669" spans="20:20">
      <c r="T7669" t="str">
        <f t="shared" si="131"/>
        <v/>
      </c>
    </row>
    <row r="7670" spans="20:20">
      <c r="T7670" t="str">
        <f t="shared" si="131"/>
        <v/>
      </c>
    </row>
    <row r="7671" spans="20:20">
      <c r="T7671" t="str">
        <f t="shared" si="131"/>
        <v/>
      </c>
    </row>
    <row r="7672" spans="20:20">
      <c r="T7672" t="str">
        <f t="shared" si="131"/>
        <v/>
      </c>
    </row>
    <row r="7673" spans="20:20">
      <c r="T7673" t="str">
        <f t="shared" si="131"/>
        <v/>
      </c>
    </row>
    <row r="7674" spans="20:20">
      <c r="T7674" t="str">
        <f t="shared" si="131"/>
        <v/>
      </c>
    </row>
    <row r="7675" spans="20:20">
      <c r="T7675" t="str">
        <f t="shared" si="131"/>
        <v/>
      </c>
    </row>
    <row r="7676" spans="20:20">
      <c r="T7676" t="str">
        <f t="shared" si="131"/>
        <v/>
      </c>
    </row>
    <row r="7677" spans="20:20">
      <c r="T7677" t="str">
        <f t="shared" si="131"/>
        <v/>
      </c>
    </row>
    <row r="7678" spans="20:20">
      <c r="T7678" t="str">
        <f t="shared" si="131"/>
        <v/>
      </c>
    </row>
    <row r="7679" spans="20:20">
      <c r="T7679" t="str">
        <f t="shared" si="131"/>
        <v/>
      </c>
    </row>
    <row r="7680" spans="20:20">
      <c r="T7680" t="str">
        <f t="shared" si="131"/>
        <v/>
      </c>
    </row>
    <row r="7681" spans="20:20">
      <c r="T7681" t="str">
        <f t="shared" si="131"/>
        <v/>
      </c>
    </row>
    <row r="7682" spans="20:20">
      <c r="T7682" t="str">
        <f t="shared" ref="T7682:T7745" si="132">IF(C7682="","",UPPER(LEFT(SUBSTITUTE(C7682," ",""),3))&amp;"-"&amp;TEXT(B7682,"AAMMDD")&amp;"-1")</f>
        <v/>
      </c>
    </row>
    <row r="7683" spans="20:20">
      <c r="T7683" t="str">
        <f t="shared" si="132"/>
        <v/>
      </c>
    </row>
    <row r="7684" spans="20:20">
      <c r="T7684" t="str">
        <f t="shared" si="132"/>
        <v/>
      </c>
    </row>
    <row r="7685" spans="20:20">
      <c r="T7685" t="str">
        <f t="shared" si="132"/>
        <v/>
      </c>
    </row>
    <row r="7686" spans="20:20">
      <c r="T7686" t="str">
        <f t="shared" si="132"/>
        <v/>
      </c>
    </row>
    <row r="7687" spans="20:20">
      <c r="T7687" t="str">
        <f t="shared" si="132"/>
        <v/>
      </c>
    </row>
    <row r="7688" spans="20:20">
      <c r="T7688" t="str">
        <f t="shared" si="132"/>
        <v/>
      </c>
    </row>
    <row r="7689" spans="20:20">
      <c r="T7689" t="str">
        <f t="shared" si="132"/>
        <v/>
      </c>
    </row>
    <row r="7690" spans="20:20">
      <c r="T7690" t="str">
        <f t="shared" si="132"/>
        <v/>
      </c>
    </row>
    <row r="7691" spans="20:20">
      <c r="T7691" t="str">
        <f t="shared" si="132"/>
        <v/>
      </c>
    </row>
    <row r="7692" spans="20:20">
      <c r="T7692" t="str">
        <f t="shared" si="132"/>
        <v/>
      </c>
    </row>
    <row r="7693" spans="20:20">
      <c r="T7693" t="str">
        <f t="shared" si="132"/>
        <v/>
      </c>
    </row>
    <row r="7694" spans="20:20">
      <c r="T7694" t="str">
        <f t="shared" si="132"/>
        <v/>
      </c>
    </row>
    <row r="7695" spans="20:20">
      <c r="T7695" t="str">
        <f t="shared" si="132"/>
        <v/>
      </c>
    </row>
    <row r="7696" spans="20:20">
      <c r="T7696" t="str">
        <f t="shared" si="132"/>
        <v/>
      </c>
    </row>
    <row r="7697" spans="20:20">
      <c r="T7697" t="str">
        <f t="shared" si="132"/>
        <v/>
      </c>
    </row>
    <row r="7698" spans="20:20">
      <c r="T7698" t="str">
        <f t="shared" si="132"/>
        <v/>
      </c>
    </row>
    <row r="7699" spans="20:20">
      <c r="T7699" t="str">
        <f t="shared" si="132"/>
        <v/>
      </c>
    </row>
    <row r="7700" spans="20:20">
      <c r="T7700" t="str">
        <f t="shared" si="132"/>
        <v/>
      </c>
    </row>
    <row r="7701" spans="20:20">
      <c r="T7701" t="str">
        <f t="shared" si="132"/>
        <v/>
      </c>
    </row>
    <row r="7702" spans="20:20">
      <c r="T7702" t="str">
        <f t="shared" si="132"/>
        <v/>
      </c>
    </row>
    <row r="7703" spans="20:20">
      <c r="T7703" t="str">
        <f t="shared" si="132"/>
        <v/>
      </c>
    </row>
    <row r="7704" spans="20:20">
      <c r="T7704" t="str">
        <f t="shared" si="132"/>
        <v/>
      </c>
    </row>
    <row r="7705" spans="20:20">
      <c r="T7705" t="str">
        <f t="shared" si="132"/>
        <v/>
      </c>
    </row>
    <row r="7706" spans="20:20">
      <c r="T7706" t="str">
        <f t="shared" si="132"/>
        <v/>
      </c>
    </row>
    <row r="7707" spans="20:20">
      <c r="T7707" t="str">
        <f t="shared" si="132"/>
        <v/>
      </c>
    </row>
    <row r="7708" spans="20:20">
      <c r="T7708" t="str">
        <f t="shared" si="132"/>
        <v/>
      </c>
    </row>
    <row r="7709" spans="20:20">
      <c r="T7709" t="str">
        <f t="shared" si="132"/>
        <v/>
      </c>
    </row>
    <row r="7710" spans="20:20">
      <c r="T7710" t="str">
        <f t="shared" si="132"/>
        <v/>
      </c>
    </row>
    <row r="7711" spans="20:20">
      <c r="T7711" t="str">
        <f t="shared" si="132"/>
        <v/>
      </c>
    </row>
    <row r="7712" spans="20:20">
      <c r="T7712" t="str">
        <f t="shared" si="132"/>
        <v/>
      </c>
    </row>
    <row r="7713" spans="20:20">
      <c r="T7713" t="str">
        <f t="shared" si="132"/>
        <v/>
      </c>
    </row>
    <row r="7714" spans="20:20">
      <c r="T7714" t="str">
        <f t="shared" si="132"/>
        <v/>
      </c>
    </row>
    <row r="7715" spans="20:20">
      <c r="T7715" t="str">
        <f t="shared" si="132"/>
        <v/>
      </c>
    </row>
    <row r="7716" spans="20:20">
      <c r="T7716" t="str">
        <f t="shared" si="132"/>
        <v/>
      </c>
    </row>
    <row r="7717" spans="20:20">
      <c r="T7717" t="str">
        <f t="shared" si="132"/>
        <v/>
      </c>
    </row>
    <row r="7718" spans="20:20">
      <c r="T7718" t="str">
        <f t="shared" si="132"/>
        <v/>
      </c>
    </row>
    <row r="7719" spans="20:20">
      <c r="T7719" t="str">
        <f t="shared" si="132"/>
        <v/>
      </c>
    </row>
    <row r="7720" spans="20:20">
      <c r="T7720" t="str">
        <f t="shared" si="132"/>
        <v/>
      </c>
    </row>
    <row r="7721" spans="20:20">
      <c r="T7721" t="str">
        <f t="shared" si="132"/>
        <v/>
      </c>
    </row>
    <row r="7722" spans="20:20">
      <c r="T7722" t="str">
        <f t="shared" si="132"/>
        <v/>
      </c>
    </row>
    <row r="7723" spans="20:20">
      <c r="T7723" t="str">
        <f t="shared" si="132"/>
        <v/>
      </c>
    </row>
    <row r="7724" spans="20:20">
      <c r="T7724" t="str">
        <f t="shared" si="132"/>
        <v/>
      </c>
    </row>
    <row r="7725" spans="20:20">
      <c r="T7725" t="str">
        <f t="shared" si="132"/>
        <v/>
      </c>
    </row>
    <row r="7726" spans="20:20">
      <c r="T7726" t="str">
        <f t="shared" si="132"/>
        <v/>
      </c>
    </row>
    <row r="7727" spans="20:20">
      <c r="T7727" t="str">
        <f t="shared" si="132"/>
        <v/>
      </c>
    </row>
    <row r="7728" spans="20:20">
      <c r="T7728" t="str">
        <f t="shared" si="132"/>
        <v/>
      </c>
    </row>
    <row r="7729" spans="20:20">
      <c r="T7729" t="str">
        <f t="shared" si="132"/>
        <v/>
      </c>
    </row>
    <row r="7730" spans="20:20">
      <c r="T7730" t="str">
        <f t="shared" si="132"/>
        <v/>
      </c>
    </row>
    <row r="7731" spans="20:20">
      <c r="T7731" t="str">
        <f t="shared" si="132"/>
        <v/>
      </c>
    </row>
    <row r="7732" spans="20:20">
      <c r="T7732" t="str">
        <f t="shared" si="132"/>
        <v/>
      </c>
    </row>
    <row r="7733" spans="20:20">
      <c r="T7733" t="str">
        <f t="shared" si="132"/>
        <v/>
      </c>
    </row>
    <row r="7734" spans="20:20">
      <c r="T7734" t="str">
        <f t="shared" si="132"/>
        <v/>
      </c>
    </row>
    <row r="7735" spans="20:20">
      <c r="T7735" t="str">
        <f t="shared" si="132"/>
        <v/>
      </c>
    </row>
    <row r="7736" spans="20:20">
      <c r="T7736" t="str">
        <f t="shared" si="132"/>
        <v/>
      </c>
    </row>
    <row r="7737" spans="20:20">
      <c r="T7737" t="str">
        <f t="shared" si="132"/>
        <v/>
      </c>
    </row>
    <row r="7738" spans="20:20">
      <c r="T7738" t="str">
        <f t="shared" si="132"/>
        <v/>
      </c>
    </row>
    <row r="7739" spans="20:20">
      <c r="T7739" t="str">
        <f t="shared" si="132"/>
        <v/>
      </c>
    </row>
    <row r="7740" spans="20:20">
      <c r="T7740" t="str">
        <f t="shared" si="132"/>
        <v/>
      </c>
    </row>
    <row r="7741" spans="20:20">
      <c r="T7741" t="str">
        <f t="shared" si="132"/>
        <v/>
      </c>
    </row>
    <row r="7742" spans="20:20">
      <c r="T7742" t="str">
        <f t="shared" si="132"/>
        <v/>
      </c>
    </row>
    <row r="7743" spans="20:20">
      <c r="T7743" t="str">
        <f t="shared" si="132"/>
        <v/>
      </c>
    </row>
    <row r="7744" spans="20:20">
      <c r="T7744" t="str">
        <f t="shared" si="132"/>
        <v/>
      </c>
    </row>
    <row r="7745" spans="20:20">
      <c r="T7745" t="str">
        <f t="shared" si="132"/>
        <v/>
      </c>
    </row>
    <row r="7746" spans="20:20">
      <c r="T7746" t="str">
        <f t="shared" ref="T7746:T7809" si="133">IF(C7746="","",UPPER(LEFT(SUBSTITUTE(C7746," ",""),3))&amp;"-"&amp;TEXT(B7746,"AAMMDD")&amp;"-1")</f>
        <v/>
      </c>
    </row>
    <row r="7747" spans="20:20">
      <c r="T7747" t="str">
        <f t="shared" si="133"/>
        <v/>
      </c>
    </row>
    <row r="7748" spans="20:20">
      <c r="T7748" t="str">
        <f t="shared" si="133"/>
        <v/>
      </c>
    </row>
    <row r="7749" spans="20:20">
      <c r="T7749" t="str">
        <f t="shared" si="133"/>
        <v/>
      </c>
    </row>
    <row r="7750" spans="20:20">
      <c r="T7750" t="str">
        <f t="shared" si="133"/>
        <v/>
      </c>
    </row>
    <row r="7751" spans="20:20">
      <c r="T7751" t="str">
        <f t="shared" si="133"/>
        <v/>
      </c>
    </row>
    <row r="7752" spans="20:20">
      <c r="T7752" t="str">
        <f t="shared" si="133"/>
        <v/>
      </c>
    </row>
    <row r="7753" spans="20:20">
      <c r="T7753" t="str">
        <f t="shared" si="133"/>
        <v/>
      </c>
    </row>
    <row r="7754" spans="20:20">
      <c r="T7754" t="str">
        <f t="shared" si="133"/>
        <v/>
      </c>
    </row>
    <row r="7755" spans="20:20">
      <c r="T7755" t="str">
        <f t="shared" si="133"/>
        <v/>
      </c>
    </row>
    <row r="7756" spans="20:20">
      <c r="T7756" t="str">
        <f t="shared" si="133"/>
        <v/>
      </c>
    </row>
    <row r="7757" spans="20:20">
      <c r="T7757" t="str">
        <f t="shared" si="133"/>
        <v/>
      </c>
    </row>
    <row r="7758" spans="20:20">
      <c r="T7758" t="str">
        <f t="shared" si="133"/>
        <v/>
      </c>
    </row>
    <row r="7759" spans="20:20">
      <c r="T7759" t="str">
        <f t="shared" si="133"/>
        <v/>
      </c>
    </row>
    <row r="7760" spans="20:20">
      <c r="T7760" t="str">
        <f t="shared" si="133"/>
        <v/>
      </c>
    </row>
    <row r="7761" spans="20:20">
      <c r="T7761" t="str">
        <f t="shared" si="133"/>
        <v/>
      </c>
    </row>
    <row r="7762" spans="20:20">
      <c r="T7762" t="str">
        <f t="shared" si="133"/>
        <v/>
      </c>
    </row>
    <row r="7763" spans="20:20">
      <c r="T7763" t="str">
        <f t="shared" si="133"/>
        <v/>
      </c>
    </row>
    <row r="7764" spans="20:20">
      <c r="T7764" t="str">
        <f t="shared" si="133"/>
        <v/>
      </c>
    </row>
    <row r="7765" spans="20:20">
      <c r="T7765" t="str">
        <f t="shared" si="133"/>
        <v/>
      </c>
    </row>
    <row r="7766" spans="20:20">
      <c r="T7766" t="str">
        <f t="shared" si="133"/>
        <v/>
      </c>
    </row>
    <row r="7767" spans="20:20">
      <c r="T7767" t="str">
        <f t="shared" si="133"/>
        <v/>
      </c>
    </row>
    <row r="7768" spans="20:20">
      <c r="T7768" t="str">
        <f t="shared" si="133"/>
        <v/>
      </c>
    </row>
    <row r="7769" spans="20:20">
      <c r="T7769" t="str">
        <f t="shared" si="133"/>
        <v/>
      </c>
    </row>
    <row r="7770" spans="20:20">
      <c r="T7770" t="str">
        <f t="shared" si="133"/>
        <v/>
      </c>
    </row>
    <row r="7771" spans="20:20">
      <c r="T7771" t="str">
        <f t="shared" si="133"/>
        <v/>
      </c>
    </row>
    <row r="7772" spans="20:20">
      <c r="T7772" t="str">
        <f t="shared" si="133"/>
        <v/>
      </c>
    </row>
    <row r="7773" spans="20:20">
      <c r="T7773" t="str">
        <f t="shared" si="133"/>
        <v/>
      </c>
    </row>
    <row r="7774" spans="20:20">
      <c r="T7774" t="str">
        <f t="shared" si="133"/>
        <v/>
      </c>
    </row>
    <row r="7775" spans="20:20">
      <c r="T7775" t="str">
        <f t="shared" si="133"/>
        <v/>
      </c>
    </row>
    <row r="7776" spans="20:20">
      <c r="T7776" t="str">
        <f t="shared" si="133"/>
        <v/>
      </c>
    </row>
    <row r="7777" spans="20:20">
      <c r="T7777" t="str">
        <f t="shared" si="133"/>
        <v/>
      </c>
    </row>
    <row r="7778" spans="20:20">
      <c r="T7778" t="str">
        <f t="shared" si="133"/>
        <v/>
      </c>
    </row>
    <row r="7779" spans="20:20">
      <c r="T7779" t="str">
        <f t="shared" si="133"/>
        <v/>
      </c>
    </row>
    <row r="7780" spans="20:20">
      <c r="T7780" t="str">
        <f t="shared" si="133"/>
        <v/>
      </c>
    </row>
    <row r="7781" spans="20:20">
      <c r="T7781" t="str">
        <f t="shared" si="133"/>
        <v/>
      </c>
    </row>
    <row r="7782" spans="20:20">
      <c r="T7782" t="str">
        <f t="shared" si="133"/>
        <v/>
      </c>
    </row>
    <row r="7783" spans="20:20">
      <c r="T7783" t="str">
        <f t="shared" si="133"/>
        <v/>
      </c>
    </row>
    <row r="7784" spans="20:20">
      <c r="T7784" t="str">
        <f t="shared" si="133"/>
        <v/>
      </c>
    </row>
    <row r="7785" spans="20:20">
      <c r="T7785" t="str">
        <f t="shared" si="133"/>
        <v/>
      </c>
    </row>
    <row r="7786" spans="20:20">
      <c r="T7786" t="str">
        <f t="shared" si="133"/>
        <v/>
      </c>
    </row>
    <row r="7787" spans="20:20">
      <c r="T7787" t="str">
        <f t="shared" si="133"/>
        <v/>
      </c>
    </row>
    <row r="7788" spans="20:20">
      <c r="T7788" t="str">
        <f t="shared" si="133"/>
        <v/>
      </c>
    </row>
    <row r="7789" spans="20:20">
      <c r="T7789" t="str">
        <f t="shared" si="133"/>
        <v/>
      </c>
    </row>
    <row r="7790" spans="20:20">
      <c r="T7790" t="str">
        <f t="shared" si="133"/>
        <v/>
      </c>
    </row>
    <row r="7791" spans="20:20">
      <c r="T7791" t="str">
        <f t="shared" si="133"/>
        <v/>
      </c>
    </row>
    <row r="7792" spans="20:20">
      <c r="T7792" t="str">
        <f t="shared" si="133"/>
        <v/>
      </c>
    </row>
    <row r="7793" spans="20:20">
      <c r="T7793" t="str">
        <f t="shared" si="133"/>
        <v/>
      </c>
    </row>
    <row r="7794" spans="20:20">
      <c r="T7794" t="str">
        <f t="shared" si="133"/>
        <v/>
      </c>
    </row>
    <row r="7795" spans="20:20">
      <c r="T7795" t="str">
        <f t="shared" si="133"/>
        <v/>
      </c>
    </row>
    <row r="7796" spans="20:20">
      <c r="T7796" t="str">
        <f t="shared" si="133"/>
        <v/>
      </c>
    </row>
    <row r="7797" spans="20:20">
      <c r="T7797" t="str">
        <f t="shared" si="133"/>
        <v/>
      </c>
    </row>
    <row r="7798" spans="20:20">
      <c r="T7798" t="str">
        <f t="shared" si="133"/>
        <v/>
      </c>
    </row>
    <row r="7799" spans="20:20">
      <c r="T7799" t="str">
        <f t="shared" si="133"/>
        <v/>
      </c>
    </row>
    <row r="7800" spans="20:20">
      <c r="T7800" t="str">
        <f t="shared" si="133"/>
        <v/>
      </c>
    </row>
    <row r="7801" spans="20:20">
      <c r="T7801" t="str">
        <f t="shared" si="133"/>
        <v/>
      </c>
    </row>
    <row r="7802" spans="20:20">
      <c r="T7802" t="str">
        <f t="shared" si="133"/>
        <v/>
      </c>
    </row>
    <row r="7803" spans="20:20">
      <c r="T7803" t="str">
        <f t="shared" si="133"/>
        <v/>
      </c>
    </row>
    <row r="7804" spans="20:20">
      <c r="T7804" t="str">
        <f t="shared" si="133"/>
        <v/>
      </c>
    </row>
    <row r="7805" spans="20:20">
      <c r="T7805" t="str">
        <f t="shared" si="133"/>
        <v/>
      </c>
    </row>
    <row r="7806" spans="20:20">
      <c r="T7806" t="str">
        <f t="shared" si="133"/>
        <v/>
      </c>
    </row>
    <row r="7807" spans="20:20">
      <c r="T7807" t="str">
        <f t="shared" si="133"/>
        <v/>
      </c>
    </row>
    <row r="7808" spans="20:20">
      <c r="T7808" t="str">
        <f t="shared" si="133"/>
        <v/>
      </c>
    </row>
    <row r="7809" spans="20:20">
      <c r="T7809" t="str">
        <f t="shared" si="133"/>
        <v/>
      </c>
    </row>
    <row r="7810" spans="20:20">
      <c r="T7810" t="str">
        <f t="shared" ref="T7810:T7873" si="134">IF(C7810="","",UPPER(LEFT(SUBSTITUTE(C7810," ",""),3))&amp;"-"&amp;TEXT(B7810,"AAMMDD")&amp;"-1")</f>
        <v/>
      </c>
    </row>
    <row r="7811" spans="20:20">
      <c r="T7811" t="str">
        <f t="shared" si="134"/>
        <v/>
      </c>
    </row>
    <row r="7812" spans="20:20">
      <c r="T7812" t="str">
        <f t="shared" si="134"/>
        <v/>
      </c>
    </row>
    <row r="7813" spans="20:20">
      <c r="T7813" t="str">
        <f t="shared" si="134"/>
        <v/>
      </c>
    </row>
    <row r="7814" spans="20:20">
      <c r="T7814" t="str">
        <f t="shared" si="134"/>
        <v/>
      </c>
    </row>
    <row r="7815" spans="20:20">
      <c r="T7815" t="str">
        <f t="shared" si="134"/>
        <v/>
      </c>
    </row>
    <row r="7816" spans="20:20">
      <c r="T7816" t="str">
        <f t="shared" si="134"/>
        <v/>
      </c>
    </row>
    <row r="7817" spans="20:20">
      <c r="T7817" t="str">
        <f t="shared" si="134"/>
        <v/>
      </c>
    </row>
    <row r="7818" spans="20:20">
      <c r="T7818" t="str">
        <f t="shared" si="134"/>
        <v/>
      </c>
    </row>
    <row r="7819" spans="20:20">
      <c r="T7819" t="str">
        <f t="shared" si="134"/>
        <v/>
      </c>
    </row>
    <row r="7820" spans="20:20">
      <c r="T7820" t="str">
        <f t="shared" si="134"/>
        <v/>
      </c>
    </row>
    <row r="7821" spans="20:20">
      <c r="T7821" t="str">
        <f t="shared" si="134"/>
        <v/>
      </c>
    </row>
    <row r="7822" spans="20:20">
      <c r="T7822" t="str">
        <f t="shared" si="134"/>
        <v/>
      </c>
    </row>
    <row r="7823" spans="20:20">
      <c r="T7823" t="str">
        <f t="shared" si="134"/>
        <v/>
      </c>
    </row>
    <row r="7824" spans="20:20">
      <c r="T7824" t="str">
        <f t="shared" si="134"/>
        <v/>
      </c>
    </row>
    <row r="7825" spans="20:20">
      <c r="T7825" t="str">
        <f t="shared" si="134"/>
        <v/>
      </c>
    </row>
    <row r="7826" spans="20:20">
      <c r="T7826" t="str">
        <f t="shared" si="134"/>
        <v/>
      </c>
    </row>
    <row r="7827" spans="20:20">
      <c r="T7827" t="str">
        <f t="shared" si="134"/>
        <v/>
      </c>
    </row>
    <row r="7828" spans="20:20">
      <c r="T7828" t="str">
        <f t="shared" si="134"/>
        <v/>
      </c>
    </row>
    <row r="7829" spans="20:20">
      <c r="T7829" t="str">
        <f t="shared" si="134"/>
        <v/>
      </c>
    </row>
    <row r="7830" spans="20:20">
      <c r="T7830" t="str">
        <f t="shared" si="134"/>
        <v/>
      </c>
    </row>
    <row r="7831" spans="20:20">
      <c r="T7831" t="str">
        <f t="shared" si="134"/>
        <v/>
      </c>
    </row>
    <row r="7832" spans="20:20">
      <c r="T7832" t="str">
        <f t="shared" si="134"/>
        <v/>
      </c>
    </row>
    <row r="7833" spans="20:20">
      <c r="T7833" t="str">
        <f t="shared" si="134"/>
        <v/>
      </c>
    </row>
    <row r="7834" spans="20:20">
      <c r="T7834" t="str">
        <f t="shared" si="134"/>
        <v/>
      </c>
    </row>
    <row r="7835" spans="20:20">
      <c r="T7835" t="str">
        <f t="shared" si="134"/>
        <v/>
      </c>
    </row>
    <row r="7836" spans="20:20">
      <c r="T7836" t="str">
        <f t="shared" si="134"/>
        <v/>
      </c>
    </row>
    <row r="7837" spans="20:20">
      <c r="T7837" t="str">
        <f t="shared" si="134"/>
        <v/>
      </c>
    </row>
    <row r="7838" spans="20:20">
      <c r="T7838" t="str">
        <f t="shared" si="134"/>
        <v/>
      </c>
    </row>
    <row r="7839" spans="20:20">
      <c r="T7839" t="str">
        <f t="shared" si="134"/>
        <v/>
      </c>
    </row>
    <row r="7840" spans="20:20">
      <c r="T7840" t="str">
        <f t="shared" si="134"/>
        <v/>
      </c>
    </row>
    <row r="7841" spans="20:20">
      <c r="T7841" t="str">
        <f t="shared" si="134"/>
        <v/>
      </c>
    </row>
    <row r="7842" spans="20:20">
      <c r="T7842" t="str">
        <f t="shared" si="134"/>
        <v/>
      </c>
    </row>
    <row r="7843" spans="20:20">
      <c r="T7843" t="str">
        <f t="shared" si="134"/>
        <v/>
      </c>
    </row>
    <row r="7844" spans="20:20">
      <c r="T7844" t="str">
        <f t="shared" si="134"/>
        <v/>
      </c>
    </row>
    <row r="7845" spans="20:20">
      <c r="T7845" t="str">
        <f t="shared" si="134"/>
        <v/>
      </c>
    </row>
    <row r="7846" spans="20:20">
      <c r="T7846" t="str">
        <f t="shared" si="134"/>
        <v/>
      </c>
    </row>
    <row r="7847" spans="20:20">
      <c r="T7847" t="str">
        <f t="shared" si="134"/>
        <v/>
      </c>
    </row>
    <row r="7848" spans="20:20">
      <c r="T7848" t="str">
        <f t="shared" si="134"/>
        <v/>
      </c>
    </row>
    <row r="7849" spans="20:20">
      <c r="T7849" t="str">
        <f t="shared" si="134"/>
        <v/>
      </c>
    </row>
    <row r="7850" spans="20:20">
      <c r="T7850" t="str">
        <f t="shared" si="134"/>
        <v/>
      </c>
    </row>
    <row r="7851" spans="20:20">
      <c r="T7851" t="str">
        <f t="shared" si="134"/>
        <v/>
      </c>
    </row>
    <row r="7852" spans="20:20">
      <c r="T7852" t="str">
        <f t="shared" si="134"/>
        <v/>
      </c>
    </row>
    <row r="7853" spans="20:20">
      <c r="T7853" t="str">
        <f t="shared" si="134"/>
        <v/>
      </c>
    </row>
    <row r="7854" spans="20:20">
      <c r="T7854" t="str">
        <f t="shared" si="134"/>
        <v/>
      </c>
    </row>
    <row r="7855" spans="20:20">
      <c r="T7855" t="str">
        <f t="shared" si="134"/>
        <v/>
      </c>
    </row>
    <row r="7856" spans="20:20">
      <c r="T7856" t="str">
        <f t="shared" si="134"/>
        <v/>
      </c>
    </row>
    <row r="7857" spans="20:20">
      <c r="T7857" t="str">
        <f t="shared" si="134"/>
        <v/>
      </c>
    </row>
    <row r="7858" spans="20:20">
      <c r="T7858" t="str">
        <f t="shared" si="134"/>
        <v/>
      </c>
    </row>
    <row r="7859" spans="20:20">
      <c r="T7859" t="str">
        <f t="shared" si="134"/>
        <v/>
      </c>
    </row>
    <row r="7860" spans="20:20">
      <c r="T7860" t="str">
        <f t="shared" si="134"/>
        <v/>
      </c>
    </row>
    <row r="7861" spans="20:20">
      <c r="T7861" t="str">
        <f t="shared" si="134"/>
        <v/>
      </c>
    </row>
    <row r="7862" spans="20:20">
      <c r="T7862" t="str">
        <f t="shared" si="134"/>
        <v/>
      </c>
    </row>
    <row r="7863" spans="20:20">
      <c r="T7863" t="str">
        <f t="shared" si="134"/>
        <v/>
      </c>
    </row>
    <row r="7864" spans="20:20">
      <c r="T7864" t="str">
        <f t="shared" si="134"/>
        <v/>
      </c>
    </row>
    <row r="7865" spans="20:20">
      <c r="T7865" t="str">
        <f t="shared" si="134"/>
        <v/>
      </c>
    </row>
    <row r="7866" spans="20:20">
      <c r="T7866" t="str">
        <f t="shared" si="134"/>
        <v/>
      </c>
    </row>
    <row r="7867" spans="20:20">
      <c r="T7867" t="str">
        <f t="shared" si="134"/>
        <v/>
      </c>
    </row>
    <row r="7868" spans="20:20">
      <c r="T7868" t="str">
        <f t="shared" si="134"/>
        <v/>
      </c>
    </row>
    <row r="7869" spans="20:20">
      <c r="T7869" t="str">
        <f t="shared" si="134"/>
        <v/>
      </c>
    </row>
    <row r="7870" spans="20:20">
      <c r="T7870" t="str">
        <f t="shared" si="134"/>
        <v/>
      </c>
    </row>
    <row r="7871" spans="20:20">
      <c r="T7871" t="str">
        <f t="shared" si="134"/>
        <v/>
      </c>
    </row>
    <row r="7872" spans="20:20">
      <c r="T7872" t="str">
        <f t="shared" si="134"/>
        <v/>
      </c>
    </row>
    <row r="7873" spans="20:20">
      <c r="T7873" t="str">
        <f t="shared" si="134"/>
        <v/>
      </c>
    </row>
    <row r="7874" spans="20:20">
      <c r="T7874" t="str">
        <f t="shared" ref="T7874:T7937" si="135">IF(C7874="","",UPPER(LEFT(SUBSTITUTE(C7874," ",""),3))&amp;"-"&amp;TEXT(B7874,"AAMMDD")&amp;"-1")</f>
        <v/>
      </c>
    </row>
    <row r="7875" spans="20:20">
      <c r="T7875" t="str">
        <f t="shared" si="135"/>
        <v/>
      </c>
    </row>
    <row r="7876" spans="20:20">
      <c r="T7876" t="str">
        <f t="shared" si="135"/>
        <v/>
      </c>
    </row>
    <row r="7877" spans="20:20">
      <c r="T7877" t="str">
        <f t="shared" si="135"/>
        <v/>
      </c>
    </row>
    <row r="7878" spans="20:20">
      <c r="T7878" t="str">
        <f t="shared" si="135"/>
        <v/>
      </c>
    </row>
    <row r="7879" spans="20:20">
      <c r="T7879" t="str">
        <f t="shared" si="135"/>
        <v/>
      </c>
    </row>
    <row r="7880" spans="20:20">
      <c r="T7880" t="str">
        <f t="shared" si="135"/>
        <v/>
      </c>
    </row>
    <row r="7881" spans="20:20">
      <c r="T7881" t="str">
        <f t="shared" si="135"/>
        <v/>
      </c>
    </row>
    <row r="7882" spans="20:20">
      <c r="T7882" t="str">
        <f t="shared" si="135"/>
        <v/>
      </c>
    </row>
    <row r="7883" spans="20:20">
      <c r="T7883" t="str">
        <f t="shared" si="135"/>
        <v/>
      </c>
    </row>
    <row r="7884" spans="20:20">
      <c r="T7884" t="str">
        <f t="shared" si="135"/>
        <v/>
      </c>
    </row>
    <row r="7885" spans="20:20">
      <c r="T7885" t="str">
        <f t="shared" si="135"/>
        <v/>
      </c>
    </row>
    <row r="7886" spans="20:20">
      <c r="T7886" t="str">
        <f t="shared" si="135"/>
        <v/>
      </c>
    </row>
    <row r="7887" spans="20:20">
      <c r="T7887" t="str">
        <f t="shared" si="135"/>
        <v/>
      </c>
    </row>
    <row r="7888" spans="20:20">
      <c r="T7888" t="str">
        <f t="shared" si="135"/>
        <v/>
      </c>
    </row>
    <row r="7889" spans="20:20">
      <c r="T7889" t="str">
        <f t="shared" si="135"/>
        <v/>
      </c>
    </row>
    <row r="7890" spans="20:20">
      <c r="T7890" t="str">
        <f t="shared" si="135"/>
        <v/>
      </c>
    </row>
    <row r="7891" spans="20:20">
      <c r="T7891" t="str">
        <f t="shared" si="135"/>
        <v/>
      </c>
    </row>
    <row r="7892" spans="20:20">
      <c r="T7892" t="str">
        <f t="shared" si="135"/>
        <v/>
      </c>
    </row>
    <row r="7893" spans="20:20">
      <c r="T7893" t="str">
        <f t="shared" si="135"/>
        <v/>
      </c>
    </row>
    <row r="7894" spans="20:20">
      <c r="T7894" t="str">
        <f t="shared" si="135"/>
        <v/>
      </c>
    </row>
    <row r="7895" spans="20:20">
      <c r="T7895" t="str">
        <f t="shared" si="135"/>
        <v/>
      </c>
    </row>
    <row r="7896" spans="20:20">
      <c r="T7896" t="str">
        <f t="shared" si="135"/>
        <v/>
      </c>
    </row>
    <row r="7897" spans="20:20">
      <c r="T7897" t="str">
        <f t="shared" si="135"/>
        <v/>
      </c>
    </row>
    <row r="7898" spans="20:20">
      <c r="T7898" t="str">
        <f t="shared" si="135"/>
        <v/>
      </c>
    </row>
    <row r="7899" spans="20:20">
      <c r="T7899" t="str">
        <f t="shared" si="135"/>
        <v/>
      </c>
    </row>
    <row r="7900" spans="20:20">
      <c r="T7900" t="str">
        <f t="shared" si="135"/>
        <v/>
      </c>
    </row>
    <row r="7901" spans="20:20">
      <c r="T7901" t="str">
        <f t="shared" si="135"/>
        <v/>
      </c>
    </row>
    <row r="7902" spans="20:20">
      <c r="T7902" t="str">
        <f t="shared" si="135"/>
        <v/>
      </c>
    </row>
    <row r="7903" spans="20:20">
      <c r="T7903" t="str">
        <f t="shared" si="135"/>
        <v/>
      </c>
    </row>
    <row r="7904" spans="20:20">
      <c r="T7904" t="str">
        <f t="shared" si="135"/>
        <v/>
      </c>
    </row>
    <row r="7905" spans="20:20">
      <c r="T7905" t="str">
        <f t="shared" si="135"/>
        <v/>
      </c>
    </row>
    <row r="7906" spans="20:20">
      <c r="T7906" t="str">
        <f t="shared" si="135"/>
        <v/>
      </c>
    </row>
    <row r="7907" spans="20:20">
      <c r="T7907" t="str">
        <f t="shared" si="135"/>
        <v/>
      </c>
    </row>
    <row r="7908" spans="20:20">
      <c r="T7908" t="str">
        <f t="shared" si="135"/>
        <v/>
      </c>
    </row>
    <row r="7909" spans="20:20">
      <c r="T7909" t="str">
        <f t="shared" si="135"/>
        <v/>
      </c>
    </row>
    <row r="7910" spans="20:20">
      <c r="T7910" t="str">
        <f t="shared" si="135"/>
        <v/>
      </c>
    </row>
    <row r="7911" spans="20:20">
      <c r="T7911" t="str">
        <f t="shared" si="135"/>
        <v/>
      </c>
    </row>
    <row r="7912" spans="20:20">
      <c r="T7912" t="str">
        <f t="shared" si="135"/>
        <v/>
      </c>
    </row>
    <row r="7913" spans="20:20">
      <c r="T7913" t="str">
        <f t="shared" si="135"/>
        <v/>
      </c>
    </row>
    <row r="7914" spans="20:20">
      <c r="T7914" t="str">
        <f t="shared" si="135"/>
        <v/>
      </c>
    </row>
    <row r="7915" spans="20:20">
      <c r="T7915" t="str">
        <f t="shared" si="135"/>
        <v/>
      </c>
    </row>
    <row r="7916" spans="20:20">
      <c r="T7916" t="str">
        <f t="shared" si="135"/>
        <v/>
      </c>
    </row>
    <row r="7917" spans="20:20">
      <c r="T7917" t="str">
        <f t="shared" si="135"/>
        <v/>
      </c>
    </row>
    <row r="7918" spans="20:20">
      <c r="T7918" t="str">
        <f t="shared" si="135"/>
        <v/>
      </c>
    </row>
    <row r="7919" spans="20:20">
      <c r="T7919" t="str">
        <f t="shared" si="135"/>
        <v/>
      </c>
    </row>
    <row r="7920" spans="20:20">
      <c r="T7920" t="str">
        <f t="shared" si="135"/>
        <v/>
      </c>
    </row>
    <row r="7921" spans="20:20">
      <c r="T7921" t="str">
        <f t="shared" si="135"/>
        <v/>
      </c>
    </row>
    <row r="7922" spans="20:20">
      <c r="T7922" t="str">
        <f t="shared" si="135"/>
        <v/>
      </c>
    </row>
    <row r="7923" spans="20:20">
      <c r="T7923" t="str">
        <f t="shared" si="135"/>
        <v/>
      </c>
    </row>
    <row r="7924" spans="20:20">
      <c r="T7924" t="str">
        <f t="shared" si="135"/>
        <v/>
      </c>
    </row>
    <row r="7925" spans="20:20">
      <c r="T7925" t="str">
        <f t="shared" si="135"/>
        <v/>
      </c>
    </row>
    <row r="7926" spans="20:20">
      <c r="T7926" t="str">
        <f t="shared" si="135"/>
        <v/>
      </c>
    </row>
    <row r="7927" spans="20:20">
      <c r="T7927" t="str">
        <f t="shared" si="135"/>
        <v/>
      </c>
    </row>
    <row r="7928" spans="20:20">
      <c r="T7928" t="str">
        <f t="shared" si="135"/>
        <v/>
      </c>
    </row>
    <row r="7929" spans="20:20">
      <c r="T7929" t="str">
        <f t="shared" si="135"/>
        <v/>
      </c>
    </row>
    <row r="7930" spans="20:20">
      <c r="T7930" t="str">
        <f t="shared" si="135"/>
        <v/>
      </c>
    </row>
    <row r="7931" spans="20:20">
      <c r="T7931" t="str">
        <f t="shared" si="135"/>
        <v/>
      </c>
    </row>
    <row r="7932" spans="20:20">
      <c r="T7932" t="str">
        <f t="shared" si="135"/>
        <v/>
      </c>
    </row>
    <row r="7933" spans="20:20">
      <c r="T7933" t="str">
        <f t="shared" si="135"/>
        <v/>
      </c>
    </row>
    <row r="7934" spans="20:20">
      <c r="T7934" t="str">
        <f t="shared" si="135"/>
        <v/>
      </c>
    </row>
    <row r="7935" spans="20:20">
      <c r="T7935" t="str">
        <f t="shared" si="135"/>
        <v/>
      </c>
    </row>
    <row r="7936" spans="20:20">
      <c r="T7936" t="str">
        <f t="shared" si="135"/>
        <v/>
      </c>
    </row>
    <row r="7937" spans="20:20">
      <c r="T7937" t="str">
        <f t="shared" si="135"/>
        <v/>
      </c>
    </row>
    <row r="7938" spans="20:20">
      <c r="T7938" t="str">
        <f t="shared" ref="T7938:T8001" si="136">IF(C7938="","",UPPER(LEFT(SUBSTITUTE(C7938," ",""),3))&amp;"-"&amp;TEXT(B7938,"AAMMDD")&amp;"-1")</f>
        <v/>
      </c>
    </row>
    <row r="7939" spans="20:20">
      <c r="T7939" t="str">
        <f t="shared" si="136"/>
        <v/>
      </c>
    </row>
    <row r="7940" spans="20:20">
      <c r="T7940" t="str">
        <f t="shared" si="136"/>
        <v/>
      </c>
    </row>
    <row r="7941" spans="20:20">
      <c r="T7941" t="str">
        <f t="shared" si="136"/>
        <v/>
      </c>
    </row>
    <row r="7942" spans="20:20">
      <c r="T7942" t="str">
        <f t="shared" si="136"/>
        <v/>
      </c>
    </row>
    <row r="7943" spans="20:20">
      <c r="T7943" t="str">
        <f t="shared" si="136"/>
        <v/>
      </c>
    </row>
    <row r="7944" spans="20:20">
      <c r="T7944" t="str">
        <f t="shared" si="136"/>
        <v/>
      </c>
    </row>
    <row r="7945" spans="20:20">
      <c r="T7945" t="str">
        <f t="shared" si="136"/>
        <v/>
      </c>
    </row>
    <row r="7946" spans="20:20">
      <c r="T7946" t="str">
        <f t="shared" si="136"/>
        <v/>
      </c>
    </row>
    <row r="7947" spans="20:20">
      <c r="T7947" t="str">
        <f t="shared" si="136"/>
        <v/>
      </c>
    </row>
    <row r="7948" spans="20:20">
      <c r="T7948" t="str">
        <f t="shared" si="136"/>
        <v/>
      </c>
    </row>
    <row r="7949" spans="20:20">
      <c r="T7949" t="str">
        <f t="shared" si="136"/>
        <v/>
      </c>
    </row>
    <row r="7950" spans="20:20">
      <c r="T7950" t="str">
        <f t="shared" si="136"/>
        <v/>
      </c>
    </row>
    <row r="7951" spans="20:20">
      <c r="T7951" t="str">
        <f t="shared" si="136"/>
        <v/>
      </c>
    </row>
    <row r="7952" spans="20:20">
      <c r="T7952" t="str">
        <f t="shared" si="136"/>
        <v/>
      </c>
    </row>
    <row r="7953" spans="20:20">
      <c r="T7953" t="str">
        <f t="shared" si="136"/>
        <v/>
      </c>
    </row>
    <row r="7954" spans="20:20">
      <c r="T7954" t="str">
        <f t="shared" si="136"/>
        <v/>
      </c>
    </row>
    <row r="7955" spans="20:20">
      <c r="T7955" t="str">
        <f t="shared" si="136"/>
        <v/>
      </c>
    </row>
    <row r="7956" spans="20:20">
      <c r="T7956" t="str">
        <f t="shared" si="136"/>
        <v/>
      </c>
    </row>
    <row r="7957" spans="20:20">
      <c r="T7957" t="str">
        <f t="shared" si="136"/>
        <v/>
      </c>
    </row>
    <row r="7958" spans="20:20">
      <c r="T7958" t="str">
        <f t="shared" si="136"/>
        <v/>
      </c>
    </row>
    <row r="7959" spans="20:20">
      <c r="T7959" t="str">
        <f t="shared" si="136"/>
        <v/>
      </c>
    </row>
    <row r="7960" spans="20:20">
      <c r="T7960" t="str">
        <f t="shared" si="136"/>
        <v/>
      </c>
    </row>
    <row r="7961" spans="20:20">
      <c r="T7961" t="str">
        <f t="shared" si="136"/>
        <v/>
      </c>
    </row>
    <row r="7962" spans="20:20">
      <c r="T7962" t="str">
        <f t="shared" si="136"/>
        <v/>
      </c>
    </row>
    <row r="7963" spans="20:20">
      <c r="T7963" t="str">
        <f t="shared" si="136"/>
        <v/>
      </c>
    </row>
    <row r="7964" spans="20:20">
      <c r="T7964" t="str">
        <f t="shared" si="136"/>
        <v/>
      </c>
    </row>
    <row r="7965" spans="20:20">
      <c r="T7965" t="str">
        <f t="shared" si="136"/>
        <v/>
      </c>
    </row>
    <row r="7966" spans="20:20">
      <c r="T7966" t="str">
        <f t="shared" si="136"/>
        <v/>
      </c>
    </row>
    <row r="7967" spans="20:20">
      <c r="T7967" t="str">
        <f t="shared" si="136"/>
        <v/>
      </c>
    </row>
    <row r="7968" spans="20:20">
      <c r="T7968" t="str">
        <f t="shared" si="136"/>
        <v/>
      </c>
    </row>
    <row r="7969" spans="20:20">
      <c r="T7969" t="str">
        <f t="shared" si="136"/>
        <v/>
      </c>
    </row>
    <row r="7970" spans="20:20">
      <c r="T7970" t="str">
        <f t="shared" si="136"/>
        <v/>
      </c>
    </row>
    <row r="7971" spans="20:20">
      <c r="T7971" t="str">
        <f t="shared" si="136"/>
        <v/>
      </c>
    </row>
    <row r="7972" spans="20:20">
      <c r="T7972" t="str">
        <f t="shared" si="136"/>
        <v/>
      </c>
    </row>
    <row r="7973" spans="20:20">
      <c r="T7973" t="str">
        <f t="shared" si="136"/>
        <v/>
      </c>
    </row>
    <row r="7974" spans="20:20">
      <c r="T7974" t="str">
        <f t="shared" si="136"/>
        <v/>
      </c>
    </row>
    <row r="7975" spans="20:20">
      <c r="T7975" t="str">
        <f t="shared" si="136"/>
        <v/>
      </c>
    </row>
    <row r="7976" spans="20:20">
      <c r="T7976" t="str">
        <f t="shared" si="136"/>
        <v/>
      </c>
    </row>
    <row r="7977" spans="20:20">
      <c r="T7977" t="str">
        <f t="shared" si="136"/>
        <v/>
      </c>
    </row>
    <row r="7978" spans="20:20">
      <c r="T7978" t="str">
        <f t="shared" si="136"/>
        <v/>
      </c>
    </row>
    <row r="7979" spans="20:20">
      <c r="T7979" t="str">
        <f t="shared" si="136"/>
        <v/>
      </c>
    </row>
    <row r="7980" spans="20:20">
      <c r="T7980" t="str">
        <f t="shared" si="136"/>
        <v/>
      </c>
    </row>
    <row r="7981" spans="20:20">
      <c r="T7981" t="str">
        <f t="shared" si="136"/>
        <v/>
      </c>
    </row>
    <row r="7982" spans="20:20">
      <c r="T7982" t="str">
        <f t="shared" si="136"/>
        <v/>
      </c>
    </row>
    <row r="7983" spans="20:20">
      <c r="T7983" t="str">
        <f t="shared" si="136"/>
        <v/>
      </c>
    </row>
    <row r="7984" spans="20:20">
      <c r="T7984" t="str">
        <f t="shared" si="136"/>
        <v/>
      </c>
    </row>
    <row r="7985" spans="20:20">
      <c r="T7985" t="str">
        <f t="shared" si="136"/>
        <v/>
      </c>
    </row>
    <row r="7986" spans="20:20">
      <c r="T7986" t="str">
        <f t="shared" si="136"/>
        <v/>
      </c>
    </row>
    <row r="7987" spans="20:20">
      <c r="T7987" t="str">
        <f t="shared" si="136"/>
        <v/>
      </c>
    </row>
    <row r="7988" spans="20:20">
      <c r="T7988" t="str">
        <f t="shared" si="136"/>
        <v/>
      </c>
    </row>
    <row r="7989" spans="20:20">
      <c r="T7989" t="str">
        <f t="shared" si="136"/>
        <v/>
      </c>
    </row>
    <row r="7990" spans="20:20">
      <c r="T7990" t="str">
        <f t="shared" si="136"/>
        <v/>
      </c>
    </row>
    <row r="7991" spans="20:20">
      <c r="T7991" t="str">
        <f t="shared" si="136"/>
        <v/>
      </c>
    </row>
    <row r="7992" spans="20:20">
      <c r="T7992" t="str">
        <f t="shared" si="136"/>
        <v/>
      </c>
    </row>
    <row r="7993" spans="20:20">
      <c r="T7993" t="str">
        <f t="shared" si="136"/>
        <v/>
      </c>
    </row>
    <row r="7994" spans="20:20">
      <c r="T7994" t="str">
        <f t="shared" si="136"/>
        <v/>
      </c>
    </row>
    <row r="7995" spans="20:20">
      <c r="T7995" t="str">
        <f t="shared" si="136"/>
        <v/>
      </c>
    </row>
    <row r="7996" spans="20:20">
      <c r="T7996" t="str">
        <f t="shared" si="136"/>
        <v/>
      </c>
    </row>
    <row r="7997" spans="20:20">
      <c r="T7997" t="str">
        <f t="shared" si="136"/>
        <v/>
      </c>
    </row>
    <row r="7998" spans="20:20">
      <c r="T7998" t="str">
        <f t="shared" si="136"/>
        <v/>
      </c>
    </row>
    <row r="7999" spans="20:20">
      <c r="T7999" t="str">
        <f t="shared" si="136"/>
        <v/>
      </c>
    </row>
    <row r="8000" spans="20:20">
      <c r="T8000" t="str">
        <f t="shared" si="136"/>
        <v/>
      </c>
    </row>
    <row r="8001" spans="20:20">
      <c r="T8001" t="str">
        <f t="shared" si="136"/>
        <v/>
      </c>
    </row>
    <row r="8002" spans="20:20">
      <c r="T8002" t="str">
        <f t="shared" ref="T8002:T8065" si="137">IF(C8002="","",UPPER(LEFT(SUBSTITUTE(C8002," ",""),3))&amp;"-"&amp;TEXT(B8002,"AAMMDD")&amp;"-1")</f>
        <v/>
      </c>
    </row>
    <row r="8003" spans="20:20">
      <c r="T8003" t="str">
        <f t="shared" si="137"/>
        <v/>
      </c>
    </row>
    <row r="8004" spans="20:20">
      <c r="T8004" t="str">
        <f t="shared" si="137"/>
        <v/>
      </c>
    </row>
    <row r="8005" spans="20:20">
      <c r="T8005" t="str">
        <f t="shared" si="137"/>
        <v/>
      </c>
    </row>
    <row r="8006" spans="20:20">
      <c r="T8006" t="str">
        <f t="shared" si="137"/>
        <v/>
      </c>
    </row>
    <row r="8007" spans="20:20">
      <c r="T8007" t="str">
        <f t="shared" si="137"/>
        <v/>
      </c>
    </row>
    <row r="8008" spans="20:20">
      <c r="T8008" t="str">
        <f t="shared" si="137"/>
        <v/>
      </c>
    </row>
    <row r="8009" spans="20:20">
      <c r="T8009" t="str">
        <f t="shared" si="137"/>
        <v/>
      </c>
    </row>
    <row r="8010" spans="20:20">
      <c r="T8010" t="str">
        <f t="shared" si="137"/>
        <v/>
      </c>
    </row>
    <row r="8011" spans="20:20">
      <c r="T8011" t="str">
        <f t="shared" si="137"/>
        <v/>
      </c>
    </row>
    <row r="8012" spans="20:20">
      <c r="T8012" t="str">
        <f t="shared" si="137"/>
        <v/>
      </c>
    </row>
    <row r="8013" spans="20:20">
      <c r="T8013" t="str">
        <f t="shared" si="137"/>
        <v/>
      </c>
    </row>
    <row r="8014" spans="20:20">
      <c r="T8014" t="str">
        <f t="shared" si="137"/>
        <v/>
      </c>
    </row>
    <row r="8015" spans="20:20">
      <c r="T8015" t="str">
        <f t="shared" si="137"/>
        <v/>
      </c>
    </row>
    <row r="8016" spans="20:20">
      <c r="T8016" t="str">
        <f t="shared" si="137"/>
        <v/>
      </c>
    </row>
    <row r="8017" spans="20:20">
      <c r="T8017" t="str">
        <f t="shared" si="137"/>
        <v/>
      </c>
    </row>
    <row r="8018" spans="20:20">
      <c r="T8018" t="str">
        <f t="shared" si="137"/>
        <v/>
      </c>
    </row>
    <row r="8019" spans="20:20">
      <c r="T8019" t="str">
        <f t="shared" si="137"/>
        <v/>
      </c>
    </row>
    <row r="8020" spans="20:20">
      <c r="T8020" t="str">
        <f t="shared" si="137"/>
        <v/>
      </c>
    </row>
    <row r="8021" spans="20:20">
      <c r="T8021" t="str">
        <f t="shared" si="137"/>
        <v/>
      </c>
    </row>
    <row r="8022" spans="20:20">
      <c r="T8022" t="str">
        <f t="shared" si="137"/>
        <v/>
      </c>
    </row>
    <row r="8023" spans="20:20">
      <c r="T8023" t="str">
        <f t="shared" si="137"/>
        <v/>
      </c>
    </row>
    <row r="8024" spans="20:20">
      <c r="T8024" t="str">
        <f t="shared" si="137"/>
        <v/>
      </c>
    </row>
    <row r="8025" spans="20:20">
      <c r="T8025" t="str">
        <f t="shared" si="137"/>
        <v/>
      </c>
    </row>
    <row r="8026" spans="20:20">
      <c r="T8026" t="str">
        <f t="shared" si="137"/>
        <v/>
      </c>
    </row>
    <row r="8027" spans="20:20">
      <c r="T8027" t="str">
        <f t="shared" si="137"/>
        <v/>
      </c>
    </row>
    <row r="8028" spans="20:20">
      <c r="T8028" t="str">
        <f t="shared" si="137"/>
        <v/>
      </c>
    </row>
    <row r="8029" spans="20:20">
      <c r="T8029" t="str">
        <f t="shared" si="137"/>
        <v/>
      </c>
    </row>
    <row r="8030" spans="20:20">
      <c r="T8030" t="str">
        <f t="shared" si="137"/>
        <v/>
      </c>
    </row>
    <row r="8031" spans="20:20">
      <c r="T8031" t="str">
        <f t="shared" si="137"/>
        <v/>
      </c>
    </row>
    <row r="8032" spans="20:20">
      <c r="T8032" t="str">
        <f t="shared" si="137"/>
        <v/>
      </c>
    </row>
    <row r="8033" spans="20:20">
      <c r="T8033" t="str">
        <f t="shared" si="137"/>
        <v/>
      </c>
    </row>
    <row r="8034" spans="20:20">
      <c r="T8034" t="str">
        <f t="shared" si="137"/>
        <v/>
      </c>
    </row>
    <row r="8035" spans="20:20">
      <c r="T8035" t="str">
        <f t="shared" si="137"/>
        <v/>
      </c>
    </row>
    <row r="8036" spans="20:20">
      <c r="T8036" t="str">
        <f t="shared" si="137"/>
        <v/>
      </c>
    </row>
    <row r="8037" spans="20:20">
      <c r="T8037" t="str">
        <f t="shared" si="137"/>
        <v/>
      </c>
    </row>
    <row r="8038" spans="20:20">
      <c r="T8038" t="str">
        <f t="shared" si="137"/>
        <v/>
      </c>
    </row>
    <row r="8039" spans="20:20">
      <c r="T8039" t="str">
        <f t="shared" si="137"/>
        <v/>
      </c>
    </row>
    <row r="8040" spans="20:20">
      <c r="T8040" t="str">
        <f t="shared" si="137"/>
        <v/>
      </c>
    </row>
    <row r="8041" spans="20:20">
      <c r="T8041" t="str">
        <f t="shared" si="137"/>
        <v/>
      </c>
    </row>
    <row r="8042" spans="20:20">
      <c r="T8042" t="str">
        <f t="shared" si="137"/>
        <v/>
      </c>
    </row>
    <row r="8043" spans="20:20">
      <c r="T8043" t="str">
        <f t="shared" si="137"/>
        <v/>
      </c>
    </row>
    <row r="8044" spans="20:20">
      <c r="T8044" t="str">
        <f t="shared" si="137"/>
        <v/>
      </c>
    </row>
    <row r="8045" spans="20:20">
      <c r="T8045" t="str">
        <f t="shared" si="137"/>
        <v/>
      </c>
    </row>
    <row r="8046" spans="20:20">
      <c r="T8046" t="str">
        <f t="shared" si="137"/>
        <v/>
      </c>
    </row>
    <row r="8047" spans="20:20">
      <c r="T8047" t="str">
        <f t="shared" si="137"/>
        <v/>
      </c>
    </row>
    <row r="8048" spans="20:20">
      <c r="T8048" t="str">
        <f t="shared" si="137"/>
        <v/>
      </c>
    </row>
    <row r="8049" spans="20:20">
      <c r="T8049" t="str">
        <f t="shared" si="137"/>
        <v/>
      </c>
    </row>
    <row r="8050" spans="20:20">
      <c r="T8050" t="str">
        <f t="shared" si="137"/>
        <v/>
      </c>
    </row>
    <row r="8051" spans="20:20">
      <c r="T8051" t="str">
        <f t="shared" si="137"/>
        <v/>
      </c>
    </row>
    <row r="8052" spans="20:20">
      <c r="T8052" t="str">
        <f t="shared" si="137"/>
        <v/>
      </c>
    </row>
    <row r="8053" spans="20:20">
      <c r="T8053" t="str">
        <f t="shared" si="137"/>
        <v/>
      </c>
    </row>
    <row r="8054" spans="20:20">
      <c r="T8054" t="str">
        <f t="shared" si="137"/>
        <v/>
      </c>
    </row>
    <row r="8055" spans="20:20">
      <c r="T8055" t="str">
        <f t="shared" si="137"/>
        <v/>
      </c>
    </row>
    <row r="8056" spans="20:20">
      <c r="T8056" t="str">
        <f t="shared" si="137"/>
        <v/>
      </c>
    </row>
    <row r="8057" spans="20:20">
      <c r="T8057" t="str">
        <f t="shared" si="137"/>
        <v/>
      </c>
    </row>
    <row r="8058" spans="20:20">
      <c r="T8058" t="str">
        <f t="shared" si="137"/>
        <v/>
      </c>
    </row>
    <row r="8059" spans="20:20">
      <c r="T8059" t="str">
        <f t="shared" si="137"/>
        <v/>
      </c>
    </row>
    <row r="8060" spans="20:20">
      <c r="T8060" t="str">
        <f t="shared" si="137"/>
        <v/>
      </c>
    </row>
    <row r="8061" spans="20:20">
      <c r="T8061" t="str">
        <f t="shared" si="137"/>
        <v/>
      </c>
    </row>
    <row r="8062" spans="20:20">
      <c r="T8062" t="str">
        <f t="shared" si="137"/>
        <v/>
      </c>
    </row>
    <row r="8063" spans="20:20">
      <c r="T8063" t="str">
        <f t="shared" si="137"/>
        <v/>
      </c>
    </row>
    <row r="8064" spans="20:20">
      <c r="T8064" t="str">
        <f t="shared" si="137"/>
        <v/>
      </c>
    </row>
    <row r="8065" spans="20:20">
      <c r="T8065" t="str">
        <f t="shared" si="137"/>
        <v/>
      </c>
    </row>
    <row r="8066" spans="20:20">
      <c r="T8066" t="str">
        <f t="shared" ref="T8066:T8129" si="138">IF(C8066="","",UPPER(LEFT(SUBSTITUTE(C8066," ",""),3))&amp;"-"&amp;TEXT(B8066,"AAMMDD")&amp;"-1")</f>
        <v/>
      </c>
    </row>
    <row r="8067" spans="20:20">
      <c r="T8067" t="str">
        <f t="shared" si="138"/>
        <v/>
      </c>
    </row>
    <row r="8068" spans="20:20">
      <c r="T8068" t="str">
        <f t="shared" si="138"/>
        <v/>
      </c>
    </row>
    <row r="8069" spans="20:20">
      <c r="T8069" t="str">
        <f t="shared" si="138"/>
        <v/>
      </c>
    </row>
    <row r="8070" spans="20:20">
      <c r="T8070" t="str">
        <f t="shared" si="138"/>
        <v/>
      </c>
    </row>
    <row r="8071" spans="20:20">
      <c r="T8071" t="str">
        <f t="shared" si="138"/>
        <v/>
      </c>
    </row>
    <row r="8072" spans="20:20">
      <c r="T8072" t="str">
        <f t="shared" si="138"/>
        <v/>
      </c>
    </row>
    <row r="8073" spans="20:20">
      <c r="T8073" t="str">
        <f t="shared" si="138"/>
        <v/>
      </c>
    </row>
    <row r="8074" spans="20:20">
      <c r="T8074" t="str">
        <f t="shared" si="138"/>
        <v/>
      </c>
    </row>
    <row r="8075" spans="20:20">
      <c r="T8075" t="str">
        <f t="shared" si="138"/>
        <v/>
      </c>
    </row>
    <row r="8076" spans="20:20">
      <c r="T8076" t="str">
        <f t="shared" si="138"/>
        <v/>
      </c>
    </row>
    <row r="8077" spans="20:20">
      <c r="T8077" t="str">
        <f t="shared" si="138"/>
        <v/>
      </c>
    </row>
    <row r="8078" spans="20:20">
      <c r="T8078" t="str">
        <f t="shared" si="138"/>
        <v/>
      </c>
    </row>
    <row r="8079" spans="20:20">
      <c r="T8079" t="str">
        <f t="shared" si="138"/>
        <v/>
      </c>
    </row>
    <row r="8080" spans="20:20">
      <c r="T8080" t="str">
        <f t="shared" si="138"/>
        <v/>
      </c>
    </row>
    <row r="8081" spans="20:20">
      <c r="T8081" t="str">
        <f t="shared" si="138"/>
        <v/>
      </c>
    </row>
    <row r="8082" spans="20:20">
      <c r="T8082" t="str">
        <f t="shared" si="138"/>
        <v/>
      </c>
    </row>
    <row r="8083" spans="20:20">
      <c r="T8083" t="str">
        <f t="shared" si="138"/>
        <v/>
      </c>
    </row>
    <row r="8084" spans="20:20">
      <c r="T8084" t="str">
        <f t="shared" si="138"/>
        <v/>
      </c>
    </row>
    <row r="8085" spans="20:20">
      <c r="T8085" t="str">
        <f t="shared" si="138"/>
        <v/>
      </c>
    </row>
    <row r="8086" spans="20:20">
      <c r="T8086" t="str">
        <f t="shared" si="138"/>
        <v/>
      </c>
    </row>
    <row r="8087" spans="20:20">
      <c r="T8087" t="str">
        <f t="shared" si="138"/>
        <v/>
      </c>
    </row>
    <row r="8088" spans="20:20">
      <c r="T8088" t="str">
        <f t="shared" si="138"/>
        <v/>
      </c>
    </row>
    <row r="8089" spans="20:20">
      <c r="T8089" t="str">
        <f t="shared" si="138"/>
        <v/>
      </c>
    </row>
    <row r="8090" spans="20:20">
      <c r="T8090" t="str">
        <f t="shared" si="138"/>
        <v/>
      </c>
    </row>
    <row r="8091" spans="20:20">
      <c r="T8091" t="str">
        <f t="shared" si="138"/>
        <v/>
      </c>
    </row>
    <row r="8092" spans="20:20">
      <c r="T8092" t="str">
        <f t="shared" si="138"/>
        <v/>
      </c>
    </row>
    <row r="8093" spans="20:20">
      <c r="T8093" t="str">
        <f t="shared" si="138"/>
        <v/>
      </c>
    </row>
    <row r="8094" spans="20:20">
      <c r="T8094" t="str">
        <f t="shared" si="138"/>
        <v/>
      </c>
    </row>
    <row r="8095" spans="20:20">
      <c r="T8095" t="str">
        <f t="shared" si="138"/>
        <v/>
      </c>
    </row>
    <row r="8096" spans="20:20">
      <c r="T8096" t="str">
        <f t="shared" si="138"/>
        <v/>
      </c>
    </row>
    <row r="8097" spans="20:20">
      <c r="T8097" t="str">
        <f t="shared" si="138"/>
        <v/>
      </c>
    </row>
    <row r="8098" spans="20:20">
      <c r="T8098" t="str">
        <f t="shared" si="138"/>
        <v/>
      </c>
    </row>
    <row r="8099" spans="20:20">
      <c r="T8099" t="str">
        <f t="shared" si="138"/>
        <v/>
      </c>
    </row>
    <row r="8100" spans="20:20">
      <c r="T8100" t="str">
        <f t="shared" si="138"/>
        <v/>
      </c>
    </row>
    <row r="8101" spans="20:20">
      <c r="T8101" t="str">
        <f t="shared" si="138"/>
        <v/>
      </c>
    </row>
    <row r="8102" spans="20:20">
      <c r="T8102" t="str">
        <f t="shared" si="138"/>
        <v/>
      </c>
    </row>
    <row r="8103" spans="20:20">
      <c r="T8103" t="str">
        <f t="shared" si="138"/>
        <v/>
      </c>
    </row>
    <row r="8104" spans="20:20">
      <c r="T8104" t="str">
        <f t="shared" si="138"/>
        <v/>
      </c>
    </row>
    <row r="8105" spans="20:20">
      <c r="T8105" t="str">
        <f t="shared" si="138"/>
        <v/>
      </c>
    </row>
    <row r="8106" spans="20:20">
      <c r="T8106" t="str">
        <f t="shared" si="138"/>
        <v/>
      </c>
    </row>
    <row r="8107" spans="20:20">
      <c r="T8107" t="str">
        <f t="shared" si="138"/>
        <v/>
      </c>
    </row>
    <row r="8108" spans="20:20">
      <c r="T8108" t="str">
        <f t="shared" si="138"/>
        <v/>
      </c>
    </row>
    <row r="8109" spans="20:20">
      <c r="T8109" t="str">
        <f t="shared" si="138"/>
        <v/>
      </c>
    </row>
    <row r="8110" spans="20:20">
      <c r="T8110" t="str">
        <f t="shared" si="138"/>
        <v/>
      </c>
    </row>
    <row r="8111" spans="20:20">
      <c r="T8111" t="str">
        <f t="shared" si="138"/>
        <v/>
      </c>
    </row>
    <row r="8112" spans="20:20">
      <c r="T8112" t="str">
        <f t="shared" si="138"/>
        <v/>
      </c>
    </row>
    <row r="8113" spans="20:20">
      <c r="T8113" t="str">
        <f t="shared" si="138"/>
        <v/>
      </c>
    </row>
    <row r="8114" spans="20:20">
      <c r="T8114" t="str">
        <f t="shared" si="138"/>
        <v/>
      </c>
    </row>
    <row r="8115" spans="20:20">
      <c r="T8115" t="str">
        <f t="shared" si="138"/>
        <v/>
      </c>
    </row>
    <row r="8116" spans="20:20">
      <c r="T8116" t="str">
        <f t="shared" si="138"/>
        <v/>
      </c>
    </row>
    <row r="8117" spans="20:20">
      <c r="T8117" t="str">
        <f t="shared" si="138"/>
        <v/>
      </c>
    </row>
    <row r="8118" spans="20:20">
      <c r="T8118" t="str">
        <f t="shared" si="138"/>
        <v/>
      </c>
    </row>
    <row r="8119" spans="20:20">
      <c r="T8119" t="str">
        <f t="shared" si="138"/>
        <v/>
      </c>
    </row>
    <row r="8120" spans="20:20">
      <c r="T8120" t="str">
        <f t="shared" si="138"/>
        <v/>
      </c>
    </row>
    <row r="8121" spans="20:20">
      <c r="T8121" t="str">
        <f t="shared" si="138"/>
        <v/>
      </c>
    </row>
    <row r="8122" spans="20:20">
      <c r="T8122" t="str">
        <f t="shared" si="138"/>
        <v/>
      </c>
    </row>
    <row r="8123" spans="20:20">
      <c r="T8123" t="str">
        <f t="shared" si="138"/>
        <v/>
      </c>
    </row>
    <row r="8124" spans="20:20">
      <c r="T8124" t="str">
        <f t="shared" si="138"/>
        <v/>
      </c>
    </row>
    <row r="8125" spans="20:20">
      <c r="T8125" t="str">
        <f t="shared" si="138"/>
        <v/>
      </c>
    </row>
    <row r="8126" spans="20:20">
      <c r="T8126" t="str">
        <f t="shared" si="138"/>
        <v/>
      </c>
    </row>
    <row r="8127" spans="20:20">
      <c r="T8127" t="str">
        <f t="shared" si="138"/>
        <v/>
      </c>
    </row>
    <row r="8128" spans="20:20">
      <c r="T8128" t="str">
        <f t="shared" si="138"/>
        <v/>
      </c>
    </row>
    <row r="8129" spans="20:20">
      <c r="T8129" t="str">
        <f t="shared" si="138"/>
        <v/>
      </c>
    </row>
    <row r="8130" spans="20:20">
      <c r="T8130" t="str">
        <f t="shared" ref="T8130:T8193" si="139">IF(C8130="","",UPPER(LEFT(SUBSTITUTE(C8130," ",""),3))&amp;"-"&amp;TEXT(B8130,"AAMMDD")&amp;"-1")</f>
        <v/>
      </c>
    </row>
    <row r="8131" spans="20:20">
      <c r="T8131" t="str">
        <f t="shared" si="139"/>
        <v/>
      </c>
    </row>
    <row r="8132" spans="20:20">
      <c r="T8132" t="str">
        <f t="shared" si="139"/>
        <v/>
      </c>
    </row>
    <row r="8133" spans="20:20">
      <c r="T8133" t="str">
        <f t="shared" si="139"/>
        <v/>
      </c>
    </row>
    <row r="8134" spans="20:20">
      <c r="T8134" t="str">
        <f t="shared" si="139"/>
        <v/>
      </c>
    </row>
    <row r="8135" spans="20:20">
      <c r="T8135" t="str">
        <f t="shared" si="139"/>
        <v/>
      </c>
    </row>
    <row r="8136" spans="20:20">
      <c r="T8136" t="str">
        <f t="shared" si="139"/>
        <v/>
      </c>
    </row>
    <row r="8137" spans="20:20">
      <c r="T8137" t="str">
        <f t="shared" si="139"/>
        <v/>
      </c>
    </row>
    <row r="8138" spans="20:20">
      <c r="T8138" t="str">
        <f t="shared" si="139"/>
        <v/>
      </c>
    </row>
    <row r="8139" spans="20:20">
      <c r="T8139" t="str">
        <f t="shared" si="139"/>
        <v/>
      </c>
    </row>
    <row r="8140" spans="20:20">
      <c r="T8140" t="str">
        <f t="shared" si="139"/>
        <v/>
      </c>
    </row>
    <row r="8141" spans="20:20">
      <c r="T8141" t="str">
        <f t="shared" si="139"/>
        <v/>
      </c>
    </row>
    <row r="8142" spans="20:20">
      <c r="T8142" t="str">
        <f t="shared" si="139"/>
        <v/>
      </c>
    </row>
    <row r="8143" spans="20:20">
      <c r="T8143" t="str">
        <f t="shared" si="139"/>
        <v/>
      </c>
    </row>
    <row r="8144" spans="20:20">
      <c r="T8144" t="str">
        <f t="shared" si="139"/>
        <v/>
      </c>
    </row>
    <row r="8145" spans="20:20">
      <c r="T8145" t="str">
        <f t="shared" si="139"/>
        <v/>
      </c>
    </row>
    <row r="8146" spans="20:20">
      <c r="T8146" t="str">
        <f t="shared" si="139"/>
        <v/>
      </c>
    </row>
    <row r="8147" spans="20:20">
      <c r="T8147" t="str">
        <f t="shared" si="139"/>
        <v/>
      </c>
    </row>
    <row r="8148" spans="20:20">
      <c r="T8148" t="str">
        <f t="shared" si="139"/>
        <v/>
      </c>
    </row>
    <row r="8149" spans="20:20">
      <c r="T8149" t="str">
        <f t="shared" si="139"/>
        <v/>
      </c>
    </row>
    <row r="8150" spans="20:20">
      <c r="T8150" t="str">
        <f t="shared" si="139"/>
        <v/>
      </c>
    </row>
    <row r="8151" spans="20:20">
      <c r="T8151" t="str">
        <f t="shared" si="139"/>
        <v/>
      </c>
    </row>
    <row r="8152" spans="20:20">
      <c r="T8152" t="str">
        <f t="shared" si="139"/>
        <v/>
      </c>
    </row>
    <row r="8153" spans="20:20">
      <c r="T8153" t="str">
        <f t="shared" si="139"/>
        <v/>
      </c>
    </row>
    <row r="8154" spans="20:20">
      <c r="T8154" t="str">
        <f t="shared" si="139"/>
        <v/>
      </c>
    </row>
    <row r="8155" spans="20:20">
      <c r="T8155" t="str">
        <f t="shared" si="139"/>
        <v/>
      </c>
    </row>
    <row r="8156" spans="20:20">
      <c r="T8156" t="str">
        <f t="shared" si="139"/>
        <v/>
      </c>
    </row>
    <row r="8157" spans="20:20">
      <c r="T8157" t="str">
        <f t="shared" si="139"/>
        <v/>
      </c>
    </row>
    <row r="8158" spans="20:20">
      <c r="T8158" t="str">
        <f t="shared" si="139"/>
        <v/>
      </c>
    </row>
    <row r="8159" spans="20:20">
      <c r="T8159" t="str">
        <f t="shared" si="139"/>
        <v/>
      </c>
    </row>
    <row r="8160" spans="20:20">
      <c r="T8160" t="str">
        <f t="shared" si="139"/>
        <v/>
      </c>
    </row>
    <row r="8161" spans="20:20">
      <c r="T8161" t="str">
        <f t="shared" si="139"/>
        <v/>
      </c>
    </row>
    <row r="8162" spans="20:20">
      <c r="T8162" t="str">
        <f t="shared" si="139"/>
        <v/>
      </c>
    </row>
    <row r="8163" spans="20:20">
      <c r="T8163" t="str">
        <f t="shared" si="139"/>
        <v/>
      </c>
    </row>
    <row r="8164" spans="20:20">
      <c r="T8164" t="str">
        <f t="shared" si="139"/>
        <v/>
      </c>
    </row>
    <row r="8165" spans="20:20">
      <c r="T8165" t="str">
        <f t="shared" si="139"/>
        <v/>
      </c>
    </row>
    <row r="8166" spans="20:20">
      <c r="T8166" t="str">
        <f t="shared" si="139"/>
        <v/>
      </c>
    </row>
    <row r="8167" spans="20:20">
      <c r="T8167" t="str">
        <f t="shared" si="139"/>
        <v/>
      </c>
    </row>
    <row r="8168" spans="20:20">
      <c r="T8168" t="str">
        <f t="shared" si="139"/>
        <v/>
      </c>
    </row>
    <row r="8169" spans="20:20">
      <c r="T8169" t="str">
        <f t="shared" si="139"/>
        <v/>
      </c>
    </row>
    <row r="8170" spans="20:20">
      <c r="T8170" t="str">
        <f t="shared" si="139"/>
        <v/>
      </c>
    </row>
    <row r="8171" spans="20:20">
      <c r="T8171" t="str">
        <f t="shared" si="139"/>
        <v/>
      </c>
    </row>
    <row r="8172" spans="20:20">
      <c r="T8172" t="str">
        <f t="shared" si="139"/>
        <v/>
      </c>
    </row>
    <row r="8173" spans="20:20">
      <c r="T8173" t="str">
        <f t="shared" si="139"/>
        <v/>
      </c>
    </row>
    <row r="8174" spans="20:20">
      <c r="T8174" t="str">
        <f t="shared" si="139"/>
        <v/>
      </c>
    </row>
    <row r="8175" spans="20:20">
      <c r="T8175" t="str">
        <f t="shared" si="139"/>
        <v/>
      </c>
    </row>
    <row r="8176" spans="20:20">
      <c r="T8176" t="str">
        <f t="shared" si="139"/>
        <v/>
      </c>
    </row>
    <row r="8177" spans="20:20">
      <c r="T8177" t="str">
        <f t="shared" si="139"/>
        <v/>
      </c>
    </row>
    <row r="8178" spans="20:20">
      <c r="T8178" t="str">
        <f t="shared" si="139"/>
        <v/>
      </c>
    </row>
    <row r="8179" spans="20:20">
      <c r="T8179" t="str">
        <f t="shared" si="139"/>
        <v/>
      </c>
    </row>
    <row r="8180" spans="20:20">
      <c r="T8180" t="str">
        <f t="shared" si="139"/>
        <v/>
      </c>
    </row>
    <row r="8181" spans="20:20">
      <c r="T8181" t="str">
        <f t="shared" si="139"/>
        <v/>
      </c>
    </row>
    <row r="8182" spans="20:20">
      <c r="T8182" t="str">
        <f t="shared" si="139"/>
        <v/>
      </c>
    </row>
    <row r="8183" spans="20:20">
      <c r="T8183" t="str">
        <f t="shared" si="139"/>
        <v/>
      </c>
    </row>
    <row r="8184" spans="20:20">
      <c r="T8184" t="str">
        <f t="shared" si="139"/>
        <v/>
      </c>
    </row>
    <row r="8185" spans="20:20">
      <c r="T8185" t="str">
        <f t="shared" si="139"/>
        <v/>
      </c>
    </row>
    <row r="8186" spans="20:20">
      <c r="T8186" t="str">
        <f t="shared" si="139"/>
        <v/>
      </c>
    </row>
    <row r="8187" spans="20:20">
      <c r="T8187" t="str">
        <f t="shared" si="139"/>
        <v/>
      </c>
    </row>
    <row r="8188" spans="20:20">
      <c r="T8188" t="str">
        <f t="shared" si="139"/>
        <v/>
      </c>
    </row>
    <row r="8189" spans="20:20">
      <c r="T8189" t="str">
        <f t="shared" si="139"/>
        <v/>
      </c>
    </row>
    <row r="8190" spans="20:20">
      <c r="T8190" t="str">
        <f t="shared" si="139"/>
        <v/>
      </c>
    </row>
    <row r="8191" spans="20:20">
      <c r="T8191" t="str">
        <f t="shared" si="139"/>
        <v/>
      </c>
    </row>
    <row r="8192" spans="20:20">
      <c r="T8192" t="str">
        <f t="shared" si="139"/>
        <v/>
      </c>
    </row>
    <row r="8193" spans="20:20">
      <c r="T8193" t="str">
        <f t="shared" si="139"/>
        <v/>
      </c>
    </row>
    <row r="8194" spans="20:20">
      <c r="T8194" t="str">
        <f t="shared" ref="T8194:T8257" si="140">IF(C8194="","",UPPER(LEFT(SUBSTITUTE(C8194," ",""),3))&amp;"-"&amp;TEXT(B8194,"AAMMDD")&amp;"-1")</f>
        <v/>
      </c>
    </row>
    <row r="8195" spans="20:20">
      <c r="T8195" t="str">
        <f t="shared" si="140"/>
        <v/>
      </c>
    </row>
    <row r="8196" spans="20:20">
      <c r="T8196" t="str">
        <f t="shared" si="140"/>
        <v/>
      </c>
    </row>
    <row r="8197" spans="20:20">
      <c r="T8197" t="str">
        <f t="shared" si="140"/>
        <v/>
      </c>
    </row>
    <row r="8198" spans="20:20">
      <c r="T8198" t="str">
        <f t="shared" si="140"/>
        <v/>
      </c>
    </row>
    <row r="8199" spans="20:20">
      <c r="T8199" t="str">
        <f t="shared" si="140"/>
        <v/>
      </c>
    </row>
    <row r="8200" spans="20:20">
      <c r="T8200" t="str">
        <f t="shared" si="140"/>
        <v/>
      </c>
    </row>
    <row r="8201" spans="20:20">
      <c r="T8201" t="str">
        <f t="shared" si="140"/>
        <v/>
      </c>
    </row>
    <row r="8202" spans="20:20">
      <c r="T8202" t="str">
        <f t="shared" si="140"/>
        <v/>
      </c>
    </row>
    <row r="8203" spans="20:20">
      <c r="T8203" t="str">
        <f t="shared" si="140"/>
        <v/>
      </c>
    </row>
    <row r="8204" spans="20:20">
      <c r="T8204" t="str">
        <f t="shared" si="140"/>
        <v/>
      </c>
    </row>
    <row r="8205" spans="20:20">
      <c r="T8205" t="str">
        <f t="shared" si="140"/>
        <v/>
      </c>
    </row>
    <row r="8206" spans="20:20">
      <c r="T8206" t="str">
        <f t="shared" si="140"/>
        <v/>
      </c>
    </row>
    <row r="8207" spans="20:20">
      <c r="T8207" t="str">
        <f t="shared" si="140"/>
        <v/>
      </c>
    </row>
    <row r="8208" spans="20:20">
      <c r="T8208" t="str">
        <f t="shared" si="140"/>
        <v/>
      </c>
    </row>
    <row r="8209" spans="20:20">
      <c r="T8209" t="str">
        <f t="shared" si="140"/>
        <v/>
      </c>
    </row>
    <row r="8210" spans="20:20">
      <c r="T8210" t="str">
        <f t="shared" si="140"/>
        <v/>
      </c>
    </row>
    <row r="8211" spans="20:20">
      <c r="T8211" t="str">
        <f t="shared" si="140"/>
        <v/>
      </c>
    </row>
    <row r="8212" spans="20:20">
      <c r="T8212" t="str">
        <f t="shared" si="140"/>
        <v/>
      </c>
    </row>
    <row r="8213" spans="20:20">
      <c r="T8213" t="str">
        <f t="shared" si="140"/>
        <v/>
      </c>
    </row>
    <row r="8214" spans="20:20">
      <c r="T8214" t="str">
        <f t="shared" si="140"/>
        <v/>
      </c>
    </row>
    <row r="8215" spans="20:20">
      <c r="T8215" t="str">
        <f t="shared" si="140"/>
        <v/>
      </c>
    </row>
    <row r="8216" spans="20:20">
      <c r="T8216" t="str">
        <f t="shared" si="140"/>
        <v/>
      </c>
    </row>
    <row r="8217" spans="20:20">
      <c r="T8217" t="str">
        <f t="shared" si="140"/>
        <v/>
      </c>
    </row>
    <row r="8218" spans="20:20">
      <c r="T8218" t="str">
        <f t="shared" si="140"/>
        <v/>
      </c>
    </row>
    <row r="8219" spans="20:20">
      <c r="T8219" t="str">
        <f t="shared" si="140"/>
        <v/>
      </c>
    </row>
    <row r="8220" spans="20:20">
      <c r="T8220" t="str">
        <f t="shared" si="140"/>
        <v/>
      </c>
    </row>
    <row r="8221" spans="20:20">
      <c r="T8221" t="str">
        <f t="shared" si="140"/>
        <v/>
      </c>
    </row>
    <row r="8222" spans="20:20">
      <c r="T8222" t="str">
        <f t="shared" si="140"/>
        <v/>
      </c>
    </row>
    <row r="8223" spans="20:20">
      <c r="T8223" t="str">
        <f t="shared" si="140"/>
        <v/>
      </c>
    </row>
    <row r="8224" spans="20:20">
      <c r="T8224" t="str">
        <f t="shared" si="140"/>
        <v/>
      </c>
    </row>
    <row r="8225" spans="20:20">
      <c r="T8225" t="str">
        <f t="shared" si="140"/>
        <v/>
      </c>
    </row>
    <row r="8226" spans="20:20">
      <c r="T8226" t="str">
        <f t="shared" si="140"/>
        <v/>
      </c>
    </row>
    <row r="8227" spans="20:20">
      <c r="T8227" t="str">
        <f t="shared" si="140"/>
        <v/>
      </c>
    </row>
    <row r="8228" spans="20:20">
      <c r="T8228" t="str">
        <f t="shared" si="140"/>
        <v/>
      </c>
    </row>
    <row r="8229" spans="20:20">
      <c r="T8229" t="str">
        <f t="shared" si="140"/>
        <v/>
      </c>
    </row>
    <row r="8230" spans="20:20">
      <c r="T8230" t="str">
        <f t="shared" si="140"/>
        <v/>
      </c>
    </row>
    <row r="8231" spans="20:20">
      <c r="T8231" t="str">
        <f t="shared" si="140"/>
        <v/>
      </c>
    </row>
    <row r="8232" spans="20:20">
      <c r="T8232" t="str">
        <f t="shared" si="140"/>
        <v/>
      </c>
    </row>
    <row r="8233" spans="20:20">
      <c r="T8233" t="str">
        <f t="shared" si="140"/>
        <v/>
      </c>
    </row>
    <row r="8234" spans="20:20">
      <c r="T8234" t="str">
        <f t="shared" si="140"/>
        <v/>
      </c>
    </row>
    <row r="8235" spans="20:20">
      <c r="T8235" t="str">
        <f t="shared" si="140"/>
        <v/>
      </c>
    </row>
    <row r="8236" spans="20:20">
      <c r="T8236" t="str">
        <f t="shared" si="140"/>
        <v/>
      </c>
    </row>
    <row r="8237" spans="20:20">
      <c r="T8237" t="str">
        <f t="shared" si="140"/>
        <v/>
      </c>
    </row>
    <row r="8238" spans="20:20">
      <c r="T8238" t="str">
        <f t="shared" si="140"/>
        <v/>
      </c>
    </row>
    <row r="8239" spans="20:20">
      <c r="T8239" t="str">
        <f t="shared" si="140"/>
        <v/>
      </c>
    </row>
    <row r="8240" spans="20:20">
      <c r="T8240" t="str">
        <f t="shared" si="140"/>
        <v/>
      </c>
    </row>
    <row r="8241" spans="20:20">
      <c r="T8241" t="str">
        <f t="shared" si="140"/>
        <v/>
      </c>
    </row>
    <row r="8242" spans="20:20">
      <c r="T8242" t="str">
        <f t="shared" si="140"/>
        <v/>
      </c>
    </row>
    <row r="8243" spans="20:20">
      <c r="T8243" t="str">
        <f t="shared" si="140"/>
        <v/>
      </c>
    </row>
    <row r="8244" spans="20:20">
      <c r="T8244" t="str">
        <f t="shared" si="140"/>
        <v/>
      </c>
    </row>
    <row r="8245" spans="20:20">
      <c r="T8245" t="str">
        <f t="shared" si="140"/>
        <v/>
      </c>
    </row>
    <row r="8246" spans="20:20">
      <c r="T8246" t="str">
        <f t="shared" si="140"/>
        <v/>
      </c>
    </row>
    <row r="8247" spans="20:20">
      <c r="T8247" t="str">
        <f t="shared" si="140"/>
        <v/>
      </c>
    </row>
    <row r="8248" spans="20:20">
      <c r="T8248" t="str">
        <f t="shared" si="140"/>
        <v/>
      </c>
    </row>
    <row r="8249" spans="20:20">
      <c r="T8249" t="str">
        <f t="shared" si="140"/>
        <v/>
      </c>
    </row>
    <row r="8250" spans="20:20">
      <c r="T8250" t="str">
        <f t="shared" si="140"/>
        <v/>
      </c>
    </row>
    <row r="8251" spans="20:20">
      <c r="T8251" t="str">
        <f t="shared" si="140"/>
        <v/>
      </c>
    </row>
    <row r="8252" spans="20:20">
      <c r="T8252" t="str">
        <f t="shared" si="140"/>
        <v/>
      </c>
    </row>
    <row r="8253" spans="20:20">
      <c r="T8253" t="str">
        <f t="shared" si="140"/>
        <v/>
      </c>
    </row>
    <row r="8254" spans="20:20">
      <c r="T8254" t="str">
        <f t="shared" si="140"/>
        <v/>
      </c>
    </row>
    <row r="8255" spans="20:20">
      <c r="T8255" t="str">
        <f t="shared" si="140"/>
        <v/>
      </c>
    </row>
    <row r="8256" spans="20:20">
      <c r="T8256" t="str">
        <f t="shared" si="140"/>
        <v/>
      </c>
    </row>
    <row r="8257" spans="20:20">
      <c r="T8257" t="str">
        <f t="shared" si="140"/>
        <v/>
      </c>
    </row>
    <row r="8258" spans="20:20">
      <c r="T8258" t="str">
        <f t="shared" ref="T8258:T8321" si="141">IF(C8258="","",UPPER(LEFT(SUBSTITUTE(C8258," ",""),3))&amp;"-"&amp;TEXT(B8258,"AAMMDD")&amp;"-1")</f>
        <v/>
      </c>
    </row>
    <row r="8259" spans="20:20">
      <c r="T8259" t="str">
        <f t="shared" si="141"/>
        <v/>
      </c>
    </row>
    <row r="8260" spans="20:20">
      <c r="T8260" t="str">
        <f t="shared" si="141"/>
        <v/>
      </c>
    </row>
    <row r="8261" spans="20:20">
      <c r="T8261" t="str">
        <f t="shared" si="141"/>
        <v/>
      </c>
    </row>
    <row r="8262" spans="20:20">
      <c r="T8262" t="str">
        <f t="shared" si="141"/>
        <v/>
      </c>
    </row>
    <row r="8263" spans="20:20">
      <c r="T8263" t="str">
        <f t="shared" si="141"/>
        <v/>
      </c>
    </row>
    <row r="8264" spans="20:20">
      <c r="T8264" t="str">
        <f t="shared" si="141"/>
        <v/>
      </c>
    </row>
    <row r="8265" spans="20:20">
      <c r="T8265" t="str">
        <f t="shared" si="141"/>
        <v/>
      </c>
    </row>
    <row r="8266" spans="20:20">
      <c r="T8266" t="str">
        <f t="shared" si="141"/>
        <v/>
      </c>
    </row>
    <row r="8267" spans="20:20">
      <c r="T8267" t="str">
        <f t="shared" si="141"/>
        <v/>
      </c>
    </row>
    <row r="8268" spans="20:20">
      <c r="T8268" t="str">
        <f t="shared" si="141"/>
        <v/>
      </c>
    </row>
    <row r="8269" spans="20:20">
      <c r="T8269" t="str">
        <f t="shared" si="141"/>
        <v/>
      </c>
    </row>
    <row r="8270" spans="20:20">
      <c r="T8270" t="str">
        <f t="shared" si="141"/>
        <v/>
      </c>
    </row>
    <row r="8271" spans="20:20">
      <c r="T8271" t="str">
        <f t="shared" si="141"/>
        <v/>
      </c>
    </row>
    <row r="8272" spans="20:20">
      <c r="T8272" t="str">
        <f t="shared" si="141"/>
        <v/>
      </c>
    </row>
    <row r="8273" spans="20:20">
      <c r="T8273" t="str">
        <f t="shared" si="141"/>
        <v/>
      </c>
    </row>
    <row r="8274" spans="20:20">
      <c r="T8274" t="str">
        <f t="shared" si="141"/>
        <v/>
      </c>
    </row>
    <row r="8275" spans="20:20">
      <c r="T8275" t="str">
        <f t="shared" si="141"/>
        <v/>
      </c>
    </row>
    <row r="8276" spans="20:20">
      <c r="T8276" t="str">
        <f t="shared" si="141"/>
        <v/>
      </c>
    </row>
    <row r="8277" spans="20:20">
      <c r="T8277" t="str">
        <f t="shared" si="141"/>
        <v/>
      </c>
    </row>
    <row r="8278" spans="20:20">
      <c r="T8278" t="str">
        <f t="shared" si="141"/>
        <v/>
      </c>
    </row>
    <row r="8279" spans="20:20">
      <c r="T8279" t="str">
        <f t="shared" si="141"/>
        <v/>
      </c>
    </row>
    <row r="8280" spans="20:20">
      <c r="T8280" t="str">
        <f t="shared" si="141"/>
        <v/>
      </c>
    </row>
    <row r="8281" spans="20:20">
      <c r="T8281" t="str">
        <f t="shared" si="141"/>
        <v/>
      </c>
    </row>
    <row r="8282" spans="20:20">
      <c r="T8282" t="str">
        <f t="shared" si="141"/>
        <v/>
      </c>
    </row>
    <row r="8283" spans="20:20">
      <c r="T8283" t="str">
        <f t="shared" si="141"/>
        <v/>
      </c>
    </row>
    <row r="8284" spans="20:20">
      <c r="T8284" t="str">
        <f t="shared" si="141"/>
        <v/>
      </c>
    </row>
    <row r="8285" spans="20:20">
      <c r="T8285" t="str">
        <f t="shared" si="141"/>
        <v/>
      </c>
    </row>
    <row r="8286" spans="20:20">
      <c r="T8286" t="str">
        <f t="shared" si="141"/>
        <v/>
      </c>
    </row>
    <row r="8287" spans="20:20">
      <c r="T8287" t="str">
        <f t="shared" si="141"/>
        <v/>
      </c>
    </row>
    <row r="8288" spans="20:20">
      <c r="T8288" t="str">
        <f t="shared" si="141"/>
        <v/>
      </c>
    </row>
    <row r="8289" spans="20:20">
      <c r="T8289" t="str">
        <f t="shared" si="141"/>
        <v/>
      </c>
    </row>
    <row r="8290" spans="20:20">
      <c r="T8290" t="str">
        <f t="shared" si="141"/>
        <v/>
      </c>
    </row>
    <row r="8291" spans="20:20">
      <c r="T8291" t="str">
        <f t="shared" si="141"/>
        <v/>
      </c>
    </row>
    <row r="8292" spans="20:20">
      <c r="T8292" t="str">
        <f t="shared" si="141"/>
        <v/>
      </c>
    </row>
    <row r="8293" spans="20:20">
      <c r="T8293" t="str">
        <f t="shared" si="141"/>
        <v/>
      </c>
    </row>
    <row r="8294" spans="20:20">
      <c r="T8294" t="str">
        <f t="shared" si="141"/>
        <v/>
      </c>
    </row>
    <row r="8295" spans="20:20">
      <c r="T8295" t="str">
        <f t="shared" si="141"/>
        <v/>
      </c>
    </row>
    <row r="8296" spans="20:20">
      <c r="T8296" t="str">
        <f t="shared" si="141"/>
        <v/>
      </c>
    </row>
    <row r="8297" spans="20:20">
      <c r="T8297" t="str">
        <f t="shared" si="141"/>
        <v/>
      </c>
    </row>
    <row r="8298" spans="20:20">
      <c r="T8298" t="str">
        <f t="shared" si="141"/>
        <v/>
      </c>
    </row>
    <row r="8299" spans="20:20">
      <c r="T8299" t="str">
        <f t="shared" si="141"/>
        <v/>
      </c>
    </row>
    <row r="8300" spans="20:20">
      <c r="T8300" t="str">
        <f t="shared" si="141"/>
        <v/>
      </c>
    </row>
    <row r="8301" spans="20:20">
      <c r="T8301" t="str">
        <f t="shared" si="141"/>
        <v/>
      </c>
    </row>
    <row r="8302" spans="20:20">
      <c r="T8302" t="str">
        <f t="shared" si="141"/>
        <v/>
      </c>
    </row>
    <row r="8303" spans="20:20">
      <c r="T8303" t="str">
        <f t="shared" si="141"/>
        <v/>
      </c>
    </row>
    <row r="8304" spans="20:20">
      <c r="T8304" t="str">
        <f t="shared" si="141"/>
        <v/>
      </c>
    </row>
    <row r="8305" spans="20:20">
      <c r="T8305" t="str">
        <f t="shared" si="141"/>
        <v/>
      </c>
    </row>
    <row r="8306" spans="20:20">
      <c r="T8306" t="str">
        <f t="shared" si="141"/>
        <v/>
      </c>
    </row>
    <row r="8307" spans="20:20">
      <c r="T8307" t="str">
        <f t="shared" si="141"/>
        <v/>
      </c>
    </row>
    <row r="8308" spans="20:20">
      <c r="T8308" t="str">
        <f t="shared" si="141"/>
        <v/>
      </c>
    </row>
    <row r="8309" spans="20:20">
      <c r="T8309" t="str">
        <f t="shared" si="141"/>
        <v/>
      </c>
    </row>
    <row r="8310" spans="20:20">
      <c r="T8310" t="str">
        <f t="shared" si="141"/>
        <v/>
      </c>
    </row>
    <row r="8311" spans="20:20">
      <c r="T8311" t="str">
        <f t="shared" si="141"/>
        <v/>
      </c>
    </row>
    <row r="8312" spans="20:20">
      <c r="T8312" t="str">
        <f t="shared" si="141"/>
        <v/>
      </c>
    </row>
    <row r="8313" spans="20:20">
      <c r="T8313" t="str">
        <f t="shared" si="141"/>
        <v/>
      </c>
    </row>
    <row r="8314" spans="20:20">
      <c r="T8314" t="str">
        <f t="shared" si="141"/>
        <v/>
      </c>
    </row>
    <row r="8315" spans="20:20">
      <c r="T8315" t="str">
        <f t="shared" si="141"/>
        <v/>
      </c>
    </row>
    <row r="8316" spans="20:20">
      <c r="T8316" t="str">
        <f t="shared" si="141"/>
        <v/>
      </c>
    </row>
    <row r="8317" spans="20:20">
      <c r="T8317" t="str">
        <f t="shared" si="141"/>
        <v/>
      </c>
    </row>
    <row r="8318" spans="20:20">
      <c r="T8318" t="str">
        <f t="shared" si="141"/>
        <v/>
      </c>
    </row>
    <row r="8319" spans="20:20">
      <c r="T8319" t="str">
        <f t="shared" si="141"/>
        <v/>
      </c>
    </row>
    <row r="8320" spans="20:20">
      <c r="T8320" t="str">
        <f t="shared" si="141"/>
        <v/>
      </c>
    </row>
    <row r="8321" spans="20:20">
      <c r="T8321" t="str">
        <f t="shared" si="141"/>
        <v/>
      </c>
    </row>
    <row r="8322" spans="20:20">
      <c r="T8322" t="str">
        <f t="shared" ref="T8322:T8385" si="142">IF(C8322="","",UPPER(LEFT(SUBSTITUTE(C8322," ",""),3))&amp;"-"&amp;TEXT(B8322,"AAMMDD")&amp;"-1")</f>
        <v/>
      </c>
    </row>
    <row r="8323" spans="20:20">
      <c r="T8323" t="str">
        <f t="shared" si="142"/>
        <v/>
      </c>
    </row>
    <row r="8324" spans="20:20">
      <c r="T8324" t="str">
        <f t="shared" si="142"/>
        <v/>
      </c>
    </row>
    <row r="8325" spans="20:20">
      <c r="T8325" t="str">
        <f t="shared" si="142"/>
        <v/>
      </c>
    </row>
    <row r="8326" spans="20:20">
      <c r="T8326" t="str">
        <f t="shared" si="142"/>
        <v/>
      </c>
    </row>
    <row r="8327" spans="20:20">
      <c r="T8327" t="str">
        <f t="shared" si="142"/>
        <v/>
      </c>
    </row>
    <row r="8328" spans="20:20">
      <c r="T8328" t="str">
        <f t="shared" si="142"/>
        <v/>
      </c>
    </row>
    <row r="8329" spans="20:20">
      <c r="T8329" t="str">
        <f t="shared" si="142"/>
        <v/>
      </c>
    </row>
    <row r="8330" spans="20:20">
      <c r="T8330" t="str">
        <f t="shared" si="142"/>
        <v/>
      </c>
    </row>
    <row r="8331" spans="20:20">
      <c r="T8331" t="str">
        <f t="shared" si="142"/>
        <v/>
      </c>
    </row>
    <row r="8332" spans="20:20">
      <c r="T8332" t="str">
        <f t="shared" si="142"/>
        <v/>
      </c>
    </row>
    <row r="8333" spans="20:20">
      <c r="T8333" t="str">
        <f t="shared" si="142"/>
        <v/>
      </c>
    </row>
    <row r="8334" spans="20:20">
      <c r="T8334" t="str">
        <f t="shared" si="142"/>
        <v/>
      </c>
    </row>
    <row r="8335" spans="20:20">
      <c r="T8335" t="str">
        <f t="shared" si="142"/>
        <v/>
      </c>
    </row>
    <row r="8336" spans="20:20">
      <c r="T8336" t="str">
        <f t="shared" si="142"/>
        <v/>
      </c>
    </row>
    <row r="8337" spans="20:20">
      <c r="T8337" t="str">
        <f t="shared" si="142"/>
        <v/>
      </c>
    </row>
    <row r="8338" spans="20:20">
      <c r="T8338" t="str">
        <f t="shared" si="142"/>
        <v/>
      </c>
    </row>
    <row r="8339" spans="20:20">
      <c r="T8339" t="str">
        <f t="shared" si="142"/>
        <v/>
      </c>
    </row>
    <row r="8340" spans="20:20">
      <c r="T8340" t="str">
        <f t="shared" si="142"/>
        <v/>
      </c>
    </row>
    <row r="8341" spans="20:20">
      <c r="T8341" t="str">
        <f t="shared" si="142"/>
        <v/>
      </c>
    </row>
    <row r="8342" spans="20:20">
      <c r="T8342" t="str">
        <f t="shared" si="142"/>
        <v/>
      </c>
    </row>
    <row r="8343" spans="20:20">
      <c r="T8343" t="str">
        <f t="shared" si="142"/>
        <v/>
      </c>
    </row>
    <row r="8344" spans="20:20">
      <c r="T8344" t="str">
        <f t="shared" si="142"/>
        <v/>
      </c>
    </row>
    <row r="8345" spans="20:20">
      <c r="T8345" t="str">
        <f t="shared" si="142"/>
        <v/>
      </c>
    </row>
    <row r="8346" spans="20:20">
      <c r="T8346" t="str">
        <f t="shared" si="142"/>
        <v/>
      </c>
    </row>
    <row r="8347" spans="20:20">
      <c r="T8347" t="str">
        <f t="shared" si="142"/>
        <v/>
      </c>
    </row>
    <row r="8348" spans="20:20">
      <c r="T8348" t="str">
        <f t="shared" si="142"/>
        <v/>
      </c>
    </row>
    <row r="8349" spans="20:20">
      <c r="T8349" t="str">
        <f t="shared" si="142"/>
        <v/>
      </c>
    </row>
    <row r="8350" spans="20:20">
      <c r="T8350" t="str">
        <f t="shared" si="142"/>
        <v/>
      </c>
    </row>
    <row r="8351" spans="20:20">
      <c r="T8351" t="str">
        <f t="shared" si="142"/>
        <v/>
      </c>
    </row>
    <row r="8352" spans="20:20">
      <c r="T8352" t="str">
        <f t="shared" si="142"/>
        <v/>
      </c>
    </row>
    <row r="8353" spans="20:20">
      <c r="T8353" t="str">
        <f t="shared" si="142"/>
        <v/>
      </c>
    </row>
    <row r="8354" spans="20:20">
      <c r="T8354" t="str">
        <f t="shared" si="142"/>
        <v/>
      </c>
    </row>
    <row r="8355" spans="20:20">
      <c r="T8355" t="str">
        <f t="shared" si="142"/>
        <v/>
      </c>
    </row>
    <row r="8356" spans="20:20">
      <c r="T8356" t="str">
        <f t="shared" si="142"/>
        <v/>
      </c>
    </row>
    <row r="8357" spans="20:20">
      <c r="T8357" t="str">
        <f t="shared" si="142"/>
        <v/>
      </c>
    </row>
    <row r="8358" spans="20:20">
      <c r="T8358" t="str">
        <f t="shared" si="142"/>
        <v/>
      </c>
    </row>
    <row r="8359" spans="20:20">
      <c r="T8359" t="str">
        <f t="shared" si="142"/>
        <v/>
      </c>
    </row>
    <row r="8360" spans="20:20">
      <c r="T8360" t="str">
        <f t="shared" si="142"/>
        <v/>
      </c>
    </row>
    <row r="8361" spans="20:20">
      <c r="T8361" t="str">
        <f t="shared" si="142"/>
        <v/>
      </c>
    </row>
    <row r="8362" spans="20:20">
      <c r="T8362" t="str">
        <f t="shared" si="142"/>
        <v/>
      </c>
    </row>
    <row r="8363" spans="20:20">
      <c r="T8363" t="str">
        <f t="shared" si="142"/>
        <v/>
      </c>
    </row>
    <row r="8364" spans="20:20">
      <c r="T8364" t="str">
        <f t="shared" si="142"/>
        <v/>
      </c>
    </row>
    <row r="8365" spans="20:20">
      <c r="T8365" t="str">
        <f t="shared" si="142"/>
        <v/>
      </c>
    </row>
    <row r="8366" spans="20:20">
      <c r="T8366" t="str">
        <f t="shared" si="142"/>
        <v/>
      </c>
    </row>
    <row r="8367" spans="20:20">
      <c r="T8367" t="str">
        <f t="shared" si="142"/>
        <v/>
      </c>
    </row>
    <row r="8368" spans="20:20">
      <c r="T8368" t="str">
        <f t="shared" si="142"/>
        <v/>
      </c>
    </row>
    <row r="8369" spans="20:20">
      <c r="T8369" t="str">
        <f t="shared" si="142"/>
        <v/>
      </c>
    </row>
    <row r="8370" spans="20:20">
      <c r="T8370" t="str">
        <f t="shared" si="142"/>
        <v/>
      </c>
    </row>
    <row r="8371" spans="20:20">
      <c r="T8371" t="str">
        <f t="shared" si="142"/>
        <v/>
      </c>
    </row>
    <row r="8372" spans="20:20">
      <c r="T8372" t="str">
        <f t="shared" si="142"/>
        <v/>
      </c>
    </row>
    <row r="8373" spans="20:20">
      <c r="T8373" t="str">
        <f t="shared" si="142"/>
        <v/>
      </c>
    </row>
    <row r="8374" spans="20:20">
      <c r="T8374" t="str">
        <f t="shared" si="142"/>
        <v/>
      </c>
    </row>
    <row r="8375" spans="20:20">
      <c r="T8375" t="str">
        <f t="shared" si="142"/>
        <v/>
      </c>
    </row>
    <row r="8376" spans="20:20">
      <c r="T8376" t="str">
        <f t="shared" si="142"/>
        <v/>
      </c>
    </row>
    <row r="8377" spans="20:20">
      <c r="T8377" t="str">
        <f t="shared" si="142"/>
        <v/>
      </c>
    </row>
    <row r="8378" spans="20:20">
      <c r="T8378" t="str">
        <f t="shared" si="142"/>
        <v/>
      </c>
    </row>
    <row r="8379" spans="20:20">
      <c r="T8379" t="str">
        <f t="shared" si="142"/>
        <v/>
      </c>
    </row>
    <row r="8380" spans="20:20">
      <c r="T8380" t="str">
        <f t="shared" si="142"/>
        <v/>
      </c>
    </row>
    <row r="8381" spans="20:20">
      <c r="T8381" t="str">
        <f t="shared" si="142"/>
        <v/>
      </c>
    </row>
    <row r="8382" spans="20:20">
      <c r="T8382" t="str">
        <f t="shared" si="142"/>
        <v/>
      </c>
    </row>
    <row r="8383" spans="20:20">
      <c r="T8383" t="str">
        <f t="shared" si="142"/>
        <v/>
      </c>
    </row>
    <row r="8384" spans="20:20">
      <c r="T8384" t="str">
        <f t="shared" si="142"/>
        <v/>
      </c>
    </row>
    <row r="8385" spans="20:20">
      <c r="T8385" t="str">
        <f t="shared" si="142"/>
        <v/>
      </c>
    </row>
    <row r="8386" spans="20:20">
      <c r="T8386" t="str">
        <f t="shared" ref="T8386:T8449" si="143">IF(C8386="","",UPPER(LEFT(SUBSTITUTE(C8386," ",""),3))&amp;"-"&amp;TEXT(B8386,"AAMMDD")&amp;"-1")</f>
        <v/>
      </c>
    </row>
    <row r="8387" spans="20:20">
      <c r="T8387" t="str">
        <f t="shared" si="143"/>
        <v/>
      </c>
    </row>
    <row r="8388" spans="20:20">
      <c r="T8388" t="str">
        <f t="shared" si="143"/>
        <v/>
      </c>
    </row>
    <row r="8389" spans="20:20">
      <c r="T8389" t="str">
        <f t="shared" si="143"/>
        <v/>
      </c>
    </row>
    <row r="8390" spans="20:20">
      <c r="T8390" t="str">
        <f t="shared" si="143"/>
        <v/>
      </c>
    </row>
    <row r="8391" spans="20:20">
      <c r="T8391" t="str">
        <f t="shared" si="143"/>
        <v/>
      </c>
    </row>
    <row r="8392" spans="20:20">
      <c r="T8392" t="str">
        <f t="shared" si="143"/>
        <v/>
      </c>
    </row>
    <row r="8393" spans="20:20">
      <c r="T8393" t="str">
        <f t="shared" si="143"/>
        <v/>
      </c>
    </row>
    <row r="8394" spans="20:20">
      <c r="T8394" t="str">
        <f t="shared" si="143"/>
        <v/>
      </c>
    </row>
    <row r="8395" spans="20:20">
      <c r="T8395" t="str">
        <f t="shared" si="143"/>
        <v/>
      </c>
    </row>
    <row r="8396" spans="20:20">
      <c r="T8396" t="str">
        <f t="shared" si="143"/>
        <v/>
      </c>
    </row>
    <row r="8397" spans="20:20">
      <c r="T8397" t="str">
        <f t="shared" si="143"/>
        <v/>
      </c>
    </row>
    <row r="8398" spans="20:20">
      <c r="T8398" t="str">
        <f t="shared" si="143"/>
        <v/>
      </c>
    </row>
    <row r="8399" spans="20:20">
      <c r="T8399" t="str">
        <f t="shared" si="143"/>
        <v/>
      </c>
    </row>
    <row r="8400" spans="20:20">
      <c r="T8400" t="str">
        <f t="shared" si="143"/>
        <v/>
      </c>
    </row>
    <row r="8401" spans="20:20">
      <c r="T8401" t="str">
        <f t="shared" si="143"/>
        <v/>
      </c>
    </row>
    <row r="8402" spans="20:20">
      <c r="T8402" t="str">
        <f t="shared" si="143"/>
        <v/>
      </c>
    </row>
    <row r="8403" spans="20:20">
      <c r="T8403" t="str">
        <f t="shared" si="143"/>
        <v/>
      </c>
    </row>
    <row r="8404" spans="20:20">
      <c r="T8404" t="str">
        <f t="shared" si="143"/>
        <v/>
      </c>
    </row>
    <row r="8405" spans="20:20">
      <c r="T8405" t="str">
        <f t="shared" si="143"/>
        <v/>
      </c>
    </row>
    <row r="8406" spans="20:20">
      <c r="T8406" t="str">
        <f t="shared" si="143"/>
        <v/>
      </c>
    </row>
    <row r="8407" spans="20:20">
      <c r="T8407" t="str">
        <f t="shared" si="143"/>
        <v/>
      </c>
    </row>
    <row r="8408" spans="20:20">
      <c r="T8408" t="str">
        <f t="shared" si="143"/>
        <v/>
      </c>
    </row>
    <row r="8409" spans="20:20">
      <c r="T8409" t="str">
        <f t="shared" si="143"/>
        <v/>
      </c>
    </row>
    <row r="8410" spans="20:20">
      <c r="T8410" t="str">
        <f t="shared" si="143"/>
        <v/>
      </c>
    </row>
    <row r="8411" spans="20:20">
      <c r="T8411" t="str">
        <f t="shared" si="143"/>
        <v/>
      </c>
    </row>
    <row r="8412" spans="20:20">
      <c r="T8412" t="str">
        <f t="shared" si="143"/>
        <v/>
      </c>
    </row>
    <row r="8413" spans="20:20">
      <c r="T8413" t="str">
        <f t="shared" si="143"/>
        <v/>
      </c>
    </row>
    <row r="8414" spans="20:20">
      <c r="T8414" t="str">
        <f t="shared" si="143"/>
        <v/>
      </c>
    </row>
    <row r="8415" spans="20:20">
      <c r="T8415" t="str">
        <f t="shared" si="143"/>
        <v/>
      </c>
    </row>
    <row r="8416" spans="20:20">
      <c r="T8416" t="str">
        <f t="shared" si="143"/>
        <v/>
      </c>
    </row>
    <row r="8417" spans="20:20">
      <c r="T8417" t="str">
        <f t="shared" si="143"/>
        <v/>
      </c>
    </row>
    <row r="8418" spans="20:20">
      <c r="T8418" t="str">
        <f t="shared" si="143"/>
        <v/>
      </c>
    </row>
    <row r="8419" spans="20:20">
      <c r="T8419" t="str">
        <f t="shared" si="143"/>
        <v/>
      </c>
    </row>
    <row r="8420" spans="20:20">
      <c r="T8420" t="str">
        <f t="shared" si="143"/>
        <v/>
      </c>
    </row>
    <row r="8421" spans="20:20">
      <c r="T8421" t="str">
        <f t="shared" si="143"/>
        <v/>
      </c>
    </row>
    <row r="8422" spans="20:20">
      <c r="T8422" t="str">
        <f t="shared" si="143"/>
        <v/>
      </c>
    </row>
    <row r="8423" spans="20:20">
      <c r="T8423" t="str">
        <f t="shared" si="143"/>
        <v/>
      </c>
    </row>
    <row r="8424" spans="20:20">
      <c r="T8424" t="str">
        <f t="shared" si="143"/>
        <v/>
      </c>
    </row>
    <row r="8425" spans="20:20">
      <c r="T8425" t="str">
        <f t="shared" si="143"/>
        <v/>
      </c>
    </row>
    <row r="8426" spans="20:20">
      <c r="T8426" t="str">
        <f t="shared" si="143"/>
        <v/>
      </c>
    </row>
    <row r="8427" spans="20:20">
      <c r="T8427" t="str">
        <f t="shared" si="143"/>
        <v/>
      </c>
    </row>
    <row r="8428" spans="20:20">
      <c r="T8428" t="str">
        <f t="shared" si="143"/>
        <v/>
      </c>
    </row>
    <row r="8429" spans="20:20">
      <c r="T8429" t="str">
        <f t="shared" si="143"/>
        <v/>
      </c>
    </row>
    <row r="8430" spans="20:20">
      <c r="T8430" t="str">
        <f t="shared" si="143"/>
        <v/>
      </c>
    </row>
    <row r="8431" spans="20:20">
      <c r="T8431" t="str">
        <f t="shared" si="143"/>
        <v/>
      </c>
    </row>
    <row r="8432" spans="20:20">
      <c r="T8432" t="str">
        <f t="shared" si="143"/>
        <v/>
      </c>
    </row>
    <row r="8433" spans="20:20">
      <c r="T8433" t="str">
        <f t="shared" si="143"/>
        <v/>
      </c>
    </row>
    <row r="8434" spans="20:20">
      <c r="T8434" t="str">
        <f t="shared" si="143"/>
        <v/>
      </c>
    </row>
    <row r="8435" spans="20:20">
      <c r="T8435" t="str">
        <f t="shared" si="143"/>
        <v/>
      </c>
    </row>
    <row r="8436" spans="20:20">
      <c r="T8436" t="str">
        <f t="shared" si="143"/>
        <v/>
      </c>
    </row>
    <row r="8437" spans="20:20">
      <c r="T8437" t="str">
        <f t="shared" si="143"/>
        <v/>
      </c>
    </row>
    <row r="8438" spans="20:20">
      <c r="T8438" t="str">
        <f t="shared" si="143"/>
        <v/>
      </c>
    </row>
    <row r="8439" spans="20:20">
      <c r="T8439" t="str">
        <f t="shared" si="143"/>
        <v/>
      </c>
    </row>
    <row r="8440" spans="20:20">
      <c r="T8440" t="str">
        <f t="shared" si="143"/>
        <v/>
      </c>
    </row>
    <row r="8441" spans="20:20">
      <c r="T8441" t="str">
        <f t="shared" si="143"/>
        <v/>
      </c>
    </row>
    <row r="8442" spans="20:20">
      <c r="T8442" t="str">
        <f t="shared" si="143"/>
        <v/>
      </c>
    </row>
    <row r="8443" spans="20:20">
      <c r="T8443" t="str">
        <f t="shared" si="143"/>
        <v/>
      </c>
    </row>
    <row r="8444" spans="20:20">
      <c r="T8444" t="str">
        <f t="shared" si="143"/>
        <v/>
      </c>
    </row>
    <row r="8445" spans="20:20">
      <c r="T8445" t="str">
        <f t="shared" si="143"/>
        <v/>
      </c>
    </row>
    <row r="8446" spans="20:20">
      <c r="T8446" t="str">
        <f t="shared" si="143"/>
        <v/>
      </c>
    </row>
    <row r="8447" spans="20:20">
      <c r="T8447" t="str">
        <f t="shared" si="143"/>
        <v/>
      </c>
    </row>
    <row r="8448" spans="20:20">
      <c r="T8448" t="str">
        <f t="shared" si="143"/>
        <v/>
      </c>
    </row>
    <row r="8449" spans="20:20">
      <c r="T8449" t="str">
        <f t="shared" si="143"/>
        <v/>
      </c>
    </row>
    <row r="8450" spans="20:20">
      <c r="T8450" t="str">
        <f t="shared" ref="T8450:T8513" si="144">IF(C8450="","",UPPER(LEFT(SUBSTITUTE(C8450," ",""),3))&amp;"-"&amp;TEXT(B8450,"AAMMDD")&amp;"-1")</f>
        <v/>
      </c>
    </row>
    <row r="8451" spans="20:20">
      <c r="T8451" t="str">
        <f t="shared" si="144"/>
        <v/>
      </c>
    </row>
    <row r="8452" spans="20:20">
      <c r="T8452" t="str">
        <f t="shared" si="144"/>
        <v/>
      </c>
    </row>
    <row r="8453" spans="20:20">
      <c r="T8453" t="str">
        <f t="shared" si="144"/>
        <v/>
      </c>
    </row>
    <row r="8454" spans="20:20">
      <c r="T8454" t="str">
        <f t="shared" si="144"/>
        <v/>
      </c>
    </row>
    <row r="8455" spans="20:20">
      <c r="T8455" t="str">
        <f t="shared" si="144"/>
        <v/>
      </c>
    </row>
    <row r="8456" spans="20:20">
      <c r="T8456" t="str">
        <f t="shared" si="144"/>
        <v/>
      </c>
    </row>
    <row r="8457" spans="20:20">
      <c r="T8457" t="str">
        <f t="shared" si="144"/>
        <v/>
      </c>
    </row>
    <row r="8458" spans="20:20">
      <c r="T8458" t="str">
        <f t="shared" si="144"/>
        <v/>
      </c>
    </row>
    <row r="8459" spans="20:20">
      <c r="T8459" t="str">
        <f t="shared" si="144"/>
        <v/>
      </c>
    </row>
    <row r="8460" spans="20:20">
      <c r="T8460" t="str">
        <f t="shared" si="144"/>
        <v/>
      </c>
    </row>
    <row r="8461" spans="20:20">
      <c r="T8461" t="str">
        <f t="shared" si="144"/>
        <v/>
      </c>
    </row>
    <row r="8462" spans="20:20">
      <c r="T8462" t="str">
        <f t="shared" si="144"/>
        <v/>
      </c>
    </row>
    <row r="8463" spans="20:20">
      <c r="T8463" t="str">
        <f t="shared" si="144"/>
        <v/>
      </c>
    </row>
    <row r="8464" spans="20:20">
      <c r="T8464" t="str">
        <f t="shared" si="144"/>
        <v/>
      </c>
    </row>
    <row r="8465" spans="20:20">
      <c r="T8465" t="str">
        <f t="shared" si="144"/>
        <v/>
      </c>
    </row>
    <row r="8466" spans="20:20">
      <c r="T8466" t="str">
        <f t="shared" si="144"/>
        <v/>
      </c>
    </row>
    <row r="8467" spans="20:20">
      <c r="T8467" t="str">
        <f t="shared" si="144"/>
        <v/>
      </c>
    </row>
    <row r="8468" spans="20:20">
      <c r="T8468" t="str">
        <f t="shared" si="144"/>
        <v/>
      </c>
    </row>
    <row r="8469" spans="20:20">
      <c r="T8469" t="str">
        <f t="shared" si="144"/>
        <v/>
      </c>
    </row>
    <row r="8470" spans="20:20">
      <c r="T8470" t="str">
        <f t="shared" si="144"/>
        <v/>
      </c>
    </row>
    <row r="8471" spans="20:20">
      <c r="T8471" t="str">
        <f t="shared" si="144"/>
        <v/>
      </c>
    </row>
    <row r="8472" spans="20:20">
      <c r="T8472" t="str">
        <f t="shared" si="144"/>
        <v/>
      </c>
    </row>
    <row r="8473" spans="20:20">
      <c r="T8473" t="str">
        <f t="shared" si="144"/>
        <v/>
      </c>
    </row>
    <row r="8474" spans="20:20">
      <c r="T8474" t="str">
        <f t="shared" si="144"/>
        <v/>
      </c>
    </row>
    <row r="8475" spans="20:20">
      <c r="T8475" t="str">
        <f t="shared" si="144"/>
        <v/>
      </c>
    </row>
    <row r="8476" spans="20:20">
      <c r="T8476" t="str">
        <f t="shared" si="144"/>
        <v/>
      </c>
    </row>
    <row r="8477" spans="20:20">
      <c r="T8477" t="str">
        <f t="shared" si="144"/>
        <v/>
      </c>
    </row>
    <row r="8478" spans="20:20">
      <c r="T8478" t="str">
        <f t="shared" si="144"/>
        <v/>
      </c>
    </row>
    <row r="8479" spans="20:20">
      <c r="T8479" t="str">
        <f t="shared" si="144"/>
        <v/>
      </c>
    </row>
    <row r="8480" spans="20:20">
      <c r="T8480" t="str">
        <f t="shared" si="144"/>
        <v/>
      </c>
    </row>
    <row r="8481" spans="20:20">
      <c r="T8481" t="str">
        <f t="shared" si="144"/>
        <v/>
      </c>
    </row>
    <row r="8482" spans="20:20">
      <c r="T8482" t="str">
        <f t="shared" si="144"/>
        <v/>
      </c>
    </row>
    <row r="8483" spans="20:20">
      <c r="T8483" t="str">
        <f t="shared" si="144"/>
        <v/>
      </c>
    </row>
    <row r="8484" spans="20:20">
      <c r="T8484" t="str">
        <f t="shared" si="144"/>
        <v/>
      </c>
    </row>
    <row r="8485" spans="20:20">
      <c r="T8485" t="str">
        <f t="shared" si="144"/>
        <v/>
      </c>
    </row>
    <row r="8486" spans="20:20">
      <c r="T8486" t="str">
        <f t="shared" si="144"/>
        <v/>
      </c>
    </row>
    <row r="8487" spans="20:20">
      <c r="T8487" t="str">
        <f t="shared" si="144"/>
        <v/>
      </c>
    </row>
    <row r="8488" spans="20:20">
      <c r="T8488" t="str">
        <f t="shared" si="144"/>
        <v/>
      </c>
    </row>
    <row r="8489" spans="20:20">
      <c r="T8489" t="str">
        <f t="shared" si="144"/>
        <v/>
      </c>
    </row>
    <row r="8490" spans="20:20">
      <c r="T8490" t="str">
        <f t="shared" si="144"/>
        <v/>
      </c>
    </row>
    <row r="8491" spans="20:20">
      <c r="T8491" t="str">
        <f t="shared" si="144"/>
        <v/>
      </c>
    </row>
    <row r="8492" spans="20:20">
      <c r="T8492" t="str">
        <f t="shared" si="144"/>
        <v/>
      </c>
    </row>
    <row r="8493" spans="20:20">
      <c r="T8493" t="str">
        <f t="shared" si="144"/>
        <v/>
      </c>
    </row>
    <row r="8494" spans="20:20">
      <c r="T8494" t="str">
        <f t="shared" si="144"/>
        <v/>
      </c>
    </row>
    <row r="8495" spans="20:20">
      <c r="T8495" t="str">
        <f t="shared" si="144"/>
        <v/>
      </c>
    </row>
    <row r="8496" spans="20:20">
      <c r="T8496" t="str">
        <f t="shared" si="144"/>
        <v/>
      </c>
    </row>
    <row r="8497" spans="20:20">
      <c r="T8497" t="str">
        <f t="shared" si="144"/>
        <v/>
      </c>
    </row>
    <row r="8498" spans="20:20">
      <c r="T8498" t="str">
        <f t="shared" si="144"/>
        <v/>
      </c>
    </row>
    <row r="8499" spans="20:20">
      <c r="T8499" t="str">
        <f t="shared" si="144"/>
        <v/>
      </c>
    </row>
    <row r="8500" spans="20:20">
      <c r="T8500" t="str">
        <f t="shared" si="144"/>
        <v/>
      </c>
    </row>
    <row r="8501" spans="20:20">
      <c r="T8501" t="str">
        <f t="shared" si="144"/>
        <v/>
      </c>
    </row>
    <row r="8502" spans="20:20">
      <c r="T8502" t="str">
        <f t="shared" si="144"/>
        <v/>
      </c>
    </row>
    <row r="8503" spans="20:20">
      <c r="T8503" t="str">
        <f t="shared" si="144"/>
        <v/>
      </c>
    </row>
    <row r="8504" spans="20:20">
      <c r="T8504" t="str">
        <f t="shared" si="144"/>
        <v/>
      </c>
    </row>
    <row r="8505" spans="20:20">
      <c r="T8505" t="str">
        <f t="shared" si="144"/>
        <v/>
      </c>
    </row>
    <row r="8506" spans="20:20">
      <c r="T8506" t="str">
        <f t="shared" si="144"/>
        <v/>
      </c>
    </row>
    <row r="8507" spans="20:20">
      <c r="T8507" t="str">
        <f t="shared" si="144"/>
        <v/>
      </c>
    </row>
    <row r="8508" spans="20:20">
      <c r="T8508" t="str">
        <f t="shared" si="144"/>
        <v/>
      </c>
    </row>
    <row r="8509" spans="20:20">
      <c r="T8509" t="str">
        <f t="shared" si="144"/>
        <v/>
      </c>
    </row>
    <row r="8510" spans="20:20">
      <c r="T8510" t="str">
        <f t="shared" si="144"/>
        <v/>
      </c>
    </row>
    <row r="8511" spans="20:20">
      <c r="T8511" t="str">
        <f t="shared" si="144"/>
        <v/>
      </c>
    </row>
    <row r="8512" spans="20:20">
      <c r="T8512" t="str">
        <f t="shared" si="144"/>
        <v/>
      </c>
    </row>
    <row r="8513" spans="20:20">
      <c r="T8513" t="str">
        <f t="shared" si="144"/>
        <v/>
      </c>
    </row>
    <row r="8514" spans="20:20">
      <c r="T8514" t="str">
        <f t="shared" ref="T8514:T8577" si="145">IF(C8514="","",UPPER(LEFT(SUBSTITUTE(C8514," ",""),3))&amp;"-"&amp;TEXT(B8514,"AAMMDD")&amp;"-1")</f>
        <v/>
      </c>
    </row>
    <row r="8515" spans="20:20">
      <c r="T8515" t="str">
        <f t="shared" si="145"/>
        <v/>
      </c>
    </row>
    <row r="8516" spans="20:20">
      <c r="T8516" t="str">
        <f t="shared" si="145"/>
        <v/>
      </c>
    </row>
    <row r="8517" spans="20:20">
      <c r="T8517" t="str">
        <f t="shared" si="145"/>
        <v/>
      </c>
    </row>
    <row r="8518" spans="20:20">
      <c r="T8518" t="str">
        <f t="shared" si="145"/>
        <v/>
      </c>
    </row>
    <row r="8519" spans="20:20">
      <c r="T8519" t="str">
        <f t="shared" si="145"/>
        <v/>
      </c>
    </row>
    <row r="8520" spans="20:20">
      <c r="T8520" t="str">
        <f t="shared" si="145"/>
        <v/>
      </c>
    </row>
    <row r="8521" spans="20:20">
      <c r="T8521" t="str">
        <f t="shared" si="145"/>
        <v/>
      </c>
    </row>
    <row r="8522" spans="20:20">
      <c r="T8522" t="str">
        <f t="shared" si="145"/>
        <v/>
      </c>
    </row>
    <row r="8523" spans="20:20">
      <c r="T8523" t="str">
        <f t="shared" si="145"/>
        <v/>
      </c>
    </row>
    <row r="8524" spans="20:20">
      <c r="T8524" t="str">
        <f t="shared" si="145"/>
        <v/>
      </c>
    </row>
    <row r="8525" spans="20:20">
      <c r="T8525" t="str">
        <f t="shared" si="145"/>
        <v/>
      </c>
    </row>
    <row r="8526" spans="20:20">
      <c r="T8526" t="str">
        <f t="shared" si="145"/>
        <v/>
      </c>
    </row>
    <row r="8527" spans="20:20">
      <c r="T8527" t="str">
        <f t="shared" si="145"/>
        <v/>
      </c>
    </row>
    <row r="8528" spans="20:20">
      <c r="T8528" t="str">
        <f t="shared" si="145"/>
        <v/>
      </c>
    </row>
    <row r="8529" spans="20:20">
      <c r="T8529" t="str">
        <f t="shared" si="145"/>
        <v/>
      </c>
    </row>
    <row r="8530" spans="20:20">
      <c r="T8530" t="str">
        <f t="shared" si="145"/>
        <v/>
      </c>
    </row>
    <row r="8531" spans="20:20">
      <c r="T8531" t="str">
        <f t="shared" si="145"/>
        <v/>
      </c>
    </row>
    <row r="8532" spans="20:20">
      <c r="T8532" t="str">
        <f t="shared" si="145"/>
        <v/>
      </c>
    </row>
    <row r="8533" spans="20:20">
      <c r="T8533" t="str">
        <f t="shared" si="145"/>
        <v/>
      </c>
    </row>
    <row r="8534" spans="20:20">
      <c r="T8534" t="str">
        <f t="shared" si="145"/>
        <v/>
      </c>
    </row>
    <row r="8535" spans="20:20">
      <c r="T8535" t="str">
        <f t="shared" si="145"/>
        <v/>
      </c>
    </row>
    <row r="8536" spans="20:20">
      <c r="T8536" t="str">
        <f t="shared" si="145"/>
        <v/>
      </c>
    </row>
    <row r="8537" spans="20:20">
      <c r="T8537" t="str">
        <f t="shared" si="145"/>
        <v/>
      </c>
    </row>
    <row r="8538" spans="20:20">
      <c r="T8538" t="str">
        <f t="shared" si="145"/>
        <v/>
      </c>
    </row>
    <row r="8539" spans="20:20">
      <c r="T8539" t="str">
        <f t="shared" si="145"/>
        <v/>
      </c>
    </row>
    <row r="8540" spans="20:20">
      <c r="T8540" t="str">
        <f t="shared" si="145"/>
        <v/>
      </c>
    </row>
    <row r="8541" spans="20:20">
      <c r="T8541" t="str">
        <f t="shared" si="145"/>
        <v/>
      </c>
    </row>
    <row r="8542" spans="20:20">
      <c r="T8542" t="str">
        <f t="shared" si="145"/>
        <v/>
      </c>
    </row>
    <row r="8543" spans="20:20">
      <c r="T8543" t="str">
        <f t="shared" si="145"/>
        <v/>
      </c>
    </row>
    <row r="8544" spans="20:20">
      <c r="T8544" t="str">
        <f t="shared" si="145"/>
        <v/>
      </c>
    </row>
    <row r="8545" spans="20:20">
      <c r="T8545" t="str">
        <f t="shared" si="145"/>
        <v/>
      </c>
    </row>
    <row r="8546" spans="20:20">
      <c r="T8546" t="str">
        <f t="shared" si="145"/>
        <v/>
      </c>
    </row>
    <row r="8547" spans="20:20">
      <c r="T8547" t="str">
        <f t="shared" si="145"/>
        <v/>
      </c>
    </row>
    <row r="8548" spans="20:20">
      <c r="T8548" t="str">
        <f t="shared" si="145"/>
        <v/>
      </c>
    </row>
    <row r="8549" spans="20:20">
      <c r="T8549" t="str">
        <f t="shared" si="145"/>
        <v/>
      </c>
    </row>
    <row r="8550" spans="20:20">
      <c r="T8550" t="str">
        <f t="shared" si="145"/>
        <v/>
      </c>
    </row>
    <row r="8551" spans="20:20">
      <c r="T8551" t="str">
        <f t="shared" si="145"/>
        <v/>
      </c>
    </row>
    <row r="8552" spans="20:20">
      <c r="T8552" t="str">
        <f t="shared" si="145"/>
        <v/>
      </c>
    </row>
    <row r="8553" spans="20:20">
      <c r="T8553" t="str">
        <f t="shared" si="145"/>
        <v/>
      </c>
    </row>
    <row r="8554" spans="20:20">
      <c r="T8554" t="str">
        <f t="shared" si="145"/>
        <v/>
      </c>
    </row>
    <row r="8555" spans="20:20">
      <c r="T8555" t="str">
        <f t="shared" si="145"/>
        <v/>
      </c>
    </row>
    <row r="8556" spans="20:20">
      <c r="T8556" t="str">
        <f t="shared" si="145"/>
        <v/>
      </c>
    </row>
    <row r="8557" spans="20:20">
      <c r="T8557" t="str">
        <f t="shared" si="145"/>
        <v/>
      </c>
    </row>
    <row r="8558" spans="20:20">
      <c r="T8558" t="str">
        <f t="shared" si="145"/>
        <v/>
      </c>
    </row>
    <row r="8559" spans="20:20">
      <c r="T8559" t="str">
        <f t="shared" si="145"/>
        <v/>
      </c>
    </row>
    <row r="8560" spans="20:20">
      <c r="T8560" t="str">
        <f t="shared" si="145"/>
        <v/>
      </c>
    </row>
    <row r="8561" spans="20:20">
      <c r="T8561" t="str">
        <f t="shared" si="145"/>
        <v/>
      </c>
    </row>
    <row r="8562" spans="20:20">
      <c r="T8562" t="str">
        <f t="shared" si="145"/>
        <v/>
      </c>
    </row>
    <row r="8563" spans="20:20">
      <c r="T8563" t="str">
        <f t="shared" si="145"/>
        <v/>
      </c>
    </row>
    <row r="8564" spans="20:20">
      <c r="T8564" t="str">
        <f t="shared" si="145"/>
        <v/>
      </c>
    </row>
    <row r="8565" spans="20:20">
      <c r="T8565" t="str">
        <f t="shared" si="145"/>
        <v/>
      </c>
    </row>
    <row r="8566" spans="20:20">
      <c r="T8566" t="str">
        <f t="shared" si="145"/>
        <v/>
      </c>
    </row>
    <row r="8567" spans="20:20">
      <c r="T8567" t="str">
        <f t="shared" si="145"/>
        <v/>
      </c>
    </row>
    <row r="8568" spans="20:20">
      <c r="T8568" t="str">
        <f t="shared" si="145"/>
        <v/>
      </c>
    </row>
    <row r="8569" spans="20:20">
      <c r="T8569" t="str">
        <f t="shared" si="145"/>
        <v/>
      </c>
    </row>
    <row r="8570" spans="20:20">
      <c r="T8570" t="str">
        <f t="shared" si="145"/>
        <v/>
      </c>
    </row>
    <row r="8571" spans="20:20">
      <c r="T8571" t="str">
        <f t="shared" si="145"/>
        <v/>
      </c>
    </row>
    <row r="8572" spans="20:20">
      <c r="T8572" t="str">
        <f t="shared" si="145"/>
        <v/>
      </c>
    </row>
    <row r="8573" spans="20:20">
      <c r="T8573" t="str">
        <f t="shared" si="145"/>
        <v/>
      </c>
    </row>
    <row r="8574" spans="20:20">
      <c r="T8574" t="str">
        <f t="shared" si="145"/>
        <v/>
      </c>
    </row>
    <row r="8575" spans="20:20">
      <c r="T8575" t="str">
        <f t="shared" si="145"/>
        <v/>
      </c>
    </row>
    <row r="8576" spans="20:20">
      <c r="T8576" t="str">
        <f t="shared" si="145"/>
        <v/>
      </c>
    </row>
    <row r="8577" spans="20:20">
      <c r="T8577" t="str">
        <f t="shared" si="145"/>
        <v/>
      </c>
    </row>
    <row r="8578" spans="20:20">
      <c r="T8578" t="str">
        <f t="shared" ref="T8578:T8641" si="146">IF(C8578="","",UPPER(LEFT(SUBSTITUTE(C8578," ",""),3))&amp;"-"&amp;TEXT(B8578,"AAMMDD")&amp;"-1")</f>
        <v/>
      </c>
    </row>
    <row r="8579" spans="20:20">
      <c r="T8579" t="str">
        <f t="shared" si="146"/>
        <v/>
      </c>
    </row>
    <row r="8580" spans="20:20">
      <c r="T8580" t="str">
        <f t="shared" si="146"/>
        <v/>
      </c>
    </row>
    <row r="8581" spans="20:20">
      <c r="T8581" t="str">
        <f t="shared" si="146"/>
        <v/>
      </c>
    </row>
    <row r="8582" spans="20:20">
      <c r="T8582" t="str">
        <f t="shared" si="146"/>
        <v/>
      </c>
    </row>
    <row r="8583" spans="20:20">
      <c r="T8583" t="str">
        <f t="shared" si="146"/>
        <v/>
      </c>
    </row>
    <row r="8584" spans="20:20">
      <c r="T8584" t="str">
        <f t="shared" si="146"/>
        <v/>
      </c>
    </row>
    <row r="8585" spans="20:20">
      <c r="T8585" t="str">
        <f t="shared" si="146"/>
        <v/>
      </c>
    </row>
    <row r="8586" spans="20:20">
      <c r="T8586" t="str">
        <f t="shared" si="146"/>
        <v/>
      </c>
    </row>
    <row r="8587" spans="20:20">
      <c r="T8587" t="str">
        <f t="shared" si="146"/>
        <v/>
      </c>
    </row>
    <row r="8588" spans="20:20">
      <c r="T8588" t="str">
        <f t="shared" si="146"/>
        <v/>
      </c>
    </row>
    <row r="8589" spans="20:20">
      <c r="T8589" t="str">
        <f t="shared" si="146"/>
        <v/>
      </c>
    </row>
    <row r="8590" spans="20:20">
      <c r="T8590" t="str">
        <f t="shared" si="146"/>
        <v/>
      </c>
    </row>
    <row r="8591" spans="20:20">
      <c r="T8591" t="str">
        <f t="shared" si="146"/>
        <v/>
      </c>
    </row>
    <row r="8592" spans="20:20">
      <c r="T8592" t="str">
        <f t="shared" si="146"/>
        <v/>
      </c>
    </row>
    <row r="8593" spans="20:20">
      <c r="T8593" t="str">
        <f t="shared" si="146"/>
        <v/>
      </c>
    </row>
    <row r="8594" spans="20:20">
      <c r="T8594" t="str">
        <f t="shared" si="146"/>
        <v/>
      </c>
    </row>
    <row r="8595" spans="20:20">
      <c r="T8595" t="str">
        <f t="shared" si="146"/>
        <v/>
      </c>
    </row>
    <row r="8596" spans="20:20">
      <c r="T8596" t="str">
        <f t="shared" si="146"/>
        <v/>
      </c>
    </row>
    <row r="8597" spans="20:20">
      <c r="T8597" t="str">
        <f t="shared" si="146"/>
        <v/>
      </c>
    </row>
    <row r="8598" spans="20:20">
      <c r="T8598" t="str">
        <f t="shared" si="146"/>
        <v/>
      </c>
    </row>
    <row r="8599" spans="20:20">
      <c r="T8599" t="str">
        <f t="shared" si="146"/>
        <v/>
      </c>
    </row>
    <row r="8600" spans="20:20">
      <c r="T8600" t="str">
        <f t="shared" si="146"/>
        <v/>
      </c>
    </row>
    <row r="8601" spans="20:20">
      <c r="T8601" t="str">
        <f t="shared" si="146"/>
        <v/>
      </c>
    </row>
    <row r="8602" spans="20:20">
      <c r="T8602" t="str">
        <f t="shared" si="146"/>
        <v/>
      </c>
    </row>
    <row r="8603" spans="20:20">
      <c r="T8603" t="str">
        <f t="shared" si="146"/>
        <v/>
      </c>
    </row>
    <row r="8604" spans="20:20">
      <c r="T8604" t="str">
        <f t="shared" si="146"/>
        <v/>
      </c>
    </row>
    <row r="8605" spans="20:20">
      <c r="T8605" t="str">
        <f t="shared" si="146"/>
        <v/>
      </c>
    </row>
    <row r="8606" spans="20:20">
      <c r="T8606" t="str">
        <f t="shared" si="146"/>
        <v/>
      </c>
    </row>
    <row r="8607" spans="20:20">
      <c r="T8607" t="str">
        <f t="shared" si="146"/>
        <v/>
      </c>
    </row>
    <row r="8608" spans="20:20">
      <c r="T8608" t="str">
        <f t="shared" si="146"/>
        <v/>
      </c>
    </row>
    <row r="8609" spans="20:20">
      <c r="T8609" t="str">
        <f t="shared" si="146"/>
        <v/>
      </c>
    </row>
    <row r="8610" spans="20:20">
      <c r="T8610" t="str">
        <f t="shared" si="146"/>
        <v/>
      </c>
    </row>
    <row r="8611" spans="20:20">
      <c r="T8611" t="str">
        <f t="shared" si="146"/>
        <v/>
      </c>
    </row>
    <row r="8612" spans="20:20">
      <c r="T8612" t="str">
        <f t="shared" si="146"/>
        <v/>
      </c>
    </row>
    <row r="8613" spans="20:20">
      <c r="T8613" t="str">
        <f t="shared" si="146"/>
        <v/>
      </c>
    </row>
    <row r="8614" spans="20:20">
      <c r="T8614" t="str">
        <f t="shared" si="146"/>
        <v/>
      </c>
    </row>
    <row r="8615" spans="20:20">
      <c r="T8615" t="str">
        <f t="shared" si="146"/>
        <v/>
      </c>
    </row>
    <row r="8616" spans="20:20">
      <c r="T8616" t="str">
        <f t="shared" si="146"/>
        <v/>
      </c>
    </row>
    <row r="8617" spans="20:20">
      <c r="T8617" t="str">
        <f t="shared" si="146"/>
        <v/>
      </c>
    </row>
    <row r="8618" spans="20:20">
      <c r="T8618" t="str">
        <f t="shared" si="146"/>
        <v/>
      </c>
    </row>
    <row r="8619" spans="20:20">
      <c r="T8619" t="str">
        <f t="shared" si="146"/>
        <v/>
      </c>
    </row>
    <row r="8620" spans="20:20">
      <c r="T8620" t="str">
        <f t="shared" si="146"/>
        <v/>
      </c>
    </row>
    <row r="8621" spans="20:20">
      <c r="T8621" t="str">
        <f t="shared" si="146"/>
        <v/>
      </c>
    </row>
    <row r="8622" spans="20:20">
      <c r="T8622" t="str">
        <f t="shared" si="146"/>
        <v/>
      </c>
    </row>
    <row r="8623" spans="20:20">
      <c r="T8623" t="str">
        <f t="shared" si="146"/>
        <v/>
      </c>
    </row>
    <row r="8624" spans="20:20">
      <c r="T8624" t="str">
        <f t="shared" si="146"/>
        <v/>
      </c>
    </row>
    <row r="8625" spans="20:20">
      <c r="T8625" t="str">
        <f t="shared" si="146"/>
        <v/>
      </c>
    </row>
    <row r="8626" spans="20:20">
      <c r="T8626" t="str">
        <f t="shared" si="146"/>
        <v/>
      </c>
    </row>
    <row r="8627" spans="20:20">
      <c r="T8627" t="str">
        <f t="shared" si="146"/>
        <v/>
      </c>
    </row>
    <row r="8628" spans="20:20">
      <c r="T8628" t="str">
        <f t="shared" si="146"/>
        <v/>
      </c>
    </row>
    <row r="8629" spans="20:20">
      <c r="T8629" t="str">
        <f t="shared" si="146"/>
        <v/>
      </c>
    </row>
    <row r="8630" spans="20:20">
      <c r="T8630" t="str">
        <f t="shared" si="146"/>
        <v/>
      </c>
    </row>
    <row r="8631" spans="20:20">
      <c r="T8631" t="str">
        <f t="shared" si="146"/>
        <v/>
      </c>
    </row>
    <row r="8632" spans="20:20">
      <c r="T8632" t="str">
        <f t="shared" si="146"/>
        <v/>
      </c>
    </row>
    <row r="8633" spans="20:20">
      <c r="T8633" t="str">
        <f t="shared" si="146"/>
        <v/>
      </c>
    </row>
    <row r="8634" spans="20:20">
      <c r="T8634" t="str">
        <f t="shared" si="146"/>
        <v/>
      </c>
    </row>
    <row r="8635" spans="20:20">
      <c r="T8635" t="str">
        <f t="shared" si="146"/>
        <v/>
      </c>
    </row>
    <row r="8636" spans="20:20">
      <c r="T8636" t="str">
        <f t="shared" si="146"/>
        <v/>
      </c>
    </row>
    <row r="8637" spans="20:20">
      <c r="T8637" t="str">
        <f t="shared" si="146"/>
        <v/>
      </c>
    </row>
    <row r="8638" spans="20:20">
      <c r="T8638" t="str">
        <f t="shared" si="146"/>
        <v/>
      </c>
    </row>
    <row r="8639" spans="20:20">
      <c r="T8639" t="str">
        <f t="shared" si="146"/>
        <v/>
      </c>
    </row>
    <row r="8640" spans="20:20">
      <c r="T8640" t="str">
        <f t="shared" si="146"/>
        <v/>
      </c>
    </row>
    <row r="8641" spans="20:20">
      <c r="T8641" t="str">
        <f t="shared" si="146"/>
        <v/>
      </c>
    </row>
    <row r="8642" spans="20:20">
      <c r="T8642" t="str">
        <f t="shared" ref="T8642:T8705" si="147">IF(C8642="","",UPPER(LEFT(SUBSTITUTE(C8642," ",""),3))&amp;"-"&amp;TEXT(B8642,"AAMMDD")&amp;"-1")</f>
        <v/>
      </c>
    </row>
    <row r="8643" spans="20:20">
      <c r="T8643" t="str">
        <f t="shared" si="147"/>
        <v/>
      </c>
    </row>
    <row r="8644" spans="20:20">
      <c r="T8644" t="str">
        <f t="shared" si="147"/>
        <v/>
      </c>
    </row>
    <row r="8645" spans="20:20">
      <c r="T8645" t="str">
        <f t="shared" si="147"/>
        <v/>
      </c>
    </row>
    <row r="8646" spans="20:20">
      <c r="T8646" t="str">
        <f t="shared" si="147"/>
        <v/>
      </c>
    </row>
    <row r="8647" spans="20:20">
      <c r="T8647" t="str">
        <f t="shared" si="147"/>
        <v/>
      </c>
    </row>
    <row r="8648" spans="20:20">
      <c r="T8648" t="str">
        <f t="shared" si="147"/>
        <v/>
      </c>
    </row>
    <row r="8649" spans="20:20">
      <c r="T8649" t="str">
        <f t="shared" si="147"/>
        <v/>
      </c>
    </row>
    <row r="8650" spans="20:20">
      <c r="T8650" t="str">
        <f t="shared" si="147"/>
        <v/>
      </c>
    </row>
    <row r="8651" spans="20:20">
      <c r="T8651" t="str">
        <f t="shared" si="147"/>
        <v/>
      </c>
    </row>
    <row r="8652" spans="20:20">
      <c r="T8652" t="str">
        <f t="shared" si="147"/>
        <v/>
      </c>
    </row>
    <row r="8653" spans="20:20">
      <c r="T8653" t="str">
        <f t="shared" si="147"/>
        <v/>
      </c>
    </row>
    <row r="8654" spans="20:20">
      <c r="T8654" t="str">
        <f t="shared" si="147"/>
        <v/>
      </c>
    </row>
    <row r="8655" spans="20:20">
      <c r="T8655" t="str">
        <f t="shared" si="147"/>
        <v/>
      </c>
    </row>
    <row r="8656" spans="20:20">
      <c r="T8656" t="str">
        <f t="shared" si="147"/>
        <v/>
      </c>
    </row>
    <row r="8657" spans="20:20">
      <c r="T8657" t="str">
        <f t="shared" si="147"/>
        <v/>
      </c>
    </row>
    <row r="8658" spans="20:20">
      <c r="T8658" t="str">
        <f t="shared" si="147"/>
        <v/>
      </c>
    </row>
    <row r="8659" spans="20:20">
      <c r="T8659" t="str">
        <f t="shared" si="147"/>
        <v/>
      </c>
    </row>
    <row r="8660" spans="20:20">
      <c r="T8660" t="str">
        <f t="shared" si="147"/>
        <v/>
      </c>
    </row>
    <row r="8661" spans="20:20">
      <c r="T8661" t="str">
        <f t="shared" si="147"/>
        <v/>
      </c>
    </row>
    <row r="8662" spans="20:20">
      <c r="T8662" t="str">
        <f t="shared" si="147"/>
        <v/>
      </c>
    </row>
    <row r="8663" spans="20:20">
      <c r="T8663" t="str">
        <f t="shared" si="147"/>
        <v/>
      </c>
    </row>
    <row r="8664" spans="20:20">
      <c r="T8664" t="str">
        <f t="shared" si="147"/>
        <v/>
      </c>
    </row>
    <row r="8665" spans="20:20">
      <c r="T8665" t="str">
        <f t="shared" si="147"/>
        <v/>
      </c>
    </row>
    <row r="8666" spans="20:20">
      <c r="T8666" t="str">
        <f t="shared" si="147"/>
        <v/>
      </c>
    </row>
    <row r="8667" spans="20:20">
      <c r="T8667" t="str">
        <f t="shared" si="147"/>
        <v/>
      </c>
    </row>
    <row r="8668" spans="20:20">
      <c r="T8668" t="str">
        <f t="shared" si="147"/>
        <v/>
      </c>
    </row>
    <row r="8669" spans="20:20">
      <c r="T8669" t="str">
        <f t="shared" si="147"/>
        <v/>
      </c>
    </row>
    <row r="8670" spans="20:20">
      <c r="T8670" t="str">
        <f t="shared" si="147"/>
        <v/>
      </c>
    </row>
    <row r="8671" spans="20:20">
      <c r="T8671" t="str">
        <f t="shared" si="147"/>
        <v/>
      </c>
    </row>
    <row r="8672" spans="20:20">
      <c r="T8672" t="str">
        <f t="shared" si="147"/>
        <v/>
      </c>
    </row>
    <row r="8673" spans="20:20">
      <c r="T8673" t="str">
        <f t="shared" si="147"/>
        <v/>
      </c>
    </row>
    <row r="8674" spans="20:20">
      <c r="T8674" t="str">
        <f t="shared" si="147"/>
        <v/>
      </c>
    </row>
    <row r="8675" spans="20:20">
      <c r="T8675" t="str">
        <f t="shared" si="147"/>
        <v/>
      </c>
    </row>
    <row r="8676" spans="20:20">
      <c r="T8676" t="str">
        <f t="shared" si="147"/>
        <v/>
      </c>
    </row>
    <row r="8677" spans="20:20">
      <c r="T8677" t="str">
        <f t="shared" si="147"/>
        <v/>
      </c>
    </row>
    <row r="8678" spans="20:20">
      <c r="T8678" t="str">
        <f t="shared" si="147"/>
        <v/>
      </c>
    </row>
    <row r="8679" spans="20:20">
      <c r="T8679" t="str">
        <f t="shared" si="147"/>
        <v/>
      </c>
    </row>
    <row r="8680" spans="20:20">
      <c r="T8680" t="str">
        <f t="shared" si="147"/>
        <v/>
      </c>
    </row>
    <row r="8681" spans="20:20">
      <c r="T8681" t="str">
        <f t="shared" si="147"/>
        <v/>
      </c>
    </row>
    <row r="8682" spans="20:20">
      <c r="T8682" t="str">
        <f t="shared" si="147"/>
        <v/>
      </c>
    </row>
    <row r="8683" spans="20:20">
      <c r="T8683" t="str">
        <f t="shared" si="147"/>
        <v/>
      </c>
    </row>
    <row r="8684" spans="20:20">
      <c r="T8684" t="str">
        <f t="shared" si="147"/>
        <v/>
      </c>
    </row>
    <row r="8685" spans="20:20">
      <c r="T8685" t="str">
        <f t="shared" si="147"/>
        <v/>
      </c>
    </row>
    <row r="8686" spans="20:20">
      <c r="T8686" t="str">
        <f t="shared" si="147"/>
        <v/>
      </c>
    </row>
    <row r="8687" spans="20:20">
      <c r="T8687" t="str">
        <f t="shared" si="147"/>
        <v/>
      </c>
    </row>
    <row r="8688" spans="20:20">
      <c r="T8688" t="str">
        <f t="shared" si="147"/>
        <v/>
      </c>
    </row>
    <row r="8689" spans="20:20">
      <c r="T8689" t="str">
        <f t="shared" si="147"/>
        <v/>
      </c>
    </row>
    <row r="8690" spans="20:20">
      <c r="T8690" t="str">
        <f t="shared" si="147"/>
        <v/>
      </c>
    </row>
    <row r="8691" spans="20:20">
      <c r="T8691" t="str">
        <f t="shared" si="147"/>
        <v/>
      </c>
    </row>
    <row r="8692" spans="20:20">
      <c r="T8692" t="str">
        <f t="shared" si="147"/>
        <v/>
      </c>
    </row>
    <row r="8693" spans="20:20">
      <c r="T8693" t="str">
        <f t="shared" si="147"/>
        <v/>
      </c>
    </row>
    <row r="8694" spans="20:20">
      <c r="T8694" t="str">
        <f t="shared" si="147"/>
        <v/>
      </c>
    </row>
    <row r="8695" spans="20:20">
      <c r="T8695" t="str">
        <f t="shared" si="147"/>
        <v/>
      </c>
    </row>
    <row r="8696" spans="20:20">
      <c r="T8696" t="str">
        <f t="shared" si="147"/>
        <v/>
      </c>
    </row>
    <row r="8697" spans="20:20">
      <c r="T8697" t="str">
        <f t="shared" si="147"/>
        <v/>
      </c>
    </row>
    <row r="8698" spans="20:20">
      <c r="T8698" t="str">
        <f t="shared" si="147"/>
        <v/>
      </c>
    </row>
    <row r="8699" spans="20:20">
      <c r="T8699" t="str">
        <f t="shared" si="147"/>
        <v/>
      </c>
    </row>
    <row r="8700" spans="20:20">
      <c r="T8700" t="str">
        <f t="shared" si="147"/>
        <v/>
      </c>
    </row>
    <row r="8701" spans="20:20">
      <c r="T8701" t="str">
        <f t="shared" si="147"/>
        <v/>
      </c>
    </row>
    <row r="8702" spans="20:20">
      <c r="T8702" t="str">
        <f t="shared" si="147"/>
        <v/>
      </c>
    </row>
    <row r="8703" spans="20:20">
      <c r="T8703" t="str">
        <f t="shared" si="147"/>
        <v/>
      </c>
    </row>
    <row r="8704" spans="20:20">
      <c r="T8704" t="str">
        <f t="shared" si="147"/>
        <v/>
      </c>
    </row>
    <row r="8705" spans="20:20">
      <c r="T8705" t="str">
        <f t="shared" si="147"/>
        <v/>
      </c>
    </row>
    <row r="8706" spans="20:20">
      <c r="T8706" t="str">
        <f t="shared" ref="T8706:T8769" si="148">IF(C8706="","",UPPER(LEFT(SUBSTITUTE(C8706," ",""),3))&amp;"-"&amp;TEXT(B8706,"AAMMDD")&amp;"-1")</f>
        <v/>
      </c>
    </row>
    <row r="8707" spans="20:20">
      <c r="T8707" t="str">
        <f t="shared" si="148"/>
        <v/>
      </c>
    </row>
    <row r="8708" spans="20:20">
      <c r="T8708" t="str">
        <f t="shared" si="148"/>
        <v/>
      </c>
    </row>
    <row r="8709" spans="20:20">
      <c r="T8709" t="str">
        <f t="shared" si="148"/>
        <v/>
      </c>
    </row>
    <row r="8710" spans="20:20">
      <c r="T8710" t="str">
        <f t="shared" si="148"/>
        <v/>
      </c>
    </row>
    <row r="8711" spans="20:20">
      <c r="T8711" t="str">
        <f t="shared" si="148"/>
        <v/>
      </c>
    </row>
    <row r="8712" spans="20:20">
      <c r="T8712" t="str">
        <f t="shared" si="148"/>
        <v/>
      </c>
    </row>
    <row r="8713" spans="20:20">
      <c r="T8713" t="str">
        <f t="shared" si="148"/>
        <v/>
      </c>
    </row>
    <row r="8714" spans="20:20">
      <c r="T8714" t="str">
        <f t="shared" si="148"/>
        <v/>
      </c>
    </row>
    <row r="8715" spans="20:20">
      <c r="T8715" t="str">
        <f t="shared" si="148"/>
        <v/>
      </c>
    </row>
    <row r="8716" spans="20:20">
      <c r="T8716" t="str">
        <f t="shared" si="148"/>
        <v/>
      </c>
    </row>
    <row r="8717" spans="20:20">
      <c r="T8717" t="str">
        <f t="shared" si="148"/>
        <v/>
      </c>
    </row>
    <row r="8718" spans="20:20">
      <c r="T8718" t="str">
        <f t="shared" si="148"/>
        <v/>
      </c>
    </row>
    <row r="8719" spans="20:20">
      <c r="T8719" t="str">
        <f t="shared" si="148"/>
        <v/>
      </c>
    </row>
    <row r="8720" spans="20:20">
      <c r="T8720" t="str">
        <f t="shared" si="148"/>
        <v/>
      </c>
    </row>
    <row r="8721" spans="20:20">
      <c r="T8721" t="str">
        <f t="shared" si="148"/>
        <v/>
      </c>
    </row>
    <row r="8722" spans="20:20">
      <c r="T8722" t="str">
        <f t="shared" si="148"/>
        <v/>
      </c>
    </row>
    <row r="8723" spans="20:20">
      <c r="T8723" t="str">
        <f t="shared" si="148"/>
        <v/>
      </c>
    </row>
    <row r="8724" spans="20:20">
      <c r="T8724" t="str">
        <f t="shared" si="148"/>
        <v/>
      </c>
    </row>
    <row r="8725" spans="20:20">
      <c r="T8725" t="str">
        <f t="shared" si="148"/>
        <v/>
      </c>
    </row>
    <row r="8726" spans="20:20">
      <c r="T8726" t="str">
        <f t="shared" si="148"/>
        <v/>
      </c>
    </row>
    <row r="8727" spans="20:20">
      <c r="T8727" t="str">
        <f t="shared" si="148"/>
        <v/>
      </c>
    </row>
    <row r="8728" spans="20:20">
      <c r="T8728" t="str">
        <f t="shared" si="148"/>
        <v/>
      </c>
    </row>
    <row r="8729" spans="20:20">
      <c r="T8729" t="str">
        <f t="shared" si="148"/>
        <v/>
      </c>
    </row>
    <row r="8730" spans="20:20">
      <c r="T8730" t="str">
        <f t="shared" si="148"/>
        <v/>
      </c>
    </row>
    <row r="8731" spans="20:20">
      <c r="T8731" t="str">
        <f t="shared" si="148"/>
        <v/>
      </c>
    </row>
    <row r="8732" spans="20:20">
      <c r="T8732" t="str">
        <f t="shared" si="148"/>
        <v/>
      </c>
    </row>
    <row r="8733" spans="20:20">
      <c r="T8733" t="str">
        <f t="shared" si="148"/>
        <v/>
      </c>
    </row>
    <row r="8734" spans="20:20">
      <c r="T8734" t="str">
        <f t="shared" si="148"/>
        <v/>
      </c>
    </row>
    <row r="8735" spans="20:20">
      <c r="T8735" t="str">
        <f t="shared" si="148"/>
        <v/>
      </c>
    </row>
    <row r="8736" spans="20:20">
      <c r="T8736" t="str">
        <f t="shared" si="148"/>
        <v/>
      </c>
    </row>
    <row r="8737" spans="20:20">
      <c r="T8737" t="str">
        <f t="shared" si="148"/>
        <v/>
      </c>
    </row>
    <row r="8738" spans="20:20">
      <c r="T8738" t="str">
        <f t="shared" si="148"/>
        <v/>
      </c>
    </row>
    <row r="8739" spans="20:20">
      <c r="T8739" t="str">
        <f t="shared" si="148"/>
        <v/>
      </c>
    </row>
    <row r="8740" spans="20:20">
      <c r="T8740" t="str">
        <f t="shared" si="148"/>
        <v/>
      </c>
    </row>
    <row r="8741" spans="20:20">
      <c r="T8741" t="str">
        <f t="shared" si="148"/>
        <v/>
      </c>
    </row>
    <row r="8742" spans="20:20">
      <c r="T8742" t="str">
        <f t="shared" si="148"/>
        <v/>
      </c>
    </row>
    <row r="8743" spans="20:20">
      <c r="T8743" t="str">
        <f t="shared" si="148"/>
        <v/>
      </c>
    </row>
    <row r="8744" spans="20:20">
      <c r="T8744" t="str">
        <f t="shared" si="148"/>
        <v/>
      </c>
    </row>
    <row r="8745" spans="20:20">
      <c r="T8745" t="str">
        <f t="shared" si="148"/>
        <v/>
      </c>
    </row>
    <row r="8746" spans="20:20">
      <c r="T8746" t="str">
        <f t="shared" si="148"/>
        <v/>
      </c>
    </row>
    <row r="8747" spans="20:20">
      <c r="T8747" t="str">
        <f t="shared" si="148"/>
        <v/>
      </c>
    </row>
    <row r="8748" spans="20:20">
      <c r="T8748" t="str">
        <f t="shared" si="148"/>
        <v/>
      </c>
    </row>
    <row r="8749" spans="20:20">
      <c r="T8749" t="str">
        <f t="shared" si="148"/>
        <v/>
      </c>
    </row>
    <row r="8750" spans="20:20">
      <c r="T8750" t="str">
        <f t="shared" si="148"/>
        <v/>
      </c>
    </row>
    <row r="8751" spans="20:20">
      <c r="T8751" t="str">
        <f t="shared" si="148"/>
        <v/>
      </c>
    </row>
    <row r="8752" spans="20:20">
      <c r="T8752" t="str">
        <f t="shared" si="148"/>
        <v/>
      </c>
    </row>
    <row r="8753" spans="20:20">
      <c r="T8753" t="str">
        <f t="shared" si="148"/>
        <v/>
      </c>
    </row>
    <row r="8754" spans="20:20">
      <c r="T8754" t="str">
        <f t="shared" si="148"/>
        <v/>
      </c>
    </row>
    <row r="8755" spans="20:20">
      <c r="T8755" t="str">
        <f t="shared" si="148"/>
        <v/>
      </c>
    </row>
    <row r="8756" spans="20:20">
      <c r="T8756" t="str">
        <f t="shared" si="148"/>
        <v/>
      </c>
    </row>
    <row r="8757" spans="20:20">
      <c r="T8757" t="str">
        <f t="shared" si="148"/>
        <v/>
      </c>
    </row>
    <row r="8758" spans="20:20">
      <c r="T8758" t="str">
        <f t="shared" si="148"/>
        <v/>
      </c>
    </row>
    <row r="8759" spans="20:20">
      <c r="T8759" t="str">
        <f t="shared" si="148"/>
        <v/>
      </c>
    </row>
    <row r="8760" spans="20:20">
      <c r="T8760" t="str">
        <f t="shared" si="148"/>
        <v/>
      </c>
    </row>
    <row r="8761" spans="20:20">
      <c r="T8761" t="str">
        <f t="shared" si="148"/>
        <v/>
      </c>
    </row>
    <row r="8762" spans="20:20">
      <c r="T8762" t="str">
        <f t="shared" si="148"/>
        <v/>
      </c>
    </row>
    <row r="8763" spans="20:20">
      <c r="T8763" t="str">
        <f t="shared" si="148"/>
        <v/>
      </c>
    </row>
    <row r="8764" spans="20:20">
      <c r="T8764" t="str">
        <f t="shared" si="148"/>
        <v/>
      </c>
    </row>
    <row r="8765" spans="20:20">
      <c r="T8765" t="str">
        <f t="shared" si="148"/>
        <v/>
      </c>
    </row>
    <row r="8766" spans="20:20">
      <c r="T8766" t="str">
        <f t="shared" si="148"/>
        <v/>
      </c>
    </row>
    <row r="8767" spans="20:20">
      <c r="T8767" t="str">
        <f t="shared" si="148"/>
        <v/>
      </c>
    </row>
    <row r="8768" spans="20:20">
      <c r="T8768" t="str">
        <f t="shared" si="148"/>
        <v/>
      </c>
    </row>
    <row r="8769" spans="20:20">
      <c r="T8769" t="str">
        <f t="shared" si="148"/>
        <v/>
      </c>
    </row>
    <row r="8770" spans="20:20">
      <c r="T8770" t="str">
        <f t="shared" ref="T8770:T8833" si="149">IF(C8770="","",UPPER(LEFT(SUBSTITUTE(C8770," ",""),3))&amp;"-"&amp;TEXT(B8770,"AAMMDD")&amp;"-1")</f>
        <v/>
      </c>
    </row>
    <row r="8771" spans="20:20">
      <c r="T8771" t="str">
        <f t="shared" si="149"/>
        <v/>
      </c>
    </row>
    <row r="8772" spans="20:20">
      <c r="T8772" t="str">
        <f t="shared" si="149"/>
        <v/>
      </c>
    </row>
    <row r="8773" spans="20:20">
      <c r="T8773" t="str">
        <f t="shared" si="149"/>
        <v/>
      </c>
    </row>
    <row r="8774" spans="20:20">
      <c r="T8774" t="str">
        <f t="shared" si="149"/>
        <v/>
      </c>
    </row>
    <row r="8775" spans="20:20">
      <c r="T8775" t="str">
        <f t="shared" si="149"/>
        <v/>
      </c>
    </row>
    <row r="8776" spans="20:20">
      <c r="T8776" t="str">
        <f t="shared" si="149"/>
        <v/>
      </c>
    </row>
    <row r="8777" spans="20:20">
      <c r="T8777" t="str">
        <f t="shared" si="149"/>
        <v/>
      </c>
    </row>
    <row r="8778" spans="20:20">
      <c r="T8778" t="str">
        <f t="shared" si="149"/>
        <v/>
      </c>
    </row>
    <row r="8779" spans="20:20">
      <c r="T8779" t="str">
        <f t="shared" si="149"/>
        <v/>
      </c>
    </row>
    <row r="8780" spans="20:20">
      <c r="T8780" t="str">
        <f t="shared" si="149"/>
        <v/>
      </c>
    </row>
    <row r="8781" spans="20:20">
      <c r="T8781" t="str">
        <f t="shared" si="149"/>
        <v/>
      </c>
    </row>
    <row r="8782" spans="20:20">
      <c r="T8782" t="str">
        <f t="shared" si="149"/>
        <v/>
      </c>
    </row>
    <row r="8783" spans="20:20">
      <c r="T8783" t="str">
        <f t="shared" si="149"/>
        <v/>
      </c>
    </row>
    <row r="8784" spans="20:20">
      <c r="T8784" t="str">
        <f t="shared" si="149"/>
        <v/>
      </c>
    </row>
    <row r="8785" spans="20:20">
      <c r="T8785" t="str">
        <f t="shared" si="149"/>
        <v/>
      </c>
    </row>
    <row r="8786" spans="20:20">
      <c r="T8786" t="str">
        <f t="shared" si="149"/>
        <v/>
      </c>
    </row>
    <row r="8787" spans="20:20">
      <c r="T8787" t="str">
        <f t="shared" si="149"/>
        <v/>
      </c>
    </row>
    <row r="8788" spans="20:20">
      <c r="T8788" t="str">
        <f t="shared" si="149"/>
        <v/>
      </c>
    </row>
    <row r="8789" spans="20:20">
      <c r="T8789" t="str">
        <f t="shared" si="149"/>
        <v/>
      </c>
    </row>
    <row r="8790" spans="20:20">
      <c r="T8790" t="str">
        <f t="shared" si="149"/>
        <v/>
      </c>
    </row>
    <row r="8791" spans="20:20">
      <c r="T8791" t="str">
        <f t="shared" si="149"/>
        <v/>
      </c>
    </row>
    <row r="8792" spans="20:20">
      <c r="T8792" t="str">
        <f t="shared" si="149"/>
        <v/>
      </c>
    </row>
    <row r="8793" spans="20:20">
      <c r="T8793" t="str">
        <f t="shared" si="149"/>
        <v/>
      </c>
    </row>
    <row r="8794" spans="20:20">
      <c r="T8794" t="str">
        <f t="shared" si="149"/>
        <v/>
      </c>
    </row>
    <row r="8795" spans="20:20">
      <c r="T8795" t="str">
        <f t="shared" si="149"/>
        <v/>
      </c>
    </row>
    <row r="8796" spans="20:20">
      <c r="T8796" t="str">
        <f t="shared" si="149"/>
        <v/>
      </c>
    </row>
    <row r="8797" spans="20:20">
      <c r="T8797" t="str">
        <f t="shared" si="149"/>
        <v/>
      </c>
    </row>
    <row r="8798" spans="20:20">
      <c r="T8798" t="str">
        <f t="shared" si="149"/>
        <v/>
      </c>
    </row>
    <row r="8799" spans="20:20">
      <c r="T8799" t="str">
        <f t="shared" si="149"/>
        <v/>
      </c>
    </row>
    <row r="8800" spans="20:20">
      <c r="T8800" t="str">
        <f t="shared" si="149"/>
        <v/>
      </c>
    </row>
    <row r="8801" spans="20:20">
      <c r="T8801" t="str">
        <f t="shared" si="149"/>
        <v/>
      </c>
    </row>
    <row r="8802" spans="20:20">
      <c r="T8802" t="str">
        <f t="shared" si="149"/>
        <v/>
      </c>
    </row>
    <row r="8803" spans="20:20">
      <c r="T8803" t="str">
        <f t="shared" si="149"/>
        <v/>
      </c>
    </row>
    <row r="8804" spans="20:20">
      <c r="T8804" t="str">
        <f t="shared" si="149"/>
        <v/>
      </c>
    </row>
    <row r="8805" spans="20:20">
      <c r="T8805" t="str">
        <f t="shared" si="149"/>
        <v/>
      </c>
    </row>
    <row r="8806" spans="20:20">
      <c r="T8806" t="str">
        <f t="shared" si="149"/>
        <v/>
      </c>
    </row>
    <row r="8807" spans="20:20">
      <c r="T8807" t="str">
        <f t="shared" si="149"/>
        <v/>
      </c>
    </row>
    <row r="8808" spans="20:20">
      <c r="T8808" t="str">
        <f t="shared" si="149"/>
        <v/>
      </c>
    </row>
    <row r="8809" spans="20:20">
      <c r="T8809" t="str">
        <f t="shared" si="149"/>
        <v/>
      </c>
    </row>
    <row r="8810" spans="20:20">
      <c r="T8810" t="str">
        <f t="shared" si="149"/>
        <v/>
      </c>
    </row>
    <row r="8811" spans="20:20">
      <c r="T8811" t="str">
        <f t="shared" si="149"/>
        <v/>
      </c>
    </row>
    <row r="8812" spans="20:20">
      <c r="T8812" t="str">
        <f t="shared" si="149"/>
        <v/>
      </c>
    </row>
    <row r="8813" spans="20:20">
      <c r="T8813" t="str">
        <f t="shared" si="149"/>
        <v/>
      </c>
    </row>
    <row r="8814" spans="20:20">
      <c r="T8814" t="str">
        <f t="shared" si="149"/>
        <v/>
      </c>
    </row>
    <row r="8815" spans="20:20">
      <c r="T8815" t="str">
        <f t="shared" si="149"/>
        <v/>
      </c>
    </row>
    <row r="8816" spans="20:20">
      <c r="T8816" t="str">
        <f t="shared" si="149"/>
        <v/>
      </c>
    </row>
    <row r="8817" spans="20:20">
      <c r="T8817" t="str">
        <f t="shared" si="149"/>
        <v/>
      </c>
    </row>
    <row r="8818" spans="20:20">
      <c r="T8818" t="str">
        <f t="shared" si="149"/>
        <v/>
      </c>
    </row>
    <row r="8819" spans="20:20">
      <c r="T8819" t="str">
        <f t="shared" si="149"/>
        <v/>
      </c>
    </row>
    <row r="8820" spans="20:20">
      <c r="T8820" t="str">
        <f t="shared" si="149"/>
        <v/>
      </c>
    </row>
    <row r="8821" spans="20:20">
      <c r="T8821" t="str">
        <f t="shared" si="149"/>
        <v/>
      </c>
    </row>
    <row r="8822" spans="20:20">
      <c r="T8822" t="str">
        <f t="shared" si="149"/>
        <v/>
      </c>
    </row>
    <row r="8823" spans="20:20">
      <c r="T8823" t="str">
        <f t="shared" si="149"/>
        <v/>
      </c>
    </row>
    <row r="8824" spans="20:20">
      <c r="T8824" t="str">
        <f t="shared" si="149"/>
        <v/>
      </c>
    </row>
    <row r="8825" spans="20:20">
      <c r="T8825" t="str">
        <f t="shared" si="149"/>
        <v/>
      </c>
    </row>
    <row r="8826" spans="20:20">
      <c r="T8826" t="str">
        <f t="shared" si="149"/>
        <v/>
      </c>
    </row>
    <row r="8827" spans="20:20">
      <c r="T8827" t="str">
        <f t="shared" si="149"/>
        <v/>
      </c>
    </row>
    <row r="8828" spans="20:20">
      <c r="T8828" t="str">
        <f t="shared" si="149"/>
        <v/>
      </c>
    </row>
    <row r="8829" spans="20:20">
      <c r="T8829" t="str">
        <f t="shared" si="149"/>
        <v/>
      </c>
    </row>
    <row r="8830" spans="20:20">
      <c r="T8830" t="str">
        <f t="shared" si="149"/>
        <v/>
      </c>
    </row>
    <row r="8831" spans="20:20">
      <c r="T8831" t="str">
        <f t="shared" si="149"/>
        <v/>
      </c>
    </row>
    <row r="8832" spans="20:20">
      <c r="T8832" t="str">
        <f t="shared" si="149"/>
        <v/>
      </c>
    </row>
    <row r="8833" spans="20:20">
      <c r="T8833" t="str">
        <f t="shared" si="149"/>
        <v/>
      </c>
    </row>
    <row r="8834" spans="20:20">
      <c r="T8834" t="str">
        <f t="shared" ref="T8834:T8897" si="150">IF(C8834="","",UPPER(LEFT(SUBSTITUTE(C8834," ",""),3))&amp;"-"&amp;TEXT(B8834,"AAMMDD")&amp;"-1")</f>
        <v/>
      </c>
    </row>
    <row r="8835" spans="20:20">
      <c r="T8835" t="str">
        <f t="shared" si="150"/>
        <v/>
      </c>
    </row>
    <row r="8836" spans="20:20">
      <c r="T8836" t="str">
        <f t="shared" si="150"/>
        <v/>
      </c>
    </row>
    <row r="8837" spans="20:20">
      <c r="T8837" t="str">
        <f t="shared" si="150"/>
        <v/>
      </c>
    </row>
    <row r="8838" spans="20:20">
      <c r="T8838" t="str">
        <f t="shared" si="150"/>
        <v/>
      </c>
    </row>
    <row r="8839" spans="20:20">
      <c r="T8839" t="str">
        <f t="shared" si="150"/>
        <v/>
      </c>
    </row>
    <row r="8840" spans="20:20">
      <c r="T8840" t="str">
        <f t="shared" si="150"/>
        <v/>
      </c>
    </row>
    <row r="8841" spans="20:20">
      <c r="T8841" t="str">
        <f t="shared" si="150"/>
        <v/>
      </c>
    </row>
    <row r="8842" spans="20:20">
      <c r="T8842" t="str">
        <f t="shared" si="150"/>
        <v/>
      </c>
    </row>
    <row r="8843" spans="20:20">
      <c r="T8843" t="str">
        <f t="shared" si="150"/>
        <v/>
      </c>
    </row>
    <row r="8844" spans="20:20">
      <c r="T8844" t="str">
        <f t="shared" si="150"/>
        <v/>
      </c>
    </row>
    <row r="8845" spans="20:20">
      <c r="T8845" t="str">
        <f t="shared" si="150"/>
        <v/>
      </c>
    </row>
    <row r="8846" spans="20:20">
      <c r="T8846" t="str">
        <f t="shared" si="150"/>
        <v/>
      </c>
    </row>
    <row r="8847" spans="20:20">
      <c r="T8847" t="str">
        <f t="shared" si="150"/>
        <v/>
      </c>
    </row>
    <row r="8848" spans="20:20">
      <c r="T8848" t="str">
        <f t="shared" si="150"/>
        <v/>
      </c>
    </row>
    <row r="8849" spans="20:20">
      <c r="T8849" t="str">
        <f t="shared" si="150"/>
        <v/>
      </c>
    </row>
    <row r="8850" spans="20:20">
      <c r="T8850" t="str">
        <f t="shared" si="150"/>
        <v/>
      </c>
    </row>
    <row r="8851" spans="20:20">
      <c r="T8851" t="str">
        <f t="shared" si="150"/>
        <v/>
      </c>
    </row>
    <row r="8852" spans="20:20">
      <c r="T8852" t="str">
        <f t="shared" si="150"/>
        <v/>
      </c>
    </row>
    <row r="8853" spans="20:20">
      <c r="T8853" t="str">
        <f t="shared" si="150"/>
        <v/>
      </c>
    </row>
    <row r="8854" spans="20:20">
      <c r="T8854" t="str">
        <f t="shared" si="150"/>
        <v/>
      </c>
    </row>
    <row r="8855" spans="20:20">
      <c r="T8855" t="str">
        <f t="shared" si="150"/>
        <v/>
      </c>
    </row>
    <row r="8856" spans="20:20">
      <c r="T8856" t="str">
        <f t="shared" si="150"/>
        <v/>
      </c>
    </row>
    <row r="8857" spans="20:20">
      <c r="T8857" t="str">
        <f t="shared" si="150"/>
        <v/>
      </c>
    </row>
    <row r="8858" spans="20:20">
      <c r="T8858" t="str">
        <f t="shared" si="150"/>
        <v/>
      </c>
    </row>
    <row r="8859" spans="20:20">
      <c r="T8859" t="str">
        <f t="shared" si="150"/>
        <v/>
      </c>
    </row>
    <row r="8860" spans="20:20">
      <c r="T8860" t="str">
        <f t="shared" si="150"/>
        <v/>
      </c>
    </row>
    <row r="8861" spans="20:20">
      <c r="T8861" t="str">
        <f t="shared" si="150"/>
        <v/>
      </c>
    </row>
    <row r="8862" spans="20:20">
      <c r="T8862" t="str">
        <f t="shared" si="150"/>
        <v/>
      </c>
    </row>
    <row r="8863" spans="20:20">
      <c r="T8863" t="str">
        <f t="shared" si="150"/>
        <v/>
      </c>
    </row>
    <row r="8864" spans="20:20">
      <c r="T8864" t="str">
        <f t="shared" si="150"/>
        <v/>
      </c>
    </row>
    <row r="8865" spans="20:20">
      <c r="T8865" t="str">
        <f t="shared" si="150"/>
        <v/>
      </c>
    </row>
    <row r="8866" spans="20:20">
      <c r="T8866" t="str">
        <f t="shared" si="150"/>
        <v/>
      </c>
    </row>
    <row r="8867" spans="20:20">
      <c r="T8867" t="str">
        <f t="shared" si="150"/>
        <v/>
      </c>
    </row>
    <row r="8868" spans="20:20">
      <c r="T8868" t="str">
        <f t="shared" si="150"/>
        <v/>
      </c>
    </row>
    <row r="8869" spans="20:20">
      <c r="T8869" t="str">
        <f t="shared" si="150"/>
        <v/>
      </c>
    </row>
    <row r="8870" spans="20:20">
      <c r="T8870" t="str">
        <f t="shared" si="150"/>
        <v/>
      </c>
    </row>
    <row r="8871" spans="20:20">
      <c r="T8871" t="str">
        <f t="shared" si="150"/>
        <v/>
      </c>
    </row>
    <row r="8872" spans="20:20">
      <c r="T8872" t="str">
        <f t="shared" si="150"/>
        <v/>
      </c>
    </row>
    <row r="8873" spans="20:20">
      <c r="T8873" t="str">
        <f t="shared" si="150"/>
        <v/>
      </c>
    </row>
    <row r="8874" spans="20:20">
      <c r="T8874" t="str">
        <f t="shared" si="150"/>
        <v/>
      </c>
    </row>
    <row r="8875" spans="20:20">
      <c r="T8875" t="str">
        <f t="shared" si="150"/>
        <v/>
      </c>
    </row>
    <row r="8876" spans="20:20">
      <c r="T8876" t="str">
        <f t="shared" si="150"/>
        <v/>
      </c>
    </row>
    <row r="8877" spans="20:20">
      <c r="T8877" t="str">
        <f t="shared" si="150"/>
        <v/>
      </c>
    </row>
    <row r="8878" spans="20:20">
      <c r="T8878" t="str">
        <f t="shared" si="150"/>
        <v/>
      </c>
    </row>
    <row r="8879" spans="20:20">
      <c r="T8879" t="str">
        <f t="shared" si="150"/>
        <v/>
      </c>
    </row>
    <row r="8880" spans="20:20">
      <c r="T8880" t="str">
        <f t="shared" si="150"/>
        <v/>
      </c>
    </row>
    <row r="8881" spans="20:20">
      <c r="T8881" t="str">
        <f t="shared" si="150"/>
        <v/>
      </c>
    </row>
    <row r="8882" spans="20:20">
      <c r="T8882" t="str">
        <f t="shared" si="150"/>
        <v/>
      </c>
    </row>
    <row r="8883" spans="20:20">
      <c r="T8883" t="str">
        <f t="shared" si="150"/>
        <v/>
      </c>
    </row>
    <row r="8884" spans="20:20">
      <c r="T8884" t="str">
        <f t="shared" si="150"/>
        <v/>
      </c>
    </row>
    <row r="8885" spans="20:20">
      <c r="T8885" t="str">
        <f t="shared" si="150"/>
        <v/>
      </c>
    </row>
    <row r="8886" spans="20:20">
      <c r="T8886" t="str">
        <f t="shared" si="150"/>
        <v/>
      </c>
    </row>
    <row r="8887" spans="20:20">
      <c r="T8887" t="str">
        <f t="shared" si="150"/>
        <v/>
      </c>
    </row>
    <row r="8888" spans="20:20">
      <c r="T8888" t="str">
        <f t="shared" si="150"/>
        <v/>
      </c>
    </row>
    <row r="8889" spans="20:20">
      <c r="T8889" t="str">
        <f t="shared" si="150"/>
        <v/>
      </c>
    </row>
    <row r="8890" spans="20:20">
      <c r="T8890" t="str">
        <f t="shared" si="150"/>
        <v/>
      </c>
    </row>
    <row r="8891" spans="20:20">
      <c r="T8891" t="str">
        <f t="shared" si="150"/>
        <v/>
      </c>
    </row>
    <row r="8892" spans="20:20">
      <c r="T8892" t="str">
        <f t="shared" si="150"/>
        <v/>
      </c>
    </row>
    <row r="8893" spans="20:20">
      <c r="T8893" t="str">
        <f t="shared" si="150"/>
        <v/>
      </c>
    </row>
    <row r="8894" spans="20:20">
      <c r="T8894" t="str">
        <f t="shared" si="150"/>
        <v/>
      </c>
    </row>
    <row r="8895" spans="20:20">
      <c r="T8895" t="str">
        <f t="shared" si="150"/>
        <v/>
      </c>
    </row>
    <row r="8896" spans="20:20">
      <c r="T8896" t="str">
        <f t="shared" si="150"/>
        <v/>
      </c>
    </row>
    <row r="8897" spans="20:20">
      <c r="T8897" t="str">
        <f t="shared" si="150"/>
        <v/>
      </c>
    </row>
    <row r="8898" spans="20:20">
      <c r="T8898" t="str">
        <f t="shared" ref="T8898:T8961" si="151">IF(C8898="","",UPPER(LEFT(SUBSTITUTE(C8898," ",""),3))&amp;"-"&amp;TEXT(B8898,"AAMMDD")&amp;"-1")</f>
        <v/>
      </c>
    </row>
    <row r="8899" spans="20:20">
      <c r="T8899" t="str">
        <f t="shared" si="151"/>
        <v/>
      </c>
    </row>
    <row r="8900" spans="20:20">
      <c r="T8900" t="str">
        <f t="shared" si="151"/>
        <v/>
      </c>
    </row>
    <row r="8901" spans="20:20">
      <c r="T8901" t="str">
        <f t="shared" si="151"/>
        <v/>
      </c>
    </row>
    <row r="8902" spans="20:20">
      <c r="T8902" t="str">
        <f t="shared" si="151"/>
        <v/>
      </c>
    </row>
    <row r="8903" spans="20:20">
      <c r="T8903" t="str">
        <f t="shared" si="151"/>
        <v/>
      </c>
    </row>
    <row r="8904" spans="20:20">
      <c r="T8904" t="str">
        <f t="shared" si="151"/>
        <v/>
      </c>
    </row>
    <row r="8905" spans="20:20">
      <c r="T8905" t="str">
        <f t="shared" si="151"/>
        <v/>
      </c>
    </row>
    <row r="8906" spans="20:20">
      <c r="T8906" t="str">
        <f t="shared" si="151"/>
        <v/>
      </c>
    </row>
    <row r="8907" spans="20:20">
      <c r="T8907" t="str">
        <f t="shared" si="151"/>
        <v/>
      </c>
    </row>
    <row r="8908" spans="20:20">
      <c r="T8908" t="str">
        <f t="shared" si="151"/>
        <v/>
      </c>
    </row>
    <row r="8909" spans="20:20">
      <c r="T8909" t="str">
        <f t="shared" si="151"/>
        <v/>
      </c>
    </row>
    <row r="8910" spans="20:20">
      <c r="T8910" t="str">
        <f t="shared" si="151"/>
        <v/>
      </c>
    </row>
    <row r="8911" spans="20:20">
      <c r="T8911" t="str">
        <f t="shared" si="151"/>
        <v/>
      </c>
    </row>
    <row r="8912" spans="20:20">
      <c r="T8912" t="str">
        <f t="shared" si="151"/>
        <v/>
      </c>
    </row>
    <row r="8913" spans="20:20">
      <c r="T8913" t="str">
        <f t="shared" si="151"/>
        <v/>
      </c>
    </row>
    <row r="8914" spans="20:20">
      <c r="T8914" t="str">
        <f t="shared" si="151"/>
        <v/>
      </c>
    </row>
    <row r="8915" spans="20:20">
      <c r="T8915" t="str">
        <f t="shared" si="151"/>
        <v/>
      </c>
    </row>
    <row r="8916" spans="20:20">
      <c r="T8916" t="str">
        <f t="shared" si="151"/>
        <v/>
      </c>
    </row>
    <row r="8917" spans="20:20">
      <c r="T8917" t="str">
        <f t="shared" si="151"/>
        <v/>
      </c>
    </row>
    <row r="8918" spans="20:20">
      <c r="T8918" t="str">
        <f t="shared" si="151"/>
        <v/>
      </c>
    </row>
    <row r="8919" spans="20:20">
      <c r="T8919" t="str">
        <f t="shared" si="151"/>
        <v/>
      </c>
    </row>
    <row r="8920" spans="20:20">
      <c r="T8920" t="str">
        <f t="shared" si="151"/>
        <v/>
      </c>
    </row>
    <row r="8921" spans="20:20">
      <c r="T8921" t="str">
        <f t="shared" si="151"/>
        <v/>
      </c>
    </row>
    <row r="8922" spans="20:20">
      <c r="T8922" t="str">
        <f t="shared" si="151"/>
        <v/>
      </c>
    </row>
    <row r="8923" spans="20:20">
      <c r="T8923" t="str">
        <f t="shared" si="151"/>
        <v/>
      </c>
    </row>
    <row r="8924" spans="20:20">
      <c r="T8924" t="str">
        <f t="shared" si="151"/>
        <v/>
      </c>
    </row>
    <row r="8925" spans="20:20">
      <c r="T8925" t="str">
        <f t="shared" si="151"/>
        <v/>
      </c>
    </row>
    <row r="8926" spans="20:20">
      <c r="T8926" t="str">
        <f t="shared" si="151"/>
        <v/>
      </c>
    </row>
    <row r="8927" spans="20:20">
      <c r="T8927" t="str">
        <f t="shared" si="151"/>
        <v/>
      </c>
    </row>
    <row r="8928" spans="20:20">
      <c r="T8928" t="str">
        <f t="shared" si="151"/>
        <v/>
      </c>
    </row>
    <row r="8929" spans="20:20">
      <c r="T8929" t="str">
        <f t="shared" si="151"/>
        <v/>
      </c>
    </row>
    <row r="8930" spans="20:20">
      <c r="T8930" t="str">
        <f t="shared" si="151"/>
        <v/>
      </c>
    </row>
    <row r="8931" spans="20:20">
      <c r="T8931" t="str">
        <f t="shared" si="151"/>
        <v/>
      </c>
    </row>
    <row r="8932" spans="20:20">
      <c r="T8932" t="str">
        <f t="shared" si="151"/>
        <v/>
      </c>
    </row>
    <row r="8933" spans="20:20">
      <c r="T8933" t="str">
        <f t="shared" si="151"/>
        <v/>
      </c>
    </row>
    <row r="8934" spans="20:20">
      <c r="T8934" t="str">
        <f t="shared" si="151"/>
        <v/>
      </c>
    </row>
    <row r="8935" spans="20:20">
      <c r="T8935" t="str">
        <f t="shared" si="151"/>
        <v/>
      </c>
    </row>
    <row r="8936" spans="20:20">
      <c r="T8936" t="str">
        <f t="shared" si="151"/>
        <v/>
      </c>
    </row>
    <row r="8937" spans="20:20">
      <c r="T8937" t="str">
        <f t="shared" si="151"/>
        <v/>
      </c>
    </row>
    <row r="8938" spans="20:20">
      <c r="T8938" t="str">
        <f t="shared" si="151"/>
        <v/>
      </c>
    </row>
    <row r="8939" spans="20:20">
      <c r="T8939" t="str">
        <f t="shared" si="151"/>
        <v/>
      </c>
    </row>
    <row r="8940" spans="20:20">
      <c r="T8940" t="str">
        <f t="shared" si="151"/>
        <v/>
      </c>
    </row>
    <row r="8941" spans="20:20">
      <c r="T8941" t="str">
        <f t="shared" si="151"/>
        <v/>
      </c>
    </row>
    <row r="8942" spans="20:20">
      <c r="T8942" t="str">
        <f t="shared" si="151"/>
        <v/>
      </c>
    </row>
    <row r="8943" spans="20:20">
      <c r="T8943" t="str">
        <f t="shared" si="151"/>
        <v/>
      </c>
    </row>
    <row r="8944" spans="20:20">
      <c r="T8944" t="str">
        <f t="shared" si="151"/>
        <v/>
      </c>
    </row>
    <row r="8945" spans="20:20">
      <c r="T8945" t="str">
        <f t="shared" si="151"/>
        <v/>
      </c>
    </row>
    <row r="8946" spans="20:20">
      <c r="T8946" t="str">
        <f t="shared" si="151"/>
        <v/>
      </c>
    </row>
    <row r="8947" spans="20:20">
      <c r="T8947" t="str">
        <f t="shared" si="151"/>
        <v/>
      </c>
    </row>
    <row r="8948" spans="20:20">
      <c r="T8948" t="str">
        <f t="shared" si="151"/>
        <v/>
      </c>
    </row>
    <row r="8949" spans="20:20">
      <c r="T8949" t="str">
        <f t="shared" si="151"/>
        <v/>
      </c>
    </row>
    <row r="8950" spans="20:20">
      <c r="T8950" t="str">
        <f t="shared" si="151"/>
        <v/>
      </c>
    </row>
    <row r="8951" spans="20:20">
      <c r="T8951" t="str">
        <f t="shared" si="151"/>
        <v/>
      </c>
    </row>
    <row r="8952" spans="20:20">
      <c r="T8952" t="str">
        <f t="shared" si="151"/>
        <v/>
      </c>
    </row>
    <row r="8953" spans="20:20">
      <c r="T8953" t="str">
        <f t="shared" si="151"/>
        <v/>
      </c>
    </row>
    <row r="8954" spans="20:20">
      <c r="T8954" t="str">
        <f t="shared" si="151"/>
        <v/>
      </c>
    </row>
    <row r="8955" spans="20:20">
      <c r="T8955" t="str">
        <f t="shared" si="151"/>
        <v/>
      </c>
    </row>
    <row r="8956" spans="20:20">
      <c r="T8956" t="str">
        <f t="shared" si="151"/>
        <v/>
      </c>
    </row>
    <row r="8957" spans="20:20">
      <c r="T8957" t="str">
        <f t="shared" si="151"/>
        <v/>
      </c>
    </row>
    <row r="8958" spans="20:20">
      <c r="T8958" t="str">
        <f t="shared" si="151"/>
        <v/>
      </c>
    </row>
    <row r="8959" spans="20:20">
      <c r="T8959" t="str">
        <f t="shared" si="151"/>
        <v/>
      </c>
    </row>
    <row r="8960" spans="20:20">
      <c r="T8960" t="str">
        <f t="shared" si="151"/>
        <v/>
      </c>
    </row>
    <row r="8961" spans="20:20">
      <c r="T8961" t="str">
        <f t="shared" si="151"/>
        <v/>
      </c>
    </row>
    <row r="8962" spans="20:20">
      <c r="T8962" t="str">
        <f t="shared" ref="T8962:T9025" si="152">IF(C8962="","",UPPER(LEFT(SUBSTITUTE(C8962," ",""),3))&amp;"-"&amp;TEXT(B8962,"AAMMDD")&amp;"-1")</f>
        <v/>
      </c>
    </row>
    <row r="8963" spans="20:20">
      <c r="T8963" t="str">
        <f t="shared" si="152"/>
        <v/>
      </c>
    </row>
    <row r="8964" spans="20:20">
      <c r="T8964" t="str">
        <f t="shared" si="152"/>
        <v/>
      </c>
    </row>
    <row r="8965" spans="20:20">
      <c r="T8965" t="str">
        <f t="shared" si="152"/>
        <v/>
      </c>
    </row>
    <row r="8966" spans="20:20">
      <c r="T8966" t="str">
        <f t="shared" si="152"/>
        <v/>
      </c>
    </row>
    <row r="8967" spans="20:20">
      <c r="T8967" t="str">
        <f t="shared" si="152"/>
        <v/>
      </c>
    </row>
    <row r="8968" spans="20:20">
      <c r="T8968" t="str">
        <f t="shared" si="152"/>
        <v/>
      </c>
    </row>
    <row r="8969" spans="20:20">
      <c r="T8969" t="str">
        <f t="shared" si="152"/>
        <v/>
      </c>
    </row>
    <row r="8970" spans="20:20">
      <c r="T8970" t="str">
        <f t="shared" si="152"/>
        <v/>
      </c>
    </row>
    <row r="8971" spans="20:20">
      <c r="T8971" t="str">
        <f t="shared" si="152"/>
        <v/>
      </c>
    </row>
    <row r="8972" spans="20:20">
      <c r="T8972" t="str">
        <f t="shared" si="152"/>
        <v/>
      </c>
    </row>
    <row r="8973" spans="20:20">
      <c r="T8973" t="str">
        <f t="shared" si="152"/>
        <v/>
      </c>
    </row>
    <row r="8974" spans="20:20">
      <c r="T8974" t="str">
        <f t="shared" si="152"/>
        <v/>
      </c>
    </row>
    <row r="8975" spans="20:20">
      <c r="T8975" t="str">
        <f t="shared" si="152"/>
        <v/>
      </c>
    </row>
    <row r="8976" spans="20:20">
      <c r="T8976" t="str">
        <f t="shared" si="152"/>
        <v/>
      </c>
    </row>
    <row r="8977" spans="20:20">
      <c r="T8977" t="str">
        <f t="shared" si="152"/>
        <v/>
      </c>
    </row>
    <row r="8978" spans="20:20">
      <c r="T8978" t="str">
        <f t="shared" si="152"/>
        <v/>
      </c>
    </row>
    <row r="8979" spans="20:20">
      <c r="T8979" t="str">
        <f t="shared" si="152"/>
        <v/>
      </c>
    </row>
    <row r="8980" spans="20:20">
      <c r="T8980" t="str">
        <f t="shared" si="152"/>
        <v/>
      </c>
    </row>
    <row r="8981" spans="20:20">
      <c r="T8981" t="str">
        <f t="shared" si="152"/>
        <v/>
      </c>
    </row>
    <row r="8982" spans="20:20">
      <c r="T8982" t="str">
        <f t="shared" si="152"/>
        <v/>
      </c>
    </row>
    <row r="8983" spans="20:20">
      <c r="T8983" t="str">
        <f t="shared" si="152"/>
        <v/>
      </c>
    </row>
    <row r="8984" spans="20:20">
      <c r="T8984" t="str">
        <f t="shared" si="152"/>
        <v/>
      </c>
    </row>
    <row r="8985" spans="20:20">
      <c r="T8985" t="str">
        <f t="shared" si="152"/>
        <v/>
      </c>
    </row>
    <row r="8986" spans="20:20">
      <c r="T8986" t="str">
        <f t="shared" si="152"/>
        <v/>
      </c>
    </row>
    <row r="8987" spans="20:20">
      <c r="T8987" t="str">
        <f t="shared" si="152"/>
        <v/>
      </c>
    </row>
    <row r="8988" spans="20:20">
      <c r="T8988" t="str">
        <f t="shared" si="152"/>
        <v/>
      </c>
    </row>
    <row r="8989" spans="20:20">
      <c r="T8989" t="str">
        <f t="shared" si="152"/>
        <v/>
      </c>
    </row>
    <row r="8990" spans="20:20">
      <c r="T8990" t="str">
        <f t="shared" si="152"/>
        <v/>
      </c>
    </row>
    <row r="8991" spans="20:20">
      <c r="T8991" t="str">
        <f t="shared" si="152"/>
        <v/>
      </c>
    </row>
    <row r="8992" spans="20:20">
      <c r="T8992" t="str">
        <f t="shared" si="152"/>
        <v/>
      </c>
    </row>
    <row r="8993" spans="20:20">
      <c r="T8993" t="str">
        <f t="shared" si="152"/>
        <v/>
      </c>
    </row>
    <row r="8994" spans="20:20">
      <c r="T8994" t="str">
        <f t="shared" si="152"/>
        <v/>
      </c>
    </row>
    <row r="8995" spans="20:20">
      <c r="T8995" t="str">
        <f t="shared" si="152"/>
        <v/>
      </c>
    </row>
    <row r="8996" spans="20:20">
      <c r="T8996" t="str">
        <f t="shared" si="152"/>
        <v/>
      </c>
    </row>
    <row r="8997" spans="20:20">
      <c r="T8997" t="str">
        <f t="shared" si="152"/>
        <v/>
      </c>
    </row>
    <row r="8998" spans="20:20">
      <c r="T8998" t="str">
        <f t="shared" si="152"/>
        <v/>
      </c>
    </row>
    <row r="8999" spans="20:20">
      <c r="T8999" t="str">
        <f t="shared" si="152"/>
        <v/>
      </c>
    </row>
    <row r="9000" spans="20:20">
      <c r="T9000" t="str">
        <f t="shared" si="152"/>
        <v/>
      </c>
    </row>
    <row r="9001" spans="20:20">
      <c r="T9001" t="str">
        <f t="shared" si="152"/>
        <v/>
      </c>
    </row>
    <row r="9002" spans="20:20">
      <c r="T9002" t="str">
        <f t="shared" si="152"/>
        <v/>
      </c>
    </row>
    <row r="9003" spans="20:20">
      <c r="T9003" t="str">
        <f t="shared" si="152"/>
        <v/>
      </c>
    </row>
    <row r="9004" spans="20:20">
      <c r="T9004" t="str">
        <f t="shared" si="152"/>
        <v/>
      </c>
    </row>
    <row r="9005" spans="20:20">
      <c r="T9005" t="str">
        <f t="shared" si="152"/>
        <v/>
      </c>
    </row>
    <row r="9006" spans="20:20">
      <c r="T9006" t="str">
        <f t="shared" si="152"/>
        <v/>
      </c>
    </row>
    <row r="9007" spans="20:20">
      <c r="T9007" t="str">
        <f t="shared" si="152"/>
        <v/>
      </c>
    </row>
    <row r="9008" spans="20:20">
      <c r="T9008" t="str">
        <f t="shared" si="152"/>
        <v/>
      </c>
    </row>
    <row r="9009" spans="20:20">
      <c r="T9009" t="str">
        <f t="shared" si="152"/>
        <v/>
      </c>
    </row>
    <row r="9010" spans="20:20">
      <c r="T9010" t="str">
        <f t="shared" si="152"/>
        <v/>
      </c>
    </row>
    <row r="9011" spans="20:20">
      <c r="T9011" t="str">
        <f t="shared" si="152"/>
        <v/>
      </c>
    </row>
    <row r="9012" spans="20:20">
      <c r="T9012" t="str">
        <f t="shared" si="152"/>
        <v/>
      </c>
    </row>
    <row r="9013" spans="20:20">
      <c r="T9013" t="str">
        <f t="shared" si="152"/>
        <v/>
      </c>
    </row>
    <row r="9014" spans="20:20">
      <c r="T9014" t="str">
        <f t="shared" si="152"/>
        <v/>
      </c>
    </row>
    <row r="9015" spans="20:20">
      <c r="T9015" t="str">
        <f t="shared" si="152"/>
        <v/>
      </c>
    </row>
    <row r="9016" spans="20:20">
      <c r="T9016" t="str">
        <f t="shared" si="152"/>
        <v/>
      </c>
    </row>
    <row r="9017" spans="20:20">
      <c r="T9017" t="str">
        <f t="shared" si="152"/>
        <v/>
      </c>
    </row>
    <row r="9018" spans="20:20">
      <c r="T9018" t="str">
        <f t="shared" si="152"/>
        <v/>
      </c>
    </row>
    <row r="9019" spans="20:20">
      <c r="T9019" t="str">
        <f t="shared" si="152"/>
        <v/>
      </c>
    </row>
    <row r="9020" spans="20:20">
      <c r="T9020" t="str">
        <f t="shared" si="152"/>
        <v/>
      </c>
    </row>
    <row r="9021" spans="20:20">
      <c r="T9021" t="str">
        <f t="shared" si="152"/>
        <v/>
      </c>
    </row>
    <row r="9022" spans="20:20">
      <c r="T9022" t="str">
        <f t="shared" si="152"/>
        <v/>
      </c>
    </row>
    <row r="9023" spans="20:20">
      <c r="T9023" t="str">
        <f t="shared" si="152"/>
        <v/>
      </c>
    </row>
    <row r="9024" spans="20:20">
      <c r="T9024" t="str">
        <f t="shared" si="152"/>
        <v/>
      </c>
    </row>
    <row r="9025" spans="20:20">
      <c r="T9025" t="str">
        <f t="shared" si="152"/>
        <v/>
      </c>
    </row>
    <row r="9026" spans="20:20">
      <c r="T9026" t="str">
        <f t="shared" ref="T9026:T9089" si="153">IF(C9026="","",UPPER(LEFT(SUBSTITUTE(C9026," ",""),3))&amp;"-"&amp;TEXT(B9026,"AAMMDD")&amp;"-1")</f>
        <v/>
      </c>
    </row>
    <row r="9027" spans="20:20">
      <c r="T9027" t="str">
        <f t="shared" si="153"/>
        <v/>
      </c>
    </row>
    <row r="9028" spans="20:20">
      <c r="T9028" t="str">
        <f t="shared" si="153"/>
        <v/>
      </c>
    </row>
    <row r="9029" spans="20:20">
      <c r="T9029" t="str">
        <f t="shared" si="153"/>
        <v/>
      </c>
    </row>
    <row r="9030" spans="20:20">
      <c r="T9030" t="str">
        <f t="shared" si="153"/>
        <v/>
      </c>
    </row>
    <row r="9031" spans="20:20">
      <c r="T9031" t="str">
        <f t="shared" si="153"/>
        <v/>
      </c>
    </row>
    <row r="9032" spans="20:20">
      <c r="T9032" t="str">
        <f t="shared" si="153"/>
        <v/>
      </c>
    </row>
    <row r="9033" spans="20:20">
      <c r="T9033" t="str">
        <f t="shared" si="153"/>
        <v/>
      </c>
    </row>
    <row r="9034" spans="20:20">
      <c r="T9034" t="str">
        <f t="shared" si="153"/>
        <v/>
      </c>
    </row>
    <row r="9035" spans="20:20">
      <c r="T9035" t="str">
        <f t="shared" si="153"/>
        <v/>
      </c>
    </row>
    <row r="9036" spans="20:20">
      <c r="T9036" t="str">
        <f t="shared" si="153"/>
        <v/>
      </c>
    </row>
    <row r="9037" spans="20:20">
      <c r="T9037" t="str">
        <f t="shared" si="153"/>
        <v/>
      </c>
    </row>
    <row r="9038" spans="20:20">
      <c r="T9038" t="str">
        <f t="shared" si="153"/>
        <v/>
      </c>
    </row>
    <row r="9039" spans="20:20">
      <c r="T9039" t="str">
        <f t="shared" si="153"/>
        <v/>
      </c>
    </row>
    <row r="9040" spans="20:20">
      <c r="T9040" t="str">
        <f t="shared" si="153"/>
        <v/>
      </c>
    </row>
    <row r="9041" spans="20:20">
      <c r="T9041" t="str">
        <f t="shared" si="153"/>
        <v/>
      </c>
    </row>
    <row r="9042" spans="20:20">
      <c r="T9042" t="str">
        <f t="shared" si="153"/>
        <v/>
      </c>
    </row>
    <row r="9043" spans="20:20">
      <c r="T9043" t="str">
        <f t="shared" si="153"/>
        <v/>
      </c>
    </row>
    <row r="9044" spans="20:20">
      <c r="T9044" t="str">
        <f t="shared" si="153"/>
        <v/>
      </c>
    </row>
    <row r="9045" spans="20:20">
      <c r="T9045" t="str">
        <f t="shared" si="153"/>
        <v/>
      </c>
    </row>
    <row r="9046" spans="20:20">
      <c r="T9046" t="str">
        <f t="shared" si="153"/>
        <v/>
      </c>
    </row>
    <row r="9047" spans="20:20">
      <c r="T9047" t="str">
        <f t="shared" si="153"/>
        <v/>
      </c>
    </row>
    <row r="9048" spans="20:20">
      <c r="T9048" t="str">
        <f t="shared" si="153"/>
        <v/>
      </c>
    </row>
    <row r="9049" spans="20:20">
      <c r="T9049" t="str">
        <f t="shared" si="153"/>
        <v/>
      </c>
    </row>
    <row r="9050" spans="20:20">
      <c r="T9050" t="str">
        <f t="shared" si="153"/>
        <v/>
      </c>
    </row>
    <row r="9051" spans="20:20">
      <c r="T9051" t="str">
        <f t="shared" si="153"/>
        <v/>
      </c>
    </row>
    <row r="9052" spans="20:20">
      <c r="T9052" t="str">
        <f t="shared" si="153"/>
        <v/>
      </c>
    </row>
    <row r="9053" spans="20:20">
      <c r="T9053" t="str">
        <f t="shared" si="153"/>
        <v/>
      </c>
    </row>
    <row r="9054" spans="20:20">
      <c r="T9054" t="str">
        <f t="shared" si="153"/>
        <v/>
      </c>
    </row>
    <row r="9055" spans="20:20">
      <c r="T9055" t="str">
        <f t="shared" si="153"/>
        <v/>
      </c>
    </row>
    <row r="9056" spans="20:20">
      <c r="T9056" t="str">
        <f t="shared" si="153"/>
        <v/>
      </c>
    </row>
    <row r="9057" spans="20:20">
      <c r="T9057" t="str">
        <f t="shared" si="153"/>
        <v/>
      </c>
    </row>
    <row r="9058" spans="20:20">
      <c r="T9058" t="str">
        <f t="shared" si="153"/>
        <v/>
      </c>
    </row>
    <row r="9059" spans="20:20">
      <c r="T9059" t="str">
        <f t="shared" si="153"/>
        <v/>
      </c>
    </row>
    <row r="9060" spans="20:20">
      <c r="T9060" t="str">
        <f t="shared" si="153"/>
        <v/>
      </c>
    </row>
    <row r="9061" spans="20:20">
      <c r="T9061" t="str">
        <f t="shared" si="153"/>
        <v/>
      </c>
    </row>
    <row r="9062" spans="20:20">
      <c r="T9062" t="str">
        <f t="shared" si="153"/>
        <v/>
      </c>
    </row>
    <row r="9063" spans="20:20">
      <c r="T9063" t="str">
        <f t="shared" si="153"/>
        <v/>
      </c>
    </row>
    <row r="9064" spans="20:20">
      <c r="T9064" t="str">
        <f t="shared" si="153"/>
        <v/>
      </c>
    </row>
    <row r="9065" spans="20:20">
      <c r="T9065" t="str">
        <f t="shared" si="153"/>
        <v/>
      </c>
    </row>
    <row r="9066" spans="20:20">
      <c r="T9066" t="str">
        <f t="shared" si="153"/>
        <v/>
      </c>
    </row>
    <row r="9067" spans="20:20">
      <c r="T9067" t="str">
        <f t="shared" si="153"/>
        <v/>
      </c>
    </row>
    <row r="9068" spans="20:20">
      <c r="T9068" t="str">
        <f t="shared" si="153"/>
        <v/>
      </c>
    </row>
    <row r="9069" spans="20:20">
      <c r="T9069" t="str">
        <f t="shared" si="153"/>
        <v/>
      </c>
    </row>
    <row r="9070" spans="20:20">
      <c r="T9070" t="str">
        <f t="shared" si="153"/>
        <v/>
      </c>
    </row>
    <row r="9071" spans="20:20">
      <c r="T9071" t="str">
        <f t="shared" si="153"/>
        <v/>
      </c>
    </row>
    <row r="9072" spans="20:20">
      <c r="T9072" t="str">
        <f t="shared" si="153"/>
        <v/>
      </c>
    </row>
    <row r="9073" spans="20:20">
      <c r="T9073" t="str">
        <f t="shared" si="153"/>
        <v/>
      </c>
    </row>
    <row r="9074" spans="20:20">
      <c r="T9074" t="str">
        <f t="shared" si="153"/>
        <v/>
      </c>
    </row>
    <row r="9075" spans="20:20">
      <c r="T9075" t="str">
        <f t="shared" si="153"/>
        <v/>
      </c>
    </row>
    <row r="9076" spans="20:20">
      <c r="T9076" t="str">
        <f t="shared" si="153"/>
        <v/>
      </c>
    </row>
    <row r="9077" spans="20:20">
      <c r="T9077" t="str">
        <f t="shared" si="153"/>
        <v/>
      </c>
    </row>
    <row r="9078" spans="20:20">
      <c r="T9078" t="str">
        <f t="shared" si="153"/>
        <v/>
      </c>
    </row>
    <row r="9079" spans="20:20">
      <c r="T9079" t="str">
        <f t="shared" si="153"/>
        <v/>
      </c>
    </row>
    <row r="9080" spans="20:20">
      <c r="T9080" t="str">
        <f t="shared" si="153"/>
        <v/>
      </c>
    </row>
    <row r="9081" spans="20:20">
      <c r="T9081" t="str">
        <f t="shared" si="153"/>
        <v/>
      </c>
    </row>
    <row r="9082" spans="20:20">
      <c r="T9082" t="str">
        <f t="shared" si="153"/>
        <v/>
      </c>
    </row>
    <row r="9083" spans="20:20">
      <c r="T9083" t="str">
        <f t="shared" si="153"/>
        <v/>
      </c>
    </row>
    <row r="9084" spans="20:20">
      <c r="T9084" t="str">
        <f t="shared" si="153"/>
        <v/>
      </c>
    </row>
    <row r="9085" spans="20:20">
      <c r="T9085" t="str">
        <f t="shared" si="153"/>
        <v/>
      </c>
    </row>
    <row r="9086" spans="20:20">
      <c r="T9086" t="str">
        <f t="shared" si="153"/>
        <v/>
      </c>
    </row>
    <row r="9087" spans="20:20">
      <c r="T9087" t="str">
        <f t="shared" si="153"/>
        <v/>
      </c>
    </row>
    <row r="9088" spans="20:20">
      <c r="T9088" t="str">
        <f t="shared" si="153"/>
        <v/>
      </c>
    </row>
    <row r="9089" spans="20:20">
      <c r="T9089" t="str">
        <f t="shared" si="153"/>
        <v/>
      </c>
    </row>
    <row r="9090" spans="20:20">
      <c r="T9090" t="str">
        <f t="shared" ref="T9090:T9153" si="154">IF(C9090="","",UPPER(LEFT(SUBSTITUTE(C9090," ",""),3))&amp;"-"&amp;TEXT(B9090,"AAMMDD")&amp;"-1")</f>
        <v/>
      </c>
    </row>
    <row r="9091" spans="20:20">
      <c r="T9091" t="str">
        <f t="shared" si="154"/>
        <v/>
      </c>
    </row>
    <row r="9092" spans="20:20">
      <c r="T9092" t="str">
        <f t="shared" si="154"/>
        <v/>
      </c>
    </row>
    <row r="9093" spans="20:20">
      <c r="T9093" t="str">
        <f t="shared" si="154"/>
        <v/>
      </c>
    </row>
    <row r="9094" spans="20:20">
      <c r="T9094" t="str">
        <f t="shared" si="154"/>
        <v/>
      </c>
    </row>
    <row r="9095" spans="20:20">
      <c r="T9095" t="str">
        <f t="shared" si="154"/>
        <v/>
      </c>
    </row>
    <row r="9096" spans="20:20">
      <c r="T9096" t="str">
        <f t="shared" si="154"/>
        <v/>
      </c>
    </row>
    <row r="9097" spans="20:20">
      <c r="T9097" t="str">
        <f t="shared" si="154"/>
        <v/>
      </c>
    </row>
    <row r="9098" spans="20:20">
      <c r="T9098" t="str">
        <f t="shared" si="154"/>
        <v/>
      </c>
    </row>
    <row r="9099" spans="20:20">
      <c r="T9099" t="str">
        <f t="shared" si="154"/>
        <v/>
      </c>
    </row>
    <row r="9100" spans="20:20">
      <c r="T9100" t="str">
        <f t="shared" si="154"/>
        <v/>
      </c>
    </row>
    <row r="9101" spans="20:20">
      <c r="T9101" t="str">
        <f t="shared" si="154"/>
        <v/>
      </c>
    </row>
    <row r="9102" spans="20:20">
      <c r="T9102" t="str">
        <f t="shared" si="154"/>
        <v/>
      </c>
    </row>
    <row r="9103" spans="20:20">
      <c r="T9103" t="str">
        <f t="shared" si="154"/>
        <v/>
      </c>
    </row>
    <row r="9104" spans="20:20">
      <c r="T9104" t="str">
        <f t="shared" si="154"/>
        <v/>
      </c>
    </row>
    <row r="9105" spans="20:20">
      <c r="T9105" t="str">
        <f t="shared" si="154"/>
        <v/>
      </c>
    </row>
    <row r="9106" spans="20:20">
      <c r="T9106" t="str">
        <f t="shared" si="154"/>
        <v/>
      </c>
    </row>
    <row r="9107" spans="20:20">
      <c r="T9107" t="str">
        <f t="shared" si="154"/>
        <v/>
      </c>
    </row>
    <row r="9108" spans="20:20">
      <c r="T9108" t="str">
        <f t="shared" si="154"/>
        <v/>
      </c>
    </row>
    <row r="9109" spans="20:20">
      <c r="T9109" t="str">
        <f t="shared" si="154"/>
        <v/>
      </c>
    </row>
    <row r="9110" spans="20:20">
      <c r="T9110" t="str">
        <f t="shared" si="154"/>
        <v/>
      </c>
    </row>
    <row r="9111" spans="20:20">
      <c r="T9111" t="str">
        <f t="shared" si="154"/>
        <v/>
      </c>
    </row>
    <row r="9112" spans="20:20">
      <c r="T9112" t="str">
        <f t="shared" si="154"/>
        <v/>
      </c>
    </row>
    <row r="9113" spans="20:20">
      <c r="T9113" t="str">
        <f t="shared" si="154"/>
        <v/>
      </c>
    </row>
    <row r="9114" spans="20:20">
      <c r="T9114" t="str">
        <f t="shared" si="154"/>
        <v/>
      </c>
    </row>
    <row r="9115" spans="20:20">
      <c r="T9115" t="str">
        <f t="shared" si="154"/>
        <v/>
      </c>
    </row>
    <row r="9116" spans="20:20">
      <c r="T9116" t="str">
        <f t="shared" si="154"/>
        <v/>
      </c>
    </row>
    <row r="9117" spans="20:20">
      <c r="T9117" t="str">
        <f t="shared" si="154"/>
        <v/>
      </c>
    </row>
    <row r="9118" spans="20:20">
      <c r="T9118" t="str">
        <f t="shared" si="154"/>
        <v/>
      </c>
    </row>
    <row r="9119" spans="20:20">
      <c r="T9119" t="str">
        <f t="shared" si="154"/>
        <v/>
      </c>
    </row>
    <row r="9120" spans="20:20">
      <c r="T9120" t="str">
        <f t="shared" si="154"/>
        <v/>
      </c>
    </row>
    <row r="9121" spans="20:20">
      <c r="T9121" t="str">
        <f t="shared" si="154"/>
        <v/>
      </c>
    </row>
    <row r="9122" spans="20:20">
      <c r="T9122" t="str">
        <f t="shared" si="154"/>
        <v/>
      </c>
    </row>
    <row r="9123" spans="20:20">
      <c r="T9123" t="str">
        <f t="shared" si="154"/>
        <v/>
      </c>
    </row>
    <row r="9124" spans="20:20">
      <c r="T9124" t="str">
        <f t="shared" si="154"/>
        <v/>
      </c>
    </row>
    <row r="9125" spans="20:20">
      <c r="T9125" t="str">
        <f t="shared" si="154"/>
        <v/>
      </c>
    </row>
    <row r="9126" spans="20:20">
      <c r="T9126" t="str">
        <f t="shared" si="154"/>
        <v/>
      </c>
    </row>
    <row r="9127" spans="20:20">
      <c r="T9127" t="str">
        <f t="shared" si="154"/>
        <v/>
      </c>
    </row>
    <row r="9128" spans="20:20">
      <c r="T9128" t="str">
        <f t="shared" si="154"/>
        <v/>
      </c>
    </row>
    <row r="9129" spans="20:20">
      <c r="T9129" t="str">
        <f t="shared" si="154"/>
        <v/>
      </c>
    </row>
    <row r="9130" spans="20:20">
      <c r="T9130" t="str">
        <f t="shared" si="154"/>
        <v/>
      </c>
    </row>
    <row r="9131" spans="20:20">
      <c r="T9131" t="str">
        <f t="shared" si="154"/>
        <v/>
      </c>
    </row>
    <row r="9132" spans="20:20">
      <c r="T9132" t="str">
        <f t="shared" si="154"/>
        <v/>
      </c>
    </row>
    <row r="9133" spans="20:20">
      <c r="T9133" t="str">
        <f t="shared" si="154"/>
        <v/>
      </c>
    </row>
    <row r="9134" spans="20:20">
      <c r="T9134" t="str">
        <f t="shared" si="154"/>
        <v/>
      </c>
    </row>
    <row r="9135" spans="20:20">
      <c r="T9135" t="str">
        <f t="shared" si="154"/>
        <v/>
      </c>
    </row>
    <row r="9136" spans="20:20">
      <c r="T9136" t="str">
        <f t="shared" si="154"/>
        <v/>
      </c>
    </row>
    <row r="9137" spans="20:20">
      <c r="T9137" t="str">
        <f t="shared" si="154"/>
        <v/>
      </c>
    </row>
    <row r="9138" spans="20:20">
      <c r="T9138" t="str">
        <f t="shared" si="154"/>
        <v/>
      </c>
    </row>
    <row r="9139" spans="20:20">
      <c r="T9139" t="str">
        <f t="shared" si="154"/>
        <v/>
      </c>
    </row>
    <row r="9140" spans="20:20">
      <c r="T9140" t="str">
        <f t="shared" si="154"/>
        <v/>
      </c>
    </row>
    <row r="9141" spans="20:20">
      <c r="T9141" t="str">
        <f t="shared" si="154"/>
        <v/>
      </c>
    </row>
    <row r="9142" spans="20:20">
      <c r="T9142" t="str">
        <f t="shared" si="154"/>
        <v/>
      </c>
    </row>
    <row r="9143" spans="20:20">
      <c r="T9143" t="str">
        <f t="shared" si="154"/>
        <v/>
      </c>
    </row>
    <row r="9144" spans="20:20">
      <c r="T9144" t="str">
        <f t="shared" si="154"/>
        <v/>
      </c>
    </row>
    <row r="9145" spans="20:20">
      <c r="T9145" t="str">
        <f t="shared" si="154"/>
        <v/>
      </c>
    </row>
    <row r="9146" spans="20:20">
      <c r="T9146" t="str">
        <f t="shared" si="154"/>
        <v/>
      </c>
    </row>
    <row r="9147" spans="20:20">
      <c r="T9147" t="str">
        <f t="shared" si="154"/>
        <v/>
      </c>
    </row>
    <row r="9148" spans="20:20">
      <c r="T9148" t="str">
        <f t="shared" si="154"/>
        <v/>
      </c>
    </row>
    <row r="9149" spans="20:20">
      <c r="T9149" t="str">
        <f t="shared" si="154"/>
        <v/>
      </c>
    </row>
    <row r="9150" spans="20:20">
      <c r="T9150" t="str">
        <f t="shared" si="154"/>
        <v/>
      </c>
    </row>
    <row r="9151" spans="20:20">
      <c r="T9151" t="str">
        <f t="shared" si="154"/>
        <v/>
      </c>
    </row>
    <row r="9152" spans="20:20">
      <c r="T9152" t="str">
        <f t="shared" si="154"/>
        <v/>
      </c>
    </row>
    <row r="9153" spans="20:20">
      <c r="T9153" t="str">
        <f t="shared" si="154"/>
        <v/>
      </c>
    </row>
    <row r="9154" spans="20:20">
      <c r="T9154" t="str">
        <f t="shared" ref="T9154:T9217" si="155">IF(C9154="","",UPPER(LEFT(SUBSTITUTE(C9154," ",""),3))&amp;"-"&amp;TEXT(B9154,"AAMMDD")&amp;"-1")</f>
        <v/>
      </c>
    </row>
    <row r="9155" spans="20:20">
      <c r="T9155" t="str">
        <f t="shared" si="155"/>
        <v/>
      </c>
    </row>
    <row r="9156" spans="20:20">
      <c r="T9156" t="str">
        <f t="shared" si="155"/>
        <v/>
      </c>
    </row>
    <row r="9157" spans="20:20">
      <c r="T9157" t="str">
        <f t="shared" si="155"/>
        <v/>
      </c>
    </row>
    <row r="9158" spans="20:20">
      <c r="T9158" t="str">
        <f t="shared" si="155"/>
        <v/>
      </c>
    </row>
    <row r="9159" spans="20:20">
      <c r="T9159" t="str">
        <f t="shared" si="155"/>
        <v/>
      </c>
    </row>
    <row r="9160" spans="20:20">
      <c r="T9160" t="str">
        <f t="shared" si="155"/>
        <v/>
      </c>
    </row>
    <row r="9161" spans="20:20">
      <c r="T9161" t="str">
        <f t="shared" si="155"/>
        <v/>
      </c>
    </row>
    <row r="9162" spans="20:20">
      <c r="T9162" t="str">
        <f t="shared" si="155"/>
        <v/>
      </c>
    </row>
    <row r="9163" spans="20:20">
      <c r="T9163" t="str">
        <f t="shared" si="155"/>
        <v/>
      </c>
    </row>
    <row r="9164" spans="20:20">
      <c r="T9164" t="str">
        <f t="shared" si="155"/>
        <v/>
      </c>
    </row>
    <row r="9165" spans="20:20">
      <c r="T9165" t="str">
        <f t="shared" si="155"/>
        <v/>
      </c>
    </row>
    <row r="9166" spans="20:20">
      <c r="T9166" t="str">
        <f t="shared" si="155"/>
        <v/>
      </c>
    </row>
    <row r="9167" spans="20:20">
      <c r="T9167" t="str">
        <f t="shared" si="155"/>
        <v/>
      </c>
    </row>
    <row r="9168" spans="20:20">
      <c r="T9168" t="str">
        <f t="shared" si="155"/>
        <v/>
      </c>
    </row>
    <row r="9169" spans="20:20">
      <c r="T9169" t="str">
        <f t="shared" si="155"/>
        <v/>
      </c>
    </row>
    <row r="9170" spans="20:20">
      <c r="T9170" t="str">
        <f t="shared" si="155"/>
        <v/>
      </c>
    </row>
    <row r="9171" spans="20:20">
      <c r="T9171" t="str">
        <f t="shared" si="155"/>
        <v/>
      </c>
    </row>
    <row r="9172" spans="20:20">
      <c r="T9172" t="str">
        <f t="shared" si="155"/>
        <v/>
      </c>
    </row>
    <row r="9173" spans="20:20">
      <c r="T9173" t="str">
        <f t="shared" si="155"/>
        <v/>
      </c>
    </row>
    <row r="9174" spans="20:20">
      <c r="T9174" t="str">
        <f t="shared" si="155"/>
        <v/>
      </c>
    </row>
    <row r="9175" spans="20:20">
      <c r="T9175" t="str">
        <f t="shared" si="155"/>
        <v/>
      </c>
    </row>
    <row r="9176" spans="20:20">
      <c r="T9176" t="str">
        <f t="shared" si="155"/>
        <v/>
      </c>
    </row>
    <row r="9177" spans="20:20">
      <c r="T9177" t="str">
        <f t="shared" si="155"/>
        <v/>
      </c>
    </row>
    <row r="9178" spans="20:20">
      <c r="T9178" t="str">
        <f t="shared" si="155"/>
        <v/>
      </c>
    </row>
    <row r="9179" spans="20:20">
      <c r="T9179" t="str">
        <f t="shared" si="155"/>
        <v/>
      </c>
    </row>
    <row r="9180" spans="20:20">
      <c r="T9180" t="str">
        <f t="shared" si="155"/>
        <v/>
      </c>
    </row>
    <row r="9181" spans="20:20">
      <c r="T9181" t="str">
        <f t="shared" si="155"/>
        <v/>
      </c>
    </row>
    <row r="9182" spans="20:20">
      <c r="T9182" t="str">
        <f t="shared" si="155"/>
        <v/>
      </c>
    </row>
    <row r="9183" spans="20:20">
      <c r="T9183" t="str">
        <f t="shared" si="155"/>
        <v/>
      </c>
    </row>
    <row r="9184" spans="20:20">
      <c r="T9184" t="str">
        <f t="shared" si="155"/>
        <v/>
      </c>
    </row>
    <row r="9185" spans="20:20">
      <c r="T9185" t="str">
        <f t="shared" si="155"/>
        <v/>
      </c>
    </row>
    <row r="9186" spans="20:20">
      <c r="T9186" t="str">
        <f t="shared" si="155"/>
        <v/>
      </c>
    </row>
    <row r="9187" spans="20:20">
      <c r="T9187" t="str">
        <f t="shared" si="155"/>
        <v/>
      </c>
    </row>
    <row r="9188" spans="20:20">
      <c r="T9188" t="str">
        <f t="shared" si="155"/>
        <v/>
      </c>
    </row>
    <row r="9189" spans="20:20">
      <c r="T9189" t="str">
        <f t="shared" si="155"/>
        <v/>
      </c>
    </row>
    <row r="9190" spans="20:20">
      <c r="T9190" t="str">
        <f t="shared" si="155"/>
        <v/>
      </c>
    </row>
    <row r="9191" spans="20:20">
      <c r="T9191" t="str">
        <f t="shared" si="155"/>
        <v/>
      </c>
    </row>
    <row r="9192" spans="20:20">
      <c r="T9192" t="str">
        <f t="shared" si="155"/>
        <v/>
      </c>
    </row>
    <row r="9193" spans="20:20">
      <c r="T9193" t="str">
        <f t="shared" si="155"/>
        <v/>
      </c>
    </row>
    <row r="9194" spans="20:20">
      <c r="T9194" t="str">
        <f t="shared" si="155"/>
        <v/>
      </c>
    </row>
    <row r="9195" spans="20:20">
      <c r="T9195" t="str">
        <f t="shared" si="155"/>
        <v/>
      </c>
    </row>
    <row r="9196" spans="20:20">
      <c r="T9196" t="str">
        <f t="shared" si="155"/>
        <v/>
      </c>
    </row>
    <row r="9197" spans="20:20">
      <c r="T9197" t="str">
        <f t="shared" si="155"/>
        <v/>
      </c>
    </row>
    <row r="9198" spans="20:20">
      <c r="T9198" t="str">
        <f t="shared" si="155"/>
        <v/>
      </c>
    </row>
    <row r="9199" spans="20:20">
      <c r="T9199" t="str">
        <f t="shared" si="155"/>
        <v/>
      </c>
    </row>
    <row r="9200" spans="20:20">
      <c r="T9200" t="str">
        <f t="shared" si="155"/>
        <v/>
      </c>
    </row>
    <row r="9201" spans="20:20">
      <c r="T9201" t="str">
        <f t="shared" si="155"/>
        <v/>
      </c>
    </row>
    <row r="9202" spans="20:20">
      <c r="T9202" t="str">
        <f t="shared" si="155"/>
        <v/>
      </c>
    </row>
    <row r="9203" spans="20:20">
      <c r="T9203" t="str">
        <f t="shared" si="155"/>
        <v/>
      </c>
    </row>
    <row r="9204" spans="20:20">
      <c r="T9204" t="str">
        <f t="shared" si="155"/>
        <v/>
      </c>
    </row>
    <row r="9205" spans="20:20">
      <c r="T9205" t="str">
        <f t="shared" si="155"/>
        <v/>
      </c>
    </row>
    <row r="9206" spans="20:20">
      <c r="T9206" t="str">
        <f t="shared" si="155"/>
        <v/>
      </c>
    </row>
    <row r="9207" spans="20:20">
      <c r="T9207" t="str">
        <f t="shared" si="155"/>
        <v/>
      </c>
    </row>
    <row r="9208" spans="20:20">
      <c r="T9208" t="str">
        <f t="shared" si="155"/>
        <v/>
      </c>
    </row>
    <row r="9209" spans="20:20">
      <c r="T9209" t="str">
        <f t="shared" si="155"/>
        <v/>
      </c>
    </row>
    <row r="9210" spans="20:20">
      <c r="T9210" t="str">
        <f t="shared" si="155"/>
        <v/>
      </c>
    </row>
    <row r="9211" spans="20:20">
      <c r="T9211" t="str">
        <f t="shared" si="155"/>
        <v/>
      </c>
    </row>
    <row r="9212" spans="20:20">
      <c r="T9212" t="str">
        <f t="shared" si="155"/>
        <v/>
      </c>
    </row>
    <row r="9213" spans="20:20">
      <c r="T9213" t="str">
        <f t="shared" si="155"/>
        <v/>
      </c>
    </row>
    <row r="9214" spans="20:20">
      <c r="T9214" t="str">
        <f t="shared" si="155"/>
        <v/>
      </c>
    </row>
    <row r="9215" spans="20:20">
      <c r="T9215" t="str">
        <f t="shared" si="155"/>
        <v/>
      </c>
    </row>
    <row r="9216" spans="20:20">
      <c r="T9216" t="str">
        <f t="shared" si="155"/>
        <v/>
      </c>
    </row>
    <row r="9217" spans="20:20">
      <c r="T9217" t="str">
        <f t="shared" si="155"/>
        <v/>
      </c>
    </row>
    <row r="9218" spans="20:20">
      <c r="T9218" t="str">
        <f t="shared" ref="T9218:T9281" si="156">IF(C9218="","",UPPER(LEFT(SUBSTITUTE(C9218," ",""),3))&amp;"-"&amp;TEXT(B9218,"AAMMDD")&amp;"-1")</f>
        <v/>
      </c>
    </row>
    <row r="9219" spans="20:20">
      <c r="T9219" t="str">
        <f t="shared" si="156"/>
        <v/>
      </c>
    </row>
    <row r="9220" spans="20:20">
      <c r="T9220" t="str">
        <f t="shared" si="156"/>
        <v/>
      </c>
    </row>
    <row r="9221" spans="20:20">
      <c r="T9221" t="str">
        <f t="shared" si="156"/>
        <v/>
      </c>
    </row>
    <row r="9222" spans="20:20">
      <c r="T9222" t="str">
        <f t="shared" si="156"/>
        <v/>
      </c>
    </row>
    <row r="9223" spans="20:20">
      <c r="T9223" t="str">
        <f t="shared" si="156"/>
        <v/>
      </c>
    </row>
    <row r="9224" spans="20:20">
      <c r="T9224" t="str">
        <f t="shared" si="156"/>
        <v/>
      </c>
    </row>
    <row r="9225" spans="20:20">
      <c r="T9225" t="str">
        <f t="shared" si="156"/>
        <v/>
      </c>
    </row>
    <row r="9226" spans="20:20">
      <c r="T9226" t="str">
        <f t="shared" si="156"/>
        <v/>
      </c>
    </row>
    <row r="9227" spans="20:20">
      <c r="T9227" t="str">
        <f t="shared" si="156"/>
        <v/>
      </c>
    </row>
    <row r="9228" spans="20:20">
      <c r="T9228" t="str">
        <f t="shared" si="156"/>
        <v/>
      </c>
    </row>
    <row r="9229" spans="20:20">
      <c r="T9229" t="str">
        <f t="shared" si="156"/>
        <v/>
      </c>
    </row>
    <row r="9230" spans="20:20">
      <c r="T9230" t="str">
        <f t="shared" si="156"/>
        <v/>
      </c>
    </row>
    <row r="9231" spans="20:20">
      <c r="T9231" t="str">
        <f t="shared" si="156"/>
        <v/>
      </c>
    </row>
    <row r="9232" spans="20:20">
      <c r="T9232" t="str">
        <f t="shared" si="156"/>
        <v/>
      </c>
    </row>
    <row r="9233" spans="20:20">
      <c r="T9233" t="str">
        <f t="shared" si="156"/>
        <v/>
      </c>
    </row>
    <row r="9234" spans="20:20">
      <c r="T9234" t="str">
        <f t="shared" si="156"/>
        <v/>
      </c>
    </row>
    <row r="9235" spans="20:20">
      <c r="T9235" t="str">
        <f t="shared" si="156"/>
        <v/>
      </c>
    </row>
    <row r="9236" spans="20:20">
      <c r="T9236" t="str">
        <f t="shared" si="156"/>
        <v/>
      </c>
    </row>
    <row r="9237" spans="20:20">
      <c r="T9237" t="str">
        <f t="shared" si="156"/>
        <v/>
      </c>
    </row>
    <row r="9238" spans="20:20">
      <c r="T9238" t="str">
        <f t="shared" si="156"/>
        <v/>
      </c>
    </row>
    <row r="9239" spans="20:20">
      <c r="T9239" t="str">
        <f t="shared" si="156"/>
        <v/>
      </c>
    </row>
    <row r="9240" spans="20:20">
      <c r="T9240" t="str">
        <f t="shared" si="156"/>
        <v/>
      </c>
    </row>
    <row r="9241" spans="20:20">
      <c r="T9241" t="str">
        <f t="shared" si="156"/>
        <v/>
      </c>
    </row>
    <row r="9242" spans="20:20">
      <c r="T9242" t="str">
        <f t="shared" si="156"/>
        <v/>
      </c>
    </row>
    <row r="9243" spans="20:20">
      <c r="T9243" t="str">
        <f t="shared" si="156"/>
        <v/>
      </c>
    </row>
    <row r="9244" spans="20:20">
      <c r="T9244" t="str">
        <f t="shared" si="156"/>
        <v/>
      </c>
    </row>
    <row r="9245" spans="20:20">
      <c r="T9245" t="str">
        <f t="shared" si="156"/>
        <v/>
      </c>
    </row>
    <row r="9246" spans="20:20">
      <c r="T9246" t="str">
        <f t="shared" si="156"/>
        <v/>
      </c>
    </row>
    <row r="9247" spans="20:20">
      <c r="T9247" t="str">
        <f t="shared" si="156"/>
        <v/>
      </c>
    </row>
    <row r="9248" spans="20:20">
      <c r="T9248" t="str">
        <f t="shared" si="156"/>
        <v/>
      </c>
    </row>
    <row r="9249" spans="20:20">
      <c r="T9249" t="str">
        <f t="shared" si="156"/>
        <v/>
      </c>
    </row>
    <row r="9250" spans="20:20">
      <c r="T9250" t="str">
        <f t="shared" si="156"/>
        <v/>
      </c>
    </row>
    <row r="9251" spans="20:20">
      <c r="T9251" t="str">
        <f t="shared" si="156"/>
        <v/>
      </c>
    </row>
    <row r="9252" spans="20:20">
      <c r="T9252" t="str">
        <f t="shared" si="156"/>
        <v/>
      </c>
    </row>
    <row r="9253" spans="20:20">
      <c r="T9253" t="str">
        <f t="shared" si="156"/>
        <v/>
      </c>
    </row>
    <row r="9254" spans="20:20">
      <c r="T9254" t="str">
        <f t="shared" si="156"/>
        <v/>
      </c>
    </row>
    <row r="9255" spans="20:20">
      <c r="T9255" t="str">
        <f t="shared" si="156"/>
        <v/>
      </c>
    </row>
    <row r="9256" spans="20:20">
      <c r="T9256" t="str">
        <f t="shared" si="156"/>
        <v/>
      </c>
    </row>
    <row r="9257" spans="20:20">
      <c r="T9257" t="str">
        <f t="shared" si="156"/>
        <v/>
      </c>
    </row>
    <row r="9258" spans="20:20">
      <c r="T9258" t="str">
        <f t="shared" si="156"/>
        <v/>
      </c>
    </row>
    <row r="9259" spans="20:20">
      <c r="T9259" t="str">
        <f t="shared" si="156"/>
        <v/>
      </c>
    </row>
    <row r="9260" spans="20:20">
      <c r="T9260" t="str">
        <f t="shared" si="156"/>
        <v/>
      </c>
    </row>
    <row r="9261" spans="20:20">
      <c r="T9261" t="str">
        <f t="shared" si="156"/>
        <v/>
      </c>
    </row>
    <row r="9262" spans="20:20">
      <c r="T9262" t="str">
        <f t="shared" si="156"/>
        <v/>
      </c>
    </row>
    <row r="9263" spans="20:20">
      <c r="T9263" t="str">
        <f t="shared" si="156"/>
        <v/>
      </c>
    </row>
    <row r="9264" spans="20:20">
      <c r="T9264" t="str">
        <f t="shared" si="156"/>
        <v/>
      </c>
    </row>
    <row r="9265" spans="20:20">
      <c r="T9265" t="str">
        <f t="shared" si="156"/>
        <v/>
      </c>
    </row>
    <row r="9266" spans="20:20">
      <c r="T9266" t="str">
        <f t="shared" si="156"/>
        <v/>
      </c>
    </row>
    <row r="9267" spans="20:20">
      <c r="T9267" t="str">
        <f t="shared" si="156"/>
        <v/>
      </c>
    </row>
    <row r="9268" spans="20:20">
      <c r="T9268" t="str">
        <f t="shared" si="156"/>
        <v/>
      </c>
    </row>
    <row r="9269" spans="20:20">
      <c r="T9269" t="str">
        <f t="shared" si="156"/>
        <v/>
      </c>
    </row>
    <row r="9270" spans="20:20">
      <c r="T9270" t="str">
        <f t="shared" si="156"/>
        <v/>
      </c>
    </row>
    <row r="9271" spans="20:20">
      <c r="T9271" t="str">
        <f t="shared" si="156"/>
        <v/>
      </c>
    </row>
    <row r="9272" spans="20:20">
      <c r="T9272" t="str">
        <f t="shared" si="156"/>
        <v/>
      </c>
    </row>
    <row r="9273" spans="20:20">
      <c r="T9273" t="str">
        <f t="shared" si="156"/>
        <v/>
      </c>
    </row>
    <row r="9274" spans="20:20">
      <c r="T9274" t="str">
        <f t="shared" si="156"/>
        <v/>
      </c>
    </row>
    <row r="9275" spans="20:20">
      <c r="T9275" t="str">
        <f t="shared" si="156"/>
        <v/>
      </c>
    </row>
    <row r="9276" spans="20:20">
      <c r="T9276" t="str">
        <f t="shared" si="156"/>
        <v/>
      </c>
    </row>
    <row r="9277" spans="20:20">
      <c r="T9277" t="str">
        <f t="shared" si="156"/>
        <v/>
      </c>
    </row>
    <row r="9278" spans="20:20">
      <c r="T9278" t="str">
        <f t="shared" si="156"/>
        <v/>
      </c>
    </row>
    <row r="9279" spans="20:20">
      <c r="T9279" t="str">
        <f t="shared" si="156"/>
        <v/>
      </c>
    </row>
    <row r="9280" spans="20:20">
      <c r="T9280" t="str">
        <f t="shared" si="156"/>
        <v/>
      </c>
    </row>
    <row r="9281" spans="20:20">
      <c r="T9281" t="str">
        <f t="shared" si="156"/>
        <v/>
      </c>
    </row>
    <row r="9282" spans="20:20">
      <c r="T9282" t="str">
        <f t="shared" ref="T9282:T9345" si="157">IF(C9282="","",UPPER(LEFT(SUBSTITUTE(C9282," ",""),3))&amp;"-"&amp;TEXT(B9282,"AAMMDD")&amp;"-1")</f>
        <v/>
      </c>
    </row>
    <row r="9283" spans="20:20">
      <c r="T9283" t="str">
        <f t="shared" si="157"/>
        <v/>
      </c>
    </row>
    <row r="9284" spans="20:20">
      <c r="T9284" t="str">
        <f t="shared" si="157"/>
        <v/>
      </c>
    </row>
    <row r="9285" spans="20:20">
      <c r="T9285" t="str">
        <f t="shared" si="157"/>
        <v/>
      </c>
    </row>
    <row r="9286" spans="20:20">
      <c r="T9286" t="str">
        <f t="shared" si="157"/>
        <v/>
      </c>
    </row>
    <row r="9287" spans="20:20">
      <c r="T9287" t="str">
        <f t="shared" si="157"/>
        <v/>
      </c>
    </row>
    <row r="9288" spans="20:20">
      <c r="T9288" t="str">
        <f t="shared" si="157"/>
        <v/>
      </c>
    </row>
    <row r="9289" spans="20:20">
      <c r="T9289" t="str">
        <f t="shared" si="157"/>
        <v/>
      </c>
    </row>
    <row r="9290" spans="20:20">
      <c r="T9290" t="str">
        <f t="shared" si="157"/>
        <v/>
      </c>
    </row>
    <row r="9291" spans="20:20">
      <c r="T9291" t="str">
        <f t="shared" si="157"/>
        <v/>
      </c>
    </row>
    <row r="9292" spans="20:20">
      <c r="T9292" t="str">
        <f t="shared" si="157"/>
        <v/>
      </c>
    </row>
    <row r="9293" spans="20:20">
      <c r="T9293" t="str">
        <f t="shared" si="157"/>
        <v/>
      </c>
    </row>
    <row r="9294" spans="20:20">
      <c r="T9294" t="str">
        <f t="shared" si="157"/>
        <v/>
      </c>
    </row>
    <row r="9295" spans="20:20">
      <c r="T9295" t="str">
        <f t="shared" si="157"/>
        <v/>
      </c>
    </row>
    <row r="9296" spans="20:20">
      <c r="T9296" t="str">
        <f t="shared" si="157"/>
        <v/>
      </c>
    </row>
    <row r="9297" spans="20:20">
      <c r="T9297" t="str">
        <f t="shared" si="157"/>
        <v/>
      </c>
    </row>
    <row r="9298" spans="20:20">
      <c r="T9298" t="str">
        <f t="shared" si="157"/>
        <v/>
      </c>
    </row>
    <row r="9299" spans="20:20">
      <c r="T9299" t="str">
        <f t="shared" si="157"/>
        <v/>
      </c>
    </row>
    <row r="9300" spans="20:20">
      <c r="T9300" t="str">
        <f t="shared" si="157"/>
        <v/>
      </c>
    </row>
    <row r="9301" spans="20:20">
      <c r="T9301" t="str">
        <f t="shared" si="157"/>
        <v/>
      </c>
    </row>
    <row r="9302" spans="20:20">
      <c r="T9302" t="str">
        <f t="shared" si="157"/>
        <v/>
      </c>
    </row>
    <row r="9303" spans="20:20">
      <c r="T9303" t="str">
        <f t="shared" si="157"/>
        <v/>
      </c>
    </row>
    <row r="9304" spans="20:20">
      <c r="T9304" t="str">
        <f t="shared" si="157"/>
        <v/>
      </c>
    </row>
    <row r="9305" spans="20:20">
      <c r="T9305" t="str">
        <f t="shared" si="157"/>
        <v/>
      </c>
    </row>
    <row r="9306" spans="20:20">
      <c r="T9306" t="str">
        <f t="shared" si="157"/>
        <v/>
      </c>
    </row>
    <row r="9307" spans="20:20">
      <c r="T9307" t="str">
        <f t="shared" si="157"/>
        <v/>
      </c>
    </row>
    <row r="9308" spans="20:20">
      <c r="T9308" t="str">
        <f t="shared" si="157"/>
        <v/>
      </c>
    </row>
    <row r="9309" spans="20:20">
      <c r="T9309" t="str">
        <f t="shared" si="157"/>
        <v/>
      </c>
    </row>
    <row r="9310" spans="20:20">
      <c r="T9310" t="str">
        <f t="shared" si="157"/>
        <v/>
      </c>
    </row>
    <row r="9311" spans="20:20">
      <c r="T9311" t="str">
        <f t="shared" si="157"/>
        <v/>
      </c>
    </row>
    <row r="9312" spans="20:20">
      <c r="T9312" t="str">
        <f t="shared" si="157"/>
        <v/>
      </c>
    </row>
    <row r="9313" spans="20:20">
      <c r="T9313" t="str">
        <f t="shared" si="157"/>
        <v/>
      </c>
    </row>
    <row r="9314" spans="20:20">
      <c r="T9314" t="str">
        <f t="shared" si="157"/>
        <v/>
      </c>
    </row>
    <row r="9315" spans="20:20">
      <c r="T9315" t="str">
        <f t="shared" si="157"/>
        <v/>
      </c>
    </row>
    <row r="9316" spans="20:20">
      <c r="T9316" t="str">
        <f t="shared" si="157"/>
        <v/>
      </c>
    </row>
    <row r="9317" spans="20:20">
      <c r="T9317" t="str">
        <f t="shared" si="157"/>
        <v/>
      </c>
    </row>
    <row r="9318" spans="20:20">
      <c r="T9318" t="str">
        <f t="shared" si="157"/>
        <v/>
      </c>
    </row>
    <row r="9319" spans="20:20">
      <c r="T9319" t="str">
        <f t="shared" si="157"/>
        <v/>
      </c>
    </row>
    <row r="9320" spans="20:20">
      <c r="T9320" t="str">
        <f t="shared" si="157"/>
        <v/>
      </c>
    </row>
    <row r="9321" spans="20:20">
      <c r="T9321" t="str">
        <f t="shared" si="157"/>
        <v/>
      </c>
    </row>
    <row r="9322" spans="20:20">
      <c r="T9322" t="str">
        <f t="shared" si="157"/>
        <v/>
      </c>
    </row>
    <row r="9323" spans="20:20">
      <c r="T9323" t="str">
        <f t="shared" si="157"/>
        <v/>
      </c>
    </row>
    <row r="9324" spans="20:20">
      <c r="T9324" t="str">
        <f t="shared" si="157"/>
        <v/>
      </c>
    </row>
    <row r="9325" spans="20:20">
      <c r="T9325" t="str">
        <f t="shared" si="157"/>
        <v/>
      </c>
    </row>
    <row r="9326" spans="20:20">
      <c r="T9326" t="str">
        <f t="shared" si="157"/>
        <v/>
      </c>
    </row>
    <row r="9327" spans="20:20">
      <c r="T9327" t="str">
        <f t="shared" si="157"/>
        <v/>
      </c>
    </row>
    <row r="9328" spans="20:20">
      <c r="T9328" t="str">
        <f t="shared" si="157"/>
        <v/>
      </c>
    </row>
    <row r="9329" spans="20:20">
      <c r="T9329" t="str">
        <f t="shared" si="157"/>
        <v/>
      </c>
    </row>
    <row r="9330" spans="20:20">
      <c r="T9330" t="str">
        <f t="shared" si="157"/>
        <v/>
      </c>
    </row>
    <row r="9331" spans="20:20">
      <c r="T9331" t="str">
        <f t="shared" si="157"/>
        <v/>
      </c>
    </row>
    <row r="9332" spans="20:20">
      <c r="T9332" t="str">
        <f t="shared" si="157"/>
        <v/>
      </c>
    </row>
    <row r="9333" spans="20:20">
      <c r="T9333" t="str">
        <f t="shared" si="157"/>
        <v/>
      </c>
    </row>
    <row r="9334" spans="20:20">
      <c r="T9334" t="str">
        <f t="shared" si="157"/>
        <v/>
      </c>
    </row>
    <row r="9335" spans="20:20">
      <c r="T9335" t="str">
        <f t="shared" si="157"/>
        <v/>
      </c>
    </row>
    <row r="9336" spans="20:20">
      <c r="T9336" t="str">
        <f t="shared" si="157"/>
        <v/>
      </c>
    </row>
    <row r="9337" spans="20:20">
      <c r="T9337" t="str">
        <f t="shared" si="157"/>
        <v/>
      </c>
    </row>
    <row r="9338" spans="20:20">
      <c r="T9338" t="str">
        <f t="shared" si="157"/>
        <v/>
      </c>
    </row>
    <row r="9339" spans="20:20">
      <c r="T9339" t="str">
        <f t="shared" si="157"/>
        <v/>
      </c>
    </row>
    <row r="9340" spans="20:20">
      <c r="T9340" t="str">
        <f t="shared" si="157"/>
        <v/>
      </c>
    </row>
    <row r="9341" spans="20:20">
      <c r="T9341" t="str">
        <f t="shared" si="157"/>
        <v/>
      </c>
    </row>
    <row r="9342" spans="20:20">
      <c r="T9342" t="str">
        <f t="shared" si="157"/>
        <v/>
      </c>
    </row>
    <row r="9343" spans="20:20">
      <c r="T9343" t="str">
        <f t="shared" si="157"/>
        <v/>
      </c>
    </row>
    <row r="9344" spans="20:20">
      <c r="T9344" t="str">
        <f t="shared" si="157"/>
        <v/>
      </c>
    </row>
    <row r="9345" spans="20:20">
      <c r="T9345" t="str">
        <f t="shared" si="157"/>
        <v/>
      </c>
    </row>
    <row r="9346" spans="20:20">
      <c r="T9346" t="str">
        <f t="shared" ref="T9346:T9409" si="158">IF(C9346="","",UPPER(LEFT(SUBSTITUTE(C9346," ",""),3))&amp;"-"&amp;TEXT(B9346,"AAMMDD")&amp;"-1")</f>
        <v/>
      </c>
    </row>
    <row r="9347" spans="20:20">
      <c r="T9347" t="str">
        <f t="shared" si="158"/>
        <v/>
      </c>
    </row>
    <row r="9348" spans="20:20">
      <c r="T9348" t="str">
        <f t="shared" si="158"/>
        <v/>
      </c>
    </row>
    <row r="9349" spans="20:20">
      <c r="T9349" t="str">
        <f t="shared" si="158"/>
        <v/>
      </c>
    </row>
    <row r="9350" spans="20:20">
      <c r="T9350" t="str">
        <f t="shared" si="158"/>
        <v/>
      </c>
    </row>
    <row r="9351" spans="20:20">
      <c r="T9351" t="str">
        <f t="shared" si="158"/>
        <v/>
      </c>
    </row>
    <row r="9352" spans="20:20">
      <c r="T9352" t="str">
        <f t="shared" si="158"/>
        <v/>
      </c>
    </row>
    <row r="9353" spans="20:20">
      <c r="T9353" t="str">
        <f t="shared" si="158"/>
        <v/>
      </c>
    </row>
    <row r="9354" spans="20:20">
      <c r="T9354" t="str">
        <f t="shared" si="158"/>
        <v/>
      </c>
    </row>
    <row r="9355" spans="20:20">
      <c r="T9355" t="str">
        <f t="shared" si="158"/>
        <v/>
      </c>
    </row>
    <row r="9356" spans="20:20">
      <c r="T9356" t="str">
        <f t="shared" si="158"/>
        <v/>
      </c>
    </row>
    <row r="9357" spans="20:20">
      <c r="T9357" t="str">
        <f t="shared" si="158"/>
        <v/>
      </c>
    </row>
    <row r="9358" spans="20:20">
      <c r="T9358" t="str">
        <f t="shared" si="158"/>
        <v/>
      </c>
    </row>
    <row r="9359" spans="20:20">
      <c r="T9359" t="str">
        <f t="shared" si="158"/>
        <v/>
      </c>
    </row>
    <row r="9360" spans="20:20">
      <c r="T9360" t="str">
        <f t="shared" si="158"/>
        <v/>
      </c>
    </row>
    <row r="9361" spans="20:20">
      <c r="T9361" t="str">
        <f t="shared" si="158"/>
        <v/>
      </c>
    </row>
    <row r="9362" spans="20:20">
      <c r="T9362" t="str">
        <f t="shared" si="158"/>
        <v/>
      </c>
    </row>
    <row r="9363" spans="20:20">
      <c r="T9363" t="str">
        <f t="shared" si="158"/>
        <v/>
      </c>
    </row>
    <row r="9364" spans="20:20">
      <c r="T9364" t="str">
        <f t="shared" si="158"/>
        <v/>
      </c>
    </row>
    <row r="9365" spans="20:20">
      <c r="T9365" t="str">
        <f t="shared" si="158"/>
        <v/>
      </c>
    </row>
    <row r="9366" spans="20:20">
      <c r="T9366" t="str">
        <f t="shared" si="158"/>
        <v/>
      </c>
    </row>
    <row r="9367" spans="20:20">
      <c r="T9367" t="str">
        <f t="shared" si="158"/>
        <v/>
      </c>
    </row>
    <row r="9368" spans="20:20">
      <c r="T9368" t="str">
        <f t="shared" si="158"/>
        <v/>
      </c>
    </row>
    <row r="9369" spans="20:20">
      <c r="T9369" t="str">
        <f t="shared" si="158"/>
        <v/>
      </c>
    </row>
    <row r="9370" spans="20:20">
      <c r="T9370" t="str">
        <f t="shared" si="158"/>
        <v/>
      </c>
    </row>
    <row r="9371" spans="20:20">
      <c r="T9371" t="str">
        <f t="shared" si="158"/>
        <v/>
      </c>
    </row>
    <row r="9372" spans="20:20">
      <c r="T9372" t="str">
        <f t="shared" si="158"/>
        <v/>
      </c>
    </row>
    <row r="9373" spans="20:20">
      <c r="T9373" t="str">
        <f t="shared" si="158"/>
        <v/>
      </c>
    </row>
    <row r="9374" spans="20:20">
      <c r="T9374" t="str">
        <f t="shared" si="158"/>
        <v/>
      </c>
    </row>
    <row r="9375" spans="20:20">
      <c r="T9375" t="str">
        <f t="shared" si="158"/>
        <v/>
      </c>
    </row>
    <row r="9376" spans="20:20">
      <c r="T9376" t="str">
        <f t="shared" si="158"/>
        <v/>
      </c>
    </row>
    <row r="9377" spans="20:20">
      <c r="T9377" t="str">
        <f t="shared" si="158"/>
        <v/>
      </c>
    </row>
    <row r="9378" spans="20:20">
      <c r="T9378" t="str">
        <f t="shared" si="158"/>
        <v/>
      </c>
    </row>
    <row r="9379" spans="20:20">
      <c r="T9379" t="str">
        <f t="shared" si="158"/>
        <v/>
      </c>
    </row>
    <row r="9380" spans="20:20">
      <c r="T9380" t="str">
        <f t="shared" si="158"/>
        <v/>
      </c>
    </row>
    <row r="9381" spans="20:20">
      <c r="T9381" t="str">
        <f t="shared" si="158"/>
        <v/>
      </c>
    </row>
    <row r="9382" spans="20:20">
      <c r="T9382" t="str">
        <f t="shared" si="158"/>
        <v/>
      </c>
    </row>
    <row r="9383" spans="20:20">
      <c r="T9383" t="str">
        <f t="shared" si="158"/>
        <v/>
      </c>
    </row>
    <row r="9384" spans="20:20">
      <c r="T9384" t="str">
        <f t="shared" si="158"/>
        <v/>
      </c>
    </row>
    <row r="9385" spans="20:20">
      <c r="T9385" t="str">
        <f t="shared" si="158"/>
        <v/>
      </c>
    </row>
    <row r="9386" spans="20:20">
      <c r="T9386" t="str">
        <f t="shared" si="158"/>
        <v/>
      </c>
    </row>
    <row r="9387" spans="20:20">
      <c r="T9387" t="str">
        <f t="shared" si="158"/>
        <v/>
      </c>
    </row>
    <row r="9388" spans="20:20">
      <c r="T9388" t="str">
        <f t="shared" si="158"/>
        <v/>
      </c>
    </row>
    <row r="9389" spans="20:20">
      <c r="T9389" t="str">
        <f t="shared" si="158"/>
        <v/>
      </c>
    </row>
    <row r="9390" spans="20:20">
      <c r="T9390" t="str">
        <f t="shared" si="158"/>
        <v/>
      </c>
    </row>
    <row r="9391" spans="20:20">
      <c r="T9391" t="str">
        <f t="shared" si="158"/>
        <v/>
      </c>
    </row>
    <row r="9392" spans="20:20">
      <c r="T9392" t="str">
        <f t="shared" si="158"/>
        <v/>
      </c>
    </row>
    <row r="9393" spans="20:20">
      <c r="T9393" t="str">
        <f t="shared" si="158"/>
        <v/>
      </c>
    </row>
    <row r="9394" spans="20:20">
      <c r="T9394" t="str">
        <f t="shared" si="158"/>
        <v/>
      </c>
    </row>
    <row r="9395" spans="20:20">
      <c r="T9395" t="str">
        <f t="shared" si="158"/>
        <v/>
      </c>
    </row>
    <row r="9396" spans="20:20">
      <c r="T9396" t="str">
        <f t="shared" si="158"/>
        <v/>
      </c>
    </row>
    <row r="9397" spans="20:20">
      <c r="T9397" t="str">
        <f t="shared" si="158"/>
        <v/>
      </c>
    </row>
    <row r="9398" spans="20:20">
      <c r="T9398" t="str">
        <f t="shared" si="158"/>
        <v/>
      </c>
    </row>
    <row r="9399" spans="20:20">
      <c r="T9399" t="str">
        <f t="shared" si="158"/>
        <v/>
      </c>
    </row>
    <row r="9400" spans="20:20">
      <c r="T9400" t="str">
        <f t="shared" si="158"/>
        <v/>
      </c>
    </row>
    <row r="9401" spans="20:20">
      <c r="T9401" t="str">
        <f t="shared" si="158"/>
        <v/>
      </c>
    </row>
    <row r="9402" spans="20:20">
      <c r="T9402" t="str">
        <f t="shared" si="158"/>
        <v/>
      </c>
    </row>
    <row r="9403" spans="20:20">
      <c r="T9403" t="str">
        <f t="shared" si="158"/>
        <v/>
      </c>
    </row>
    <row r="9404" spans="20:20">
      <c r="T9404" t="str">
        <f t="shared" si="158"/>
        <v/>
      </c>
    </row>
    <row r="9405" spans="20:20">
      <c r="T9405" t="str">
        <f t="shared" si="158"/>
        <v/>
      </c>
    </row>
    <row r="9406" spans="20:20">
      <c r="T9406" t="str">
        <f t="shared" si="158"/>
        <v/>
      </c>
    </row>
    <row r="9407" spans="20:20">
      <c r="T9407" t="str">
        <f t="shared" si="158"/>
        <v/>
      </c>
    </row>
    <row r="9408" spans="20:20">
      <c r="T9408" t="str">
        <f t="shared" si="158"/>
        <v/>
      </c>
    </row>
    <row r="9409" spans="20:20">
      <c r="T9409" t="str">
        <f t="shared" si="158"/>
        <v/>
      </c>
    </row>
    <row r="9410" spans="20:20">
      <c r="T9410" t="str">
        <f t="shared" ref="T9410:T9473" si="159">IF(C9410="","",UPPER(LEFT(SUBSTITUTE(C9410," ",""),3))&amp;"-"&amp;TEXT(B9410,"AAMMDD")&amp;"-1")</f>
        <v/>
      </c>
    </row>
    <row r="9411" spans="20:20">
      <c r="T9411" t="str">
        <f t="shared" si="159"/>
        <v/>
      </c>
    </row>
    <row r="9412" spans="20:20">
      <c r="T9412" t="str">
        <f t="shared" si="159"/>
        <v/>
      </c>
    </row>
    <row r="9413" spans="20:20">
      <c r="T9413" t="str">
        <f t="shared" si="159"/>
        <v/>
      </c>
    </row>
    <row r="9414" spans="20:20">
      <c r="T9414" t="str">
        <f t="shared" si="159"/>
        <v/>
      </c>
    </row>
    <row r="9415" spans="20:20">
      <c r="T9415" t="str">
        <f t="shared" si="159"/>
        <v/>
      </c>
    </row>
    <row r="9416" spans="20:20">
      <c r="T9416" t="str">
        <f t="shared" si="159"/>
        <v/>
      </c>
    </row>
    <row r="9417" spans="20:20">
      <c r="T9417" t="str">
        <f t="shared" si="159"/>
        <v/>
      </c>
    </row>
    <row r="9418" spans="20:20">
      <c r="T9418" t="str">
        <f t="shared" si="159"/>
        <v/>
      </c>
    </row>
    <row r="9419" spans="20:20">
      <c r="T9419" t="str">
        <f t="shared" si="159"/>
        <v/>
      </c>
    </row>
    <row r="9420" spans="20:20">
      <c r="T9420" t="str">
        <f t="shared" si="159"/>
        <v/>
      </c>
    </row>
    <row r="9421" spans="20:20">
      <c r="T9421" t="str">
        <f t="shared" si="159"/>
        <v/>
      </c>
    </row>
    <row r="9422" spans="20:20">
      <c r="T9422" t="str">
        <f t="shared" si="159"/>
        <v/>
      </c>
    </row>
    <row r="9423" spans="20:20">
      <c r="T9423" t="str">
        <f t="shared" si="159"/>
        <v/>
      </c>
    </row>
    <row r="9424" spans="20:20">
      <c r="T9424" t="str">
        <f t="shared" si="159"/>
        <v/>
      </c>
    </row>
    <row r="9425" spans="20:20">
      <c r="T9425" t="str">
        <f t="shared" si="159"/>
        <v/>
      </c>
    </row>
    <row r="9426" spans="20:20">
      <c r="T9426" t="str">
        <f t="shared" si="159"/>
        <v/>
      </c>
    </row>
    <row r="9427" spans="20:20">
      <c r="T9427" t="str">
        <f t="shared" si="159"/>
        <v/>
      </c>
    </row>
    <row r="9428" spans="20:20">
      <c r="T9428" t="str">
        <f t="shared" si="159"/>
        <v/>
      </c>
    </row>
    <row r="9429" spans="20:20">
      <c r="T9429" t="str">
        <f t="shared" si="159"/>
        <v/>
      </c>
    </row>
    <row r="9430" spans="20:20">
      <c r="T9430" t="str">
        <f t="shared" si="159"/>
        <v/>
      </c>
    </row>
    <row r="9431" spans="20:20">
      <c r="T9431" t="str">
        <f t="shared" si="159"/>
        <v/>
      </c>
    </row>
    <row r="9432" spans="20:20">
      <c r="T9432" t="str">
        <f t="shared" si="159"/>
        <v/>
      </c>
    </row>
    <row r="9433" spans="20:20">
      <c r="T9433" t="str">
        <f t="shared" si="159"/>
        <v/>
      </c>
    </row>
    <row r="9434" spans="20:20">
      <c r="T9434" t="str">
        <f t="shared" si="159"/>
        <v/>
      </c>
    </row>
    <row r="9435" spans="20:20">
      <c r="T9435" t="str">
        <f t="shared" si="159"/>
        <v/>
      </c>
    </row>
    <row r="9436" spans="20:20">
      <c r="T9436" t="str">
        <f t="shared" si="159"/>
        <v/>
      </c>
    </row>
    <row r="9437" spans="20:20">
      <c r="T9437" t="str">
        <f t="shared" si="159"/>
        <v/>
      </c>
    </row>
    <row r="9438" spans="20:20">
      <c r="T9438" t="str">
        <f t="shared" si="159"/>
        <v/>
      </c>
    </row>
    <row r="9439" spans="20:20">
      <c r="T9439" t="str">
        <f t="shared" si="159"/>
        <v/>
      </c>
    </row>
    <row r="9440" spans="20:20">
      <c r="T9440" t="str">
        <f t="shared" si="159"/>
        <v/>
      </c>
    </row>
    <row r="9441" spans="20:20">
      <c r="T9441" t="str">
        <f t="shared" si="159"/>
        <v/>
      </c>
    </row>
    <row r="9442" spans="20:20">
      <c r="T9442" t="str">
        <f t="shared" si="159"/>
        <v/>
      </c>
    </row>
    <row r="9443" spans="20:20">
      <c r="T9443" t="str">
        <f t="shared" si="159"/>
        <v/>
      </c>
    </row>
    <row r="9444" spans="20:20">
      <c r="T9444" t="str">
        <f t="shared" si="159"/>
        <v/>
      </c>
    </row>
    <row r="9445" spans="20:20">
      <c r="T9445" t="str">
        <f t="shared" si="159"/>
        <v/>
      </c>
    </row>
    <row r="9446" spans="20:20">
      <c r="T9446" t="str">
        <f t="shared" si="159"/>
        <v/>
      </c>
    </row>
    <row r="9447" spans="20:20">
      <c r="T9447" t="str">
        <f t="shared" si="159"/>
        <v/>
      </c>
    </row>
    <row r="9448" spans="20:20">
      <c r="T9448" t="str">
        <f t="shared" si="159"/>
        <v/>
      </c>
    </row>
    <row r="9449" spans="20:20">
      <c r="T9449" t="str">
        <f t="shared" si="159"/>
        <v/>
      </c>
    </row>
    <row r="9450" spans="20:20">
      <c r="T9450" t="str">
        <f t="shared" si="159"/>
        <v/>
      </c>
    </row>
    <row r="9451" spans="20:20">
      <c r="T9451" t="str">
        <f t="shared" si="159"/>
        <v/>
      </c>
    </row>
    <row r="9452" spans="20:20">
      <c r="T9452" t="str">
        <f t="shared" si="159"/>
        <v/>
      </c>
    </row>
    <row r="9453" spans="20:20">
      <c r="T9453" t="str">
        <f t="shared" si="159"/>
        <v/>
      </c>
    </row>
    <row r="9454" spans="20:20">
      <c r="T9454" t="str">
        <f t="shared" si="159"/>
        <v/>
      </c>
    </row>
    <row r="9455" spans="20:20">
      <c r="T9455" t="str">
        <f t="shared" si="159"/>
        <v/>
      </c>
    </row>
    <row r="9456" spans="20:20">
      <c r="T9456" t="str">
        <f t="shared" si="159"/>
        <v/>
      </c>
    </row>
    <row r="9457" spans="20:20">
      <c r="T9457" t="str">
        <f t="shared" si="159"/>
        <v/>
      </c>
    </row>
    <row r="9458" spans="20:20">
      <c r="T9458" t="str">
        <f t="shared" si="159"/>
        <v/>
      </c>
    </row>
    <row r="9459" spans="20:20">
      <c r="T9459" t="str">
        <f t="shared" si="159"/>
        <v/>
      </c>
    </row>
    <row r="9460" spans="20:20">
      <c r="T9460" t="str">
        <f t="shared" si="159"/>
        <v/>
      </c>
    </row>
    <row r="9461" spans="20:20">
      <c r="T9461" t="str">
        <f t="shared" si="159"/>
        <v/>
      </c>
    </row>
    <row r="9462" spans="20:20">
      <c r="T9462" t="str">
        <f t="shared" si="159"/>
        <v/>
      </c>
    </row>
    <row r="9463" spans="20:20">
      <c r="T9463" t="str">
        <f t="shared" si="159"/>
        <v/>
      </c>
    </row>
    <row r="9464" spans="20:20">
      <c r="T9464" t="str">
        <f t="shared" si="159"/>
        <v/>
      </c>
    </row>
    <row r="9465" spans="20:20">
      <c r="T9465" t="str">
        <f t="shared" si="159"/>
        <v/>
      </c>
    </row>
    <row r="9466" spans="20:20">
      <c r="T9466" t="str">
        <f t="shared" si="159"/>
        <v/>
      </c>
    </row>
    <row r="9467" spans="20:20">
      <c r="T9467" t="str">
        <f t="shared" si="159"/>
        <v/>
      </c>
    </row>
    <row r="9468" spans="20:20">
      <c r="T9468" t="str">
        <f t="shared" si="159"/>
        <v/>
      </c>
    </row>
    <row r="9469" spans="20:20">
      <c r="T9469" t="str">
        <f t="shared" si="159"/>
        <v/>
      </c>
    </row>
    <row r="9470" spans="20:20">
      <c r="T9470" t="str">
        <f t="shared" si="159"/>
        <v/>
      </c>
    </row>
    <row r="9471" spans="20:20">
      <c r="T9471" t="str">
        <f t="shared" si="159"/>
        <v/>
      </c>
    </row>
    <row r="9472" spans="20:20">
      <c r="T9472" t="str">
        <f t="shared" si="159"/>
        <v/>
      </c>
    </row>
    <row r="9473" spans="20:20">
      <c r="T9473" t="str">
        <f t="shared" si="159"/>
        <v/>
      </c>
    </row>
    <row r="9474" spans="20:20">
      <c r="T9474" t="str">
        <f t="shared" ref="T9474:T9537" si="160">IF(C9474="","",UPPER(LEFT(SUBSTITUTE(C9474," ",""),3))&amp;"-"&amp;TEXT(B9474,"AAMMDD")&amp;"-1")</f>
        <v/>
      </c>
    </row>
    <row r="9475" spans="20:20">
      <c r="T9475" t="str">
        <f t="shared" si="160"/>
        <v/>
      </c>
    </row>
    <row r="9476" spans="20:20">
      <c r="T9476" t="str">
        <f t="shared" si="160"/>
        <v/>
      </c>
    </row>
    <row r="9477" spans="20:20">
      <c r="T9477" t="str">
        <f t="shared" si="160"/>
        <v/>
      </c>
    </row>
    <row r="9478" spans="20:20">
      <c r="T9478" t="str">
        <f t="shared" si="160"/>
        <v/>
      </c>
    </row>
    <row r="9479" spans="20:20">
      <c r="T9479" t="str">
        <f t="shared" si="160"/>
        <v/>
      </c>
    </row>
    <row r="9480" spans="20:20">
      <c r="T9480" t="str">
        <f t="shared" si="160"/>
        <v/>
      </c>
    </row>
    <row r="9481" spans="20:20">
      <c r="T9481" t="str">
        <f t="shared" si="160"/>
        <v/>
      </c>
    </row>
    <row r="9482" spans="20:20">
      <c r="T9482" t="str">
        <f t="shared" si="160"/>
        <v/>
      </c>
    </row>
    <row r="9483" spans="20:20">
      <c r="T9483" t="str">
        <f t="shared" si="160"/>
        <v/>
      </c>
    </row>
    <row r="9484" spans="20:20">
      <c r="T9484" t="str">
        <f t="shared" si="160"/>
        <v/>
      </c>
    </row>
    <row r="9485" spans="20:20">
      <c r="T9485" t="str">
        <f t="shared" si="160"/>
        <v/>
      </c>
    </row>
    <row r="9486" spans="20:20">
      <c r="T9486" t="str">
        <f t="shared" si="160"/>
        <v/>
      </c>
    </row>
    <row r="9487" spans="20:20">
      <c r="T9487" t="str">
        <f t="shared" si="160"/>
        <v/>
      </c>
    </row>
    <row r="9488" spans="20:20">
      <c r="T9488" t="str">
        <f t="shared" si="160"/>
        <v/>
      </c>
    </row>
    <row r="9489" spans="20:20">
      <c r="T9489" t="str">
        <f t="shared" si="160"/>
        <v/>
      </c>
    </row>
    <row r="9490" spans="20:20">
      <c r="T9490" t="str">
        <f t="shared" si="160"/>
        <v/>
      </c>
    </row>
    <row r="9491" spans="20:20">
      <c r="T9491" t="str">
        <f t="shared" si="160"/>
        <v/>
      </c>
    </row>
    <row r="9492" spans="20:20">
      <c r="T9492" t="str">
        <f t="shared" si="160"/>
        <v/>
      </c>
    </row>
    <row r="9493" spans="20:20">
      <c r="T9493" t="str">
        <f t="shared" si="160"/>
        <v/>
      </c>
    </row>
    <row r="9494" spans="20:20">
      <c r="T9494" t="str">
        <f t="shared" si="160"/>
        <v/>
      </c>
    </row>
    <row r="9495" spans="20:20">
      <c r="T9495" t="str">
        <f t="shared" si="160"/>
        <v/>
      </c>
    </row>
    <row r="9496" spans="20:20">
      <c r="T9496" t="str">
        <f t="shared" si="160"/>
        <v/>
      </c>
    </row>
    <row r="9497" spans="20:20">
      <c r="T9497" t="str">
        <f t="shared" si="160"/>
        <v/>
      </c>
    </row>
    <row r="9498" spans="20:20">
      <c r="T9498" t="str">
        <f t="shared" si="160"/>
        <v/>
      </c>
    </row>
    <row r="9499" spans="20:20">
      <c r="T9499" t="str">
        <f t="shared" si="160"/>
        <v/>
      </c>
    </row>
    <row r="9500" spans="20:20">
      <c r="T9500" t="str">
        <f t="shared" si="160"/>
        <v/>
      </c>
    </row>
    <row r="9501" spans="20:20">
      <c r="T9501" t="str">
        <f t="shared" si="160"/>
        <v/>
      </c>
    </row>
    <row r="9502" spans="20:20">
      <c r="T9502" t="str">
        <f t="shared" si="160"/>
        <v/>
      </c>
    </row>
    <row r="9503" spans="20:20">
      <c r="T9503" t="str">
        <f t="shared" si="160"/>
        <v/>
      </c>
    </row>
    <row r="9504" spans="20:20">
      <c r="T9504" t="str">
        <f t="shared" si="160"/>
        <v/>
      </c>
    </row>
    <row r="9505" spans="20:20">
      <c r="T9505" t="str">
        <f t="shared" si="160"/>
        <v/>
      </c>
    </row>
    <row r="9506" spans="20:20">
      <c r="T9506" t="str">
        <f t="shared" si="160"/>
        <v/>
      </c>
    </row>
    <row r="9507" spans="20:20">
      <c r="T9507" t="str">
        <f t="shared" si="160"/>
        <v/>
      </c>
    </row>
    <row r="9508" spans="20:20">
      <c r="T9508" t="str">
        <f t="shared" si="160"/>
        <v/>
      </c>
    </row>
    <row r="9509" spans="20:20">
      <c r="T9509" t="str">
        <f t="shared" si="160"/>
        <v/>
      </c>
    </row>
    <row r="9510" spans="20:20">
      <c r="T9510" t="str">
        <f t="shared" si="160"/>
        <v/>
      </c>
    </row>
    <row r="9511" spans="20:20">
      <c r="T9511" t="str">
        <f t="shared" si="160"/>
        <v/>
      </c>
    </row>
    <row r="9512" spans="20:20">
      <c r="T9512" t="str">
        <f t="shared" si="160"/>
        <v/>
      </c>
    </row>
    <row r="9513" spans="20:20">
      <c r="T9513" t="str">
        <f t="shared" si="160"/>
        <v/>
      </c>
    </row>
    <row r="9514" spans="20:20">
      <c r="T9514" t="str">
        <f t="shared" si="160"/>
        <v/>
      </c>
    </row>
    <row r="9515" spans="20:20">
      <c r="T9515" t="str">
        <f t="shared" si="160"/>
        <v/>
      </c>
    </row>
    <row r="9516" spans="20:20">
      <c r="T9516" t="str">
        <f t="shared" si="160"/>
        <v/>
      </c>
    </row>
    <row r="9517" spans="20:20">
      <c r="T9517" t="str">
        <f t="shared" si="160"/>
        <v/>
      </c>
    </row>
    <row r="9518" spans="20:20">
      <c r="T9518" t="str">
        <f t="shared" si="160"/>
        <v/>
      </c>
    </row>
    <row r="9519" spans="20:20">
      <c r="T9519" t="str">
        <f t="shared" si="160"/>
        <v/>
      </c>
    </row>
    <row r="9520" spans="20:20">
      <c r="T9520" t="str">
        <f t="shared" si="160"/>
        <v/>
      </c>
    </row>
    <row r="9521" spans="20:20">
      <c r="T9521" t="str">
        <f t="shared" si="160"/>
        <v/>
      </c>
    </row>
    <row r="9522" spans="20:20">
      <c r="T9522" t="str">
        <f t="shared" si="160"/>
        <v/>
      </c>
    </row>
    <row r="9523" spans="20:20">
      <c r="T9523" t="str">
        <f t="shared" si="160"/>
        <v/>
      </c>
    </row>
    <row r="9524" spans="20:20">
      <c r="T9524" t="str">
        <f t="shared" si="160"/>
        <v/>
      </c>
    </row>
    <row r="9525" spans="20:20">
      <c r="T9525" t="str">
        <f t="shared" si="160"/>
        <v/>
      </c>
    </row>
    <row r="9526" spans="20:20">
      <c r="T9526" t="str">
        <f t="shared" si="160"/>
        <v/>
      </c>
    </row>
    <row r="9527" spans="20:20">
      <c r="T9527" t="str">
        <f t="shared" si="160"/>
        <v/>
      </c>
    </row>
    <row r="9528" spans="20:20">
      <c r="T9528" t="str">
        <f t="shared" si="160"/>
        <v/>
      </c>
    </row>
    <row r="9529" spans="20:20">
      <c r="T9529" t="str">
        <f t="shared" si="160"/>
        <v/>
      </c>
    </row>
    <row r="9530" spans="20:20">
      <c r="T9530" t="str">
        <f t="shared" si="160"/>
        <v/>
      </c>
    </row>
    <row r="9531" spans="20:20">
      <c r="T9531" t="str">
        <f t="shared" si="160"/>
        <v/>
      </c>
    </row>
    <row r="9532" spans="20:20">
      <c r="T9532" t="str">
        <f t="shared" si="160"/>
        <v/>
      </c>
    </row>
    <row r="9533" spans="20:20">
      <c r="T9533" t="str">
        <f t="shared" si="160"/>
        <v/>
      </c>
    </row>
    <row r="9534" spans="20:20">
      <c r="T9534" t="str">
        <f t="shared" si="160"/>
        <v/>
      </c>
    </row>
    <row r="9535" spans="20:20">
      <c r="T9535" t="str">
        <f t="shared" si="160"/>
        <v/>
      </c>
    </row>
    <row r="9536" spans="20:20">
      <c r="T9536" t="str">
        <f t="shared" si="160"/>
        <v/>
      </c>
    </row>
    <row r="9537" spans="20:20">
      <c r="T9537" t="str">
        <f t="shared" si="160"/>
        <v/>
      </c>
    </row>
    <row r="9538" spans="20:20">
      <c r="T9538" t="str">
        <f t="shared" ref="T9538:T9601" si="161">IF(C9538="","",UPPER(LEFT(SUBSTITUTE(C9538," ",""),3))&amp;"-"&amp;TEXT(B9538,"AAMMDD")&amp;"-1")</f>
        <v/>
      </c>
    </row>
    <row r="9539" spans="20:20">
      <c r="T9539" t="str">
        <f t="shared" si="161"/>
        <v/>
      </c>
    </row>
    <row r="9540" spans="20:20">
      <c r="T9540" t="str">
        <f t="shared" si="161"/>
        <v/>
      </c>
    </row>
    <row r="9541" spans="20:20">
      <c r="T9541" t="str">
        <f t="shared" si="161"/>
        <v/>
      </c>
    </row>
    <row r="9542" spans="20:20">
      <c r="T9542" t="str">
        <f t="shared" si="161"/>
        <v/>
      </c>
    </row>
    <row r="9543" spans="20:20">
      <c r="T9543" t="str">
        <f t="shared" si="161"/>
        <v/>
      </c>
    </row>
    <row r="9544" spans="20:20">
      <c r="T9544" t="str">
        <f t="shared" si="161"/>
        <v/>
      </c>
    </row>
    <row r="9545" spans="20:20">
      <c r="T9545" t="str">
        <f t="shared" si="161"/>
        <v/>
      </c>
    </row>
    <row r="9546" spans="20:20">
      <c r="T9546" t="str">
        <f t="shared" si="161"/>
        <v/>
      </c>
    </row>
    <row r="9547" spans="20:20">
      <c r="T9547" t="str">
        <f t="shared" si="161"/>
        <v/>
      </c>
    </row>
    <row r="9548" spans="20:20">
      <c r="T9548" t="str">
        <f t="shared" si="161"/>
        <v/>
      </c>
    </row>
    <row r="9549" spans="20:20">
      <c r="T9549" t="str">
        <f t="shared" si="161"/>
        <v/>
      </c>
    </row>
    <row r="9550" spans="20:20">
      <c r="T9550" t="str">
        <f t="shared" si="161"/>
        <v/>
      </c>
    </row>
    <row r="9551" spans="20:20">
      <c r="T9551" t="str">
        <f t="shared" si="161"/>
        <v/>
      </c>
    </row>
    <row r="9552" spans="20:20">
      <c r="T9552" t="str">
        <f t="shared" si="161"/>
        <v/>
      </c>
    </row>
    <row r="9553" spans="20:20">
      <c r="T9553" t="str">
        <f t="shared" si="161"/>
        <v/>
      </c>
    </row>
    <row r="9554" spans="20:20">
      <c r="T9554" t="str">
        <f t="shared" si="161"/>
        <v/>
      </c>
    </row>
    <row r="9555" spans="20:20">
      <c r="T9555" t="str">
        <f t="shared" si="161"/>
        <v/>
      </c>
    </row>
    <row r="9556" spans="20:20">
      <c r="T9556" t="str">
        <f t="shared" si="161"/>
        <v/>
      </c>
    </row>
    <row r="9557" spans="20:20">
      <c r="T9557" t="str">
        <f t="shared" si="161"/>
        <v/>
      </c>
    </row>
    <row r="9558" spans="20:20">
      <c r="T9558" t="str">
        <f t="shared" si="161"/>
        <v/>
      </c>
    </row>
    <row r="9559" spans="20:20">
      <c r="T9559" t="str">
        <f t="shared" si="161"/>
        <v/>
      </c>
    </row>
    <row r="9560" spans="20:20">
      <c r="T9560" t="str">
        <f t="shared" si="161"/>
        <v/>
      </c>
    </row>
    <row r="9561" spans="20:20">
      <c r="T9561" t="str">
        <f t="shared" si="161"/>
        <v/>
      </c>
    </row>
    <row r="9562" spans="20:20">
      <c r="T9562" t="str">
        <f t="shared" si="161"/>
        <v/>
      </c>
    </row>
    <row r="9563" spans="20:20">
      <c r="T9563" t="str">
        <f t="shared" si="161"/>
        <v/>
      </c>
    </row>
    <row r="9564" spans="20:20">
      <c r="T9564" t="str">
        <f t="shared" si="161"/>
        <v/>
      </c>
    </row>
    <row r="9565" spans="20:20">
      <c r="T9565" t="str">
        <f t="shared" si="161"/>
        <v/>
      </c>
    </row>
    <row r="9566" spans="20:20">
      <c r="T9566" t="str">
        <f t="shared" si="161"/>
        <v/>
      </c>
    </row>
    <row r="9567" spans="20:20">
      <c r="T9567" t="str">
        <f t="shared" si="161"/>
        <v/>
      </c>
    </row>
    <row r="9568" spans="20:20">
      <c r="T9568" t="str">
        <f t="shared" si="161"/>
        <v/>
      </c>
    </row>
    <row r="9569" spans="20:20">
      <c r="T9569" t="str">
        <f t="shared" si="161"/>
        <v/>
      </c>
    </row>
    <row r="9570" spans="20:20">
      <c r="T9570" t="str">
        <f t="shared" si="161"/>
        <v/>
      </c>
    </row>
    <row r="9571" spans="20:20">
      <c r="T9571" t="str">
        <f t="shared" si="161"/>
        <v/>
      </c>
    </row>
    <row r="9572" spans="20:20">
      <c r="T9572" t="str">
        <f t="shared" si="161"/>
        <v/>
      </c>
    </row>
    <row r="9573" spans="20:20">
      <c r="T9573" t="str">
        <f t="shared" si="161"/>
        <v/>
      </c>
    </row>
    <row r="9574" spans="20:20">
      <c r="T9574" t="str">
        <f t="shared" si="161"/>
        <v/>
      </c>
    </row>
    <row r="9575" spans="20:20">
      <c r="T9575" t="str">
        <f t="shared" si="161"/>
        <v/>
      </c>
    </row>
    <row r="9576" spans="20:20">
      <c r="T9576" t="str">
        <f t="shared" si="161"/>
        <v/>
      </c>
    </row>
    <row r="9577" spans="20:20">
      <c r="T9577" t="str">
        <f t="shared" si="161"/>
        <v/>
      </c>
    </row>
    <row r="9578" spans="20:20">
      <c r="T9578" t="str">
        <f t="shared" si="161"/>
        <v/>
      </c>
    </row>
    <row r="9579" spans="20:20">
      <c r="T9579" t="str">
        <f t="shared" si="161"/>
        <v/>
      </c>
    </row>
    <row r="9580" spans="20:20">
      <c r="T9580" t="str">
        <f t="shared" si="161"/>
        <v/>
      </c>
    </row>
    <row r="9581" spans="20:20">
      <c r="T9581" t="str">
        <f t="shared" si="161"/>
        <v/>
      </c>
    </row>
    <row r="9582" spans="20:20">
      <c r="T9582" t="str">
        <f t="shared" si="161"/>
        <v/>
      </c>
    </row>
    <row r="9583" spans="20:20">
      <c r="T9583" t="str">
        <f t="shared" si="161"/>
        <v/>
      </c>
    </row>
    <row r="9584" spans="20:20">
      <c r="T9584" t="str">
        <f t="shared" si="161"/>
        <v/>
      </c>
    </row>
    <row r="9585" spans="20:20">
      <c r="T9585" t="str">
        <f t="shared" si="161"/>
        <v/>
      </c>
    </row>
    <row r="9586" spans="20:20">
      <c r="T9586" t="str">
        <f t="shared" si="161"/>
        <v/>
      </c>
    </row>
    <row r="9587" spans="20:20">
      <c r="T9587" t="str">
        <f t="shared" si="161"/>
        <v/>
      </c>
    </row>
    <row r="9588" spans="20:20">
      <c r="T9588" t="str">
        <f t="shared" si="161"/>
        <v/>
      </c>
    </row>
    <row r="9589" spans="20:20">
      <c r="T9589" t="str">
        <f t="shared" si="161"/>
        <v/>
      </c>
    </row>
    <row r="9590" spans="20:20">
      <c r="T9590" t="str">
        <f t="shared" si="161"/>
        <v/>
      </c>
    </row>
    <row r="9591" spans="20:20">
      <c r="T9591" t="str">
        <f t="shared" si="161"/>
        <v/>
      </c>
    </row>
    <row r="9592" spans="20:20">
      <c r="T9592" t="str">
        <f t="shared" si="161"/>
        <v/>
      </c>
    </row>
    <row r="9593" spans="20:20">
      <c r="T9593" t="str">
        <f t="shared" si="161"/>
        <v/>
      </c>
    </row>
    <row r="9594" spans="20:20">
      <c r="T9594" t="str">
        <f t="shared" si="161"/>
        <v/>
      </c>
    </row>
    <row r="9595" spans="20:20">
      <c r="T9595" t="str">
        <f t="shared" si="161"/>
        <v/>
      </c>
    </row>
    <row r="9596" spans="20:20">
      <c r="T9596" t="str">
        <f t="shared" si="161"/>
        <v/>
      </c>
    </row>
    <row r="9597" spans="20:20">
      <c r="T9597" t="str">
        <f t="shared" si="161"/>
        <v/>
      </c>
    </row>
    <row r="9598" spans="20:20">
      <c r="T9598" t="str">
        <f t="shared" si="161"/>
        <v/>
      </c>
    </row>
    <row r="9599" spans="20:20">
      <c r="T9599" t="str">
        <f t="shared" si="161"/>
        <v/>
      </c>
    </row>
    <row r="9600" spans="20:20">
      <c r="T9600" t="str">
        <f t="shared" si="161"/>
        <v/>
      </c>
    </row>
    <row r="9601" spans="20:20">
      <c r="T9601" t="str">
        <f t="shared" si="161"/>
        <v/>
      </c>
    </row>
    <row r="9602" spans="20:20">
      <c r="T9602" t="str">
        <f t="shared" ref="T9602:T9665" si="162">IF(C9602="","",UPPER(LEFT(SUBSTITUTE(C9602," ",""),3))&amp;"-"&amp;TEXT(B9602,"AAMMDD")&amp;"-1")</f>
        <v/>
      </c>
    </row>
    <row r="9603" spans="20:20">
      <c r="T9603" t="str">
        <f t="shared" si="162"/>
        <v/>
      </c>
    </row>
    <row r="9604" spans="20:20">
      <c r="T9604" t="str">
        <f t="shared" si="162"/>
        <v/>
      </c>
    </row>
    <row r="9605" spans="20:20">
      <c r="T9605" t="str">
        <f t="shared" si="162"/>
        <v/>
      </c>
    </row>
    <row r="9606" spans="20:20">
      <c r="T9606" t="str">
        <f t="shared" si="162"/>
        <v/>
      </c>
    </row>
    <row r="9607" spans="20:20">
      <c r="T9607" t="str">
        <f t="shared" si="162"/>
        <v/>
      </c>
    </row>
    <row r="9608" spans="20:20">
      <c r="T9608" t="str">
        <f t="shared" si="162"/>
        <v/>
      </c>
    </row>
    <row r="9609" spans="20:20">
      <c r="T9609" t="str">
        <f t="shared" si="162"/>
        <v/>
      </c>
    </row>
    <row r="9610" spans="20:20">
      <c r="T9610" t="str">
        <f t="shared" si="162"/>
        <v/>
      </c>
    </row>
    <row r="9611" spans="20:20">
      <c r="T9611" t="str">
        <f t="shared" si="162"/>
        <v/>
      </c>
    </row>
    <row r="9612" spans="20:20">
      <c r="T9612" t="str">
        <f t="shared" si="162"/>
        <v/>
      </c>
    </row>
    <row r="9613" spans="20:20">
      <c r="T9613" t="str">
        <f t="shared" si="162"/>
        <v/>
      </c>
    </row>
    <row r="9614" spans="20:20">
      <c r="T9614" t="str">
        <f t="shared" si="162"/>
        <v/>
      </c>
    </row>
    <row r="9615" spans="20:20">
      <c r="T9615" t="str">
        <f t="shared" si="162"/>
        <v/>
      </c>
    </row>
    <row r="9616" spans="20:20">
      <c r="T9616" t="str">
        <f t="shared" si="162"/>
        <v/>
      </c>
    </row>
    <row r="9617" spans="20:20">
      <c r="T9617" t="str">
        <f t="shared" si="162"/>
        <v/>
      </c>
    </row>
    <row r="9618" spans="20:20">
      <c r="T9618" t="str">
        <f t="shared" si="162"/>
        <v/>
      </c>
    </row>
    <row r="9619" spans="20:20">
      <c r="T9619" t="str">
        <f t="shared" si="162"/>
        <v/>
      </c>
    </row>
    <row r="9620" spans="20:20">
      <c r="T9620" t="str">
        <f t="shared" si="162"/>
        <v/>
      </c>
    </row>
    <row r="9621" spans="20:20">
      <c r="T9621" t="str">
        <f t="shared" si="162"/>
        <v/>
      </c>
    </row>
    <row r="9622" spans="20:20">
      <c r="T9622" t="str">
        <f t="shared" si="162"/>
        <v/>
      </c>
    </row>
    <row r="9623" spans="20:20">
      <c r="T9623" t="str">
        <f t="shared" si="162"/>
        <v/>
      </c>
    </row>
    <row r="9624" spans="20:20">
      <c r="T9624" t="str">
        <f t="shared" si="162"/>
        <v/>
      </c>
    </row>
    <row r="9625" spans="20:20">
      <c r="T9625" t="str">
        <f t="shared" si="162"/>
        <v/>
      </c>
    </row>
    <row r="9626" spans="20:20">
      <c r="T9626" t="str">
        <f t="shared" si="162"/>
        <v/>
      </c>
    </row>
    <row r="9627" spans="20:20">
      <c r="T9627" t="str">
        <f t="shared" si="162"/>
        <v/>
      </c>
    </row>
    <row r="9628" spans="20:20">
      <c r="T9628" t="str">
        <f t="shared" si="162"/>
        <v/>
      </c>
    </row>
    <row r="9629" spans="20:20">
      <c r="T9629" t="str">
        <f t="shared" si="162"/>
        <v/>
      </c>
    </row>
    <row r="9630" spans="20:20">
      <c r="T9630" t="str">
        <f t="shared" si="162"/>
        <v/>
      </c>
    </row>
    <row r="9631" spans="20:20">
      <c r="T9631" t="str">
        <f t="shared" si="162"/>
        <v/>
      </c>
    </row>
    <row r="9632" spans="20:20">
      <c r="T9632" t="str">
        <f t="shared" si="162"/>
        <v/>
      </c>
    </row>
    <row r="9633" spans="20:20">
      <c r="T9633" t="str">
        <f t="shared" si="162"/>
        <v/>
      </c>
    </row>
    <row r="9634" spans="20:20">
      <c r="T9634" t="str">
        <f t="shared" si="162"/>
        <v/>
      </c>
    </row>
    <row r="9635" spans="20:20">
      <c r="T9635" t="str">
        <f t="shared" si="162"/>
        <v/>
      </c>
    </row>
    <row r="9636" spans="20:20">
      <c r="T9636" t="str">
        <f t="shared" si="162"/>
        <v/>
      </c>
    </row>
    <row r="9637" spans="20:20">
      <c r="T9637" t="str">
        <f t="shared" si="162"/>
        <v/>
      </c>
    </row>
    <row r="9638" spans="20:20">
      <c r="T9638" t="str">
        <f t="shared" si="162"/>
        <v/>
      </c>
    </row>
    <row r="9639" spans="20:20">
      <c r="T9639" t="str">
        <f t="shared" si="162"/>
        <v/>
      </c>
    </row>
    <row r="9640" spans="20:20">
      <c r="T9640" t="str">
        <f t="shared" si="162"/>
        <v/>
      </c>
    </row>
    <row r="9641" spans="20:20">
      <c r="T9641" t="str">
        <f t="shared" si="162"/>
        <v/>
      </c>
    </row>
    <row r="9642" spans="20:20">
      <c r="T9642" t="str">
        <f t="shared" si="162"/>
        <v/>
      </c>
    </row>
    <row r="9643" spans="20:20">
      <c r="T9643" t="str">
        <f t="shared" si="162"/>
        <v/>
      </c>
    </row>
    <row r="9644" spans="20:20">
      <c r="T9644" t="str">
        <f t="shared" si="162"/>
        <v/>
      </c>
    </row>
    <row r="9645" spans="20:20">
      <c r="T9645" t="str">
        <f t="shared" si="162"/>
        <v/>
      </c>
    </row>
    <row r="9646" spans="20:20">
      <c r="T9646" t="str">
        <f t="shared" si="162"/>
        <v/>
      </c>
    </row>
    <row r="9647" spans="20:20">
      <c r="T9647" t="str">
        <f t="shared" si="162"/>
        <v/>
      </c>
    </row>
    <row r="9648" spans="20:20">
      <c r="T9648" t="str">
        <f t="shared" si="162"/>
        <v/>
      </c>
    </row>
    <row r="9649" spans="20:20">
      <c r="T9649" t="str">
        <f t="shared" si="162"/>
        <v/>
      </c>
    </row>
    <row r="9650" spans="20:20">
      <c r="T9650" t="str">
        <f t="shared" si="162"/>
        <v/>
      </c>
    </row>
    <row r="9651" spans="20:20">
      <c r="T9651" t="str">
        <f t="shared" si="162"/>
        <v/>
      </c>
    </row>
    <row r="9652" spans="20:20">
      <c r="T9652" t="str">
        <f t="shared" si="162"/>
        <v/>
      </c>
    </row>
    <row r="9653" spans="20:20">
      <c r="T9653" t="str">
        <f t="shared" si="162"/>
        <v/>
      </c>
    </row>
    <row r="9654" spans="20:20">
      <c r="T9654" t="str">
        <f t="shared" si="162"/>
        <v/>
      </c>
    </row>
    <row r="9655" spans="20:20">
      <c r="T9655" t="str">
        <f t="shared" si="162"/>
        <v/>
      </c>
    </row>
    <row r="9656" spans="20:20">
      <c r="T9656" t="str">
        <f t="shared" si="162"/>
        <v/>
      </c>
    </row>
    <row r="9657" spans="20:20">
      <c r="T9657" t="str">
        <f t="shared" si="162"/>
        <v/>
      </c>
    </row>
    <row r="9658" spans="20:20">
      <c r="T9658" t="str">
        <f t="shared" si="162"/>
        <v/>
      </c>
    </row>
    <row r="9659" spans="20:20">
      <c r="T9659" t="str">
        <f t="shared" si="162"/>
        <v/>
      </c>
    </row>
    <row r="9660" spans="20:20">
      <c r="T9660" t="str">
        <f t="shared" si="162"/>
        <v/>
      </c>
    </row>
    <row r="9661" spans="20:20">
      <c r="T9661" t="str">
        <f t="shared" si="162"/>
        <v/>
      </c>
    </row>
    <row r="9662" spans="20:20">
      <c r="T9662" t="str">
        <f t="shared" si="162"/>
        <v/>
      </c>
    </row>
    <row r="9663" spans="20:20">
      <c r="T9663" t="str">
        <f t="shared" si="162"/>
        <v/>
      </c>
    </row>
    <row r="9664" spans="20:20">
      <c r="T9664" t="str">
        <f t="shared" si="162"/>
        <v/>
      </c>
    </row>
    <row r="9665" spans="20:20">
      <c r="T9665" t="str">
        <f t="shared" si="162"/>
        <v/>
      </c>
    </row>
    <row r="9666" spans="20:20">
      <c r="T9666" t="str">
        <f t="shared" ref="T9666:T9729" si="163">IF(C9666="","",UPPER(LEFT(SUBSTITUTE(C9666," ",""),3))&amp;"-"&amp;TEXT(B9666,"AAMMDD")&amp;"-1")</f>
        <v/>
      </c>
    </row>
    <row r="9667" spans="20:20">
      <c r="T9667" t="str">
        <f t="shared" si="163"/>
        <v/>
      </c>
    </row>
    <row r="9668" spans="20:20">
      <c r="T9668" t="str">
        <f t="shared" si="163"/>
        <v/>
      </c>
    </row>
    <row r="9669" spans="20:20">
      <c r="T9669" t="str">
        <f t="shared" si="163"/>
        <v/>
      </c>
    </row>
    <row r="9670" spans="20:20">
      <c r="T9670" t="str">
        <f t="shared" si="163"/>
        <v/>
      </c>
    </row>
    <row r="9671" spans="20:20">
      <c r="T9671" t="str">
        <f t="shared" si="163"/>
        <v/>
      </c>
    </row>
    <row r="9672" spans="20:20">
      <c r="T9672" t="str">
        <f t="shared" si="163"/>
        <v/>
      </c>
    </row>
    <row r="9673" spans="20:20">
      <c r="T9673" t="str">
        <f t="shared" si="163"/>
        <v/>
      </c>
    </row>
    <row r="9674" spans="20:20">
      <c r="T9674" t="str">
        <f t="shared" si="163"/>
        <v/>
      </c>
    </row>
    <row r="9675" spans="20:20">
      <c r="T9675" t="str">
        <f t="shared" si="163"/>
        <v/>
      </c>
    </row>
    <row r="9676" spans="20:20">
      <c r="T9676" t="str">
        <f t="shared" si="163"/>
        <v/>
      </c>
    </row>
    <row r="9677" spans="20:20">
      <c r="T9677" t="str">
        <f t="shared" si="163"/>
        <v/>
      </c>
    </row>
    <row r="9678" spans="20:20">
      <c r="T9678" t="str">
        <f t="shared" si="163"/>
        <v/>
      </c>
    </row>
    <row r="9679" spans="20:20">
      <c r="T9679" t="str">
        <f t="shared" si="163"/>
        <v/>
      </c>
    </row>
    <row r="9680" spans="20:20">
      <c r="T9680" t="str">
        <f t="shared" si="163"/>
        <v/>
      </c>
    </row>
    <row r="9681" spans="20:20">
      <c r="T9681" t="str">
        <f t="shared" si="163"/>
        <v/>
      </c>
    </row>
    <row r="9682" spans="20:20">
      <c r="T9682" t="str">
        <f t="shared" si="163"/>
        <v/>
      </c>
    </row>
    <row r="9683" spans="20:20">
      <c r="T9683" t="str">
        <f t="shared" si="163"/>
        <v/>
      </c>
    </row>
    <row r="9684" spans="20:20">
      <c r="T9684" t="str">
        <f t="shared" si="163"/>
        <v/>
      </c>
    </row>
    <row r="9685" spans="20:20">
      <c r="T9685" t="str">
        <f t="shared" si="163"/>
        <v/>
      </c>
    </row>
    <row r="9686" spans="20:20">
      <c r="T9686" t="str">
        <f t="shared" si="163"/>
        <v/>
      </c>
    </row>
    <row r="9687" spans="20:20">
      <c r="T9687" t="str">
        <f t="shared" si="163"/>
        <v/>
      </c>
    </row>
    <row r="9688" spans="20:20">
      <c r="T9688" t="str">
        <f t="shared" si="163"/>
        <v/>
      </c>
    </row>
    <row r="9689" spans="20:20">
      <c r="T9689" t="str">
        <f t="shared" si="163"/>
        <v/>
      </c>
    </row>
    <row r="9690" spans="20:20">
      <c r="T9690" t="str">
        <f t="shared" si="163"/>
        <v/>
      </c>
    </row>
    <row r="9691" spans="20:20">
      <c r="T9691" t="str">
        <f t="shared" si="163"/>
        <v/>
      </c>
    </row>
    <row r="9692" spans="20:20">
      <c r="T9692" t="str">
        <f t="shared" si="163"/>
        <v/>
      </c>
    </row>
    <row r="9693" spans="20:20">
      <c r="T9693" t="str">
        <f t="shared" si="163"/>
        <v/>
      </c>
    </row>
    <row r="9694" spans="20:20">
      <c r="T9694" t="str">
        <f t="shared" si="163"/>
        <v/>
      </c>
    </row>
    <row r="9695" spans="20:20">
      <c r="T9695" t="str">
        <f t="shared" si="163"/>
        <v/>
      </c>
    </row>
    <row r="9696" spans="20:20">
      <c r="T9696" t="str">
        <f t="shared" si="163"/>
        <v/>
      </c>
    </row>
    <row r="9697" spans="20:20">
      <c r="T9697" t="str">
        <f t="shared" si="163"/>
        <v/>
      </c>
    </row>
    <row r="9698" spans="20:20">
      <c r="T9698" t="str">
        <f t="shared" si="163"/>
        <v/>
      </c>
    </row>
    <row r="9699" spans="20:20">
      <c r="T9699" t="str">
        <f t="shared" si="163"/>
        <v/>
      </c>
    </row>
    <row r="9700" spans="20:20">
      <c r="T9700" t="str">
        <f t="shared" si="163"/>
        <v/>
      </c>
    </row>
    <row r="9701" spans="20:20">
      <c r="T9701" t="str">
        <f t="shared" si="163"/>
        <v/>
      </c>
    </row>
    <row r="9702" spans="20:20">
      <c r="T9702" t="str">
        <f t="shared" si="163"/>
        <v/>
      </c>
    </row>
    <row r="9703" spans="20:20">
      <c r="T9703" t="str">
        <f t="shared" si="163"/>
        <v/>
      </c>
    </row>
    <row r="9704" spans="20:20">
      <c r="T9704" t="str">
        <f t="shared" si="163"/>
        <v/>
      </c>
    </row>
    <row r="9705" spans="20:20">
      <c r="T9705" t="str">
        <f t="shared" si="163"/>
        <v/>
      </c>
    </row>
    <row r="9706" spans="20:20">
      <c r="T9706" t="str">
        <f t="shared" si="163"/>
        <v/>
      </c>
    </row>
    <row r="9707" spans="20:20">
      <c r="T9707" t="str">
        <f t="shared" si="163"/>
        <v/>
      </c>
    </row>
    <row r="9708" spans="20:20">
      <c r="T9708" t="str">
        <f t="shared" si="163"/>
        <v/>
      </c>
    </row>
    <row r="9709" spans="20:20">
      <c r="T9709" t="str">
        <f t="shared" si="163"/>
        <v/>
      </c>
    </row>
    <row r="9710" spans="20:20">
      <c r="T9710" t="str">
        <f t="shared" si="163"/>
        <v/>
      </c>
    </row>
    <row r="9711" spans="20:20">
      <c r="T9711" t="str">
        <f t="shared" si="163"/>
        <v/>
      </c>
    </row>
    <row r="9712" spans="20:20">
      <c r="T9712" t="str">
        <f t="shared" si="163"/>
        <v/>
      </c>
    </row>
    <row r="9713" spans="20:20">
      <c r="T9713" t="str">
        <f t="shared" si="163"/>
        <v/>
      </c>
    </row>
    <row r="9714" spans="20:20">
      <c r="T9714" t="str">
        <f t="shared" si="163"/>
        <v/>
      </c>
    </row>
    <row r="9715" spans="20:20">
      <c r="T9715" t="str">
        <f t="shared" si="163"/>
        <v/>
      </c>
    </row>
    <row r="9716" spans="20:20">
      <c r="T9716" t="str">
        <f t="shared" si="163"/>
        <v/>
      </c>
    </row>
    <row r="9717" spans="20:20">
      <c r="T9717" t="str">
        <f t="shared" si="163"/>
        <v/>
      </c>
    </row>
    <row r="9718" spans="20:20">
      <c r="T9718" t="str">
        <f t="shared" si="163"/>
        <v/>
      </c>
    </row>
    <row r="9719" spans="20:20">
      <c r="T9719" t="str">
        <f t="shared" si="163"/>
        <v/>
      </c>
    </row>
    <row r="9720" spans="20:20">
      <c r="T9720" t="str">
        <f t="shared" si="163"/>
        <v/>
      </c>
    </row>
    <row r="9721" spans="20:20">
      <c r="T9721" t="str">
        <f t="shared" si="163"/>
        <v/>
      </c>
    </row>
    <row r="9722" spans="20:20">
      <c r="T9722" t="str">
        <f t="shared" si="163"/>
        <v/>
      </c>
    </row>
    <row r="9723" spans="20:20">
      <c r="T9723" t="str">
        <f t="shared" si="163"/>
        <v/>
      </c>
    </row>
    <row r="9724" spans="20:20">
      <c r="T9724" t="str">
        <f t="shared" si="163"/>
        <v/>
      </c>
    </row>
    <row r="9725" spans="20:20">
      <c r="T9725" t="str">
        <f t="shared" si="163"/>
        <v/>
      </c>
    </row>
    <row r="9726" spans="20:20">
      <c r="T9726" t="str">
        <f t="shared" si="163"/>
        <v/>
      </c>
    </row>
    <row r="9727" spans="20:20">
      <c r="T9727" t="str">
        <f t="shared" si="163"/>
        <v/>
      </c>
    </row>
    <row r="9728" spans="20:20">
      <c r="T9728" t="str">
        <f t="shared" si="163"/>
        <v/>
      </c>
    </row>
    <row r="9729" spans="20:20">
      <c r="T9729" t="str">
        <f t="shared" si="163"/>
        <v/>
      </c>
    </row>
    <row r="9730" spans="20:20">
      <c r="T9730" t="str">
        <f t="shared" ref="T9730:T9793" si="164">IF(C9730="","",UPPER(LEFT(SUBSTITUTE(C9730," ",""),3))&amp;"-"&amp;TEXT(B9730,"AAMMDD")&amp;"-1")</f>
        <v/>
      </c>
    </row>
    <row r="9731" spans="20:20">
      <c r="T9731" t="str">
        <f t="shared" si="164"/>
        <v/>
      </c>
    </row>
    <row r="9732" spans="20:20">
      <c r="T9732" t="str">
        <f t="shared" si="164"/>
        <v/>
      </c>
    </row>
    <row r="9733" spans="20:20">
      <c r="T9733" t="str">
        <f t="shared" si="164"/>
        <v/>
      </c>
    </row>
    <row r="9734" spans="20:20">
      <c r="T9734" t="str">
        <f t="shared" si="164"/>
        <v/>
      </c>
    </row>
    <row r="9735" spans="20:20">
      <c r="T9735" t="str">
        <f t="shared" si="164"/>
        <v/>
      </c>
    </row>
    <row r="9736" spans="20:20">
      <c r="T9736" t="str">
        <f t="shared" si="164"/>
        <v/>
      </c>
    </row>
    <row r="9737" spans="20:20">
      <c r="T9737" t="str">
        <f t="shared" si="164"/>
        <v/>
      </c>
    </row>
    <row r="9738" spans="20:20">
      <c r="T9738" t="str">
        <f t="shared" si="164"/>
        <v/>
      </c>
    </row>
    <row r="9739" spans="20:20">
      <c r="T9739" t="str">
        <f t="shared" si="164"/>
        <v/>
      </c>
    </row>
    <row r="9740" spans="20:20">
      <c r="T9740" t="str">
        <f t="shared" si="164"/>
        <v/>
      </c>
    </row>
    <row r="9741" spans="20:20">
      <c r="T9741" t="str">
        <f t="shared" si="164"/>
        <v/>
      </c>
    </row>
    <row r="9742" spans="20:20">
      <c r="T9742" t="str">
        <f t="shared" si="164"/>
        <v/>
      </c>
    </row>
    <row r="9743" spans="20:20">
      <c r="T9743" t="str">
        <f t="shared" si="164"/>
        <v/>
      </c>
    </row>
    <row r="9744" spans="20:20">
      <c r="T9744" t="str">
        <f t="shared" si="164"/>
        <v/>
      </c>
    </row>
    <row r="9745" spans="20:20">
      <c r="T9745" t="str">
        <f t="shared" si="164"/>
        <v/>
      </c>
    </row>
    <row r="9746" spans="20:20">
      <c r="T9746" t="str">
        <f t="shared" si="164"/>
        <v/>
      </c>
    </row>
    <row r="9747" spans="20:20">
      <c r="T9747" t="str">
        <f t="shared" si="164"/>
        <v/>
      </c>
    </row>
    <row r="9748" spans="20:20">
      <c r="T9748" t="str">
        <f t="shared" si="164"/>
        <v/>
      </c>
    </row>
    <row r="9749" spans="20:20">
      <c r="T9749" t="str">
        <f t="shared" si="164"/>
        <v/>
      </c>
    </row>
    <row r="9750" spans="20:20">
      <c r="T9750" t="str">
        <f t="shared" si="164"/>
        <v/>
      </c>
    </row>
    <row r="9751" spans="20:20">
      <c r="T9751" t="str">
        <f t="shared" si="164"/>
        <v/>
      </c>
    </row>
    <row r="9752" spans="20:20">
      <c r="T9752" t="str">
        <f t="shared" si="164"/>
        <v/>
      </c>
    </row>
    <row r="9753" spans="20:20">
      <c r="T9753" t="str">
        <f t="shared" si="164"/>
        <v/>
      </c>
    </row>
    <row r="9754" spans="20:20">
      <c r="T9754" t="str">
        <f t="shared" si="164"/>
        <v/>
      </c>
    </row>
    <row r="9755" spans="20:20">
      <c r="T9755" t="str">
        <f t="shared" si="164"/>
        <v/>
      </c>
    </row>
    <row r="9756" spans="20:20">
      <c r="T9756" t="str">
        <f t="shared" si="164"/>
        <v/>
      </c>
    </row>
    <row r="9757" spans="20:20">
      <c r="T9757" t="str">
        <f t="shared" si="164"/>
        <v/>
      </c>
    </row>
    <row r="9758" spans="20:20">
      <c r="T9758" t="str">
        <f t="shared" si="164"/>
        <v/>
      </c>
    </row>
    <row r="9759" spans="20:20">
      <c r="T9759" t="str">
        <f t="shared" si="164"/>
        <v/>
      </c>
    </row>
    <row r="9760" spans="20:20">
      <c r="T9760" t="str">
        <f t="shared" si="164"/>
        <v/>
      </c>
    </row>
    <row r="9761" spans="20:20">
      <c r="T9761" t="str">
        <f t="shared" si="164"/>
        <v/>
      </c>
    </row>
    <row r="9762" spans="20:20">
      <c r="T9762" t="str">
        <f t="shared" si="164"/>
        <v/>
      </c>
    </row>
    <row r="9763" spans="20:20">
      <c r="T9763" t="str">
        <f t="shared" si="164"/>
        <v/>
      </c>
    </row>
    <row r="9764" spans="20:20">
      <c r="T9764" t="str">
        <f t="shared" si="164"/>
        <v/>
      </c>
    </row>
    <row r="9765" spans="20:20">
      <c r="T9765" t="str">
        <f t="shared" si="164"/>
        <v/>
      </c>
    </row>
    <row r="9766" spans="20:20">
      <c r="T9766" t="str">
        <f t="shared" si="164"/>
        <v/>
      </c>
    </row>
    <row r="9767" spans="20:20">
      <c r="T9767" t="str">
        <f t="shared" si="164"/>
        <v/>
      </c>
    </row>
    <row r="9768" spans="20:20">
      <c r="T9768" t="str">
        <f t="shared" si="164"/>
        <v/>
      </c>
    </row>
    <row r="9769" spans="20:20">
      <c r="T9769" t="str">
        <f t="shared" si="164"/>
        <v/>
      </c>
    </row>
    <row r="9770" spans="20:20">
      <c r="T9770" t="str">
        <f t="shared" si="164"/>
        <v/>
      </c>
    </row>
    <row r="9771" spans="20:20">
      <c r="T9771" t="str">
        <f t="shared" si="164"/>
        <v/>
      </c>
    </row>
    <row r="9772" spans="20:20">
      <c r="T9772" t="str">
        <f t="shared" si="164"/>
        <v/>
      </c>
    </row>
    <row r="9773" spans="20:20">
      <c r="T9773" t="str">
        <f t="shared" si="164"/>
        <v/>
      </c>
    </row>
    <row r="9774" spans="20:20">
      <c r="T9774" t="str">
        <f t="shared" si="164"/>
        <v/>
      </c>
    </row>
    <row r="9775" spans="20:20">
      <c r="T9775" t="str">
        <f t="shared" si="164"/>
        <v/>
      </c>
    </row>
    <row r="9776" spans="20:20">
      <c r="T9776" t="str">
        <f t="shared" si="164"/>
        <v/>
      </c>
    </row>
    <row r="9777" spans="20:20">
      <c r="T9777" t="str">
        <f t="shared" si="164"/>
        <v/>
      </c>
    </row>
    <row r="9778" spans="20:20">
      <c r="T9778" t="str">
        <f t="shared" si="164"/>
        <v/>
      </c>
    </row>
    <row r="9779" spans="20:20">
      <c r="T9779" t="str">
        <f t="shared" si="164"/>
        <v/>
      </c>
    </row>
    <row r="9780" spans="20:20">
      <c r="T9780" t="str">
        <f t="shared" si="164"/>
        <v/>
      </c>
    </row>
    <row r="9781" spans="20:20">
      <c r="T9781" t="str">
        <f t="shared" si="164"/>
        <v/>
      </c>
    </row>
    <row r="9782" spans="20:20">
      <c r="T9782" t="str">
        <f t="shared" si="164"/>
        <v/>
      </c>
    </row>
    <row r="9783" spans="20:20">
      <c r="T9783" t="str">
        <f t="shared" si="164"/>
        <v/>
      </c>
    </row>
    <row r="9784" spans="20:20">
      <c r="T9784" t="str">
        <f t="shared" si="164"/>
        <v/>
      </c>
    </row>
    <row r="9785" spans="20:20">
      <c r="T9785" t="str">
        <f t="shared" si="164"/>
        <v/>
      </c>
    </row>
    <row r="9786" spans="20:20">
      <c r="T9786" t="str">
        <f t="shared" si="164"/>
        <v/>
      </c>
    </row>
    <row r="9787" spans="20:20">
      <c r="T9787" t="str">
        <f t="shared" si="164"/>
        <v/>
      </c>
    </row>
    <row r="9788" spans="20:20">
      <c r="T9788" t="str">
        <f t="shared" si="164"/>
        <v/>
      </c>
    </row>
    <row r="9789" spans="20:20">
      <c r="T9789" t="str">
        <f t="shared" si="164"/>
        <v/>
      </c>
    </row>
    <row r="9790" spans="20:20">
      <c r="T9790" t="str">
        <f t="shared" si="164"/>
        <v/>
      </c>
    </row>
    <row r="9791" spans="20:20">
      <c r="T9791" t="str">
        <f t="shared" si="164"/>
        <v/>
      </c>
    </row>
    <row r="9792" spans="20:20">
      <c r="T9792" t="str">
        <f t="shared" si="164"/>
        <v/>
      </c>
    </row>
    <row r="9793" spans="20:20">
      <c r="T9793" t="str">
        <f t="shared" si="164"/>
        <v/>
      </c>
    </row>
    <row r="9794" spans="20:20">
      <c r="T9794" t="str">
        <f t="shared" ref="T9794:T9857" si="165">IF(C9794="","",UPPER(LEFT(SUBSTITUTE(C9794," ",""),3))&amp;"-"&amp;TEXT(B9794,"AAMMDD")&amp;"-1")</f>
        <v/>
      </c>
    </row>
    <row r="9795" spans="20:20">
      <c r="T9795" t="str">
        <f t="shared" si="165"/>
        <v/>
      </c>
    </row>
    <row r="9796" spans="20:20">
      <c r="T9796" t="str">
        <f t="shared" si="165"/>
        <v/>
      </c>
    </row>
    <row r="9797" spans="20:20">
      <c r="T9797" t="str">
        <f t="shared" si="165"/>
        <v/>
      </c>
    </row>
    <row r="9798" spans="20:20">
      <c r="T9798" t="str">
        <f t="shared" si="165"/>
        <v/>
      </c>
    </row>
    <row r="9799" spans="20:20">
      <c r="T9799" t="str">
        <f t="shared" si="165"/>
        <v/>
      </c>
    </row>
    <row r="9800" spans="20:20">
      <c r="T9800" t="str">
        <f t="shared" si="165"/>
        <v/>
      </c>
    </row>
    <row r="9801" spans="20:20">
      <c r="T9801" t="str">
        <f t="shared" si="165"/>
        <v/>
      </c>
    </row>
    <row r="9802" spans="20:20">
      <c r="T9802" t="str">
        <f t="shared" si="165"/>
        <v/>
      </c>
    </row>
    <row r="9803" spans="20:20">
      <c r="T9803" t="str">
        <f t="shared" si="165"/>
        <v/>
      </c>
    </row>
    <row r="9804" spans="20:20">
      <c r="T9804" t="str">
        <f t="shared" si="165"/>
        <v/>
      </c>
    </row>
    <row r="9805" spans="20:20">
      <c r="T9805" t="str">
        <f t="shared" si="165"/>
        <v/>
      </c>
    </row>
    <row r="9806" spans="20:20">
      <c r="T9806" t="str">
        <f t="shared" si="165"/>
        <v/>
      </c>
    </row>
    <row r="9807" spans="20:20">
      <c r="T9807" t="str">
        <f t="shared" si="165"/>
        <v/>
      </c>
    </row>
    <row r="9808" spans="20:20">
      <c r="T9808" t="str">
        <f t="shared" si="165"/>
        <v/>
      </c>
    </row>
    <row r="9809" spans="20:20">
      <c r="T9809" t="str">
        <f t="shared" si="165"/>
        <v/>
      </c>
    </row>
    <row r="9810" spans="20:20">
      <c r="T9810" t="str">
        <f t="shared" si="165"/>
        <v/>
      </c>
    </row>
    <row r="9811" spans="20:20">
      <c r="T9811" t="str">
        <f t="shared" si="165"/>
        <v/>
      </c>
    </row>
    <row r="9812" spans="20:20">
      <c r="T9812" t="str">
        <f t="shared" si="165"/>
        <v/>
      </c>
    </row>
    <row r="9813" spans="20:20">
      <c r="T9813" t="str">
        <f t="shared" si="165"/>
        <v/>
      </c>
    </row>
    <row r="9814" spans="20:20">
      <c r="T9814" t="str">
        <f t="shared" si="165"/>
        <v/>
      </c>
    </row>
    <row r="9815" spans="20:20">
      <c r="T9815" t="str">
        <f t="shared" si="165"/>
        <v/>
      </c>
    </row>
    <row r="9816" spans="20:20">
      <c r="T9816" t="str">
        <f t="shared" si="165"/>
        <v/>
      </c>
    </row>
    <row r="9817" spans="20:20">
      <c r="T9817" t="str">
        <f t="shared" si="165"/>
        <v/>
      </c>
    </row>
    <row r="9818" spans="20:20">
      <c r="T9818" t="str">
        <f t="shared" si="165"/>
        <v/>
      </c>
    </row>
    <row r="9819" spans="20:20">
      <c r="T9819" t="str">
        <f t="shared" si="165"/>
        <v/>
      </c>
    </row>
    <row r="9820" spans="20:20">
      <c r="T9820" t="str">
        <f t="shared" si="165"/>
        <v/>
      </c>
    </row>
    <row r="9821" spans="20:20">
      <c r="T9821" t="str">
        <f t="shared" si="165"/>
        <v/>
      </c>
    </row>
    <row r="9822" spans="20:20">
      <c r="T9822" t="str">
        <f t="shared" si="165"/>
        <v/>
      </c>
    </row>
    <row r="9823" spans="20:20">
      <c r="T9823" t="str">
        <f t="shared" si="165"/>
        <v/>
      </c>
    </row>
    <row r="9824" spans="20:20">
      <c r="T9824" t="str">
        <f t="shared" si="165"/>
        <v/>
      </c>
    </row>
    <row r="9825" spans="20:20">
      <c r="T9825" t="str">
        <f t="shared" si="165"/>
        <v/>
      </c>
    </row>
    <row r="9826" spans="20:20">
      <c r="T9826" t="str">
        <f t="shared" si="165"/>
        <v/>
      </c>
    </row>
    <row r="9827" spans="20:20">
      <c r="T9827" t="str">
        <f t="shared" si="165"/>
        <v/>
      </c>
    </row>
    <row r="9828" spans="20:20">
      <c r="T9828" t="str">
        <f t="shared" si="165"/>
        <v/>
      </c>
    </row>
    <row r="9829" spans="20:20">
      <c r="T9829" t="str">
        <f t="shared" si="165"/>
        <v/>
      </c>
    </row>
    <row r="9830" spans="20:20">
      <c r="T9830" t="str">
        <f t="shared" si="165"/>
        <v/>
      </c>
    </row>
    <row r="9831" spans="20:20">
      <c r="T9831" t="str">
        <f t="shared" si="165"/>
        <v/>
      </c>
    </row>
    <row r="9832" spans="20:20">
      <c r="T9832" t="str">
        <f t="shared" si="165"/>
        <v/>
      </c>
    </row>
    <row r="9833" spans="20:20">
      <c r="T9833" t="str">
        <f t="shared" si="165"/>
        <v/>
      </c>
    </row>
    <row r="9834" spans="20:20">
      <c r="T9834" t="str">
        <f t="shared" si="165"/>
        <v/>
      </c>
    </row>
    <row r="9835" spans="20:20">
      <c r="T9835" t="str">
        <f t="shared" si="165"/>
        <v/>
      </c>
    </row>
    <row r="9836" spans="20:20">
      <c r="T9836" t="str">
        <f t="shared" si="165"/>
        <v/>
      </c>
    </row>
    <row r="9837" spans="20:20">
      <c r="T9837" t="str">
        <f t="shared" si="165"/>
        <v/>
      </c>
    </row>
    <row r="9838" spans="20:20">
      <c r="T9838" t="str">
        <f t="shared" si="165"/>
        <v/>
      </c>
    </row>
    <row r="9839" spans="20:20">
      <c r="T9839" t="str">
        <f t="shared" si="165"/>
        <v/>
      </c>
    </row>
    <row r="9840" spans="20:20">
      <c r="T9840" t="str">
        <f t="shared" si="165"/>
        <v/>
      </c>
    </row>
    <row r="9841" spans="20:20">
      <c r="T9841" t="str">
        <f t="shared" si="165"/>
        <v/>
      </c>
    </row>
    <row r="9842" spans="20:20">
      <c r="T9842" t="str">
        <f t="shared" si="165"/>
        <v/>
      </c>
    </row>
    <row r="9843" spans="20:20">
      <c r="T9843" t="str">
        <f t="shared" si="165"/>
        <v/>
      </c>
    </row>
    <row r="9844" spans="20:20">
      <c r="T9844" t="str">
        <f t="shared" si="165"/>
        <v/>
      </c>
    </row>
    <row r="9845" spans="20:20">
      <c r="T9845" t="str">
        <f t="shared" si="165"/>
        <v/>
      </c>
    </row>
    <row r="9846" spans="20:20">
      <c r="T9846" t="str">
        <f t="shared" si="165"/>
        <v/>
      </c>
    </row>
    <row r="9847" spans="20:20">
      <c r="T9847" t="str">
        <f t="shared" si="165"/>
        <v/>
      </c>
    </row>
    <row r="9848" spans="20:20">
      <c r="T9848" t="str">
        <f t="shared" si="165"/>
        <v/>
      </c>
    </row>
    <row r="9849" spans="20:20">
      <c r="T9849" t="str">
        <f t="shared" si="165"/>
        <v/>
      </c>
    </row>
    <row r="9850" spans="20:20">
      <c r="T9850" t="str">
        <f t="shared" si="165"/>
        <v/>
      </c>
    </row>
    <row r="9851" spans="20:20">
      <c r="T9851" t="str">
        <f t="shared" si="165"/>
        <v/>
      </c>
    </row>
    <row r="9852" spans="20:20">
      <c r="T9852" t="str">
        <f t="shared" si="165"/>
        <v/>
      </c>
    </row>
    <row r="9853" spans="20:20">
      <c r="T9853" t="str">
        <f t="shared" si="165"/>
        <v/>
      </c>
    </row>
    <row r="9854" spans="20:20">
      <c r="T9854" t="str">
        <f t="shared" si="165"/>
        <v/>
      </c>
    </row>
    <row r="9855" spans="20:20">
      <c r="T9855" t="str">
        <f t="shared" si="165"/>
        <v/>
      </c>
    </row>
    <row r="9856" spans="20:20">
      <c r="T9856" t="str">
        <f t="shared" si="165"/>
        <v/>
      </c>
    </row>
    <row r="9857" spans="20:20">
      <c r="T9857" t="str">
        <f t="shared" si="165"/>
        <v/>
      </c>
    </row>
    <row r="9858" spans="20:20">
      <c r="T9858" t="str">
        <f t="shared" ref="T9858:T9921" si="166">IF(C9858="","",UPPER(LEFT(SUBSTITUTE(C9858," ",""),3))&amp;"-"&amp;TEXT(B9858,"AAMMDD")&amp;"-1")</f>
        <v/>
      </c>
    </row>
    <row r="9859" spans="20:20">
      <c r="T9859" t="str">
        <f t="shared" si="166"/>
        <v/>
      </c>
    </row>
    <row r="9860" spans="20:20">
      <c r="T9860" t="str">
        <f t="shared" si="166"/>
        <v/>
      </c>
    </row>
    <row r="9861" spans="20:20">
      <c r="T9861" t="str">
        <f t="shared" si="166"/>
        <v/>
      </c>
    </row>
    <row r="9862" spans="20:20">
      <c r="T9862" t="str">
        <f t="shared" si="166"/>
        <v/>
      </c>
    </row>
    <row r="9863" spans="20:20">
      <c r="T9863" t="str">
        <f t="shared" si="166"/>
        <v/>
      </c>
    </row>
    <row r="9864" spans="20:20">
      <c r="T9864" t="str">
        <f t="shared" si="166"/>
        <v/>
      </c>
    </row>
    <row r="9865" spans="20:20">
      <c r="T9865" t="str">
        <f t="shared" si="166"/>
        <v/>
      </c>
    </row>
    <row r="9866" spans="20:20">
      <c r="T9866" t="str">
        <f t="shared" si="166"/>
        <v/>
      </c>
    </row>
    <row r="9867" spans="20:20">
      <c r="T9867" t="str">
        <f t="shared" si="166"/>
        <v/>
      </c>
    </row>
    <row r="9868" spans="20:20">
      <c r="T9868" t="str">
        <f t="shared" si="166"/>
        <v/>
      </c>
    </row>
    <row r="9869" spans="20:20">
      <c r="T9869" t="str">
        <f t="shared" si="166"/>
        <v/>
      </c>
    </row>
    <row r="9870" spans="20:20">
      <c r="T9870" t="str">
        <f t="shared" si="166"/>
        <v/>
      </c>
    </row>
    <row r="9871" spans="20:20">
      <c r="T9871" t="str">
        <f t="shared" si="166"/>
        <v/>
      </c>
    </row>
    <row r="9872" spans="20:20">
      <c r="T9872" t="str">
        <f t="shared" si="166"/>
        <v/>
      </c>
    </row>
    <row r="9873" spans="20:20">
      <c r="T9873" t="str">
        <f t="shared" si="166"/>
        <v/>
      </c>
    </row>
    <row r="9874" spans="20:20">
      <c r="T9874" t="str">
        <f t="shared" si="166"/>
        <v/>
      </c>
    </row>
    <row r="9875" spans="20:20">
      <c r="T9875" t="str">
        <f t="shared" si="166"/>
        <v/>
      </c>
    </row>
    <row r="9876" spans="20:20">
      <c r="T9876" t="str">
        <f t="shared" si="166"/>
        <v/>
      </c>
    </row>
    <row r="9877" spans="20:20">
      <c r="T9877" t="str">
        <f t="shared" si="166"/>
        <v/>
      </c>
    </row>
    <row r="9878" spans="20:20">
      <c r="T9878" t="str">
        <f t="shared" si="166"/>
        <v/>
      </c>
    </row>
    <row r="9879" spans="20:20">
      <c r="T9879" t="str">
        <f t="shared" si="166"/>
        <v/>
      </c>
    </row>
    <row r="9880" spans="20:20">
      <c r="T9880" t="str">
        <f t="shared" si="166"/>
        <v/>
      </c>
    </row>
    <row r="9881" spans="20:20">
      <c r="T9881" t="str">
        <f t="shared" si="166"/>
        <v/>
      </c>
    </row>
    <row r="9882" spans="20:20">
      <c r="T9882" t="str">
        <f t="shared" si="166"/>
        <v/>
      </c>
    </row>
    <row r="9883" spans="20:20">
      <c r="T9883" t="str">
        <f t="shared" si="166"/>
        <v/>
      </c>
    </row>
    <row r="9884" spans="20:20">
      <c r="T9884" t="str">
        <f t="shared" si="166"/>
        <v/>
      </c>
    </row>
    <row r="9885" spans="20:20">
      <c r="T9885" t="str">
        <f t="shared" si="166"/>
        <v/>
      </c>
    </row>
    <row r="9886" spans="20:20">
      <c r="T9886" t="str">
        <f t="shared" si="166"/>
        <v/>
      </c>
    </row>
    <row r="9887" spans="20:20">
      <c r="T9887" t="str">
        <f t="shared" si="166"/>
        <v/>
      </c>
    </row>
    <row r="9888" spans="20:20">
      <c r="T9888" t="str">
        <f t="shared" si="166"/>
        <v/>
      </c>
    </row>
    <row r="9889" spans="20:20">
      <c r="T9889" t="str">
        <f t="shared" si="166"/>
        <v/>
      </c>
    </row>
    <row r="9890" spans="20:20">
      <c r="T9890" t="str">
        <f t="shared" si="166"/>
        <v/>
      </c>
    </row>
    <row r="9891" spans="20:20">
      <c r="T9891" t="str">
        <f t="shared" si="166"/>
        <v/>
      </c>
    </row>
    <row r="9892" spans="20:20">
      <c r="T9892" t="str">
        <f t="shared" si="166"/>
        <v/>
      </c>
    </row>
    <row r="9893" spans="20:20">
      <c r="T9893" t="str">
        <f t="shared" si="166"/>
        <v/>
      </c>
    </row>
    <row r="9894" spans="20:20">
      <c r="T9894" t="str">
        <f t="shared" si="166"/>
        <v/>
      </c>
    </row>
    <row r="9895" spans="20:20">
      <c r="T9895" t="str">
        <f t="shared" si="166"/>
        <v/>
      </c>
    </row>
    <row r="9896" spans="20:20">
      <c r="T9896" t="str">
        <f t="shared" si="166"/>
        <v/>
      </c>
    </row>
    <row r="9897" spans="20:20">
      <c r="T9897" t="str">
        <f t="shared" si="166"/>
        <v/>
      </c>
    </row>
    <row r="9898" spans="20:20">
      <c r="T9898" t="str">
        <f t="shared" si="166"/>
        <v/>
      </c>
    </row>
    <row r="9899" spans="20:20">
      <c r="T9899" t="str">
        <f t="shared" si="166"/>
        <v/>
      </c>
    </row>
    <row r="9900" spans="20:20">
      <c r="T9900" t="str">
        <f t="shared" si="166"/>
        <v/>
      </c>
    </row>
    <row r="9901" spans="20:20">
      <c r="T9901" t="str">
        <f t="shared" si="166"/>
        <v/>
      </c>
    </row>
    <row r="9902" spans="20:20">
      <c r="T9902" t="str">
        <f t="shared" si="166"/>
        <v/>
      </c>
    </row>
    <row r="9903" spans="20:20">
      <c r="T9903" t="str">
        <f t="shared" si="166"/>
        <v/>
      </c>
    </row>
    <row r="9904" spans="20:20">
      <c r="T9904" t="str">
        <f t="shared" si="166"/>
        <v/>
      </c>
    </row>
    <row r="9905" spans="20:20">
      <c r="T9905" t="str">
        <f t="shared" si="166"/>
        <v/>
      </c>
    </row>
    <row r="9906" spans="20:20">
      <c r="T9906" t="str">
        <f t="shared" si="166"/>
        <v/>
      </c>
    </row>
    <row r="9907" spans="20:20">
      <c r="T9907" t="str">
        <f t="shared" si="166"/>
        <v/>
      </c>
    </row>
    <row r="9908" spans="20:20">
      <c r="T9908" t="str">
        <f t="shared" si="166"/>
        <v/>
      </c>
    </row>
    <row r="9909" spans="20:20">
      <c r="T9909" t="str">
        <f t="shared" si="166"/>
        <v/>
      </c>
    </row>
    <row r="9910" spans="20:20">
      <c r="T9910" t="str">
        <f t="shared" si="166"/>
        <v/>
      </c>
    </row>
    <row r="9911" spans="20:20">
      <c r="T9911" t="str">
        <f t="shared" si="166"/>
        <v/>
      </c>
    </row>
    <row r="9912" spans="20:20">
      <c r="T9912" t="str">
        <f t="shared" si="166"/>
        <v/>
      </c>
    </row>
    <row r="9913" spans="20:20">
      <c r="T9913" t="str">
        <f t="shared" si="166"/>
        <v/>
      </c>
    </row>
    <row r="9914" spans="20:20">
      <c r="T9914" t="str">
        <f t="shared" si="166"/>
        <v/>
      </c>
    </row>
    <row r="9915" spans="20:20">
      <c r="T9915" t="str">
        <f t="shared" si="166"/>
        <v/>
      </c>
    </row>
    <row r="9916" spans="20:20">
      <c r="T9916" t="str">
        <f t="shared" si="166"/>
        <v/>
      </c>
    </row>
    <row r="9917" spans="20:20">
      <c r="T9917" t="str">
        <f t="shared" si="166"/>
        <v/>
      </c>
    </row>
    <row r="9918" spans="20:20">
      <c r="T9918" t="str">
        <f t="shared" si="166"/>
        <v/>
      </c>
    </row>
    <row r="9919" spans="20:20">
      <c r="T9919" t="str">
        <f t="shared" si="166"/>
        <v/>
      </c>
    </row>
    <row r="9920" spans="20:20">
      <c r="T9920" t="str">
        <f t="shared" si="166"/>
        <v/>
      </c>
    </row>
    <row r="9921" spans="20:20">
      <c r="T9921" t="str">
        <f t="shared" si="166"/>
        <v/>
      </c>
    </row>
    <row r="9922" spans="20:20">
      <c r="T9922" t="str">
        <f t="shared" ref="T9922:T9985" si="167">IF(C9922="","",UPPER(LEFT(SUBSTITUTE(C9922," ",""),3))&amp;"-"&amp;TEXT(B9922,"AAMMDD")&amp;"-1")</f>
        <v/>
      </c>
    </row>
    <row r="9923" spans="20:20">
      <c r="T9923" t="str">
        <f t="shared" si="167"/>
        <v/>
      </c>
    </row>
    <row r="9924" spans="20:20">
      <c r="T9924" t="str">
        <f t="shared" si="167"/>
        <v/>
      </c>
    </row>
    <row r="9925" spans="20:20">
      <c r="T9925" t="str">
        <f t="shared" si="167"/>
        <v/>
      </c>
    </row>
    <row r="9926" spans="20:20">
      <c r="T9926" t="str">
        <f t="shared" si="167"/>
        <v/>
      </c>
    </row>
    <row r="9927" spans="20:20">
      <c r="T9927" t="str">
        <f t="shared" si="167"/>
        <v/>
      </c>
    </row>
    <row r="9928" spans="20:20">
      <c r="T9928" t="str">
        <f t="shared" si="167"/>
        <v/>
      </c>
    </row>
    <row r="9929" spans="20:20">
      <c r="T9929" t="str">
        <f t="shared" si="167"/>
        <v/>
      </c>
    </row>
    <row r="9930" spans="20:20">
      <c r="T9930" t="str">
        <f t="shared" si="167"/>
        <v/>
      </c>
    </row>
    <row r="9931" spans="20:20">
      <c r="T9931" t="str">
        <f t="shared" si="167"/>
        <v/>
      </c>
    </row>
    <row r="9932" spans="20:20">
      <c r="T9932" t="str">
        <f t="shared" si="167"/>
        <v/>
      </c>
    </row>
    <row r="9933" spans="20:20">
      <c r="T9933" t="str">
        <f t="shared" si="167"/>
        <v/>
      </c>
    </row>
    <row r="9934" spans="20:20">
      <c r="T9934" t="str">
        <f t="shared" si="167"/>
        <v/>
      </c>
    </row>
    <row r="9935" spans="20:20">
      <c r="T9935" t="str">
        <f t="shared" si="167"/>
        <v/>
      </c>
    </row>
    <row r="9936" spans="20:20">
      <c r="T9936" t="str">
        <f t="shared" si="167"/>
        <v/>
      </c>
    </row>
    <row r="9937" spans="20:20">
      <c r="T9937" t="str">
        <f t="shared" si="167"/>
        <v/>
      </c>
    </row>
    <row r="9938" spans="20:20">
      <c r="T9938" t="str">
        <f t="shared" si="167"/>
        <v/>
      </c>
    </row>
    <row r="9939" spans="20:20">
      <c r="T9939" t="str">
        <f t="shared" si="167"/>
        <v/>
      </c>
    </row>
    <row r="9940" spans="20:20">
      <c r="T9940" t="str">
        <f t="shared" si="167"/>
        <v/>
      </c>
    </row>
    <row r="9941" spans="20:20">
      <c r="T9941" t="str">
        <f t="shared" si="167"/>
        <v/>
      </c>
    </row>
    <row r="9942" spans="20:20">
      <c r="T9942" t="str">
        <f t="shared" si="167"/>
        <v/>
      </c>
    </row>
    <row r="9943" spans="20:20">
      <c r="T9943" t="str">
        <f t="shared" si="167"/>
        <v/>
      </c>
    </row>
    <row r="9944" spans="20:20">
      <c r="T9944" t="str">
        <f t="shared" si="167"/>
        <v/>
      </c>
    </row>
    <row r="9945" spans="20:20">
      <c r="T9945" t="str">
        <f t="shared" si="167"/>
        <v/>
      </c>
    </row>
    <row r="9946" spans="20:20">
      <c r="T9946" t="str">
        <f t="shared" si="167"/>
        <v/>
      </c>
    </row>
    <row r="9947" spans="20:20">
      <c r="T9947" t="str">
        <f t="shared" si="167"/>
        <v/>
      </c>
    </row>
    <row r="9948" spans="20:20">
      <c r="T9948" t="str">
        <f t="shared" si="167"/>
        <v/>
      </c>
    </row>
    <row r="9949" spans="20:20">
      <c r="T9949" t="str">
        <f t="shared" si="167"/>
        <v/>
      </c>
    </row>
    <row r="9950" spans="20:20">
      <c r="T9950" t="str">
        <f t="shared" si="167"/>
        <v/>
      </c>
    </row>
    <row r="9951" spans="20:20">
      <c r="T9951" t="str">
        <f t="shared" si="167"/>
        <v/>
      </c>
    </row>
    <row r="9952" spans="20:20">
      <c r="T9952" t="str">
        <f t="shared" si="167"/>
        <v/>
      </c>
    </row>
    <row r="9953" spans="20:20">
      <c r="T9953" t="str">
        <f t="shared" si="167"/>
        <v/>
      </c>
    </row>
    <row r="9954" spans="20:20">
      <c r="T9954" t="str">
        <f t="shared" si="167"/>
        <v/>
      </c>
    </row>
    <row r="9955" spans="20:20">
      <c r="T9955" t="str">
        <f t="shared" si="167"/>
        <v/>
      </c>
    </row>
    <row r="9956" spans="20:20">
      <c r="T9956" t="str">
        <f t="shared" si="167"/>
        <v/>
      </c>
    </row>
    <row r="9957" spans="20:20">
      <c r="T9957" t="str">
        <f t="shared" si="167"/>
        <v/>
      </c>
    </row>
    <row r="9958" spans="20:20">
      <c r="T9958" t="str">
        <f t="shared" si="167"/>
        <v/>
      </c>
    </row>
    <row r="9959" spans="20:20">
      <c r="T9959" t="str">
        <f t="shared" si="167"/>
        <v/>
      </c>
    </row>
    <row r="9960" spans="20:20">
      <c r="T9960" t="str">
        <f t="shared" si="167"/>
        <v/>
      </c>
    </row>
    <row r="9961" spans="20:20">
      <c r="T9961" t="str">
        <f t="shared" si="167"/>
        <v/>
      </c>
    </row>
    <row r="9962" spans="20:20">
      <c r="T9962" t="str">
        <f t="shared" si="167"/>
        <v/>
      </c>
    </row>
    <row r="9963" spans="20:20">
      <c r="T9963" t="str">
        <f t="shared" si="167"/>
        <v/>
      </c>
    </row>
    <row r="9964" spans="20:20">
      <c r="T9964" t="str">
        <f t="shared" si="167"/>
        <v/>
      </c>
    </row>
    <row r="9965" spans="20:20">
      <c r="T9965" t="str">
        <f t="shared" si="167"/>
        <v/>
      </c>
    </row>
    <row r="9966" spans="20:20">
      <c r="T9966" t="str">
        <f t="shared" si="167"/>
        <v/>
      </c>
    </row>
    <row r="9967" spans="20:20">
      <c r="T9967" t="str">
        <f t="shared" si="167"/>
        <v/>
      </c>
    </row>
    <row r="9968" spans="20:20">
      <c r="T9968" t="str">
        <f t="shared" si="167"/>
        <v/>
      </c>
    </row>
    <row r="9969" spans="20:20">
      <c r="T9969" t="str">
        <f t="shared" si="167"/>
        <v/>
      </c>
    </row>
    <row r="9970" spans="20:20">
      <c r="T9970" t="str">
        <f t="shared" si="167"/>
        <v/>
      </c>
    </row>
    <row r="9971" spans="20:20">
      <c r="T9971" t="str">
        <f t="shared" si="167"/>
        <v/>
      </c>
    </row>
    <row r="9972" spans="20:20">
      <c r="T9972" t="str">
        <f t="shared" si="167"/>
        <v/>
      </c>
    </row>
    <row r="9973" spans="20:20">
      <c r="T9973" t="str">
        <f t="shared" si="167"/>
        <v/>
      </c>
    </row>
    <row r="9974" spans="20:20">
      <c r="T9974" t="str">
        <f t="shared" si="167"/>
        <v/>
      </c>
    </row>
    <row r="9975" spans="20:20">
      <c r="T9975" t="str">
        <f t="shared" si="167"/>
        <v/>
      </c>
    </row>
    <row r="9976" spans="20:20">
      <c r="T9976" t="str">
        <f t="shared" si="167"/>
        <v/>
      </c>
    </row>
    <row r="9977" spans="20:20">
      <c r="T9977" t="str">
        <f t="shared" si="167"/>
        <v/>
      </c>
    </row>
    <row r="9978" spans="20:20">
      <c r="T9978" t="str">
        <f t="shared" si="167"/>
        <v/>
      </c>
    </row>
    <row r="9979" spans="20:20">
      <c r="T9979" t="str">
        <f t="shared" si="167"/>
        <v/>
      </c>
    </row>
    <row r="9980" spans="20:20">
      <c r="T9980" t="str">
        <f t="shared" si="167"/>
        <v/>
      </c>
    </row>
    <row r="9981" spans="20:20">
      <c r="T9981" t="str">
        <f t="shared" si="167"/>
        <v/>
      </c>
    </row>
    <row r="9982" spans="20:20">
      <c r="T9982" t="str">
        <f t="shared" si="167"/>
        <v/>
      </c>
    </row>
    <row r="9983" spans="20:20">
      <c r="T9983" t="str">
        <f t="shared" si="167"/>
        <v/>
      </c>
    </row>
    <row r="9984" spans="20:20">
      <c r="T9984" t="str">
        <f t="shared" si="167"/>
        <v/>
      </c>
    </row>
    <row r="9985" spans="20:20">
      <c r="T9985" t="str">
        <f t="shared" si="167"/>
        <v/>
      </c>
    </row>
    <row r="9986" spans="20:20">
      <c r="T9986" t="str">
        <f t="shared" ref="T9986:T10049" si="168">IF(C9986="","",UPPER(LEFT(SUBSTITUTE(C9986," ",""),3))&amp;"-"&amp;TEXT(B9986,"AAMMDD")&amp;"-1")</f>
        <v/>
      </c>
    </row>
    <row r="9987" spans="20:20">
      <c r="T9987" t="str">
        <f t="shared" si="168"/>
        <v/>
      </c>
    </row>
    <row r="9988" spans="20:20">
      <c r="T9988" t="str">
        <f t="shared" si="168"/>
        <v/>
      </c>
    </row>
    <row r="9989" spans="20:20">
      <c r="T9989" t="str">
        <f t="shared" si="168"/>
        <v/>
      </c>
    </row>
    <row r="9990" spans="20:20">
      <c r="T9990" t="str">
        <f t="shared" si="168"/>
        <v/>
      </c>
    </row>
    <row r="9991" spans="20:20">
      <c r="T9991" t="str">
        <f t="shared" si="168"/>
        <v/>
      </c>
    </row>
    <row r="9992" spans="20:20">
      <c r="T9992" t="str">
        <f t="shared" si="168"/>
        <v/>
      </c>
    </row>
    <row r="9993" spans="20:20">
      <c r="T9993" t="str">
        <f t="shared" si="168"/>
        <v/>
      </c>
    </row>
    <row r="9994" spans="20:20">
      <c r="T9994" t="str">
        <f t="shared" si="168"/>
        <v/>
      </c>
    </row>
    <row r="9995" spans="20:20">
      <c r="T9995" t="str">
        <f t="shared" si="168"/>
        <v/>
      </c>
    </row>
    <row r="9996" spans="20:20">
      <c r="T9996" t="str">
        <f t="shared" si="168"/>
        <v/>
      </c>
    </row>
    <row r="9997" spans="20:20">
      <c r="T9997" t="str">
        <f t="shared" si="168"/>
        <v/>
      </c>
    </row>
    <row r="9998" spans="20:20">
      <c r="T9998" t="str">
        <f t="shared" si="168"/>
        <v/>
      </c>
    </row>
    <row r="9999" spans="20:20">
      <c r="T9999" t="str">
        <f t="shared" si="168"/>
        <v/>
      </c>
    </row>
    <row r="10000" spans="20:20">
      <c r="T10000" t="str">
        <f t="shared" si="168"/>
        <v/>
      </c>
    </row>
    <row r="10001" spans="20:20">
      <c r="T10001" t="str">
        <f t="shared" si="168"/>
        <v/>
      </c>
    </row>
    <row r="10002" spans="20:20">
      <c r="T10002" t="str">
        <f t="shared" si="168"/>
        <v/>
      </c>
    </row>
    <row r="10003" spans="20:20">
      <c r="T10003" t="str">
        <f t="shared" si="168"/>
        <v/>
      </c>
    </row>
    <row r="10004" spans="20:20">
      <c r="T10004" t="str">
        <f t="shared" si="168"/>
        <v/>
      </c>
    </row>
    <row r="10005" spans="20:20">
      <c r="T10005" t="str">
        <f t="shared" si="168"/>
        <v/>
      </c>
    </row>
    <row r="10006" spans="20:20">
      <c r="T10006" t="str">
        <f t="shared" si="168"/>
        <v/>
      </c>
    </row>
    <row r="10007" spans="20:20">
      <c r="T10007" t="str">
        <f t="shared" si="168"/>
        <v/>
      </c>
    </row>
    <row r="10008" spans="20:20">
      <c r="T10008" t="str">
        <f t="shared" si="168"/>
        <v/>
      </c>
    </row>
    <row r="10009" spans="20:20">
      <c r="T10009" t="str">
        <f t="shared" si="168"/>
        <v/>
      </c>
    </row>
    <row r="10010" spans="20:20">
      <c r="T10010" t="str">
        <f t="shared" si="168"/>
        <v/>
      </c>
    </row>
    <row r="10011" spans="20:20">
      <c r="T10011" t="str">
        <f t="shared" si="168"/>
        <v/>
      </c>
    </row>
    <row r="10012" spans="20:20">
      <c r="T10012" t="str">
        <f t="shared" si="168"/>
        <v/>
      </c>
    </row>
    <row r="10013" spans="20:20">
      <c r="T10013" t="str">
        <f t="shared" si="168"/>
        <v/>
      </c>
    </row>
    <row r="10014" spans="20:20">
      <c r="T10014" t="str">
        <f t="shared" si="168"/>
        <v/>
      </c>
    </row>
    <row r="10015" spans="20:20">
      <c r="T10015" t="str">
        <f t="shared" si="168"/>
        <v/>
      </c>
    </row>
    <row r="10016" spans="20:20">
      <c r="T10016" t="str">
        <f t="shared" si="168"/>
        <v/>
      </c>
    </row>
    <row r="10017" spans="20:20">
      <c r="T10017" t="str">
        <f t="shared" si="168"/>
        <v/>
      </c>
    </row>
    <row r="10018" spans="20:20">
      <c r="T10018" t="str">
        <f t="shared" si="168"/>
        <v/>
      </c>
    </row>
    <row r="10019" spans="20:20">
      <c r="T10019" t="str">
        <f t="shared" si="168"/>
        <v/>
      </c>
    </row>
    <row r="10020" spans="20:20">
      <c r="T10020" t="str">
        <f t="shared" si="168"/>
        <v/>
      </c>
    </row>
    <row r="10021" spans="20:20">
      <c r="T10021" t="str">
        <f t="shared" si="168"/>
        <v/>
      </c>
    </row>
    <row r="10022" spans="20:20">
      <c r="T10022" t="str">
        <f t="shared" si="168"/>
        <v/>
      </c>
    </row>
    <row r="10023" spans="20:20">
      <c r="T10023" t="str">
        <f t="shared" si="168"/>
        <v/>
      </c>
    </row>
    <row r="10024" spans="20:20">
      <c r="T10024" t="str">
        <f t="shared" si="168"/>
        <v/>
      </c>
    </row>
    <row r="10025" spans="20:20">
      <c r="T10025" t="str">
        <f t="shared" si="168"/>
        <v/>
      </c>
    </row>
    <row r="10026" spans="20:20">
      <c r="T10026" t="str">
        <f t="shared" si="168"/>
        <v/>
      </c>
    </row>
    <row r="10027" spans="20:20">
      <c r="T10027" t="str">
        <f t="shared" si="168"/>
        <v/>
      </c>
    </row>
    <row r="10028" spans="20:20">
      <c r="T10028" t="str">
        <f t="shared" si="168"/>
        <v/>
      </c>
    </row>
    <row r="10029" spans="20:20">
      <c r="T10029" t="str">
        <f t="shared" si="168"/>
        <v/>
      </c>
    </row>
    <row r="10030" spans="20:20">
      <c r="T10030" t="str">
        <f t="shared" si="168"/>
        <v/>
      </c>
    </row>
    <row r="10031" spans="20:20">
      <c r="T10031" t="str">
        <f t="shared" si="168"/>
        <v/>
      </c>
    </row>
    <row r="10032" spans="20:20">
      <c r="T10032" t="str">
        <f t="shared" si="168"/>
        <v/>
      </c>
    </row>
    <row r="10033" spans="20:20">
      <c r="T10033" t="str">
        <f t="shared" si="168"/>
        <v/>
      </c>
    </row>
    <row r="10034" spans="20:20">
      <c r="T10034" t="str">
        <f t="shared" si="168"/>
        <v/>
      </c>
    </row>
    <row r="10035" spans="20:20">
      <c r="T10035" t="str">
        <f t="shared" si="168"/>
        <v/>
      </c>
    </row>
    <row r="10036" spans="20:20">
      <c r="T10036" t="str">
        <f t="shared" si="168"/>
        <v/>
      </c>
    </row>
    <row r="10037" spans="20:20">
      <c r="T10037" t="str">
        <f t="shared" si="168"/>
        <v/>
      </c>
    </row>
    <row r="10038" spans="20:20">
      <c r="T10038" t="str">
        <f t="shared" si="168"/>
        <v/>
      </c>
    </row>
    <row r="10039" spans="20:20">
      <c r="T10039" t="str">
        <f t="shared" si="168"/>
        <v/>
      </c>
    </row>
    <row r="10040" spans="20:20">
      <c r="T10040" t="str">
        <f t="shared" si="168"/>
        <v/>
      </c>
    </row>
    <row r="10041" spans="20:20">
      <c r="T10041" t="str">
        <f t="shared" si="168"/>
        <v/>
      </c>
    </row>
    <row r="10042" spans="20:20">
      <c r="T10042" t="str">
        <f t="shared" si="168"/>
        <v/>
      </c>
    </row>
    <row r="10043" spans="20:20">
      <c r="T10043" t="str">
        <f t="shared" si="168"/>
        <v/>
      </c>
    </row>
    <row r="10044" spans="20:20">
      <c r="T10044" t="str">
        <f t="shared" si="168"/>
        <v/>
      </c>
    </row>
    <row r="10045" spans="20:20">
      <c r="T10045" t="str">
        <f t="shared" si="168"/>
        <v/>
      </c>
    </row>
    <row r="10046" spans="20:20">
      <c r="T10046" t="str">
        <f t="shared" si="168"/>
        <v/>
      </c>
    </row>
    <row r="10047" spans="20:20">
      <c r="T10047" t="str">
        <f t="shared" si="168"/>
        <v/>
      </c>
    </row>
    <row r="10048" spans="20:20">
      <c r="T10048" t="str">
        <f t="shared" si="168"/>
        <v/>
      </c>
    </row>
    <row r="10049" spans="20:20">
      <c r="T10049" t="str">
        <f t="shared" si="168"/>
        <v/>
      </c>
    </row>
    <row r="10050" spans="20:20">
      <c r="T10050" t="str">
        <f t="shared" ref="T10050:T10113" si="169">IF(C10050="","",UPPER(LEFT(SUBSTITUTE(C10050," ",""),3))&amp;"-"&amp;TEXT(B10050,"AAMMDD")&amp;"-1")</f>
        <v/>
      </c>
    </row>
    <row r="10051" spans="20:20">
      <c r="T10051" t="str">
        <f t="shared" si="169"/>
        <v/>
      </c>
    </row>
    <row r="10052" spans="20:20">
      <c r="T10052" t="str">
        <f t="shared" si="169"/>
        <v/>
      </c>
    </row>
    <row r="10053" spans="20:20">
      <c r="T10053" t="str">
        <f t="shared" si="169"/>
        <v/>
      </c>
    </row>
    <row r="10054" spans="20:20">
      <c r="T10054" t="str">
        <f t="shared" si="169"/>
        <v/>
      </c>
    </row>
    <row r="10055" spans="20:20">
      <c r="T10055" t="str">
        <f t="shared" si="169"/>
        <v/>
      </c>
    </row>
    <row r="10056" spans="20:20">
      <c r="T10056" t="str">
        <f t="shared" si="169"/>
        <v/>
      </c>
    </row>
    <row r="10057" spans="20:20">
      <c r="T10057" t="str">
        <f t="shared" si="169"/>
        <v/>
      </c>
    </row>
    <row r="10058" spans="20:20">
      <c r="T10058" t="str">
        <f t="shared" si="169"/>
        <v/>
      </c>
    </row>
    <row r="10059" spans="20:20">
      <c r="T10059" t="str">
        <f t="shared" si="169"/>
        <v/>
      </c>
    </row>
    <row r="10060" spans="20:20">
      <c r="T10060" t="str">
        <f t="shared" si="169"/>
        <v/>
      </c>
    </row>
    <row r="10061" spans="20:20">
      <c r="T10061" t="str">
        <f t="shared" si="169"/>
        <v/>
      </c>
    </row>
    <row r="10062" spans="20:20">
      <c r="T10062" t="str">
        <f t="shared" si="169"/>
        <v/>
      </c>
    </row>
    <row r="10063" spans="20:20">
      <c r="T10063" t="str">
        <f t="shared" si="169"/>
        <v/>
      </c>
    </row>
    <row r="10064" spans="20:20">
      <c r="T10064" t="str">
        <f t="shared" si="169"/>
        <v/>
      </c>
    </row>
    <row r="10065" spans="20:20">
      <c r="T10065" t="str">
        <f t="shared" si="169"/>
        <v/>
      </c>
    </row>
    <row r="10066" spans="20:20">
      <c r="T10066" t="str">
        <f t="shared" si="169"/>
        <v/>
      </c>
    </row>
    <row r="10067" spans="20:20">
      <c r="T10067" t="str">
        <f t="shared" si="169"/>
        <v/>
      </c>
    </row>
    <row r="10068" spans="20:20">
      <c r="T10068" t="str">
        <f t="shared" si="169"/>
        <v/>
      </c>
    </row>
    <row r="10069" spans="20:20">
      <c r="T10069" t="str">
        <f t="shared" si="169"/>
        <v/>
      </c>
    </row>
    <row r="10070" spans="20:20">
      <c r="T10070" t="str">
        <f t="shared" si="169"/>
        <v/>
      </c>
    </row>
    <row r="10071" spans="20:20">
      <c r="T10071" t="str">
        <f t="shared" si="169"/>
        <v/>
      </c>
    </row>
    <row r="10072" spans="20:20">
      <c r="T10072" t="str">
        <f t="shared" si="169"/>
        <v/>
      </c>
    </row>
    <row r="10073" spans="20:20">
      <c r="T10073" t="str">
        <f t="shared" si="169"/>
        <v/>
      </c>
    </row>
    <row r="10074" spans="20:20">
      <c r="T10074" t="str">
        <f t="shared" si="169"/>
        <v/>
      </c>
    </row>
    <row r="10075" spans="20:20">
      <c r="T10075" t="str">
        <f t="shared" si="169"/>
        <v/>
      </c>
    </row>
    <row r="10076" spans="20:20">
      <c r="T10076" t="str">
        <f t="shared" si="169"/>
        <v/>
      </c>
    </row>
    <row r="10077" spans="20:20">
      <c r="T10077" t="str">
        <f t="shared" si="169"/>
        <v/>
      </c>
    </row>
    <row r="10078" spans="20:20">
      <c r="T10078" t="str">
        <f t="shared" si="169"/>
        <v/>
      </c>
    </row>
    <row r="10079" spans="20:20">
      <c r="T10079" t="str">
        <f t="shared" si="169"/>
        <v/>
      </c>
    </row>
    <row r="10080" spans="20:20">
      <c r="T10080" t="str">
        <f t="shared" si="169"/>
        <v/>
      </c>
    </row>
    <row r="10081" spans="20:20">
      <c r="T10081" t="str">
        <f t="shared" si="169"/>
        <v/>
      </c>
    </row>
    <row r="10082" spans="20:20">
      <c r="T10082" t="str">
        <f t="shared" si="169"/>
        <v/>
      </c>
    </row>
    <row r="10083" spans="20:20">
      <c r="T10083" t="str">
        <f t="shared" si="169"/>
        <v/>
      </c>
    </row>
    <row r="10084" spans="20:20">
      <c r="T10084" t="str">
        <f t="shared" si="169"/>
        <v/>
      </c>
    </row>
    <row r="10085" spans="20:20">
      <c r="T10085" t="str">
        <f t="shared" si="169"/>
        <v/>
      </c>
    </row>
    <row r="10086" spans="20:20">
      <c r="T10086" t="str">
        <f t="shared" si="169"/>
        <v/>
      </c>
    </row>
    <row r="10087" spans="20:20">
      <c r="T10087" t="str">
        <f t="shared" si="169"/>
        <v/>
      </c>
    </row>
    <row r="10088" spans="20:20">
      <c r="T10088" t="str">
        <f t="shared" si="169"/>
        <v/>
      </c>
    </row>
    <row r="10089" spans="20:20">
      <c r="T10089" t="str">
        <f t="shared" si="169"/>
        <v/>
      </c>
    </row>
    <row r="10090" spans="20:20">
      <c r="T10090" t="str">
        <f t="shared" si="169"/>
        <v/>
      </c>
    </row>
    <row r="10091" spans="20:20">
      <c r="T10091" t="str">
        <f t="shared" si="169"/>
        <v/>
      </c>
    </row>
    <row r="10092" spans="20:20">
      <c r="T10092" t="str">
        <f t="shared" si="169"/>
        <v/>
      </c>
    </row>
    <row r="10093" spans="20:20">
      <c r="T10093" t="str">
        <f t="shared" si="169"/>
        <v/>
      </c>
    </row>
    <row r="10094" spans="20:20">
      <c r="T10094" t="str">
        <f t="shared" si="169"/>
        <v/>
      </c>
    </row>
    <row r="10095" spans="20:20">
      <c r="T10095" t="str">
        <f t="shared" si="169"/>
        <v/>
      </c>
    </row>
    <row r="10096" spans="20:20">
      <c r="T10096" t="str">
        <f t="shared" si="169"/>
        <v/>
      </c>
    </row>
    <row r="10097" spans="20:20">
      <c r="T10097" t="str">
        <f t="shared" si="169"/>
        <v/>
      </c>
    </row>
    <row r="10098" spans="20:20">
      <c r="T10098" t="str">
        <f t="shared" si="169"/>
        <v/>
      </c>
    </row>
    <row r="10099" spans="20:20">
      <c r="T10099" t="str">
        <f t="shared" si="169"/>
        <v/>
      </c>
    </row>
    <row r="10100" spans="20:20">
      <c r="T10100" t="str">
        <f t="shared" si="169"/>
        <v/>
      </c>
    </row>
    <row r="10101" spans="20:20">
      <c r="T10101" t="str">
        <f t="shared" si="169"/>
        <v/>
      </c>
    </row>
    <row r="10102" spans="20:20">
      <c r="T10102" t="str">
        <f t="shared" si="169"/>
        <v/>
      </c>
    </row>
    <row r="10103" spans="20:20">
      <c r="T10103" t="str">
        <f t="shared" si="169"/>
        <v/>
      </c>
    </row>
    <row r="10104" spans="20:20">
      <c r="T10104" t="str">
        <f t="shared" si="169"/>
        <v/>
      </c>
    </row>
    <row r="10105" spans="20:20">
      <c r="T10105" t="str">
        <f t="shared" si="169"/>
        <v/>
      </c>
    </row>
    <row r="10106" spans="20:20">
      <c r="T10106" t="str">
        <f t="shared" si="169"/>
        <v/>
      </c>
    </row>
    <row r="10107" spans="20:20">
      <c r="T10107" t="str">
        <f t="shared" si="169"/>
        <v/>
      </c>
    </row>
    <row r="10108" spans="20:20">
      <c r="T10108" t="str">
        <f t="shared" si="169"/>
        <v/>
      </c>
    </row>
    <row r="10109" spans="20:20">
      <c r="T10109" t="str">
        <f t="shared" si="169"/>
        <v/>
      </c>
    </row>
    <row r="10110" spans="20:20">
      <c r="T10110" t="str">
        <f t="shared" si="169"/>
        <v/>
      </c>
    </row>
    <row r="10111" spans="20:20">
      <c r="T10111" t="str">
        <f t="shared" si="169"/>
        <v/>
      </c>
    </row>
    <row r="10112" spans="20:20">
      <c r="T10112" t="str">
        <f t="shared" si="169"/>
        <v/>
      </c>
    </row>
    <row r="10113" spans="20:20">
      <c r="T10113" t="str">
        <f t="shared" si="169"/>
        <v/>
      </c>
    </row>
    <row r="10114" spans="20:20">
      <c r="T10114" t="str">
        <f t="shared" ref="T10114:T10177" si="170">IF(C10114="","",UPPER(LEFT(SUBSTITUTE(C10114," ",""),3))&amp;"-"&amp;TEXT(B10114,"AAMMDD")&amp;"-1")</f>
        <v/>
      </c>
    </row>
    <row r="10115" spans="20:20">
      <c r="T10115" t="str">
        <f t="shared" si="170"/>
        <v/>
      </c>
    </row>
    <row r="10116" spans="20:20">
      <c r="T10116" t="str">
        <f t="shared" si="170"/>
        <v/>
      </c>
    </row>
    <row r="10117" spans="20:20">
      <c r="T10117" t="str">
        <f t="shared" si="170"/>
        <v/>
      </c>
    </row>
    <row r="10118" spans="20:20">
      <c r="T10118" t="str">
        <f t="shared" si="170"/>
        <v/>
      </c>
    </row>
    <row r="10119" spans="20:20">
      <c r="T10119" t="str">
        <f t="shared" si="170"/>
        <v/>
      </c>
    </row>
    <row r="10120" spans="20:20">
      <c r="T10120" t="str">
        <f t="shared" si="170"/>
        <v/>
      </c>
    </row>
    <row r="10121" spans="20:20">
      <c r="T10121" t="str">
        <f t="shared" si="170"/>
        <v/>
      </c>
    </row>
    <row r="10122" spans="20:20">
      <c r="T10122" t="str">
        <f t="shared" si="170"/>
        <v/>
      </c>
    </row>
    <row r="10123" spans="20:20">
      <c r="T10123" t="str">
        <f t="shared" si="170"/>
        <v/>
      </c>
    </row>
    <row r="10124" spans="20:20">
      <c r="T10124" t="str">
        <f t="shared" si="170"/>
        <v/>
      </c>
    </row>
    <row r="10125" spans="20:20">
      <c r="T10125" t="str">
        <f t="shared" si="170"/>
        <v/>
      </c>
    </row>
    <row r="10126" spans="20:20">
      <c r="T10126" t="str">
        <f t="shared" si="170"/>
        <v/>
      </c>
    </row>
    <row r="10127" spans="20:20">
      <c r="T10127" t="str">
        <f t="shared" si="170"/>
        <v/>
      </c>
    </row>
    <row r="10128" spans="20:20">
      <c r="T10128" t="str">
        <f t="shared" si="170"/>
        <v/>
      </c>
    </row>
    <row r="10129" spans="20:20">
      <c r="T10129" t="str">
        <f t="shared" si="170"/>
        <v/>
      </c>
    </row>
    <row r="10130" spans="20:20">
      <c r="T10130" t="str">
        <f t="shared" si="170"/>
        <v/>
      </c>
    </row>
    <row r="10131" spans="20:20">
      <c r="T10131" t="str">
        <f t="shared" si="170"/>
        <v/>
      </c>
    </row>
    <row r="10132" spans="20:20">
      <c r="T10132" t="str">
        <f t="shared" si="170"/>
        <v/>
      </c>
    </row>
    <row r="10133" spans="20:20">
      <c r="T10133" t="str">
        <f t="shared" si="170"/>
        <v/>
      </c>
    </row>
    <row r="10134" spans="20:20">
      <c r="T10134" t="str">
        <f t="shared" si="170"/>
        <v/>
      </c>
    </row>
    <row r="10135" spans="20:20">
      <c r="T10135" t="str">
        <f t="shared" si="170"/>
        <v/>
      </c>
    </row>
    <row r="10136" spans="20:20">
      <c r="T10136" t="str">
        <f t="shared" si="170"/>
        <v/>
      </c>
    </row>
    <row r="10137" spans="20:20">
      <c r="T10137" t="str">
        <f t="shared" si="170"/>
        <v/>
      </c>
    </row>
    <row r="10138" spans="20:20">
      <c r="T10138" t="str">
        <f t="shared" si="170"/>
        <v/>
      </c>
    </row>
    <row r="10139" spans="20:20">
      <c r="T10139" t="str">
        <f t="shared" si="170"/>
        <v/>
      </c>
    </row>
    <row r="10140" spans="20:20">
      <c r="T10140" t="str">
        <f t="shared" si="170"/>
        <v/>
      </c>
    </row>
    <row r="10141" spans="20:20">
      <c r="T10141" t="str">
        <f t="shared" si="170"/>
        <v/>
      </c>
    </row>
    <row r="10142" spans="20:20">
      <c r="T10142" t="str">
        <f t="shared" si="170"/>
        <v/>
      </c>
    </row>
    <row r="10143" spans="20:20">
      <c r="T10143" t="str">
        <f t="shared" si="170"/>
        <v/>
      </c>
    </row>
    <row r="10144" spans="20:20">
      <c r="T10144" t="str">
        <f t="shared" si="170"/>
        <v/>
      </c>
    </row>
    <row r="10145" spans="20:20">
      <c r="T10145" t="str">
        <f t="shared" si="170"/>
        <v/>
      </c>
    </row>
    <row r="10146" spans="20:20">
      <c r="T10146" t="str">
        <f t="shared" si="170"/>
        <v/>
      </c>
    </row>
    <row r="10147" spans="20:20">
      <c r="T10147" t="str">
        <f t="shared" si="170"/>
        <v/>
      </c>
    </row>
    <row r="10148" spans="20:20">
      <c r="T10148" t="str">
        <f t="shared" si="170"/>
        <v/>
      </c>
    </row>
    <row r="10149" spans="20:20">
      <c r="T10149" t="str">
        <f t="shared" si="170"/>
        <v/>
      </c>
    </row>
    <row r="10150" spans="20:20">
      <c r="T10150" t="str">
        <f t="shared" si="170"/>
        <v/>
      </c>
    </row>
    <row r="10151" spans="20:20">
      <c r="T10151" t="str">
        <f t="shared" si="170"/>
        <v/>
      </c>
    </row>
    <row r="10152" spans="20:20">
      <c r="T10152" t="str">
        <f t="shared" si="170"/>
        <v/>
      </c>
    </row>
    <row r="10153" spans="20:20">
      <c r="T10153" t="str">
        <f t="shared" si="170"/>
        <v/>
      </c>
    </row>
    <row r="10154" spans="20:20">
      <c r="T10154" t="str">
        <f t="shared" si="170"/>
        <v/>
      </c>
    </row>
    <row r="10155" spans="20:20">
      <c r="T10155" t="str">
        <f t="shared" si="170"/>
        <v/>
      </c>
    </row>
    <row r="10156" spans="20:20">
      <c r="T10156" t="str">
        <f t="shared" si="170"/>
        <v/>
      </c>
    </row>
    <row r="10157" spans="20:20">
      <c r="T10157" t="str">
        <f t="shared" si="170"/>
        <v/>
      </c>
    </row>
    <row r="10158" spans="20:20">
      <c r="T10158" t="str">
        <f t="shared" si="170"/>
        <v/>
      </c>
    </row>
    <row r="10159" spans="20:20">
      <c r="T10159" t="str">
        <f t="shared" si="170"/>
        <v/>
      </c>
    </row>
    <row r="10160" spans="20:20">
      <c r="T10160" t="str">
        <f t="shared" si="170"/>
        <v/>
      </c>
    </row>
    <row r="10161" spans="20:20">
      <c r="T10161" t="str">
        <f t="shared" si="170"/>
        <v/>
      </c>
    </row>
    <row r="10162" spans="20:20">
      <c r="T10162" t="str">
        <f t="shared" si="170"/>
        <v/>
      </c>
    </row>
    <row r="10163" spans="20:20">
      <c r="T10163" t="str">
        <f t="shared" si="170"/>
        <v/>
      </c>
    </row>
    <row r="10164" spans="20:20">
      <c r="T10164" t="str">
        <f t="shared" si="170"/>
        <v/>
      </c>
    </row>
    <row r="10165" spans="20:20">
      <c r="T10165" t="str">
        <f t="shared" si="170"/>
        <v/>
      </c>
    </row>
    <row r="10166" spans="20:20">
      <c r="T10166" t="str">
        <f t="shared" si="170"/>
        <v/>
      </c>
    </row>
    <row r="10167" spans="20:20">
      <c r="T10167" t="str">
        <f t="shared" si="170"/>
        <v/>
      </c>
    </row>
    <row r="10168" spans="20:20">
      <c r="T10168" t="str">
        <f t="shared" si="170"/>
        <v/>
      </c>
    </row>
    <row r="10169" spans="20:20">
      <c r="T10169" t="str">
        <f t="shared" si="170"/>
        <v/>
      </c>
    </row>
    <row r="10170" spans="20:20">
      <c r="T10170" t="str">
        <f t="shared" si="170"/>
        <v/>
      </c>
    </row>
    <row r="10171" spans="20:20">
      <c r="T10171" t="str">
        <f t="shared" si="170"/>
        <v/>
      </c>
    </row>
    <row r="10172" spans="20:20">
      <c r="T10172" t="str">
        <f t="shared" si="170"/>
        <v/>
      </c>
    </row>
    <row r="10173" spans="20:20">
      <c r="T10173" t="str">
        <f t="shared" si="170"/>
        <v/>
      </c>
    </row>
    <row r="10174" spans="20:20">
      <c r="T10174" t="str">
        <f t="shared" si="170"/>
        <v/>
      </c>
    </row>
    <row r="10175" spans="20:20">
      <c r="T10175" t="str">
        <f t="shared" si="170"/>
        <v/>
      </c>
    </row>
    <row r="10176" spans="20:20">
      <c r="T10176" t="str">
        <f t="shared" si="170"/>
        <v/>
      </c>
    </row>
    <row r="10177" spans="20:20">
      <c r="T10177" t="str">
        <f t="shared" si="170"/>
        <v/>
      </c>
    </row>
    <row r="10178" spans="20:20">
      <c r="T10178" t="str">
        <f t="shared" ref="T10178:T10241" si="171">IF(C10178="","",UPPER(LEFT(SUBSTITUTE(C10178," ",""),3))&amp;"-"&amp;TEXT(B10178,"AAMMDD")&amp;"-1")</f>
        <v/>
      </c>
    </row>
    <row r="10179" spans="20:20">
      <c r="T10179" t="str">
        <f t="shared" si="171"/>
        <v/>
      </c>
    </row>
    <row r="10180" spans="20:20">
      <c r="T10180" t="str">
        <f t="shared" si="171"/>
        <v/>
      </c>
    </row>
    <row r="10181" spans="20:20">
      <c r="T10181" t="str">
        <f t="shared" si="171"/>
        <v/>
      </c>
    </row>
    <row r="10182" spans="20:20">
      <c r="T10182" t="str">
        <f t="shared" si="171"/>
        <v/>
      </c>
    </row>
    <row r="10183" spans="20:20">
      <c r="T10183" t="str">
        <f t="shared" si="171"/>
        <v/>
      </c>
    </row>
    <row r="10184" spans="20:20">
      <c r="T10184" t="str">
        <f t="shared" si="171"/>
        <v/>
      </c>
    </row>
    <row r="10185" spans="20:20">
      <c r="T10185" t="str">
        <f t="shared" si="171"/>
        <v/>
      </c>
    </row>
    <row r="10186" spans="20:20">
      <c r="T10186" t="str">
        <f t="shared" si="171"/>
        <v/>
      </c>
    </row>
    <row r="10187" spans="20:20">
      <c r="T10187" t="str">
        <f t="shared" si="171"/>
        <v/>
      </c>
    </row>
    <row r="10188" spans="20:20">
      <c r="T10188" t="str">
        <f t="shared" si="171"/>
        <v/>
      </c>
    </row>
    <row r="10189" spans="20:20">
      <c r="T10189" t="str">
        <f t="shared" si="171"/>
        <v/>
      </c>
    </row>
    <row r="10190" spans="20:20">
      <c r="T10190" t="str">
        <f t="shared" si="171"/>
        <v/>
      </c>
    </row>
    <row r="10191" spans="20:20">
      <c r="T10191" t="str">
        <f t="shared" si="171"/>
        <v/>
      </c>
    </row>
    <row r="10192" spans="20:20">
      <c r="T10192" t="str">
        <f t="shared" si="171"/>
        <v/>
      </c>
    </row>
    <row r="10193" spans="20:20">
      <c r="T10193" t="str">
        <f t="shared" si="171"/>
        <v/>
      </c>
    </row>
    <row r="10194" spans="20:20">
      <c r="T10194" t="str">
        <f t="shared" si="171"/>
        <v/>
      </c>
    </row>
    <row r="10195" spans="20:20">
      <c r="T10195" t="str">
        <f t="shared" si="171"/>
        <v/>
      </c>
    </row>
    <row r="10196" spans="20:20">
      <c r="T10196" t="str">
        <f t="shared" si="171"/>
        <v/>
      </c>
    </row>
    <row r="10197" spans="20:20">
      <c r="T10197" t="str">
        <f t="shared" si="171"/>
        <v/>
      </c>
    </row>
    <row r="10198" spans="20:20">
      <c r="T10198" t="str">
        <f t="shared" si="171"/>
        <v/>
      </c>
    </row>
    <row r="10199" spans="20:20">
      <c r="T10199" t="str">
        <f t="shared" si="171"/>
        <v/>
      </c>
    </row>
    <row r="10200" spans="20:20">
      <c r="T10200" t="str">
        <f t="shared" si="171"/>
        <v/>
      </c>
    </row>
    <row r="10201" spans="20:20">
      <c r="T10201" t="str">
        <f t="shared" si="171"/>
        <v/>
      </c>
    </row>
    <row r="10202" spans="20:20">
      <c r="T10202" t="str">
        <f t="shared" si="171"/>
        <v/>
      </c>
    </row>
    <row r="10203" spans="20:20">
      <c r="T10203" t="str">
        <f t="shared" si="171"/>
        <v/>
      </c>
    </row>
    <row r="10204" spans="20:20">
      <c r="T10204" t="str">
        <f t="shared" si="171"/>
        <v/>
      </c>
    </row>
    <row r="10205" spans="20:20">
      <c r="T10205" t="str">
        <f t="shared" si="171"/>
        <v/>
      </c>
    </row>
    <row r="10206" spans="20:20">
      <c r="T10206" t="str">
        <f t="shared" si="171"/>
        <v/>
      </c>
    </row>
    <row r="10207" spans="20:20">
      <c r="T10207" t="str">
        <f t="shared" si="171"/>
        <v/>
      </c>
    </row>
    <row r="10208" spans="20:20">
      <c r="T10208" t="str">
        <f t="shared" si="171"/>
        <v/>
      </c>
    </row>
    <row r="10209" spans="20:20">
      <c r="T10209" t="str">
        <f t="shared" si="171"/>
        <v/>
      </c>
    </row>
    <row r="10210" spans="20:20">
      <c r="T10210" t="str">
        <f t="shared" si="171"/>
        <v/>
      </c>
    </row>
    <row r="10211" spans="20:20">
      <c r="T10211" t="str">
        <f t="shared" si="171"/>
        <v/>
      </c>
    </row>
    <row r="10212" spans="20:20">
      <c r="T10212" t="str">
        <f t="shared" si="171"/>
        <v/>
      </c>
    </row>
    <row r="10213" spans="20:20">
      <c r="T10213" t="str">
        <f t="shared" si="171"/>
        <v/>
      </c>
    </row>
    <row r="10214" spans="20:20">
      <c r="T10214" t="str">
        <f t="shared" si="171"/>
        <v/>
      </c>
    </row>
    <row r="10215" spans="20:20">
      <c r="T10215" t="str">
        <f t="shared" si="171"/>
        <v/>
      </c>
    </row>
    <row r="10216" spans="20:20">
      <c r="T10216" t="str">
        <f t="shared" si="171"/>
        <v/>
      </c>
    </row>
    <row r="10217" spans="20:20">
      <c r="T10217" t="str">
        <f t="shared" si="171"/>
        <v/>
      </c>
    </row>
    <row r="10218" spans="20:20">
      <c r="T10218" t="str">
        <f t="shared" si="171"/>
        <v/>
      </c>
    </row>
    <row r="10219" spans="20:20">
      <c r="T10219" t="str">
        <f t="shared" si="171"/>
        <v/>
      </c>
    </row>
    <row r="10220" spans="20:20">
      <c r="T10220" t="str">
        <f t="shared" si="171"/>
        <v/>
      </c>
    </row>
    <row r="10221" spans="20:20">
      <c r="T10221" t="str">
        <f t="shared" si="171"/>
        <v/>
      </c>
    </row>
    <row r="10222" spans="20:20">
      <c r="T10222" t="str">
        <f t="shared" si="171"/>
        <v/>
      </c>
    </row>
    <row r="10223" spans="20:20">
      <c r="T10223" t="str">
        <f t="shared" si="171"/>
        <v/>
      </c>
    </row>
    <row r="10224" spans="20:20">
      <c r="T10224" t="str">
        <f t="shared" si="171"/>
        <v/>
      </c>
    </row>
    <row r="10225" spans="20:20">
      <c r="T10225" t="str">
        <f t="shared" si="171"/>
        <v/>
      </c>
    </row>
    <row r="10226" spans="20:20">
      <c r="T10226" t="str">
        <f t="shared" si="171"/>
        <v/>
      </c>
    </row>
    <row r="10227" spans="20:20">
      <c r="T10227" t="str">
        <f t="shared" si="171"/>
        <v/>
      </c>
    </row>
    <row r="10228" spans="20:20">
      <c r="T10228" t="str">
        <f t="shared" si="171"/>
        <v/>
      </c>
    </row>
    <row r="10229" spans="20:20">
      <c r="T10229" t="str">
        <f t="shared" si="171"/>
        <v/>
      </c>
    </row>
    <row r="10230" spans="20:20">
      <c r="T10230" t="str">
        <f t="shared" si="171"/>
        <v/>
      </c>
    </row>
    <row r="10231" spans="20:20">
      <c r="T10231" t="str">
        <f t="shared" si="171"/>
        <v/>
      </c>
    </row>
    <row r="10232" spans="20:20">
      <c r="T10232" t="str">
        <f t="shared" si="171"/>
        <v/>
      </c>
    </row>
    <row r="10233" spans="20:20">
      <c r="T10233" t="str">
        <f t="shared" si="171"/>
        <v/>
      </c>
    </row>
    <row r="10234" spans="20:20">
      <c r="T10234" t="str">
        <f t="shared" si="171"/>
        <v/>
      </c>
    </row>
    <row r="10235" spans="20:20">
      <c r="T10235" t="str">
        <f t="shared" si="171"/>
        <v/>
      </c>
    </row>
    <row r="10236" spans="20:20">
      <c r="T10236" t="str">
        <f t="shared" si="171"/>
        <v/>
      </c>
    </row>
    <row r="10237" spans="20:20">
      <c r="T10237" t="str">
        <f t="shared" si="171"/>
        <v/>
      </c>
    </row>
    <row r="10238" spans="20:20">
      <c r="T10238" t="str">
        <f t="shared" si="171"/>
        <v/>
      </c>
    </row>
    <row r="10239" spans="20:20">
      <c r="T10239" t="str">
        <f t="shared" si="171"/>
        <v/>
      </c>
    </row>
    <row r="10240" spans="20:20">
      <c r="T10240" t="str">
        <f t="shared" si="171"/>
        <v/>
      </c>
    </row>
    <row r="10241" spans="20:20">
      <c r="T10241" t="str">
        <f t="shared" si="171"/>
        <v/>
      </c>
    </row>
    <row r="10242" spans="20:20">
      <c r="T10242" t="str">
        <f t="shared" ref="T10242:T10305" si="172">IF(C10242="","",UPPER(LEFT(SUBSTITUTE(C10242," ",""),3))&amp;"-"&amp;TEXT(B10242,"AAMMDD")&amp;"-1")</f>
        <v/>
      </c>
    </row>
    <row r="10243" spans="20:20">
      <c r="T10243" t="str">
        <f t="shared" si="172"/>
        <v/>
      </c>
    </row>
    <row r="10244" spans="20:20">
      <c r="T10244" t="str">
        <f t="shared" si="172"/>
        <v/>
      </c>
    </row>
    <row r="10245" spans="20:20">
      <c r="T10245" t="str">
        <f t="shared" si="172"/>
        <v/>
      </c>
    </row>
    <row r="10246" spans="20:20">
      <c r="T10246" t="str">
        <f t="shared" si="172"/>
        <v/>
      </c>
    </row>
    <row r="10247" spans="20:20">
      <c r="T10247" t="str">
        <f t="shared" si="172"/>
        <v/>
      </c>
    </row>
    <row r="10248" spans="20:20">
      <c r="T10248" t="str">
        <f t="shared" si="172"/>
        <v/>
      </c>
    </row>
    <row r="10249" spans="20:20">
      <c r="T10249" t="str">
        <f t="shared" si="172"/>
        <v/>
      </c>
    </row>
    <row r="10250" spans="20:20">
      <c r="T10250" t="str">
        <f t="shared" si="172"/>
        <v/>
      </c>
    </row>
    <row r="10251" spans="20:20">
      <c r="T10251" t="str">
        <f t="shared" si="172"/>
        <v/>
      </c>
    </row>
    <row r="10252" spans="20:20">
      <c r="T10252" t="str">
        <f t="shared" si="172"/>
        <v/>
      </c>
    </row>
    <row r="10253" spans="20:20">
      <c r="T10253" t="str">
        <f t="shared" si="172"/>
        <v/>
      </c>
    </row>
    <row r="10254" spans="20:20">
      <c r="T10254" t="str">
        <f t="shared" si="172"/>
        <v/>
      </c>
    </row>
    <row r="10255" spans="20:20">
      <c r="T10255" t="str">
        <f t="shared" si="172"/>
        <v/>
      </c>
    </row>
    <row r="10256" spans="20:20">
      <c r="T10256" t="str">
        <f t="shared" si="172"/>
        <v/>
      </c>
    </row>
    <row r="10257" spans="20:20">
      <c r="T10257" t="str">
        <f t="shared" si="172"/>
        <v/>
      </c>
    </row>
    <row r="10258" spans="20:20">
      <c r="T10258" t="str">
        <f t="shared" si="172"/>
        <v/>
      </c>
    </row>
    <row r="10259" spans="20:20">
      <c r="T10259" t="str">
        <f t="shared" si="172"/>
        <v/>
      </c>
    </row>
    <row r="10260" spans="20:20">
      <c r="T10260" t="str">
        <f t="shared" si="172"/>
        <v/>
      </c>
    </row>
    <row r="10261" spans="20:20">
      <c r="T10261" t="str">
        <f t="shared" si="172"/>
        <v/>
      </c>
    </row>
    <row r="10262" spans="20:20">
      <c r="T10262" t="str">
        <f t="shared" si="172"/>
        <v/>
      </c>
    </row>
    <row r="10263" spans="20:20">
      <c r="T10263" t="str">
        <f t="shared" si="172"/>
        <v/>
      </c>
    </row>
    <row r="10264" spans="20:20">
      <c r="T10264" t="str">
        <f t="shared" si="172"/>
        <v/>
      </c>
    </row>
    <row r="10265" spans="20:20">
      <c r="T10265" t="str">
        <f t="shared" si="172"/>
        <v/>
      </c>
    </row>
    <row r="10266" spans="20:20">
      <c r="T10266" t="str">
        <f t="shared" si="172"/>
        <v/>
      </c>
    </row>
    <row r="10267" spans="20:20">
      <c r="T10267" t="str">
        <f t="shared" si="172"/>
        <v/>
      </c>
    </row>
    <row r="10268" spans="20:20">
      <c r="T10268" t="str">
        <f t="shared" si="172"/>
        <v/>
      </c>
    </row>
    <row r="10269" spans="20:20">
      <c r="T10269" t="str">
        <f t="shared" si="172"/>
        <v/>
      </c>
    </row>
    <row r="10270" spans="20:20">
      <c r="T10270" t="str">
        <f t="shared" si="172"/>
        <v/>
      </c>
    </row>
    <row r="10271" spans="20:20">
      <c r="T10271" t="str">
        <f t="shared" si="172"/>
        <v/>
      </c>
    </row>
    <row r="10272" spans="20:20">
      <c r="T10272" t="str">
        <f t="shared" si="172"/>
        <v/>
      </c>
    </row>
    <row r="10273" spans="20:20">
      <c r="T10273" t="str">
        <f t="shared" si="172"/>
        <v/>
      </c>
    </row>
    <row r="10274" spans="20:20">
      <c r="T10274" t="str">
        <f t="shared" si="172"/>
        <v/>
      </c>
    </row>
    <row r="10275" spans="20:20">
      <c r="T10275" t="str">
        <f t="shared" si="172"/>
        <v/>
      </c>
    </row>
    <row r="10276" spans="20:20">
      <c r="T10276" t="str">
        <f t="shared" si="172"/>
        <v/>
      </c>
    </row>
    <row r="10277" spans="20:20">
      <c r="T10277" t="str">
        <f t="shared" si="172"/>
        <v/>
      </c>
    </row>
    <row r="10278" spans="20:20">
      <c r="T10278" t="str">
        <f t="shared" si="172"/>
        <v/>
      </c>
    </row>
    <row r="10279" spans="20:20">
      <c r="T10279" t="str">
        <f t="shared" si="172"/>
        <v/>
      </c>
    </row>
    <row r="10280" spans="20:20">
      <c r="T10280" t="str">
        <f t="shared" si="172"/>
        <v/>
      </c>
    </row>
    <row r="10281" spans="20:20">
      <c r="T10281" t="str">
        <f t="shared" si="172"/>
        <v/>
      </c>
    </row>
    <row r="10282" spans="20:20">
      <c r="T10282" t="str">
        <f t="shared" si="172"/>
        <v/>
      </c>
    </row>
    <row r="10283" spans="20:20">
      <c r="T10283" t="str">
        <f t="shared" si="172"/>
        <v/>
      </c>
    </row>
    <row r="10284" spans="20:20">
      <c r="T10284" t="str">
        <f t="shared" si="172"/>
        <v/>
      </c>
    </row>
    <row r="10285" spans="20:20">
      <c r="T10285" t="str">
        <f t="shared" si="172"/>
        <v/>
      </c>
    </row>
    <row r="10286" spans="20:20">
      <c r="T10286" t="str">
        <f t="shared" si="172"/>
        <v/>
      </c>
    </row>
    <row r="10287" spans="20:20">
      <c r="T10287" t="str">
        <f t="shared" si="172"/>
        <v/>
      </c>
    </row>
    <row r="10288" spans="20:20">
      <c r="T10288" t="str">
        <f t="shared" si="172"/>
        <v/>
      </c>
    </row>
    <row r="10289" spans="20:20">
      <c r="T10289" t="str">
        <f t="shared" si="172"/>
        <v/>
      </c>
    </row>
    <row r="10290" spans="20:20">
      <c r="T10290" t="str">
        <f t="shared" si="172"/>
        <v/>
      </c>
    </row>
    <row r="10291" spans="20:20">
      <c r="T10291" t="str">
        <f t="shared" si="172"/>
        <v/>
      </c>
    </row>
    <row r="10292" spans="20:20">
      <c r="T10292" t="str">
        <f t="shared" si="172"/>
        <v/>
      </c>
    </row>
    <row r="10293" spans="20:20">
      <c r="T10293" t="str">
        <f t="shared" si="172"/>
        <v/>
      </c>
    </row>
    <row r="10294" spans="20:20">
      <c r="T10294" t="str">
        <f t="shared" si="172"/>
        <v/>
      </c>
    </row>
    <row r="10295" spans="20:20">
      <c r="T10295" t="str">
        <f t="shared" si="172"/>
        <v/>
      </c>
    </row>
    <row r="10296" spans="20:20">
      <c r="T10296" t="str">
        <f t="shared" si="172"/>
        <v/>
      </c>
    </row>
    <row r="10297" spans="20:20">
      <c r="T10297" t="str">
        <f t="shared" si="172"/>
        <v/>
      </c>
    </row>
    <row r="10298" spans="20:20">
      <c r="T10298" t="str">
        <f t="shared" si="172"/>
        <v/>
      </c>
    </row>
    <row r="10299" spans="20:20">
      <c r="T10299" t="str">
        <f t="shared" si="172"/>
        <v/>
      </c>
    </row>
    <row r="10300" spans="20:20">
      <c r="T10300" t="str">
        <f t="shared" si="172"/>
        <v/>
      </c>
    </row>
    <row r="10301" spans="20:20">
      <c r="T10301" t="str">
        <f t="shared" si="172"/>
        <v/>
      </c>
    </row>
    <row r="10302" spans="20:20">
      <c r="T10302" t="str">
        <f t="shared" si="172"/>
        <v/>
      </c>
    </row>
    <row r="10303" spans="20:20">
      <c r="T10303" t="str">
        <f t="shared" si="172"/>
        <v/>
      </c>
    </row>
    <row r="10304" spans="20:20">
      <c r="T10304" t="str">
        <f t="shared" si="172"/>
        <v/>
      </c>
    </row>
    <row r="10305" spans="20:20">
      <c r="T10305" t="str">
        <f t="shared" si="172"/>
        <v/>
      </c>
    </row>
    <row r="10306" spans="20:20">
      <c r="T10306" t="str">
        <f t="shared" ref="T10306:T10369" si="173">IF(C10306="","",UPPER(LEFT(SUBSTITUTE(C10306," ",""),3))&amp;"-"&amp;TEXT(B10306,"AAMMDD")&amp;"-1")</f>
        <v/>
      </c>
    </row>
    <row r="10307" spans="20:20">
      <c r="T10307" t="str">
        <f t="shared" si="173"/>
        <v/>
      </c>
    </row>
    <row r="10308" spans="20:20">
      <c r="T10308" t="str">
        <f t="shared" si="173"/>
        <v/>
      </c>
    </row>
    <row r="10309" spans="20:20">
      <c r="T10309" t="str">
        <f t="shared" si="173"/>
        <v/>
      </c>
    </row>
    <row r="10310" spans="20:20">
      <c r="T10310" t="str">
        <f t="shared" si="173"/>
        <v/>
      </c>
    </row>
    <row r="10311" spans="20:20">
      <c r="T10311" t="str">
        <f t="shared" si="173"/>
        <v/>
      </c>
    </row>
    <row r="10312" spans="20:20">
      <c r="T10312" t="str">
        <f t="shared" si="173"/>
        <v/>
      </c>
    </row>
    <row r="10313" spans="20:20">
      <c r="T10313" t="str">
        <f t="shared" si="173"/>
        <v/>
      </c>
    </row>
    <row r="10314" spans="20:20">
      <c r="T10314" t="str">
        <f t="shared" si="173"/>
        <v/>
      </c>
    </row>
    <row r="10315" spans="20:20">
      <c r="T10315" t="str">
        <f t="shared" si="173"/>
        <v/>
      </c>
    </row>
    <row r="10316" spans="20:20">
      <c r="T10316" t="str">
        <f t="shared" si="173"/>
        <v/>
      </c>
    </row>
    <row r="10317" spans="20:20">
      <c r="T10317" t="str">
        <f t="shared" si="173"/>
        <v/>
      </c>
    </row>
    <row r="10318" spans="20:20">
      <c r="T10318" t="str">
        <f t="shared" si="173"/>
        <v/>
      </c>
    </row>
    <row r="10319" spans="20:20">
      <c r="T10319" t="str">
        <f t="shared" si="173"/>
        <v/>
      </c>
    </row>
    <row r="10320" spans="20:20">
      <c r="T10320" t="str">
        <f t="shared" si="173"/>
        <v/>
      </c>
    </row>
    <row r="10321" spans="20:20">
      <c r="T10321" t="str">
        <f t="shared" si="173"/>
        <v/>
      </c>
    </row>
    <row r="10322" spans="20:20">
      <c r="T10322" t="str">
        <f t="shared" si="173"/>
        <v/>
      </c>
    </row>
    <row r="10323" spans="20:20">
      <c r="T10323" t="str">
        <f t="shared" si="173"/>
        <v/>
      </c>
    </row>
    <row r="10324" spans="20:20">
      <c r="T10324" t="str">
        <f t="shared" si="173"/>
        <v/>
      </c>
    </row>
    <row r="10325" spans="20:20">
      <c r="T10325" t="str">
        <f t="shared" si="173"/>
        <v/>
      </c>
    </row>
    <row r="10326" spans="20:20">
      <c r="T10326" t="str">
        <f t="shared" si="173"/>
        <v/>
      </c>
    </row>
    <row r="10327" spans="20:20">
      <c r="T10327" t="str">
        <f t="shared" si="173"/>
        <v/>
      </c>
    </row>
    <row r="10328" spans="20:20">
      <c r="T10328" t="str">
        <f t="shared" si="173"/>
        <v/>
      </c>
    </row>
    <row r="10329" spans="20:20">
      <c r="T10329" t="str">
        <f t="shared" si="173"/>
        <v/>
      </c>
    </row>
    <row r="10330" spans="20:20">
      <c r="T10330" t="str">
        <f t="shared" si="173"/>
        <v/>
      </c>
    </row>
    <row r="10331" spans="20:20">
      <c r="T10331" t="str">
        <f t="shared" si="173"/>
        <v/>
      </c>
    </row>
    <row r="10332" spans="20:20">
      <c r="T10332" t="str">
        <f t="shared" si="173"/>
        <v/>
      </c>
    </row>
    <row r="10333" spans="20:20">
      <c r="T10333" t="str">
        <f t="shared" si="173"/>
        <v/>
      </c>
    </row>
    <row r="10334" spans="20:20">
      <c r="T10334" t="str">
        <f t="shared" si="173"/>
        <v/>
      </c>
    </row>
    <row r="10335" spans="20:20">
      <c r="T10335" t="str">
        <f t="shared" si="173"/>
        <v/>
      </c>
    </row>
    <row r="10336" spans="20:20">
      <c r="T10336" t="str">
        <f t="shared" si="173"/>
        <v/>
      </c>
    </row>
    <row r="10337" spans="20:20">
      <c r="T10337" t="str">
        <f t="shared" si="173"/>
        <v/>
      </c>
    </row>
    <row r="10338" spans="20:20">
      <c r="T10338" t="str">
        <f t="shared" si="173"/>
        <v/>
      </c>
    </row>
    <row r="10339" spans="20:20">
      <c r="T10339" t="str">
        <f t="shared" si="173"/>
        <v/>
      </c>
    </row>
    <row r="10340" spans="20:20">
      <c r="T10340" t="str">
        <f t="shared" si="173"/>
        <v/>
      </c>
    </row>
    <row r="10341" spans="20:20">
      <c r="T10341" t="str">
        <f t="shared" si="173"/>
        <v/>
      </c>
    </row>
    <row r="10342" spans="20:20">
      <c r="T10342" t="str">
        <f t="shared" si="173"/>
        <v/>
      </c>
    </row>
    <row r="10343" spans="20:20">
      <c r="T10343" t="str">
        <f t="shared" si="173"/>
        <v/>
      </c>
    </row>
    <row r="10344" spans="20:20">
      <c r="T10344" t="str">
        <f t="shared" si="173"/>
        <v/>
      </c>
    </row>
    <row r="10345" spans="20:20">
      <c r="T10345" t="str">
        <f t="shared" si="173"/>
        <v/>
      </c>
    </row>
    <row r="10346" spans="20:20">
      <c r="T10346" t="str">
        <f t="shared" si="173"/>
        <v/>
      </c>
    </row>
    <row r="10347" spans="20:20">
      <c r="T10347" t="str">
        <f t="shared" si="173"/>
        <v/>
      </c>
    </row>
    <row r="10348" spans="20:20">
      <c r="T10348" t="str">
        <f t="shared" si="173"/>
        <v/>
      </c>
    </row>
    <row r="10349" spans="20:20">
      <c r="T10349" t="str">
        <f t="shared" si="173"/>
        <v/>
      </c>
    </row>
    <row r="10350" spans="20:20">
      <c r="T10350" t="str">
        <f t="shared" si="173"/>
        <v/>
      </c>
    </row>
    <row r="10351" spans="20:20">
      <c r="T10351" t="str">
        <f t="shared" si="173"/>
        <v/>
      </c>
    </row>
    <row r="10352" spans="20:20">
      <c r="T10352" t="str">
        <f t="shared" si="173"/>
        <v/>
      </c>
    </row>
    <row r="10353" spans="20:20">
      <c r="T10353" t="str">
        <f t="shared" si="173"/>
        <v/>
      </c>
    </row>
    <row r="10354" spans="20:20">
      <c r="T10354" t="str">
        <f t="shared" si="173"/>
        <v/>
      </c>
    </row>
    <row r="10355" spans="20:20">
      <c r="T10355" t="str">
        <f t="shared" si="173"/>
        <v/>
      </c>
    </row>
    <row r="10356" spans="20:20">
      <c r="T10356" t="str">
        <f t="shared" si="173"/>
        <v/>
      </c>
    </row>
    <row r="10357" spans="20:20">
      <c r="T10357" t="str">
        <f t="shared" si="173"/>
        <v/>
      </c>
    </row>
    <row r="10358" spans="20:20">
      <c r="T10358" t="str">
        <f t="shared" si="173"/>
        <v/>
      </c>
    </row>
    <row r="10359" spans="20:20">
      <c r="T10359" t="str">
        <f t="shared" si="173"/>
        <v/>
      </c>
    </row>
    <row r="10360" spans="20:20">
      <c r="T10360" t="str">
        <f t="shared" si="173"/>
        <v/>
      </c>
    </row>
    <row r="10361" spans="20:20">
      <c r="T10361" t="str">
        <f t="shared" si="173"/>
        <v/>
      </c>
    </row>
    <row r="10362" spans="20:20">
      <c r="T10362" t="str">
        <f t="shared" si="173"/>
        <v/>
      </c>
    </row>
    <row r="10363" spans="20:20">
      <c r="T10363" t="str">
        <f t="shared" si="173"/>
        <v/>
      </c>
    </row>
    <row r="10364" spans="20:20">
      <c r="T10364" t="str">
        <f t="shared" si="173"/>
        <v/>
      </c>
    </row>
    <row r="10365" spans="20:20">
      <c r="T10365" t="str">
        <f t="shared" si="173"/>
        <v/>
      </c>
    </row>
    <row r="10366" spans="20:20">
      <c r="T10366" t="str">
        <f t="shared" si="173"/>
        <v/>
      </c>
    </row>
    <row r="10367" spans="20:20">
      <c r="T10367" t="str">
        <f t="shared" si="173"/>
        <v/>
      </c>
    </row>
    <row r="10368" spans="20:20">
      <c r="T10368" t="str">
        <f t="shared" si="173"/>
        <v/>
      </c>
    </row>
    <row r="10369" spans="20:20">
      <c r="T10369" t="str">
        <f t="shared" si="173"/>
        <v/>
      </c>
    </row>
    <row r="10370" spans="20:20">
      <c r="T10370" t="str">
        <f t="shared" ref="T10370:T10433" si="174">IF(C10370="","",UPPER(LEFT(SUBSTITUTE(C10370," ",""),3))&amp;"-"&amp;TEXT(B10370,"AAMMDD")&amp;"-1")</f>
        <v/>
      </c>
    </row>
    <row r="10371" spans="20:20">
      <c r="T10371" t="str">
        <f t="shared" si="174"/>
        <v/>
      </c>
    </row>
    <row r="10372" spans="20:20">
      <c r="T10372" t="str">
        <f t="shared" si="174"/>
        <v/>
      </c>
    </row>
    <row r="10373" spans="20:20">
      <c r="T10373" t="str">
        <f t="shared" si="174"/>
        <v/>
      </c>
    </row>
    <row r="10374" spans="20:20">
      <c r="T10374" t="str">
        <f t="shared" si="174"/>
        <v/>
      </c>
    </row>
    <row r="10375" spans="20:20">
      <c r="T10375" t="str">
        <f t="shared" si="174"/>
        <v/>
      </c>
    </row>
    <row r="10376" spans="20:20">
      <c r="T10376" t="str">
        <f t="shared" si="174"/>
        <v/>
      </c>
    </row>
    <row r="10377" spans="20:20">
      <c r="T10377" t="str">
        <f t="shared" si="174"/>
        <v/>
      </c>
    </row>
    <row r="10378" spans="20:20">
      <c r="T10378" t="str">
        <f t="shared" si="174"/>
        <v/>
      </c>
    </row>
    <row r="10379" spans="20:20">
      <c r="T10379" t="str">
        <f t="shared" si="174"/>
        <v/>
      </c>
    </row>
    <row r="10380" spans="20:20">
      <c r="T10380" t="str">
        <f t="shared" si="174"/>
        <v/>
      </c>
    </row>
    <row r="10381" spans="20:20">
      <c r="T10381" t="str">
        <f t="shared" si="174"/>
        <v/>
      </c>
    </row>
    <row r="10382" spans="20:20">
      <c r="T10382" t="str">
        <f t="shared" si="174"/>
        <v/>
      </c>
    </row>
    <row r="10383" spans="20:20">
      <c r="T10383" t="str">
        <f t="shared" si="174"/>
        <v/>
      </c>
    </row>
    <row r="10384" spans="20:20">
      <c r="T10384" t="str">
        <f t="shared" si="174"/>
        <v/>
      </c>
    </row>
    <row r="10385" spans="20:20">
      <c r="T10385" t="str">
        <f t="shared" si="174"/>
        <v/>
      </c>
    </row>
    <row r="10386" spans="20:20">
      <c r="T10386" t="str">
        <f t="shared" si="174"/>
        <v/>
      </c>
    </row>
    <row r="10387" spans="20:20">
      <c r="T10387" t="str">
        <f t="shared" si="174"/>
        <v/>
      </c>
    </row>
    <row r="10388" spans="20:20">
      <c r="T10388" t="str">
        <f t="shared" si="174"/>
        <v/>
      </c>
    </row>
    <row r="10389" spans="20:20">
      <c r="T10389" t="str">
        <f t="shared" si="174"/>
        <v/>
      </c>
    </row>
    <row r="10390" spans="20:20">
      <c r="T10390" t="str">
        <f t="shared" si="174"/>
        <v/>
      </c>
    </row>
    <row r="10391" spans="20:20">
      <c r="T10391" t="str">
        <f t="shared" si="174"/>
        <v/>
      </c>
    </row>
    <row r="10392" spans="20:20">
      <c r="T10392" t="str">
        <f t="shared" si="174"/>
        <v/>
      </c>
    </row>
    <row r="10393" spans="20:20">
      <c r="T10393" t="str">
        <f t="shared" si="174"/>
        <v/>
      </c>
    </row>
    <row r="10394" spans="20:20">
      <c r="T10394" t="str">
        <f t="shared" si="174"/>
        <v/>
      </c>
    </row>
    <row r="10395" spans="20:20">
      <c r="T10395" t="str">
        <f t="shared" si="174"/>
        <v/>
      </c>
    </row>
    <row r="10396" spans="20:20">
      <c r="T10396" t="str">
        <f t="shared" si="174"/>
        <v/>
      </c>
    </row>
    <row r="10397" spans="20:20">
      <c r="T10397" t="str">
        <f t="shared" si="174"/>
        <v/>
      </c>
    </row>
    <row r="10398" spans="20:20">
      <c r="T10398" t="str">
        <f t="shared" si="174"/>
        <v/>
      </c>
    </row>
    <row r="10399" spans="20:20">
      <c r="T10399" t="str">
        <f t="shared" si="174"/>
        <v/>
      </c>
    </row>
    <row r="10400" spans="20:20">
      <c r="T10400" t="str">
        <f t="shared" si="174"/>
        <v/>
      </c>
    </row>
    <row r="10401" spans="20:20">
      <c r="T10401" t="str">
        <f t="shared" si="174"/>
        <v/>
      </c>
    </row>
    <row r="10402" spans="20:20">
      <c r="T10402" t="str">
        <f t="shared" si="174"/>
        <v/>
      </c>
    </row>
    <row r="10403" spans="20:20">
      <c r="T10403" t="str">
        <f t="shared" si="174"/>
        <v/>
      </c>
    </row>
    <row r="10404" spans="20:20">
      <c r="T10404" t="str">
        <f t="shared" si="174"/>
        <v/>
      </c>
    </row>
    <row r="10405" spans="20:20">
      <c r="T10405" t="str">
        <f t="shared" si="174"/>
        <v/>
      </c>
    </row>
    <row r="10406" spans="20:20">
      <c r="T10406" t="str">
        <f t="shared" si="174"/>
        <v/>
      </c>
    </row>
    <row r="10407" spans="20:20">
      <c r="T10407" t="str">
        <f t="shared" si="174"/>
        <v/>
      </c>
    </row>
    <row r="10408" spans="20:20">
      <c r="T10408" t="str">
        <f t="shared" si="174"/>
        <v/>
      </c>
    </row>
    <row r="10409" spans="20:20">
      <c r="T10409" t="str">
        <f t="shared" si="174"/>
        <v/>
      </c>
    </row>
    <row r="10410" spans="20:20">
      <c r="T10410" t="str">
        <f t="shared" si="174"/>
        <v/>
      </c>
    </row>
    <row r="10411" spans="20:20">
      <c r="T10411" t="str">
        <f t="shared" si="174"/>
        <v/>
      </c>
    </row>
    <row r="10412" spans="20:20">
      <c r="T10412" t="str">
        <f t="shared" si="174"/>
        <v/>
      </c>
    </row>
    <row r="10413" spans="20:20">
      <c r="T10413" t="str">
        <f t="shared" si="174"/>
        <v/>
      </c>
    </row>
    <row r="10414" spans="20:20">
      <c r="T10414" t="str">
        <f t="shared" si="174"/>
        <v/>
      </c>
    </row>
    <row r="10415" spans="20:20">
      <c r="T10415" t="str">
        <f t="shared" si="174"/>
        <v/>
      </c>
    </row>
    <row r="10416" spans="20:20">
      <c r="T10416" t="str">
        <f t="shared" si="174"/>
        <v/>
      </c>
    </row>
    <row r="10417" spans="20:20">
      <c r="T10417" t="str">
        <f t="shared" si="174"/>
        <v/>
      </c>
    </row>
    <row r="10418" spans="20:20">
      <c r="T10418" t="str">
        <f t="shared" si="174"/>
        <v/>
      </c>
    </row>
    <row r="10419" spans="20:20">
      <c r="T10419" t="str">
        <f t="shared" si="174"/>
        <v/>
      </c>
    </row>
    <row r="10420" spans="20:20">
      <c r="T10420" t="str">
        <f t="shared" si="174"/>
        <v/>
      </c>
    </row>
    <row r="10421" spans="20:20">
      <c r="T10421" t="str">
        <f t="shared" si="174"/>
        <v/>
      </c>
    </row>
    <row r="10422" spans="20:20">
      <c r="T10422" t="str">
        <f t="shared" si="174"/>
        <v/>
      </c>
    </row>
    <row r="10423" spans="20:20">
      <c r="T10423" t="str">
        <f t="shared" si="174"/>
        <v/>
      </c>
    </row>
    <row r="10424" spans="20:20">
      <c r="T10424" t="str">
        <f t="shared" si="174"/>
        <v/>
      </c>
    </row>
    <row r="10425" spans="20:20">
      <c r="T10425" t="str">
        <f t="shared" si="174"/>
        <v/>
      </c>
    </row>
    <row r="10426" spans="20:20">
      <c r="T10426" t="str">
        <f t="shared" si="174"/>
        <v/>
      </c>
    </row>
    <row r="10427" spans="20:20">
      <c r="T10427" t="str">
        <f t="shared" si="174"/>
        <v/>
      </c>
    </row>
    <row r="10428" spans="20:20">
      <c r="T10428" t="str">
        <f t="shared" si="174"/>
        <v/>
      </c>
    </row>
    <row r="10429" spans="20:20">
      <c r="T10429" t="str">
        <f t="shared" si="174"/>
        <v/>
      </c>
    </row>
    <row r="10430" spans="20:20">
      <c r="T10430" t="str">
        <f t="shared" si="174"/>
        <v/>
      </c>
    </row>
    <row r="10431" spans="20:20">
      <c r="T10431" t="str">
        <f t="shared" si="174"/>
        <v/>
      </c>
    </row>
    <row r="10432" spans="20:20">
      <c r="T10432" t="str">
        <f t="shared" si="174"/>
        <v/>
      </c>
    </row>
    <row r="10433" spans="20:20">
      <c r="T10433" t="str">
        <f t="shared" si="174"/>
        <v/>
      </c>
    </row>
    <row r="10434" spans="20:20">
      <c r="T10434" t="str">
        <f t="shared" ref="T10434:T10497" si="175">IF(C10434="","",UPPER(LEFT(SUBSTITUTE(C10434," ",""),3))&amp;"-"&amp;TEXT(B10434,"AAMMDD")&amp;"-1")</f>
        <v/>
      </c>
    </row>
    <row r="10435" spans="20:20">
      <c r="T10435" t="str">
        <f t="shared" si="175"/>
        <v/>
      </c>
    </row>
    <row r="10436" spans="20:20">
      <c r="T10436" t="str">
        <f t="shared" si="175"/>
        <v/>
      </c>
    </row>
    <row r="10437" spans="20:20">
      <c r="T10437" t="str">
        <f t="shared" si="175"/>
        <v/>
      </c>
    </row>
    <row r="10438" spans="20:20">
      <c r="T10438" t="str">
        <f t="shared" si="175"/>
        <v/>
      </c>
    </row>
    <row r="10439" spans="20:20">
      <c r="T10439" t="str">
        <f t="shared" si="175"/>
        <v/>
      </c>
    </row>
    <row r="10440" spans="20:20">
      <c r="T10440" t="str">
        <f t="shared" si="175"/>
        <v/>
      </c>
    </row>
    <row r="10441" spans="20:20">
      <c r="T10441" t="str">
        <f t="shared" si="175"/>
        <v/>
      </c>
    </row>
    <row r="10442" spans="20:20">
      <c r="T10442" t="str">
        <f t="shared" si="175"/>
        <v/>
      </c>
    </row>
    <row r="10443" spans="20:20">
      <c r="T10443" t="str">
        <f t="shared" si="175"/>
        <v/>
      </c>
    </row>
    <row r="10444" spans="20:20">
      <c r="T10444" t="str">
        <f t="shared" si="175"/>
        <v/>
      </c>
    </row>
    <row r="10445" spans="20:20">
      <c r="T10445" t="str">
        <f t="shared" si="175"/>
        <v/>
      </c>
    </row>
    <row r="10446" spans="20:20">
      <c r="T10446" t="str">
        <f t="shared" si="175"/>
        <v/>
      </c>
    </row>
    <row r="10447" spans="20:20">
      <c r="T10447" t="str">
        <f t="shared" si="175"/>
        <v/>
      </c>
    </row>
    <row r="10448" spans="20:20">
      <c r="T10448" t="str">
        <f t="shared" si="175"/>
        <v/>
      </c>
    </row>
    <row r="10449" spans="20:20">
      <c r="T10449" t="str">
        <f t="shared" si="175"/>
        <v/>
      </c>
    </row>
    <row r="10450" spans="20:20">
      <c r="T10450" t="str">
        <f t="shared" si="175"/>
        <v/>
      </c>
    </row>
    <row r="10451" spans="20:20">
      <c r="T10451" t="str">
        <f t="shared" si="175"/>
        <v/>
      </c>
    </row>
    <row r="10452" spans="20:20">
      <c r="T10452" t="str">
        <f t="shared" si="175"/>
        <v/>
      </c>
    </row>
    <row r="10453" spans="20:20">
      <c r="T10453" t="str">
        <f t="shared" si="175"/>
        <v/>
      </c>
    </row>
    <row r="10454" spans="20:20">
      <c r="T10454" t="str">
        <f t="shared" si="175"/>
        <v/>
      </c>
    </row>
    <row r="10455" spans="20:20">
      <c r="T10455" t="str">
        <f t="shared" si="175"/>
        <v/>
      </c>
    </row>
    <row r="10456" spans="20:20">
      <c r="T10456" t="str">
        <f t="shared" si="175"/>
        <v/>
      </c>
    </row>
    <row r="10457" spans="20:20">
      <c r="T10457" t="str">
        <f t="shared" si="175"/>
        <v/>
      </c>
    </row>
    <row r="10458" spans="20:20">
      <c r="T10458" t="str">
        <f t="shared" si="175"/>
        <v/>
      </c>
    </row>
    <row r="10459" spans="20:20">
      <c r="T10459" t="str">
        <f t="shared" si="175"/>
        <v/>
      </c>
    </row>
    <row r="10460" spans="20:20">
      <c r="T10460" t="str">
        <f t="shared" si="175"/>
        <v/>
      </c>
    </row>
    <row r="10461" spans="20:20">
      <c r="T10461" t="str">
        <f t="shared" si="175"/>
        <v/>
      </c>
    </row>
    <row r="10462" spans="20:20">
      <c r="T10462" t="str">
        <f t="shared" si="175"/>
        <v/>
      </c>
    </row>
    <row r="10463" spans="20:20">
      <c r="T10463" t="str">
        <f t="shared" si="175"/>
        <v/>
      </c>
    </row>
    <row r="10464" spans="20:20">
      <c r="T10464" t="str">
        <f t="shared" si="175"/>
        <v/>
      </c>
    </row>
    <row r="10465" spans="20:20">
      <c r="T10465" t="str">
        <f t="shared" si="175"/>
        <v/>
      </c>
    </row>
    <row r="10466" spans="20:20">
      <c r="T10466" t="str">
        <f t="shared" si="175"/>
        <v/>
      </c>
    </row>
    <row r="10467" spans="20:20">
      <c r="T10467" t="str">
        <f t="shared" si="175"/>
        <v/>
      </c>
    </row>
    <row r="10468" spans="20:20">
      <c r="T10468" t="str">
        <f t="shared" si="175"/>
        <v/>
      </c>
    </row>
    <row r="10469" spans="20:20">
      <c r="T10469" t="str">
        <f t="shared" si="175"/>
        <v/>
      </c>
    </row>
    <row r="10470" spans="20:20">
      <c r="T10470" t="str">
        <f t="shared" si="175"/>
        <v/>
      </c>
    </row>
    <row r="10471" spans="20:20">
      <c r="T10471" t="str">
        <f t="shared" si="175"/>
        <v/>
      </c>
    </row>
    <row r="10472" spans="20:20">
      <c r="T10472" t="str">
        <f t="shared" si="175"/>
        <v/>
      </c>
    </row>
    <row r="10473" spans="20:20">
      <c r="T10473" t="str">
        <f t="shared" si="175"/>
        <v/>
      </c>
    </row>
    <row r="10474" spans="20:20">
      <c r="T10474" t="str">
        <f t="shared" si="175"/>
        <v/>
      </c>
    </row>
    <row r="10475" spans="20:20">
      <c r="T10475" t="str">
        <f t="shared" si="175"/>
        <v/>
      </c>
    </row>
    <row r="10476" spans="20:20">
      <c r="T10476" t="str">
        <f t="shared" si="175"/>
        <v/>
      </c>
    </row>
    <row r="10477" spans="20:20">
      <c r="T10477" t="str">
        <f t="shared" si="175"/>
        <v/>
      </c>
    </row>
    <row r="10478" spans="20:20">
      <c r="T10478" t="str">
        <f t="shared" si="175"/>
        <v/>
      </c>
    </row>
    <row r="10479" spans="20:20">
      <c r="T10479" t="str">
        <f t="shared" si="175"/>
        <v/>
      </c>
    </row>
    <row r="10480" spans="20:20">
      <c r="T10480" t="str">
        <f t="shared" si="175"/>
        <v/>
      </c>
    </row>
    <row r="10481" spans="20:20">
      <c r="T10481" t="str">
        <f t="shared" si="175"/>
        <v/>
      </c>
    </row>
    <row r="10482" spans="20:20">
      <c r="T10482" t="str">
        <f t="shared" si="175"/>
        <v/>
      </c>
    </row>
    <row r="10483" spans="20:20">
      <c r="T10483" t="str">
        <f t="shared" si="175"/>
        <v/>
      </c>
    </row>
    <row r="10484" spans="20:20">
      <c r="T10484" t="str">
        <f t="shared" si="175"/>
        <v/>
      </c>
    </row>
    <row r="10485" spans="20:20">
      <c r="T10485" t="str">
        <f t="shared" si="175"/>
        <v/>
      </c>
    </row>
    <row r="10486" spans="20:20">
      <c r="T10486" t="str">
        <f t="shared" si="175"/>
        <v/>
      </c>
    </row>
    <row r="10487" spans="20:20">
      <c r="T10487" t="str">
        <f t="shared" si="175"/>
        <v/>
      </c>
    </row>
    <row r="10488" spans="20:20">
      <c r="T10488" t="str">
        <f t="shared" si="175"/>
        <v/>
      </c>
    </row>
    <row r="10489" spans="20:20">
      <c r="T10489" t="str">
        <f t="shared" si="175"/>
        <v/>
      </c>
    </row>
    <row r="10490" spans="20:20">
      <c r="T10490" t="str">
        <f t="shared" si="175"/>
        <v/>
      </c>
    </row>
    <row r="10491" spans="20:20">
      <c r="T10491" t="str">
        <f t="shared" si="175"/>
        <v/>
      </c>
    </row>
    <row r="10492" spans="20:20">
      <c r="T10492" t="str">
        <f t="shared" si="175"/>
        <v/>
      </c>
    </row>
    <row r="10493" spans="20:20">
      <c r="T10493" t="str">
        <f t="shared" si="175"/>
        <v/>
      </c>
    </row>
    <row r="10494" spans="20:20">
      <c r="T10494" t="str">
        <f t="shared" si="175"/>
        <v/>
      </c>
    </row>
    <row r="10495" spans="20:20">
      <c r="T10495" t="str">
        <f t="shared" si="175"/>
        <v/>
      </c>
    </row>
    <row r="10496" spans="20:20">
      <c r="T10496" t="str">
        <f t="shared" si="175"/>
        <v/>
      </c>
    </row>
    <row r="10497" spans="20:20">
      <c r="T10497" t="str">
        <f t="shared" si="175"/>
        <v/>
      </c>
    </row>
    <row r="10498" spans="20:20">
      <c r="T10498" t="str">
        <f t="shared" ref="T10498:T10561" si="176">IF(C10498="","",UPPER(LEFT(SUBSTITUTE(C10498," ",""),3))&amp;"-"&amp;TEXT(B10498,"AAMMDD")&amp;"-1")</f>
        <v/>
      </c>
    </row>
    <row r="10499" spans="20:20">
      <c r="T10499" t="str">
        <f t="shared" si="176"/>
        <v/>
      </c>
    </row>
    <row r="10500" spans="20:20">
      <c r="T10500" t="str">
        <f t="shared" si="176"/>
        <v/>
      </c>
    </row>
    <row r="10501" spans="20:20">
      <c r="T10501" t="str">
        <f t="shared" si="176"/>
        <v/>
      </c>
    </row>
    <row r="10502" spans="20:20">
      <c r="T10502" t="str">
        <f t="shared" si="176"/>
        <v/>
      </c>
    </row>
    <row r="10503" spans="20:20">
      <c r="T10503" t="str">
        <f t="shared" si="176"/>
        <v/>
      </c>
    </row>
    <row r="10504" spans="20:20">
      <c r="T10504" t="str">
        <f t="shared" si="176"/>
        <v/>
      </c>
    </row>
    <row r="10505" spans="20:20">
      <c r="T10505" t="str">
        <f t="shared" si="176"/>
        <v/>
      </c>
    </row>
    <row r="10506" spans="20:20">
      <c r="T10506" t="str">
        <f t="shared" si="176"/>
        <v/>
      </c>
    </row>
    <row r="10507" spans="20:20">
      <c r="T10507" t="str">
        <f t="shared" si="176"/>
        <v/>
      </c>
    </row>
    <row r="10508" spans="20:20">
      <c r="T10508" t="str">
        <f t="shared" si="176"/>
        <v/>
      </c>
    </row>
    <row r="10509" spans="20:20">
      <c r="T10509" t="str">
        <f t="shared" si="176"/>
        <v/>
      </c>
    </row>
    <row r="10510" spans="20:20">
      <c r="T10510" t="str">
        <f t="shared" si="176"/>
        <v/>
      </c>
    </row>
    <row r="10511" spans="20:20">
      <c r="T10511" t="str">
        <f t="shared" si="176"/>
        <v/>
      </c>
    </row>
    <row r="10512" spans="20:20">
      <c r="T10512" t="str">
        <f t="shared" si="176"/>
        <v/>
      </c>
    </row>
    <row r="10513" spans="20:20">
      <c r="T10513" t="str">
        <f t="shared" si="176"/>
        <v/>
      </c>
    </row>
    <row r="10514" spans="20:20">
      <c r="T10514" t="str">
        <f t="shared" si="176"/>
        <v/>
      </c>
    </row>
    <row r="10515" spans="20:20">
      <c r="T10515" t="str">
        <f t="shared" si="176"/>
        <v/>
      </c>
    </row>
    <row r="10516" spans="20:20">
      <c r="T10516" t="str">
        <f t="shared" si="176"/>
        <v/>
      </c>
    </row>
    <row r="10517" spans="20:20">
      <c r="T10517" t="str">
        <f t="shared" si="176"/>
        <v/>
      </c>
    </row>
    <row r="10518" spans="20:20">
      <c r="T10518" t="str">
        <f t="shared" si="176"/>
        <v/>
      </c>
    </row>
    <row r="10519" spans="20:20">
      <c r="T10519" t="str">
        <f t="shared" si="176"/>
        <v/>
      </c>
    </row>
    <row r="10520" spans="20:20">
      <c r="T10520" t="str">
        <f t="shared" si="176"/>
        <v/>
      </c>
    </row>
    <row r="10521" spans="20:20">
      <c r="T10521" t="str">
        <f t="shared" si="176"/>
        <v/>
      </c>
    </row>
    <row r="10522" spans="20:20">
      <c r="T10522" t="str">
        <f t="shared" si="176"/>
        <v/>
      </c>
    </row>
    <row r="10523" spans="20:20">
      <c r="T10523" t="str">
        <f t="shared" si="176"/>
        <v/>
      </c>
    </row>
    <row r="10524" spans="20:20">
      <c r="T10524" t="str">
        <f t="shared" si="176"/>
        <v/>
      </c>
    </row>
    <row r="10525" spans="20:20">
      <c r="T10525" t="str">
        <f t="shared" si="176"/>
        <v/>
      </c>
    </row>
    <row r="10526" spans="20:20">
      <c r="T10526" t="str">
        <f t="shared" si="176"/>
        <v/>
      </c>
    </row>
    <row r="10527" spans="20:20">
      <c r="T10527" t="str">
        <f t="shared" si="176"/>
        <v/>
      </c>
    </row>
    <row r="10528" spans="20:20">
      <c r="T10528" t="str">
        <f t="shared" si="176"/>
        <v/>
      </c>
    </row>
    <row r="10529" spans="20:20">
      <c r="T10529" t="str">
        <f t="shared" si="176"/>
        <v/>
      </c>
    </row>
    <row r="10530" spans="20:20">
      <c r="T10530" t="str">
        <f t="shared" si="176"/>
        <v/>
      </c>
    </row>
    <row r="10531" spans="20:20">
      <c r="T10531" t="str">
        <f t="shared" si="176"/>
        <v/>
      </c>
    </row>
    <row r="10532" spans="20:20">
      <c r="T10532" t="str">
        <f t="shared" si="176"/>
        <v/>
      </c>
    </row>
    <row r="10533" spans="20:20">
      <c r="T10533" t="str">
        <f t="shared" si="176"/>
        <v/>
      </c>
    </row>
    <row r="10534" spans="20:20">
      <c r="T10534" t="str">
        <f t="shared" si="176"/>
        <v/>
      </c>
    </row>
    <row r="10535" spans="20:20">
      <c r="T10535" t="str">
        <f t="shared" si="176"/>
        <v/>
      </c>
    </row>
    <row r="10536" spans="20:20">
      <c r="T10536" t="str">
        <f t="shared" si="176"/>
        <v/>
      </c>
    </row>
    <row r="10537" spans="20:20">
      <c r="T10537" t="str">
        <f t="shared" si="176"/>
        <v/>
      </c>
    </row>
    <row r="10538" spans="20:20">
      <c r="T10538" t="str">
        <f t="shared" si="176"/>
        <v/>
      </c>
    </row>
    <row r="10539" spans="20:20">
      <c r="T10539" t="str">
        <f t="shared" si="176"/>
        <v/>
      </c>
    </row>
    <row r="10540" spans="20:20">
      <c r="T10540" t="str">
        <f t="shared" si="176"/>
        <v/>
      </c>
    </row>
    <row r="10541" spans="20:20">
      <c r="T10541" t="str">
        <f t="shared" si="176"/>
        <v/>
      </c>
    </row>
    <row r="10542" spans="20:20">
      <c r="T10542" t="str">
        <f t="shared" si="176"/>
        <v/>
      </c>
    </row>
    <row r="10543" spans="20:20">
      <c r="T10543" t="str">
        <f t="shared" si="176"/>
        <v/>
      </c>
    </row>
    <row r="10544" spans="20:20">
      <c r="T10544" t="str">
        <f t="shared" si="176"/>
        <v/>
      </c>
    </row>
    <row r="10545" spans="20:20">
      <c r="T10545" t="str">
        <f t="shared" si="176"/>
        <v/>
      </c>
    </row>
    <row r="10546" spans="20:20">
      <c r="T10546" t="str">
        <f t="shared" si="176"/>
        <v/>
      </c>
    </row>
    <row r="10547" spans="20:20">
      <c r="T10547" t="str">
        <f t="shared" si="176"/>
        <v/>
      </c>
    </row>
    <row r="10548" spans="20:20">
      <c r="T10548" t="str">
        <f t="shared" si="176"/>
        <v/>
      </c>
    </row>
    <row r="10549" spans="20:20">
      <c r="T10549" t="str">
        <f t="shared" si="176"/>
        <v/>
      </c>
    </row>
    <row r="10550" spans="20:20">
      <c r="T10550" t="str">
        <f t="shared" si="176"/>
        <v/>
      </c>
    </row>
    <row r="10551" spans="20:20">
      <c r="T10551" t="str">
        <f t="shared" si="176"/>
        <v/>
      </c>
    </row>
    <row r="10552" spans="20:20">
      <c r="T10552" t="str">
        <f t="shared" si="176"/>
        <v/>
      </c>
    </row>
    <row r="10553" spans="20:20">
      <c r="T10553" t="str">
        <f t="shared" si="176"/>
        <v/>
      </c>
    </row>
    <row r="10554" spans="20:20">
      <c r="T10554" t="str">
        <f t="shared" si="176"/>
        <v/>
      </c>
    </row>
    <row r="10555" spans="20:20">
      <c r="T10555" t="str">
        <f t="shared" si="176"/>
        <v/>
      </c>
    </row>
    <row r="10556" spans="20:20">
      <c r="T10556" t="str">
        <f t="shared" si="176"/>
        <v/>
      </c>
    </row>
    <row r="10557" spans="20:20">
      <c r="T10557" t="str">
        <f t="shared" si="176"/>
        <v/>
      </c>
    </row>
    <row r="10558" spans="20:20">
      <c r="T10558" t="str">
        <f t="shared" si="176"/>
        <v/>
      </c>
    </row>
    <row r="10559" spans="20:20">
      <c r="T10559" t="str">
        <f t="shared" si="176"/>
        <v/>
      </c>
    </row>
    <row r="10560" spans="20:20">
      <c r="T10560" t="str">
        <f t="shared" si="176"/>
        <v/>
      </c>
    </row>
    <row r="10561" spans="20:20">
      <c r="T10561" t="str">
        <f t="shared" si="176"/>
        <v/>
      </c>
    </row>
    <row r="10562" spans="20:20">
      <c r="T10562" t="str">
        <f t="shared" ref="T10562:T10625" si="177">IF(C10562="","",UPPER(LEFT(SUBSTITUTE(C10562," ",""),3))&amp;"-"&amp;TEXT(B10562,"AAMMDD")&amp;"-1")</f>
        <v/>
      </c>
    </row>
    <row r="10563" spans="20:20">
      <c r="T10563" t="str">
        <f t="shared" si="177"/>
        <v/>
      </c>
    </row>
    <row r="10564" spans="20:20">
      <c r="T10564" t="str">
        <f t="shared" si="177"/>
        <v/>
      </c>
    </row>
    <row r="10565" spans="20:20">
      <c r="T10565" t="str">
        <f t="shared" si="177"/>
        <v/>
      </c>
    </row>
    <row r="10566" spans="20:20">
      <c r="T10566" t="str">
        <f t="shared" si="177"/>
        <v/>
      </c>
    </row>
    <row r="10567" spans="20:20">
      <c r="T10567" t="str">
        <f t="shared" si="177"/>
        <v/>
      </c>
    </row>
    <row r="10568" spans="20:20">
      <c r="T10568" t="str">
        <f t="shared" si="177"/>
        <v/>
      </c>
    </row>
    <row r="10569" spans="20:20">
      <c r="T10569" t="str">
        <f t="shared" si="177"/>
        <v/>
      </c>
    </row>
    <row r="10570" spans="20:20">
      <c r="T10570" t="str">
        <f t="shared" si="177"/>
        <v/>
      </c>
    </row>
    <row r="10571" spans="20:20">
      <c r="T10571" t="str">
        <f t="shared" si="177"/>
        <v/>
      </c>
    </row>
    <row r="10572" spans="20:20">
      <c r="T10572" t="str">
        <f t="shared" si="177"/>
        <v/>
      </c>
    </row>
    <row r="10573" spans="20:20">
      <c r="T10573" t="str">
        <f t="shared" si="177"/>
        <v/>
      </c>
    </row>
    <row r="10574" spans="20:20">
      <c r="T10574" t="str">
        <f t="shared" si="177"/>
        <v/>
      </c>
    </row>
    <row r="10575" spans="20:20">
      <c r="T10575" t="str">
        <f t="shared" si="177"/>
        <v/>
      </c>
    </row>
    <row r="10576" spans="20:20">
      <c r="T10576" t="str">
        <f t="shared" si="177"/>
        <v/>
      </c>
    </row>
    <row r="10577" spans="20:20">
      <c r="T10577" t="str">
        <f t="shared" si="177"/>
        <v/>
      </c>
    </row>
    <row r="10578" spans="20:20">
      <c r="T10578" t="str">
        <f t="shared" si="177"/>
        <v/>
      </c>
    </row>
    <row r="10579" spans="20:20">
      <c r="T10579" t="str">
        <f t="shared" si="177"/>
        <v/>
      </c>
    </row>
    <row r="10580" spans="20:20">
      <c r="T10580" t="str">
        <f t="shared" si="177"/>
        <v/>
      </c>
    </row>
    <row r="10581" spans="20:20">
      <c r="T10581" t="str">
        <f t="shared" si="177"/>
        <v/>
      </c>
    </row>
    <row r="10582" spans="20:20">
      <c r="T10582" t="str">
        <f t="shared" si="177"/>
        <v/>
      </c>
    </row>
    <row r="10583" spans="20:20">
      <c r="T10583" t="str">
        <f t="shared" si="177"/>
        <v/>
      </c>
    </row>
    <row r="10584" spans="20:20">
      <c r="T10584" t="str">
        <f t="shared" si="177"/>
        <v/>
      </c>
    </row>
    <row r="10585" spans="20:20">
      <c r="T10585" t="str">
        <f t="shared" si="177"/>
        <v/>
      </c>
    </row>
    <row r="10586" spans="20:20">
      <c r="T10586" t="str">
        <f t="shared" si="177"/>
        <v/>
      </c>
    </row>
    <row r="10587" spans="20:20">
      <c r="T10587" t="str">
        <f t="shared" si="177"/>
        <v/>
      </c>
    </row>
    <row r="10588" spans="20:20">
      <c r="T10588" t="str">
        <f t="shared" si="177"/>
        <v/>
      </c>
    </row>
    <row r="10589" spans="20:20">
      <c r="T10589" t="str">
        <f t="shared" si="177"/>
        <v/>
      </c>
    </row>
    <row r="10590" spans="20:20">
      <c r="T10590" t="str">
        <f t="shared" si="177"/>
        <v/>
      </c>
    </row>
    <row r="10591" spans="20:20">
      <c r="T10591" t="str">
        <f t="shared" si="177"/>
        <v/>
      </c>
    </row>
    <row r="10592" spans="20:20">
      <c r="T10592" t="str">
        <f t="shared" si="177"/>
        <v/>
      </c>
    </row>
    <row r="10593" spans="20:20">
      <c r="T10593" t="str">
        <f t="shared" si="177"/>
        <v/>
      </c>
    </row>
    <row r="10594" spans="20:20">
      <c r="T10594" t="str">
        <f t="shared" si="177"/>
        <v/>
      </c>
    </row>
    <row r="10595" spans="20:20">
      <c r="T10595" t="str">
        <f t="shared" si="177"/>
        <v/>
      </c>
    </row>
    <row r="10596" spans="20:20">
      <c r="T10596" t="str">
        <f t="shared" si="177"/>
        <v/>
      </c>
    </row>
    <row r="10597" spans="20:20">
      <c r="T10597" t="str">
        <f t="shared" si="177"/>
        <v/>
      </c>
    </row>
    <row r="10598" spans="20:20">
      <c r="T10598" t="str">
        <f t="shared" si="177"/>
        <v/>
      </c>
    </row>
    <row r="10599" spans="20:20">
      <c r="T10599" t="str">
        <f t="shared" si="177"/>
        <v/>
      </c>
    </row>
    <row r="10600" spans="20:20">
      <c r="T10600" t="str">
        <f t="shared" si="177"/>
        <v/>
      </c>
    </row>
    <row r="10601" spans="20:20">
      <c r="T10601" t="str">
        <f t="shared" si="177"/>
        <v/>
      </c>
    </row>
    <row r="10602" spans="20:20">
      <c r="T10602" t="str">
        <f t="shared" si="177"/>
        <v/>
      </c>
    </row>
    <row r="10603" spans="20:20">
      <c r="T10603" t="str">
        <f t="shared" si="177"/>
        <v/>
      </c>
    </row>
    <row r="10604" spans="20:20">
      <c r="T10604" t="str">
        <f t="shared" si="177"/>
        <v/>
      </c>
    </row>
    <row r="10605" spans="20:20">
      <c r="T10605" t="str">
        <f t="shared" si="177"/>
        <v/>
      </c>
    </row>
    <row r="10606" spans="20:20">
      <c r="T10606" t="str">
        <f t="shared" si="177"/>
        <v/>
      </c>
    </row>
    <row r="10607" spans="20:20">
      <c r="T10607" t="str">
        <f t="shared" si="177"/>
        <v/>
      </c>
    </row>
    <row r="10608" spans="20:20">
      <c r="T10608" t="str">
        <f t="shared" si="177"/>
        <v/>
      </c>
    </row>
    <row r="10609" spans="20:20">
      <c r="T10609" t="str">
        <f t="shared" si="177"/>
        <v/>
      </c>
    </row>
    <row r="10610" spans="20:20">
      <c r="T10610" t="str">
        <f t="shared" si="177"/>
        <v/>
      </c>
    </row>
    <row r="10611" spans="20:20">
      <c r="T10611" t="str">
        <f t="shared" si="177"/>
        <v/>
      </c>
    </row>
    <row r="10612" spans="20:20">
      <c r="T10612" t="str">
        <f t="shared" si="177"/>
        <v/>
      </c>
    </row>
    <row r="10613" spans="20:20">
      <c r="T10613" t="str">
        <f t="shared" si="177"/>
        <v/>
      </c>
    </row>
    <row r="10614" spans="20:20">
      <c r="T10614" t="str">
        <f t="shared" si="177"/>
        <v/>
      </c>
    </row>
    <row r="10615" spans="20:20">
      <c r="T10615" t="str">
        <f t="shared" si="177"/>
        <v/>
      </c>
    </row>
    <row r="10616" spans="20:20">
      <c r="T10616" t="str">
        <f t="shared" si="177"/>
        <v/>
      </c>
    </row>
    <row r="10617" spans="20:20">
      <c r="T10617" t="str">
        <f t="shared" si="177"/>
        <v/>
      </c>
    </row>
    <row r="10618" spans="20:20">
      <c r="T10618" t="str">
        <f t="shared" si="177"/>
        <v/>
      </c>
    </row>
    <row r="10619" spans="20:20">
      <c r="T10619" t="str">
        <f t="shared" si="177"/>
        <v/>
      </c>
    </row>
    <row r="10620" spans="20:20">
      <c r="T10620" t="str">
        <f t="shared" si="177"/>
        <v/>
      </c>
    </row>
    <row r="10621" spans="20:20">
      <c r="T10621" t="str">
        <f t="shared" si="177"/>
        <v/>
      </c>
    </row>
    <row r="10622" spans="20:20">
      <c r="T10622" t="str">
        <f t="shared" si="177"/>
        <v/>
      </c>
    </row>
    <row r="10623" spans="20:20">
      <c r="T10623" t="str">
        <f t="shared" si="177"/>
        <v/>
      </c>
    </row>
    <row r="10624" spans="20:20">
      <c r="T10624" t="str">
        <f t="shared" si="177"/>
        <v/>
      </c>
    </row>
    <row r="10625" spans="20:20">
      <c r="T10625" t="str">
        <f t="shared" si="177"/>
        <v/>
      </c>
    </row>
    <row r="10626" spans="20:20">
      <c r="T10626" t="str">
        <f t="shared" ref="T10626:T10689" si="178">IF(C10626="","",UPPER(LEFT(SUBSTITUTE(C10626," ",""),3))&amp;"-"&amp;TEXT(B10626,"AAMMDD")&amp;"-1")</f>
        <v/>
      </c>
    </row>
    <row r="10627" spans="20:20">
      <c r="T10627" t="str">
        <f t="shared" si="178"/>
        <v/>
      </c>
    </row>
    <row r="10628" spans="20:20">
      <c r="T10628" t="str">
        <f t="shared" si="178"/>
        <v/>
      </c>
    </row>
    <row r="10629" spans="20:20">
      <c r="T10629" t="str">
        <f t="shared" si="178"/>
        <v/>
      </c>
    </row>
    <row r="10630" spans="20:20">
      <c r="T10630" t="str">
        <f t="shared" si="178"/>
        <v/>
      </c>
    </row>
    <row r="10631" spans="20:20">
      <c r="T10631" t="str">
        <f t="shared" si="178"/>
        <v/>
      </c>
    </row>
    <row r="10632" spans="20:20">
      <c r="T10632" t="str">
        <f t="shared" si="178"/>
        <v/>
      </c>
    </row>
    <row r="10633" spans="20:20">
      <c r="T10633" t="str">
        <f t="shared" si="178"/>
        <v/>
      </c>
    </row>
    <row r="10634" spans="20:20">
      <c r="T10634" t="str">
        <f t="shared" si="178"/>
        <v/>
      </c>
    </row>
    <row r="10635" spans="20:20">
      <c r="T10635" t="str">
        <f t="shared" si="178"/>
        <v/>
      </c>
    </row>
    <row r="10636" spans="20:20">
      <c r="T10636" t="str">
        <f t="shared" si="178"/>
        <v/>
      </c>
    </row>
    <row r="10637" spans="20:20">
      <c r="T10637" t="str">
        <f t="shared" si="178"/>
        <v/>
      </c>
    </row>
    <row r="10638" spans="20:20">
      <c r="T10638" t="str">
        <f t="shared" si="178"/>
        <v/>
      </c>
    </row>
    <row r="10639" spans="20:20">
      <c r="T10639" t="str">
        <f t="shared" si="178"/>
        <v/>
      </c>
    </row>
    <row r="10640" spans="20:20">
      <c r="T10640" t="str">
        <f t="shared" si="178"/>
        <v/>
      </c>
    </row>
    <row r="10641" spans="20:20">
      <c r="T10641" t="str">
        <f t="shared" si="178"/>
        <v/>
      </c>
    </row>
    <row r="10642" spans="20:20">
      <c r="T10642" t="str">
        <f t="shared" si="178"/>
        <v/>
      </c>
    </row>
    <row r="10643" spans="20:20">
      <c r="T10643" t="str">
        <f t="shared" si="178"/>
        <v/>
      </c>
    </row>
    <row r="10644" spans="20:20">
      <c r="T10644" t="str">
        <f t="shared" si="178"/>
        <v/>
      </c>
    </row>
    <row r="10645" spans="20:20">
      <c r="T10645" t="str">
        <f t="shared" si="178"/>
        <v/>
      </c>
    </row>
    <row r="10646" spans="20:20">
      <c r="T10646" t="str">
        <f t="shared" si="178"/>
        <v/>
      </c>
    </row>
    <row r="10647" spans="20:20">
      <c r="T10647" t="str">
        <f t="shared" si="178"/>
        <v/>
      </c>
    </row>
    <row r="10648" spans="20:20">
      <c r="T10648" t="str">
        <f t="shared" si="178"/>
        <v/>
      </c>
    </row>
    <row r="10649" spans="20:20">
      <c r="T10649" t="str">
        <f t="shared" si="178"/>
        <v/>
      </c>
    </row>
    <row r="10650" spans="20:20">
      <c r="T10650" t="str">
        <f t="shared" si="178"/>
        <v/>
      </c>
    </row>
    <row r="10651" spans="20:20">
      <c r="T10651" t="str">
        <f t="shared" si="178"/>
        <v/>
      </c>
    </row>
    <row r="10652" spans="20:20">
      <c r="T10652" t="str">
        <f t="shared" si="178"/>
        <v/>
      </c>
    </row>
    <row r="10653" spans="20:20">
      <c r="T10653" t="str">
        <f t="shared" si="178"/>
        <v/>
      </c>
    </row>
    <row r="10654" spans="20:20">
      <c r="T10654" t="str">
        <f t="shared" si="178"/>
        <v/>
      </c>
    </row>
    <row r="10655" spans="20:20">
      <c r="T10655" t="str">
        <f t="shared" si="178"/>
        <v/>
      </c>
    </row>
    <row r="10656" spans="20:20">
      <c r="T10656" t="str">
        <f t="shared" si="178"/>
        <v/>
      </c>
    </row>
    <row r="10657" spans="20:20">
      <c r="T10657" t="str">
        <f t="shared" si="178"/>
        <v/>
      </c>
    </row>
    <row r="10658" spans="20:20">
      <c r="T10658" t="str">
        <f t="shared" si="178"/>
        <v/>
      </c>
    </row>
    <row r="10659" spans="20:20">
      <c r="T10659" t="str">
        <f t="shared" si="178"/>
        <v/>
      </c>
    </row>
    <row r="10660" spans="20:20">
      <c r="T10660" t="str">
        <f t="shared" si="178"/>
        <v/>
      </c>
    </row>
    <row r="10661" spans="20:20">
      <c r="T10661" t="str">
        <f t="shared" si="178"/>
        <v/>
      </c>
    </row>
    <row r="10662" spans="20:20">
      <c r="T10662" t="str">
        <f t="shared" si="178"/>
        <v/>
      </c>
    </row>
    <row r="10663" spans="20:20">
      <c r="T10663" t="str">
        <f t="shared" si="178"/>
        <v/>
      </c>
    </row>
    <row r="10664" spans="20:20">
      <c r="T10664" t="str">
        <f t="shared" si="178"/>
        <v/>
      </c>
    </row>
    <row r="10665" spans="20:20">
      <c r="T10665" t="str">
        <f t="shared" si="178"/>
        <v/>
      </c>
    </row>
    <row r="10666" spans="20:20">
      <c r="T10666" t="str">
        <f t="shared" si="178"/>
        <v/>
      </c>
    </row>
    <row r="10667" spans="20:20">
      <c r="T10667" t="str">
        <f t="shared" si="178"/>
        <v/>
      </c>
    </row>
    <row r="10668" spans="20:20">
      <c r="T10668" t="str">
        <f t="shared" si="178"/>
        <v/>
      </c>
    </row>
    <row r="10669" spans="20:20">
      <c r="T10669" t="str">
        <f t="shared" si="178"/>
        <v/>
      </c>
    </row>
    <row r="10670" spans="20:20">
      <c r="T10670" t="str">
        <f t="shared" si="178"/>
        <v/>
      </c>
    </row>
    <row r="10671" spans="20:20">
      <c r="T10671" t="str">
        <f t="shared" si="178"/>
        <v/>
      </c>
    </row>
    <row r="10672" spans="20:20">
      <c r="T10672" t="str">
        <f t="shared" si="178"/>
        <v/>
      </c>
    </row>
    <row r="10673" spans="20:20">
      <c r="T10673" t="str">
        <f t="shared" si="178"/>
        <v/>
      </c>
    </row>
    <row r="10674" spans="20:20">
      <c r="T10674" t="str">
        <f t="shared" si="178"/>
        <v/>
      </c>
    </row>
    <row r="10675" spans="20:20">
      <c r="T10675" t="str">
        <f t="shared" si="178"/>
        <v/>
      </c>
    </row>
    <row r="10676" spans="20:20">
      <c r="T10676" t="str">
        <f t="shared" si="178"/>
        <v/>
      </c>
    </row>
    <row r="10677" spans="20:20">
      <c r="T10677" t="str">
        <f t="shared" si="178"/>
        <v/>
      </c>
    </row>
    <row r="10678" spans="20:20">
      <c r="T10678" t="str">
        <f t="shared" si="178"/>
        <v/>
      </c>
    </row>
    <row r="10679" spans="20:20">
      <c r="T10679" t="str">
        <f t="shared" si="178"/>
        <v/>
      </c>
    </row>
    <row r="10680" spans="20:20">
      <c r="T10680" t="str">
        <f t="shared" si="178"/>
        <v/>
      </c>
    </row>
    <row r="10681" spans="20:20">
      <c r="T10681" t="str">
        <f t="shared" si="178"/>
        <v/>
      </c>
    </row>
    <row r="10682" spans="20:20">
      <c r="T10682" t="str">
        <f t="shared" si="178"/>
        <v/>
      </c>
    </row>
    <row r="10683" spans="20:20">
      <c r="T10683" t="str">
        <f t="shared" si="178"/>
        <v/>
      </c>
    </row>
    <row r="10684" spans="20:20">
      <c r="T10684" t="str">
        <f t="shared" si="178"/>
        <v/>
      </c>
    </row>
    <row r="10685" spans="20:20">
      <c r="T10685" t="str">
        <f t="shared" si="178"/>
        <v/>
      </c>
    </row>
    <row r="10686" spans="20:20">
      <c r="T10686" t="str">
        <f t="shared" si="178"/>
        <v/>
      </c>
    </row>
    <row r="10687" spans="20:20">
      <c r="T10687" t="str">
        <f t="shared" si="178"/>
        <v/>
      </c>
    </row>
    <row r="10688" spans="20:20">
      <c r="T10688" t="str">
        <f t="shared" si="178"/>
        <v/>
      </c>
    </row>
    <row r="10689" spans="20:20">
      <c r="T10689" t="str">
        <f t="shared" si="178"/>
        <v/>
      </c>
    </row>
    <row r="10690" spans="20:20">
      <c r="T10690" t="str">
        <f t="shared" ref="T10690:T10753" si="179">IF(C10690="","",UPPER(LEFT(SUBSTITUTE(C10690," ",""),3))&amp;"-"&amp;TEXT(B10690,"AAMMDD")&amp;"-1")</f>
        <v/>
      </c>
    </row>
    <row r="10691" spans="20:20">
      <c r="T10691" t="str">
        <f t="shared" si="179"/>
        <v/>
      </c>
    </row>
    <row r="10692" spans="20:20">
      <c r="T10692" t="str">
        <f t="shared" si="179"/>
        <v/>
      </c>
    </row>
    <row r="10693" spans="20:20">
      <c r="T10693" t="str">
        <f t="shared" si="179"/>
        <v/>
      </c>
    </row>
    <row r="10694" spans="20:20">
      <c r="T10694" t="str">
        <f t="shared" si="179"/>
        <v/>
      </c>
    </row>
    <row r="10695" spans="20:20">
      <c r="T10695" t="str">
        <f t="shared" si="179"/>
        <v/>
      </c>
    </row>
    <row r="10696" spans="20:20">
      <c r="T10696" t="str">
        <f t="shared" si="179"/>
        <v/>
      </c>
    </row>
    <row r="10697" spans="20:20">
      <c r="T10697" t="str">
        <f t="shared" si="179"/>
        <v/>
      </c>
    </row>
    <row r="10698" spans="20:20">
      <c r="T10698" t="str">
        <f t="shared" si="179"/>
        <v/>
      </c>
    </row>
    <row r="10699" spans="20:20">
      <c r="T10699" t="str">
        <f t="shared" si="179"/>
        <v/>
      </c>
    </row>
    <row r="10700" spans="20:20">
      <c r="T10700" t="str">
        <f t="shared" si="179"/>
        <v/>
      </c>
    </row>
    <row r="10701" spans="20:20">
      <c r="T10701" t="str">
        <f t="shared" si="179"/>
        <v/>
      </c>
    </row>
    <row r="10702" spans="20:20">
      <c r="T10702" t="str">
        <f t="shared" si="179"/>
        <v/>
      </c>
    </row>
    <row r="10703" spans="20:20">
      <c r="T10703" t="str">
        <f t="shared" si="179"/>
        <v/>
      </c>
    </row>
    <row r="10704" spans="20:20">
      <c r="T10704" t="str">
        <f t="shared" si="179"/>
        <v/>
      </c>
    </row>
    <row r="10705" spans="20:20">
      <c r="T10705" t="str">
        <f t="shared" si="179"/>
        <v/>
      </c>
    </row>
    <row r="10706" spans="20:20">
      <c r="T10706" t="str">
        <f t="shared" si="179"/>
        <v/>
      </c>
    </row>
    <row r="10707" spans="20:20">
      <c r="T10707" t="str">
        <f t="shared" si="179"/>
        <v/>
      </c>
    </row>
    <row r="10708" spans="20:20">
      <c r="T10708" t="str">
        <f t="shared" si="179"/>
        <v/>
      </c>
    </row>
    <row r="10709" spans="20:20">
      <c r="T10709" t="str">
        <f t="shared" si="179"/>
        <v/>
      </c>
    </row>
    <row r="10710" spans="20:20">
      <c r="T10710" t="str">
        <f t="shared" si="179"/>
        <v/>
      </c>
    </row>
    <row r="10711" spans="20:20">
      <c r="T10711" t="str">
        <f t="shared" si="179"/>
        <v/>
      </c>
    </row>
    <row r="10712" spans="20:20">
      <c r="T10712" t="str">
        <f t="shared" si="179"/>
        <v/>
      </c>
    </row>
    <row r="10713" spans="20:20">
      <c r="T10713" t="str">
        <f t="shared" si="179"/>
        <v/>
      </c>
    </row>
    <row r="10714" spans="20:20">
      <c r="T10714" t="str">
        <f t="shared" si="179"/>
        <v/>
      </c>
    </row>
    <row r="10715" spans="20:20">
      <c r="T10715" t="str">
        <f t="shared" si="179"/>
        <v/>
      </c>
    </row>
    <row r="10716" spans="20:20">
      <c r="T10716" t="str">
        <f t="shared" si="179"/>
        <v/>
      </c>
    </row>
    <row r="10717" spans="20:20">
      <c r="T10717" t="str">
        <f t="shared" si="179"/>
        <v/>
      </c>
    </row>
    <row r="10718" spans="20:20">
      <c r="T10718" t="str">
        <f t="shared" si="179"/>
        <v/>
      </c>
    </row>
    <row r="10719" spans="20:20">
      <c r="T10719" t="str">
        <f t="shared" si="179"/>
        <v/>
      </c>
    </row>
    <row r="10720" spans="20:20">
      <c r="T10720" t="str">
        <f t="shared" si="179"/>
        <v/>
      </c>
    </row>
    <row r="10721" spans="20:20">
      <c r="T10721" t="str">
        <f t="shared" si="179"/>
        <v/>
      </c>
    </row>
    <row r="10722" spans="20:20">
      <c r="T10722" t="str">
        <f t="shared" si="179"/>
        <v/>
      </c>
    </row>
    <row r="10723" spans="20:20">
      <c r="T10723" t="str">
        <f t="shared" si="179"/>
        <v/>
      </c>
    </row>
    <row r="10724" spans="20:20">
      <c r="T10724" t="str">
        <f t="shared" si="179"/>
        <v/>
      </c>
    </row>
    <row r="10725" spans="20:20">
      <c r="T10725" t="str">
        <f t="shared" si="179"/>
        <v/>
      </c>
    </row>
    <row r="10726" spans="20:20">
      <c r="T10726" t="str">
        <f t="shared" si="179"/>
        <v/>
      </c>
    </row>
    <row r="10727" spans="20:20">
      <c r="T10727" t="str">
        <f t="shared" si="179"/>
        <v/>
      </c>
    </row>
    <row r="10728" spans="20:20">
      <c r="T10728" t="str">
        <f t="shared" si="179"/>
        <v/>
      </c>
    </row>
    <row r="10729" spans="20:20">
      <c r="T10729" t="str">
        <f t="shared" si="179"/>
        <v/>
      </c>
    </row>
    <row r="10730" spans="20:20">
      <c r="T10730" t="str">
        <f t="shared" si="179"/>
        <v/>
      </c>
    </row>
    <row r="10731" spans="20:20">
      <c r="T10731" t="str">
        <f t="shared" si="179"/>
        <v/>
      </c>
    </row>
    <row r="10732" spans="20:20">
      <c r="T10732" t="str">
        <f t="shared" si="179"/>
        <v/>
      </c>
    </row>
    <row r="10733" spans="20:20">
      <c r="T10733" t="str">
        <f t="shared" si="179"/>
        <v/>
      </c>
    </row>
    <row r="10734" spans="20:20">
      <c r="T10734" t="str">
        <f t="shared" si="179"/>
        <v/>
      </c>
    </row>
    <row r="10735" spans="20:20">
      <c r="T10735" t="str">
        <f t="shared" si="179"/>
        <v/>
      </c>
    </row>
    <row r="10736" spans="20:20">
      <c r="T10736" t="str">
        <f t="shared" si="179"/>
        <v/>
      </c>
    </row>
    <row r="10737" spans="20:20">
      <c r="T10737" t="str">
        <f t="shared" si="179"/>
        <v/>
      </c>
    </row>
    <row r="10738" spans="20:20">
      <c r="T10738" t="str">
        <f t="shared" si="179"/>
        <v/>
      </c>
    </row>
    <row r="10739" spans="20:20">
      <c r="T10739" t="str">
        <f t="shared" si="179"/>
        <v/>
      </c>
    </row>
    <row r="10740" spans="20:20">
      <c r="T10740" t="str">
        <f t="shared" si="179"/>
        <v/>
      </c>
    </row>
    <row r="10741" spans="20:20">
      <c r="T10741" t="str">
        <f t="shared" si="179"/>
        <v/>
      </c>
    </row>
    <row r="10742" spans="20:20">
      <c r="T10742" t="str">
        <f t="shared" si="179"/>
        <v/>
      </c>
    </row>
    <row r="10743" spans="20:20">
      <c r="T10743" t="str">
        <f t="shared" si="179"/>
        <v/>
      </c>
    </row>
    <row r="10744" spans="20:20">
      <c r="T10744" t="str">
        <f t="shared" si="179"/>
        <v/>
      </c>
    </row>
    <row r="10745" spans="20:20">
      <c r="T10745" t="str">
        <f t="shared" si="179"/>
        <v/>
      </c>
    </row>
    <row r="10746" spans="20:20">
      <c r="T10746" t="str">
        <f t="shared" si="179"/>
        <v/>
      </c>
    </row>
    <row r="10747" spans="20:20">
      <c r="T10747" t="str">
        <f t="shared" si="179"/>
        <v/>
      </c>
    </row>
    <row r="10748" spans="20:20">
      <c r="T10748" t="str">
        <f t="shared" si="179"/>
        <v/>
      </c>
    </row>
    <row r="10749" spans="20:20">
      <c r="T10749" t="str">
        <f t="shared" si="179"/>
        <v/>
      </c>
    </row>
    <row r="10750" spans="20:20">
      <c r="T10750" t="str">
        <f t="shared" si="179"/>
        <v/>
      </c>
    </row>
    <row r="10751" spans="20:20">
      <c r="T10751" t="str">
        <f t="shared" si="179"/>
        <v/>
      </c>
    </row>
    <row r="10752" spans="20:20">
      <c r="T10752" t="str">
        <f t="shared" si="179"/>
        <v/>
      </c>
    </row>
    <row r="10753" spans="20:20">
      <c r="T10753" t="str">
        <f t="shared" si="179"/>
        <v/>
      </c>
    </row>
    <row r="10754" spans="20:20">
      <c r="T10754" t="str">
        <f t="shared" ref="T10754:T10817" si="180">IF(C10754="","",UPPER(LEFT(SUBSTITUTE(C10754," ",""),3))&amp;"-"&amp;TEXT(B10754,"AAMMDD")&amp;"-1")</f>
        <v/>
      </c>
    </row>
    <row r="10755" spans="20:20">
      <c r="T10755" t="str">
        <f t="shared" si="180"/>
        <v/>
      </c>
    </row>
    <row r="10756" spans="20:20">
      <c r="T10756" t="str">
        <f t="shared" si="180"/>
        <v/>
      </c>
    </row>
    <row r="10757" spans="20:20">
      <c r="T10757" t="str">
        <f t="shared" si="180"/>
        <v/>
      </c>
    </row>
    <row r="10758" spans="20:20">
      <c r="T10758" t="str">
        <f t="shared" si="180"/>
        <v/>
      </c>
    </row>
    <row r="10759" spans="20:20">
      <c r="T10759" t="str">
        <f t="shared" si="180"/>
        <v/>
      </c>
    </row>
    <row r="10760" spans="20:20">
      <c r="T10760" t="str">
        <f t="shared" si="180"/>
        <v/>
      </c>
    </row>
    <row r="10761" spans="20:20">
      <c r="T10761" t="str">
        <f t="shared" si="180"/>
        <v/>
      </c>
    </row>
    <row r="10762" spans="20:20">
      <c r="T10762" t="str">
        <f t="shared" si="180"/>
        <v/>
      </c>
    </row>
    <row r="10763" spans="20:20">
      <c r="T10763" t="str">
        <f t="shared" si="180"/>
        <v/>
      </c>
    </row>
    <row r="10764" spans="20:20">
      <c r="T10764" t="str">
        <f t="shared" si="180"/>
        <v/>
      </c>
    </row>
    <row r="10765" spans="20:20">
      <c r="T10765" t="str">
        <f t="shared" si="180"/>
        <v/>
      </c>
    </row>
    <row r="10766" spans="20:20">
      <c r="T10766" t="str">
        <f t="shared" si="180"/>
        <v/>
      </c>
    </row>
    <row r="10767" spans="20:20">
      <c r="T10767" t="str">
        <f t="shared" si="180"/>
        <v/>
      </c>
    </row>
    <row r="10768" spans="20:20">
      <c r="T10768" t="str">
        <f t="shared" si="180"/>
        <v/>
      </c>
    </row>
    <row r="10769" spans="20:20">
      <c r="T10769" t="str">
        <f t="shared" si="180"/>
        <v/>
      </c>
    </row>
    <row r="10770" spans="20:20">
      <c r="T10770" t="str">
        <f t="shared" si="180"/>
        <v/>
      </c>
    </row>
    <row r="10771" spans="20:20">
      <c r="T10771" t="str">
        <f t="shared" si="180"/>
        <v/>
      </c>
    </row>
    <row r="10772" spans="20:20">
      <c r="T10772" t="str">
        <f t="shared" si="180"/>
        <v/>
      </c>
    </row>
    <row r="10773" spans="20:20">
      <c r="T10773" t="str">
        <f t="shared" si="180"/>
        <v/>
      </c>
    </row>
    <row r="10774" spans="20:20">
      <c r="T10774" t="str">
        <f t="shared" si="180"/>
        <v/>
      </c>
    </row>
    <row r="10775" spans="20:20">
      <c r="T10775" t="str">
        <f t="shared" si="180"/>
        <v/>
      </c>
    </row>
    <row r="10776" spans="20:20">
      <c r="T10776" t="str">
        <f t="shared" si="180"/>
        <v/>
      </c>
    </row>
    <row r="10777" spans="20:20">
      <c r="T10777" t="str">
        <f t="shared" si="180"/>
        <v/>
      </c>
    </row>
    <row r="10778" spans="20:20">
      <c r="T10778" t="str">
        <f t="shared" si="180"/>
        <v/>
      </c>
    </row>
    <row r="10779" spans="20:20">
      <c r="T10779" t="str">
        <f t="shared" si="180"/>
        <v/>
      </c>
    </row>
    <row r="10780" spans="20:20">
      <c r="T10780" t="str">
        <f t="shared" si="180"/>
        <v/>
      </c>
    </row>
    <row r="10781" spans="20:20">
      <c r="T10781" t="str">
        <f t="shared" si="180"/>
        <v/>
      </c>
    </row>
    <row r="10782" spans="20:20">
      <c r="T10782" t="str">
        <f t="shared" si="180"/>
        <v/>
      </c>
    </row>
    <row r="10783" spans="20:20">
      <c r="T10783" t="str">
        <f t="shared" si="180"/>
        <v/>
      </c>
    </row>
    <row r="10784" spans="20:20">
      <c r="T10784" t="str">
        <f t="shared" si="180"/>
        <v/>
      </c>
    </row>
    <row r="10785" spans="20:20">
      <c r="T10785" t="str">
        <f t="shared" si="180"/>
        <v/>
      </c>
    </row>
    <row r="10786" spans="20:20">
      <c r="T10786" t="str">
        <f t="shared" si="180"/>
        <v/>
      </c>
    </row>
    <row r="10787" spans="20:20">
      <c r="T10787" t="str">
        <f t="shared" si="180"/>
        <v/>
      </c>
    </row>
    <row r="10788" spans="20:20">
      <c r="T10788" t="str">
        <f t="shared" si="180"/>
        <v/>
      </c>
    </row>
    <row r="10789" spans="20:20">
      <c r="T10789" t="str">
        <f t="shared" si="180"/>
        <v/>
      </c>
    </row>
    <row r="10790" spans="20:20">
      <c r="T10790" t="str">
        <f t="shared" si="180"/>
        <v/>
      </c>
    </row>
    <row r="10791" spans="20:20">
      <c r="T10791" t="str">
        <f t="shared" si="180"/>
        <v/>
      </c>
    </row>
    <row r="10792" spans="20:20">
      <c r="T10792" t="str">
        <f t="shared" si="180"/>
        <v/>
      </c>
    </row>
    <row r="10793" spans="20:20">
      <c r="T10793" t="str">
        <f t="shared" si="180"/>
        <v/>
      </c>
    </row>
    <row r="10794" spans="20:20">
      <c r="T10794" t="str">
        <f t="shared" si="180"/>
        <v/>
      </c>
    </row>
    <row r="10795" spans="20:20">
      <c r="T10795" t="str">
        <f t="shared" si="180"/>
        <v/>
      </c>
    </row>
    <row r="10796" spans="20:20">
      <c r="T10796" t="str">
        <f t="shared" si="180"/>
        <v/>
      </c>
    </row>
    <row r="10797" spans="20:20">
      <c r="T10797" t="str">
        <f t="shared" si="180"/>
        <v/>
      </c>
    </row>
    <row r="10798" spans="20:20">
      <c r="T10798" t="str">
        <f t="shared" si="180"/>
        <v/>
      </c>
    </row>
    <row r="10799" spans="20:20">
      <c r="T10799" t="str">
        <f t="shared" si="180"/>
        <v/>
      </c>
    </row>
    <row r="10800" spans="20:20">
      <c r="T10800" t="str">
        <f t="shared" si="180"/>
        <v/>
      </c>
    </row>
    <row r="10801" spans="20:20">
      <c r="T10801" t="str">
        <f t="shared" si="180"/>
        <v/>
      </c>
    </row>
    <row r="10802" spans="20:20">
      <c r="T10802" t="str">
        <f t="shared" si="180"/>
        <v/>
      </c>
    </row>
    <row r="10803" spans="20:20">
      <c r="T10803" t="str">
        <f t="shared" si="180"/>
        <v/>
      </c>
    </row>
    <row r="10804" spans="20:20">
      <c r="T10804" t="str">
        <f t="shared" si="180"/>
        <v/>
      </c>
    </row>
    <row r="10805" spans="20:20">
      <c r="T10805" t="str">
        <f t="shared" si="180"/>
        <v/>
      </c>
    </row>
    <row r="10806" spans="20:20">
      <c r="T10806" t="str">
        <f t="shared" si="180"/>
        <v/>
      </c>
    </row>
    <row r="10807" spans="20:20">
      <c r="T10807" t="str">
        <f t="shared" si="180"/>
        <v/>
      </c>
    </row>
    <row r="10808" spans="20:20">
      <c r="T10808" t="str">
        <f t="shared" si="180"/>
        <v/>
      </c>
    </row>
    <row r="10809" spans="20:20">
      <c r="T10809" t="str">
        <f t="shared" si="180"/>
        <v/>
      </c>
    </row>
    <row r="10810" spans="20:20">
      <c r="T10810" t="str">
        <f t="shared" si="180"/>
        <v/>
      </c>
    </row>
    <row r="10811" spans="20:20">
      <c r="T10811" t="str">
        <f t="shared" si="180"/>
        <v/>
      </c>
    </row>
    <row r="10812" spans="20:20">
      <c r="T10812" t="str">
        <f t="shared" si="180"/>
        <v/>
      </c>
    </row>
    <row r="10813" spans="20:20">
      <c r="T10813" t="str">
        <f t="shared" si="180"/>
        <v/>
      </c>
    </row>
    <row r="10814" spans="20:20">
      <c r="T10814" t="str">
        <f t="shared" si="180"/>
        <v/>
      </c>
    </row>
    <row r="10815" spans="20:20">
      <c r="T10815" t="str">
        <f t="shared" si="180"/>
        <v/>
      </c>
    </row>
    <row r="10816" spans="20:20">
      <c r="T10816" t="str">
        <f t="shared" si="180"/>
        <v/>
      </c>
    </row>
    <row r="10817" spans="20:20">
      <c r="T10817" t="str">
        <f t="shared" si="180"/>
        <v/>
      </c>
    </row>
    <row r="10818" spans="20:20">
      <c r="T10818" t="str">
        <f t="shared" ref="T10818:T10881" si="181">IF(C10818="","",UPPER(LEFT(SUBSTITUTE(C10818," ",""),3))&amp;"-"&amp;TEXT(B10818,"AAMMDD")&amp;"-1")</f>
        <v/>
      </c>
    </row>
    <row r="10819" spans="20:20">
      <c r="T10819" t="str">
        <f t="shared" si="181"/>
        <v/>
      </c>
    </row>
    <row r="10820" spans="20:20">
      <c r="T10820" t="str">
        <f t="shared" si="181"/>
        <v/>
      </c>
    </row>
    <row r="10821" spans="20:20">
      <c r="T10821" t="str">
        <f t="shared" si="181"/>
        <v/>
      </c>
    </row>
    <row r="10822" spans="20:20">
      <c r="T10822" t="str">
        <f t="shared" si="181"/>
        <v/>
      </c>
    </row>
    <row r="10823" spans="20:20">
      <c r="T10823" t="str">
        <f t="shared" si="181"/>
        <v/>
      </c>
    </row>
    <row r="10824" spans="20:20">
      <c r="T10824" t="str">
        <f t="shared" si="181"/>
        <v/>
      </c>
    </row>
    <row r="10825" spans="20:20">
      <c r="T10825" t="str">
        <f t="shared" si="181"/>
        <v/>
      </c>
    </row>
    <row r="10826" spans="20:20">
      <c r="T10826" t="str">
        <f t="shared" si="181"/>
        <v/>
      </c>
    </row>
    <row r="10827" spans="20:20">
      <c r="T10827" t="str">
        <f t="shared" si="181"/>
        <v/>
      </c>
    </row>
    <row r="10828" spans="20:20">
      <c r="T10828" t="str">
        <f t="shared" si="181"/>
        <v/>
      </c>
    </row>
    <row r="10829" spans="20:20">
      <c r="T10829" t="str">
        <f t="shared" si="181"/>
        <v/>
      </c>
    </row>
    <row r="10830" spans="20:20">
      <c r="T10830" t="str">
        <f t="shared" si="181"/>
        <v/>
      </c>
    </row>
    <row r="10831" spans="20:20">
      <c r="T10831" t="str">
        <f t="shared" si="181"/>
        <v/>
      </c>
    </row>
    <row r="10832" spans="20:20">
      <c r="T10832" t="str">
        <f t="shared" si="181"/>
        <v/>
      </c>
    </row>
    <row r="10833" spans="20:20">
      <c r="T10833" t="str">
        <f t="shared" si="181"/>
        <v/>
      </c>
    </row>
    <row r="10834" spans="20:20">
      <c r="T10834" t="str">
        <f t="shared" si="181"/>
        <v/>
      </c>
    </row>
    <row r="10835" spans="20:20">
      <c r="T10835" t="str">
        <f t="shared" si="181"/>
        <v/>
      </c>
    </row>
    <row r="10836" spans="20:20">
      <c r="T10836" t="str">
        <f t="shared" si="181"/>
        <v/>
      </c>
    </row>
    <row r="10837" spans="20:20">
      <c r="T10837" t="str">
        <f t="shared" si="181"/>
        <v/>
      </c>
    </row>
    <row r="10838" spans="20:20">
      <c r="T10838" t="str">
        <f t="shared" si="181"/>
        <v/>
      </c>
    </row>
    <row r="10839" spans="20:20">
      <c r="T10839" t="str">
        <f t="shared" si="181"/>
        <v/>
      </c>
    </row>
    <row r="10840" spans="20:20">
      <c r="T10840" t="str">
        <f t="shared" si="181"/>
        <v/>
      </c>
    </row>
    <row r="10841" spans="20:20">
      <c r="T10841" t="str">
        <f t="shared" si="181"/>
        <v/>
      </c>
    </row>
    <row r="10842" spans="20:20">
      <c r="T10842" t="str">
        <f t="shared" si="181"/>
        <v/>
      </c>
    </row>
    <row r="10843" spans="20:20">
      <c r="T10843" t="str">
        <f t="shared" si="181"/>
        <v/>
      </c>
    </row>
    <row r="10844" spans="20:20">
      <c r="T10844" t="str">
        <f t="shared" si="181"/>
        <v/>
      </c>
    </row>
    <row r="10845" spans="20:20">
      <c r="T10845" t="str">
        <f t="shared" si="181"/>
        <v/>
      </c>
    </row>
    <row r="10846" spans="20:20">
      <c r="T10846" t="str">
        <f t="shared" si="181"/>
        <v/>
      </c>
    </row>
    <row r="10847" spans="20:20">
      <c r="T10847" t="str">
        <f t="shared" si="181"/>
        <v/>
      </c>
    </row>
    <row r="10848" spans="20:20">
      <c r="T10848" t="str">
        <f t="shared" si="181"/>
        <v/>
      </c>
    </row>
    <row r="10849" spans="20:20">
      <c r="T10849" t="str">
        <f t="shared" si="181"/>
        <v/>
      </c>
    </row>
    <row r="10850" spans="20:20">
      <c r="T10850" t="str">
        <f t="shared" si="181"/>
        <v/>
      </c>
    </row>
    <row r="10851" spans="20:20">
      <c r="T10851" t="str">
        <f t="shared" si="181"/>
        <v/>
      </c>
    </row>
    <row r="10852" spans="20:20">
      <c r="T10852" t="str">
        <f t="shared" si="181"/>
        <v/>
      </c>
    </row>
    <row r="10853" spans="20:20">
      <c r="T10853" t="str">
        <f t="shared" si="181"/>
        <v/>
      </c>
    </row>
    <row r="10854" spans="20:20">
      <c r="T10854" t="str">
        <f t="shared" si="181"/>
        <v/>
      </c>
    </row>
    <row r="10855" spans="20:20">
      <c r="T10855" t="str">
        <f t="shared" si="181"/>
        <v/>
      </c>
    </row>
    <row r="10856" spans="20:20">
      <c r="T10856" t="str">
        <f t="shared" si="181"/>
        <v/>
      </c>
    </row>
    <row r="10857" spans="20:20">
      <c r="T10857" t="str">
        <f t="shared" si="181"/>
        <v/>
      </c>
    </row>
    <row r="10858" spans="20:20">
      <c r="T10858" t="str">
        <f t="shared" si="181"/>
        <v/>
      </c>
    </row>
    <row r="10859" spans="20:20">
      <c r="T10859" t="str">
        <f t="shared" si="181"/>
        <v/>
      </c>
    </row>
    <row r="10860" spans="20:20">
      <c r="T10860" t="str">
        <f t="shared" si="181"/>
        <v/>
      </c>
    </row>
    <row r="10861" spans="20:20">
      <c r="T10861" t="str">
        <f t="shared" si="181"/>
        <v/>
      </c>
    </row>
    <row r="10862" spans="20:20">
      <c r="T10862" t="str">
        <f t="shared" si="181"/>
        <v/>
      </c>
    </row>
    <row r="10863" spans="20:20">
      <c r="T10863" t="str">
        <f t="shared" si="181"/>
        <v/>
      </c>
    </row>
    <row r="10864" spans="20:20">
      <c r="T10864" t="str">
        <f t="shared" si="181"/>
        <v/>
      </c>
    </row>
    <row r="10865" spans="20:20">
      <c r="T10865" t="str">
        <f t="shared" si="181"/>
        <v/>
      </c>
    </row>
    <row r="10866" spans="20:20">
      <c r="T10866" t="str">
        <f t="shared" si="181"/>
        <v/>
      </c>
    </row>
    <row r="10867" spans="20:20">
      <c r="T10867" t="str">
        <f t="shared" si="181"/>
        <v/>
      </c>
    </row>
    <row r="10868" spans="20:20">
      <c r="T10868" t="str">
        <f t="shared" si="181"/>
        <v/>
      </c>
    </row>
    <row r="10869" spans="20:20">
      <c r="T10869" t="str">
        <f t="shared" si="181"/>
        <v/>
      </c>
    </row>
    <row r="10870" spans="20:20">
      <c r="T10870" t="str">
        <f t="shared" si="181"/>
        <v/>
      </c>
    </row>
    <row r="10871" spans="20:20">
      <c r="T10871" t="str">
        <f t="shared" si="181"/>
        <v/>
      </c>
    </row>
    <row r="10872" spans="20:20">
      <c r="T10872" t="str">
        <f t="shared" si="181"/>
        <v/>
      </c>
    </row>
    <row r="10873" spans="20:20">
      <c r="T10873" t="str">
        <f t="shared" si="181"/>
        <v/>
      </c>
    </row>
    <row r="10874" spans="20:20">
      <c r="T10874" t="str">
        <f t="shared" si="181"/>
        <v/>
      </c>
    </row>
    <row r="10875" spans="20:20">
      <c r="T10875" t="str">
        <f t="shared" si="181"/>
        <v/>
      </c>
    </row>
    <row r="10876" spans="20:20">
      <c r="T10876" t="str">
        <f t="shared" si="181"/>
        <v/>
      </c>
    </row>
    <row r="10877" spans="20:20">
      <c r="T10877" t="str">
        <f t="shared" si="181"/>
        <v/>
      </c>
    </row>
    <row r="10878" spans="20:20">
      <c r="T10878" t="str">
        <f t="shared" si="181"/>
        <v/>
      </c>
    </row>
    <row r="10879" spans="20:20">
      <c r="T10879" t="str">
        <f t="shared" si="181"/>
        <v/>
      </c>
    </row>
    <row r="10880" spans="20:20">
      <c r="T10880" t="str">
        <f t="shared" si="181"/>
        <v/>
      </c>
    </row>
    <row r="10881" spans="20:20">
      <c r="T10881" t="str">
        <f t="shared" si="181"/>
        <v/>
      </c>
    </row>
    <row r="10882" spans="20:20">
      <c r="T10882" t="str">
        <f t="shared" ref="T10882:T10945" si="182">IF(C10882="","",UPPER(LEFT(SUBSTITUTE(C10882," ",""),3))&amp;"-"&amp;TEXT(B10882,"AAMMDD")&amp;"-1")</f>
        <v/>
      </c>
    </row>
    <row r="10883" spans="20:20">
      <c r="T10883" t="str">
        <f t="shared" si="182"/>
        <v/>
      </c>
    </row>
    <row r="10884" spans="20:20">
      <c r="T10884" t="str">
        <f t="shared" si="182"/>
        <v/>
      </c>
    </row>
    <row r="10885" spans="20:20">
      <c r="T10885" t="str">
        <f t="shared" si="182"/>
        <v/>
      </c>
    </row>
    <row r="10886" spans="20:20">
      <c r="T10886" t="str">
        <f t="shared" si="182"/>
        <v/>
      </c>
    </row>
    <row r="10887" spans="20:20">
      <c r="T10887" t="str">
        <f t="shared" si="182"/>
        <v/>
      </c>
    </row>
    <row r="10888" spans="20:20">
      <c r="T10888" t="str">
        <f t="shared" si="182"/>
        <v/>
      </c>
    </row>
    <row r="10889" spans="20:20">
      <c r="T10889" t="str">
        <f t="shared" si="182"/>
        <v/>
      </c>
    </row>
    <row r="10890" spans="20:20">
      <c r="T10890" t="str">
        <f t="shared" si="182"/>
        <v/>
      </c>
    </row>
    <row r="10891" spans="20:20">
      <c r="T10891" t="str">
        <f t="shared" si="182"/>
        <v/>
      </c>
    </row>
    <row r="10892" spans="20:20">
      <c r="T10892" t="str">
        <f t="shared" si="182"/>
        <v/>
      </c>
    </row>
    <row r="10893" spans="20:20">
      <c r="T10893" t="str">
        <f t="shared" si="182"/>
        <v/>
      </c>
    </row>
    <row r="10894" spans="20:20">
      <c r="T10894" t="str">
        <f t="shared" si="182"/>
        <v/>
      </c>
    </row>
    <row r="10895" spans="20:20">
      <c r="T10895" t="str">
        <f t="shared" si="182"/>
        <v/>
      </c>
    </row>
    <row r="10896" spans="20:20">
      <c r="T10896" t="str">
        <f t="shared" si="182"/>
        <v/>
      </c>
    </row>
    <row r="10897" spans="20:20">
      <c r="T10897" t="str">
        <f t="shared" si="182"/>
        <v/>
      </c>
    </row>
    <row r="10898" spans="20:20">
      <c r="T10898" t="str">
        <f t="shared" si="182"/>
        <v/>
      </c>
    </row>
    <row r="10899" spans="20:20">
      <c r="T10899" t="str">
        <f t="shared" si="182"/>
        <v/>
      </c>
    </row>
    <row r="10900" spans="20:20">
      <c r="T10900" t="str">
        <f t="shared" si="182"/>
        <v/>
      </c>
    </row>
    <row r="10901" spans="20:20">
      <c r="T10901" t="str">
        <f t="shared" si="182"/>
        <v/>
      </c>
    </row>
    <row r="10902" spans="20:20">
      <c r="T10902" t="str">
        <f t="shared" si="182"/>
        <v/>
      </c>
    </row>
    <row r="10903" spans="20:20">
      <c r="T10903" t="str">
        <f t="shared" si="182"/>
        <v/>
      </c>
    </row>
    <row r="10904" spans="20:20">
      <c r="T10904" t="str">
        <f t="shared" si="182"/>
        <v/>
      </c>
    </row>
    <row r="10905" spans="20:20">
      <c r="T10905" t="str">
        <f t="shared" si="182"/>
        <v/>
      </c>
    </row>
    <row r="10906" spans="20:20">
      <c r="T10906" t="str">
        <f t="shared" si="182"/>
        <v/>
      </c>
    </row>
    <row r="10907" spans="20:20">
      <c r="T10907" t="str">
        <f t="shared" si="182"/>
        <v/>
      </c>
    </row>
    <row r="10908" spans="20:20">
      <c r="T10908" t="str">
        <f t="shared" si="182"/>
        <v/>
      </c>
    </row>
    <row r="10909" spans="20:20">
      <c r="T10909" t="str">
        <f t="shared" si="182"/>
        <v/>
      </c>
    </row>
    <row r="10910" spans="20:20">
      <c r="T10910" t="str">
        <f t="shared" si="182"/>
        <v/>
      </c>
    </row>
    <row r="10911" spans="20:20">
      <c r="T10911" t="str">
        <f t="shared" si="182"/>
        <v/>
      </c>
    </row>
    <row r="10912" spans="20:20">
      <c r="T10912" t="str">
        <f t="shared" si="182"/>
        <v/>
      </c>
    </row>
    <row r="10913" spans="20:20">
      <c r="T10913" t="str">
        <f t="shared" si="182"/>
        <v/>
      </c>
    </row>
    <row r="10914" spans="20:20">
      <c r="T10914" t="str">
        <f t="shared" si="182"/>
        <v/>
      </c>
    </row>
    <row r="10915" spans="20:20">
      <c r="T10915" t="str">
        <f t="shared" si="182"/>
        <v/>
      </c>
    </row>
    <row r="10916" spans="20:20">
      <c r="T10916" t="str">
        <f t="shared" si="182"/>
        <v/>
      </c>
    </row>
    <row r="10917" spans="20:20">
      <c r="T10917" t="str">
        <f t="shared" si="182"/>
        <v/>
      </c>
    </row>
    <row r="10918" spans="20:20">
      <c r="T10918" t="str">
        <f t="shared" si="182"/>
        <v/>
      </c>
    </row>
    <row r="10919" spans="20:20">
      <c r="T10919" t="str">
        <f t="shared" si="182"/>
        <v/>
      </c>
    </row>
    <row r="10920" spans="20:20">
      <c r="T10920" t="str">
        <f t="shared" si="182"/>
        <v/>
      </c>
    </row>
    <row r="10921" spans="20:20">
      <c r="T10921" t="str">
        <f t="shared" si="182"/>
        <v/>
      </c>
    </row>
    <row r="10922" spans="20:20">
      <c r="T10922" t="str">
        <f t="shared" si="182"/>
        <v/>
      </c>
    </row>
    <row r="10923" spans="20:20">
      <c r="T10923" t="str">
        <f t="shared" si="182"/>
        <v/>
      </c>
    </row>
    <row r="10924" spans="20:20">
      <c r="T10924" t="str">
        <f t="shared" si="182"/>
        <v/>
      </c>
    </row>
    <row r="10925" spans="20:20">
      <c r="T10925" t="str">
        <f t="shared" si="182"/>
        <v/>
      </c>
    </row>
    <row r="10926" spans="20:20">
      <c r="T10926" t="str">
        <f t="shared" si="182"/>
        <v/>
      </c>
    </row>
    <row r="10927" spans="20:20">
      <c r="T10927" t="str">
        <f t="shared" si="182"/>
        <v/>
      </c>
    </row>
    <row r="10928" spans="20:20">
      <c r="T10928" t="str">
        <f t="shared" si="182"/>
        <v/>
      </c>
    </row>
    <row r="10929" spans="20:20">
      <c r="T10929" t="str">
        <f t="shared" si="182"/>
        <v/>
      </c>
    </row>
    <row r="10930" spans="20:20">
      <c r="T10930" t="str">
        <f t="shared" si="182"/>
        <v/>
      </c>
    </row>
    <row r="10931" spans="20:20">
      <c r="T10931" t="str">
        <f t="shared" si="182"/>
        <v/>
      </c>
    </row>
    <row r="10932" spans="20:20">
      <c r="T10932" t="str">
        <f t="shared" si="182"/>
        <v/>
      </c>
    </row>
    <row r="10933" spans="20:20">
      <c r="T10933" t="str">
        <f t="shared" si="182"/>
        <v/>
      </c>
    </row>
    <row r="10934" spans="20:20">
      <c r="T10934" t="str">
        <f t="shared" si="182"/>
        <v/>
      </c>
    </row>
    <row r="10935" spans="20:20">
      <c r="T10935" t="str">
        <f t="shared" si="182"/>
        <v/>
      </c>
    </row>
    <row r="10936" spans="20:20">
      <c r="T10936" t="str">
        <f t="shared" si="182"/>
        <v/>
      </c>
    </row>
    <row r="10937" spans="20:20">
      <c r="T10937" t="str">
        <f t="shared" si="182"/>
        <v/>
      </c>
    </row>
    <row r="10938" spans="20:20">
      <c r="T10938" t="str">
        <f t="shared" si="182"/>
        <v/>
      </c>
    </row>
    <row r="10939" spans="20:20">
      <c r="T10939" t="str">
        <f t="shared" si="182"/>
        <v/>
      </c>
    </row>
    <row r="10940" spans="20:20">
      <c r="T10940" t="str">
        <f t="shared" si="182"/>
        <v/>
      </c>
    </row>
    <row r="10941" spans="20:20">
      <c r="T10941" t="str">
        <f t="shared" si="182"/>
        <v/>
      </c>
    </row>
    <row r="10942" spans="20:20">
      <c r="T10942" t="str">
        <f t="shared" si="182"/>
        <v/>
      </c>
    </row>
    <row r="10943" spans="20:20">
      <c r="T10943" t="str">
        <f t="shared" si="182"/>
        <v/>
      </c>
    </row>
    <row r="10944" spans="20:20">
      <c r="T10944" t="str">
        <f t="shared" si="182"/>
        <v/>
      </c>
    </row>
    <row r="10945" spans="20:20">
      <c r="T10945" t="str">
        <f t="shared" si="182"/>
        <v/>
      </c>
    </row>
    <row r="10946" spans="20:20">
      <c r="T10946" t="str">
        <f t="shared" ref="T10946:T11009" si="183">IF(C10946="","",UPPER(LEFT(SUBSTITUTE(C10946," ",""),3))&amp;"-"&amp;TEXT(B10946,"AAMMDD")&amp;"-1")</f>
        <v/>
      </c>
    </row>
    <row r="10947" spans="20:20">
      <c r="T10947" t="str">
        <f t="shared" si="183"/>
        <v/>
      </c>
    </row>
    <row r="10948" spans="20:20">
      <c r="T10948" t="str">
        <f t="shared" si="183"/>
        <v/>
      </c>
    </row>
    <row r="10949" spans="20:20">
      <c r="T10949" t="str">
        <f t="shared" si="183"/>
        <v/>
      </c>
    </row>
    <row r="10950" spans="20:20">
      <c r="T10950" t="str">
        <f t="shared" si="183"/>
        <v/>
      </c>
    </row>
    <row r="10951" spans="20:20">
      <c r="T10951" t="str">
        <f t="shared" si="183"/>
        <v/>
      </c>
    </row>
    <row r="10952" spans="20:20">
      <c r="T10952" t="str">
        <f t="shared" si="183"/>
        <v/>
      </c>
    </row>
    <row r="10953" spans="20:20">
      <c r="T10953" t="str">
        <f t="shared" si="183"/>
        <v/>
      </c>
    </row>
    <row r="10954" spans="20:20">
      <c r="T10954" t="str">
        <f t="shared" si="183"/>
        <v/>
      </c>
    </row>
    <row r="10955" spans="20:20">
      <c r="T10955" t="str">
        <f t="shared" si="183"/>
        <v/>
      </c>
    </row>
    <row r="10956" spans="20:20">
      <c r="T10956" t="str">
        <f t="shared" si="183"/>
        <v/>
      </c>
    </row>
    <row r="10957" spans="20:20">
      <c r="T10957" t="str">
        <f t="shared" si="183"/>
        <v/>
      </c>
    </row>
    <row r="10958" spans="20:20">
      <c r="T10958" t="str">
        <f t="shared" si="183"/>
        <v/>
      </c>
    </row>
    <row r="10959" spans="20:20">
      <c r="T10959" t="str">
        <f t="shared" si="183"/>
        <v/>
      </c>
    </row>
    <row r="10960" spans="20:20">
      <c r="T10960" t="str">
        <f t="shared" si="183"/>
        <v/>
      </c>
    </row>
    <row r="10961" spans="20:20">
      <c r="T10961" t="str">
        <f t="shared" si="183"/>
        <v/>
      </c>
    </row>
    <row r="10962" spans="20:20">
      <c r="T10962" t="str">
        <f t="shared" si="183"/>
        <v/>
      </c>
    </row>
    <row r="10963" spans="20:20">
      <c r="T10963" t="str">
        <f t="shared" si="183"/>
        <v/>
      </c>
    </row>
    <row r="10964" spans="20:20">
      <c r="T10964" t="str">
        <f t="shared" si="183"/>
        <v/>
      </c>
    </row>
    <row r="10965" spans="20:20">
      <c r="T10965" t="str">
        <f t="shared" si="183"/>
        <v/>
      </c>
    </row>
    <row r="10966" spans="20:20">
      <c r="T10966" t="str">
        <f t="shared" si="183"/>
        <v/>
      </c>
    </row>
    <row r="10967" spans="20:20">
      <c r="T10967" t="str">
        <f t="shared" si="183"/>
        <v/>
      </c>
    </row>
    <row r="10968" spans="20:20">
      <c r="T10968" t="str">
        <f t="shared" si="183"/>
        <v/>
      </c>
    </row>
    <row r="10969" spans="20:20">
      <c r="T10969" t="str">
        <f t="shared" si="183"/>
        <v/>
      </c>
    </row>
    <row r="10970" spans="20:20">
      <c r="T10970" t="str">
        <f t="shared" si="183"/>
        <v/>
      </c>
    </row>
    <row r="10971" spans="20:20">
      <c r="T10971" t="str">
        <f t="shared" si="183"/>
        <v/>
      </c>
    </row>
    <row r="10972" spans="20:20">
      <c r="T10972" t="str">
        <f t="shared" si="183"/>
        <v/>
      </c>
    </row>
    <row r="10973" spans="20:20">
      <c r="T10973" t="str">
        <f t="shared" si="183"/>
        <v/>
      </c>
    </row>
    <row r="10974" spans="20:20">
      <c r="T10974" t="str">
        <f t="shared" si="183"/>
        <v/>
      </c>
    </row>
    <row r="10975" spans="20:20">
      <c r="T10975" t="str">
        <f t="shared" si="183"/>
        <v/>
      </c>
    </row>
    <row r="10976" spans="20:20">
      <c r="T10976" t="str">
        <f t="shared" si="183"/>
        <v/>
      </c>
    </row>
    <row r="10977" spans="20:20">
      <c r="T10977" t="str">
        <f t="shared" si="183"/>
        <v/>
      </c>
    </row>
    <row r="10978" spans="20:20">
      <c r="T10978" t="str">
        <f t="shared" si="183"/>
        <v/>
      </c>
    </row>
    <row r="10979" spans="20:20">
      <c r="T10979" t="str">
        <f t="shared" si="183"/>
        <v/>
      </c>
    </row>
    <row r="10980" spans="20:20">
      <c r="T10980" t="str">
        <f t="shared" si="183"/>
        <v/>
      </c>
    </row>
    <row r="10981" spans="20:20">
      <c r="T10981" t="str">
        <f t="shared" si="183"/>
        <v/>
      </c>
    </row>
    <row r="10982" spans="20:20">
      <c r="T10982" t="str">
        <f t="shared" si="183"/>
        <v/>
      </c>
    </row>
    <row r="10983" spans="20:20">
      <c r="T10983" t="str">
        <f t="shared" si="183"/>
        <v/>
      </c>
    </row>
    <row r="10984" spans="20:20">
      <c r="T10984" t="str">
        <f t="shared" si="183"/>
        <v/>
      </c>
    </row>
    <row r="10985" spans="20:20">
      <c r="T10985" t="str">
        <f t="shared" si="183"/>
        <v/>
      </c>
    </row>
    <row r="10986" spans="20:20">
      <c r="T10986" t="str">
        <f t="shared" si="183"/>
        <v/>
      </c>
    </row>
    <row r="10987" spans="20:20">
      <c r="T10987" t="str">
        <f t="shared" si="183"/>
        <v/>
      </c>
    </row>
    <row r="10988" spans="20:20">
      <c r="T10988" t="str">
        <f t="shared" si="183"/>
        <v/>
      </c>
    </row>
    <row r="10989" spans="20:20">
      <c r="T10989" t="str">
        <f t="shared" si="183"/>
        <v/>
      </c>
    </row>
    <row r="10990" spans="20:20">
      <c r="T10990" t="str">
        <f t="shared" si="183"/>
        <v/>
      </c>
    </row>
    <row r="10991" spans="20:20">
      <c r="T10991" t="str">
        <f t="shared" si="183"/>
        <v/>
      </c>
    </row>
    <row r="10992" spans="20:20">
      <c r="T10992" t="str">
        <f t="shared" si="183"/>
        <v/>
      </c>
    </row>
    <row r="10993" spans="20:20">
      <c r="T10993" t="str">
        <f t="shared" si="183"/>
        <v/>
      </c>
    </row>
    <row r="10994" spans="20:20">
      <c r="T10994" t="str">
        <f t="shared" si="183"/>
        <v/>
      </c>
    </row>
    <row r="10995" spans="20:20">
      <c r="T10995" t="str">
        <f t="shared" si="183"/>
        <v/>
      </c>
    </row>
    <row r="10996" spans="20:20">
      <c r="T10996" t="str">
        <f t="shared" si="183"/>
        <v/>
      </c>
    </row>
    <row r="10997" spans="20:20">
      <c r="T10997" t="str">
        <f t="shared" si="183"/>
        <v/>
      </c>
    </row>
    <row r="10998" spans="20:20">
      <c r="T10998" t="str">
        <f t="shared" si="183"/>
        <v/>
      </c>
    </row>
    <row r="10999" spans="20:20">
      <c r="T10999" t="str">
        <f t="shared" si="183"/>
        <v/>
      </c>
    </row>
    <row r="11000" spans="20:20">
      <c r="T11000" t="str">
        <f t="shared" si="183"/>
        <v/>
      </c>
    </row>
    <row r="11001" spans="20:20">
      <c r="T11001" t="str">
        <f t="shared" si="183"/>
        <v/>
      </c>
    </row>
    <row r="11002" spans="20:20">
      <c r="T11002" t="str">
        <f t="shared" si="183"/>
        <v/>
      </c>
    </row>
    <row r="11003" spans="20:20">
      <c r="T11003" t="str">
        <f t="shared" si="183"/>
        <v/>
      </c>
    </row>
    <row r="11004" spans="20:20">
      <c r="T11004" t="str">
        <f t="shared" si="183"/>
        <v/>
      </c>
    </row>
    <row r="11005" spans="20:20">
      <c r="T11005" t="str">
        <f t="shared" si="183"/>
        <v/>
      </c>
    </row>
    <row r="11006" spans="20:20">
      <c r="T11006" t="str">
        <f t="shared" si="183"/>
        <v/>
      </c>
    </row>
    <row r="11007" spans="20:20">
      <c r="T11007" t="str">
        <f t="shared" si="183"/>
        <v/>
      </c>
    </row>
    <row r="11008" spans="20:20">
      <c r="T11008" t="str">
        <f t="shared" si="183"/>
        <v/>
      </c>
    </row>
    <row r="11009" spans="20:20">
      <c r="T11009" t="str">
        <f t="shared" si="183"/>
        <v/>
      </c>
    </row>
    <row r="11010" spans="20:20">
      <c r="T11010" t="str">
        <f t="shared" ref="T11010:T11073" si="184">IF(C11010="","",UPPER(LEFT(SUBSTITUTE(C11010," ",""),3))&amp;"-"&amp;TEXT(B11010,"AAMMDD")&amp;"-1")</f>
        <v/>
      </c>
    </row>
    <row r="11011" spans="20:20">
      <c r="T11011" t="str">
        <f t="shared" si="184"/>
        <v/>
      </c>
    </row>
    <row r="11012" spans="20:20">
      <c r="T11012" t="str">
        <f t="shared" si="184"/>
        <v/>
      </c>
    </row>
    <row r="11013" spans="20:20">
      <c r="T11013" t="str">
        <f t="shared" si="184"/>
        <v/>
      </c>
    </row>
    <row r="11014" spans="20:20">
      <c r="T11014" t="str">
        <f t="shared" si="184"/>
        <v/>
      </c>
    </row>
    <row r="11015" spans="20:20">
      <c r="T11015" t="str">
        <f t="shared" si="184"/>
        <v/>
      </c>
    </row>
    <row r="11016" spans="20:20">
      <c r="T11016" t="str">
        <f t="shared" si="184"/>
        <v/>
      </c>
    </row>
    <row r="11017" spans="20:20">
      <c r="T11017" t="str">
        <f t="shared" si="184"/>
        <v/>
      </c>
    </row>
    <row r="11018" spans="20:20">
      <c r="T11018" t="str">
        <f t="shared" si="184"/>
        <v/>
      </c>
    </row>
    <row r="11019" spans="20:20">
      <c r="T11019" t="str">
        <f t="shared" si="184"/>
        <v/>
      </c>
    </row>
    <row r="11020" spans="20:20">
      <c r="T11020" t="str">
        <f t="shared" si="184"/>
        <v/>
      </c>
    </row>
    <row r="11021" spans="20:20">
      <c r="T11021" t="str">
        <f t="shared" si="184"/>
        <v/>
      </c>
    </row>
    <row r="11022" spans="20:20">
      <c r="T11022" t="str">
        <f t="shared" si="184"/>
        <v/>
      </c>
    </row>
    <row r="11023" spans="20:20">
      <c r="T11023" t="str">
        <f t="shared" si="184"/>
        <v/>
      </c>
    </row>
    <row r="11024" spans="20:20">
      <c r="T11024" t="str">
        <f t="shared" si="184"/>
        <v/>
      </c>
    </row>
    <row r="11025" spans="20:20">
      <c r="T11025" t="str">
        <f t="shared" si="184"/>
        <v/>
      </c>
    </row>
    <row r="11026" spans="20:20">
      <c r="T11026" t="str">
        <f t="shared" si="184"/>
        <v/>
      </c>
    </row>
    <row r="11027" spans="20:20">
      <c r="T11027" t="str">
        <f t="shared" si="184"/>
        <v/>
      </c>
    </row>
    <row r="11028" spans="20:20">
      <c r="T11028" t="str">
        <f t="shared" si="184"/>
        <v/>
      </c>
    </row>
    <row r="11029" spans="20:20">
      <c r="T11029" t="str">
        <f t="shared" si="184"/>
        <v/>
      </c>
    </row>
    <row r="11030" spans="20:20">
      <c r="T11030" t="str">
        <f t="shared" si="184"/>
        <v/>
      </c>
    </row>
    <row r="11031" spans="20:20">
      <c r="T11031" t="str">
        <f t="shared" si="184"/>
        <v/>
      </c>
    </row>
    <row r="11032" spans="20:20">
      <c r="T11032" t="str">
        <f t="shared" si="184"/>
        <v/>
      </c>
    </row>
    <row r="11033" spans="20:20">
      <c r="T11033" t="str">
        <f t="shared" si="184"/>
        <v/>
      </c>
    </row>
    <row r="11034" spans="20:20">
      <c r="T11034" t="str">
        <f t="shared" si="184"/>
        <v/>
      </c>
    </row>
    <row r="11035" spans="20:20">
      <c r="T11035" t="str">
        <f t="shared" si="184"/>
        <v/>
      </c>
    </row>
    <row r="11036" spans="20:20">
      <c r="T11036" t="str">
        <f t="shared" si="184"/>
        <v/>
      </c>
    </row>
    <row r="11037" spans="20:20">
      <c r="T11037" t="str">
        <f t="shared" si="184"/>
        <v/>
      </c>
    </row>
    <row r="11038" spans="20:20">
      <c r="T11038" t="str">
        <f t="shared" si="184"/>
        <v/>
      </c>
    </row>
    <row r="11039" spans="20:20">
      <c r="T11039" t="str">
        <f t="shared" si="184"/>
        <v/>
      </c>
    </row>
    <row r="11040" spans="20:20">
      <c r="T11040" t="str">
        <f t="shared" si="184"/>
        <v/>
      </c>
    </row>
    <row r="11041" spans="20:20">
      <c r="T11041" t="str">
        <f t="shared" si="184"/>
        <v/>
      </c>
    </row>
    <row r="11042" spans="20:20">
      <c r="T11042" t="str">
        <f t="shared" si="184"/>
        <v/>
      </c>
    </row>
    <row r="11043" spans="20:20">
      <c r="T11043" t="str">
        <f t="shared" si="184"/>
        <v/>
      </c>
    </row>
    <row r="11044" spans="20:20">
      <c r="T11044" t="str">
        <f t="shared" si="184"/>
        <v/>
      </c>
    </row>
    <row r="11045" spans="20:20">
      <c r="T11045" t="str">
        <f t="shared" si="184"/>
        <v/>
      </c>
    </row>
    <row r="11046" spans="20:20">
      <c r="T11046" t="str">
        <f t="shared" si="184"/>
        <v/>
      </c>
    </row>
    <row r="11047" spans="20:20">
      <c r="T11047" t="str">
        <f t="shared" si="184"/>
        <v/>
      </c>
    </row>
    <row r="11048" spans="20:20">
      <c r="T11048" t="str">
        <f t="shared" si="184"/>
        <v/>
      </c>
    </row>
    <row r="11049" spans="20:20">
      <c r="T11049" t="str">
        <f t="shared" si="184"/>
        <v/>
      </c>
    </row>
    <row r="11050" spans="20:20">
      <c r="T11050" t="str">
        <f t="shared" si="184"/>
        <v/>
      </c>
    </row>
    <row r="11051" spans="20:20">
      <c r="T11051" t="str">
        <f t="shared" si="184"/>
        <v/>
      </c>
    </row>
    <row r="11052" spans="20:20">
      <c r="T11052" t="str">
        <f t="shared" si="184"/>
        <v/>
      </c>
    </row>
    <row r="11053" spans="20:20">
      <c r="T11053" t="str">
        <f t="shared" si="184"/>
        <v/>
      </c>
    </row>
    <row r="11054" spans="20:20">
      <c r="T11054" t="str">
        <f t="shared" si="184"/>
        <v/>
      </c>
    </row>
    <row r="11055" spans="20:20">
      <c r="T11055" t="str">
        <f t="shared" si="184"/>
        <v/>
      </c>
    </row>
    <row r="11056" spans="20:20">
      <c r="T11056" t="str">
        <f t="shared" si="184"/>
        <v/>
      </c>
    </row>
    <row r="11057" spans="20:20">
      <c r="T11057" t="str">
        <f t="shared" si="184"/>
        <v/>
      </c>
    </row>
    <row r="11058" spans="20:20">
      <c r="T11058" t="str">
        <f t="shared" si="184"/>
        <v/>
      </c>
    </row>
    <row r="11059" spans="20:20">
      <c r="T11059" t="str">
        <f t="shared" si="184"/>
        <v/>
      </c>
    </row>
    <row r="11060" spans="20:20">
      <c r="T11060" t="str">
        <f t="shared" si="184"/>
        <v/>
      </c>
    </row>
    <row r="11061" spans="20:20">
      <c r="T11061" t="str">
        <f t="shared" si="184"/>
        <v/>
      </c>
    </row>
    <row r="11062" spans="20:20">
      <c r="T11062" t="str">
        <f t="shared" si="184"/>
        <v/>
      </c>
    </row>
    <row r="11063" spans="20:20">
      <c r="T11063" t="str">
        <f t="shared" si="184"/>
        <v/>
      </c>
    </row>
    <row r="11064" spans="20:20">
      <c r="T11064" t="str">
        <f t="shared" si="184"/>
        <v/>
      </c>
    </row>
    <row r="11065" spans="20:20">
      <c r="T11065" t="str">
        <f t="shared" si="184"/>
        <v/>
      </c>
    </row>
    <row r="11066" spans="20:20">
      <c r="T11066" t="str">
        <f t="shared" si="184"/>
        <v/>
      </c>
    </row>
    <row r="11067" spans="20:20">
      <c r="T11067" t="str">
        <f t="shared" si="184"/>
        <v/>
      </c>
    </row>
    <row r="11068" spans="20:20">
      <c r="T11068" t="str">
        <f t="shared" si="184"/>
        <v/>
      </c>
    </row>
    <row r="11069" spans="20:20">
      <c r="T11069" t="str">
        <f t="shared" si="184"/>
        <v/>
      </c>
    </row>
    <row r="11070" spans="20:20">
      <c r="T11070" t="str">
        <f t="shared" si="184"/>
        <v/>
      </c>
    </row>
    <row r="11071" spans="20:20">
      <c r="T11071" t="str">
        <f t="shared" si="184"/>
        <v/>
      </c>
    </row>
    <row r="11072" spans="20:20">
      <c r="T11072" t="str">
        <f t="shared" si="184"/>
        <v/>
      </c>
    </row>
    <row r="11073" spans="20:20">
      <c r="T11073" t="str">
        <f t="shared" si="184"/>
        <v/>
      </c>
    </row>
    <row r="11074" spans="20:20">
      <c r="T11074" t="str">
        <f t="shared" ref="T11074:T11137" si="185">IF(C11074="","",UPPER(LEFT(SUBSTITUTE(C11074," ",""),3))&amp;"-"&amp;TEXT(B11074,"AAMMDD")&amp;"-1")</f>
        <v/>
      </c>
    </row>
    <row r="11075" spans="20:20">
      <c r="T11075" t="str">
        <f t="shared" si="185"/>
        <v/>
      </c>
    </row>
    <row r="11076" spans="20:20">
      <c r="T11076" t="str">
        <f t="shared" si="185"/>
        <v/>
      </c>
    </row>
    <row r="11077" spans="20:20">
      <c r="T11077" t="str">
        <f t="shared" si="185"/>
        <v/>
      </c>
    </row>
    <row r="11078" spans="20:20">
      <c r="T11078" t="str">
        <f t="shared" si="185"/>
        <v/>
      </c>
    </row>
    <row r="11079" spans="20:20">
      <c r="T11079" t="str">
        <f t="shared" si="185"/>
        <v/>
      </c>
    </row>
    <row r="11080" spans="20:20">
      <c r="T11080" t="str">
        <f t="shared" si="185"/>
        <v/>
      </c>
    </row>
    <row r="11081" spans="20:20">
      <c r="T11081" t="str">
        <f t="shared" si="185"/>
        <v/>
      </c>
    </row>
    <row r="11082" spans="20:20">
      <c r="T11082" t="str">
        <f t="shared" si="185"/>
        <v/>
      </c>
    </row>
    <row r="11083" spans="20:20">
      <c r="T11083" t="str">
        <f t="shared" si="185"/>
        <v/>
      </c>
    </row>
    <row r="11084" spans="20:20">
      <c r="T11084" t="str">
        <f t="shared" si="185"/>
        <v/>
      </c>
    </row>
    <row r="11085" spans="20:20">
      <c r="T11085" t="str">
        <f t="shared" si="185"/>
        <v/>
      </c>
    </row>
    <row r="11086" spans="20:20">
      <c r="T11086" t="str">
        <f t="shared" si="185"/>
        <v/>
      </c>
    </row>
    <row r="11087" spans="20:20">
      <c r="T11087" t="str">
        <f t="shared" si="185"/>
        <v/>
      </c>
    </row>
    <row r="11088" spans="20:20">
      <c r="T11088" t="str">
        <f t="shared" si="185"/>
        <v/>
      </c>
    </row>
    <row r="11089" spans="20:20">
      <c r="T11089" t="str">
        <f t="shared" si="185"/>
        <v/>
      </c>
    </row>
    <row r="11090" spans="20:20">
      <c r="T11090" t="str">
        <f t="shared" si="185"/>
        <v/>
      </c>
    </row>
    <row r="11091" spans="20:20">
      <c r="T11091" t="str">
        <f t="shared" si="185"/>
        <v/>
      </c>
    </row>
    <row r="11092" spans="20:20">
      <c r="T11092" t="str">
        <f t="shared" si="185"/>
        <v/>
      </c>
    </row>
    <row r="11093" spans="20:20">
      <c r="T11093" t="str">
        <f t="shared" si="185"/>
        <v/>
      </c>
    </row>
    <row r="11094" spans="20:20">
      <c r="T11094" t="str">
        <f t="shared" si="185"/>
        <v/>
      </c>
    </row>
    <row r="11095" spans="20:20">
      <c r="T11095" t="str">
        <f t="shared" si="185"/>
        <v/>
      </c>
    </row>
    <row r="11096" spans="20:20">
      <c r="T11096" t="str">
        <f t="shared" si="185"/>
        <v/>
      </c>
    </row>
    <row r="11097" spans="20:20">
      <c r="T11097" t="str">
        <f t="shared" si="185"/>
        <v/>
      </c>
    </row>
    <row r="11098" spans="20:20">
      <c r="T11098" t="str">
        <f t="shared" si="185"/>
        <v/>
      </c>
    </row>
    <row r="11099" spans="20:20">
      <c r="T11099" t="str">
        <f t="shared" si="185"/>
        <v/>
      </c>
    </row>
    <row r="11100" spans="20:20">
      <c r="T11100" t="str">
        <f t="shared" si="185"/>
        <v/>
      </c>
    </row>
    <row r="11101" spans="20:20">
      <c r="T11101" t="str">
        <f t="shared" si="185"/>
        <v/>
      </c>
    </row>
    <row r="11102" spans="20:20">
      <c r="T11102" t="str">
        <f t="shared" si="185"/>
        <v/>
      </c>
    </row>
    <row r="11103" spans="20:20">
      <c r="T11103" t="str">
        <f t="shared" si="185"/>
        <v/>
      </c>
    </row>
    <row r="11104" spans="20:20">
      <c r="T11104" t="str">
        <f t="shared" si="185"/>
        <v/>
      </c>
    </row>
    <row r="11105" spans="20:20">
      <c r="T11105" t="str">
        <f t="shared" si="185"/>
        <v/>
      </c>
    </row>
    <row r="11106" spans="20:20">
      <c r="T11106" t="str">
        <f t="shared" si="185"/>
        <v/>
      </c>
    </row>
    <row r="11107" spans="20:20">
      <c r="T11107" t="str">
        <f t="shared" si="185"/>
        <v/>
      </c>
    </row>
    <row r="11108" spans="20:20">
      <c r="T11108" t="str">
        <f t="shared" si="185"/>
        <v/>
      </c>
    </row>
    <row r="11109" spans="20:20">
      <c r="T11109" t="str">
        <f t="shared" si="185"/>
        <v/>
      </c>
    </row>
    <row r="11110" spans="20:20">
      <c r="T11110" t="str">
        <f t="shared" si="185"/>
        <v/>
      </c>
    </row>
    <row r="11111" spans="20:20">
      <c r="T11111" t="str">
        <f t="shared" si="185"/>
        <v/>
      </c>
    </row>
    <row r="11112" spans="20:20">
      <c r="T11112" t="str">
        <f t="shared" si="185"/>
        <v/>
      </c>
    </row>
    <row r="11113" spans="20:20">
      <c r="T11113" t="str">
        <f t="shared" si="185"/>
        <v/>
      </c>
    </row>
    <row r="11114" spans="20:20">
      <c r="T11114" t="str">
        <f t="shared" si="185"/>
        <v/>
      </c>
    </row>
    <row r="11115" spans="20:20">
      <c r="T11115" t="str">
        <f t="shared" si="185"/>
        <v/>
      </c>
    </row>
    <row r="11116" spans="20:20">
      <c r="T11116" t="str">
        <f t="shared" si="185"/>
        <v/>
      </c>
    </row>
    <row r="11117" spans="20:20">
      <c r="T11117" t="str">
        <f t="shared" si="185"/>
        <v/>
      </c>
    </row>
    <row r="11118" spans="20:20">
      <c r="T11118" t="str">
        <f t="shared" si="185"/>
        <v/>
      </c>
    </row>
    <row r="11119" spans="20:20">
      <c r="T11119" t="str">
        <f t="shared" si="185"/>
        <v/>
      </c>
    </row>
    <row r="11120" spans="20:20">
      <c r="T11120" t="str">
        <f t="shared" si="185"/>
        <v/>
      </c>
    </row>
    <row r="11121" spans="20:20">
      <c r="T11121" t="str">
        <f t="shared" si="185"/>
        <v/>
      </c>
    </row>
    <row r="11122" spans="20:20">
      <c r="T11122" t="str">
        <f t="shared" si="185"/>
        <v/>
      </c>
    </row>
    <row r="11123" spans="20:20">
      <c r="T11123" t="str">
        <f t="shared" si="185"/>
        <v/>
      </c>
    </row>
    <row r="11124" spans="20:20">
      <c r="T11124" t="str">
        <f t="shared" si="185"/>
        <v/>
      </c>
    </row>
    <row r="11125" spans="20:20">
      <c r="T11125" t="str">
        <f t="shared" si="185"/>
        <v/>
      </c>
    </row>
    <row r="11126" spans="20:20">
      <c r="T11126" t="str">
        <f t="shared" si="185"/>
        <v/>
      </c>
    </row>
    <row r="11127" spans="20:20">
      <c r="T11127" t="str">
        <f t="shared" si="185"/>
        <v/>
      </c>
    </row>
    <row r="11128" spans="20:20">
      <c r="T11128" t="str">
        <f t="shared" si="185"/>
        <v/>
      </c>
    </row>
    <row r="11129" spans="20:20">
      <c r="T11129" t="str">
        <f t="shared" si="185"/>
        <v/>
      </c>
    </row>
    <row r="11130" spans="20:20">
      <c r="T11130" t="str">
        <f t="shared" si="185"/>
        <v/>
      </c>
    </row>
    <row r="11131" spans="20:20">
      <c r="T11131" t="str">
        <f t="shared" si="185"/>
        <v/>
      </c>
    </row>
    <row r="11132" spans="20:20">
      <c r="T11132" t="str">
        <f t="shared" si="185"/>
        <v/>
      </c>
    </row>
    <row r="11133" spans="20:20">
      <c r="T11133" t="str">
        <f t="shared" si="185"/>
        <v/>
      </c>
    </row>
    <row r="11134" spans="20:20">
      <c r="T11134" t="str">
        <f t="shared" si="185"/>
        <v/>
      </c>
    </row>
    <row r="11135" spans="20:20">
      <c r="T11135" t="str">
        <f t="shared" si="185"/>
        <v/>
      </c>
    </row>
    <row r="11136" spans="20:20">
      <c r="T11136" t="str">
        <f t="shared" si="185"/>
        <v/>
      </c>
    </row>
    <row r="11137" spans="20:20">
      <c r="T11137" t="str">
        <f t="shared" si="185"/>
        <v/>
      </c>
    </row>
    <row r="11138" spans="20:20">
      <c r="T11138" t="str">
        <f t="shared" ref="T11138:T11201" si="186">IF(C11138="","",UPPER(LEFT(SUBSTITUTE(C11138," ",""),3))&amp;"-"&amp;TEXT(B11138,"AAMMDD")&amp;"-1")</f>
        <v/>
      </c>
    </row>
    <row r="11139" spans="20:20">
      <c r="T11139" t="str">
        <f t="shared" si="186"/>
        <v/>
      </c>
    </row>
    <row r="11140" spans="20:20">
      <c r="T11140" t="str">
        <f t="shared" si="186"/>
        <v/>
      </c>
    </row>
    <row r="11141" spans="20:20">
      <c r="T11141" t="str">
        <f t="shared" si="186"/>
        <v/>
      </c>
    </row>
    <row r="11142" spans="20:20">
      <c r="T11142" t="str">
        <f t="shared" si="186"/>
        <v/>
      </c>
    </row>
    <row r="11143" spans="20:20">
      <c r="T11143" t="str">
        <f t="shared" si="186"/>
        <v/>
      </c>
    </row>
    <row r="11144" spans="20:20">
      <c r="T11144" t="str">
        <f t="shared" si="186"/>
        <v/>
      </c>
    </row>
    <row r="11145" spans="20:20">
      <c r="T11145" t="str">
        <f t="shared" si="186"/>
        <v/>
      </c>
    </row>
    <row r="11146" spans="20:20">
      <c r="T11146" t="str">
        <f t="shared" si="186"/>
        <v/>
      </c>
    </row>
    <row r="11147" spans="20:20">
      <c r="T11147" t="str">
        <f t="shared" si="186"/>
        <v/>
      </c>
    </row>
    <row r="11148" spans="20:20">
      <c r="T11148" t="str">
        <f t="shared" si="186"/>
        <v/>
      </c>
    </row>
    <row r="11149" spans="20:20">
      <c r="T11149" t="str">
        <f t="shared" si="186"/>
        <v/>
      </c>
    </row>
    <row r="11150" spans="20:20">
      <c r="T11150" t="str">
        <f t="shared" si="186"/>
        <v/>
      </c>
    </row>
    <row r="11151" spans="20:20">
      <c r="T11151" t="str">
        <f t="shared" si="186"/>
        <v/>
      </c>
    </row>
    <row r="11152" spans="20:20">
      <c r="T11152" t="str">
        <f t="shared" si="186"/>
        <v/>
      </c>
    </row>
    <row r="11153" spans="20:20">
      <c r="T11153" t="str">
        <f t="shared" si="186"/>
        <v/>
      </c>
    </row>
    <row r="11154" spans="20:20">
      <c r="T11154" t="str">
        <f t="shared" si="186"/>
        <v/>
      </c>
    </row>
    <row r="11155" spans="20:20">
      <c r="T11155" t="str">
        <f t="shared" si="186"/>
        <v/>
      </c>
    </row>
    <row r="11156" spans="20:20">
      <c r="T11156" t="str">
        <f t="shared" si="186"/>
        <v/>
      </c>
    </row>
    <row r="11157" spans="20:20">
      <c r="T11157" t="str">
        <f t="shared" si="186"/>
        <v/>
      </c>
    </row>
    <row r="11158" spans="20:20">
      <c r="T11158" t="str">
        <f t="shared" si="186"/>
        <v/>
      </c>
    </row>
    <row r="11159" spans="20:20">
      <c r="T11159" t="str">
        <f t="shared" si="186"/>
        <v/>
      </c>
    </row>
    <row r="11160" spans="20:20">
      <c r="T11160" t="str">
        <f t="shared" si="186"/>
        <v/>
      </c>
    </row>
    <row r="11161" spans="20:20">
      <c r="T11161" t="str">
        <f t="shared" si="186"/>
        <v/>
      </c>
    </row>
    <row r="11162" spans="20:20">
      <c r="T11162" t="str">
        <f t="shared" si="186"/>
        <v/>
      </c>
    </row>
    <row r="11163" spans="20:20">
      <c r="T11163" t="str">
        <f t="shared" si="186"/>
        <v/>
      </c>
    </row>
    <row r="11164" spans="20:20">
      <c r="T11164" t="str">
        <f t="shared" si="186"/>
        <v/>
      </c>
    </row>
    <row r="11165" spans="20:20">
      <c r="T11165" t="str">
        <f t="shared" si="186"/>
        <v/>
      </c>
    </row>
    <row r="11166" spans="20:20">
      <c r="T11166" t="str">
        <f t="shared" si="186"/>
        <v/>
      </c>
    </row>
    <row r="11167" spans="20:20">
      <c r="T11167" t="str">
        <f t="shared" si="186"/>
        <v/>
      </c>
    </row>
    <row r="11168" spans="20:20">
      <c r="T11168" t="str">
        <f t="shared" si="186"/>
        <v/>
      </c>
    </row>
    <row r="11169" spans="20:20">
      <c r="T11169" t="str">
        <f t="shared" si="186"/>
        <v/>
      </c>
    </row>
    <row r="11170" spans="20:20">
      <c r="T11170" t="str">
        <f t="shared" si="186"/>
        <v/>
      </c>
    </row>
    <row r="11171" spans="20:20">
      <c r="T11171" t="str">
        <f t="shared" si="186"/>
        <v/>
      </c>
    </row>
    <row r="11172" spans="20:20">
      <c r="T11172" t="str">
        <f t="shared" si="186"/>
        <v/>
      </c>
    </row>
    <row r="11173" spans="20:20">
      <c r="T11173" t="str">
        <f t="shared" si="186"/>
        <v/>
      </c>
    </row>
    <row r="11174" spans="20:20">
      <c r="T11174" t="str">
        <f t="shared" si="186"/>
        <v/>
      </c>
    </row>
    <row r="11175" spans="20:20">
      <c r="T11175" t="str">
        <f t="shared" si="186"/>
        <v/>
      </c>
    </row>
    <row r="11176" spans="20:20">
      <c r="T11176" t="str">
        <f t="shared" si="186"/>
        <v/>
      </c>
    </row>
    <row r="11177" spans="20:20">
      <c r="T11177" t="str">
        <f t="shared" si="186"/>
        <v/>
      </c>
    </row>
    <row r="11178" spans="20:20">
      <c r="T11178" t="str">
        <f t="shared" si="186"/>
        <v/>
      </c>
    </row>
    <row r="11179" spans="20:20">
      <c r="T11179" t="str">
        <f t="shared" si="186"/>
        <v/>
      </c>
    </row>
    <row r="11180" spans="20:20">
      <c r="T11180" t="str">
        <f t="shared" si="186"/>
        <v/>
      </c>
    </row>
    <row r="11181" spans="20:20">
      <c r="T11181" t="str">
        <f t="shared" si="186"/>
        <v/>
      </c>
    </row>
    <row r="11182" spans="20:20">
      <c r="T11182" t="str">
        <f t="shared" si="186"/>
        <v/>
      </c>
    </row>
    <row r="11183" spans="20:20">
      <c r="T11183" t="str">
        <f t="shared" si="186"/>
        <v/>
      </c>
    </row>
    <row r="11184" spans="20:20">
      <c r="T11184" t="str">
        <f t="shared" si="186"/>
        <v/>
      </c>
    </row>
    <row r="11185" spans="20:20">
      <c r="T11185" t="str">
        <f t="shared" si="186"/>
        <v/>
      </c>
    </row>
    <row r="11186" spans="20:20">
      <c r="T11186" t="str">
        <f t="shared" si="186"/>
        <v/>
      </c>
    </row>
    <row r="11187" spans="20:20">
      <c r="T11187" t="str">
        <f t="shared" si="186"/>
        <v/>
      </c>
    </row>
    <row r="11188" spans="20:20">
      <c r="T11188" t="str">
        <f t="shared" si="186"/>
        <v/>
      </c>
    </row>
    <row r="11189" spans="20:20">
      <c r="T11189" t="str">
        <f t="shared" si="186"/>
        <v/>
      </c>
    </row>
    <row r="11190" spans="20:20">
      <c r="T11190" t="str">
        <f t="shared" si="186"/>
        <v/>
      </c>
    </row>
    <row r="11191" spans="20:20">
      <c r="T11191" t="str">
        <f t="shared" si="186"/>
        <v/>
      </c>
    </row>
    <row r="11192" spans="20:20">
      <c r="T11192" t="str">
        <f t="shared" si="186"/>
        <v/>
      </c>
    </row>
    <row r="11193" spans="20:20">
      <c r="T11193" t="str">
        <f t="shared" si="186"/>
        <v/>
      </c>
    </row>
    <row r="11194" spans="20:20">
      <c r="T11194" t="str">
        <f t="shared" si="186"/>
        <v/>
      </c>
    </row>
    <row r="11195" spans="20:20">
      <c r="T11195" t="str">
        <f t="shared" si="186"/>
        <v/>
      </c>
    </row>
    <row r="11196" spans="20:20">
      <c r="T11196" t="str">
        <f t="shared" si="186"/>
        <v/>
      </c>
    </row>
    <row r="11197" spans="20:20">
      <c r="T11197" t="str">
        <f t="shared" si="186"/>
        <v/>
      </c>
    </row>
    <row r="11198" spans="20:20">
      <c r="T11198" t="str">
        <f t="shared" si="186"/>
        <v/>
      </c>
    </row>
    <row r="11199" spans="20:20">
      <c r="T11199" t="str">
        <f t="shared" si="186"/>
        <v/>
      </c>
    </row>
    <row r="11200" spans="20:20">
      <c r="T11200" t="str">
        <f t="shared" si="186"/>
        <v/>
      </c>
    </row>
    <row r="11201" spans="20:20">
      <c r="T11201" t="str">
        <f t="shared" si="186"/>
        <v/>
      </c>
    </row>
    <row r="11202" spans="20:20">
      <c r="T11202" t="str">
        <f t="shared" ref="T11202:T11265" si="187">IF(C11202="","",UPPER(LEFT(SUBSTITUTE(C11202," ",""),3))&amp;"-"&amp;TEXT(B11202,"AAMMDD")&amp;"-1")</f>
        <v/>
      </c>
    </row>
    <row r="11203" spans="20:20">
      <c r="T11203" t="str">
        <f t="shared" si="187"/>
        <v/>
      </c>
    </row>
    <row r="11204" spans="20:20">
      <c r="T11204" t="str">
        <f t="shared" si="187"/>
        <v/>
      </c>
    </row>
    <row r="11205" spans="20:20">
      <c r="T11205" t="str">
        <f t="shared" si="187"/>
        <v/>
      </c>
    </row>
    <row r="11206" spans="20:20">
      <c r="T11206" t="str">
        <f t="shared" si="187"/>
        <v/>
      </c>
    </row>
    <row r="11207" spans="20:20">
      <c r="T11207" t="str">
        <f t="shared" si="187"/>
        <v/>
      </c>
    </row>
    <row r="11208" spans="20:20">
      <c r="T11208" t="str">
        <f t="shared" si="187"/>
        <v/>
      </c>
    </row>
    <row r="11209" spans="20:20">
      <c r="T11209" t="str">
        <f t="shared" si="187"/>
        <v/>
      </c>
    </row>
    <row r="11210" spans="20:20">
      <c r="T11210" t="str">
        <f t="shared" si="187"/>
        <v/>
      </c>
    </row>
    <row r="11211" spans="20:20">
      <c r="T11211" t="str">
        <f t="shared" si="187"/>
        <v/>
      </c>
    </row>
    <row r="11212" spans="20:20">
      <c r="T11212" t="str">
        <f t="shared" si="187"/>
        <v/>
      </c>
    </row>
    <row r="11213" spans="20:20">
      <c r="T11213" t="str">
        <f t="shared" si="187"/>
        <v/>
      </c>
    </row>
    <row r="11214" spans="20:20">
      <c r="T11214" t="str">
        <f t="shared" si="187"/>
        <v/>
      </c>
    </row>
    <row r="11215" spans="20:20">
      <c r="T11215" t="str">
        <f t="shared" si="187"/>
        <v/>
      </c>
    </row>
    <row r="11216" spans="20:20">
      <c r="T11216" t="str">
        <f t="shared" si="187"/>
        <v/>
      </c>
    </row>
    <row r="11217" spans="20:20">
      <c r="T11217" t="str">
        <f t="shared" si="187"/>
        <v/>
      </c>
    </row>
    <row r="11218" spans="20:20">
      <c r="T11218" t="str">
        <f t="shared" si="187"/>
        <v/>
      </c>
    </row>
    <row r="11219" spans="20:20">
      <c r="T11219" t="str">
        <f t="shared" si="187"/>
        <v/>
      </c>
    </row>
    <row r="11220" spans="20:20">
      <c r="T11220" t="str">
        <f t="shared" si="187"/>
        <v/>
      </c>
    </row>
    <row r="11221" spans="20:20">
      <c r="T11221" t="str">
        <f t="shared" si="187"/>
        <v/>
      </c>
    </row>
    <row r="11222" spans="20:20">
      <c r="T11222" t="str">
        <f t="shared" si="187"/>
        <v/>
      </c>
    </row>
    <row r="11223" spans="20:20">
      <c r="T11223" t="str">
        <f t="shared" si="187"/>
        <v/>
      </c>
    </row>
    <row r="11224" spans="20:20">
      <c r="T11224" t="str">
        <f t="shared" si="187"/>
        <v/>
      </c>
    </row>
    <row r="11225" spans="20:20">
      <c r="T11225" t="str">
        <f t="shared" si="187"/>
        <v/>
      </c>
    </row>
    <row r="11226" spans="20:20">
      <c r="T11226" t="str">
        <f t="shared" si="187"/>
        <v/>
      </c>
    </row>
    <row r="11227" spans="20:20">
      <c r="T11227" t="str">
        <f t="shared" si="187"/>
        <v/>
      </c>
    </row>
    <row r="11228" spans="20:20">
      <c r="T11228" t="str">
        <f t="shared" si="187"/>
        <v/>
      </c>
    </row>
    <row r="11229" spans="20:20">
      <c r="T11229" t="str">
        <f t="shared" si="187"/>
        <v/>
      </c>
    </row>
    <row r="11230" spans="20:20">
      <c r="T11230" t="str">
        <f t="shared" si="187"/>
        <v/>
      </c>
    </row>
    <row r="11231" spans="20:20">
      <c r="T11231" t="str">
        <f t="shared" si="187"/>
        <v/>
      </c>
    </row>
    <row r="11232" spans="20:20">
      <c r="T11232" t="str">
        <f t="shared" si="187"/>
        <v/>
      </c>
    </row>
    <row r="11233" spans="20:20">
      <c r="T11233" t="str">
        <f t="shared" si="187"/>
        <v/>
      </c>
    </row>
    <row r="11234" spans="20:20">
      <c r="T11234" t="str">
        <f t="shared" si="187"/>
        <v/>
      </c>
    </row>
    <row r="11235" spans="20:20">
      <c r="T11235" t="str">
        <f t="shared" si="187"/>
        <v/>
      </c>
    </row>
    <row r="11236" spans="20:20">
      <c r="T11236" t="str">
        <f t="shared" si="187"/>
        <v/>
      </c>
    </row>
    <row r="11237" spans="20:20">
      <c r="T11237" t="str">
        <f t="shared" si="187"/>
        <v/>
      </c>
    </row>
    <row r="11238" spans="20:20">
      <c r="T11238" t="str">
        <f t="shared" si="187"/>
        <v/>
      </c>
    </row>
    <row r="11239" spans="20:20">
      <c r="T11239" t="str">
        <f t="shared" si="187"/>
        <v/>
      </c>
    </row>
    <row r="11240" spans="20:20">
      <c r="T11240" t="str">
        <f t="shared" si="187"/>
        <v/>
      </c>
    </row>
    <row r="11241" spans="20:20">
      <c r="T11241" t="str">
        <f t="shared" si="187"/>
        <v/>
      </c>
    </row>
    <row r="11242" spans="20:20">
      <c r="T11242" t="str">
        <f t="shared" si="187"/>
        <v/>
      </c>
    </row>
    <row r="11243" spans="20:20">
      <c r="T11243" t="str">
        <f t="shared" si="187"/>
        <v/>
      </c>
    </row>
    <row r="11244" spans="20:20">
      <c r="T11244" t="str">
        <f t="shared" si="187"/>
        <v/>
      </c>
    </row>
    <row r="11245" spans="20:20">
      <c r="T11245" t="str">
        <f t="shared" si="187"/>
        <v/>
      </c>
    </row>
    <row r="11246" spans="20:20">
      <c r="T11246" t="str">
        <f t="shared" si="187"/>
        <v/>
      </c>
    </row>
    <row r="11247" spans="20:20">
      <c r="T11247" t="str">
        <f t="shared" si="187"/>
        <v/>
      </c>
    </row>
    <row r="11248" spans="20:20">
      <c r="T11248" t="str">
        <f t="shared" si="187"/>
        <v/>
      </c>
    </row>
    <row r="11249" spans="20:20">
      <c r="T11249" t="str">
        <f t="shared" si="187"/>
        <v/>
      </c>
    </row>
    <row r="11250" spans="20:20">
      <c r="T11250" t="str">
        <f t="shared" si="187"/>
        <v/>
      </c>
    </row>
    <row r="11251" spans="20:20">
      <c r="T11251" t="str">
        <f t="shared" si="187"/>
        <v/>
      </c>
    </row>
    <row r="11252" spans="20:20">
      <c r="T11252" t="str">
        <f t="shared" si="187"/>
        <v/>
      </c>
    </row>
    <row r="11253" spans="20:20">
      <c r="T11253" t="str">
        <f t="shared" si="187"/>
        <v/>
      </c>
    </row>
    <row r="11254" spans="20:20">
      <c r="T11254" t="str">
        <f t="shared" si="187"/>
        <v/>
      </c>
    </row>
    <row r="11255" spans="20:20">
      <c r="T11255" t="str">
        <f t="shared" si="187"/>
        <v/>
      </c>
    </row>
    <row r="11256" spans="20:20">
      <c r="T11256" t="str">
        <f t="shared" si="187"/>
        <v/>
      </c>
    </row>
    <row r="11257" spans="20:20">
      <c r="T11257" t="str">
        <f t="shared" si="187"/>
        <v/>
      </c>
    </row>
    <row r="11258" spans="20:20">
      <c r="T11258" t="str">
        <f t="shared" si="187"/>
        <v/>
      </c>
    </row>
    <row r="11259" spans="20:20">
      <c r="T11259" t="str">
        <f t="shared" si="187"/>
        <v/>
      </c>
    </row>
    <row r="11260" spans="20:20">
      <c r="T11260" t="str">
        <f t="shared" si="187"/>
        <v/>
      </c>
    </row>
    <row r="11261" spans="20:20">
      <c r="T11261" t="str">
        <f t="shared" si="187"/>
        <v/>
      </c>
    </row>
    <row r="11262" spans="20:20">
      <c r="T11262" t="str">
        <f t="shared" si="187"/>
        <v/>
      </c>
    </row>
    <row r="11263" spans="20:20">
      <c r="T11263" t="str">
        <f t="shared" si="187"/>
        <v/>
      </c>
    </row>
    <row r="11264" spans="20:20">
      <c r="T11264" t="str">
        <f t="shared" si="187"/>
        <v/>
      </c>
    </row>
    <row r="11265" spans="20:20">
      <c r="T11265" t="str">
        <f t="shared" si="187"/>
        <v/>
      </c>
    </row>
    <row r="11266" spans="20:20">
      <c r="T11266" t="str">
        <f t="shared" ref="T11266:T11329" si="188">IF(C11266="","",UPPER(LEFT(SUBSTITUTE(C11266," ",""),3))&amp;"-"&amp;TEXT(B11266,"AAMMDD")&amp;"-1")</f>
        <v/>
      </c>
    </row>
    <row r="11267" spans="20:20">
      <c r="T11267" t="str">
        <f t="shared" si="188"/>
        <v/>
      </c>
    </row>
    <row r="11268" spans="20:20">
      <c r="T11268" t="str">
        <f t="shared" si="188"/>
        <v/>
      </c>
    </row>
    <row r="11269" spans="20:20">
      <c r="T11269" t="str">
        <f t="shared" si="188"/>
        <v/>
      </c>
    </row>
    <row r="11270" spans="20:20">
      <c r="T11270" t="str">
        <f t="shared" si="188"/>
        <v/>
      </c>
    </row>
    <row r="11271" spans="20:20">
      <c r="T11271" t="str">
        <f t="shared" si="188"/>
        <v/>
      </c>
    </row>
    <row r="11272" spans="20:20">
      <c r="T11272" t="str">
        <f t="shared" si="188"/>
        <v/>
      </c>
    </row>
    <row r="11273" spans="20:20">
      <c r="T11273" t="str">
        <f t="shared" si="188"/>
        <v/>
      </c>
    </row>
    <row r="11274" spans="20:20">
      <c r="T11274" t="str">
        <f t="shared" si="188"/>
        <v/>
      </c>
    </row>
    <row r="11275" spans="20:20">
      <c r="T11275" t="str">
        <f t="shared" si="188"/>
        <v/>
      </c>
    </row>
    <row r="11276" spans="20:20">
      <c r="T11276" t="str">
        <f t="shared" si="188"/>
        <v/>
      </c>
    </row>
    <row r="11277" spans="20:20">
      <c r="T11277" t="str">
        <f t="shared" si="188"/>
        <v/>
      </c>
    </row>
    <row r="11278" spans="20:20">
      <c r="T11278" t="str">
        <f t="shared" si="188"/>
        <v/>
      </c>
    </row>
    <row r="11279" spans="20:20">
      <c r="T11279" t="str">
        <f t="shared" si="188"/>
        <v/>
      </c>
    </row>
    <row r="11280" spans="20:20">
      <c r="T11280" t="str">
        <f t="shared" si="188"/>
        <v/>
      </c>
    </row>
    <row r="11281" spans="20:20">
      <c r="T11281" t="str">
        <f t="shared" si="188"/>
        <v/>
      </c>
    </row>
    <row r="11282" spans="20:20">
      <c r="T11282" t="str">
        <f t="shared" si="188"/>
        <v/>
      </c>
    </row>
    <row r="11283" spans="20:20">
      <c r="T11283" t="str">
        <f t="shared" si="188"/>
        <v/>
      </c>
    </row>
    <row r="11284" spans="20:20">
      <c r="T11284" t="str">
        <f t="shared" si="188"/>
        <v/>
      </c>
    </row>
    <row r="11285" spans="20:20">
      <c r="T11285" t="str">
        <f t="shared" si="188"/>
        <v/>
      </c>
    </row>
    <row r="11286" spans="20:20">
      <c r="T11286" t="str">
        <f t="shared" si="188"/>
        <v/>
      </c>
    </row>
    <row r="11287" spans="20:20">
      <c r="T11287" t="str">
        <f t="shared" si="188"/>
        <v/>
      </c>
    </row>
    <row r="11288" spans="20:20">
      <c r="T11288" t="str">
        <f t="shared" si="188"/>
        <v/>
      </c>
    </row>
    <row r="11289" spans="20:20">
      <c r="T11289" t="str">
        <f t="shared" si="188"/>
        <v/>
      </c>
    </row>
    <row r="11290" spans="20:20">
      <c r="T11290" t="str">
        <f t="shared" si="188"/>
        <v/>
      </c>
    </row>
    <row r="11291" spans="20:20">
      <c r="T11291" t="str">
        <f t="shared" si="188"/>
        <v/>
      </c>
    </row>
    <row r="11292" spans="20:20">
      <c r="T11292" t="str">
        <f t="shared" si="188"/>
        <v/>
      </c>
    </row>
    <row r="11293" spans="20:20">
      <c r="T11293" t="str">
        <f t="shared" si="188"/>
        <v/>
      </c>
    </row>
    <row r="11294" spans="20:20">
      <c r="T11294" t="str">
        <f t="shared" si="188"/>
        <v/>
      </c>
    </row>
    <row r="11295" spans="20:20">
      <c r="T11295" t="str">
        <f t="shared" si="188"/>
        <v/>
      </c>
    </row>
    <row r="11296" spans="20:20">
      <c r="T11296" t="str">
        <f t="shared" si="188"/>
        <v/>
      </c>
    </row>
    <row r="11297" spans="20:20">
      <c r="T11297" t="str">
        <f t="shared" si="188"/>
        <v/>
      </c>
    </row>
    <row r="11298" spans="20:20">
      <c r="T11298" t="str">
        <f t="shared" si="188"/>
        <v/>
      </c>
    </row>
    <row r="11299" spans="20:20">
      <c r="T11299" t="str">
        <f t="shared" si="188"/>
        <v/>
      </c>
    </row>
    <row r="11300" spans="20:20">
      <c r="T11300" t="str">
        <f t="shared" si="188"/>
        <v/>
      </c>
    </row>
    <row r="11301" spans="20:20">
      <c r="T11301" t="str">
        <f t="shared" si="188"/>
        <v/>
      </c>
    </row>
    <row r="11302" spans="20:20">
      <c r="T11302" t="str">
        <f t="shared" si="188"/>
        <v/>
      </c>
    </row>
    <row r="11303" spans="20:20">
      <c r="T11303" t="str">
        <f t="shared" si="188"/>
        <v/>
      </c>
    </row>
    <row r="11304" spans="20:20">
      <c r="T11304" t="str">
        <f t="shared" si="188"/>
        <v/>
      </c>
    </row>
    <row r="11305" spans="20:20">
      <c r="T11305" t="str">
        <f t="shared" si="188"/>
        <v/>
      </c>
    </row>
    <row r="11306" spans="20:20">
      <c r="T11306" t="str">
        <f t="shared" si="188"/>
        <v/>
      </c>
    </row>
    <row r="11307" spans="20:20">
      <c r="T11307" t="str">
        <f t="shared" si="188"/>
        <v/>
      </c>
    </row>
    <row r="11308" spans="20:20">
      <c r="T11308" t="str">
        <f t="shared" si="188"/>
        <v/>
      </c>
    </row>
    <row r="11309" spans="20:20">
      <c r="T11309" t="str">
        <f t="shared" si="188"/>
        <v/>
      </c>
    </row>
    <row r="11310" spans="20:20">
      <c r="T11310" t="str">
        <f t="shared" si="188"/>
        <v/>
      </c>
    </row>
    <row r="11311" spans="20:20">
      <c r="T11311" t="str">
        <f t="shared" si="188"/>
        <v/>
      </c>
    </row>
    <row r="11312" spans="20:20">
      <c r="T11312" t="str">
        <f t="shared" si="188"/>
        <v/>
      </c>
    </row>
    <row r="11313" spans="20:20">
      <c r="T11313" t="str">
        <f t="shared" si="188"/>
        <v/>
      </c>
    </row>
    <row r="11314" spans="20:20">
      <c r="T11314" t="str">
        <f t="shared" si="188"/>
        <v/>
      </c>
    </row>
    <row r="11315" spans="20:20">
      <c r="T11315" t="str">
        <f t="shared" si="188"/>
        <v/>
      </c>
    </row>
    <row r="11316" spans="20:20">
      <c r="T11316" t="str">
        <f t="shared" si="188"/>
        <v/>
      </c>
    </row>
    <row r="11317" spans="20:20">
      <c r="T11317" t="str">
        <f t="shared" si="188"/>
        <v/>
      </c>
    </row>
    <row r="11318" spans="20:20">
      <c r="T11318" t="str">
        <f t="shared" si="188"/>
        <v/>
      </c>
    </row>
    <row r="11319" spans="20:20">
      <c r="T11319" t="str">
        <f t="shared" si="188"/>
        <v/>
      </c>
    </row>
    <row r="11320" spans="20:20">
      <c r="T11320" t="str">
        <f t="shared" si="188"/>
        <v/>
      </c>
    </row>
    <row r="11321" spans="20:20">
      <c r="T11321" t="str">
        <f t="shared" si="188"/>
        <v/>
      </c>
    </row>
    <row r="11322" spans="20:20">
      <c r="T11322" t="str">
        <f t="shared" si="188"/>
        <v/>
      </c>
    </row>
    <row r="11323" spans="20:20">
      <c r="T11323" t="str">
        <f t="shared" si="188"/>
        <v/>
      </c>
    </row>
    <row r="11324" spans="20:20">
      <c r="T11324" t="str">
        <f t="shared" si="188"/>
        <v/>
      </c>
    </row>
    <row r="11325" spans="20:20">
      <c r="T11325" t="str">
        <f t="shared" si="188"/>
        <v/>
      </c>
    </row>
    <row r="11326" spans="20:20">
      <c r="T11326" t="str">
        <f t="shared" si="188"/>
        <v/>
      </c>
    </row>
    <row r="11327" spans="20:20">
      <c r="T11327" t="str">
        <f t="shared" si="188"/>
        <v/>
      </c>
    </row>
    <row r="11328" spans="20:20">
      <c r="T11328" t="str">
        <f t="shared" si="188"/>
        <v/>
      </c>
    </row>
    <row r="11329" spans="20:20">
      <c r="T11329" t="str">
        <f t="shared" si="188"/>
        <v/>
      </c>
    </row>
    <row r="11330" spans="20:20">
      <c r="T11330" t="str">
        <f t="shared" ref="T11330:T11393" si="189">IF(C11330="","",UPPER(LEFT(SUBSTITUTE(C11330," ",""),3))&amp;"-"&amp;TEXT(B11330,"AAMMDD")&amp;"-1")</f>
        <v/>
      </c>
    </row>
    <row r="11331" spans="20:20">
      <c r="T11331" t="str">
        <f t="shared" si="189"/>
        <v/>
      </c>
    </row>
    <row r="11332" spans="20:20">
      <c r="T11332" t="str">
        <f t="shared" si="189"/>
        <v/>
      </c>
    </row>
    <row r="11333" spans="20:20">
      <c r="T11333" t="str">
        <f t="shared" si="189"/>
        <v/>
      </c>
    </row>
    <row r="11334" spans="20:20">
      <c r="T11334" t="str">
        <f t="shared" si="189"/>
        <v/>
      </c>
    </row>
    <row r="11335" spans="20:20">
      <c r="T11335" t="str">
        <f t="shared" si="189"/>
        <v/>
      </c>
    </row>
    <row r="11336" spans="20:20">
      <c r="T11336" t="str">
        <f t="shared" si="189"/>
        <v/>
      </c>
    </row>
    <row r="11337" spans="20:20">
      <c r="T11337" t="str">
        <f t="shared" si="189"/>
        <v/>
      </c>
    </row>
    <row r="11338" spans="20:20">
      <c r="T11338" t="str">
        <f t="shared" si="189"/>
        <v/>
      </c>
    </row>
    <row r="11339" spans="20:20">
      <c r="T11339" t="str">
        <f t="shared" si="189"/>
        <v/>
      </c>
    </row>
    <row r="11340" spans="20:20">
      <c r="T11340" t="str">
        <f t="shared" si="189"/>
        <v/>
      </c>
    </row>
    <row r="11341" spans="20:20">
      <c r="T11341" t="str">
        <f t="shared" si="189"/>
        <v/>
      </c>
    </row>
    <row r="11342" spans="20:20">
      <c r="T11342" t="str">
        <f t="shared" si="189"/>
        <v/>
      </c>
    </row>
    <row r="11343" spans="20:20">
      <c r="T11343" t="str">
        <f t="shared" si="189"/>
        <v/>
      </c>
    </row>
    <row r="11344" spans="20:20">
      <c r="T11344" t="str">
        <f t="shared" si="189"/>
        <v/>
      </c>
    </row>
    <row r="11345" spans="20:20">
      <c r="T11345" t="str">
        <f t="shared" si="189"/>
        <v/>
      </c>
    </row>
    <row r="11346" spans="20:20">
      <c r="T11346" t="str">
        <f t="shared" si="189"/>
        <v/>
      </c>
    </row>
    <row r="11347" spans="20:20">
      <c r="T11347" t="str">
        <f t="shared" si="189"/>
        <v/>
      </c>
    </row>
    <row r="11348" spans="20:20">
      <c r="T11348" t="str">
        <f t="shared" si="189"/>
        <v/>
      </c>
    </row>
    <row r="11349" spans="20:20">
      <c r="T11349" t="str">
        <f t="shared" si="189"/>
        <v/>
      </c>
    </row>
    <row r="11350" spans="20:20">
      <c r="T11350" t="str">
        <f t="shared" si="189"/>
        <v/>
      </c>
    </row>
    <row r="11351" spans="20:20">
      <c r="T11351" t="str">
        <f t="shared" si="189"/>
        <v/>
      </c>
    </row>
    <row r="11352" spans="20:20">
      <c r="T11352" t="str">
        <f t="shared" si="189"/>
        <v/>
      </c>
    </row>
    <row r="11353" spans="20:20">
      <c r="T11353" t="str">
        <f t="shared" si="189"/>
        <v/>
      </c>
    </row>
    <row r="11354" spans="20:20">
      <c r="T11354" t="str">
        <f t="shared" si="189"/>
        <v/>
      </c>
    </row>
    <row r="11355" spans="20:20">
      <c r="T11355" t="str">
        <f t="shared" si="189"/>
        <v/>
      </c>
    </row>
    <row r="11356" spans="20:20">
      <c r="T11356" t="str">
        <f t="shared" si="189"/>
        <v/>
      </c>
    </row>
    <row r="11357" spans="20:20">
      <c r="T11357" t="str">
        <f t="shared" si="189"/>
        <v/>
      </c>
    </row>
    <row r="11358" spans="20:20">
      <c r="T11358" t="str">
        <f t="shared" si="189"/>
        <v/>
      </c>
    </row>
    <row r="11359" spans="20:20">
      <c r="T11359" t="str">
        <f t="shared" si="189"/>
        <v/>
      </c>
    </row>
    <row r="11360" spans="20:20">
      <c r="T11360" t="str">
        <f t="shared" si="189"/>
        <v/>
      </c>
    </row>
    <row r="11361" spans="20:20">
      <c r="T11361" t="str">
        <f t="shared" si="189"/>
        <v/>
      </c>
    </row>
    <row r="11362" spans="20:20">
      <c r="T11362" t="str">
        <f t="shared" si="189"/>
        <v/>
      </c>
    </row>
    <row r="11363" spans="20:20">
      <c r="T11363" t="str">
        <f t="shared" si="189"/>
        <v/>
      </c>
    </row>
    <row r="11364" spans="20:20">
      <c r="T11364" t="str">
        <f t="shared" si="189"/>
        <v/>
      </c>
    </row>
    <row r="11365" spans="20:20">
      <c r="T11365" t="str">
        <f t="shared" si="189"/>
        <v/>
      </c>
    </row>
    <row r="11366" spans="20:20">
      <c r="T11366" t="str">
        <f t="shared" si="189"/>
        <v/>
      </c>
    </row>
    <row r="11367" spans="20:20">
      <c r="T11367" t="str">
        <f t="shared" si="189"/>
        <v/>
      </c>
    </row>
    <row r="11368" spans="20:20">
      <c r="T11368" t="str">
        <f t="shared" si="189"/>
        <v/>
      </c>
    </row>
    <row r="11369" spans="20:20">
      <c r="T11369" t="str">
        <f t="shared" si="189"/>
        <v/>
      </c>
    </row>
    <row r="11370" spans="20:20">
      <c r="T11370" t="str">
        <f t="shared" si="189"/>
        <v/>
      </c>
    </row>
    <row r="11371" spans="20:20">
      <c r="T11371" t="str">
        <f t="shared" si="189"/>
        <v/>
      </c>
    </row>
    <row r="11372" spans="20:20">
      <c r="T11372" t="str">
        <f t="shared" si="189"/>
        <v/>
      </c>
    </row>
    <row r="11373" spans="20:20">
      <c r="T11373" t="str">
        <f t="shared" si="189"/>
        <v/>
      </c>
    </row>
    <row r="11374" spans="20:20">
      <c r="T11374" t="str">
        <f t="shared" si="189"/>
        <v/>
      </c>
    </row>
    <row r="11375" spans="20:20">
      <c r="T11375" t="str">
        <f t="shared" si="189"/>
        <v/>
      </c>
    </row>
    <row r="11376" spans="20:20">
      <c r="T11376" t="str">
        <f t="shared" si="189"/>
        <v/>
      </c>
    </row>
    <row r="11377" spans="20:20">
      <c r="T11377" t="str">
        <f t="shared" si="189"/>
        <v/>
      </c>
    </row>
    <row r="11378" spans="20:20">
      <c r="T11378" t="str">
        <f t="shared" si="189"/>
        <v/>
      </c>
    </row>
    <row r="11379" spans="20:20">
      <c r="T11379" t="str">
        <f t="shared" si="189"/>
        <v/>
      </c>
    </row>
    <row r="11380" spans="20:20">
      <c r="T11380" t="str">
        <f t="shared" si="189"/>
        <v/>
      </c>
    </row>
    <row r="11381" spans="20:20">
      <c r="T11381" t="str">
        <f t="shared" si="189"/>
        <v/>
      </c>
    </row>
    <row r="11382" spans="20:20">
      <c r="T11382" t="str">
        <f t="shared" si="189"/>
        <v/>
      </c>
    </row>
    <row r="11383" spans="20:20">
      <c r="T11383" t="str">
        <f t="shared" si="189"/>
        <v/>
      </c>
    </row>
    <row r="11384" spans="20:20">
      <c r="T11384" t="str">
        <f t="shared" si="189"/>
        <v/>
      </c>
    </row>
    <row r="11385" spans="20:20">
      <c r="T11385" t="str">
        <f t="shared" si="189"/>
        <v/>
      </c>
    </row>
    <row r="11386" spans="20:20">
      <c r="T11386" t="str">
        <f t="shared" si="189"/>
        <v/>
      </c>
    </row>
    <row r="11387" spans="20:20">
      <c r="T11387" t="str">
        <f t="shared" si="189"/>
        <v/>
      </c>
    </row>
    <row r="11388" spans="20:20">
      <c r="T11388" t="str">
        <f t="shared" si="189"/>
        <v/>
      </c>
    </row>
    <row r="11389" spans="20:20">
      <c r="T11389" t="str">
        <f t="shared" si="189"/>
        <v/>
      </c>
    </row>
    <row r="11390" spans="20:20">
      <c r="T11390" t="str">
        <f t="shared" si="189"/>
        <v/>
      </c>
    </row>
    <row r="11391" spans="20:20">
      <c r="T11391" t="str">
        <f t="shared" si="189"/>
        <v/>
      </c>
    </row>
    <row r="11392" spans="20:20">
      <c r="T11392" t="str">
        <f t="shared" si="189"/>
        <v/>
      </c>
    </row>
    <row r="11393" spans="20:20">
      <c r="T11393" t="str">
        <f t="shared" si="189"/>
        <v/>
      </c>
    </row>
    <row r="11394" spans="20:20">
      <c r="T11394" t="str">
        <f t="shared" ref="T11394:T11457" si="190">IF(C11394="","",UPPER(LEFT(SUBSTITUTE(C11394," ",""),3))&amp;"-"&amp;TEXT(B11394,"AAMMDD")&amp;"-1")</f>
        <v/>
      </c>
    </row>
    <row r="11395" spans="20:20">
      <c r="T11395" t="str">
        <f t="shared" si="190"/>
        <v/>
      </c>
    </row>
    <row r="11396" spans="20:20">
      <c r="T11396" t="str">
        <f t="shared" si="190"/>
        <v/>
      </c>
    </row>
    <row r="11397" spans="20:20">
      <c r="T11397" t="str">
        <f t="shared" si="190"/>
        <v/>
      </c>
    </row>
    <row r="11398" spans="20:20">
      <c r="T11398" t="str">
        <f t="shared" si="190"/>
        <v/>
      </c>
    </row>
    <row r="11399" spans="20:20">
      <c r="T11399" t="str">
        <f t="shared" si="190"/>
        <v/>
      </c>
    </row>
    <row r="11400" spans="20:20">
      <c r="T11400" t="str">
        <f t="shared" si="190"/>
        <v/>
      </c>
    </row>
    <row r="11401" spans="20:20">
      <c r="T11401" t="str">
        <f t="shared" si="190"/>
        <v/>
      </c>
    </row>
    <row r="11402" spans="20:20">
      <c r="T11402" t="str">
        <f t="shared" si="190"/>
        <v/>
      </c>
    </row>
    <row r="11403" spans="20:20">
      <c r="T11403" t="str">
        <f t="shared" si="190"/>
        <v/>
      </c>
    </row>
    <row r="11404" spans="20:20">
      <c r="T11404" t="str">
        <f t="shared" si="190"/>
        <v/>
      </c>
    </row>
    <row r="11405" spans="20:20">
      <c r="T11405" t="str">
        <f t="shared" si="190"/>
        <v/>
      </c>
    </row>
    <row r="11406" spans="20:20">
      <c r="T11406" t="str">
        <f t="shared" si="190"/>
        <v/>
      </c>
    </row>
    <row r="11407" spans="20:20">
      <c r="T11407" t="str">
        <f t="shared" si="190"/>
        <v/>
      </c>
    </row>
    <row r="11408" spans="20:20">
      <c r="T11408" t="str">
        <f t="shared" si="190"/>
        <v/>
      </c>
    </row>
    <row r="11409" spans="20:20">
      <c r="T11409" t="str">
        <f t="shared" si="190"/>
        <v/>
      </c>
    </row>
    <row r="11410" spans="20:20">
      <c r="T11410" t="str">
        <f t="shared" si="190"/>
        <v/>
      </c>
    </row>
    <row r="11411" spans="20:20">
      <c r="T11411" t="str">
        <f t="shared" si="190"/>
        <v/>
      </c>
    </row>
    <row r="11412" spans="20:20">
      <c r="T11412" t="str">
        <f t="shared" si="190"/>
        <v/>
      </c>
    </row>
    <row r="11413" spans="20:20">
      <c r="T11413" t="str">
        <f t="shared" si="190"/>
        <v/>
      </c>
    </row>
    <row r="11414" spans="20:20">
      <c r="T11414" t="str">
        <f t="shared" si="190"/>
        <v/>
      </c>
    </row>
    <row r="11415" spans="20:20">
      <c r="T11415" t="str">
        <f t="shared" si="190"/>
        <v/>
      </c>
    </row>
    <row r="11416" spans="20:20">
      <c r="T11416" t="str">
        <f t="shared" si="190"/>
        <v/>
      </c>
    </row>
    <row r="11417" spans="20:20">
      <c r="T11417" t="str">
        <f t="shared" si="190"/>
        <v/>
      </c>
    </row>
    <row r="11418" spans="20:20">
      <c r="T11418" t="str">
        <f t="shared" si="190"/>
        <v/>
      </c>
    </row>
    <row r="11419" spans="20:20">
      <c r="T11419" t="str">
        <f t="shared" si="190"/>
        <v/>
      </c>
    </row>
    <row r="11420" spans="20:20">
      <c r="T11420" t="str">
        <f t="shared" si="190"/>
        <v/>
      </c>
    </row>
    <row r="11421" spans="20:20">
      <c r="T11421" t="str">
        <f t="shared" si="190"/>
        <v/>
      </c>
    </row>
    <row r="11422" spans="20:20">
      <c r="T11422" t="str">
        <f t="shared" si="190"/>
        <v/>
      </c>
    </row>
    <row r="11423" spans="20:20">
      <c r="T11423" t="str">
        <f t="shared" si="190"/>
        <v/>
      </c>
    </row>
    <row r="11424" spans="20:20">
      <c r="T11424" t="str">
        <f t="shared" si="190"/>
        <v/>
      </c>
    </row>
    <row r="11425" spans="20:20">
      <c r="T11425" t="str">
        <f t="shared" si="190"/>
        <v/>
      </c>
    </row>
    <row r="11426" spans="20:20">
      <c r="T11426" t="str">
        <f t="shared" si="190"/>
        <v/>
      </c>
    </row>
    <row r="11427" spans="20:20">
      <c r="T11427" t="str">
        <f t="shared" si="190"/>
        <v/>
      </c>
    </row>
    <row r="11428" spans="20:20">
      <c r="T11428" t="str">
        <f t="shared" si="190"/>
        <v/>
      </c>
    </row>
    <row r="11429" spans="20:20">
      <c r="T11429" t="str">
        <f t="shared" si="190"/>
        <v/>
      </c>
    </row>
    <row r="11430" spans="20:20">
      <c r="T11430" t="str">
        <f t="shared" si="190"/>
        <v/>
      </c>
    </row>
    <row r="11431" spans="20:20">
      <c r="T11431" t="str">
        <f t="shared" si="190"/>
        <v/>
      </c>
    </row>
    <row r="11432" spans="20:20">
      <c r="T11432" t="str">
        <f t="shared" si="190"/>
        <v/>
      </c>
    </row>
    <row r="11433" spans="20:20">
      <c r="T11433" t="str">
        <f t="shared" si="190"/>
        <v/>
      </c>
    </row>
    <row r="11434" spans="20:20">
      <c r="T11434" t="str">
        <f t="shared" si="190"/>
        <v/>
      </c>
    </row>
    <row r="11435" spans="20:20">
      <c r="T11435" t="str">
        <f t="shared" si="190"/>
        <v/>
      </c>
    </row>
    <row r="11436" spans="20:20">
      <c r="T11436" t="str">
        <f t="shared" si="190"/>
        <v/>
      </c>
    </row>
    <row r="11437" spans="20:20">
      <c r="T11437" t="str">
        <f t="shared" si="190"/>
        <v/>
      </c>
    </row>
    <row r="11438" spans="20:20">
      <c r="T11438" t="str">
        <f t="shared" si="190"/>
        <v/>
      </c>
    </row>
    <row r="11439" spans="20:20">
      <c r="T11439" t="str">
        <f t="shared" si="190"/>
        <v/>
      </c>
    </row>
    <row r="11440" spans="20:20">
      <c r="T11440" t="str">
        <f t="shared" si="190"/>
        <v/>
      </c>
    </row>
    <row r="11441" spans="20:20">
      <c r="T11441" t="str">
        <f t="shared" si="190"/>
        <v/>
      </c>
    </row>
    <row r="11442" spans="20:20">
      <c r="T11442" t="str">
        <f t="shared" si="190"/>
        <v/>
      </c>
    </row>
    <row r="11443" spans="20:20">
      <c r="T11443" t="str">
        <f t="shared" si="190"/>
        <v/>
      </c>
    </row>
    <row r="11444" spans="20:20">
      <c r="T11444" t="str">
        <f t="shared" si="190"/>
        <v/>
      </c>
    </row>
    <row r="11445" spans="20:20">
      <c r="T11445" t="str">
        <f t="shared" si="190"/>
        <v/>
      </c>
    </row>
    <row r="11446" spans="20:20">
      <c r="T11446" t="str">
        <f t="shared" si="190"/>
        <v/>
      </c>
    </row>
    <row r="11447" spans="20:20">
      <c r="T11447" t="str">
        <f t="shared" si="190"/>
        <v/>
      </c>
    </row>
    <row r="11448" spans="20:20">
      <c r="T11448" t="str">
        <f t="shared" si="190"/>
        <v/>
      </c>
    </row>
    <row r="11449" spans="20:20">
      <c r="T11449" t="str">
        <f t="shared" si="190"/>
        <v/>
      </c>
    </row>
    <row r="11450" spans="20:20">
      <c r="T11450" t="str">
        <f t="shared" si="190"/>
        <v/>
      </c>
    </row>
    <row r="11451" spans="20:20">
      <c r="T11451" t="str">
        <f t="shared" si="190"/>
        <v/>
      </c>
    </row>
    <row r="11452" spans="20:20">
      <c r="T11452" t="str">
        <f t="shared" si="190"/>
        <v/>
      </c>
    </row>
    <row r="11453" spans="20:20">
      <c r="T11453" t="str">
        <f t="shared" si="190"/>
        <v/>
      </c>
    </row>
    <row r="11454" spans="20:20">
      <c r="T11454" t="str">
        <f t="shared" si="190"/>
        <v/>
      </c>
    </row>
    <row r="11455" spans="20:20">
      <c r="T11455" t="str">
        <f t="shared" si="190"/>
        <v/>
      </c>
    </row>
    <row r="11456" spans="20:20">
      <c r="T11456" t="str">
        <f t="shared" si="190"/>
        <v/>
      </c>
    </row>
    <row r="11457" spans="20:20">
      <c r="T11457" t="str">
        <f t="shared" si="190"/>
        <v/>
      </c>
    </row>
    <row r="11458" spans="20:20">
      <c r="T11458" t="str">
        <f t="shared" ref="T11458:T11521" si="191">IF(C11458="","",UPPER(LEFT(SUBSTITUTE(C11458," ",""),3))&amp;"-"&amp;TEXT(B11458,"AAMMDD")&amp;"-1")</f>
        <v/>
      </c>
    </row>
    <row r="11459" spans="20:20">
      <c r="T11459" t="str">
        <f t="shared" si="191"/>
        <v/>
      </c>
    </row>
    <row r="11460" spans="20:20">
      <c r="T11460" t="str">
        <f t="shared" si="191"/>
        <v/>
      </c>
    </row>
    <row r="11461" spans="20:20">
      <c r="T11461" t="str">
        <f t="shared" si="191"/>
        <v/>
      </c>
    </row>
    <row r="11462" spans="20:20">
      <c r="T11462" t="str">
        <f t="shared" si="191"/>
        <v/>
      </c>
    </row>
    <row r="11463" spans="20:20">
      <c r="T11463" t="str">
        <f t="shared" si="191"/>
        <v/>
      </c>
    </row>
    <row r="11464" spans="20:20">
      <c r="T11464" t="str">
        <f t="shared" si="191"/>
        <v/>
      </c>
    </row>
    <row r="11465" spans="20:20">
      <c r="T11465" t="str">
        <f t="shared" si="191"/>
        <v/>
      </c>
    </row>
    <row r="11466" spans="20:20">
      <c r="T11466" t="str">
        <f t="shared" si="191"/>
        <v/>
      </c>
    </row>
    <row r="11467" spans="20:20">
      <c r="T11467" t="str">
        <f t="shared" si="191"/>
        <v/>
      </c>
    </row>
    <row r="11468" spans="20:20">
      <c r="T11468" t="str">
        <f t="shared" si="191"/>
        <v/>
      </c>
    </row>
    <row r="11469" spans="20:20">
      <c r="T11469" t="str">
        <f t="shared" si="191"/>
        <v/>
      </c>
    </row>
    <row r="11470" spans="20:20">
      <c r="T11470" t="str">
        <f t="shared" si="191"/>
        <v/>
      </c>
    </row>
    <row r="11471" spans="20:20">
      <c r="T11471" t="str">
        <f t="shared" si="191"/>
        <v/>
      </c>
    </row>
    <row r="11472" spans="20:20">
      <c r="T11472" t="str">
        <f t="shared" si="191"/>
        <v/>
      </c>
    </row>
    <row r="11473" spans="20:20">
      <c r="T11473" t="str">
        <f t="shared" si="191"/>
        <v/>
      </c>
    </row>
    <row r="11474" spans="20:20">
      <c r="T11474" t="str">
        <f t="shared" si="191"/>
        <v/>
      </c>
    </row>
    <row r="11475" spans="20:20">
      <c r="T11475" t="str">
        <f t="shared" si="191"/>
        <v/>
      </c>
    </row>
    <row r="11476" spans="20:20">
      <c r="T11476" t="str">
        <f t="shared" si="191"/>
        <v/>
      </c>
    </row>
    <row r="11477" spans="20:20">
      <c r="T11477" t="str">
        <f t="shared" si="191"/>
        <v/>
      </c>
    </row>
    <row r="11478" spans="20:20">
      <c r="T11478" t="str">
        <f t="shared" si="191"/>
        <v/>
      </c>
    </row>
    <row r="11479" spans="20:20">
      <c r="T11479" t="str">
        <f t="shared" si="191"/>
        <v/>
      </c>
    </row>
    <row r="11480" spans="20:20">
      <c r="T11480" t="str">
        <f t="shared" si="191"/>
        <v/>
      </c>
    </row>
    <row r="11481" spans="20:20">
      <c r="T11481" t="str">
        <f t="shared" si="191"/>
        <v/>
      </c>
    </row>
    <row r="11482" spans="20:20">
      <c r="T11482" t="str">
        <f t="shared" si="191"/>
        <v/>
      </c>
    </row>
    <row r="11483" spans="20:20">
      <c r="T11483" t="str">
        <f t="shared" si="191"/>
        <v/>
      </c>
    </row>
    <row r="11484" spans="20:20">
      <c r="T11484" t="str">
        <f t="shared" si="191"/>
        <v/>
      </c>
    </row>
    <row r="11485" spans="20:20">
      <c r="T11485" t="str">
        <f t="shared" si="191"/>
        <v/>
      </c>
    </row>
    <row r="11486" spans="20:20">
      <c r="T11486" t="str">
        <f t="shared" si="191"/>
        <v/>
      </c>
    </row>
    <row r="11487" spans="20:20">
      <c r="T11487" t="str">
        <f t="shared" si="191"/>
        <v/>
      </c>
    </row>
    <row r="11488" spans="20:20">
      <c r="T11488" t="str">
        <f t="shared" si="191"/>
        <v/>
      </c>
    </row>
    <row r="11489" spans="20:20">
      <c r="T11489" t="str">
        <f t="shared" si="191"/>
        <v/>
      </c>
    </row>
    <row r="11490" spans="20:20">
      <c r="T11490" t="str">
        <f t="shared" si="191"/>
        <v/>
      </c>
    </row>
    <row r="11491" spans="20:20">
      <c r="T11491" t="str">
        <f t="shared" si="191"/>
        <v/>
      </c>
    </row>
    <row r="11492" spans="20:20">
      <c r="T11492" t="str">
        <f t="shared" si="191"/>
        <v/>
      </c>
    </row>
    <row r="11493" spans="20:20">
      <c r="T11493" t="str">
        <f t="shared" si="191"/>
        <v/>
      </c>
    </row>
    <row r="11494" spans="20:20">
      <c r="T11494" t="str">
        <f t="shared" si="191"/>
        <v/>
      </c>
    </row>
    <row r="11495" spans="20:20">
      <c r="T11495" t="str">
        <f t="shared" si="191"/>
        <v/>
      </c>
    </row>
    <row r="11496" spans="20:20">
      <c r="T11496" t="str">
        <f t="shared" si="191"/>
        <v/>
      </c>
    </row>
    <row r="11497" spans="20:20">
      <c r="T11497" t="str">
        <f t="shared" si="191"/>
        <v/>
      </c>
    </row>
    <row r="11498" spans="20:20">
      <c r="T11498" t="str">
        <f t="shared" si="191"/>
        <v/>
      </c>
    </row>
    <row r="11499" spans="20:20">
      <c r="T11499" t="str">
        <f t="shared" si="191"/>
        <v/>
      </c>
    </row>
    <row r="11500" spans="20:20">
      <c r="T11500" t="str">
        <f t="shared" si="191"/>
        <v/>
      </c>
    </row>
    <row r="11501" spans="20:20">
      <c r="T11501" t="str">
        <f t="shared" si="191"/>
        <v/>
      </c>
    </row>
    <row r="11502" spans="20:20">
      <c r="T11502" t="str">
        <f t="shared" si="191"/>
        <v/>
      </c>
    </row>
    <row r="11503" spans="20:20">
      <c r="T11503" t="str">
        <f t="shared" si="191"/>
        <v/>
      </c>
    </row>
    <row r="11504" spans="20:20">
      <c r="T11504" t="str">
        <f t="shared" si="191"/>
        <v/>
      </c>
    </row>
    <row r="11505" spans="20:20">
      <c r="T11505" t="str">
        <f t="shared" si="191"/>
        <v/>
      </c>
    </row>
    <row r="11506" spans="20:20">
      <c r="T11506" t="str">
        <f t="shared" si="191"/>
        <v/>
      </c>
    </row>
    <row r="11507" spans="20:20">
      <c r="T11507" t="str">
        <f t="shared" si="191"/>
        <v/>
      </c>
    </row>
    <row r="11508" spans="20:20">
      <c r="T11508" t="str">
        <f t="shared" si="191"/>
        <v/>
      </c>
    </row>
    <row r="11509" spans="20:20">
      <c r="T11509" t="str">
        <f t="shared" si="191"/>
        <v/>
      </c>
    </row>
    <row r="11510" spans="20:20">
      <c r="T11510" t="str">
        <f t="shared" si="191"/>
        <v/>
      </c>
    </row>
    <row r="11511" spans="20:20">
      <c r="T11511" t="str">
        <f t="shared" si="191"/>
        <v/>
      </c>
    </row>
    <row r="11512" spans="20:20">
      <c r="T11512" t="str">
        <f t="shared" si="191"/>
        <v/>
      </c>
    </row>
    <row r="11513" spans="20:20">
      <c r="T11513" t="str">
        <f t="shared" si="191"/>
        <v/>
      </c>
    </row>
    <row r="11514" spans="20:20">
      <c r="T11514" t="str">
        <f t="shared" si="191"/>
        <v/>
      </c>
    </row>
    <row r="11515" spans="20:20">
      <c r="T11515" t="str">
        <f t="shared" si="191"/>
        <v/>
      </c>
    </row>
    <row r="11516" spans="20:20">
      <c r="T11516" t="str">
        <f t="shared" si="191"/>
        <v/>
      </c>
    </row>
    <row r="11517" spans="20:20">
      <c r="T11517" t="str">
        <f t="shared" si="191"/>
        <v/>
      </c>
    </row>
    <row r="11518" spans="20:20">
      <c r="T11518" t="str">
        <f t="shared" si="191"/>
        <v/>
      </c>
    </row>
    <row r="11519" spans="20:20">
      <c r="T11519" t="str">
        <f t="shared" si="191"/>
        <v/>
      </c>
    </row>
    <row r="11520" spans="20:20">
      <c r="T11520" t="str">
        <f t="shared" si="191"/>
        <v/>
      </c>
    </row>
    <row r="11521" spans="20:20">
      <c r="T11521" t="str">
        <f t="shared" si="191"/>
        <v/>
      </c>
    </row>
    <row r="11522" spans="20:20">
      <c r="T11522" t="str">
        <f t="shared" ref="T11522:T11585" si="192">IF(C11522="","",UPPER(LEFT(SUBSTITUTE(C11522," ",""),3))&amp;"-"&amp;TEXT(B11522,"AAMMDD")&amp;"-1")</f>
        <v/>
      </c>
    </row>
    <row r="11523" spans="20:20">
      <c r="T11523" t="str">
        <f t="shared" si="192"/>
        <v/>
      </c>
    </row>
    <row r="11524" spans="20:20">
      <c r="T11524" t="str">
        <f t="shared" si="192"/>
        <v/>
      </c>
    </row>
    <row r="11525" spans="20:20">
      <c r="T11525" t="str">
        <f t="shared" si="192"/>
        <v/>
      </c>
    </row>
    <row r="11526" spans="20:20">
      <c r="T11526" t="str">
        <f t="shared" si="192"/>
        <v/>
      </c>
    </row>
    <row r="11527" spans="20:20">
      <c r="T11527" t="str">
        <f t="shared" si="192"/>
        <v/>
      </c>
    </row>
    <row r="11528" spans="20:20">
      <c r="T11528" t="str">
        <f t="shared" si="192"/>
        <v/>
      </c>
    </row>
    <row r="11529" spans="20:20">
      <c r="T11529" t="str">
        <f t="shared" si="192"/>
        <v/>
      </c>
    </row>
    <row r="11530" spans="20:20">
      <c r="T11530" t="str">
        <f t="shared" si="192"/>
        <v/>
      </c>
    </row>
    <row r="11531" spans="20:20">
      <c r="T11531" t="str">
        <f t="shared" si="192"/>
        <v/>
      </c>
    </row>
    <row r="11532" spans="20:20">
      <c r="T11532" t="str">
        <f t="shared" si="192"/>
        <v/>
      </c>
    </row>
    <row r="11533" spans="20:20">
      <c r="T11533" t="str">
        <f t="shared" si="192"/>
        <v/>
      </c>
    </row>
    <row r="11534" spans="20:20">
      <c r="T11534" t="str">
        <f t="shared" si="192"/>
        <v/>
      </c>
    </row>
    <row r="11535" spans="20:20">
      <c r="T11535" t="str">
        <f t="shared" si="192"/>
        <v/>
      </c>
    </row>
    <row r="11536" spans="20:20">
      <c r="T11536" t="str">
        <f t="shared" si="192"/>
        <v/>
      </c>
    </row>
    <row r="11537" spans="20:20">
      <c r="T11537" t="str">
        <f t="shared" si="192"/>
        <v/>
      </c>
    </row>
    <row r="11538" spans="20:20">
      <c r="T11538" t="str">
        <f t="shared" si="192"/>
        <v/>
      </c>
    </row>
    <row r="11539" spans="20:20">
      <c r="T11539" t="str">
        <f t="shared" si="192"/>
        <v/>
      </c>
    </row>
    <row r="11540" spans="20:20">
      <c r="T11540" t="str">
        <f t="shared" si="192"/>
        <v/>
      </c>
    </row>
    <row r="11541" spans="20:20">
      <c r="T11541" t="str">
        <f t="shared" si="192"/>
        <v/>
      </c>
    </row>
    <row r="11542" spans="20:20">
      <c r="T11542" t="str">
        <f t="shared" si="192"/>
        <v/>
      </c>
    </row>
    <row r="11543" spans="20:20">
      <c r="T11543" t="str">
        <f t="shared" si="192"/>
        <v/>
      </c>
    </row>
    <row r="11544" spans="20:20">
      <c r="T11544" t="str">
        <f t="shared" si="192"/>
        <v/>
      </c>
    </row>
    <row r="11545" spans="20:20">
      <c r="T11545" t="str">
        <f t="shared" si="192"/>
        <v/>
      </c>
    </row>
    <row r="11546" spans="20:20">
      <c r="T11546" t="str">
        <f t="shared" si="192"/>
        <v/>
      </c>
    </row>
    <row r="11547" spans="20:20">
      <c r="T11547" t="str">
        <f t="shared" si="192"/>
        <v/>
      </c>
    </row>
    <row r="11548" spans="20:20">
      <c r="T11548" t="str">
        <f t="shared" si="192"/>
        <v/>
      </c>
    </row>
    <row r="11549" spans="20:20">
      <c r="T11549" t="str">
        <f t="shared" si="192"/>
        <v/>
      </c>
    </row>
    <row r="11550" spans="20:20">
      <c r="T11550" t="str">
        <f t="shared" si="192"/>
        <v/>
      </c>
    </row>
    <row r="11551" spans="20:20">
      <c r="T11551" t="str">
        <f t="shared" si="192"/>
        <v/>
      </c>
    </row>
    <row r="11552" spans="20:20">
      <c r="T11552" t="str">
        <f t="shared" si="192"/>
        <v/>
      </c>
    </row>
    <row r="11553" spans="20:20">
      <c r="T11553" t="str">
        <f t="shared" si="192"/>
        <v/>
      </c>
    </row>
    <row r="11554" spans="20:20">
      <c r="T11554" t="str">
        <f t="shared" si="192"/>
        <v/>
      </c>
    </row>
    <row r="11555" spans="20:20">
      <c r="T11555" t="str">
        <f t="shared" si="192"/>
        <v/>
      </c>
    </row>
    <row r="11556" spans="20:20">
      <c r="T11556" t="str">
        <f t="shared" si="192"/>
        <v/>
      </c>
    </row>
    <row r="11557" spans="20:20">
      <c r="T11557" t="str">
        <f t="shared" si="192"/>
        <v/>
      </c>
    </row>
    <row r="11558" spans="20:20">
      <c r="T11558" t="str">
        <f t="shared" si="192"/>
        <v/>
      </c>
    </row>
    <row r="11559" spans="20:20">
      <c r="T11559" t="str">
        <f t="shared" si="192"/>
        <v/>
      </c>
    </row>
    <row r="11560" spans="20:20">
      <c r="T11560" t="str">
        <f t="shared" si="192"/>
        <v/>
      </c>
    </row>
    <row r="11561" spans="20:20">
      <c r="T11561" t="str">
        <f t="shared" si="192"/>
        <v/>
      </c>
    </row>
    <row r="11562" spans="20:20">
      <c r="T11562" t="str">
        <f t="shared" si="192"/>
        <v/>
      </c>
    </row>
    <row r="11563" spans="20:20">
      <c r="T11563" t="str">
        <f t="shared" si="192"/>
        <v/>
      </c>
    </row>
    <row r="11564" spans="20:20">
      <c r="T11564" t="str">
        <f t="shared" si="192"/>
        <v/>
      </c>
    </row>
    <row r="11565" spans="20:20">
      <c r="T11565" t="str">
        <f t="shared" si="192"/>
        <v/>
      </c>
    </row>
    <row r="11566" spans="20:20">
      <c r="T11566" t="str">
        <f t="shared" si="192"/>
        <v/>
      </c>
    </row>
    <row r="11567" spans="20:20">
      <c r="T11567" t="str">
        <f t="shared" si="192"/>
        <v/>
      </c>
    </row>
    <row r="11568" spans="20:20">
      <c r="T11568" t="str">
        <f t="shared" si="192"/>
        <v/>
      </c>
    </row>
    <row r="11569" spans="20:20">
      <c r="T11569" t="str">
        <f t="shared" si="192"/>
        <v/>
      </c>
    </row>
    <row r="11570" spans="20:20">
      <c r="T11570" t="str">
        <f t="shared" si="192"/>
        <v/>
      </c>
    </row>
    <row r="11571" spans="20:20">
      <c r="T11571" t="str">
        <f t="shared" si="192"/>
        <v/>
      </c>
    </row>
    <row r="11572" spans="20:20">
      <c r="T11572" t="str">
        <f t="shared" si="192"/>
        <v/>
      </c>
    </row>
    <row r="11573" spans="20:20">
      <c r="T11573" t="str">
        <f t="shared" si="192"/>
        <v/>
      </c>
    </row>
    <row r="11574" spans="20:20">
      <c r="T11574" t="str">
        <f t="shared" si="192"/>
        <v/>
      </c>
    </row>
    <row r="11575" spans="20:20">
      <c r="T11575" t="str">
        <f t="shared" si="192"/>
        <v/>
      </c>
    </row>
    <row r="11576" spans="20:20">
      <c r="T11576" t="str">
        <f t="shared" si="192"/>
        <v/>
      </c>
    </row>
    <row r="11577" spans="20:20">
      <c r="T11577" t="str">
        <f t="shared" si="192"/>
        <v/>
      </c>
    </row>
    <row r="11578" spans="20:20">
      <c r="T11578" t="str">
        <f t="shared" si="192"/>
        <v/>
      </c>
    </row>
    <row r="11579" spans="20:20">
      <c r="T11579" t="str">
        <f t="shared" si="192"/>
        <v/>
      </c>
    </row>
    <row r="11580" spans="20:20">
      <c r="T11580" t="str">
        <f t="shared" si="192"/>
        <v/>
      </c>
    </row>
    <row r="11581" spans="20:20">
      <c r="T11581" t="str">
        <f t="shared" si="192"/>
        <v/>
      </c>
    </row>
    <row r="11582" spans="20:20">
      <c r="T11582" t="str">
        <f t="shared" si="192"/>
        <v/>
      </c>
    </row>
    <row r="11583" spans="20:20">
      <c r="T11583" t="str">
        <f t="shared" si="192"/>
        <v/>
      </c>
    </row>
    <row r="11584" spans="20:20">
      <c r="T11584" t="str">
        <f t="shared" si="192"/>
        <v/>
      </c>
    </row>
    <row r="11585" spans="20:20">
      <c r="T11585" t="str">
        <f t="shared" si="192"/>
        <v/>
      </c>
    </row>
    <row r="11586" spans="20:20">
      <c r="T11586" t="str">
        <f t="shared" ref="T11586:T11649" si="193">IF(C11586="","",UPPER(LEFT(SUBSTITUTE(C11586," ",""),3))&amp;"-"&amp;TEXT(B11586,"AAMMDD")&amp;"-1")</f>
        <v/>
      </c>
    </row>
    <row r="11587" spans="20:20">
      <c r="T11587" t="str">
        <f t="shared" si="193"/>
        <v/>
      </c>
    </row>
    <row r="11588" spans="20:20">
      <c r="T11588" t="str">
        <f t="shared" si="193"/>
        <v/>
      </c>
    </row>
    <row r="11589" spans="20:20">
      <c r="T11589" t="str">
        <f t="shared" si="193"/>
        <v/>
      </c>
    </row>
    <row r="11590" spans="20:20">
      <c r="T11590" t="str">
        <f t="shared" si="193"/>
        <v/>
      </c>
    </row>
    <row r="11591" spans="20:20">
      <c r="T11591" t="str">
        <f t="shared" si="193"/>
        <v/>
      </c>
    </row>
    <row r="11592" spans="20:20">
      <c r="T11592" t="str">
        <f t="shared" si="193"/>
        <v/>
      </c>
    </row>
    <row r="11593" spans="20:20">
      <c r="T11593" t="str">
        <f t="shared" si="193"/>
        <v/>
      </c>
    </row>
    <row r="11594" spans="20:20">
      <c r="T11594" t="str">
        <f t="shared" si="193"/>
        <v/>
      </c>
    </row>
    <row r="11595" spans="20:20">
      <c r="T11595" t="str">
        <f t="shared" si="193"/>
        <v/>
      </c>
    </row>
    <row r="11596" spans="20:20">
      <c r="T11596" t="str">
        <f t="shared" si="193"/>
        <v/>
      </c>
    </row>
    <row r="11597" spans="20:20">
      <c r="T11597" t="str">
        <f t="shared" si="193"/>
        <v/>
      </c>
    </row>
    <row r="11598" spans="20:20">
      <c r="T11598" t="str">
        <f t="shared" si="193"/>
        <v/>
      </c>
    </row>
    <row r="11599" spans="20:20">
      <c r="T11599" t="str">
        <f t="shared" si="193"/>
        <v/>
      </c>
    </row>
    <row r="11600" spans="20:20">
      <c r="T11600" t="str">
        <f t="shared" si="193"/>
        <v/>
      </c>
    </row>
    <row r="11601" spans="20:20">
      <c r="T11601" t="str">
        <f t="shared" si="193"/>
        <v/>
      </c>
    </row>
    <row r="11602" spans="20:20">
      <c r="T11602" t="str">
        <f t="shared" si="193"/>
        <v/>
      </c>
    </row>
    <row r="11603" spans="20:20">
      <c r="T11603" t="str">
        <f t="shared" si="193"/>
        <v/>
      </c>
    </row>
    <row r="11604" spans="20:20">
      <c r="T11604" t="str">
        <f t="shared" si="193"/>
        <v/>
      </c>
    </row>
    <row r="11605" spans="20:20">
      <c r="T11605" t="str">
        <f t="shared" si="193"/>
        <v/>
      </c>
    </row>
    <row r="11606" spans="20:20">
      <c r="T11606" t="str">
        <f t="shared" si="193"/>
        <v/>
      </c>
    </row>
    <row r="11607" spans="20:20">
      <c r="T11607" t="str">
        <f t="shared" si="193"/>
        <v/>
      </c>
    </row>
    <row r="11608" spans="20:20">
      <c r="T11608" t="str">
        <f t="shared" si="193"/>
        <v/>
      </c>
    </row>
    <row r="11609" spans="20:20">
      <c r="T11609" t="str">
        <f t="shared" si="193"/>
        <v/>
      </c>
    </row>
    <row r="11610" spans="20:20">
      <c r="T11610" t="str">
        <f t="shared" si="193"/>
        <v/>
      </c>
    </row>
    <row r="11611" spans="20:20">
      <c r="T11611" t="str">
        <f t="shared" si="193"/>
        <v/>
      </c>
    </row>
    <row r="11612" spans="20:20">
      <c r="T11612" t="str">
        <f t="shared" si="193"/>
        <v/>
      </c>
    </row>
    <row r="11613" spans="20:20">
      <c r="T11613" t="str">
        <f t="shared" si="193"/>
        <v/>
      </c>
    </row>
    <row r="11614" spans="20:20">
      <c r="T11614" t="str">
        <f t="shared" si="193"/>
        <v/>
      </c>
    </row>
    <row r="11615" spans="20:20">
      <c r="T11615" t="str">
        <f t="shared" si="193"/>
        <v/>
      </c>
    </row>
    <row r="11616" spans="20:20">
      <c r="T11616" t="str">
        <f t="shared" si="193"/>
        <v/>
      </c>
    </row>
    <row r="11617" spans="20:20">
      <c r="T11617" t="str">
        <f t="shared" si="193"/>
        <v/>
      </c>
    </row>
    <row r="11618" spans="20:20">
      <c r="T11618" t="str">
        <f t="shared" si="193"/>
        <v/>
      </c>
    </row>
    <row r="11619" spans="20:20">
      <c r="T11619" t="str">
        <f t="shared" si="193"/>
        <v/>
      </c>
    </row>
    <row r="11620" spans="20:20">
      <c r="T11620" t="str">
        <f t="shared" si="193"/>
        <v/>
      </c>
    </row>
    <row r="11621" spans="20:20">
      <c r="T11621" t="str">
        <f t="shared" si="193"/>
        <v/>
      </c>
    </row>
    <row r="11622" spans="20:20">
      <c r="T11622" t="str">
        <f t="shared" si="193"/>
        <v/>
      </c>
    </row>
    <row r="11623" spans="20:20">
      <c r="T11623" t="str">
        <f t="shared" si="193"/>
        <v/>
      </c>
    </row>
    <row r="11624" spans="20:20">
      <c r="T11624" t="str">
        <f t="shared" si="193"/>
        <v/>
      </c>
    </row>
    <row r="11625" spans="20:20">
      <c r="T11625" t="str">
        <f t="shared" si="193"/>
        <v/>
      </c>
    </row>
    <row r="11626" spans="20:20">
      <c r="T11626" t="str">
        <f t="shared" si="193"/>
        <v/>
      </c>
    </row>
    <row r="11627" spans="20:20">
      <c r="T11627" t="str">
        <f t="shared" si="193"/>
        <v/>
      </c>
    </row>
    <row r="11628" spans="20:20">
      <c r="T11628" t="str">
        <f t="shared" si="193"/>
        <v/>
      </c>
    </row>
    <row r="11629" spans="20:20">
      <c r="T11629" t="str">
        <f t="shared" si="193"/>
        <v/>
      </c>
    </row>
    <row r="11630" spans="20:20">
      <c r="T11630" t="str">
        <f t="shared" si="193"/>
        <v/>
      </c>
    </row>
    <row r="11631" spans="20:20">
      <c r="T11631" t="str">
        <f t="shared" si="193"/>
        <v/>
      </c>
    </row>
    <row r="11632" spans="20:20">
      <c r="T11632" t="str">
        <f t="shared" si="193"/>
        <v/>
      </c>
    </row>
    <row r="11633" spans="20:20">
      <c r="T11633" t="str">
        <f t="shared" si="193"/>
        <v/>
      </c>
    </row>
    <row r="11634" spans="20:20">
      <c r="T11634" t="str">
        <f t="shared" si="193"/>
        <v/>
      </c>
    </row>
    <row r="11635" spans="20:20">
      <c r="T11635" t="str">
        <f t="shared" si="193"/>
        <v/>
      </c>
    </row>
    <row r="11636" spans="20:20">
      <c r="T11636" t="str">
        <f t="shared" si="193"/>
        <v/>
      </c>
    </row>
    <row r="11637" spans="20:20">
      <c r="T11637" t="str">
        <f t="shared" si="193"/>
        <v/>
      </c>
    </row>
    <row r="11638" spans="20:20">
      <c r="T11638" t="str">
        <f t="shared" si="193"/>
        <v/>
      </c>
    </row>
    <row r="11639" spans="20:20">
      <c r="T11639" t="str">
        <f t="shared" si="193"/>
        <v/>
      </c>
    </row>
    <row r="11640" spans="20:20">
      <c r="T11640" t="str">
        <f t="shared" si="193"/>
        <v/>
      </c>
    </row>
    <row r="11641" spans="20:20">
      <c r="T11641" t="str">
        <f t="shared" si="193"/>
        <v/>
      </c>
    </row>
    <row r="11642" spans="20:20">
      <c r="T11642" t="str">
        <f t="shared" si="193"/>
        <v/>
      </c>
    </row>
    <row r="11643" spans="20:20">
      <c r="T11643" t="str">
        <f t="shared" si="193"/>
        <v/>
      </c>
    </row>
    <row r="11644" spans="20:20">
      <c r="T11644" t="str">
        <f t="shared" si="193"/>
        <v/>
      </c>
    </row>
    <row r="11645" spans="20:20">
      <c r="T11645" t="str">
        <f t="shared" si="193"/>
        <v/>
      </c>
    </row>
    <row r="11646" spans="20:20">
      <c r="T11646" t="str">
        <f t="shared" si="193"/>
        <v/>
      </c>
    </row>
    <row r="11647" spans="20:20">
      <c r="T11647" t="str">
        <f t="shared" si="193"/>
        <v/>
      </c>
    </row>
    <row r="11648" spans="20:20">
      <c r="T11648" t="str">
        <f t="shared" si="193"/>
        <v/>
      </c>
    </row>
    <row r="11649" spans="20:20">
      <c r="T11649" t="str">
        <f t="shared" si="193"/>
        <v/>
      </c>
    </row>
    <row r="11650" spans="20:20">
      <c r="T11650" t="str">
        <f t="shared" ref="T11650:T11713" si="194">IF(C11650="","",UPPER(LEFT(SUBSTITUTE(C11650," ",""),3))&amp;"-"&amp;TEXT(B11650,"AAMMDD")&amp;"-1")</f>
        <v/>
      </c>
    </row>
    <row r="11651" spans="20:20">
      <c r="T11651" t="str">
        <f t="shared" si="194"/>
        <v/>
      </c>
    </row>
    <row r="11652" spans="20:20">
      <c r="T11652" t="str">
        <f t="shared" si="194"/>
        <v/>
      </c>
    </row>
    <row r="11653" spans="20:20">
      <c r="T11653" t="str">
        <f t="shared" si="194"/>
        <v/>
      </c>
    </row>
    <row r="11654" spans="20:20">
      <c r="T11654" t="str">
        <f t="shared" si="194"/>
        <v/>
      </c>
    </row>
    <row r="11655" spans="20:20">
      <c r="T11655" t="str">
        <f t="shared" si="194"/>
        <v/>
      </c>
    </row>
    <row r="11656" spans="20:20">
      <c r="T11656" t="str">
        <f t="shared" si="194"/>
        <v/>
      </c>
    </row>
    <row r="11657" spans="20:20">
      <c r="T11657" t="str">
        <f t="shared" si="194"/>
        <v/>
      </c>
    </row>
    <row r="11658" spans="20:20">
      <c r="T11658" t="str">
        <f t="shared" si="194"/>
        <v/>
      </c>
    </row>
    <row r="11659" spans="20:20">
      <c r="T11659" t="str">
        <f t="shared" si="194"/>
        <v/>
      </c>
    </row>
    <row r="11660" spans="20:20">
      <c r="T11660" t="str">
        <f t="shared" si="194"/>
        <v/>
      </c>
    </row>
    <row r="11661" spans="20:20">
      <c r="T11661" t="str">
        <f t="shared" si="194"/>
        <v/>
      </c>
    </row>
    <row r="11662" spans="20:20">
      <c r="T11662" t="str">
        <f t="shared" si="194"/>
        <v/>
      </c>
    </row>
    <row r="11663" spans="20:20">
      <c r="T11663" t="str">
        <f t="shared" si="194"/>
        <v/>
      </c>
    </row>
    <row r="11664" spans="20:20">
      <c r="T11664" t="str">
        <f t="shared" si="194"/>
        <v/>
      </c>
    </row>
    <row r="11665" spans="20:20">
      <c r="T11665" t="str">
        <f t="shared" si="194"/>
        <v/>
      </c>
    </row>
    <row r="11666" spans="20:20">
      <c r="T11666" t="str">
        <f t="shared" si="194"/>
        <v/>
      </c>
    </row>
    <row r="11667" spans="20:20">
      <c r="T11667" t="str">
        <f t="shared" si="194"/>
        <v/>
      </c>
    </row>
    <row r="11668" spans="20:20">
      <c r="T11668" t="str">
        <f t="shared" si="194"/>
        <v/>
      </c>
    </row>
    <row r="11669" spans="20:20">
      <c r="T11669" t="str">
        <f t="shared" si="194"/>
        <v/>
      </c>
    </row>
    <row r="11670" spans="20:20">
      <c r="T11670" t="str">
        <f t="shared" si="194"/>
        <v/>
      </c>
    </row>
    <row r="11671" spans="20:20">
      <c r="T11671" t="str">
        <f t="shared" si="194"/>
        <v/>
      </c>
    </row>
    <row r="11672" spans="20:20">
      <c r="T11672" t="str">
        <f t="shared" si="194"/>
        <v/>
      </c>
    </row>
    <row r="11673" spans="20:20">
      <c r="T11673" t="str">
        <f t="shared" si="194"/>
        <v/>
      </c>
    </row>
    <row r="11674" spans="20:20">
      <c r="T11674" t="str">
        <f t="shared" si="194"/>
        <v/>
      </c>
    </row>
    <row r="11675" spans="20:20">
      <c r="T11675" t="str">
        <f t="shared" si="194"/>
        <v/>
      </c>
    </row>
    <row r="11676" spans="20:20">
      <c r="T11676" t="str">
        <f t="shared" si="194"/>
        <v/>
      </c>
    </row>
    <row r="11677" spans="20:20">
      <c r="T11677" t="str">
        <f t="shared" si="194"/>
        <v/>
      </c>
    </row>
    <row r="11678" spans="20:20">
      <c r="T11678" t="str">
        <f t="shared" si="194"/>
        <v/>
      </c>
    </row>
    <row r="11679" spans="20:20">
      <c r="T11679" t="str">
        <f t="shared" si="194"/>
        <v/>
      </c>
    </row>
    <row r="11680" spans="20:20">
      <c r="T11680" t="str">
        <f t="shared" si="194"/>
        <v/>
      </c>
    </row>
    <row r="11681" spans="20:20">
      <c r="T11681" t="str">
        <f t="shared" si="194"/>
        <v/>
      </c>
    </row>
    <row r="11682" spans="20:20">
      <c r="T11682" t="str">
        <f t="shared" si="194"/>
        <v/>
      </c>
    </row>
    <row r="11683" spans="20:20">
      <c r="T11683" t="str">
        <f t="shared" si="194"/>
        <v/>
      </c>
    </row>
    <row r="11684" spans="20:20">
      <c r="T11684" t="str">
        <f t="shared" si="194"/>
        <v/>
      </c>
    </row>
    <row r="11685" spans="20:20">
      <c r="T11685" t="str">
        <f t="shared" si="194"/>
        <v/>
      </c>
    </row>
    <row r="11686" spans="20:20">
      <c r="T11686" t="str">
        <f t="shared" si="194"/>
        <v/>
      </c>
    </row>
    <row r="11687" spans="20:20">
      <c r="T11687" t="str">
        <f t="shared" si="194"/>
        <v/>
      </c>
    </row>
    <row r="11688" spans="20:20">
      <c r="T11688" t="str">
        <f t="shared" si="194"/>
        <v/>
      </c>
    </row>
    <row r="11689" spans="20:20">
      <c r="T11689" t="str">
        <f t="shared" si="194"/>
        <v/>
      </c>
    </row>
    <row r="11690" spans="20:20">
      <c r="T11690" t="str">
        <f t="shared" si="194"/>
        <v/>
      </c>
    </row>
    <row r="11691" spans="20:20">
      <c r="T11691" t="str">
        <f t="shared" si="194"/>
        <v/>
      </c>
    </row>
    <row r="11692" spans="20:20">
      <c r="T11692" t="str">
        <f t="shared" si="194"/>
        <v/>
      </c>
    </row>
    <row r="11693" spans="20:20">
      <c r="T11693" t="str">
        <f t="shared" si="194"/>
        <v/>
      </c>
    </row>
    <row r="11694" spans="20:20">
      <c r="T11694" t="str">
        <f t="shared" si="194"/>
        <v/>
      </c>
    </row>
    <row r="11695" spans="20:20">
      <c r="T11695" t="str">
        <f t="shared" si="194"/>
        <v/>
      </c>
    </row>
    <row r="11696" spans="20:20">
      <c r="T11696" t="str">
        <f t="shared" si="194"/>
        <v/>
      </c>
    </row>
    <row r="11697" spans="20:20">
      <c r="T11697" t="str">
        <f t="shared" si="194"/>
        <v/>
      </c>
    </row>
    <row r="11698" spans="20:20">
      <c r="T11698" t="str">
        <f t="shared" si="194"/>
        <v/>
      </c>
    </row>
    <row r="11699" spans="20:20">
      <c r="T11699" t="str">
        <f t="shared" si="194"/>
        <v/>
      </c>
    </row>
    <row r="11700" spans="20:20">
      <c r="T11700" t="str">
        <f t="shared" si="194"/>
        <v/>
      </c>
    </row>
    <row r="11701" spans="20:20">
      <c r="T11701" t="str">
        <f t="shared" si="194"/>
        <v/>
      </c>
    </row>
    <row r="11702" spans="20:20">
      <c r="T11702" t="str">
        <f t="shared" si="194"/>
        <v/>
      </c>
    </row>
    <row r="11703" spans="20:20">
      <c r="T11703" t="str">
        <f t="shared" si="194"/>
        <v/>
      </c>
    </row>
    <row r="11704" spans="20:20">
      <c r="T11704" t="str">
        <f t="shared" si="194"/>
        <v/>
      </c>
    </row>
    <row r="11705" spans="20:20">
      <c r="T11705" t="str">
        <f t="shared" si="194"/>
        <v/>
      </c>
    </row>
    <row r="11706" spans="20:20">
      <c r="T11706" t="str">
        <f t="shared" si="194"/>
        <v/>
      </c>
    </row>
    <row r="11707" spans="20:20">
      <c r="T11707" t="str">
        <f t="shared" si="194"/>
        <v/>
      </c>
    </row>
    <row r="11708" spans="20:20">
      <c r="T11708" t="str">
        <f t="shared" si="194"/>
        <v/>
      </c>
    </row>
    <row r="11709" spans="20:20">
      <c r="T11709" t="str">
        <f t="shared" si="194"/>
        <v/>
      </c>
    </row>
    <row r="11710" spans="20:20">
      <c r="T11710" t="str">
        <f t="shared" si="194"/>
        <v/>
      </c>
    </row>
    <row r="11711" spans="20:20">
      <c r="T11711" t="str">
        <f t="shared" si="194"/>
        <v/>
      </c>
    </row>
    <row r="11712" spans="20:20">
      <c r="T11712" t="str">
        <f t="shared" si="194"/>
        <v/>
      </c>
    </row>
    <row r="11713" spans="20:20">
      <c r="T11713" t="str">
        <f t="shared" si="194"/>
        <v/>
      </c>
    </row>
    <row r="11714" spans="20:20">
      <c r="T11714" t="str">
        <f t="shared" ref="T11714:T11777" si="195">IF(C11714="","",UPPER(LEFT(SUBSTITUTE(C11714," ",""),3))&amp;"-"&amp;TEXT(B11714,"AAMMDD")&amp;"-1")</f>
        <v/>
      </c>
    </row>
    <row r="11715" spans="20:20">
      <c r="T11715" t="str">
        <f t="shared" si="195"/>
        <v/>
      </c>
    </row>
    <row r="11716" spans="20:20">
      <c r="T11716" t="str">
        <f t="shared" si="195"/>
        <v/>
      </c>
    </row>
    <row r="11717" spans="20:20">
      <c r="T11717" t="str">
        <f t="shared" si="195"/>
        <v/>
      </c>
    </row>
    <row r="11718" spans="20:20">
      <c r="T11718" t="str">
        <f t="shared" si="195"/>
        <v/>
      </c>
    </row>
    <row r="11719" spans="20:20">
      <c r="T11719" t="str">
        <f t="shared" si="195"/>
        <v/>
      </c>
    </row>
    <row r="11720" spans="20:20">
      <c r="T11720" t="str">
        <f t="shared" si="195"/>
        <v/>
      </c>
    </row>
    <row r="11721" spans="20:20">
      <c r="T11721" t="str">
        <f t="shared" si="195"/>
        <v/>
      </c>
    </row>
    <row r="11722" spans="20:20">
      <c r="T11722" t="str">
        <f t="shared" si="195"/>
        <v/>
      </c>
    </row>
    <row r="11723" spans="20:20">
      <c r="T11723" t="str">
        <f t="shared" si="195"/>
        <v/>
      </c>
    </row>
    <row r="11724" spans="20:20">
      <c r="T11724" t="str">
        <f t="shared" si="195"/>
        <v/>
      </c>
    </row>
    <row r="11725" spans="20:20">
      <c r="T11725" t="str">
        <f t="shared" si="195"/>
        <v/>
      </c>
    </row>
    <row r="11726" spans="20:20">
      <c r="T11726" t="str">
        <f t="shared" si="195"/>
        <v/>
      </c>
    </row>
    <row r="11727" spans="20:20">
      <c r="T11727" t="str">
        <f t="shared" si="195"/>
        <v/>
      </c>
    </row>
    <row r="11728" spans="20:20">
      <c r="T11728" t="str">
        <f t="shared" si="195"/>
        <v/>
      </c>
    </row>
    <row r="11729" spans="20:20">
      <c r="T11729" t="str">
        <f t="shared" si="195"/>
        <v/>
      </c>
    </row>
    <row r="11730" spans="20:20">
      <c r="T11730" t="str">
        <f t="shared" si="195"/>
        <v/>
      </c>
    </row>
    <row r="11731" spans="20:20">
      <c r="T11731" t="str">
        <f t="shared" si="195"/>
        <v/>
      </c>
    </row>
    <row r="11732" spans="20:20">
      <c r="T11732" t="str">
        <f t="shared" si="195"/>
        <v/>
      </c>
    </row>
    <row r="11733" spans="20:20">
      <c r="T11733" t="str">
        <f t="shared" si="195"/>
        <v/>
      </c>
    </row>
    <row r="11734" spans="20:20">
      <c r="T11734" t="str">
        <f t="shared" si="195"/>
        <v/>
      </c>
    </row>
    <row r="11735" spans="20:20">
      <c r="T11735" t="str">
        <f t="shared" si="195"/>
        <v/>
      </c>
    </row>
    <row r="11736" spans="20:20">
      <c r="T11736" t="str">
        <f t="shared" si="195"/>
        <v/>
      </c>
    </row>
    <row r="11737" spans="20:20">
      <c r="T11737" t="str">
        <f t="shared" si="195"/>
        <v/>
      </c>
    </row>
    <row r="11738" spans="20:20">
      <c r="T11738" t="str">
        <f t="shared" si="195"/>
        <v/>
      </c>
    </row>
    <row r="11739" spans="20:20">
      <c r="T11739" t="str">
        <f t="shared" si="195"/>
        <v/>
      </c>
    </row>
    <row r="11740" spans="20:20">
      <c r="T11740" t="str">
        <f t="shared" si="195"/>
        <v/>
      </c>
    </row>
    <row r="11741" spans="20:20">
      <c r="T11741" t="str">
        <f t="shared" si="195"/>
        <v/>
      </c>
    </row>
    <row r="11742" spans="20:20">
      <c r="T11742" t="str">
        <f t="shared" si="195"/>
        <v/>
      </c>
    </row>
    <row r="11743" spans="20:20">
      <c r="T11743" t="str">
        <f t="shared" si="195"/>
        <v/>
      </c>
    </row>
    <row r="11744" spans="20:20">
      <c r="T11744" t="str">
        <f t="shared" si="195"/>
        <v/>
      </c>
    </row>
    <row r="11745" spans="20:20">
      <c r="T11745" t="str">
        <f t="shared" si="195"/>
        <v/>
      </c>
    </row>
    <row r="11746" spans="20:20">
      <c r="T11746" t="str">
        <f t="shared" si="195"/>
        <v/>
      </c>
    </row>
    <row r="11747" spans="20:20">
      <c r="T11747" t="str">
        <f t="shared" si="195"/>
        <v/>
      </c>
    </row>
    <row r="11748" spans="20:20">
      <c r="T11748" t="str">
        <f t="shared" si="195"/>
        <v/>
      </c>
    </row>
    <row r="11749" spans="20:20">
      <c r="T11749" t="str">
        <f t="shared" si="195"/>
        <v/>
      </c>
    </row>
    <row r="11750" spans="20:20">
      <c r="T11750" t="str">
        <f t="shared" si="195"/>
        <v/>
      </c>
    </row>
    <row r="11751" spans="20:20">
      <c r="T11751" t="str">
        <f t="shared" si="195"/>
        <v/>
      </c>
    </row>
    <row r="11752" spans="20:20">
      <c r="T11752" t="str">
        <f t="shared" si="195"/>
        <v/>
      </c>
    </row>
    <row r="11753" spans="20:20">
      <c r="T11753" t="str">
        <f t="shared" si="195"/>
        <v/>
      </c>
    </row>
    <row r="11754" spans="20:20">
      <c r="T11754" t="str">
        <f t="shared" si="195"/>
        <v/>
      </c>
    </row>
    <row r="11755" spans="20:20">
      <c r="T11755" t="str">
        <f t="shared" si="195"/>
        <v/>
      </c>
    </row>
    <row r="11756" spans="20:20">
      <c r="T11756" t="str">
        <f t="shared" si="195"/>
        <v/>
      </c>
    </row>
    <row r="11757" spans="20:20">
      <c r="T11757" t="str">
        <f t="shared" si="195"/>
        <v/>
      </c>
    </row>
    <row r="11758" spans="20:20">
      <c r="T11758" t="str">
        <f t="shared" si="195"/>
        <v/>
      </c>
    </row>
    <row r="11759" spans="20:20">
      <c r="T11759" t="str">
        <f t="shared" si="195"/>
        <v/>
      </c>
    </row>
    <row r="11760" spans="20:20">
      <c r="T11760" t="str">
        <f t="shared" si="195"/>
        <v/>
      </c>
    </row>
    <row r="11761" spans="20:20">
      <c r="T11761" t="str">
        <f t="shared" si="195"/>
        <v/>
      </c>
    </row>
    <row r="11762" spans="20:20">
      <c r="T11762" t="str">
        <f t="shared" si="195"/>
        <v/>
      </c>
    </row>
    <row r="11763" spans="20:20">
      <c r="T11763" t="str">
        <f t="shared" si="195"/>
        <v/>
      </c>
    </row>
    <row r="11764" spans="20:20">
      <c r="T11764" t="str">
        <f t="shared" si="195"/>
        <v/>
      </c>
    </row>
    <row r="11765" spans="20:20">
      <c r="T11765" t="str">
        <f t="shared" si="195"/>
        <v/>
      </c>
    </row>
    <row r="11766" spans="20:20">
      <c r="T11766" t="str">
        <f t="shared" si="195"/>
        <v/>
      </c>
    </row>
    <row r="11767" spans="20:20">
      <c r="T11767" t="str">
        <f t="shared" si="195"/>
        <v/>
      </c>
    </row>
    <row r="11768" spans="20:20">
      <c r="T11768" t="str">
        <f t="shared" si="195"/>
        <v/>
      </c>
    </row>
    <row r="11769" spans="20:20">
      <c r="T11769" t="str">
        <f t="shared" si="195"/>
        <v/>
      </c>
    </row>
    <row r="11770" spans="20:20">
      <c r="T11770" t="str">
        <f t="shared" si="195"/>
        <v/>
      </c>
    </row>
    <row r="11771" spans="20:20">
      <c r="T11771" t="str">
        <f t="shared" si="195"/>
        <v/>
      </c>
    </row>
    <row r="11772" spans="20:20">
      <c r="T11772" t="str">
        <f t="shared" si="195"/>
        <v/>
      </c>
    </row>
    <row r="11773" spans="20:20">
      <c r="T11773" t="str">
        <f t="shared" si="195"/>
        <v/>
      </c>
    </row>
    <row r="11774" spans="20:20">
      <c r="T11774" t="str">
        <f t="shared" si="195"/>
        <v/>
      </c>
    </row>
    <row r="11775" spans="20:20">
      <c r="T11775" t="str">
        <f t="shared" si="195"/>
        <v/>
      </c>
    </row>
    <row r="11776" spans="20:20">
      <c r="T11776" t="str">
        <f t="shared" si="195"/>
        <v/>
      </c>
    </row>
    <row r="11777" spans="20:20">
      <c r="T11777" t="str">
        <f t="shared" si="195"/>
        <v/>
      </c>
    </row>
    <row r="11778" spans="20:20">
      <c r="T11778" t="str">
        <f t="shared" ref="T11778:T11841" si="196">IF(C11778="","",UPPER(LEFT(SUBSTITUTE(C11778," ",""),3))&amp;"-"&amp;TEXT(B11778,"AAMMDD")&amp;"-1")</f>
        <v/>
      </c>
    </row>
    <row r="11779" spans="20:20">
      <c r="T11779" t="str">
        <f t="shared" si="196"/>
        <v/>
      </c>
    </row>
    <row r="11780" spans="20:20">
      <c r="T11780" t="str">
        <f t="shared" si="196"/>
        <v/>
      </c>
    </row>
    <row r="11781" spans="20:20">
      <c r="T11781" t="str">
        <f t="shared" si="196"/>
        <v/>
      </c>
    </row>
    <row r="11782" spans="20:20">
      <c r="T11782" t="str">
        <f t="shared" si="196"/>
        <v/>
      </c>
    </row>
    <row r="11783" spans="20:20">
      <c r="T11783" t="str">
        <f t="shared" si="196"/>
        <v/>
      </c>
    </row>
    <row r="11784" spans="20:20">
      <c r="T11784" t="str">
        <f t="shared" si="196"/>
        <v/>
      </c>
    </row>
    <row r="11785" spans="20:20">
      <c r="T11785" t="str">
        <f t="shared" si="196"/>
        <v/>
      </c>
    </row>
    <row r="11786" spans="20:20">
      <c r="T11786" t="str">
        <f t="shared" si="196"/>
        <v/>
      </c>
    </row>
    <row r="11787" spans="20:20">
      <c r="T11787" t="str">
        <f t="shared" si="196"/>
        <v/>
      </c>
    </row>
    <row r="11788" spans="20:20">
      <c r="T11788" t="str">
        <f t="shared" si="196"/>
        <v/>
      </c>
    </row>
    <row r="11789" spans="20:20">
      <c r="T11789" t="str">
        <f t="shared" si="196"/>
        <v/>
      </c>
    </row>
    <row r="11790" spans="20:20">
      <c r="T11790" t="str">
        <f t="shared" si="196"/>
        <v/>
      </c>
    </row>
    <row r="11791" spans="20:20">
      <c r="T11791" t="str">
        <f t="shared" si="196"/>
        <v/>
      </c>
    </row>
    <row r="11792" spans="20:20">
      <c r="T11792" t="str">
        <f t="shared" si="196"/>
        <v/>
      </c>
    </row>
    <row r="11793" spans="20:20">
      <c r="T11793" t="str">
        <f t="shared" si="196"/>
        <v/>
      </c>
    </row>
    <row r="11794" spans="20:20">
      <c r="T11794" t="str">
        <f t="shared" si="196"/>
        <v/>
      </c>
    </row>
    <row r="11795" spans="20:20">
      <c r="T11795" t="str">
        <f t="shared" si="196"/>
        <v/>
      </c>
    </row>
    <row r="11796" spans="20:20">
      <c r="T11796" t="str">
        <f t="shared" si="196"/>
        <v/>
      </c>
    </row>
    <row r="11797" spans="20:20">
      <c r="T11797" t="str">
        <f t="shared" si="196"/>
        <v/>
      </c>
    </row>
    <row r="11798" spans="20:20">
      <c r="T11798" t="str">
        <f t="shared" si="196"/>
        <v/>
      </c>
    </row>
    <row r="11799" spans="20:20">
      <c r="T11799" t="str">
        <f t="shared" si="196"/>
        <v/>
      </c>
    </row>
    <row r="11800" spans="20:20">
      <c r="T11800" t="str">
        <f t="shared" si="196"/>
        <v/>
      </c>
    </row>
    <row r="11801" spans="20:20">
      <c r="T11801" t="str">
        <f t="shared" si="196"/>
        <v/>
      </c>
    </row>
    <row r="11802" spans="20:20">
      <c r="T11802" t="str">
        <f t="shared" si="196"/>
        <v/>
      </c>
    </row>
    <row r="11803" spans="20:20">
      <c r="T11803" t="str">
        <f t="shared" si="196"/>
        <v/>
      </c>
    </row>
    <row r="11804" spans="20:20">
      <c r="T11804" t="str">
        <f t="shared" si="196"/>
        <v/>
      </c>
    </row>
    <row r="11805" spans="20:20">
      <c r="T11805" t="str">
        <f t="shared" si="196"/>
        <v/>
      </c>
    </row>
    <row r="11806" spans="20:20">
      <c r="T11806" t="str">
        <f t="shared" si="196"/>
        <v/>
      </c>
    </row>
    <row r="11807" spans="20:20">
      <c r="T11807" t="str">
        <f t="shared" si="196"/>
        <v/>
      </c>
    </row>
    <row r="11808" spans="20:20">
      <c r="T11808" t="str">
        <f t="shared" si="196"/>
        <v/>
      </c>
    </row>
    <row r="11809" spans="20:20">
      <c r="T11809" t="str">
        <f t="shared" si="196"/>
        <v/>
      </c>
    </row>
    <row r="11810" spans="20:20">
      <c r="T11810" t="str">
        <f t="shared" si="196"/>
        <v/>
      </c>
    </row>
    <row r="11811" spans="20:20">
      <c r="T11811" t="str">
        <f t="shared" si="196"/>
        <v/>
      </c>
    </row>
    <row r="11812" spans="20:20">
      <c r="T11812" t="str">
        <f t="shared" si="196"/>
        <v/>
      </c>
    </row>
    <row r="11813" spans="20:20">
      <c r="T11813" t="str">
        <f t="shared" si="196"/>
        <v/>
      </c>
    </row>
    <row r="11814" spans="20:20">
      <c r="T11814" t="str">
        <f t="shared" si="196"/>
        <v/>
      </c>
    </row>
    <row r="11815" spans="20:20">
      <c r="T11815" t="str">
        <f t="shared" si="196"/>
        <v/>
      </c>
    </row>
    <row r="11816" spans="20:20">
      <c r="T11816" t="str">
        <f t="shared" si="196"/>
        <v/>
      </c>
    </row>
    <row r="11817" spans="20:20">
      <c r="T11817" t="str">
        <f t="shared" si="196"/>
        <v/>
      </c>
    </row>
    <row r="11818" spans="20:20">
      <c r="T11818" t="str">
        <f t="shared" si="196"/>
        <v/>
      </c>
    </row>
    <row r="11819" spans="20:20">
      <c r="T11819" t="str">
        <f t="shared" si="196"/>
        <v/>
      </c>
    </row>
    <row r="11820" spans="20:20">
      <c r="T11820" t="str">
        <f t="shared" si="196"/>
        <v/>
      </c>
    </row>
    <row r="11821" spans="20:20">
      <c r="T11821" t="str">
        <f t="shared" si="196"/>
        <v/>
      </c>
    </row>
    <row r="11822" spans="20:20">
      <c r="T11822" t="str">
        <f t="shared" si="196"/>
        <v/>
      </c>
    </row>
    <row r="11823" spans="20:20">
      <c r="T11823" t="str">
        <f t="shared" si="196"/>
        <v/>
      </c>
    </row>
    <row r="11824" spans="20:20">
      <c r="T11824" t="str">
        <f t="shared" si="196"/>
        <v/>
      </c>
    </row>
    <row r="11825" spans="20:20">
      <c r="T11825" t="str">
        <f t="shared" si="196"/>
        <v/>
      </c>
    </row>
    <row r="11826" spans="20:20">
      <c r="T11826" t="str">
        <f t="shared" si="196"/>
        <v/>
      </c>
    </row>
    <row r="11827" spans="20:20">
      <c r="T11827" t="str">
        <f t="shared" si="196"/>
        <v/>
      </c>
    </row>
    <row r="11828" spans="20:20">
      <c r="T11828" t="str">
        <f t="shared" si="196"/>
        <v/>
      </c>
    </row>
    <row r="11829" spans="20:20">
      <c r="T11829" t="str">
        <f t="shared" si="196"/>
        <v/>
      </c>
    </row>
    <row r="11830" spans="20:20">
      <c r="T11830" t="str">
        <f t="shared" si="196"/>
        <v/>
      </c>
    </row>
    <row r="11831" spans="20:20">
      <c r="T11831" t="str">
        <f t="shared" si="196"/>
        <v/>
      </c>
    </row>
    <row r="11832" spans="20:20">
      <c r="T11832" t="str">
        <f t="shared" si="196"/>
        <v/>
      </c>
    </row>
    <row r="11833" spans="20:20">
      <c r="T11833" t="str">
        <f t="shared" si="196"/>
        <v/>
      </c>
    </row>
    <row r="11834" spans="20:20">
      <c r="T11834" t="str">
        <f t="shared" si="196"/>
        <v/>
      </c>
    </row>
    <row r="11835" spans="20:20">
      <c r="T11835" t="str">
        <f t="shared" si="196"/>
        <v/>
      </c>
    </row>
    <row r="11836" spans="20:20">
      <c r="T11836" t="str">
        <f t="shared" si="196"/>
        <v/>
      </c>
    </row>
    <row r="11837" spans="20:20">
      <c r="T11837" t="str">
        <f t="shared" si="196"/>
        <v/>
      </c>
    </row>
    <row r="11838" spans="20:20">
      <c r="T11838" t="str">
        <f t="shared" si="196"/>
        <v/>
      </c>
    </row>
    <row r="11839" spans="20:20">
      <c r="T11839" t="str">
        <f t="shared" si="196"/>
        <v/>
      </c>
    </row>
    <row r="11840" spans="20:20">
      <c r="T11840" t="str">
        <f t="shared" si="196"/>
        <v/>
      </c>
    </row>
    <row r="11841" spans="20:20">
      <c r="T11841" t="str">
        <f t="shared" si="196"/>
        <v/>
      </c>
    </row>
    <row r="11842" spans="20:20">
      <c r="T11842" t="str">
        <f t="shared" ref="T11842:T11905" si="197">IF(C11842="","",UPPER(LEFT(SUBSTITUTE(C11842," ",""),3))&amp;"-"&amp;TEXT(B11842,"AAMMDD")&amp;"-1")</f>
        <v/>
      </c>
    </row>
    <row r="11843" spans="20:20">
      <c r="T11843" t="str">
        <f t="shared" si="197"/>
        <v/>
      </c>
    </row>
    <row r="11844" spans="20:20">
      <c r="T11844" t="str">
        <f t="shared" si="197"/>
        <v/>
      </c>
    </row>
    <row r="11845" spans="20:20">
      <c r="T11845" t="str">
        <f t="shared" si="197"/>
        <v/>
      </c>
    </row>
    <row r="11846" spans="20:20">
      <c r="T11846" t="str">
        <f t="shared" si="197"/>
        <v/>
      </c>
    </row>
    <row r="11847" spans="20:20">
      <c r="T11847" t="str">
        <f t="shared" si="197"/>
        <v/>
      </c>
    </row>
    <row r="11848" spans="20:20">
      <c r="T11848" t="str">
        <f t="shared" si="197"/>
        <v/>
      </c>
    </row>
    <row r="11849" spans="20:20">
      <c r="T11849" t="str">
        <f t="shared" si="197"/>
        <v/>
      </c>
    </row>
    <row r="11850" spans="20:20">
      <c r="T11850" t="str">
        <f t="shared" si="197"/>
        <v/>
      </c>
    </row>
    <row r="11851" spans="20:20">
      <c r="T11851" t="str">
        <f t="shared" si="197"/>
        <v/>
      </c>
    </row>
    <row r="11852" spans="20:20">
      <c r="T11852" t="str">
        <f t="shared" si="197"/>
        <v/>
      </c>
    </row>
    <row r="11853" spans="20:20">
      <c r="T11853" t="str">
        <f t="shared" si="197"/>
        <v/>
      </c>
    </row>
    <row r="11854" spans="20:20">
      <c r="T11854" t="str">
        <f t="shared" si="197"/>
        <v/>
      </c>
    </row>
    <row r="11855" spans="20:20">
      <c r="T11855" t="str">
        <f t="shared" si="197"/>
        <v/>
      </c>
    </row>
    <row r="11856" spans="20:20">
      <c r="T11856" t="str">
        <f t="shared" si="197"/>
        <v/>
      </c>
    </row>
    <row r="11857" spans="20:20">
      <c r="T11857" t="str">
        <f t="shared" si="197"/>
        <v/>
      </c>
    </row>
    <row r="11858" spans="20:20">
      <c r="T11858" t="str">
        <f t="shared" si="197"/>
        <v/>
      </c>
    </row>
    <row r="11859" spans="20:20">
      <c r="T11859" t="str">
        <f t="shared" si="197"/>
        <v/>
      </c>
    </row>
    <row r="11860" spans="20:20">
      <c r="T11860" t="str">
        <f t="shared" si="197"/>
        <v/>
      </c>
    </row>
    <row r="11861" spans="20:20">
      <c r="T11861" t="str">
        <f t="shared" si="197"/>
        <v/>
      </c>
    </row>
    <row r="11862" spans="20:20">
      <c r="T11862" t="str">
        <f t="shared" si="197"/>
        <v/>
      </c>
    </row>
    <row r="11863" spans="20:20">
      <c r="T11863" t="str">
        <f t="shared" si="197"/>
        <v/>
      </c>
    </row>
    <row r="11864" spans="20:20">
      <c r="T11864" t="str">
        <f t="shared" si="197"/>
        <v/>
      </c>
    </row>
    <row r="11865" spans="20:20">
      <c r="T11865" t="str">
        <f t="shared" si="197"/>
        <v/>
      </c>
    </row>
    <row r="11866" spans="20:20">
      <c r="T11866" t="str">
        <f t="shared" si="197"/>
        <v/>
      </c>
    </row>
    <row r="11867" spans="20:20">
      <c r="T11867" t="str">
        <f t="shared" si="197"/>
        <v/>
      </c>
    </row>
    <row r="11868" spans="20:20">
      <c r="T11868" t="str">
        <f t="shared" si="197"/>
        <v/>
      </c>
    </row>
    <row r="11869" spans="20:20">
      <c r="T11869" t="str">
        <f t="shared" si="197"/>
        <v/>
      </c>
    </row>
    <row r="11870" spans="20:20">
      <c r="T11870" t="str">
        <f t="shared" si="197"/>
        <v/>
      </c>
    </row>
    <row r="11871" spans="20:20">
      <c r="T11871" t="str">
        <f t="shared" si="197"/>
        <v/>
      </c>
    </row>
    <row r="11872" spans="20:20">
      <c r="T11872" t="str">
        <f t="shared" si="197"/>
        <v/>
      </c>
    </row>
    <row r="11873" spans="20:20">
      <c r="T11873" t="str">
        <f t="shared" si="197"/>
        <v/>
      </c>
    </row>
    <row r="11874" spans="20:20">
      <c r="T11874" t="str">
        <f t="shared" si="197"/>
        <v/>
      </c>
    </row>
    <row r="11875" spans="20:20">
      <c r="T11875" t="str">
        <f t="shared" si="197"/>
        <v/>
      </c>
    </row>
    <row r="11876" spans="20:20">
      <c r="T11876" t="str">
        <f t="shared" si="197"/>
        <v/>
      </c>
    </row>
    <row r="11877" spans="20:20">
      <c r="T11877" t="str">
        <f t="shared" si="197"/>
        <v/>
      </c>
    </row>
    <row r="11878" spans="20:20">
      <c r="T11878" t="str">
        <f t="shared" si="197"/>
        <v/>
      </c>
    </row>
    <row r="11879" spans="20:20">
      <c r="T11879" t="str">
        <f t="shared" si="197"/>
        <v/>
      </c>
    </row>
    <row r="11880" spans="20:20">
      <c r="T11880" t="str">
        <f t="shared" si="197"/>
        <v/>
      </c>
    </row>
    <row r="11881" spans="20:20">
      <c r="T11881" t="str">
        <f t="shared" si="197"/>
        <v/>
      </c>
    </row>
    <row r="11882" spans="20:20">
      <c r="T11882" t="str">
        <f t="shared" si="197"/>
        <v/>
      </c>
    </row>
    <row r="11883" spans="20:20">
      <c r="T11883" t="str">
        <f t="shared" si="197"/>
        <v/>
      </c>
    </row>
    <row r="11884" spans="20:20">
      <c r="T11884" t="str">
        <f t="shared" si="197"/>
        <v/>
      </c>
    </row>
    <row r="11885" spans="20:20">
      <c r="T11885" t="str">
        <f t="shared" si="197"/>
        <v/>
      </c>
    </row>
    <row r="11886" spans="20:20">
      <c r="T11886" t="str">
        <f t="shared" si="197"/>
        <v/>
      </c>
    </row>
    <row r="11887" spans="20:20">
      <c r="T11887" t="str">
        <f t="shared" si="197"/>
        <v/>
      </c>
    </row>
    <row r="11888" spans="20:20">
      <c r="T11888" t="str">
        <f t="shared" si="197"/>
        <v/>
      </c>
    </row>
    <row r="11889" spans="20:20">
      <c r="T11889" t="str">
        <f t="shared" si="197"/>
        <v/>
      </c>
    </row>
    <row r="11890" spans="20:20">
      <c r="T11890" t="str">
        <f t="shared" si="197"/>
        <v/>
      </c>
    </row>
    <row r="11891" spans="20:20">
      <c r="T11891" t="str">
        <f t="shared" si="197"/>
        <v/>
      </c>
    </row>
    <row r="11892" spans="20:20">
      <c r="T11892" t="str">
        <f t="shared" si="197"/>
        <v/>
      </c>
    </row>
    <row r="11893" spans="20:20">
      <c r="T11893" t="str">
        <f t="shared" si="197"/>
        <v/>
      </c>
    </row>
    <row r="11894" spans="20:20">
      <c r="T11894" t="str">
        <f t="shared" si="197"/>
        <v/>
      </c>
    </row>
    <row r="11895" spans="20:20">
      <c r="T11895" t="str">
        <f t="shared" si="197"/>
        <v/>
      </c>
    </row>
    <row r="11896" spans="20:20">
      <c r="T11896" t="str">
        <f t="shared" si="197"/>
        <v/>
      </c>
    </row>
    <row r="11897" spans="20:20">
      <c r="T11897" t="str">
        <f t="shared" si="197"/>
        <v/>
      </c>
    </row>
    <row r="11898" spans="20:20">
      <c r="T11898" t="str">
        <f t="shared" si="197"/>
        <v/>
      </c>
    </row>
    <row r="11899" spans="20:20">
      <c r="T11899" t="str">
        <f t="shared" si="197"/>
        <v/>
      </c>
    </row>
    <row r="11900" spans="20:20">
      <c r="T11900" t="str">
        <f t="shared" si="197"/>
        <v/>
      </c>
    </row>
    <row r="11901" spans="20:20">
      <c r="T11901" t="str">
        <f t="shared" si="197"/>
        <v/>
      </c>
    </row>
    <row r="11902" spans="20:20">
      <c r="T11902" t="str">
        <f t="shared" si="197"/>
        <v/>
      </c>
    </row>
    <row r="11903" spans="20:20">
      <c r="T11903" t="str">
        <f t="shared" si="197"/>
        <v/>
      </c>
    </row>
    <row r="11904" spans="20:20">
      <c r="T11904" t="str">
        <f t="shared" si="197"/>
        <v/>
      </c>
    </row>
    <row r="11905" spans="20:20">
      <c r="T11905" t="str">
        <f t="shared" si="197"/>
        <v/>
      </c>
    </row>
    <row r="11906" spans="20:20">
      <c r="T11906" t="str">
        <f t="shared" ref="T11906:T11969" si="198">IF(C11906="","",UPPER(LEFT(SUBSTITUTE(C11906," ",""),3))&amp;"-"&amp;TEXT(B11906,"AAMMDD")&amp;"-1")</f>
        <v/>
      </c>
    </row>
    <row r="11907" spans="20:20">
      <c r="T11907" t="str">
        <f t="shared" si="198"/>
        <v/>
      </c>
    </row>
    <row r="11908" spans="20:20">
      <c r="T11908" t="str">
        <f t="shared" si="198"/>
        <v/>
      </c>
    </row>
    <row r="11909" spans="20:20">
      <c r="T11909" t="str">
        <f t="shared" si="198"/>
        <v/>
      </c>
    </row>
    <row r="11910" spans="20:20">
      <c r="T11910" t="str">
        <f t="shared" si="198"/>
        <v/>
      </c>
    </row>
    <row r="11911" spans="20:20">
      <c r="T11911" t="str">
        <f t="shared" si="198"/>
        <v/>
      </c>
    </row>
    <row r="11912" spans="20:20">
      <c r="T11912" t="str">
        <f t="shared" si="198"/>
        <v/>
      </c>
    </row>
    <row r="11913" spans="20:20">
      <c r="T11913" t="str">
        <f t="shared" si="198"/>
        <v/>
      </c>
    </row>
    <row r="11914" spans="20:20">
      <c r="T11914" t="str">
        <f t="shared" si="198"/>
        <v/>
      </c>
    </row>
    <row r="11915" spans="20:20">
      <c r="T11915" t="str">
        <f t="shared" si="198"/>
        <v/>
      </c>
    </row>
    <row r="11916" spans="20:20">
      <c r="T11916" t="str">
        <f t="shared" si="198"/>
        <v/>
      </c>
    </row>
    <row r="11917" spans="20:20">
      <c r="T11917" t="str">
        <f t="shared" si="198"/>
        <v/>
      </c>
    </row>
    <row r="11918" spans="20:20">
      <c r="T11918" t="str">
        <f t="shared" si="198"/>
        <v/>
      </c>
    </row>
    <row r="11919" spans="20:20">
      <c r="T11919" t="str">
        <f t="shared" si="198"/>
        <v/>
      </c>
    </row>
    <row r="11920" spans="20:20">
      <c r="T11920" t="str">
        <f t="shared" si="198"/>
        <v/>
      </c>
    </row>
    <row r="11921" spans="20:20">
      <c r="T11921" t="str">
        <f t="shared" si="198"/>
        <v/>
      </c>
    </row>
    <row r="11922" spans="20:20">
      <c r="T11922" t="str">
        <f t="shared" si="198"/>
        <v/>
      </c>
    </row>
    <row r="11923" spans="20:20">
      <c r="T11923" t="str">
        <f t="shared" si="198"/>
        <v/>
      </c>
    </row>
    <row r="11924" spans="20:20">
      <c r="T11924" t="str">
        <f t="shared" si="198"/>
        <v/>
      </c>
    </row>
    <row r="11925" spans="20:20">
      <c r="T11925" t="str">
        <f t="shared" si="198"/>
        <v/>
      </c>
    </row>
    <row r="11926" spans="20:20">
      <c r="T11926" t="str">
        <f t="shared" si="198"/>
        <v/>
      </c>
    </row>
    <row r="11927" spans="20:20">
      <c r="T11927" t="str">
        <f t="shared" si="198"/>
        <v/>
      </c>
    </row>
    <row r="11928" spans="20:20">
      <c r="T11928" t="str">
        <f t="shared" si="198"/>
        <v/>
      </c>
    </row>
    <row r="11929" spans="20:20">
      <c r="T11929" t="str">
        <f t="shared" si="198"/>
        <v/>
      </c>
    </row>
    <row r="11930" spans="20:20">
      <c r="T11930" t="str">
        <f t="shared" si="198"/>
        <v/>
      </c>
    </row>
    <row r="11931" spans="20:20">
      <c r="T11931" t="str">
        <f t="shared" si="198"/>
        <v/>
      </c>
    </row>
    <row r="11932" spans="20:20">
      <c r="T11932" t="str">
        <f t="shared" si="198"/>
        <v/>
      </c>
    </row>
    <row r="11933" spans="20:20">
      <c r="T11933" t="str">
        <f t="shared" si="198"/>
        <v/>
      </c>
    </row>
    <row r="11934" spans="20:20">
      <c r="T11934" t="str">
        <f t="shared" si="198"/>
        <v/>
      </c>
    </row>
    <row r="11935" spans="20:20">
      <c r="T11935" t="str">
        <f t="shared" si="198"/>
        <v/>
      </c>
    </row>
    <row r="11936" spans="20:20">
      <c r="T11936" t="str">
        <f t="shared" si="198"/>
        <v/>
      </c>
    </row>
    <row r="11937" spans="20:20">
      <c r="T11937" t="str">
        <f t="shared" si="198"/>
        <v/>
      </c>
    </row>
    <row r="11938" spans="20:20">
      <c r="T11938" t="str">
        <f t="shared" si="198"/>
        <v/>
      </c>
    </row>
    <row r="11939" spans="20:20">
      <c r="T11939" t="str">
        <f t="shared" si="198"/>
        <v/>
      </c>
    </row>
    <row r="11940" spans="20:20">
      <c r="T11940" t="str">
        <f t="shared" si="198"/>
        <v/>
      </c>
    </row>
    <row r="11941" spans="20:20">
      <c r="T11941" t="str">
        <f t="shared" si="198"/>
        <v/>
      </c>
    </row>
    <row r="11942" spans="20:20">
      <c r="T11942" t="str">
        <f t="shared" si="198"/>
        <v/>
      </c>
    </row>
    <row r="11943" spans="20:20">
      <c r="T11943" t="str">
        <f t="shared" si="198"/>
        <v/>
      </c>
    </row>
    <row r="11944" spans="20:20">
      <c r="T11944" t="str">
        <f t="shared" si="198"/>
        <v/>
      </c>
    </row>
    <row r="11945" spans="20:20">
      <c r="T11945" t="str">
        <f t="shared" si="198"/>
        <v/>
      </c>
    </row>
    <row r="11946" spans="20:20">
      <c r="T11946" t="str">
        <f t="shared" si="198"/>
        <v/>
      </c>
    </row>
    <row r="11947" spans="20:20">
      <c r="T11947" t="str">
        <f t="shared" si="198"/>
        <v/>
      </c>
    </row>
    <row r="11948" spans="20:20">
      <c r="T11948" t="str">
        <f t="shared" si="198"/>
        <v/>
      </c>
    </row>
    <row r="11949" spans="20:20">
      <c r="T11949" t="str">
        <f t="shared" si="198"/>
        <v/>
      </c>
    </row>
    <row r="11950" spans="20:20">
      <c r="T11950" t="str">
        <f t="shared" si="198"/>
        <v/>
      </c>
    </row>
    <row r="11951" spans="20:20">
      <c r="T11951" t="str">
        <f t="shared" si="198"/>
        <v/>
      </c>
    </row>
    <row r="11952" spans="20:20">
      <c r="T11952" t="str">
        <f t="shared" si="198"/>
        <v/>
      </c>
    </row>
    <row r="11953" spans="20:20">
      <c r="T11953" t="str">
        <f t="shared" si="198"/>
        <v/>
      </c>
    </row>
    <row r="11954" spans="20:20">
      <c r="T11954" t="str">
        <f t="shared" si="198"/>
        <v/>
      </c>
    </row>
    <row r="11955" spans="20:20">
      <c r="T11955" t="str">
        <f t="shared" si="198"/>
        <v/>
      </c>
    </row>
    <row r="11956" spans="20:20">
      <c r="T11956" t="str">
        <f t="shared" si="198"/>
        <v/>
      </c>
    </row>
    <row r="11957" spans="20:20">
      <c r="T11957" t="str">
        <f t="shared" si="198"/>
        <v/>
      </c>
    </row>
    <row r="11958" spans="20:20">
      <c r="T11958" t="str">
        <f t="shared" si="198"/>
        <v/>
      </c>
    </row>
    <row r="11959" spans="20:20">
      <c r="T11959" t="str">
        <f t="shared" si="198"/>
        <v/>
      </c>
    </row>
    <row r="11960" spans="20:20">
      <c r="T11960" t="str">
        <f t="shared" si="198"/>
        <v/>
      </c>
    </row>
    <row r="11961" spans="20:20">
      <c r="T11961" t="str">
        <f t="shared" si="198"/>
        <v/>
      </c>
    </row>
    <row r="11962" spans="20:20">
      <c r="T11962" t="str">
        <f t="shared" si="198"/>
        <v/>
      </c>
    </row>
    <row r="11963" spans="20:20">
      <c r="T11963" t="str">
        <f t="shared" si="198"/>
        <v/>
      </c>
    </row>
    <row r="11964" spans="20:20">
      <c r="T11964" t="str">
        <f t="shared" si="198"/>
        <v/>
      </c>
    </row>
    <row r="11965" spans="20:20">
      <c r="T11965" t="str">
        <f t="shared" si="198"/>
        <v/>
      </c>
    </row>
    <row r="11966" spans="20:20">
      <c r="T11966" t="str">
        <f t="shared" si="198"/>
        <v/>
      </c>
    </row>
    <row r="11967" spans="20:20">
      <c r="T11967" t="str">
        <f t="shared" si="198"/>
        <v/>
      </c>
    </row>
    <row r="11968" spans="20:20">
      <c r="T11968" t="str">
        <f t="shared" si="198"/>
        <v/>
      </c>
    </row>
    <row r="11969" spans="20:20">
      <c r="T11969" t="str">
        <f t="shared" si="198"/>
        <v/>
      </c>
    </row>
    <row r="11970" spans="20:20">
      <c r="T11970" t="str">
        <f t="shared" ref="T11970:T12001" si="199">IF(C11970="","",UPPER(LEFT(SUBSTITUTE(C11970," ",""),3))&amp;"-"&amp;TEXT(B11970,"AAMMDD")&amp;"-1")</f>
        <v/>
      </c>
    </row>
    <row r="11971" spans="20:20">
      <c r="T11971" t="str">
        <f t="shared" si="199"/>
        <v/>
      </c>
    </row>
    <row r="11972" spans="20:20">
      <c r="T11972" t="str">
        <f t="shared" si="199"/>
        <v/>
      </c>
    </row>
    <row r="11973" spans="20:20">
      <c r="T11973" t="str">
        <f t="shared" si="199"/>
        <v/>
      </c>
    </row>
    <row r="11974" spans="20:20">
      <c r="T11974" t="str">
        <f t="shared" si="199"/>
        <v/>
      </c>
    </row>
    <row r="11975" spans="20:20">
      <c r="T11975" t="str">
        <f t="shared" si="199"/>
        <v/>
      </c>
    </row>
    <row r="11976" spans="20:20">
      <c r="T11976" t="str">
        <f t="shared" si="199"/>
        <v/>
      </c>
    </row>
    <row r="11977" spans="20:20">
      <c r="T11977" t="str">
        <f t="shared" si="199"/>
        <v/>
      </c>
    </row>
    <row r="11978" spans="20:20">
      <c r="T11978" t="str">
        <f t="shared" si="199"/>
        <v/>
      </c>
    </row>
    <row r="11979" spans="20:20">
      <c r="T11979" t="str">
        <f t="shared" si="199"/>
        <v/>
      </c>
    </row>
    <row r="11980" spans="20:20">
      <c r="T11980" t="str">
        <f t="shared" si="199"/>
        <v/>
      </c>
    </row>
    <row r="11981" spans="20:20">
      <c r="T11981" t="str">
        <f t="shared" si="199"/>
        <v/>
      </c>
    </row>
    <row r="11982" spans="20:20">
      <c r="T11982" t="str">
        <f t="shared" si="199"/>
        <v/>
      </c>
    </row>
    <row r="11983" spans="20:20">
      <c r="T11983" t="str">
        <f t="shared" si="199"/>
        <v/>
      </c>
    </row>
    <row r="11984" spans="20:20">
      <c r="T11984" t="str">
        <f t="shared" si="199"/>
        <v/>
      </c>
    </row>
    <row r="11985" spans="20:20">
      <c r="T11985" t="str">
        <f t="shared" si="199"/>
        <v/>
      </c>
    </row>
    <row r="11986" spans="20:20">
      <c r="T11986" t="str">
        <f t="shared" si="199"/>
        <v/>
      </c>
    </row>
    <row r="11987" spans="20:20">
      <c r="T11987" t="str">
        <f t="shared" si="199"/>
        <v/>
      </c>
    </row>
    <row r="11988" spans="20:20">
      <c r="T11988" t="str">
        <f t="shared" si="199"/>
        <v/>
      </c>
    </row>
    <row r="11989" spans="20:20">
      <c r="T11989" t="str">
        <f t="shared" si="199"/>
        <v/>
      </c>
    </row>
    <row r="11990" spans="20:20">
      <c r="T11990" t="str">
        <f t="shared" si="199"/>
        <v/>
      </c>
    </row>
    <row r="11991" spans="20:20">
      <c r="T11991" t="str">
        <f t="shared" si="199"/>
        <v/>
      </c>
    </row>
    <row r="11992" spans="20:20">
      <c r="T11992" t="str">
        <f t="shared" si="199"/>
        <v/>
      </c>
    </row>
    <row r="11993" spans="20:20">
      <c r="T11993" t="str">
        <f t="shared" si="199"/>
        <v/>
      </c>
    </row>
    <row r="11994" spans="20:20">
      <c r="T11994" t="str">
        <f t="shared" si="199"/>
        <v/>
      </c>
    </row>
    <row r="11995" spans="20:20">
      <c r="T11995" t="str">
        <f t="shared" si="199"/>
        <v/>
      </c>
    </row>
    <row r="11996" spans="20:20">
      <c r="T11996" t="str">
        <f t="shared" si="199"/>
        <v/>
      </c>
    </row>
    <row r="11997" spans="20:20">
      <c r="T11997" t="str">
        <f t="shared" si="199"/>
        <v/>
      </c>
    </row>
    <row r="11998" spans="20:20">
      <c r="T11998" t="str">
        <f t="shared" si="199"/>
        <v/>
      </c>
    </row>
    <row r="11999" spans="20:20">
      <c r="T11999" t="str">
        <f t="shared" si="199"/>
        <v/>
      </c>
    </row>
    <row r="12000" spans="20:20">
      <c r="T12000" t="str">
        <f t="shared" si="199"/>
        <v/>
      </c>
    </row>
    <row r="12001" spans="20:20">
      <c r="T12001" t="str">
        <f t="shared" si="199"/>
        <v/>
      </c>
    </row>
  </sheetData>
  <phoneticPr fontId="10" type="noConversion"/>
  <conditionalFormatting sqref="A17:A2004 A5:Q16 B17:Q2001">
    <cfRule type="expression" dxfId="8" priority="1">
      <formula>$I5="ENTRADA"</formula>
    </cfRule>
    <cfRule type="expression" dxfId="7" priority="2">
      <formula>$I5="SALIDA"</formula>
    </cfRule>
  </conditionalFormatting>
  <pageMargins left="0.75" right="0.75" top="1" bottom="1" header="0.5" footer="0.5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8">
        <x14:dataValidation type="list" allowBlank="1" xr:uid="{00000000-0002-0000-0000-000000000000}">
          <x14:formula1>
            <xm:f>Listas!$A$3:$A$200</xm:f>
          </x14:formula1>
          <xm:sqref>C5:C2001</xm:sqref>
        </x14:dataValidation>
        <x14:dataValidation type="list" allowBlank="1" xr:uid="{00000000-0002-0000-0000-000001000000}">
          <x14:formula1>
            <xm:f>Listas!$B$3:$B$200</xm:f>
          </x14:formula1>
          <xm:sqref>D5:D2001</xm:sqref>
        </x14:dataValidation>
        <x14:dataValidation type="list" allowBlank="1" xr:uid="{00000000-0002-0000-0000-000002000000}">
          <x14:formula1>
            <xm:f>Listas!$C$3:$C$200</xm:f>
          </x14:formula1>
          <xm:sqref>E5:E2001</xm:sqref>
        </x14:dataValidation>
        <x14:dataValidation type="list" allowBlank="1" xr:uid="{00000000-0002-0000-0000-000003000000}">
          <x14:formula1>
            <xm:f>Listas!$D$3:$D$200</xm:f>
          </x14:formula1>
          <xm:sqref>F5:F2001</xm:sqref>
        </x14:dataValidation>
        <x14:dataValidation type="list" allowBlank="1" xr:uid="{00000000-0002-0000-0000-000004000000}">
          <x14:formula1>
            <xm:f>Listas!$E$3:$E$200</xm:f>
          </x14:formula1>
          <xm:sqref>G5:G2001</xm:sqref>
        </x14:dataValidation>
        <x14:dataValidation type="list" allowBlank="1" xr:uid="{00000000-0002-0000-0000-000005000000}">
          <x14:formula1>
            <xm:f>Listas!$F$3:$F$200</xm:f>
          </x14:formula1>
          <xm:sqref>I5:I2001</xm:sqref>
        </x14:dataValidation>
        <x14:dataValidation type="list" allowBlank="1" xr:uid="{00000000-0002-0000-0000-000006000000}">
          <x14:formula1>
            <xm:f>Listas!$G$3:$G$200</xm:f>
          </x14:formula1>
          <xm:sqref>L5:L2001</xm:sqref>
        </x14:dataValidation>
        <x14:dataValidation type="list" allowBlank="1" xr:uid="{00000000-0002-0000-0000-000007000000}">
          <x14:formula1>
            <xm:f>Listas!$H$3:$H$200</xm:f>
          </x14:formula1>
          <xm:sqref>O5:O2001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2E75B6"/>
  </sheetPr>
  <dimension ref="A1:K1002"/>
  <sheetViews>
    <sheetView showGridLines="0" tabSelected="1" workbookViewId="0">
      <pane ySplit="3" topLeftCell="A4" activePane="bottomLeft" state="frozen"/>
      <selection pane="bottomLeft" activeCell="A14" sqref="A14:A17"/>
    </sheetView>
  </sheetViews>
  <sheetFormatPr defaultColWidth="9.140625" defaultRowHeight="15"/>
  <cols>
    <col min="1" max="1" width="14" style="16" customWidth="1"/>
    <col min="2" max="2" width="24" style="16" customWidth="1"/>
    <col min="3" max="3" width="36.42578125" style="16" bestFit="1" customWidth="1"/>
    <col min="4" max="4" width="14" style="16" customWidth="1"/>
    <col min="5" max="5" width="16" style="16" customWidth="1"/>
    <col min="6" max="6" width="18" style="16" customWidth="1"/>
    <col min="7" max="7" width="8" style="16" customWidth="1"/>
    <col min="8" max="8" width="12.85546875" style="16" customWidth="1"/>
    <col min="9" max="9" width="12.140625" style="16" bestFit="1" customWidth="1"/>
    <col min="10" max="10" width="12" style="16" customWidth="1"/>
    <col min="11" max="11" width="23.5703125" style="16" customWidth="1"/>
    <col min="12" max="16384" width="9.140625" style="16"/>
  </cols>
  <sheetData>
    <row r="1" spans="1:11" ht="18">
      <c r="A1" s="34" t="s">
        <v>2082</v>
      </c>
      <c r="B1" s="34"/>
      <c r="C1" s="34"/>
      <c r="D1" s="34"/>
      <c r="E1" s="34"/>
      <c r="F1" s="34"/>
      <c r="G1" s="34"/>
      <c r="H1" s="34"/>
    </row>
    <row r="2" spans="1:11">
      <c r="A2" s="17" t="s">
        <v>2083</v>
      </c>
    </row>
    <row r="3" spans="1:11" ht="25.5">
      <c r="A3" s="20" t="s">
        <v>2084</v>
      </c>
      <c r="B3" s="25" t="s">
        <v>2085</v>
      </c>
      <c r="C3" s="25" t="s">
        <v>2086</v>
      </c>
      <c r="D3" s="25" t="s">
        <v>26</v>
      </c>
      <c r="E3" s="25" t="s">
        <v>27</v>
      </c>
      <c r="F3" s="25" t="s">
        <v>28</v>
      </c>
      <c r="G3" s="25" t="s">
        <v>33</v>
      </c>
      <c r="H3" s="25" t="s">
        <v>2087</v>
      </c>
      <c r="I3" s="20" t="s">
        <v>2088</v>
      </c>
      <c r="J3" s="20" t="s">
        <v>2089</v>
      </c>
      <c r="K3" s="20" t="s">
        <v>2090</v>
      </c>
    </row>
    <row r="4" spans="1:11">
      <c r="A4" s="18" t="s">
        <v>2091</v>
      </c>
      <c r="B4" s="3" t="str">
        <f>IFERROR(INDEX(Movimientos!$C$5:$C$2001,MATCH(A4&amp;"ENTRADA",Movimientos!$R$5:$R$2001,0)),"-")</f>
        <v>Semilla colza</v>
      </c>
      <c r="C4" s="3" t="str">
        <f>IFERROR(INDEX(Movimientos!$D$5:$D$2001,MATCH(A4&amp;"ENTRADA",Movimientos!$R$5:$R$2001,0)),"-")</f>
        <v>CURRY CL</v>
      </c>
      <c r="D4" s="3" t="str">
        <f>IFERROR(INDEX(Movimientos!$E$5:$E$2001,MATCH(A4&amp;"ENTRADA",Movimientos!$R$5:$R$2001,0)),"-")</f>
        <v>Semilla</v>
      </c>
      <c r="E4" s="3">
        <f>IFERROR(INDEX(Movimientos!$F$5:$F$2001,MATCH(A4&amp;"ENTRADA",Movimientos!$R$5:$R$2001,0)),"-")</f>
        <v>0</v>
      </c>
      <c r="F4" s="3" t="str">
        <f>IFERROR(INDEX(Movimientos!$G$5:$G$2001,MATCH(A4&amp;"ENTRADA",Movimientos!$R$5:$R$2001,0)),"-")</f>
        <v>ERRO</v>
      </c>
      <c r="G4" s="3" t="str">
        <f>IFERROR(INDEX(Movimientos!$L$5:$L$2001,MATCH(A4&amp;"ENTRADA",Movimientos!$R$5:$R$2001,0)),"-")</f>
        <v>kg</v>
      </c>
      <c r="H4" s="19" t="str">
        <f>IFERROR(IF(INDEX(Movimientos!$M$5:$M$2001,MATCH(A4&amp;"ENTRADA",Movimientos!$R$5:$R$2001,0))=0,"S/D",INDEX(Movimientos!$M$5:$M$2001,MATCH(A4&amp;"ENTRADA",Movimientos!$R$5:$R$2001,0))),"S/D")</f>
        <v>S/D</v>
      </c>
      <c r="I4" s="16" t="str">
        <f t="shared" ref="I4:I67" ca="1" si="0">IF(OR(A4="",H4="S/D"),"S/D",H4-TODAY())</f>
        <v>S/D</v>
      </c>
      <c r="J4" s="6">
        <f>IF(A4="","",SUMIFS(Movimientos!$K:$K,Movimientos!$H:$H,A4))</f>
        <v>3400</v>
      </c>
      <c r="K4" s="14" t="str">
        <f t="shared" ref="K4:K67" ca="1" si="1">IF(A4="","",IF(H4="S/D","OK",IF(H4&lt;TODAY(),"VENCIDO",IF(J4&lt;=0,"SIN STOCK",IF(I4&gt;=180,"OK","PRÓXIMO A VENCER")))))</f>
        <v>OK</v>
      </c>
    </row>
    <row r="5" spans="1:11">
      <c r="A5" s="18" t="s">
        <v>2092</v>
      </c>
      <c r="B5" s="3" t="str">
        <f>IFERROR(INDEX(Movimientos!$C$5:$C$2001,MATCH(A5&amp;"ENTRADA",Movimientos!$R$5:$R$2001,0)),"-")</f>
        <v>Korvetto</v>
      </c>
      <c r="C5" s="3" t="str">
        <f>IFERROR(INDEX(Movimientos!$D$5:$D$2001,MATCH(A5&amp;"ENTRADA",Movimientos!$R$5:$R$2001,0)),"-")</f>
        <v xml:space="preserve">Clopyralid 12% + Halauxyfen methyl 0,51% </v>
      </c>
      <c r="D5" s="3" t="str">
        <f>IFERROR(INDEX(Movimientos!$E$5:$E$2001,MATCH(A5&amp;"ENTRADA",Movimientos!$R$5:$R$2001,0)),"-")</f>
        <v>Herbicida</v>
      </c>
      <c r="E5" s="3" t="str">
        <f>IFERROR(INDEX(Movimientos!$F$5:$F$2001,MATCH(A5&amp;"ENTRADA",Movimientos!$R$5:$R$2001,0)),"-")</f>
        <v>Postemergente</v>
      </c>
      <c r="F5" s="3" t="str">
        <f>IFERROR(INDEX(Movimientos!$G$5:$G$2001,MATCH(A5&amp;"ENTRADA",Movimientos!$R$5:$R$2001,0)),"-")</f>
        <v>GS Agro</v>
      </c>
      <c r="G5" s="3" t="str">
        <f>IFERROR(INDEX(Movimientos!$L$5:$L$2001,MATCH(A5&amp;"ENTRADA",Movimientos!$R$5:$R$2001,0)),"-")</f>
        <v>L</v>
      </c>
      <c r="H5" s="19">
        <f>IFERROR(IF(INDEX(Movimientos!$M$5:$M$2001,MATCH(A5&amp;"ENTRADA",Movimientos!$R$5:$R$2001,0))=0,"S/D",INDEX(Movimientos!$M$5:$M$2001,MATCH(A5&amp;"ENTRADA",Movimientos!$R$5:$R$2001,0))),"S/D")</f>
        <v>46710</v>
      </c>
      <c r="I5" s="16">
        <f t="shared" ca="1" si="0"/>
        <v>592</v>
      </c>
      <c r="J5" s="6">
        <f>IF(A5="","",SUMIFS(Movimientos!$K:$K,Movimientos!$H:$H,A5))</f>
        <v>700</v>
      </c>
      <c r="K5" s="14" t="str">
        <f t="shared" ca="1" si="1"/>
        <v>OK</v>
      </c>
    </row>
    <row r="6" spans="1:11">
      <c r="A6" s="18" t="s">
        <v>2093</v>
      </c>
      <c r="B6" s="3" t="str">
        <f>IFERROR(INDEX(Movimientos!$C$5:$C$2001,MATCH(A6&amp;"ENTRADA",Movimientos!$R$5:$R$2001,0)),"-")</f>
        <v>Lontrel</v>
      </c>
      <c r="C6" s="3" t="str">
        <f>IFERROR(INDEX(Movimientos!$D$5:$D$2001,MATCH(A6&amp;"ENTRADA",Movimientos!$R$5:$R$2001,0)),"-")</f>
        <v>Clopyralid sal monoetanolamina 40.9%</v>
      </c>
      <c r="D6" s="3" t="str">
        <f>IFERROR(INDEX(Movimientos!$E$5:$E$2001,MATCH(A6&amp;"ENTRADA",Movimientos!$R$5:$R$2001,0)),"-")</f>
        <v>Herbicida</v>
      </c>
      <c r="E6" s="3" t="str">
        <f>IFERROR(INDEX(Movimientos!$F$5:$F$2001,MATCH(A6&amp;"ENTRADA",Movimientos!$R$5:$R$2001,0)),"-")</f>
        <v>Postemergente</v>
      </c>
      <c r="F6" s="3" t="str">
        <f>IFERROR(INDEX(Movimientos!$G$5:$G$2001,MATCH(A6&amp;"ENTRADA",Movimientos!$R$5:$R$2001,0)),"-")</f>
        <v>GS Agro</v>
      </c>
      <c r="G6" s="3" t="str">
        <f>IFERROR(INDEX(Movimientos!$L$5:$L$2001,MATCH(A6&amp;"ENTRADA",Movimientos!$R$5:$R$2001,0)),"-")</f>
        <v>L</v>
      </c>
      <c r="H6" s="19">
        <f>IFERROR(IF(INDEX(Movimientos!$M$5:$M$2001,MATCH(A6&amp;"ENTRADA",Movimientos!$R$5:$R$2001,0))=0,"S/D",INDEX(Movimientos!$M$5:$M$2001,MATCH(A6&amp;"ENTRADA",Movimientos!$R$5:$R$2001,0))),"S/D")</f>
        <v>46500</v>
      </c>
      <c r="I6" s="16">
        <f t="shared" ca="1" si="0"/>
        <v>382</v>
      </c>
      <c r="J6" s="6">
        <f>IF(A6="","",SUMIFS(Movimientos!$K:$K,Movimientos!$H:$H,A6))</f>
        <v>300</v>
      </c>
      <c r="K6" s="14" t="str">
        <f t="shared" ca="1" si="1"/>
        <v>OK</v>
      </c>
    </row>
    <row r="7" spans="1:11">
      <c r="A7" s="18" t="s">
        <v>75</v>
      </c>
      <c r="B7" s="3" t="str">
        <f>IFERROR(INDEX(Movimientos!$C$5:$C$2001,MATCH(A7&amp;"ENTRADA",Movimientos!$R$5:$R$2001,0)),"-")</f>
        <v>Preside</v>
      </c>
      <c r="C7" s="3" t="str">
        <f>IFERROR(INDEX(Movimientos!$D$5:$D$2001,MATCH(A7&amp;"ENTRADA",Movimientos!$R$5:$R$2001,0)),"-")</f>
        <v>Flumetsulam 11,35%</v>
      </c>
      <c r="D7" s="3" t="str">
        <f>IFERROR(INDEX(Movimientos!$E$5:$E$2001,MATCH(A7&amp;"ENTRADA",Movimientos!$R$5:$R$2001,0)),"-")</f>
        <v>Herbicida</v>
      </c>
      <c r="E7" s="3" t="str">
        <f>IFERROR(INDEX(Movimientos!$F$5:$F$2001,MATCH(A7&amp;"ENTRADA",Movimientos!$R$5:$R$2001,0)),"-")</f>
        <v>Preemergente</v>
      </c>
      <c r="F7" s="3" t="str">
        <f>IFERROR(INDEX(Movimientos!$G$5:$G$2001,MATCH(A7&amp;"ENTRADA",Movimientos!$R$5:$R$2001,0)),"-")</f>
        <v>GS Agro</v>
      </c>
      <c r="G7" s="3" t="str">
        <f>IFERROR(INDEX(Movimientos!$L$5:$L$2001,MATCH(A7&amp;"ENTRADA",Movimientos!$R$5:$R$2001,0)),"-")</f>
        <v>L</v>
      </c>
      <c r="H7" s="19">
        <f>IFERROR(IF(INDEX(Movimientos!$M$5:$M$2001,MATCH(A7&amp;"ENTRADA",Movimientos!$R$5:$R$2001,0))=0,"S/D",INDEX(Movimientos!$M$5:$M$2001,MATCH(A7&amp;"ENTRADA",Movimientos!$R$5:$R$2001,0))),"S/D")</f>
        <v>46528</v>
      </c>
      <c r="I7" s="16">
        <f t="shared" ca="1" si="0"/>
        <v>410</v>
      </c>
      <c r="J7" s="6">
        <f>IF(A7="","",SUMIFS(Movimientos!$K:$K,Movimientos!$H:$H,A7))</f>
        <v>2600</v>
      </c>
      <c r="K7" s="14" t="str">
        <f t="shared" ca="1" si="1"/>
        <v>OK</v>
      </c>
    </row>
    <row r="8" spans="1:11">
      <c r="A8" s="18" t="s">
        <v>2094</v>
      </c>
      <c r="B8" s="3" t="str">
        <f>IFERROR(INDEX(Movimientos!$C$5:$C$2001,MATCH(A8&amp;"ENTRADA",Movimientos!$R$5:$R$2001,0)),"-")</f>
        <v>Preside</v>
      </c>
      <c r="C8" s="3" t="str">
        <f>IFERROR(INDEX(Movimientos!$D$5:$D$2001,MATCH(A8&amp;"ENTRADA",Movimientos!$R$5:$R$2001,0)),"-")</f>
        <v>Flumetsulam 11,35%</v>
      </c>
      <c r="D8" s="3" t="str">
        <f>IFERROR(INDEX(Movimientos!$E$5:$E$2001,MATCH(A8&amp;"ENTRADA",Movimientos!$R$5:$R$2001,0)),"-")</f>
        <v>Herbicida</v>
      </c>
      <c r="E8" s="3" t="str">
        <f>IFERROR(INDEX(Movimientos!$F$5:$F$2001,MATCH(A8&amp;"ENTRADA",Movimientos!$R$5:$R$2001,0)),"-")</f>
        <v>Preemergente</v>
      </c>
      <c r="F8" s="3" t="str">
        <f>IFERROR(INDEX(Movimientos!$G$5:$G$2001,MATCH(A8&amp;"ENTRADA",Movimientos!$R$5:$R$2001,0)),"-")</f>
        <v>GS Agro</v>
      </c>
      <c r="G8" s="3" t="str">
        <f>IFERROR(INDEX(Movimientos!$L$5:$L$2001,MATCH(A8&amp;"ENTRADA",Movimientos!$R$5:$R$2001,0)),"-")</f>
        <v>L</v>
      </c>
      <c r="H8" s="19">
        <f>IFERROR(IF(INDEX(Movimientos!$M$5:$M$2001,MATCH(A8&amp;"ENTRADA",Movimientos!$R$5:$R$2001,0))=0,"S/D",INDEX(Movimientos!$M$5:$M$2001,MATCH(A8&amp;"ENTRADA",Movimientos!$R$5:$R$2001,0))),"S/D")</f>
        <v>46761</v>
      </c>
      <c r="I8" s="16">
        <f t="shared" ca="1" si="0"/>
        <v>643</v>
      </c>
      <c r="J8" s="6">
        <f>IF(A8="","",SUMIFS(Movimientos!$K:$K,Movimientos!$H:$H,A8))</f>
        <v>100</v>
      </c>
      <c r="K8" s="14" t="str">
        <f t="shared" ca="1" si="1"/>
        <v>OK</v>
      </c>
    </row>
    <row r="9" spans="1:11">
      <c r="A9" s="18" t="s">
        <v>2095</v>
      </c>
      <c r="B9" s="3" t="str">
        <f>IFERROR(INDEX(Movimientos!$C$5:$C$2001,MATCH(A9&amp;"ENTRADA",Movimientos!$R$5:$R$2001,0)),"-")</f>
        <v>Tordon 24K</v>
      </c>
      <c r="C9" s="3" t="str">
        <f>IFERROR(INDEX(Movimientos!$D$5:$D$2001,MATCH(A9&amp;"ENTRADA",Movimientos!$R$5:$R$2001,0)),"-")</f>
        <v>Picloram 24,9%</v>
      </c>
      <c r="D9" s="3" t="str">
        <f>IFERROR(INDEX(Movimientos!$E$5:$E$2001,MATCH(A9&amp;"ENTRADA",Movimientos!$R$5:$R$2001,0)),"-")</f>
        <v>Herbicida</v>
      </c>
      <c r="E9" s="3" t="str">
        <f>IFERROR(INDEX(Movimientos!$F$5:$F$2001,MATCH(A9&amp;"ENTRADA",Movimientos!$R$5:$R$2001,0)),"-")</f>
        <v>Postemergente</v>
      </c>
      <c r="F9" s="3" t="str">
        <f>IFERROR(INDEX(Movimientos!$G$5:$G$2001,MATCH(A9&amp;"ENTRADA",Movimientos!$R$5:$R$2001,0)),"-")</f>
        <v>GS Agro</v>
      </c>
      <c r="G9" s="3" t="str">
        <f>IFERROR(INDEX(Movimientos!$L$5:$L$2001,MATCH(A9&amp;"ENTRADA",Movimientos!$R$5:$R$2001,0)),"-")</f>
        <v>L</v>
      </c>
      <c r="H9" s="19">
        <f>IFERROR(IF(INDEX(Movimientos!$M$5:$M$2001,MATCH(A9&amp;"ENTRADA",Movimientos!$R$5:$R$2001,0))=0,"S/D",INDEX(Movimientos!$M$5:$M$2001,MATCH(A9&amp;"ENTRADA",Movimientos!$R$5:$R$2001,0))),"S/D")</f>
        <v>46517</v>
      </c>
      <c r="I9" s="16">
        <f t="shared" ca="1" si="0"/>
        <v>399</v>
      </c>
      <c r="J9" s="6">
        <f>IF(A9="","",SUMIFS(Movimientos!$K:$K,Movimientos!$H:$H,A9))</f>
        <v>300</v>
      </c>
      <c r="K9" s="14" t="str">
        <f t="shared" ca="1" si="1"/>
        <v>OK</v>
      </c>
    </row>
    <row r="10" spans="1:11">
      <c r="A10" s="18" t="s">
        <v>2096</v>
      </c>
      <c r="B10" s="3" t="str">
        <f>IFERROR(INDEX(Movimientos!$C$5:$C$2001,MATCH(A10&amp;"ENTRADA",Movimientos!$R$5:$R$2001,0)),"-")</f>
        <v>Tronador</v>
      </c>
      <c r="C10" s="3" t="str">
        <f>IFERROR(INDEX(Movimientos!$D$5:$D$2001,MATCH(A10&amp;"ENTRADA",Movimientos!$R$5:$R$2001,0)),"-")</f>
        <v>Aminopyralid 44,4% + Metsulfuron metil 30%</v>
      </c>
      <c r="D10" s="3" t="str">
        <f>IFERROR(INDEX(Movimientos!$E$5:$E$2001,MATCH(A10&amp;"ENTRADA",Movimientos!$R$5:$R$2001,0)),"-")</f>
        <v>Herbicida</v>
      </c>
      <c r="E10" s="3" t="str">
        <f>IFERROR(INDEX(Movimientos!$F$5:$F$2001,MATCH(A10&amp;"ENTRADA",Movimientos!$R$5:$R$2001,0)),"-")</f>
        <v>Postemergente</v>
      </c>
      <c r="F10" s="3" t="str">
        <f>IFERROR(INDEX(Movimientos!$G$5:$G$2001,MATCH(A10&amp;"ENTRADA",Movimientos!$R$5:$R$2001,0)),"-")</f>
        <v>GS Agro</v>
      </c>
      <c r="G10" s="3" t="str">
        <f>IFERROR(INDEX(Movimientos!$L$5:$L$2001,MATCH(A10&amp;"ENTRADA",Movimientos!$R$5:$R$2001,0)),"-")</f>
        <v>Pack</v>
      </c>
      <c r="H10" s="19">
        <f>IFERROR(IF(INDEX(Movimientos!$M$5:$M$2001,MATCH(A10&amp;"ENTRADA",Movimientos!$R$5:$R$2001,0))=0,"S/D",INDEX(Movimientos!$M$5:$M$2001,MATCH(A10&amp;"ENTRADA",Movimientos!$R$5:$R$2001,0))),"S/D")</f>
        <v>46443</v>
      </c>
      <c r="I10" s="16">
        <f t="shared" ca="1" si="0"/>
        <v>325</v>
      </c>
      <c r="J10" s="6">
        <f>IF(A10="","",SUMIFS(Movimientos!$K:$K,Movimientos!$H:$H,A10))</f>
        <v>300</v>
      </c>
      <c r="K10" s="14" t="str">
        <f t="shared" ca="1" si="1"/>
        <v>OK</v>
      </c>
    </row>
    <row r="11" spans="1:11">
      <c r="A11" s="18" t="s">
        <v>79</v>
      </c>
      <c r="B11" s="3" t="str">
        <f>IFERROR(INDEX(Movimientos!$C$5:$C$2001,MATCH(A11&amp;"ENTRADA",Movimientos!$R$5:$R$2001,0)),"-")</f>
        <v>Venceweed extra</v>
      </c>
      <c r="C11" s="3" t="str">
        <f>IFERROR(INDEX(Movimientos!$D$5:$D$2001,MATCH(A11&amp;"ENTRADA",Movimientos!$R$5:$R$2001,0)),"-")</f>
        <v>2,4-Db-Butilo 93.1%</v>
      </c>
      <c r="D11" s="3" t="str">
        <f>IFERROR(INDEX(Movimientos!$E$5:$E$2001,MATCH(A11&amp;"ENTRADA",Movimientos!$R$5:$R$2001,0)),"-")</f>
        <v>Herbicida</v>
      </c>
      <c r="E11" s="3" t="str">
        <f>IFERROR(INDEX(Movimientos!$F$5:$F$2001,MATCH(A11&amp;"ENTRADA",Movimientos!$R$5:$R$2001,0)),"-")</f>
        <v>Postemergente</v>
      </c>
      <c r="F11" s="3" t="str">
        <f>IFERROR(INDEX(Movimientos!$G$5:$G$2001,MATCH(A11&amp;"ENTRADA",Movimientos!$R$5:$R$2001,0)),"-")</f>
        <v>GS Agro</v>
      </c>
      <c r="G11" s="3" t="str">
        <f>IFERROR(INDEX(Movimientos!$L$5:$L$2001,MATCH(A11&amp;"ENTRADA",Movimientos!$R$5:$R$2001,0)),"-")</f>
        <v>L</v>
      </c>
      <c r="H11" s="19">
        <f>IFERROR(IF(INDEX(Movimientos!$M$5:$M$2001,MATCH(A11&amp;"ENTRADA",Movimientos!$R$5:$R$2001,0))=0,"S/D",INDEX(Movimientos!$M$5:$M$2001,MATCH(A11&amp;"ENTRADA",Movimientos!$R$5:$R$2001,0))),"S/D")</f>
        <v>46737</v>
      </c>
      <c r="I11" s="16">
        <f t="shared" ref="I11:I74" ca="1" si="2">IF(OR(A11="",H11="S/D"),"S/D",H11-TODAY())</f>
        <v>619</v>
      </c>
      <c r="J11" s="6">
        <f>IF(A11="","",SUMIFS(Movimientos!$K:$K,Movimientos!$H:$H,A11))</f>
        <v>4440</v>
      </c>
      <c r="K11" s="14" t="str">
        <f t="shared" ref="K11:K74" ca="1" si="3">IF(A11="","",IF(H11="S/D","OK",IF(H11&lt;TODAY(),"VENCIDO",IF(J11&lt;=0,"SIN STOCK",IF(I11&gt;=180,"OK","PRÓXIMO A VENCER")))))</f>
        <v>OK</v>
      </c>
    </row>
    <row r="12" spans="1:11" ht="14.25">
      <c r="A12" s="18" t="s">
        <v>2097</v>
      </c>
      <c r="B12" s="3" t="str">
        <f>IFERROR(INDEX(Movimientos!$C$5:$C$2001,MATCH(A12&amp;"ENTRADA",Movimientos!$R$5:$R$2001,0)),"-")</f>
        <v>Glifosato sal potasica</v>
      </c>
      <c r="C12" s="3" t="str">
        <f>IFERROR(INDEX(Movimientos!$D$5:$D$2001,MATCH(A12&amp;"ENTRADA",Movimientos!$R$5:$R$2001,0)),"-")</f>
        <v>glifosato sal potasica</v>
      </c>
      <c r="D12" s="3" t="str">
        <f>IFERROR(INDEX(Movimientos!$E$5:$E$2001,MATCH(A12&amp;"ENTRADA",Movimientos!$R$5:$R$2001,0)),"-")</f>
        <v>Herbicida</v>
      </c>
      <c r="E12" s="3" t="str">
        <f>IFERROR(INDEX(Movimientos!$F$5:$F$2001,MATCH(A12&amp;"ENTRADA",Movimientos!$R$5:$R$2001,0)),"-")</f>
        <v>Postemergente</v>
      </c>
      <c r="F12" s="3" t="str">
        <f>IFERROR(INDEX(Movimientos!$G$5:$G$2001,MATCH(A12&amp;"ENTRADA",Movimientos!$R$5:$R$2001,0)),"-")</f>
        <v>GS Agro</v>
      </c>
      <c r="G12" s="3" t="str">
        <f>IFERROR(INDEX(Movimientos!$L$5:$L$2001,MATCH(A12&amp;"ENTRADA",Movimientos!$R$5:$R$2001,0)),"-")</f>
        <v>L</v>
      </c>
      <c r="H12" s="19">
        <f>IFERROR(IF(INDEX(Movimientos!$M$5:$M$2001,MATCH(A12&amp;"ENTRADA",Movimientos!$R$5:$R$2001,0))=0,"S/D",INDEX(Movimientos!$M$5:$M$2001,MATCH(A12&amp;"ENTRADA",Movimientos!$R$5:$R$2001,0))),"S/D")</f>
        <v>46154</v>
      </c>
      <c r="I12" s="16">
        <f t="shared" ca="1" si="2"/>
        <v>36</v>
      </c>
      <c r="J12" s="6">
        <f>IF(A12="","",SUMIFS(Movimientos!$K:$K,Movimientos!$H:$H,A12))</f>
        <v>500</v>
      </c>
      <c r="K12" s="14" t="str">
        <f t="shared" ca="1" si="3"/>
        <v>PRÓXIMO A VENCER</v>
      </c>
    </row>
    <row r="13" spans="1:11">
      <c r="A13" s="18" t="s">
        <v>87</v>
      </c>
      <c r="B13" s="3" t="str">
        <f>IFERROR(INDEX(Movimientos!$C$5:$C$2001,MATCH(A13&amp;"ENTRADA",Movimientos!$R$5:$R$2001,0)),"-")</f>
        <v>Harrier</v>
      </c>
      <c r="C13" s="3">
        <f>IFERROR(INDEX(Movimientos!$D$5:$D$2001,MATCH(A13&amp;"ENTRADA",Movimientos!$R$5:$R$2001,0)),"-")</f>
        <v>0</v>
      </c>
      <c r="D13" s="3" t="str">
        <f>IFERROR(INDEX(Movimientos!$E$5:$E$2001,MATCH(A13&amp;"ENTRADA",Movimientos!$R$5:$R$2001,0)),"-")</f>
        <v>Coadyuvante</v>
      </c>
      <c r="E13" s="3">
        <f>IFERROR(INDEX(Movimientos!$F$5:$F$2001,MATCH(A13&amp;"ENTRADA",Movimientos!$R$5:$R$2001,0)),"-")</f>
        <v>0</v>
      </c>
      <c r="F13" s="3" t="str">
        <f>IFERROR(INDEX(Movimientos!$G$5:$G$2001,MATCH(A13&amp;"ENTRADA",Movimientos!$R$5:$R$2001,0)),"-")</f>
        <v>GS Agro</v>
      </c>
      <c r="G13" s="3" t="str">
        <f>IFERROR(INDEX(Movimientos!$L$5:$L$2001,MATCH(A13&amp;"ENTRADA",Movimientos!$R$5:$R$2001,0)),"-")</f>
        <v>L</v>
      </c>
      <c r="H13" s="19">
        <f>IFERROR(IF(INDEX(Movimientos!$M$5:$M$2001,MATCH(A13&amp;"ENTRADA",Movimientos!$R$5:$R$2001,0))=0,"S/D",INDEX(Movimientos!$M$5:$M$2001,MATCH(A13&amp;"ENTRADA",Movimientos!$R$5:$R$2001,0))),"S/D")</f>
        <v>46371</v>
      </c>
      <c r="I13" s="16">
        <f t="shared" ca="1" si="2"/>
        <v>253</v>
      </c>
      <c r="J13" s="6">
        <f>IF(A13="","",SUMIFS(Movimientos!$K:$K,Movimientos!$H:$H,A13))</f>
        <v>0</v>
      </c>
      <c r="K13" s="14" t="str">
        <f t="shared" ca="1" si="3"/>
        <v>SIN STOCK</v>
      </c>
    </row>
    <row r="14" spans="1:11">
      <c r="A14" s="18" t="s">
        <v>2098</v>
      </c>
      <c r="B14" s="3" t="str">
        <f>IFERROR(INDEX(Movimientos!$C$5:$C$2001,MATCH(A14&amp;"ENTRADA",Movimientos!$R$5:$R$2001,0)),"-")</f>
        <v>Glifosato 48%</v>
      </c>
      <c r="C14" s="3" t="str">
        <f>IFERROR(INDEX(Movimientos!$D$5:$D$2001,MATCH(A14&amp;"ENTRADA",Movimientos!$R$5:$R$2001,0)),"-")</f>
        <v>glifosato 48%</v>
      </c>
      <c r="D14" s="3" t="str">
        <f>IFERROR(INDEX(Movimientos!$E$5:$E$2001,MATCH(A14&amp;"ENTRADA",Movimientos!$R$5:$R$2001,0)),"-")</f>
        <v>Herbicida</v>
      </c>
      <c r="E14" s="3" t="str">
        <f>IFERROR(INDEX(Movimientos!$F$5:$F$2001,MATCH(A14&amp;"ENTRADA",Movimientos!$R$5:$R$2001,0)),"-")</f>
        <v>Postemergente</v>
      </c>
      <c r="F14" s="3" t="str">
        <f>IFERROR(INDEX(Movimientos!$G$5:$G$2001,MATCH(A14&amp;"ENTRADA",Movimientos!$R$5:$R$2001,0)),"-")</f>
        <v>GS Agro</v>
      </c>
      <c r="G14" s="3" t="str">
        <f>IFERROR(INDEX(Movimientos!$L$5:$L$2001,MATCH(A14&amp;"ENTRADA",Movimientos!$R$5:$R$2001,0)),"-")</f>
        <v>L</v>
      </c>
      <c r="H14" s="19">
        <f>IFERROR(IF(INDEX(Movimientos!$M$5:$M$2001,MATCH(A14&amp;"ENTRADA",Movimientos!$R$5:$R$2001,0))=0,"S/D",INDEX(Movimientos!$M$5:$M$2001,MATCH(A14&amp;"ENTRADA",Movimientos!$R$5:$R$2001,0))),"S/D")</f>
        <v>46117</v>
      </c>
      <c r="I14" s="16">
        <f t="shared" ca="1" si="2"/>
        <v>-1</v>
      </c>
      <c r="J14" s="6">
        <f>IF(A14="","",SUMIFS(Movimientos!$K:$K,Movimientos!$H:$H,A14))</f>
        <v>100</v>
      </c>
      <c r="K14" s="14" t="str">
        <f t="shared" ca="1" si="3"/>
        <v>VENCIDO</v>
      </c>
    </row>
    <row r="15" spans="1:11">
      <c r="A15" s="18" t="s">
        <v>2099</v>
      </c>
      <c r="B15" s="3" t="str">
        <f>IFERROR(INDEX(Movimientos!$C$5:$C$2001,MATCH(A15&amp;"ENTRADA",Movimientos!$R$5:$R$2001,0)),"-")</f>
        <v>Glifosato 48%</v>
      </c>
      <c r="C15" s="3" t="str">
        <f>IFERROR(INDEX(Movimientos!$D$5:$D$2001,MATCH(A15&amp;"ENTRADA",Movimientos!$R$5:$R$2001,0)),"-")</f>
        <v>glifosato 48%</v>
      </c>
      <c r="D15" s="3" t="str">
        <f>IFERROR(INDEX(Movimientos!$E$5:$E$2001,MATCH(A15&amp;"ENTRADA",Movimientos!$R$5:$R$2001,0)),"-")</f>
        <v>Herbicida</v>
      </c>
      <c r="E15" s="3" t="str">
        <f>IFERROR(INDEX(Movimientos!$F$5:$F$2001,MATCH(A15&amp;"ENTRADA",Movimientos!$R$5:$R$2001,0)),"-")</f>
        <v>Postemergente</v>
      </c>
      <c r="F15" s="3" t="str">
        <f>IFERROR(INDEX(Movimientos!$G$5:$G$2001,MATCH(A15&amp;"ENTRADA",Movimientos!$R$5:$R$2001,0)),"-")</f>
        <v>GS Agro</v>
      </c>
      <c r="G15" s="3" t="str">
        <f>IFERROR(INDEX(Movimientos!$L$5:$L$2001,MATCH(A15&amp;"ENTRADA",Movimientos!$R$5:$R$2001,0)),"-")</f>
        <v>L</v>
      </c>
      <c r="H15" s="19">
        <f>IFERROR(IF(INDEX(Movimientos!$M$5:$M$2001,MATCH(A15&amp;"ENTRADA",Movimientos!$R$5:$R$2001,0))=0,"S/D",INDEX(Movimientos!$M$5:$M$2001,MATCH(A15&amp;"ENTRADA",Movimientos!$R$5:$R$2001,0))),"S/D")</f>
        <v>46240</v>
      </c>
      <c r="I15" s="16">
        <f t="shared" ca="1" si="2"/>
        <v>122</v>
      </c>
      <c r="J15" s="6">
        <f>IF(A15="","",SUMIFS(Movimientos!$K:$K,Movimientos!$H:$H,A15))</f>
        <v>200</v>
      </c>
      <c r="K15" s="14" t="str">
        <f t="shared" ca="1" si="3"/>
        <v>PRÓXIMO A VENCER</v>
      </c>
    </row>
    <row r="16" spans="1:11">
      <c r="A16" s="18" t="s">
        <v>2100</v>
      </c>
      <c r="B16" s="3" t="str">
        <f>IFERROR(INDEX(Movimientos!$C$5:$C$2001,MATCH(A16&amp;"ENTRADA",Movimientos!$R$5:$R$2001,0)),"-")</f>
        <v>Dedalo elite</v>
      </c>
      <c r="C16" s="3" t="str">
        <f>IFERROR(INDEX(Movimientos!$D$5:$D$2001,MATCH(A16&amp;"ENTRADA",Movimientos!$R$5:$R$2001,0)),"-")</f>
        <v>2,4 Dedalo</v>
      </c>
      <c r="D16" s="3" t="str">
        <f>IFERROR(INDEX(Movimientos!$E$5:$E$2001,MATCH(A16&amp;"ENTRADA",Movimientos!$R$5:$R$2001,0)),"-")</f>
        <v>Herbicida</v>
      </c>
      <c r="E16" s="3" t="str">
        <f>IFERROR(INDEX(Movimientos!$F$5:$F$2001,MATCH(A16&amp;"ENTRADA",Movimientos!$R$5:$R$2001,0)),"-")</f>
        <v>Postemergente</v>
      </c>
      <c r="F16" s="3" t="str">
        <f>IFERROR(INDEX(Movimientos!$G$5:$G$2001,MATCH(A16&amp;"ENTRADA",Movimientos!$R$5:$R$2001,0)),"-")</f>
        <v>GS Agro</v>
      </c>
      <c r="G16" s="3" t="str">
        <f>IFERROR(INDEX(Movimientos!$L$5:$L$2001,MATCH(A16&amp;"ENTRADA",Movimientos!$R$5:$R$2001,0)),"-")</f>
        <v>L</v>
      </c>
      <c r="H16" s="19" t="str">
        <f>IFERROR(IF(INDEX(Movimientos!$M$5:$M$2001,MATCH(A16&amp;"ENTRADA",Movimientos!$R$5:$R$2001,0))=0,"S/D",INDEX(Movimientos!$M$5:$M$2001,MATCH(A16&amp;"ENTRADA",Movimientos!$R$5:$R$2001,0))),"S/D")</f>
        <v>S/D</v>
      </c>
      <c r="I16" s="16" t="str">
        <f t="shared" ca="1" si="2"/>
        <v>S/D</v>
      </c>
      <c r="J16" s="6">
        <f>IF(A16="","",SUMIFS(Movimientos!$K:$K,Movimientos!$H:$H,A16))</f>
        <v>12500</v>
      </c>
      <c r="K16" s="14" t="str">
        <f t="shared" ca="1" si="3"/>
        <v>OK</v>
      </c>
    </row>
    <row r="17" spans="1:11">
      <c r="A17" s="18" t="s">
        <v>2101</v>
      </c>
      <c r="B17" s="3" t="str">
        <f>IFERROR(INDEX(Movimientos!$C$5:$C$2001,MATCH(A17&amp;"ENTRADA",Movimientos!$R$5:$R$2001,0)),"-")</f>
        <v>Hydrahume</v>
      </c>
      <c r="C17" s="3">
        <f>IFERROR(INDEX(Movimientos!$D$5:$D$2001,MATCH(A17&amp;"ENTRADA",Movimientos!$R$5:$R$2001,0)),"-")</f>
        <v>0</v>
      </c>
      <c r="D17" s="3" t="str">
        <f>IFERROR(INDEX(Movimientos!$E$5:$E$2001,MATCH(A17&amp;"ENTRADA",Movimientos!$R$5:$R$2001,0)),"-")</f>
        <v>Biológico</v>
      </c>
      <c r="E17" s="3">
        <f>IFERROR(INDEX(Movimientos!$F$5:$F$2001,MATCH(A17&amp;"ENTRADA",Movimientos!$R$5:$R$2001,0)),"-")</f>
        <v>0</v>
      </c>
      <c r="F17" s="3" t="str">
        <f>IFERROR(INDEX(Movimientos!$G$5:$G$2001,MATCH(A17&amp;"ENTRADA",Movimientos!$R$5:$R$2001,0)),"-")</f>
        <v>GS Agro</v>
      </c>
      <c r="G17" s="3" t="str">
        <f>IFERROR(INDEX(Movimientos!$L$5:$L$2001,MATCH(A17&amp;"ENTRADA",Movimientos!$R$5:$R$2001,0)),"-")</f>
        <v>L</v>
      </c>
      <c r="H17" s="19" t="str">
        <f>IFERROR(IF(INDEX(Movimientos!$M$5:$M$2001,MATCH(A17&amp;"ENTRADA",Movimientos!$R$5:$R$2001,0))=0,"S/D",INDEX(Movimientos!$M$5:$M$2001,MATCH(A17&amp;"ENTRADA",Movimientos!$R$5:$R$2001,0))),"S/D")</f>
        <v>S/D</v>
      </c>
      <c r="I17" s="16" t="str">
        <f t="shared" ca="1" si="2"/>
        <v>S/D</v>
      </c>
      <c r="J17" s="6">
        <f>IF(A17="","",SUMIFS(Movimientos!$K:$K,Movimientos!$H:$H,A17))</f>
        <v>2000</v>
      </c>
      <c r="K17" s="14" t="str">
        <f t="shared" ca="1" si="3"/>
        <v>OK</v>
      </c>
    </row>
    <row r="18" spans="1:11">
      <c r="A18" s="18"/>
      <c r="B18" s="3" t="str">
        <f>IFERROR(INDEX(Movimientos!$C$5:$C$2001,MATCH(A18&amp;"ENTRADA",Movimientos!$R$5:$R$2001,0)),"-")</f>
        <v>-</v>
      </c>
      <c r="C18" s="3" t="str">
        <f>IFERROR(INDEX(Movimientos!$D$5:$D$2001,MATCH(A18&amp;"ENTRADA",Movimientos!$R$5:$R$2001,0)),"-")</f>
        <v>-</v>
      </c>
      <c r="D18" s="3" t="str">
        <f>IFERROR(INDEX(Movimientos!$E$5:$E$2001,MATCH(A18&amp;"ENTRADA",Movimientos!$R$5:$R$2001,0)),"-")</f>
        <v>-</v>
      </c>
      <c r="E18" s="3" t="str">
        <f>IFERROR(INDEX(Movimientos!$F$5:$F$2001,MATCH(A18&amp;"ENTRADA",Movimientos!$R$5:$R$2001,0)),"-")</f>
        <v>-</v>
      </c>
      <c r="F18" s="3" t="str">
        <f>IFERROR(INDEX(Movimientos!$G$5:$G$2001,MATCH(A18&amp;"ENTRADA",Movimientos!$R$5:$R$2001,0)),"-")</f>
        <v>-</v>
      </c>
      <c r="G18" s="3" t="str">
        <f>IFERROR(INDEX(Movimientos!$L$5:$L$2001,MATCH(A18&amp;"ENTRADA",Movimientos!$R$5:$R$2001,0)),"-")</f>
        <v>-</v>
      </c>
      <c r="H18" s="19" t="str">
        <f>IFERROR(IF(INDEX(Movimientos!$M$5:$M$2001,MATCH(A18&amp;"ENTRADA",Movimientos!$R$5:$R$2001,0))=0,"S/D",INDEX(Movimientos!$M$5:$M$2001,MATCH(A18&amp;"ENTRADA",Movimientos!$R$5:$R$2001,0))),"S/D")</f>
        <v>S/D</v>
      </c>
      <c r="I18" s="16" t="str">
        <f t="shared" ca="1" si="2"/>
        <v>S/D</v>
      </c>
      <c r="J18" s="6" t="str">
        <f>IF(A18="","",SUMIFS(Movimientos!$K:$K,Movimientos!$H:$H,A18))</f>
        <v/>
      </c>
      <c r="K18" s="14" t="str">
        <f t="shared" ca="1" si="3"/>
        <v/>
      </c>
    </row>
    <row r="19" spans="1:11">
      <c r="A19" s="18"/>
      <c r="B19" s="3" t="str">
        <f>IFERROR(INDEX(Movimientos!$C$5:$C$2001,MATCH(A19&amp;"ENTRADA",Movimientos!$R$5:$R$2001,0)),"-")</f>
        <v>-</v>
      </c>
      <c r="C19" s="3" t="str">
        <f>IFERROR(INDEX(Movimientos!$D$5:$D$2001,MATCH(A19&amp;"ENTRADA",Movimientos!$R$5:$R$2001,0)),"-")</f>
        <v>-</v>
      </c>
      <c r="D19" s="3" t="str">
        <f>IFERROR(INDEX(Movimientos!$E$5:$E$2001,MATCH(A19&amp;"ENTRADA",Movimientos!$R$5:$R$2001,0)),"-")</f>
        <v>-</v>
      </c>
      <c r="E19" s="3" t="str">
        <f>IFERROR(INDEX(Movimientos!$F$5:$F$2001,MATCH(A19&amp;"ENTRADA",Movimientos!$R$5:$R$2001,0)),"-")</f>
        <v>-</v>
      </c>
      <c r="F19" s="3" t="str">
        <f>IFERROR(INDEX(Movimientos!$G$5:$G$2001,MATCH(A19&amp;"ENTRADA",Movimientos!$R$5:$R$2001,0)),"-")</f>
        <v>-</v>
      </c>
      <c r="G19" s="3" t="str">
        <f>IFERROR(INDEX(Movimientos!$L$5:$L$2001,MATCH(A19&amp;"ENTRADA",Movimientos!$R$5:$R$2001,0)),"-")</f>
        <v>-</v>
      </c>
      <c r="H19" s="19" t="str">
        <f>IFERROR(IF(INDEX(Movimientos!$M$5:$M$2001,MATCH(A19&amp;"ENTRADA",Movimientos!$R$5:$R$2001,0))=0,"S/D",INDEX(Movimientos!$M$5:$M$2001,MATCH(A19&amp;"ENTRADA",Movimientos!$R$5:$R$2001,0))),"S/D")</f>
        <v>S/D</v>
      </c>
      <c r="I19" s="16" t="str">
        <f t="shared" ca="1" si="2"/>
        <v>S/D</v>
      </c>
      <c r="J19" s="6" t="str">
        <f>IF(A19="","",SUMIFS(Movimientos!$K:$K,Movimientos!$H:$H,A19))</f>
        <v/>
      </c>
      <c r="K19" s="14" t="str">
        <f t="shared" ca="1" si="3"/>
        <v/>
      </c>
    </row>
    <row r="20" spans="1:11">
      <c r="A20" s="18"/>
      <c r="B20" s="3" t="str">
        <f>IFERROR(INDEX(Movimientos!$C$5:$C$2001,MATCH(A20&amp;"ENTRADA",Movimientos!$R$5:$R$2001,0)),"-")</f>
        <v>-</v>
      </c>
      <c r="C20" s="3" t="str">
        <f>IFERROR(INDEX(Movimientos!$D$5:$D$2001,MATCH(A20&amp;"ENTRADA",Movimientos!$R$5:$R$2001,0)),"-")</f>
        <v>-</v>
      </c>
      <c r="D20" s="3" t="str">
        <f>IFERROR(INDEX(Movimientos!$E$5:$E$2001,MATCH(A20&amp;"ENTRADA",Movimientos!$R$5:$R$2001,0)),"-")</f>
        <v>-</v>
      </c>
      <c r="E20" s="3" t="str">
        <f>IFERROR(INDEX(Movimientos!$F$5:$F$2001,MATCH(A20&amp;"ENTRADA",Movimientos!$R$5:$R$2001,0)),"-")</f>
        <v>-</v>
      </c>
      <c r="F20" s="3" t="str">
        <f>IFERROR(INDEX(Movimientos!$G$5:$G$2001,MATCH(A20&amp;"ENTRADA",Movimientos!$R$5:$R$2001,0)),"-")</f>
        <v>-</v>
      </c>
      <c r="G20" s="3" t="str">
        <f>IFERROR(INDEX(Movimientos!$L$5:$L$2001,MATCH(A20&amp;"ENTRADA",Movimientos!$R$5:$R$2001,0)),"-")</f>
        <v>-</v>
      </c>
      <c r="H20" s="19" t="str">
        <f>IFERROR(IF(INDEX(Movimientos!$M$5:$M$2001,MATCH(A20&amp;"ENTRADA",Movimientos!$R$5:$R$2001,0))=0,"S/D",INDEX(Movimientos!$M$5:$M$2001,MATCH(A20&amp;"ENTRADA",Movimientos!$R$5:$R$2001,0))),"S/D")</f>
        <v>S/D</v>
      </c>
      <c r="I20" s="16" t="str">
        <f t="shared" ca="1" si="2"/>
        <v>S/D</v>
      </c>
      <c r="J20" s="6" t="str">
        <f>IF(A20="","",SUMIFS(Movimientos!$K:$K,Movimientos!$H:$H,A20))</f>
        <v/>
      </c>
      <c r="K20" s="14" t="str">
        <f t="shared" ca="1" si="3"/>
        <v/>
      </c>
    </row>
    <row r="21" spans="1:11">
      <c r="A21" s="18"/>
      <c r="B21" s="3" t="str">
        <f>IFERROR(INDEX(Movimientos!$C$5:$C$2001,MATCH(A21&amp;"ENTRADA",Movimientos!$R$5:$R$2001,0)),"-")</f>
        <v>-</v>
      </c>
      <c r="C21" s="3" t="str">
        <f>IFERROR(INDEX(Movimientos!$D$5:$D$2001,MATCH(A21&amp;"ENTRADA",Movimientos!$R$5:$R$2001,0)),"-")</f>
        <v>-</v>
      </c>
      <c r="D21" s="3" t="str">
        <f>IFERROR(INDEX(Movimientos!$E$5:$E$2001,MATCH(A21&amp;"ENTRADA",Movimientos!$R$5:$R$2001,0)),"-")</f>
        <v>-</v>
      </c>
      <c r="E21" s="3" t="str">
        <f>IFERROR(INDEX(Movimientos!$F$5:$F$2001,MATCH(A21&amp;"ENTRADA",Movimientos!$R$5:$R$2001,0)),"-")</f>
        <v>-</v>
      </c>
      <c r="F21" s="3" t="str">
        <f>IFERROR(INDEX(Movimientos!$G$5:$G$2001,MATCH(A21&amp;"ENTRADA",Movimientos!$R$5:$R$2001,0)),"-")</f>
        <v>-</v>
      </c>
      <c r="G21" s="3" t="str">
        <f>IFERROR(INDEX(Movimientos!$L$5:$L$2001,MATCH(A21&amp;"ENTRADA",Movimientos!$R$5:$R$2001,0)),"-")</f>
        <v>-</v>
      </c>
      <c r="H21" s="19" t="str">
        <f>IFERROR(IF(INDEX(Movimientos!$M$5:$M$2001,MATCH(A21&amp;"ENTRADA",Movimientos!$R$5:$R$2001,0))=0,"S/D",INDEX(Movimientos!$M$5:$M$2001,MATCH(A21&amp;"ENTRADA",Movimientos!$R$5:$R$2001,0))),"S/D")</f>
        <v>S/D</v>
      </c>
      <c r="I21" s="16" t="str">
        <f t="shared" ca="1" si="2"/>
        <v>S/D</v>
      </c>
      <c r="J21" s="6" t="str">
        <f>IF(A21="","",SUMIFS(Movimientos!$K:$K,Movimientos!$H:$H,A21))</f>
        <v/>
      </c>
      <c r="K21" s="14" t="str">
        <f t="shared" ca="1" si="3"/>
        <v/>
      </c>
    </row>
    <row r="22" spans="1:11">
      <c r="A22" s="18"/>
      <c r="B22" s="3" t="str">
        <f>IFERROR(INDEX(Movimientos!$C$5:$C$2001,MATCH(A22&amp;"ENTRADA",Movimientos!$R$5:$R$2001,0)),"-")</f>
        <v>-</v>
      </c>
      <c r="C22" s="3" t="str">
        <f>IFERROR(INDEX(Movimientos!$D$5:$D$2001,MATCH(A22&amp;"ENTRADA",Movimientos!$R$5:$R$2001,0)),"-")</f>
        <v>-</v>
      </c>
      <c r="D22" s="3" t="str">
        <f>IFERROR(INDEX(Movimientos!$E$5:$E$2001,MATCH(A22&amp;"ENTRADA",Movimientos!$R$5:$R$2001,0)),"-")</f>
        <v>-</v>
      </c>
      <c r="E22" s="3" t="str">
        <f>IFERROR(INDEX(Movimientos!$F$5:$F$2001,MATCH(A22&amp;"ENTRADA",Movimientos!$R$5:$R$2001,0)),"-")</f>
        <v>-</v>
      </c>
      <c r="F22" s="3" t="str">
        <f>IFERROR(INDEX(Movimientos!$G$5:$G$2001,MATCH(A22&amp;"ENTRADA",Movimientos!$R$5:$R$2001,0)),"-")</f>
        <v>-</v>
      </c>
      <c r="G22" s="3" t="str">
        <f>IFERROR(INDEX(Movimientos!$L$5:$L$2001,MATCH(A22&amp;"ENTRADA",Movimientos!$R$5:$R$2001,0)),"-")</f>
        <v>-</v>
      </c>
      <c r="H22" s="19" t="str">
        <f>IFERROR(IF(INDEX(Movimientos!$M$5:$M$2001,MATCH(A22&amp;"ENTRADA",Movimientos!$R$5:$R$2001,0))=0,"S/D",INDEX(Movimientos!$M$5:$M$2001,MATCH(A22&amp;"ENTRADA",Movimientos!$R$5:$R$2001,0))),"S/D")</f>
        <v>S/D</v>
      </c>
      <c r="I22" s="16" t="str">
        <f t="shared" ca="1" si="2"/>
        <v>S/D</v>
      </c>
      <c r="J22" s="6" t="str">
        <f>IF(A22="","",SUMIFS(Movimientos!$K:$K,Movimientos!$H:$H,A22))</f>
        <v/>
      </c>
      <c r="K22" s="14" t="str">
        <f t="shared" ca="1" si="3"/>
        <v/>
      </c>
    </row>
    <row r="23" spans="1:11">
      <c r="A23" s="18"/>
      <c r="B23" s="3" t="str">
        <f>IFERROR(INDEX(Movimientos!$C$5:$C$2001,MATCH(A23&amp;"ENTRADA",Movimientos!$R$5:$R$2001,0)),"-")</f>
        <v>-</v>
      </c>
      <c r="C23" s="3" t="str">
        <f>IFERROR(INDEX(Movimientos!$D$5:$D$2001,MATCH(A23&amp;"ENTRADA",Movimientos!$R$5:$R$2001,0)),"-")</f>
        <v>-</v>
      </c>
      <c r="D23" s="3" t="str">
        <f>IFERROR(INDEX(Movimientos!$E$5:$E$2001,MATCH(A23&amp;"ENTRADA",Movimientos!$R$5:$R$2001,0)),"-")</f>
        <v>-</v>
      </c>
      <c r="E23" s="3" t="str">
        <f>IFERROR(INDEX(Movimientos!$F$5:$F$2001,MATCH(A23&amp;"ENTRADA",Movimientos!$R$5:$R$2001,0)),"-")</f>
        <v>-</v>
      </c>
      <c r="F23" s="3" t="str">
        <f>IFERROR(INDEX(Movimientos!$G$5:$G$2001,MATCH(A23&amp;"ENTRADA",Movimientos!$R$5:$R$2001,0)),"-")</f>
        <v>-</v>
      </c>
      <c r="G23" s="3" t="str">
        <f>IFERROR(INDEX(Movimientos!$L$5:$L$2001,MATCH(A23&amp;"ENTRADA",Movimientos!$R$5:$R$2001,0)),"-")</f>
        <v>-</v>
      </c>
      <c r="H23" s="19" t="str">
        <f>IFERROR(IF(INDEX(Movimientos!$M$5:$M$2001,MATCH(A23&amp;"ENTRADA",Movimientos!$R$5:$R$2001,0))=0,"S/D",INDEX(Movimientos!$M$5:$M$2001,MATCH(A23&amp;"ENTRADA",Movimientos!$R$5:$R$2001,0))),"S/D")</f>
        <v>S/D</v>
      </c>
      <c r="I23" s="16" t="str">
        <f t="shared" ca="1" si="2"/>
        <v>S/D</v>
      </c>
      <c r="J23" s="6" t="str">
        <f>IF(A23="","",SUMIFS(Movimientos!$K:$K,Movimientos!$H:$H,A23))</f>
        <v/>
      </c>
      <c r="K23" s="14" t="str">
        <f t="shared" ca="1" si="3"/>
        <v/>
      </c>
    </row>
    <row r="24" spans="1:11">
      <c r="A24" s="18"/>
      <c r="B24" s="3" t="str">
        <f>IFERROR(INDEX(Movimientos!$C$5:$C$2001,MATCH(A24&amp;"ENTRADA",Movimientos!$R$5:$R$2001,0)),"-")</f>
        <v>-</v>
      </c>
      <c r="C24" s="3" t="str">
        <f>IFERROR(INDEX(Movimientos!$D$5:$D$2001,MATCH(A24&amp;"ENTRADA",Movimientos!$R$5:$R$2001,0)),"-")</f>
        <v>-</v>
      </c>
      <c r="D24" s="3" t="str">
        <f>IFERROR(INDEX(Movimientos!$E$5:$E$2001,MATCH(A24&amp;"ENTRADA",Movimientos!$R$5:$R$2001,0)),"-")</f>
        <v>-</v>
      </c>
      <c r="E24" s="3" t="str">
        <f>IFERROR(INDEX(Movimientos!$F$5:$F$2001,MATCH(A24&amp;"ENTRADA",Movimientos!$R$5:$R$2001,0)),"-")</f>
        <v>-</v>
      </c>
      <c r="F24" s="3" t="str">
        <f>IFERROR(INDEX(Movimientos!$G$5:$G$2001,MATCH(A24&amp;"ENTRADA",Movimientos!$R$5:$R$2001,0)),"-")</f>
        <v>-</v>
      </c>
      <c r="G24" s="3" t="str">
        <f>IFERROR(INDEX(Movimientos!$L$5:$L$2001,MATCH(A24&amp;"ENTRADA",Movimientos!$R$5:$R$2001,0)),"-")</f>
        <v>-</v>
      </c>
      <c r="H24" s="19" t="str">
        <f>IFERROR(IF(INDEX(Movimientos!$M$5:$M$2001,MATCH(A24&amp;"ENTRADA",Movimientos!$R$5:$R$2001,0))=0,"S/D",INDEX(Movimientos!$M$5:$M$2001,MATCH(A24&amp;"ENTRADA",Movimientos!$R$5:$R$2001,0))),"S/D")</f>
        <v>S/D</v>
      </c>
      <c r="I24" s="16" t="str">
        <f t="shared" ca="1" si="2"/>
        <v>S/D</v>
      </c>
      <c r="J24" s="6" t="str">
        <f>IF(A24="","",SUMIFS(Movimientos!$K:$K,Movimientos!$H:$H,A24))</f>
        <v/>
      </c>
      <c r="K24" s="14" t="str">
        <f t="shared" ca="1" si="3"/>
        <v/>
      </c>
    </row>
    <row r="25" spans="1:11">
      <c r="A25" s="18"/>
      <c r="B25" s="3" t="str">
        <f>IFERROR(INDEX(Movimientos!$C$5:$C$2001,MATCH(A25&amp;"ENTRADA",Movimientos!$R$5:$R$2001,0)),"-")</f>
        <v>-</v>
      </c>
      <c r="C25" s="3" t="str">
        <f>IFERROR(INDEX(Movimientos!$D$5:$D$2001,MATCH(A25&amp;"ENTRADA",Movimientos!$R$5:$R$2001,0)),"-")</f>
        <v>-</v>
      </c>
      <c r="D25" s="3" t="str">
        <f>IFERROR(INDEX(Movimientos!$E$5:$E$2001,MATCH(A25&amp;"ENTRADA",Movimientos!$R$5:$R$2001,0)),"-")</f>
        <v>-</v>
      </c>
      <c r="E25" s="3" t="str">
        <f>IFERROR(INDEX(Movimientos!$F$5:$F$2001,MATCH(A25&amp;"ENTRADA",Movimientos!$R$5:$R$2001,0)),"-")</f>
        <v>-</v>
      </c>
      <c r="F25" s="3" t="str">
        <f>IFERROR(INDEX(Movimientos!$G$5:$G$2001,MATCH(A25&amp;"ENTRADA",Movimientos!$R$5:$R$2001,0)),"-")</f>
        <v>-</v>
      </c>
      <c r="G25" s="3" t="str">
        <f>IFERROR(INDEX(Movimientos!$L$5:$L$2001,MATCH(A25&amp;"ENTRADA",Movimientos!$R$5:$R$2001,0)),"-")</f>
        <v>-</v>
      </c>
      <c r="H25" s="19" t="str">
        <f>IFERROR(IF(INDEX(Movimientos!$M$5:$M$2001,MATCH(A25&amp;"ENTRADA",Movimientos!$R$5:$R$2001,0))=0,"S/D",INDEX(Movimientos!$M$5:$M$2001,MATCH(A25&amp;"ENTRADA",Movimientos!$R$5:$R$2001,0))),"S/D")</f>
        <v>S/D</v>
      </c>
      <c r="I25" s="16" t="str">
        <f t="shared" ca="1" si="2"/>
        <v>S/D</v>
      </c>
      <c r="J25" s="6" t="str">
        <f>IF(A25="","",SUMIFS(Movimientos!$K:$K,Movimientos!$H:$H,A25))</f>
        <v/>
      </c>
      <c r="K25" s="14" t="str">
        <f t="shared" ca="1" si="3"/>
        <v/>
      </c>
    </row>
    <row r="26" spans="1:11">
      <c r="A26" s="18"/>
      <c r="B26" s="3" t="str">
        <f>IFERROR(INDEX(Movimientos!$C$5:$C$2001,MATCH(A26&amp;"ENTRADA",Movimientos!$R$5:$R$2001,0)),"-")</f>
        <v>-</v>
      </c>
      <c r="C26" s="3" t="str">
        <f>IFERROR(INDEX(Movimientos!$D$5:$D$2001,MATCH(A26&amp;"ENTRADA",Movimientos!$R$5:$R$2001,0)),"-")</f>
        <v>-</v>
      </c>
      <c r="D26" s="3" t="str">
        <f>IFERROR(INDEX(Movimientos!$E$5:$E$2001,MATCH(A26&amp;"ENTRADA",Movimientos!$R$5:$R$2001,0)),"-")</f>
        <v>-</v>
      </c>
      <c r="E26" s="3" t="str">
        <f>IFERROR(INDEX(Movimientos!$F$5:$F$2001,MATCH(A26&amp;"ENTRADA",Movimientos!$R$5:$R$2001,0)),"-")</f>
        <v>-</v>
      </c>
      <c r="F26" s="3" t="str">
        <f>IFERROR(INDEX(Movimientos!$G$5:$G$2001,MATCH(A26&amp;"ENTRADA",Movimientos!$R$5:$R$2001,0)),"-")</f>
        <v>-</v>
      </c>
      <c r="G26" s="3" t="str">
        <f>IFERROR(INDEX(Movimientos!$L$5:$L$2001,MATCH(A26&amp;"ENTRADA",Movimientos!$R$5:$R$2001,0)),"-")</f>
        <v>-</v>
      </c>
      <c r="H26" s="19" t="str">
        <f>IFERROR(IF(INDEX(Movimientos!$M$5:$M$2001,MATCH(A26&amp;"ENTRADA",Movimientos!$R$5:$R$2001,0))=0,"S/D",INDEX(Movimientos!$M$5:$M$2001,MATCH(A26&amp;"ENTRADA",Movimientos!$R$5:$R$2001,0))),"S/D")</f>
        <v>S/D</v>
      </c>
      <c r="I26" s="16" t="str">
        <f t="shared" ca="1" si="2"/>
        <v>S/D</v>
      </c>
      <c r="J26" s="6" t="str">
        <f>IF(A26="","",SUMIFS(Movimientos!$K:$K,Movimientos!$H:$H,A26))</f>
        <v/>
      </c>
      <c r="K26" s="14" t="str">
        <f t="shared" ca="1" si="3"/>
        <v/>
      </c>
    </row>
    <row r="27" spans="1:11">
      <c r="A27" s="18"/>
      <c r="B27" s="3" t="str">
        <f>IFERROR(INDEX(Movimientos!$C$5:$C$2001,MATCH(A27&amp;"ENTRADA",Movimientos!$R$5:$R$2001,0)),"-")</f>
        <v>-</v>
      </c>
      <c r="C27" s="3" t="str">
        <f>IFERROR(INDEX(Movimientos!$D$5:$D$2001,MATCH(A27&amp;"ENTRADA",Movimientos!$R$5:$R$2001,0)),"-")</f>
        <v>-</v>
      </c>
      <c r="D27" s="3" t="str">
        <f>IFERROR(INDEX(Movimientos!$E$5:$E$2001,MATCH(A27&amp;"ENTRADA",Movimientos!$R$5:$R$2001,0)),"-")</f>
        <v>-</v>
      </c>
      <c r="E27" s="3" t="str">
        <f>IFERROR(INDEX(Movimientos!$F$5:$F$2001,MATCH(A27&amp;"ENTRADA",Movimientos!$R$5:$R$2001,0)),"-")</f>
        <v>-</v>
      </c>
      <c r="F27" s="3" t="str">
        <f>IFERROR(INDEX(Movimientos!$G$5:$G$2001,MATCH(A27&amp;"ENTRADA",Movimientos!$R$5:$R$2001,0)),"-")</f>
        <v>-</v>
      </c>
      <c r="G27" s="3" t="str">
        <f>IFERROR(INDEX(Movimientos!$L$5:$L$2001,MATCH(A27&amp;"ENTRADA",Movimientos!$R$5:$R$2001,0)),"-")</f>
        <v>-</v>
      </c>
      <c r="H27" s="19" t="str">
        <f>IFERROR(IF(INDEX(Movimientos!$M$5:$M$2001,MATCH(A27&amp;"ENTRADA",Movimientos!$R$5:$R$2001,0))=0,"S/D",INDEX(Movimientos!$M$5:$M$2001,MATCH(A27&amp;"ENTRADA",Movimientos!$R$5:$R$2001,0))),"S/D")</f>
        <v>S/D</v>
      </c>
      <c r="I27" s="16" t="str">
        <f t="shared" ca="1" si="2"/>
        <v>S/D</v>
      </c>
      <c r="J27" s="6" t="str">
        <f>IF(A27="","",SUMIFS(Movimientos!$K:$K,Movimientos!$H:$H,A27))</f>
        <v/>
      </c>
      <c r="K27" s="14" t="str">
        <f t="shared" ca="1" si="3"/>
        <v/>
      </c>
    </row>
    <row r="28" spans="1:11">
      <c r="A28" s="18"/>
      <c r="B28" s="3" t="str">
        <f>IFERROR(INDEX(Movimientos!$C$5:$C$2001,MATCH(A28&amp;"ENTRADA",Movimientos!$R$5:$R$2001,0)),"-")</f>
        <v>-</v>
      </c>
      <c r="C28" s="3" t="str">
        <f>IFERROR(INDEX(Movimientos!$D$5:$D$2001,MATCH(A28&amp;"ENTRADA",Movimientos!$R$5:$R$2001,0)),"-")</f>
        <v>-</v>
      </c>
      <c r="D28" s="3" t="str">
        <f>IFERROR(INDEX(Movimientos!$E$5:$E$2001,MATCH(A28&amp;"ENTRADA",Movimientos!$R$5:$R$2001,0)),"-")</f>
        <v>-</v>
      </c>
      <c r="E28" s="3" t="str">
        <f>IFERROR(INDEX(Movimientos!$F$5:$F$2001,MATCH(A28&amp;"ENTRADA",Movimientos!$R$5:$R$2001,0)),"-")</f>
        <v>-</v>
      </c>
      <c r="F28" s="3" t="str">
        <f>IFERROR(INDEX(Movimientos!$G$5:$G$2001,MATCH(A28&amp;"ENTRADA",Movimientos!$R$5:$R$2001,0)),"-")</f>
        <v>-</v>
      </c>
      <c r="G28" s="3" t="str">
        <f>IFERROR(INDEX(Movimientos!$L$5:$L$2001,MATCH(A28&amp;"ENTRADA",Movimientos!$R$5:$R$2001,0)),"-")</f>
        <v>-</v>
      </c>
      <c r="H28" s="19" t="str">
        <f>IFERROR(IF(INDEX(Movimientos!$M$5:$M$2001,MATCH(A28&amp;"ENTRADA",Movimientos!$R$5:$R$2001,0))=0,"S/D",INDEX(Movimientos!$M$5:$M$2001,MATCH(A28&amp;"ENTRADA",Movimientos!$R$5:$R$2001,0))),"S/D")</f>
        <v>S/D</v>
      </c>
      <c r="I28" s="16" t="str">
        <f t="shared" ca="1" si="2"/>
        <v>S/D</v>
      </c>
      <c r="J28" s="6" t="str">
        <f>IF(A28="","",SUMIFS(Movimientos!$K:$K,Movimientos!$H:$H,A28))</f>
        <v/>
      </c>
      <c r="K28" s="14" t="str">
        <f t="shared" ca="1" si="3"/>
        <v/>
      </c>
    </row>
    <row r="29" spans="1:11">
      <c r="A29" s="18"/>
      <c r="B29" s="3" t="str">
        <f>IFERROR(INDEX(Movimientos!$C$5:$C$2001,MATCH(A29&amp;"ENTRADA",Movimientos!$R$5:$R$2001,0)),"-")</f>
        <v>-</v>
      </c>
      <c r="C29" s="3" t="str">
        <f>IFERROR(INDEX(Movimientos!$D$5:$D$2001,MATCH(A29&amp;"ENTRADA",Movimientos!$R$5:$R$2001,0)),"-")</f>
        <v>-</v>
      </c>
      <c r="D29" s="3" t="str">
        <f>IFERROR(INDEX(Movimientos!$E$5:$E$2001,MATCH(A29&amp;"ENTRADA",Movimientos!$R$5:$R$2001,0)),"-")</f>
        <v>-</v>
      </c>
      <c r="E29" s="3" t="str">
        <f>IFERROR(INDEX(Movimientos!$F$5:$F$2001,MATCH(A29&amp;"ENTRADA",Movimientos!$R$5:$R$2001,0)),"-")</f>
        <v>-</v>
      </c>
      <c r="F29" s="3" t="str">
        <f>IFERROR(INDEX(Movimientos!$G$5:$G$2001,MATCH(A29&amp;"ENTRADA",Movimientos!$R$5:$R$2001,0)),"-")</f>
        <v>-</v>
      </c>
      <c r="G29" s="3" t="str">
        <f>IFERROR(INDEX(Movimientos!$L$5:$L$2001,MATCH(A29&amp;"ENTRADA",Movimientos!$R$5:$R$2001,0)),"-")</f>
        <v>-</v>
      </c>
      <c r="H29" s="19" t="str">
        <f>IFERROR(IF(INDEX(Movimientos!$M$5:$M$2001,MATCH(A29&amp;"ENTRADA",Movimientos!$R$5:$R$2001,0))=0,"S/D",INDEX(Movimientos!$M$5:$M$2001,MATCH(A29&amp;"ENTRADA",Movimientos!$R$5:$R$2001,0))),"S/D")</f>
        <v>S/D</v>
      </c>
      <c r="I29" s="16" t="str">
        <f t="shared" ca="1" si="2"/>
        <v>S/D</v>
      </c>
      <c r="J29" s="6" t="str">
        <f>IF(A29="","",SUMIFS(Movimientos!$K:$K,Movimientos!$H:$H,A29))</f>
        <v/>
      </c>
      <c r="K29" s="14" t="str">
        <f t="shared" ca="1" si="3"/>
        <v/>
      </c>
    </row>
    <row r="30" spans="1:11">
      <c r="A30" s="18"/>
      <c r="B30" s="3" t="str">
        <f>IFERROR(INDEX(Movimientos!$C$5:$C$2001,MATCH(A30&amp;"ENTRADA",Movimientos!$R$5:$R$2001,0)),"-")</f>
        <v>-</v>
      </c>
      <c r="C30" s="3" t="str">
        <f>IFERROR(INDEX(Movimientos!$D$5:$D$2001,MATCH(A30&amp;"ENTRADA",Movimientos!$R$5:$R$2001,0)),"-")</f>
        <v>-</v>
      </c>
      <c r="D30" s="3" t="str">
        <f>IFERROR(INDEX(Movimientos!$E$5:$E$2001,MATCH(A30&amp;"ENTRADA",Movimientos!$R$5:$R$2001,0)),"-")</f>
        <v>-</v>
      </c>
      <c r="E30" s="3" t="str">
        <f>IFERROR(INDEX(Movimientos!$F$5:$F$2001,MATCH(A30&amp;"ENTRADA",Movimientos!$R$5:$R$2001,0)),"-")</f>
        <v>-</v>
      </c>
      <c r="F30" s="3" t="str">
        <f>IFERROR(INDEX(Movimientos!$G$5:$G$2001,MATCH(A30&amp;"ENTRADA",Movimientos!$R$5:$R$2001,0)),"-")</f>
        <v>-</v>
      </c>
      <c r="G30" s="3" t="str">
        <f>IFERROR(INDEX(Movimientos!$L$5:$L$2001,MATCH(A30&amp;"ENTRADA",Movimientos!$R$5:$R$2001,0)),"-")</f>
        <v>-</v>
      </c>
      <c r="H30" s="19" t="str">
        <f>IFERROR(IF(INDEX(Movimientos!$M$5:$M$2001,MATCH(A30&amp;"ENTRADA",Movimientos!$R$5:$R$2001,0))=0,"S/D",INDEX(Movimientos!$M$5:$M$2001,MATCH(A30&amp;"ENTRADA",Movimientos!$R$5:$R$2001,0))),"S/D")</f>
        <v>S/D</v>
      </c>
      <c r="I30" s="16" t="str">
        <f t="shared" ca="1" si="2"/>
        <v>S/D</v>
      </c>
      <c r="J30" s="6" t="str">
        <f>IF(A30="","",SUMIFS(Movimientos!$K:$K,Movimientos!$H:$H,A30))</f>
        <v/>
      </c>
      <c r="K30" s="14" t="str">
        <f t="shared" ca="1" si="3"/>
        <v/>
      </c>
    </row>
    <row r="31" spans="1:11">
      <c r="A31" s="18"/>
      <c r="B31" s="3" t="str">
        <f>IFERROR(INDEX(Movimientos!$C$5:$C$2001,MATCH(A31&amp;"ENTRADA",Movimientos!$R$5:$R$2001,0)),"-")</f>
        <v>-</v>
      </c>
      <c r="C31" s="3" t="str">
        <f>IFERROR(INDEX(Movimientos!$D$5:$D$2001,MATCH(A31&amp;"ENTRADA",Movimientos!$R$5:$R$2001,0)),"-")</f>
        <v>-</v>
      </c>
      <c r="D31" s="3" t="str">
        <f>IFERROR(INDEX(Movimientos!$E$5:$E$2001,MATCH(A31&amp;"ENTRADA",Movimientos!$R$5:$R$2001,0)),"-")</f>
        <v>-</v>
      </c>
      <c r="E31" s="3" t="str">
        <f>IFERROR(INDEX(Movimientos!$F$5:$F$2001,MATCH(A31&amp;"ENTRADA",Movimientos!$R$5:$R$2001,0)),"-")</f>
        <v>-</v>
      </c>
      <c r="F31" s="3" t="str">
        <f>IFERROR(INDEX(Movimientos!$G$5:$G$2001,MATCH(A31&amp;"ENTRADA",Movimientos!$R$5:$R$2001,0)),"-")</f>
        <v>-</v>
      </c>
      <c r="G31" s="3" t="str">
        <f>IFERROR(INDEX(Movimientos!$L$5:$L$2001,MATCH(A31&amp;"ENTRADA",Movimientos!$R$5:$R$2001,0)),"-")</f>
        <v>-</v>
      </c>
      <c r="H31" s="19" t="str">
        <f>IFERROR(IF(INDEX(Movimientos!$M$5:$M$2001,MATCH(A31&amp;"ENTRADA",Movimientos!$R$5:$R$2001,0))=0,"S/D",INDEX(Movimientos!$M$5:$M$2001,MATCH(A31&amp;"ENTRADA",Movimientos!$R$5:$R$2001,0))),"S/D")</f>
        <v>S/D</v>
      </c>
      <c r="I31" s="16" t="str">
        <f t="shared" ca="1" si="2"/>
        <v>S/D</v>
      </c>
      <c r="J31" s="6" t="str">
        <f>IF(A31="","",SUMIFS(Movimientos!$K:$K,Movimientos!$H:$H,A31))</f>
        <v/>
      </c>
      <c r="K31" s="14" t="str">
        <f t="shared" ca="1" si="3"/>
        <v/>
      </c>
    </row>
    <row r="32" spans="1:11">
      <c r="A32" s="18"/>
      <c r="B32" s="3" t="str">
        <f>IFERROR(INDEX(Movimientos!$C$5:$C$2001,MATCH(A32&amp;"ENTRADA",Movimientos!$R$5:$R$2001,0)),"-")</f>
        <v>-</v>
      </c>
      <c r="C32" s="3" t="str">
        <f>IFERROR(INDEX(Movimientos!$D$5:$D$2001,MATCH(A32&amp;"ENTRADA",Movimientos!$R$5:$R$2001,0)),"-")</f>
        <v>-</v>
      </c>
      <c r="D32" s="3" t="str">
        <f>IFERROR(INDEX(Movimientos!$E$5:$E$2001,MATCH(A32&amp;"ENTRADA",Movimientos!$R$5:$R$2001,0)),"-")</f>
        <v>-</v>
      </c>
      <c r="E32" s="3" t="str">
        <f>IFERROR(INDEX(Movimientos!$F$5:$F$2001,MATCH(A32&amp;"ENTRADA",Movimientos!$R$5:$R$2001,0)),"-")</f>
        <v>-</v>
      </c>
      <c r="F32" s="3" t="str">
        <f>IFERROR(INDEX(Movimientos!$G$5:$G$2001,MATCH(A32&amp;"ENTRADA",Movimientos!$R$5:$R$2001,0)),"-")</f>
        <v>-</v>
      </c>
      <c r="G32" s="3" t="str">
        <f>IFERROR(INDEX(Movimientos!$L$5:$L$2001,MATCH(A32&amp;"ENTRADA",Movimientos!$R$5:$R$2001,0)),"-")</f>
        <v>-</v>
      </c>
      <c r="H32" s="19" t="str">
        <f>IFERROR(IF(INDEX(Movimientos!$M$5:$M$2001,MATCH(A32&amp;"ENTRADA",Movimientos!$R$5:$R$2001,0))=0,"S/D",INDEX(Movimientos!$M$5:$M$2001,MATCH(A32&amp;"ENTRADA",Movimientos!$R$5:$R$2001,0))),"S/D")</f>
        <v>S/D</v>
      </c>
      <c r="I32" s="16" t="str">
        <f t="shared" ca="1" si="2"/>
        <v>S/D</v>
      </c>
      <c r="J32" s="6" t="str">
        <f>IF(A32="","",SUMIFS(Movimientos!$K:$K,Movimientos!$H:$H,A32))</f>
        <v/>
      </c>
      <c r="K32" s="14" t="str">
        <f t="shared" ca="1" si="3"/>
        <v/>
      </c>
    </row>
    <row r="33" spans="1:11">
      <c r="A33" s="18"/>
      <c r="B33" s="3" t="str">
        <f>IFERROR(INDEX(Movimientos!$C$5:$C$2001,MATCH(A33&amp;"ENTRADA",Movimientos!$R$5:$R$2001,0)),"-")</f>
        <v>-</v>
      </c>
      <c r="C33" s="3" t="str">
        <f>IFERROR(INDEX(Movimientos!$D$5:$D$2001,MATCH(A33&amp;"ENTRADA",Movimientos!$R$5:$R$2001,0)),"-")</f>
        <v>-</v>
      </c>
      <c r="D33" s="3" t="str">
        <f>IFERROR(INDEX(Movimientos!$E$5:$E$2001,MATCH(A33&amp;"ENTRADA",Movimientos!$R$5:$R$2001,0)),"-")</f>
        <v>-</v>
      </c>
      <c r="E33" s="3" t="str">
        <f>IFERROR(INDEX(Movimientos!$F$5:$F$2001,MATCH(A33&amp;"ENTRADA",Movimientos!$R$5:$R$2001,0)),"-")</f>
        <v>-</v>
      </c>
      <c r="F33" s="3" t="str">
        <f>IFERROR(INDEX(Movimientos!$G$5:$G$2001,MATCH(A33&amp;"ENTRADA",Movimientos!$R$5:$R$2001,0)),"-")</f>
        <v>-</v>
      </c>
      <c r="G33" s="3" t="str">
        <f>IFERROR(INDEX(Movimientos!$L$5:$L$2001,MATCH(A33&amp;"ENTRADA",Movimientos!$R$5:$R$2001,0)),"-")</f>
        <v>-</v>
      </c>
      <c r="H33" s="19" t="str">
        <f>IFERROR(IF(INDEX(Movimientos!$M$5:$M$2001,MATCH(A33&amp;"ENTRADA",Movimientos!$R$5:$R$2001,0))=0,"S/D",INDEX(Movimientos!$M$5:$M$2001,MATCH(A33&amp;"ENTRADA",Movimientos!$R$5:$R$2001,0))),"S/D")</f>
        <v>S/D</v>
      </c>
      <c r="I33" s="16" t="str">
        <f t="shared" ca="1" si="2"/>
        <v>S/D</v>
      </c>
      <c r="J33" s="6" t="str">
        <f>IF(A33="","",SUMIFS(Movimientos!$K:$K,Movimientos!$H:$H,A33))</f>
        <v/>
      </c>
      <c r="K33" s="14" t="str">
        <f t="shared" ca="1" si="3"/>
        <v/>
      </c>
    </row>
    <row r="34" spans="1:11">
      <c r="A34" s="18"/>
      <c r="B34" s="3" t="str">
        <f>IFERROR(INDEX(Movimientos!$C$5:$C$2001,MATCH(A34&amp;"ENTRADA",Movimientos!$R$5:$R$2001,0)),"-")</f>
        <v>-</v>
      </c>
      <c r="C34" s="3" t="str">
        <f>IFERROR(INDEX(Movimientos!$D$5:$D$2001,MATCH(A34&amp;"ENTRADA",Movimientos!$R$5:$R$2001,0)),"-")</f>
        <v>-</v>
      </c>
      <c r="D34" s="3" t="str">
        <f>IFERROR(INDEX(Movimientos!$E$5:$E$2001,MATCH(A34&amp;"ENTRADA",Movimientos!$R$5:$R$2001,0)),"-")</f>
        <v>-</v>
      </c>
      <c r="E34" s="3" t="str">
        <f>IFERROR(INDEX(Movimientos!$F$5:$F$2001,MATCH(A34&amp;"ENTRADA",Movimientos!$R$5:$R$2001,0)),"-")</f>
        <v>-</v>
      </c>
      <c r="F34" s="3" t="str">
        <f>IFERROR(INDEX(Movimientos!$G$5:$G$2001,MATCH(A34&amp;"ENTRADA",Movimientos!$R$5:$R$2001,0)),"-")</f>
        <v>-</v>
      </c>
      <c r="G34" s="3" t="str">
        <f>IFERROR(INDEX(Movimientos!$L$5:$L$2001,MATCH(A34&amp;"ENTRADA",Movimientos!$R$5:$R$2001,0)),"-")</f>
        <v>-</v>
      </c>
      <c r="H34" s="19" t="str">
        <f>IFERROR(IF(INDEX(Movimientos!$M$5:$M$2001,MATCH(A34&amp;"ENTRADA",Movimientos!$R$5:$R$2001,0))=0,"S/D",INDEX(Movimientos!$M$5:$M$2001,MATCH(A34&amp;"ENTRADA",Movimientos!$R$5:$R$2001,0))),"S/D")</f>
        <v>S/D</v>
      </c>
      <c r="I34" s="16" t="str">
        <f t="shared" ca="1" si="2"/>
        <v>S/D</v>
      </c>
      <c r="J34" s="6" t="str">
        <f>IF(A34="","",SUMIFS(Movimientos!$K:$K,Movimientos!$H:$H,A34))</f>
        <v/>
      </c>
      <c r="K34" s="14" t="str">
        <f t="shared" ca="1" si="3"/>
        <v/>
      </c>
    </row>
    <row r="35" spans="1:11">
      <c r="A35" s="18"/>
      <c r="B35" s="3" t="str">
        <f>IFERROR(INDEX(Movimientos!$C$5:$C$2001,MATCH(A35&amp;"ENTRADA",Movimientos!$R$5:$R$2001,0)),"-")</f>
        <v>-</v>
      </c>
      <c r="C35" s="3" t="str">
        <f>IFERROR(INDEX(Movimientos!$D$5:$D$2001,MATCH(A35&amp;"ENTRADA",Movimientos!$R$5:$R$2001,0)),"-")</f>
        <v>-</v>
      </c>
      <c r="D35" s="3" t="str">
        <f>IFERROR(INDEX(Movimientos!$E$5:$E$2001,MATCH(A35&amp;"ENTRADA",Movimientos!$R$5:$R$2001,0)),"-")</f>
        <v>-</v>
      </c>
      <c r="E35" s="3" t="str">
        <f>IFERROR(INDEX(Movimientos!$F$5:$F$2001,MATCH(A35&amp;"ENTRADA",Movimientos!$R$5:$R$2001,0)),"-")</f>
        <v>-</v>
      </c>
      <c r="F35" s="3" t="str">
        <f>IFERROR(INDEX(Movimientos!$G$5:$G$2001,MATCH(A35&amp;"ENTRADA",Movimientos!$R$5:$R$2001,0)),"-")</f>
        <v>-</v>
      </c>
      <c r="G35" s="3" t="str">
        <f>IFERROR(INDEX(Movimientos!$L$5:$L$2001,MATCH(A35&amp;"ENTRADA",Movimientos!$R$5:$R$2001,0)),"-")</f>
        <v>-</v>
      </c>
      <c r="H35" s="19" t="str">
        <f>IFERROR(IF(INDEX(Movimientos!$M$5:$M$2001,MATCH(A35&amp;"ENTRADA",Movimientos!$R$5:$R$2001,0))=0,"S/D",INDEX(Movimientos!$M$5:$M$2001,MATCH(A35&amp;"ENTRADA",Movimientos!$R$5:$R$2001,0))),"S/D")</f>
        <v>S/D</v>
      </c>
      <c r="I35" s="16" t="str">
        <f t="shared" ca="1" si="2"/>
        <v>S/D</v>
      </c>
      <c r="J35" s="6" t="str">
        <f>IF(A35="","",SUMIFS(Movimientos!$K:$K,Movimientos!$H:$H,A35))</f>
        <v/>
      </c>
      <c r="K35" s="14" t="str">
        <f t="shared" ca="1" si="3"/>
        <v/>
      </c>
    </row>
    <row r="36" spans="1:11">
      <c r="A36" s="18"/>
      <c r="B36" s="3" t="str">
        <f>IFERROR(INDEX(Movimientos!$C$5:$C$2001,MATCH(A36&amp;"ENTRADA",Movimientos!$R$5:$R$2001,0)),"-")</f>
        <v>-</v>
      </c>
      <c r="C36" s="3" t="str">
        <f>IFERROR(INDEX(Movimientos!$D$5:$D$2001,MATCH(A36&amp;"ENTRADA",Movimientos!$R$5:$R$2001,0)),"-")</f>
        <v>-</v>
      </c>
      <c r="D36" s="3" t="str">
        <f>IFERROR(INDEX(Movimientos!$E$5:$E$2001,MATCH(A36&amp;"ENTRADA",Movimientos!$R$5:$R$2001,0)),"-")</f>
        <v>-</v>
      </c>
      <c r="E36" s="3" t="str">
        <f>IFERROR(INDEX(Movimientos!$F$5:$F$2001,MATCH(A36&amp;"ENTRADA",Movimientos!$R$5:$R$2001,0)),"-")</f>
        <v>-</v>
      </c>
      <c r="F36" s="3" t="str">
        <f>IFERROR(INDEX(Movimientos!$G$5:$G$2001,MATCH(A36&amp;"ENTRADA",Movimientos!$R$5:$R$2001,0)),"-")</f>
        <v>-</v>
      </c>
      <c r="G36" s="3" t="str">
        <f>IFERROR(INDEX(Movimientos!$L$5:$L$2001,MATCH(A36&amp;"ENTRADA",Movimientos!$R$5:$R$2001,0)),"-")</f>
        <v>-</v>
      </c>
      <c r="H36" s="19" t="str">
        <f>IFERROR(IF(INDEX(Movimientos!$M$5:$M$2001,MATCH(A36&amp;"ENTRADA",Movimientos!$R$5:$R$2001,0))=0,"S/D",INDEX(Movimientos!$M$5:$M$2001,MATCH(A36&amp;"ENTRADA",Movimientos!$R$5:$R$2001,0))),"S/D")</f>
        <v>S/D</v>
      </c>
      <c r="I36" s="16" t="str">
        <f t="shared" ca="1" si="2"/>
        <v>S/D</v>
      </c>
      <c r="J36" s="6" t="str">
        <f>IF(A36="","",SUMIFS(Movimientos!$K:$K,Movimientos!$H:$H,A36))</f>
        <v/>
      </c>
      <c r="K36" s="14" t="str">
        <f t="shared" ca="1" si="3"/>
        <v/>
      </c>
    </row>
    <row r="37" spans="1:11">
      <c r="A37" s="18"/>
      <c r="B37" s="3" t="str">
        <f>IFERROR(INDEX(Movimientos!$C$5:$C$2001,MATCH(A37&amp;"ENTRADA",Movimientos!$R$5:$R$2001,0)),"-")</f>
        <v>-</v>
      </c>
      <c r="C37" s="3" t="str">
        <f>IFERROR(INDEX(Movimientos!$D$5:$D$2001,MATCH(A37&amp;"ENTRADA",Movimientos!$R$5:$R$2001,0)),"-")</f>
        <v>-</v>
      </c>
      <c r="D37" s="3" t="str">
        <f>IFERROR(INDEX(Movimientos!$E$5:$E$2001,MATCH(A37&amp;"ENTRADA",Movimientos!$R$5:$R$2001,0)),"-")</f>
        <v>-</v>
      </c>
      <c r="E37" s="3" t="str">
        <f>IFERROR(INDEX(Movimientos!$F$5:$F$2001,MATCH(A37&amp;"ENTRADA",Movimientos!$R$5:$R$2001,0)),"-")</f>
        <v>-</v>
      </c>
      <c r="F37" s="3" t="str">
        <f>IFERROR(INDEX(Movimientos!$G$5:$G$2001,MATCH(A37&amp;"ENTRADA",Movimientos!$R$5:$R$2001,0)),"-")</f>
        <v>-</v>
      </c>
      <c r="G37" s="3" t="str">
        <f>IFERROR(INDEX(Movimientos!$L$5:$L$2001,MATCH(A37&amp;"ENTRADA",Movimientos!$R$5:$R$2001,0)),"-")</f>
        <v>-</v>
      </c>
      <c r="H37" s="19" t="str">
        <f>IFERROR(IF(INDEX(Movimientos!$M$5:$M$2001,MATCH(A37&amp;"ENTRADA",Movimientos!$R$5:$R$2001,0))=0,"S/D",INDEX(Movimientos!$M$5:$M$2001,MATCH(A37&amp;"ENTRADA",Movimientos!$R$5:$R$2001,0))),"S/D")</f>
        <v>S/D</v>
      </c>
      <c r="I37" s="16" t="str">
        <f t="shared" ca="1" si="2"/>
        <v>S/D</v>
      </c>
      <c r="J37" s="6" t="str">
        <f>IF(A37="","",SUMIFS(Movimientos!$K:$K,Movimientos!$H:$H,A37))</f>
        <v/>
      </c>
      <c r="K37" s="14" t="str">
        <f t="shared" ca="1" si="3"/>
        <v/>
      </c>
    </row>
    <row r="38" spans="1:11">
      <c r="A38" s="18"/>
      <c r="B38" s="3" t="str">
        <f>IFERROR(INDEX(Movimientos!$C$5:$C$2001,MATCH(A38&amp;"ENTRADA",Movimientos!$R$5:$R$2001,0)),"-")</f>
        <v>-</v>
      </c>
      <c r="C38" s="3" t="str">
        <f>IFERROR(INDEX(Movimientos!$D$5:$D$2001,MATCH(A38&amp;"ENTRADA",Movimientos!$R$5:$R$2001,0)),"-")</f>
        <v>-</v>
      </c>
      <c r="D38" s="3" t="str">
        <f>IFERROR(INDEX(Movimientos!$E$5:$E$2001,MATCH(A38&amp;"ENTRADA",Movimientos!$R$5:$R$2001,0)),"-")</f>
        <v>-</v>
      </c>
      <c r="E38" s="3" t="str">
        <f>IFERROR(INDEX(Movimientos!$F$5:$F$2001,MATCH(A38&amp;"ENTRADA",Movimientos!$R$5:$R$2001,0)),"-")</f>
        <v>-</v>
      </c>
      <c r="F38" s="3" t="str">
        <f>IFERROR(INDEX(Movimientos!$G$5:$G$2001,MATCH(A38&amp;"ENTRADA",Movimientos!$R$5:$R$2001,0)),"-")</f>
        <v>-</v>
      </c>
      <c r="G38" s="3" t="str">
        <f>IFERROR(INDEX(Movimientos!$L$5:$L$2001,MATCH(A38&amp;"ENTRADA",Movimientos!$R$5:$R$2001,0)),"-")</f>
        <v>-</v>
      </c>
      <c r="H38" s="19" t="str">
        <f>IFERROR(IF(INDEX(Movimientos!$M$5:$M$2001,MATCH(A38&amp;"ENTRADA",Movimientos!$R$5:$R$2001,0))=0,"S/D",INDEX(Movimientos!$M$5:$M$2001,MATCH(A38&amp;"ENTRADA",Movimientos!$R$5:$R$2001,0))),"S/D")</f>
        <v>S/D</v>
      </c>
      <c r="I38" s="16" t="str">
        <f t="shared" ca="1" si="2"/>
        <v>S/D</v>
      </c>
      <c r="J38" s="6" t="str">
        <f>IF(A38="","",SUMIFS(Movimientos!$K:$K,Movimientos!$H:$H,A38))</f>
        <v/>
      </c>
      <c r="K38" s="14" t="str">
        <f t="shared" ca="1" si="3"/>
        <v/>
      </c>
    </row>
    <row r="39" spans="1:11">
      <c r="A39" s="18"/>
      <c r="B39" s="3" t="str">
        <f>IFERROR(INDEX(Movimientos!$C$5:$C$2001,MATCH(A39&amp;"ENTRADA",Movimientos!$R$5:$R$2001,0)),"-")</f>
        <v>-</v>
      </c>
      <c r="C39" s="3" t="str">
        <f>IFERROR(INDEX(Movimientos!$D$5:$D$2001,MATCH(A39&amp;"ENTRADA",Movimientos!$R$5:$R$2001,0)),"-")</f>
        <v>-</v>
      </c>
      <c r="D39" s="3" t="str">
        <f>IFERROR(INDEX(Movimientos!$E$5:$E$2001,MATCH(A39&amp;"ENTRADA",Movimientos!$R$5:$R$2001,0)),"-")</f>
        <v>-</v>
      </c>
      <c r="E39" s="3" t="str">
        <f>IFERROR(INDEX(Movimientos!$F$5:$F$2001,MATCH(A39&amp;"ENTRADA",Movimientos!$R$5:$R$2001,0)),"-")</f>
        <v>-</v>
      </c>
      <c r="F39" s="3" t="str">
        <f>IFERROR(INDEX(Movimientos!$G$5:$G$2001,MATCH(A39&amp;"ENTRADA",Movimientos!$R$5:$R$2001,0)),"-")</f>
        <v>-</v>
      </c>
      <c r="G39" s="3" t="str">
        <f>IFERROR(INDEX(Movimientos!$L$5:$L$2001,MATCH(A39&amp;"ENTRADA",Movimientos!$R$5:$R$2001,0)),"-")</f>
        <v>-</v>
      </c>
      <c r="H39" s="19" t="str">
        <f>IFERROR(IF(INDEX(Movimientos!$M$5:$M$2001,MATCH(A39&amp;"ENTRADA",Movimientos!$R$5:$R$2001,0))=0,"S/D",INDEX(Movimientos!$M$5:$M$2001,MATCH(A39&amp;"ENTRADA",Movimientos!$R$5:$R$2001,0))),"S/D")</f>
        <v>S/D</v>
      </c>
      <c r="I39" s="16" t="str">
        <f t="shared" ca="1" si="2"/>
        <v>S/D</v>
      </c>
      <c r="J39" s="6" t="str">
        <f>IF(A39="","",SUMIFS(Movimientos!$K:$K,Movimientos!$H:$H,A39))</f>
        <v/>
      </c>
      <c r="K39" s="14" t="str">
        <f t="shared" ca="1" si="3"/>
        <v/>
      </c>
    </row>
    <row r="40" spans="1:11">
      <c r="A40" s="18"/>
      <c r="B40" s="3" t="str">
        <f>IFERROR(INDEX(Movimientos!$C$5:$C$2001,MATCH(A40&amp;"ENTRADA",Movimientos!$R$5:$R$2001,0)),"-")</f>
        <v>-</v>
      </c>
      <c r="C40" s="3" t="str">
        <f>IFERROR(INDEX(Movimientos!$D$5:$D$2001,MATCH(A40&amp;"ENTRADA",Movimientos!$R$5:$R$2001,0)),"-")</f>
        <v>-</v>
      </c>
      <c r="D40" s="3" t="str">
        <f>IFERROR(INDEX(Movimientos!$E$5:$E$2001,MATCH(A40&amp;"ENTRADA",Movimientos!$R$5:$R$2001,0)),"-")</f>
        <v>-</v>
      </c>
      <c r="E40" s="3" t="str">
        <f>IFERROR(INDEX(Movimientos!$F$5:$F$2001,MATCH(A40&amp;"ENTRADA",Movimientos!$R$5:$R$2001,0)),"-")</f>
        <v>-</v>
      </c>
      <c r="F40" s="3" t="str">
        <f>IFERROR(INDEX(Movimientos!$G$5:$G$2001,MATCH(A40&amp;"ENTRADA",Movimientos!$R$5:$R$2001,0)),"-")</f>
        <v>-</v>
      </c>
      <c r="G40" s="3" t="str">
        <f>IFERROR(INDEX(Movimientos!$L$5:$L$2001,MATCH(A40&amp;"ENTRADA",Movimientos!$R$5:$R$2001,0)),"-")</f>
        <v>-</v>
      </c>
      <c r="H40" s="19" t="str">
        <f>IFERROR(IF(INDEX(Movimientos!$M$5:$M$2001,MATCH(A40&amp;"ENTRADA",Movimientos!$R$5:$R$2001,0))=0,"S/D",INDEX(Movimientos!$M$5:$M$2001,MATCH(A40&amp;"ENTRADA",Movimientos!$R$5:$R$2001,0))),"S/D")</f>
        <v>S/D</v>
      </c>
      <c r="I40" s="16" t="str">
        <f t="shared" ca="1" si="2"/>
        <v>S/D</v>
      </c>
      <c r="J40" s="6" t="str">
        <f>IF(A40="","",SUMIFS(Movimientos!$K:$K,Movimientos!$H:$H,A40))</f>
        <v/>
      </c>
      <c r="K40" s="14" t="str">
        <f t="shared" ca="1" si="3"/>
        <v/>
      </c>
    </row>
    <row r="41" spans="1:11">
      <c r="A41" s="18" t="s">
        <v>2102</v>
      </c>
      <c r="B41" s="3" t="str">
        <f>IFERROR(INDEX(Movimientos!$C$5:$C$2001,MATCH(A41&amp;"ENTRADA",Movimientos!$R$5:$R$2001,0)),"-")</f>
        <v>-</v>
      </c>
      <c r="C41" s="3" t="str">
        <f>IFERROR(INDEX(Movimientos!$D$5:$D$2001,MATCH(A41&amp;"ENTRADA",Movimientos!$R$5:$R$2001,0)),"-")</f>
        <v>-</v>
      </c>
      <c r="D41" s="3" t="str">
        <f>IFERROR(INDEX(Movimientos!$E$5:$E$2001,MATCH(A41&amp;"ENTRADA",Movimientos!$R$5:$R$2001,0)),"-")</f>
        <v>-</v>
      </c>
      <c r="E41" s="3" t="str">
        <f>IFERROR(INDEX(Movimientos!$F$5:$F$2001,MATCH(A41&amp;"ENTRADA",Movimientos!$R$5:$R$2001,0)),"-")</f>
        <v>-</v>
      </c>
      <c r="F41" s="3" t="str">
        <f>IFERROR(INDEX(Movimientos!$G$5:$G$2001,MATCH(A41&amp;"ENTRADA",Movimientos!$R$5:$R$2001,0)),"-")</f>
        <v>-</v>
      </c>
      <c r="G41" s="3" t="str">
        <f>IFERROR(INDEX(Movimientos!$L$5:$L$2001,MATCH(A41&amp;"ENTRADA",Movimientos!$R$5:$R$2001,0)),"-")</f>
        <v>-</v>
      </c>
      <c r="H41" s="19" t="str">
        <f>IFERROR(IF(INDEX(Movimientos!$M$5:$M$2001,MATCH(A41&amp;"ENTRADA",Movimientos!$R$5:$R$2001,0))=0,"S/D",INDEX(Movimientos!$M$5:$M$2001,MATCH(A41&amp;"ENTRADA",Movimientos!$R$5:$R$2001,0))),"S/D")</f>
        <v>S/D</v>
      </c>
      <c r="I41" s="16" t="str">
        <f t="shared" ca="1" si="2"/>
        <v>S/D</v>
      </c>
      <c r="J41" s="6">
        <f>IF(A41="","",SUMIFS(Movimientos!$K:$K,Movimientos!$H:$H,A41))</f>
        <v>0</v>
      </c>
      <c r="K41" s="14" t="str">
        <f t="shared" ca="1" si="3"/>
        <v>OK</v>
      </c>
    </row>
    <row r="42" spans="1:11">
      <c r="A42" s="18" t="s">
        <v>2103</v>
      </c>
      <c r="B42" s="3" t="str">
        <f>IFERROR(INDEX(Movimientos!$C$5:$C$2001,MATCH(A42&amp;"ENTRADA",Movimientos!$R$5:$R$2001,0)),"-")</f>
        <v>-</v>
      </c>
      <c r="C42" s="3" t="str">
        <f>IFERROR(INDEX(Movimientos!$D$5:$D$2001,MATCH(A42&amp;"ENTRADA",Movimientos!$R$5:$R$2001,0)),"-")</f>
        <v>-</v>
      </c>
      <c r="D42" s="3" t="str">
        <f>IFERROR(INDEX(Movimientos!$E$5:$E$2001,MATCH(A42&amp;"ENTRADA",Movimientos!$R$5:$R$2001,0)),"-")</f>
        <v>-</v>
      </c>
      <c r="E42" s="3" t="str">
        <f>IFERROR(INDEX(Movimientos!$F$5:$F$2001,MATCH(A42&amp;"ENTRADA",Movimientos!$R$5:$R$2001,0)),"-")</f>
        <v>-</v>
      </c>
      <c r="F42" s="3" t="str">
        <f>IFERROR(INDEX(Movimientos!$G$5:$G$2001,MATCH(A42&amp;"ENTRADA",Movimientos!$R$5:$R$2001,0)),"-")</f>
        <v>-</v>
      </c>
      <c r="G42" s="3" t="str">
        <f>IFERROR(INDEX(Movimientos!$L$5:$L$2001,MATCH(A42&amp;"ENTRADA",Movimientos!$R$5:$R$2001,0)),"-")</f>
        <v>-</v>
      </c>
      <c r="H42" s="19" t="str">
        <f>IFERROR(IF(INDEX(Movimientos!$M$5:$M$2001,MATCH(A42&amp;"ENTRADA",Movimientos!$R$5:$R$2001,0))=0,"S/D",INDEX(Movimientos!$M$5:$M$2001,MATCH(A42&amp;"ENTRADA",Movimientos!$R$5:$R$2001,0))),"S/D")</f>
        <v>S/D</v>
      </c>
      <c r="I42" s="16" t="str">
        <f t="shared" ca="1" si="2"/>
        <v>S/D</v>
      </c>
      <c r="J42" s="6">
        <f>IF(A42="","",SUMIFS(Movimientos!$K:$K,Movimientos!$H:$H,A42))</f>
        <v>0</v>
      </c>
      <c r="K42" s="14" t="str">
        <f t="shared" ca="1" si="3"/>
        <v>OK</v>
      </c>
    </row>
    <row r="43" spans="1:11">
      <c r="A43" s="18" t="s">
        <v>2104</v>
      </c>
      <c r="B43" s="3" t="str">
        <f>IFERROR(INDEX(Movimientos!$C$5:$C$2001,MATCH(A43&amp;"ENTRADA",Movimientos!$R$5:$R$2001,0)),"-")</f>
        <v>-</v>
      </c>
      <c r="C43" s="3" t="str">
        <f>IFERROR(INDEX(Movimientos!$D$5:$D$2001,MATCH(A43&amp;"ENTRADA",Movimientos!$R$5:$R$2001,0)),"-")</f>
        <v>-</v>
      </c>
      <c r="D43" s="3" t="str">
        <f>IFERROR(INDEX(Movimientos!$E$5:$E$2001,MATCH(A43&amp;"ENTRADA",Movimientos!$R$5:$R$2001,0)),"-")</f>
        <v>-</v>
      </c>
      <c r="E43" s="3" t="str">
        <f>IFERROR(INDEX(Movimientos!$F$5:$F$2001,MATCH(A43&amp;"ENTRADA",Movimientos!$R$5:$R$2001,0)),"-")</f>
        <v>-</v>
      </c>
      <c r="F43" s="3" t="str">
        <f>IFERROR(INDEX(Movimientos!$G$5:$G$2001,MATCH(A43&amp;"ENTRADA",Movimientos!$R$5:$R$2001,0)),"-")</f>
        <v>-</v>
      </c>
      <c r="G43" s="3" t="str">
        <f>IFERROR(INDEX(Movimientos!$L$5:$L$2001,MATCH(A43&amp;"ENTRADA",Movimientos!$R$5:$R$2001,0)),"-")</f>
        <v>-</v>
      </c>
      <c r="H43" s="19" t="str">
        <f>IFERROR(IF(INDEX(Movimientos!$M$5:$M$2001,MATCH(A43&amp;"ENTRADA",Movimientos!$R$5:$R$2001,0))=0,"S/D",INDEX(Movimientos!$M$5:$M$2001,MATCH(A43&amp;"ENTRADA",Movimientos!$R$5:$R$2001,0))),"S/D")</f>
        <v>S/D</v>
      </c>
      <c r="I43" s="16" t="str">
        <f t="shared" ca="1" si="2"/>
        <v>S/D</v>
      </c>
      <c r="J43" s="6">
        <f>IF(A43="","",SUMIFS(Movimientos!$K:$K,Movimientos!$H:$H,A43))</f>
        <v>0</v>
      </c>
      <c r="K43" s="14" t="str">
        <f t="shared" ca="1" si="3"/>
        <v>OK</v>
      </c>
    </row>
    <row r="44" spans="1:11">
      <c r="A44" s="18" t="s">
        <v>2105</v>
      </c>
      <c r="B44" s="3" t="str">
        <f>IFERROR(INDEX(Movimientos!$C$5:$C$2001,MATCH(A44&amp;"ENTRADA",Movimientos!$R$5:$R$2001,0)),"-")</f>
        <v>-</v>
      </c>
      <c r="C44" s="3" t="str">
        <f>IFERROR(INDEX(Movimientos!$D$5:$D$2001,MATCH(A44&amp;"ENTRADA",Movimientos!$R$5:$R$2001,0)),"-")</f>
        <v>-</v>
      </c>
      <c r="D44" s="3" t="str">
        <f>IFERROR(INDEX(Movimientos!$E$5:$E$2001,MATCH(A44&amp;"ENTRADA",Movimientos!$R$5:$R$2001,0)),"-")</f>
        <v>-</v>
      </c>
      <c r="E44" s="3" t="str">
        <f>IFERROR(INDEX(Movimientos!$F$5:$F$2001,MATCH(A44&amp;"ENTRADA",Movimientos!$R$5:$R$2001,0)),"-")</f>
        <v>-</v>
      </c>
      <c r="F44" s="3" t="str">
        <f>IFERROR(INDEX(Movimientos!$G$5:$G$2001,MATCH(A44&amp;"ENTRADA",Movimientos!$R$5:$R$2001,0)),"-")</f>
        <v>-</v>
      </c>
      <c r="G44" s="3" t="str">
        <f>IFERROR(INDEX(Movimientos!$L$5:$L$2001,MATCH(A44&amp;"ENTRADA",Movimientos!$R$5:$R$2001,0)),"-")</f>
        <v>-</v>
      </c>
      <c r="H44" s="19" t="str">
        <f>IFERROR(IF(INDEX(Movimientos!$M$5:$M$2001,MATCH(A44&amp;"ENTRADA",Movimientos!$R$5:$R$2001,0))=0,"S/D",INDEX(Movimientos!$M$5:$M$2001,MATCH(A44&amp;"ENTRADA",Movimientos!$R$5:$R$2001,0))),"S/D")</f>
        <v>S/D</v>
      </c>
      <c r="I44" s="16" t="str">
        <f t="shared" ca="1" si="2"/>
        <v>S/D</v>
      </c>
      <c r="J44" s="6">
        <f>IF(A44="","",SUMIFS(Movimientos!$K:$K,Movimientos!$H:$H,A44))</f>
        <v>0</v>
      </c>
      <c r="K44" s="14" t="str">
        <f t="shared" ca="1" si="3"/>
        <v>OK</v>
      </c>
    </row>
    <row r="45" spans="1:11">
      <c r="A45" s="18" t="s">
        <v>2106</v>
      </c>
      <c r="B45" s="3" t="str">
        <f>IFERROR(INDEX(Movimientos!$C$5:$C$2001,MATCH(A45&amp;"ENTRADA",Movimientos!$R$5:$R$2001,0)),"-")</f>
        <v>-</v>
      </c>
      <c r="C45" s="3" t="str">
        <f>IFERROR(INDEX(Movimientos!$D$5:$D$2001,MATCH(A45&amp;"ENTRADA",Movimientos!$R$5:$R$2001,0)),"-")</f>
        <v>-</v>
      </c>
      <c r="D45" s="3" t="str">
        <f>IFERROR(INDEX(Movimientos!$E$5:$E$2001,MATCH(A45&amp;"ENTRADA",Movimientos!$R$5:$R$2001,0)),"-")</f>
        <v>-</v>
      </c>
      <c r="E45" s="3" t="str">
        <f>IFERROR(INDEX(Movimientos!$F$5:$F$2001,MATCH(A45&amp;"ENTRADA",Movimientos!$R$5:$R$2001,0)),"-")</f>
        <v>-</v>
      </c>
      <c r="F45" s="3" t="str">
        <f>IFERROR(INDEX(Movimientos!$G$5:$G$2001,MATCH(A45&amp;"ENTRADA",Movimientos!$R$5:$R$2001,0)),"-")</f>
        <v>-</v>
      </c>
      <c r="G45" s="3" t="str">
        <f>IFERROR(INDEX(Movimientos!$L$5:$L$2001,MATCH(A45&amp;"ENTRADA",Movimientos!$R$5:$R$2001,0)),"-")</f>
        <v>-</v>
      </c>
      <c r="H45" s="19" t="str">
        <f>IFERROR(IF(INDEX(Movimientos!$M$5:$M$2001,MATCH(A45&amp;"ENTRADA",Movimientos!$R$5:$R$2001,0))=0,"S/D",INDEX(Movimientos!$M$5:$M$2001,MATCH(A45&amp;"ENTRADA",Movimientos!$R$5:$R$2001,0))),"S/D")</f>
        <v>S/D</v>
      </c>
      <c r="I45" s="16" t="str">
        <f t="shared" ca="1" si="2"/>
        <v>S/D</v>
      </c>
      <c r="J45" s="6">
        <f>IF(A45="","",SUMIFS(Movimientos!$K:$K,Movimientos!$H:$H,A45))</f>
        <v>0</v>
      </c>
      <c r="K45" s="14" t="str">
        <f t="shared" ca="1" si="3"/>
        <v>OK</v>
      </c>
    </row>
    <row r="46" spans="1:11">
      <c r="A46" s="18" t="s">
        <v>2107</v>
      </c>
      <c r="B46" s="3" t="str">
        <f>IFERROR(INDEX(Movimientos!$C$5:$C$2001,MATCH(A46&amp;"ENTRADA",Movimientos!$R$5:$R$2001,0)),"-")</f>
        <v>-</v>
      </c>
      <c r="C46" s="3" t="str">
        <f>IFERROR(INDEX(Movimientos!$D$5:$D$2001,MATCH(A46&amp;"ENTRADA",Movimientos!$R$5:$R$2001,0)),"-")</f>
        <v>-</v>
      </c>
      <c r="D46" s="3" t="str">
        <f>IFERROR(INDEX(Movimientos!$E$5:$E$2001,MATCH(A46&amp;"ENTRADA",Movimientos!$R$5:$R$2001,0)),"-")</f>
        <v>-</v>
      </c>
      <c r="E46" s="3" t="str">
        <f>IFERROR(INDEX(Movimientos!$F$5:$F$2001,MATCH(A46&amp;"ENTRADA",Movimientos!$R$5:$R$2001,0)),"-")</f>
        <v>-</v>
      </c>
      <c r="F46" s="3" t="str">
        <f>IFERROR(INDEX(Movimientos!$G$5:$G$2001,MATCH(A46&amp;"ENTRADA",Movimientos!$R$5:$R$2001,0)),"-")</f>
        <v>-</v>
      </c>
      <c r="G46" s="3" t="str">
        <f>IFERROR(INDEX(Movimientos!$L$5:$L$2001,MATCH(A46&amp;"ENTRADA",Movimientos!$R$5:$R$2001,0)),"-")</f>
        <v>-</v>
      </c>
      <c r="H46" s="19" t="str">
        <f>IFERROR(IF(INDEX(Movimientos!$M$5:$M$2001,MATCH(A46&amp;"ENTRADA",Movimientos!$R$5:$R$2001,0))=0,"S/D",INDEX(Movimientos!$M$5:$M$2001,MATCH(A46&amp;"ENTRADA",Movimientos!$R$5:$R$2001,0))),"S/D")</f>
        <v>S/D</v>
      </c>
      <c r="I46" s="16" t="str">
        <f t="shared" ca="1" si="2"/>
        <v>S/D</v>
      </c>
      <c r="J46" s="6">
        <f>IF(A46="","",SUMIFS(Movimientos!$K:$K,Movimientos!$H:$H,A46))</f>
        <v>0</v>
      </c>
      <c r="K46" s="14" t="str">
        <f t="shared" ca="1" si="3"/>
        <v>OK</v>
      </c>
    </row>
    <row r="47" spans="1:11">
      <c r="A47" s="18" t="s">
        <v>2108</v>
      </c>
      <c r="B47" s="3" t="str">
        <f>IFERROR(INDEX(Movimientos!$C$5:$C$2001,MATCH(A47&amp;"ENTRADA",Movimientos!$R$5:$R$2001,0)),"-")</f>
        <v>-</v>
      </c>
      <c r="C47" s="3" t="str">
        <f>IFERROR(INDEX(Movimientos!$D$5:$D$2001,MATCH(A47&amp;"ENTRADA",Movimientos!$R$5:$R$2001,0)),"-")</f>
        <v>-</v>
      </c>
      <c r="D47" s="3" t="str">
        <f>IFERROR(INDEX(Movimientos!$E$5:$E$2001,MATCH(A47&amp;"ENTRADA",Movimientos!$R$5:$R$2001,0)),"-")</f>
        <v>-</v>
      </c>
      <c r="E47" s="3" t="str">
        <f>IFERROR(INDEX(Movimientos!$F$5:$F$2001,MATCH(A47&amp;"ENTRADA",Movimientos!$R$5:$R$2001,0)),"-")</f>
        <v>-</v>
      </c>
      <c r="F47" s="3" t="str">
        <f>IFERROR(INDEX(Movimientos!$G$5:$G$2001,MATCH(A47&amp;"ENTRADA",Movimientos!$R$5:$R$2001,0)),"-")</f>
        <v>-</v>
      </c>
      <c r="G47" s="3" t="str">
        <f>IFERROR(INDEX(Movimientos!$L$5:$L$2001,MATCH(A47&amp;"ENTRADA",Movimientos!$R$5:$R$2001,0)),"-")</f>
        <v>-</v>
      </c>
      <c r="H47" s="19" t="str">
        <f>IFERROR(IF(INDEX(Movimientos!$M$5:$M$2001,MATCH(A47&amp;"ENTRADA",Movimientos!$R$5:$R$2001,0))=0,"S/D",INDEX(Movimientos!$M$5:$M$2001,MATCH(A47&amp;"ENTRADA",Movimientos!$R$5:$R$2001,0))),"S/D")</f>
        <v>S/D</v>
      </c>
      <c r="I47" s="16" t="str">
        <f t="shared" ca="1" si="2"/>
        <v>S/D</v>
      </c>
      <c r="J47" s="6">
        <f>IF(A47="","",SUMIFS(Movimientos!$K:$K,Movimientos!$H:$H,A47))</f>
        <v>0</v>
      </c>
      <c r="K47" s="14" t="str">
        <f t="shared" ca="1" si="3"/>
        <v>OK</v>
      </c>
    </row>
    <row r="48" spans="1:11">
      <c r="A48" s="18" t="s">
        <v>2109</v>
      </c>
      <c r="B48" s="3" t="str">
        <f>IFERROR(INDEX(Movimientos!$C$5:$C$2001,MATCH(A48&amp;"ENTRADA",Movimientos!$R$5:$R$2001,0)),"-")</f>
        <v>-</v>
      </c>
      <c r="C48" s="3" t="str">
        <f>IFERROR(INDEX(Movimientos!$D$5:$D$2001,MATCH(A48&amp;"ENTRADA",Movimientos!$R$5:$R$2001,0)),"-")</f>
        <v>-</v>
      </c>
      <c r="D48" s="3" t="str">
        <f>IFERROR(INDEX(Movimientos!$E$5:$E$2001,MATCH(A48&amp;"ENTRADA",Movimientos!$R$5:$R$2001,0)),"-")</f>
        <v>-</v>
      </c>
      <c r="E48" s="3" t="str">
        <f>IFERROR(INDEX(Movimientos!$F$5:$F$2001,MATCH(A48&amp;"ENTRADA",Movimientos!$R$5:$R$2001,0)),"-")</f>
        <v>-</v>
      </c>
      <c r="F48" s="3" t="str">
        <f>IFERROR(INDEX(Movimientos!$G$5:$G$2001,MATCH(A48&amp;"ENTRADA",Movimientos!$R$5:$R$2001,0)),"-")</f>
        <v>-</v>
      </c>
      <c r="G48" s="3" t="str">
        <f>IFERROR(INDEX(Movimientos!$L$5:$L$2001,MATCH(A48&amp;"ENTRADA",Movimientos!$R$5:$R$2001,0)),"-")</f>
        <v>-</v>
      </c>
      <c r="H48" s="19" t="str">
        <f>IFERROR(IF(INDEX(Movimientos!$M$5:$M$2001,MATCH(A48&amp;"ENTRADA",Movimientos!$R$5:$R$2001,0))=0,"S/D",INDEX(Movimientos!$M$5:$M$2001,MATCH(A48&amp;"ENTRADA",Movimientos!$R$5:$R$2001,0))),"S/D")</f>
        <v>S/D</v>
      </c>
      <c r="I48" s="16" t="str">
        <f t="shared" ca="1" si="2"/>
        <v>S/D</v>
      </c>
      <c r="J48" s="6">
        <f>IF(A48="","",SUMIFS(Movimientos!$K:$K,Movimientos!$H:$H,A48))</f>
        <v>0</v>
      </c>
      <c r="K48" s="14" t="str">
        <f t="shared" ca="1" si="3"/>
        <v>OK</v>
      </c>
    </row>
    <row r="49" spans="1:11">
      <c r="A49" s="18" t="s">
        <v>2110</v>
      </c>
      <c r="B49" s="3" t="str">
        <f>IFERROR(INDEX(Movimientos!$C$5:$C$2001,MATCH(A49&amp;"ENTRADA",Movimientos!$R$5:$R$2001,0)),"-")</f>
        <v>-</v>
      </c>
      <c r="C49" s="3" t="str">
        <f>IFERROR(INDEX(Movimientos!$D$5:$D$2001,MATCH(A49&amp;"ENTRADA",Movimientos!$R$5:$R$2001,0)),"-")</f>
        <v>-</v>
      </c>
      <c r="D49" s="3" t="str">
        <f>IFERROR(INDEX(Movimientos!$E$5:$E$2001,MATCH(A49&amp;"ENTRADA",Movimientos!$R$5:$R$2001,0)),"-")</f>
        <v>-</v>
      </c>
      <c r="E49" s="3" t="str">
        <f>IFERROR(INDEX(Movimientos!$F$5:$F$2001,MATCH(A49&amp;"ENTRADA",Movimientos!$R$5:$R$2001,0)),"-")</f>
        <v>-</v>
      </c>
      <c r="F49" s="3" t="str">
        <f>IFERROR(INDEX(Movimientos!$G$5:$G$2001,MATCH(A49&amp;"ENTRADA",Movimientos!$R$5:$R$2001,0)),"-")</f>
        <v>-</v>
      </c>
      <c r="G49" s="3" t="str">
        <f>IFERROR(INDEX(Movimientos!$L$5:$L$2001,MATCH(A49&amp;"ENTRADA",Movimientos!$R$5:$R$2001,0)),"-")</f>
        <v>-</v>
      </c>
      <c r="H49" s="19" t="str">
        <f>IFERROR(IF(INDEX(Movimientos!$M$5:$M$2001,MATCH(A49&amp;"ENTRADA",Movimientos!$R$5:$R$2001,0))=0,"S/D",INDEX(Movimientos!$M$5:$M$2001,MATCH(A49&amp;"ENTRADA",Movimientos!$R$5:$R$2001,0))),"S/D")</f>
        <v>S/D</v>
      </c>
      <c r="I49" s="16" t="str">
        <f t="shared" ca="1" si="2"/>
        <v>S/D</v>
      </c>
      <c r="J49" s="6">
        <f>IF(A49="","",SUMIFS(Movimientos!$K:$K,Movimientos!$H:$H,A49))</f>
        <v>0</v>
      </c>
      <c r="K49" s="14" t="str">
        <f t="shared" ca="1" si="3"/>
        <v>OK</v>
      </c>
    </row>
    <row r="50" spans="1:11">
      <c r="A50" s="18" t="s">
        <v>2111</v>
      </c>
      <c r="B50" s="3" t="str">
        <f>IFERROR(INDEX(Movimientos!$C$5:$C$2001,MATCH(A50&amp;"ENTRADA",Movimientos!$R$5:$R$2001,0)),"-")</f>
        <v>-</v>
      </c>
      <c r="C50" s="3" t="str">
        <f>IFERROR(INDEX(Movimientos!$D$5:$D$2001,MATCH(A50&amp;"ENTRADA",Movimientos!$R$5:$R$2001,0)),"-")</f>
        <v>-</v>
      </c>
      <c r="D50" s="3" t="str">
        <f>IFERROR(INDEX(Movimientos!$E$5:$E$2001,MATCH(A50&amp;"ENTRADA",Movimientos!$R$5:$R$2001,0)),"-")</f>
        <v>-</v>
      </c>
      <c r="E50" s="3" t="str">
        <f>IFERROR(INDEX(Movimientos!$F$5:$F$2001,MATCH(A50&amp;"ENTRADA",Movimientos!$R$5:$R$2001,0)),"-")</f>
        <v>-</v>
      </c>
      <c r="F50" s="3" t="str">
        <f>IFERROR(INDEX(Movimientos!$G$5:$G$2001,MATCH(A50&amp;"ENTRADA",Movimientos!$R$5:$R$2001,0)),"-")</f>
        <v>-</v>
      </c>
      <c r="G50" s="3" t="str">
        <f>IFERROR(INDEX(Movimientos!$L$5:$L$2001,MATCH(A50&amp;"ENTRADA",Movimientos!$R$5:$R$2001,0)),"-")</f>
        <v>-</v>
      </c>
      <c r="H50" s="19" t="str">
        <f>IFERROR(IF(INDEX(Movimientos!$M$5:$M$2001,MATCH(A50&amp;"ENTRADA",Movimientos!$R$5:$R$2001,0))=0,"S/D",INDEX(Movimientos!$M$5:$M$2001,MATCH(A50&amp;"ENTRADA",Movimientos!$R$5:$R$2001,0))),"S/D")</f>
        <v>S/D</v>
      </c>
      <c r="I50" s="16" t="str">
        <f t="shared" ca="1" si="2"/>
        <v>S/D</v>
      </c>
      <c r="J50" s="6">
        <f>IF(A50="","",SUMIFS(Movimientos!$K:$K,Movimientos!$H:$H,A50))</f>
        <v>0</v>
      </c>
      <c r="K50" s="14" t="str">
        <f t="shared" ca="1" si="3"/>
        <v>OK</v>
      </c>
    </row>
    <row r="51" spans="1:11">
      <c r="A51" s="18" t="s">
        <v>2112</v>
      </c>
      <c r="B51" s="3" t="str">
        <f>IFERROR(INDEX(Movimientos!$C$5:$C$2001,MATCH(A51&amp;"ENTRADA",Movimientos!$R$5:$R$2001,0)),"-")</f>
        <v>-</v>
      </c>
      <c r="C51" s="3" t="str">
        <f>IFERROR(INDEX(Movimientos!$D$5:$D$2001,MATCH(A51&amp;"ENTRADA",Movimientos!$R$5:$R$2001,0)),"-")</f>
        <v>-</v>
      </c>
      <c r="D51" s="3" t="str">
        <f>IFERROR(INDEX(Movimientos!$E$5:$E$2001,MATCH(A51&amp;"ENTRADA",Movimientos!$R$5:$R$2001,0)),"-")</f>
        <v>-</v>
      </c>
      <c r="E51" s="3" t="str">
        <f>IFERROR(INDEX(Movimientos!$F$5:$F$2001,MATCH(A51&amp;"ENTRADA",Movimientos!$R$5:$R$2001,0)),"-")</f>
        <v>-</v>
      </c>
      <c r="F51" s="3" t="str">
        <f>IFERROR(INDEX(Movimientos!$G$5:$G$2001,MATCH(A51&amp;"ENTRADA",Movimientos!$R$5:$R$2001,0)),"-")</f>
        <v>-</v>
      </c>
      <c r="G51" s="3" t="str">
        <f>IFERROR(INDEX(Movimientos!$L$5:$L$2001,MATCH(A51&amp;"ENTRADA",Movimientos!$R$5:$R$2001,0)),"-")</f>
        <v>-</v>
      </c>
      <c r="H51" s="19" t="str">
        <f>IFERROR(IF(INDEX(Movimientos!$M$5:$M$2001,MATCH(A51&amp;"ENTRADA",Movimientos!$R$5:$R$2001,0))=0,"S/D",INDEX(Movimientos!$M$5:$M$2001,MATCH(A51&amp;"ENTRADA",Movimientos!$R$5:$R$2001,0))),"S/D")</f>
        <v>S/D</v>
      </c>
      <c r="I51" s="16" t="str">
        <f t="shared" ca="1" si="2"/>
        <v>S/D</v>
      </c>
      <c r="J51" s="6">
        <f>IF(A51="","",SUMIFS(Movimientos!$K:$K,Movimientos!$H:$H,A51))</f>
        <v>0</v>
      </c>
      <c r="K51" s="14" t="str">
        <f t="shared" ca="1" si="3"/>
        <v>OK</v>
      </c>
    </row>
    <row r="52" spans="1:11">
      <c r="A52" s="18" t="s">
        <v>2113</v>
      </c>
      <c r="B52" s="3" t="str">
        <f>IFERROR(INDEX(Movimientos!$C$5:$C$2001,MATCH(A52&amp;"ENTRADA",Movimientos!$R$5:$R$2001,0)),"-")</f>
        <v>-</v>
      </c>
      <c r="C52" s="3" t="str">
        <f>IFERROR(INDEX(Movimientos!$D$5:$D$2001,MATCH(A52&amp;"ENTRADA",Movimientos!$R$5:$R$2001,0)),"-")</f>
        <v>-</v>
      </c>
      <c r="D52" s="3" t="str">
        <f>IFERROR(INDEX(Movimientos!$E$5:$E$2001,MATCH(A52&amp;"ENTRADA",Movimientos!$R$5:$R$2001,0)),"-")</f>
        <v>-</v>
      </c>
      <c r="E52" s="3" t="str">
        <f>IFERROR(INDEX(Movimientos!$F$5:$F$2001,MATCH(A52&amp;"ENTRADA",Movimientos!$R$5:$R$2001,0)),"-")</f>
        <v>-</v>
      </c>
      <c r="F52" s="3" t="str">
        <f>IFERROR(INDEX(Movimientos!$G$5:$G$2001,MATCH(A52&amp;"ENTRADA",Movimientos!$R$5:$R$2001,0)),"-")</f>
        <v>-</v>
      </c>
      <c r="G52" s="3" t="str">
        <f>IFERROR(INDEX(Movimientos!$L$5:$L$2001,MATCH(A52&amp;"ENTRADA",Movimientos!$R$5:$R$2001,0)),"-")</f>
        <v>-</v>
      </c>
      <c r="H52" s="19" t="str">
        <f>IFERROR(IF(INDEX(Movimientos!$M$5:$M$2001,MATCH(A52&amp;"ENTRADA",Movimientos!$R$5:$R$2001,0))=0,"S/D",INDEX(Movimientos!$M$5:$M$2001,MATCH(A52&amp;"ENTRADA",Movimientos!$R$5:$R$2001,0))),"S/D")</f>
        <v>S/D</v>
      </c>
      <c r="I52" s="16" t="str">
        <f t="shared" ca="1" si="2"/>
        <v>S/D</v>
      </c>
      <c r="J52" s="6">
        <f>IF(A52="","",SUMIFS(Movimientos!$K:$K,Movimientos!$H:$H,A52))</f>
        <v>0</v>
      </c>
      <c r="K52" s="14" t="str">
        <f t="shared" ca="1" si="3"/>
        <v>OK</v>
      </c>
    </row>
    <row r="53" spans="1:11">
      <c r="A53" s="18" t="s">
        <v>2114</v>
      </c>
      <c r="B53" s="3" t="str">
        <f>IFERROR(INDEX(Movimientos!$C$5:$C$2001,MATCH(A53&amp;"ENTRADA",Movimientos!$R$5:$R$2001,0)),"-")</f>
        <v>-</v>
      </c>
      <c r="C53" s="3" t="str">
        <f>IFERROR(INDEX(Movimientos!$D$5:$D$2001,MATCH(A53&amp;"ENTRADA",Movimientos!$R$5:$R$2001,0)),"-")</f>
        <v>-</v>
      </c>
      <c r="D53" s="3" t="str">
        <f>IFERROR(INDEX(Movimientos!$E$5:$E$2001,MATCH(A53&amp;"ENTRADA",Movimientos!$R$5:$R$2001,0)),"-")</f>
        <v>-</v>
      </c>
      <c r="E53" s="3" t="str">
        <f>IFERROR(INDEX(Movimientos!$F$5:$F$2001,MATCH(A53&amp;"ENTRADA",Movimientos!$R$5:$R$2001,0)),"-")</f>
        <v>-</v>
      </c>
      <c r="F53" s="3" t="str">
        <f>IFERROR(INDEX(Movimientos!$G$5:$G$2001,MATCH(A53&amp;"ENTRADA",Movimientos!$R$5:$R$2001,0)),"-")</f>
        <v>-</v>
      </c>
      <c r="G53" s="3" t="str">
        <f>IFERROR(INDEX(Movimientos!$L$5:$L$2001,MATCH(A53&amp;"ENTRADA",Movimientos!$R$5:$R$2001,0)),"-")</f>
        <v>-</v>
      </c>
      <c r="H53" s="19" t="str">
        <f>IFERROR(IF(INDEX(Movimientos!$M$5:$M$2001,MATCH(A53&amp;"ENTRADA",Movimientos!$R$5:$R$2001,0))=0,"S/D",INDEX(Movimientos!$M$5:$M$2001,MATCH(A53&amp;"ENTRADA",Movimientos!$R$5:$R$2001,0))),"S/D")</f>
        <v>S/D</v>
      </c>
      <c r="I53" s="16" t="str">
        <f t="shared" ca="1" si="2"/>
        <v>S/D</v>
      </c>
      <c r="J53" s="6">
        <f>IF(A53="","",SUMIFS(Movimientos!$K:$K,Movimientos!$H:$H,A53))</f>
        <v>0</v>
      </c>
      <c r="K53" s="14" t="str">
        <f t="shared" ca="1" si="3"/>
        <v>OK</v>
      </c>
    </row>
    <row r="54" spans="1:11">
      <c r="A54" s="18" t="s">
        <v>2115</v>
      </c>
      <c r="B54" s="3" t="str">
        <f>IFERROR(INDEX(Movimientos!$C$5:$C$2001,MATCH(A54&amp;"ENTRADA",Movimientos!$R$5:$R$2001,0)),"-")</f>
        <v>-</v>
      </c>
      <c r="C54" s="3" t="str">
        <f>IFERROR(INDEX(Movimientos!$D$5:$D$2001,MATCH(A54&amp;"ENTRADA",Movimientos!$R$5:$R$2001,0)),"-")</f>
        <v>-</v>
      </c>
      <c r="D54" s="3" t="str">
        <f>IFERROR(INDEX(Movimientos!$E$5:$E$2001,MATCH(A54&amp;"ENTRADA",Movimientos!$R$5:$R$2001,0)),"-")</f>
        <v>-</v>
      </c>
      <c r="E54" s="3" t="str">
        <f>IFERROR(INDEX(Movimientos!$F$5:$F$2001,MATCH(A54&amp;"ENTRADA",Movimientos!$R$5:$R$2001,0)),"-")</f>
        <v>-</v>
      </c>
      <c r="F54" s="3" t="str">
        <f>IFERROR(INDEX(Movimientos!$G$5:$G$2001,MATCH(A54&amp;"ENTRADA",Movimientos!$R$5:$R$2001,0)),"-")</f>
        <v>-</v>
      </c>
      <c r="G54" s="3" t="str">
        <f>IFERROR(INDEX(Movimientos!$L$5:$L$2001,MATCH(A54&amp;"ENTRADA",Movimientos!$R$5:$R$2001,0)),"-")</f>
        <v>-</v>
      </c>
      <c r="H54" s="19" t="str">
        <f>IFERROR(IF(INDEX(Movimientos!$M$5:$M$2001,MATCH(A54&amp;"ENTRADA",Movimientos!$R$5:$R$2001,0))=0,"S/D",INDEX(Movimientos!$M$5:$M$2001,MATCH(A54&amp;"ENTRADA",Movimientos!$R$5:$R$2001,0))),"S/D")</f>
        <v>S/D</v>
      </c>
      <c r="I54" s="16" t="str">
        <f t="shared" ca="1" si="2"/>
        <v>S/D</v>
      </c>
      <c r="J54" s="6">
        <f>IF(A54="","",SUMIFS(Movimientos!$K:$K,Movimientos!$H:$H,A54))</f>
        <v>0</v>
      </c>
      <c r="K54" s="14" t="str">
        <f t="shared" ca="1" si="3"/>
        <v>OK</v>
      </c>
    </row>
    <row r="55" spans="1:11">
      <c r="A55" s="18" t="s">
        <v>2116</v>
      </c>
      <c r="B55" s="3" t="str">
        <f>IFERROR(INDEX(Movimientos!$C$5:$C$2001,MATCH(A55&amp;"ENTRADA",Movimientos!$R$5:$R$2001,0)),"-")</f>
        <v>-</v>
      </c>
      <c r="C55" s="3" t="str">
        <f>IFERROR(INDEX(Movimientos!$D$5:$D$2001,MATCH(A55&amp;"ENTRADA",Movimientos!$R$5:$R$2001,0)),"-")</f>
        <v>-</v>
      </c>
      <c r="D55" s="3" t="str">
        <f>IFERROR(INDEX(Movimientos!$E$5:$E$2001,MATCH(A55&amp;"ENTRADA",Movimientos!$R$5:$R$2001,0)),"-")</f>
        <v>-</v>
      </c>
      <c r="E55" s="3" t="str">
        <f>IFERROR(INDEX(Movimientos!$F$5:$F$2001,MATCH(A55&amp;"ENTRADA",Movimientos!$R$5:$R$2001,0)),"-")</f>
        <v>-</v>
      </c>
      <c r="F55" s="3" t="str">
        <f>IFERROR(INDEX(Movimientos!$G$5:$G$2001,MATCH(A55&amp;"ENTRADA",Movimientos!$R$5:$R$2001,0)),"-")</f>
        <v>-</v>
      </c>
      <c r="G55" s="3" t="str">
        <f>IFERROR(INDEX(Movimientos!$L$5:$L$2001,MATCH(A55&amp;"ENTRADA",Movimientos!$R$5:$R$2001,0)),"-")</f>
        <v>-</v>
      </c>
      <c r="H55" s="19" t="str">
        <f>IFERROR(IF(INDEX(Movimientos!$M$5:$M$2001,MATCH(A55&amp;"ENTRADA",Movimientos!$R$5:$R$2001,0))=0,"S/D",INDEX(Movimientos!$M$5:$M$2001,MATCH(A55&amp;"ENTRADA",Movimientos!$R$5:$R$2001,0))),"S/D")</f>
        <v>S/D</v>
      </c>
      <c r="I55" s="16" t="str">
        <f t="shared" ca="1" si="2"/>
        <v>S/D</v>
      </c>
      <c r="J55" s="6">
        <f>IF(A55="","",SUMIFS(Movimientos!$K:$K,Movimientos!$H:$H,A55))</f>
        <v>0</v>
      </c>
      <c r="K55" s="14" t="str">
        <f t="shared" ca="1" si="3"/>
        <v>OK</v>
      </c>
    </row>
    <row r="56" spans="1:11">
      <c r="A56" s="18" t="s">
        <v>2117</v>
      </c>
      <c r="B56" s="3" t="str">
        <f>IFERROR(INDEX(Movimientos!$C$5:$C$2001,MATCH(A56&amp;"ENTRADA",Movimientos!$R$5:$R$2001,0)),"-")</f>
        <v>-</v>
      </c>
      <c r="C56" s="3" t="str">
        <f>IFERROR(INDEX(Movimientos!$D$5:$D$2001,MATCH(A56&amp;"ENTRADA",Movimientos!$R$5:$R$2001,0)),"-")</f>
        <v>-</v>
      </c>
      <c r="D56" s="3" t="str">
        <f>IFERROR(INDEX(Movimientos!$E$5:$E$2001,MATCH(A56&amp;"ENTRADA",Movimientos!$R$5:$R$2001,0)),"-")</f>
        <v>-</v>
      </c>
      <c r="E56" s="3" t="str">
        <f>IFERROR(INDEX(Movimientos!$F$5:$F$2001,MATCH(A56&amp;"ENTRADA",Movimientos!$R$5:$R$2001,0)),"-")</f>
        <v>-</v>
      </c>
      <c r="F56" s="3" t="str">
        <f>IFERROR(INDEX(Movimientos!$G$5:$G$2001,MATCH(A56&amp;"ENTRADA",Movimientos!$R$5:$R$2001,0)),"-")</f>
        <v>-</v>
      </c>
      <c r="G56" s="3" t="str">
        <f>IFERROR(INDEX(Movimientos!$L$5:$L$2001,MATCH(A56&amp;"ENTRADA",Movimientos!$R$5:$R$2001,0)),"-")</f>
        <v>-</v>
      </c>
      <c r="H56" s="19" t="str">
        <f>IFERROR(IF(INDEX(Movimientos!$M$5:$M$2001,MATCH(A56&amp;"ENTRADA",Movimientos!$R$5:$R$2001,0))=0,"S/D",INDEX(Movimientos!$M$5:$M$2001,MATCH(A56&amp;"ENTRADA",Movimientos!$R$5:$R$2001,0))),"S/D")</f>
        <v>S/D</v>
      </c>
      <c r="I56" s="16" t="str">
        <f t="shared" ca="1" si="2"/>
        <v>S/D</v>
      </c>
      <c r="J56" s="6">
        <f>IF(A56="","",SUMIFS(Movimientos!$K:$K,Movimientos!$H:$H,A56))</f>
        <v>0</v>
      </c>
      <c r="K56" s="14" t="str">
        <f t="shared" ca="1" si="3"/>
        <v>OK</v>
      </c>
    </row>
    <row r="57" spans="1:11">
      <c r="A57" s="18" t="s">
        <v>2118</v>
      </c>
      <c r="B57" s="3" t="str">
        <f>IFERROR(INDEX(Movimientos!$C$5:$C$2001,MATCH(A57&amp;"ENTRADA",Movimientos!$R$5:$R$2001,0)),"-")</f>
        <v>-</v>
      </c>
      <c r="C57" s="3" t="str">
        <f>IFERROR(INDEX(Movimientos!$D$5:$D$2001,MATCH(A57&amp;"ENTRADA",Movimientos!$R$5:$R$2001,0)),"-")</f>
        <v>-</v>
      </c>
      <c r="D57" s="3" t="str">
        <f>IFERROR(INDEX(Movimientos!$E$5:$E$2001,MATCH(A57&amp;"ENTRADA",Movimientos!$R$5:$R$2001,0)),"-")</f>
        <v>-</v>
      </c>
      <c r="E57" s="3" t="str">
        <f>IFERROR(INDEX(Movimientos!$F$5:$F$2001,MATCH(A57&amp;"ENTRADA",Movimientos!$R$5:$R$2001,0)),"-")</f>
        <v>-</v>
      </c>
      <c r="F57" s="3" t="str">
        <f>IFERROR(INDEX(Movimientos!$G$5:$G$2001,MATCH(A57&amp;"ENTRADA",Movimientos!$R$5:$R$2001,0)),"-")</f>
        <v>-</v>
      </c>
      <c r="G57" s="3" t="str">
        <f>IFERROR(INDEX(Movimientos!$L$5:$L$2001,MATCH(A57&amp;"ENTRADA",Movimientos!$R$5:$R$2001,0)),"-")</f>
        <v>-</v>
      </c>
      <c r="H57" s="19" t="str">
        <f>IFERROR(IF(INDEX(Movimientos!$M$5:$M$2001,MATCH(A57&amp;"ENTRADA",Movimientos!$R$5:$R$2001,0))=0,"S/D",INDEX(Movimientos!$M$5:$M$2001,MATCH(A57&amp;"ENTRADA",Movimientos!$R$5:$R$2001,0))),"S/D")</f>
        <v>S/D</v>
      </c>
      <c r="I57" s="16" t="str">
        <f t="shared" ca="1" si="2"/>
        <v>S/D</v>
      </c>
      <c r="J57" s="6">
        <f>IF(A57="","",SUMIFS(Movimientos!$K:$K,Movimientos!$H:$H,A57))</f>
        <v>0</v>
      </c>
      <c r="K57" s="14" t="str">
        <f t="shared" ca="1" si="3"/>
        <v>OK</v>
      </c>
    </row>
    <row r="58" spans="1:11">
      <c r="A58" s="18" t="s">
        <v>2119</v>
      </c>
      <c r="B58" s="3" t="str">
        <f>IFERROR(INDEX(Movimientos!$C$5:$C$2001,MATCH(A58&amp;"ENTRADA",Movimientos!$R$5:$R$2001,0)),"-")</f>
        <v>-</v>
      </c>
      <c r="C58" s="3" t="str">
        <f>IFERROR(INDEX(Movimientos!$D$5:$D$2001,MATCH(A58&amp;"ENTRADA",Movimientos!$R$5:$R$2001,0)),"-")</f>
        <v>-</v>
      </c>
      <c r="D58" s="3" t="str">
        <f>IFERROR(INDEX(Movimientos!$E$5:$E$2001,MATCH(A58&amp;"ENTRADA",Movimientos!$R$5:$R$2001,0)),"-")</f>
        <v>-</v>
      </c>
      <c r="E58" s="3" t="str">
        <f>IFERROR(INDEX(Movimientos!$F$5:$F$2001,MATCH(A58&amp;"ENTRADA",Movimientos!$R$5:$R$2001,0)),"-")</f>
        <v>-</v>
      </c>
      <c r="F58" s="3" t="str">
        <f>IFERROR(INDEX(Movimientos!$G$5:$G$2001,MATCH(A58&amp;"ENTRADA",Movimientos!$R$5:$R$2001,0)),"-")</f>
        <v>-</v>
      </c>
      <c r="G58" s="3" t="str">
        <f>IFERROR(INDEX(Movimientos!$L$5:$L$2001,MATCH(A58&amp;"ENTRADA",Movimientos!$R$5:$R$2001,0)),"-")</f>
        <v>-</v>
      </c>
      <c r="H58" s="19" t="str">
        <f>IFERROR(IF(INDEX(Movimientos!$M$5:$M$2001,MATCH(A58&amp;"ENTRADA",Movimientos!$R$5:$R$2001,0))=0,"S/D",INDEX(Movimientos!$M$5:$M$2001,MATCH(A58&amp;"ENTRADA",Movimientos!$R$5:$R$2001,0))),"S/D")</f>
        <v>S/D</v>
      </c>
      <c r="I58" s="16" t="str">
        <f t="shared" ca="1" si="2"/>
        <v>S/D</v>
      </c>
      <c r="J58" s="6">
        <f>IF(A58="","",SUMIFS(Movimientos!$K:$K,Movimientos!$H:$H,A58))</f>
        <v>0</v>
      </c>
      <c r="K58" s="14" t="str">
        <f t="shared" ca="1" si="3"/>
        <v>OK</v>
      </c>
    </row>
    <row r="59" spans="1:11">
      <c r="A59" s="18" t="s">
        <v>2120</v>
      </c>
      <c r="B59" s="3" t="str">
        <f>IFERROR(INDEX(Movimientos!$C$5:$C$2001,MATCH(A59&amp;"ENTRADA",Movimientos!$R$5:$R$2001,0)),"-")</f>
        <v>-</v>
      </c>
      <c r="C59" s="3" t="str">
        <f>IFERROR(INDEX(Movimientos!$D$5:$D$2001,MATCH(A59&amp;"ENTRADA",Movimientos!$R$5:$R$2001,0)),"-")</f>
        <v>-</v>
      </c>
      <c r="D59" s="3" t="str">
        <f>IFERROR(INDEX(Movimientos!$E$5:$E$2001,MATCH(A59&amp;"ENTRADA",Movimientos!$R$5:$R$2001,0)),"-")</f>
        <v>-</v>
      </c>
      <c r="E59" s="3" t="str">
        <f>IFERROR(INDEX(Movimientos!$F$5:$F$2001,MATCH(A59&amp;"ENTRADA",Movimientos!$R$5:$R$2001,0)),"-")</f>
        <v>-</v>
      </c>
      <c r="F59" s="3" t="str">
        <f>IFERROR(INDEX(Movimientos!$G$5:$G$2001,MATCH(A59&amp;"ENTRADA",Movimientos!$R$5:$R$2001,0)),"-")</f>
        <v>-</v>
      </c>
      <c r="G59" s="3" t="str">
        <f>IFERROR(INDEX(Movimientos!$L$5:$L$2001,MATCH(A59&amp;"ENTRADA",Movimientos!$R$5:$R$2001,0)),"-")</f>
        <v>-</v>
      </c>
      <c r="H59" s="19" t="str">
        <f>IFERROR(IF(INDEX(Movimientos!$M$5:$M$2001,MATCH(A59&amp;"ENTRADA",Movimientos!$R$5:$R$2001,0))=0,"S/D",INDEX(Movimientos!$M$5:$M$2001,MATCH(A59&amp;"ENTRADA",Movimientos!$R$5:$R$2001,0))),"S/D")</f>
        <v>S/D</v>
      </c>
      <c r="I59" s="16" t="str">
        <f t="shared" ca="1" si="2"/>
        <v>S/D</v>
      </c>
      <c r="J59" s="6">
        <f>IF(A59="","",SUMIFS(Movimientos!$K:$K,Movimientos!$H:$H,A59))</f>
        <v>0</v>
      </c>
      <c r="K59" s="14" t="str">
        <f t="shared" ca="1" si="3"/>
        <v>OK</v>
      </c>
    </row>
    <row r="60" spans="1:11">
      <c r="A60" s="18" t="s">
        <v>2121</v>
      </c>
      <c r="B60" s="3" t="str">
        <f>IFERROR(INDEX(Movimientos!$C$5:$C$2001,MATCH(A60&amp;"ENTRADA",Movimientos!$R$5:$R$2001,0)),"-")</f>
        <v>-</v>
      </c>
      <c r="C60" s="3" t="str">
        <f>IFERROR(INDEX(Movimientos!$D$5:$D$2001,MATCH(A60&amp;"ENTRADA",Movimientos!$R$5:$R$2001,0)),"-")</f>
        <v>-</v>
      </c>
      <c r="D60" s="3" t="str">
        <f>IFERROR(INDEX(Movimientos!$E$5:$E$2001,MATCH(A60&amp;"ENTRADA",Movimientos!$R$5:$R$2001,0)),"-")</f>
        <v>-</v>
      </c>
      <c r="E60" s="3" t="str">
        <f>IFERROR(INDEX(Movimientos!$F$5:$F$2001,MATCH(A60&amp;"ENTRADA",Movimientos!$R$5:$R$2001,0)),"-")</f>
        <v>-</v>
      </c>
      <c r="F60" s="3" t="str">
        <f>IFERROR(INDEX(Movimientos!$G$5:$G$2001,MATCH(A60&amp;"ENTRADA",Movimientos!$R$5:$R$2001,0)),"-")</f>
        <v>-</v>
      </c>
      <c r="G60" s="3" t="str">
        <f>IFERROR(INDEX(Movimientos!$L$5:$L$2001,MATCH(A60&amp;"ENTRADA",Movimientos!$R$5:$R$2001,0)),"-")</f>
        <v>-</v>
      </c>
      <c r="H60" s="19" t="str">
        <f>IFERROR(IF(INDEX(Movimientos!$M$5:$M$2001,MATCH(A60&amp;"ENTRADA",Movimientos!$R$5:$R$2001,0))=0,"S/D",INDEX(Movimientos!$M$5:$M$2001,MATCH(A60&amp;"ENTRADA",Movimientos!$R$5:$R$2001,0))),"S/D")</f>
        <v>S/D</v>
      </c>
      <c r="I60" s="16" t="str">
        <f t="shared" ca="1" si="2"/>
        <v>S/D</v>
      </c>
      <c r="J60" s="6">
        <f>IF(A60="","",SUMIFS(Movimientos!$K:$K,Movimientos!$H:$H,A60))</f>
        <v>0</v>
      </c>
      <c r="K60" s="14" t="str">
        <f t="shared" ca="1" si="3"/>
        <v>OK</v>
      </c>
    </row>
    <row r="61" spans="1:11">
      <c r="A61" s="18" t="s">
        <v>2122</v>
      </c>
      <c r="B61" s="3" t="str">
        <f>IFERROR(INDEX(Movimientos!$C$5:$C$2001,MATCH(A61&amp;"ENTRADA",Movimientos!$R$5:$R$2001,0)),"-")</f>
        <v>-</v>
      </c>
      <c r="C61" s="3" t="str">
        <f>IFERROR(INDEX(Movimientos!$D$5:$D$2001,MATCH(A61&amp;"ENTRADA",Movimientos!$R$5:$R$2001,0)),"-")</f>
        <v>-</v>
      </c>
      <c r="D61" s="3" t="str">
        <f>IFERROR(INDEX(Movimientos!$E$5:$E$2001,MATCH(A61&amp;"ENTRADA",Movimientos!$R$5:$R$2001,0)),"-")</f>
        <v>-</v>
      </c>
      <c r="E61" s="3" t="str">
        <f>IFERROR(INDEX(Movimientos!$F$5:$F$2001,MATCH(A61&amp;"ENTRADA",Movimientos!$R$5:$R$2001,0)),"-")</f>
        <v>-</v>
      </c>
      <c r="F61" s="3" t="str">
        <f>IFERROR(INDEX(Movimientos!$G$5:$G$2001,MATCH(A61&amp;"ENTRADA",Movimientos!$R$5:$R$2001,0)),"-")</f>
        <v>-</v>
      </c>
      <c r="G61" s="3" t="str">
        <f>IFERROR(INDEX(Movimientos!$L$5:$L$2001,MATCH(A61&amp;"ENTRADA",Movimientos!$R$5:$R$2001,0)),"-")</f>
        <v>-</v>
      </c>
      <c r="H61" s="19" t="str">
        <f>IFERROR(IF(INDEX(Movimientos!$M$5:$M$2001,MATCH(A61&amp;"ENTRADA",Movimientos!$R$5:$R$2001,0))=0,"S/D",INDEX(Movimientos!$M$5:$M$2001,MATCH(A61&amp;"ENTRADA",Movimientos!$R$5:$R$2001,0))),"S/D")</f>
        <v>S/D</v>
      </c>
      <c r="I61" s="16" t="str">
        <f t="shared" ca="1" si="2"/>
        <v>S/D</v>
      </c>
      <c r="J61" s="6">
        <f>IF(A61="","",SUMIFS(Movimientos!$K:$K,Movimientos!$H:$H,A61))</f>
        <v>0</v>
      </c>
      <c r="K61" s="14" t="str">
        <f t="shared" ca="1" si="3"/>
        <v>OK</v>
      </c>
    </row>
    <row r="62" spans="1:11">
      <c r="A62" s="18" t="s">
        <v>2123</v>
      </c>
      <c r="B62" s="3" t="str">
        <f>IFERROR(INDEX(Movimientos!$C$5:$C$2001,MATCH(A62&amp;"ENTRADA",Movimientos!$R$5:$R$2001,0)),"-")</f>
        <v>-</v>
      </c>
      <c r="C62" s="3" t="str">
        <f>IFERROR(INDEX(Movimientos!$D$5:$D$2001,MATCH(A62&amp;"ENTRADA",Movimientos!$R$5:$R$2001,0)),"-")</f>
        <v>-</v>
      </c>
      <c r="D62" s="3" t="str">
        <f>IFERROR(INDEX(Movimientos!$E$5:$E$2001,MATCH(A62&amp;"ENTRADA",Movimientos!$R$5:$R$2001,0)),"-")</f>
        <v>-</v>
      </c>
      <c r="E62" s="3" t="str">
        <f>IFERROR(INDEX(Movimientos!$F$5:$F$2001,MATCH(A62&amp;"ENTRADA",Movimientos!$R$5:$R$2001,0)),"-")</f>
        <v>-</v>
      </c>
      <c r="F62" s="3" t="str">
        <f>IFERROR(INDEX(Movimientos!$G$5:$G$2001,MATCH(A62&amp;"ENTRADA",Movimientos!$R$5:$R$2001,0)),"-")</f>
        <v>-</v>
      </c>
      <c r="G62" s="3" t="str">
        <f>IFERROR(INDEX(Movimientos!$L$5:$L$2001,MATCH(A62&amp;"ENTRADA",Movimientos!$R$5:$R$2001,0)),"-")</f>
        <v>-</v>
      </c>
      <c r="H62" s="19" t="str">
        <f>IFERROR(IF(INDEX(Movimientos!$M$5:$M$2001,MATCH(A62&amp;"ENTRADA",Movimientos!$R$5:$R$2001,0))=0,"S/D",INDEX(Movimientos!$M$5:$M$2001,MATCH(A62&amp;"ENTRADA",Movimientos!$R$5:$R$2001,0))),"S/D")</f>
        <v>S/D</v>
      </c>
      <c r="I62" s="16" t="str">
        <f t="shared" ca="1" si="2"/>
        <v>S/D</v>
      </c>
      <c r="J62" s="6">
        <f>IF(A62="","",SUMIFS(Movimientos!$K:$K,Movimientos!$H:$H,A62))</f>
        <v>0</v>
      </c>
      <c r="K62" s="14" t="str">
        <f t="shared" ca="1" si="3"/>
        <v>OK</v>
      </c>
    </row>
    <row r="63" spans="1:11">
      <c r="A63" s="18" t="s">
        <v>2124</v>
      </c>
      <c r="B63" s="3" t="str">
        <f>IFERROR(INDEX(Movimientos!$C$5:$C$2001,MATCH(A63&amp;"ENTRADA",Movimientos!$R$5:$R$2001,0)),"-")</f>
        <v>-</v>
      </c>
      <c r="C63" s="3" t="str">
        <f>IFERROR(INDEX(Movimientos!$D$5:$D$2001,MATCH(A63&amp;"ENTRADA",Movimientos!$R$5:$R$2001,0)),"-")</f>
        <v>-</v>
      </c>
      <c r="D63" s="3" t="str">
        <f>IFERROR(INDEX(Movimientos!$E$5:$E$2001,MATCH(A63&amp;"ENTRADA",Movimientos!$R$5:$R$2001,0)),"-")</f>
        <v>-</v>
      </c>
      <c r="E63" s="3" t="str">
        <f>IFERROR(INDEX(Movimientos!$F$5:$F$2001,MATCH(A63&amp;"ENTRADA",Movimientos!$R$5:$R$2001,0)),"-")</f>
        <v>-</v>
      </c>
      <c r="F63" s="3" t="str">
        <f>IFERROR(INDEX(Movimientos!$G$5:$G$2001,MATCH(A63&amp;"ENTRADA",Movimientos!$R$5:$R$2001,0)),"-")</f>
        <v>-</v>
      </c>
      <c r="G63" s="3" t="str">
        <f>IFERROR(INDEX(Movimientos!$L$5:$L$2001,MATCH(A63&amp;"ENTRADA",Movimientos!$R$5:$R$2001,0)),"-")</f>
        <v>-</v>
      </c>
      <c r="H63" s="19" t="str">
        <f>IFERROR(IF(INDEX(Movimientos!$M$5:$M$2001,MATCH(A63&amp;"ENTRADA",Movimientos!$R$5:$R$2001,0))=0,"S/D",INDEX(Movimientos!$M$5:$M$2001,MATCH(A63&amp;"ENTRADA",Movimientos!$R$5:$R$2001,0))),"S/D")</f>
        <v>S/D</v>
      </c>
      <c r="I63" s="16" t="str">
        <f t="shared" ca="1" si="2"/>
        <v>S/D</v>
      </c>
      <c r="J63" s="6">
        <f>IF(A63="","",SUMIFS(Movimientos!$K:$K,Movimientos!$H:$H,A63))</f>
        <v>0</v>
      </c>
      <c r="K63" s="14" t="str">
        <f t="shared" ca="1" si="3"/>
        <v>OK</v>
      </c>
    </row>
    <row r="64" spans="1:11">
      <c r="A64" s="18" t="s">
        <v>2125</v>
      </c>
      <c r="B64" s="3" t="str">
        <f>IFERROR(INDEX(Movimientos!$C$5:$C$2001,MATCH(A64&amp;"ENTRADA",Movimientos!$R$5:$R$2001,0)),"-")</f>
        <v>-</v>
      </c>
      <c r="C64" s="3" t="str">
        <f>IFERROR(INDEX(Movimientos!$D$5:$D$2001,MATCH(A64&amp;"ENTRADA",Movimientos!$R$5:$R$2001,0)),"-")</f>
        <v>-</v>
      </c>
      <c r="D64" s="3" t="str">
        <f>IFERROR(INDEX(Movimientos!$E$5:$E$2001,MATCH(A64&amp;"ENTRADA",Movimientos!$R$5:$R$2001,0)),"-")</f>
        <v>-</v>
      </c>
      <c r="E64" s="3" t="str">
        <f>IFERROR(INDEX(Movimientos!$F$5:$F$2001,MATCH(A64&amp;"ENTRADA",Movimientos!$R$5:$R$2001,0)),"-")</f>
        <v>-</v>
      </c>
      <c r="F64" s="3" t="str">
        <f>IFERROR(INDEX(Movimientos!$G$5:$G$2001,MATCH(A64&amp;"ENTRADA",Movimientos!$R$5:$R$2001,0)),"-")</f>
        <v>-</v>
      </c>
      <c r="G64" s="3" t="str">
        <f>IFERROR(INDEX(Movimientos!$L$5:$L$2001,MATCH(A64&amp;"ENTRADA",Movimientos!$R$5:$R$2001,0)),"-")</f>
        <v>-</v>
      </c>
      <c r="H64" s="19" t="str">
        <f>IFERROR(IF(INDEX(Movimientos!$M$5:$M$2001,MATCH(A64&amp;"ENTRADA",Movimientos!$R$5:$R$2001,0))=0,"S/D",INDEX(Movimientos!$M$5:$M$2001,MATCH(A64&amp;"ENTRADA",Movimientos!$R$5:$R$2001,0))),"S/D")</f>
        <v>S/D</v>
      </c>
      <c r="I64" s="16" t="str">
        <f t="shared" ca="1" si="2"/>
        <v>S/D</v>
      </c>
      <c r="J64" s="6">
        <f>IF(A64="","",SUMIFS(Movimientos!$K:$K,Movimientos!$H:$H,A64))</f>
        <v>0</v>
      </c>
      <c r="K64" s="14" t="str">
        <f t="shared" ca="1" si="3"/>
        <v>OK</v>
      </c>
    </row>
    <row r="65" spans="1:11">
      <c r="A65" s="18" t="s">
        <v>2126</v>
      </c>
      <c r="B65" s="3" t="str">
        <f>IFERROR(INDEX(Movimientos!$C$5:$C$2001,MATCH(A65&amp;"ENTRADA",Movimientos!$R$5:$R$2001,0)),"-")</f>
        <v>-</v>
      </c>
      <c r="C65" s="3" t="str">
        <f>IFERROR(INDEX(Movimientos!$D$5:$D$2001,MATCH(A65&amp;"ENTRADA",Movimientos!$R$5:$R$2001,0)),"-")</f>
        <v>-</v>
      </c>
      <c r="D65" s="3" t="str">
        <f>IFERROR(INDEX(Movimientos!$E$5:$E$2001,MATCH(A65&amp;"ENTRADA",Movimientos!$R$5:$R$2001,0)),"-")</f>
        <v>-</v>
      </c>
      <c r="E65" s="3" t="str">
        <f>IFERROR(INDEX(Movimientos!$F$5:$F$2001,MATCH(A65&amp;"ENTRADA",Movimientos!$R$5:$R$2001,0)),"-")</f>
        <v>-</v>
      </c>
      <c r="F65" s="3" t="str">
        <f>IFERROR(INDEX(Movimientos!$G$5:$G$2001,MATCH(A65&amp;"ENTRADA",Movimientos!$R$5:$R$2001,0)),"-")</f>
        <v>-</v>
      </c>
      <c r="G65" s="3" t="str">
        <f>IFERROR(INDEX(Movimientos!$L$5:$L$2001,MATCH(A65&amp;"ENTRADA",Movimientos!$R$5:$R$2001,0)),"-")</f>
        <v>-</v>
      </c>
      <c r="H65" s="19" t="str">
        <f>IFERROR(IF(INDEX(Movimientos!$M$5:$M$2001,MATCH(A65&amp;"ENTRADA",Movimientos!$R$5:$R$2001,0))=0,"S/D",INDEX(Movimientos!$M$5:$M$2001,MATCH(A65&amp;"ENTRADA",Movimientos!$R$5:$R$2001,0))),"S/D")</f>
        <v>S/D</v>
      </c>
      <c r="I65" s="16" t="str">
        <f t="shared" ca="1" si="2"/>
        <v>S/D</v>
      </c>
      <c r="J65" s="6">
        <f>IF(A65="","",SUMIFS(Movimientos!$K:$K,Movimientos!$H:$H,A65))</f>
        <v>0</v>
      </c>
      <c r="K65" s="14" t="str">
        <f t="shared" ca="1" si="3"/>
        <v>OK</v>
      </c>
    </row>
    <row r="66" spans="1:11">
      <c r="A66" s="18" t="s">
        <v>2127</v>
      </c>
      <c r="B66" s="3" t="str">
        <f>IFERROR(INDEX(Movimientos!$C$5:$C$2001,MATCH(A66&amp;"ENTRADA",Movimientos!$R$5:$R$2001,0)),"-")</f>
        <v>-</v>
      </c>
      <c r="C66" s="3" t="str">
        <f>IFERROR(INDEX(Movimientos!$D$5:$D$2001,MATCH(A66&amp;"ENTRADA",Movimientos!$R$5:$R$2001,0)),"-")</f>
        <v>-</v>
      </c>
      <c r="D66" s="3" t="str">
        <f>IFERROR(INDEX(Movimientos!$E$5:$E$2001,MATCH(A66&amp;"ENTRADA",Movimientos!$R$5:$R$2001,0)),"-")</f>
        <v>-</v>
      </c>
      <c r="E66" s="3" t="str">
        <f>IFERROR(INDEX(Movimientos!$F$5:$F$2001,MATCH(A66&amp;"ENTRADA",Movimientos!$R$5:$R$2001,0)),"-")</f>
        <v>-</v>
      </c>
      <c r="F66" s="3" t="str">
        <f>IFERROR(INDEX(Movimientos!$G$5:$G$2001,MATCH(A66&amp;"ENTRADA",Movimientos!$R$5:$R$2001,0)),"-")</f>
        <v>-</v>
      </c>
      <c r="G66" s="3" t="str">
        <f>IFERROR(INDEX(Movimientos!$L$5:$L$2001,MATCH(A66&amp;"ENTRADA",Movimientos!$R$5:$R$2001,0)),"-")</f>
        <v>-</v>
      </c>
      <c r="H66" s="19" t="str">
        <f>IFERROR(IF(INDEX(Movimientos!$M$5:$M$2001,MATCH(A66&amp;"ENTRADA",Movimientos!$R$5:$R$2001,0))=0,"S/D",INDEX(Movimientos!$M$5:$M$2001,MATCH(A66&amp;"ENTRADA",Movimientos!$R$5:$R$2001,0))),"S/D")</f>
        <v>S/D</v>
      </c>
      <c r="I66" s="16" t="str">
        <f t="shared" ca="1" si="2"/>
        <v>S/D</v>
      </c>
      <c r="J66" s="6">
        <f>IF(A66="","",SUMIFS(Movimientos!$K:$K,Movimientos!$H:$H,A66))</f>
        <v>0</v>
      </c>
      <c r="K66" s="14" t="str">
        <f t="shared" ca="1" si="3"/>
        <v>OK</v>
      </c>
    </row>
    <row r="67" spans="1:11">
      <c r="A67" s="18" t="s">
        <v>2128</v>
      </c>
      <c r="B67" s="3" t="str">
        <f>IFERROR(INDEX(Movimientos!$C$5:$C$2001,MATCH(A67&amp;"ENTRADA",Movimientos!$R$5:$R$2001,0)),"-")</f>
        <v>-</v>
      </c>
      <c r="C67" s="3" t="str">
        <f>IFERROR(INDEX(Movimientos!$D$5:$D$2001,MATCH(A67&amp;"ENTRADA",Movimientos!$R$5:$R$2001,0)),"-")</f>
        <v>-</v>
      </c>
      <c r="D67" s="3" t="str">
        <f>IFERROR(INDEX(Movimientos!$E$5:$E$2001,MATCH(A67&amp;"ENTRADA",Movimientos!$R$5:$R$2001,0)),"-")</f>
        <v>-</v>
      </c>
      <c r="E67" s="3" t="str">
        <f>IFERROR(INDEX(Movimientos!$F$5:$F$2001,MATCH(A67&amp;"ENTRADA",Movimientos!$R$5:$R$2001,0)),"-")</f>
        <v>-</v>
      </c>
      <c r="F67" s="3" t="str">
        <f>IFERROR(INDEX(Movimientos!$G$5:$G$2001,MATCH(A67&amp;"ENTRADA",Movimientos!$R$5:$R$2001,0)),"-")</f>
        <v>-</v>
      </c>
      <c r="G67" s="3" t="str">
        <f>IFERROR(INDEX(Movimientos!$L$5:$L$2001,MATCH(A67&amp;"ENTRADA",Movimientos!$R$5:$R$2001,0)),"-")</f>
        <v>-</v>
      </c>
      <c r="H67" s="19" t="str">
        <f>IFERROR(IF(INDEX(Movimientos!$M$5:$M$2001,MATCH(A67&amp;"ENTRADA",Movimientos!$R$5:$R$2001,0))=0,"S/D",INDEX(Movimientos!$M$5:$M$2001,MATCH(A67&amp;"ENTRADA",Movimientos!$R$5:$R$2001,0))),"S/D")</f>
        <v>S/D</v>
      </c>
      <c r="I67" s="16" t="str">
        <f t="shared" ca="1" si="2"/>
        <v>S/D</v>
      </c>
      <c r="J67" s="6">
        <f>IF(A67="","",SUMIFS(Movimientos!$K:$K,Movimientos!$H:$H,A67))</f>
        <v>0</v>
      </c>
      <c r="K67" s="14" t="str">
        <f t="shared" ca="1" si="3"/>
        <v>OK</v>
      </c>
    </row>
    <row r="68" spans="1:11">
      <c r="A68" s="18" t="s">
        <v>2129</v>
      </c>
      <c r="B68" s="3" t="str">
        <f>IFERROR(INDEX(Movimientos!$C$5:$C$2001,MATCH(A68&amp;"ENTRADA",Movimientos!$R$5:$R$2001,0)),"-")</f>
        <v>-</v>
      </c>
      <c r="C68" s="3" t="str">
        <f>IFERROR(INDEX(Movimientos!$D$5:$D$2001,MATCH(A68&amp;"ENTRADA",Movimientos!$R$5:$R$2001,0)),"-")</f>
        <v>-</v>
      </c>
      <c r="D68" s="3" t="str">
        <f>IFERROR(INDEX(Movimientos!$E$5:$E$2001,MATCH(A68&amp;"ENTRADA",Movimientos!$R$5:$R$2001,0)),"-")</f>
        <v>-</v>
      </c>
      <c r="E68" s="3" t="str">
        <f>IFERROR(INDEX(Movimientos!$F$5:$F$2001,MATCH(A68&amp;"ENTRADA",Movimientos!$R$5:$R$2001,0)),"-")</f>
        <v>-</v>
      </c>
      <c r="F68" s="3" t="str">
        <f>IFERROR(INDEX(Movimientos!$G$5:$G$2001,MATCH(A68&amp;"ENTRADA",Movimientos!$R$5:$R$2001,0)),"-")</f>
        <v>-</v>
      </c>
      <c r="G68" s="3" t="str">
        <f>IFERROR(INDEX(Movimientos!$L$5:$L$2001,MATCH(A68&amp;"ENTRADA",Movimientos!$R$5:$R$2001,0)),"-")</f>
        <v>-</v>
      </c>
      <c r="H68" s="19" t="str">
        <f>IFERROR(IF(INDEX(Movimientos!$M$5:$M$2001,MATCH(A68&amp;"ENTRADA",Movimientos!$R$5:$R$2001,0))=0,"S/D",INDEX(Movimientos!$M$5:$M$2001,MATCH(A68&amp;"ENTRADA",Movimientos!$R$5:$R$2001,0))),"S/D")</f>
        <v>S/D</v>
      </c>
      <c r="I68" s="16" t="str">
        <f t="shared" ca="1" si="2"/>
        <v>S/D</v>
      </c>
      <c r="J68" s="6">
        <f>IF(A68="","",SUMIFS(Movimientos!$K:$K,Movimientos!$H:$H,A68))</f>
        <v>0</v>
      </c>
      <c r="K68" s="14" t="str">
        <f t="shared" ca="1" si="3"/>
        <v>OK</v>
      </c>
    </row>
    <row r="69" spans="1:11">
      <c r="A69" s="18" t="s">
        <v>2130</v>
      </c>
      <c r="B69" s="3" t="str">
        <f>IFERROR(INDEX(Movimientos!$C$5:$C$2001,MATCH(A69&amp;"ENTRADA",Movimientos!$R$5:$R$2001,0)),"-")</f>
        <v>-</v>
      </c>
      <c r="C69" s="3" t="str">
        <f>IFERROR(INDEX(Movimientos!$D$5:$D$2001,MATCH(A69&amp;"ENTRADA",Movimientos!$R$5:$R$2001,0)),"-")</f>
        <v>-</v>
      </c>
      <c r="D69" s="3" t="str">
        <f>IFERROR(INDEX(Movimientos!$E$5:$E$2001,MATCH(A69&amp;"ENTRADA",Movimientos!$R$5:$R$2001,0)),"-")</f>
        <v>-</v>
      </c>
      <c r="E69" s="3" t="str">
        <f>IFERROR(INDEX(Movimientos!$F$5:$F$2001,MATCH(A69&amp;"ENTRADA",Movimientos!$R$5:$R$2001,0)),"-")</f>
        <v>-</v>
      </c>
      <c r="F69" s="3" t="str">
        <f>IFERROR(INDEX(Movimientos!$G$5:$G$2001,MATCH(A69&amp;"ENTRADA",Movimientos!$R$5:$R$2001,0)),"-")</f>
        <v>-</v>
      </c>
      <c r="G69" s="3" t="str">
        <f>IFERROR(INDEX(Movimientos!$L$5:$L$2001,MATCH(A69&amp;"ENTRADA",Movimientos!$R$5:$R$2001,0)),"-")</f>
        <v>-</v>
      </c>
      <c r="H69" s="19" t="str">
        <f>IFERROR(IF(INDEX(Movimientos!$M$5:$M$2001,MATCH(A69&amp;"ENTRADA",Movimientos!$R$5:$R$2001,0))=0,"S/D",INDEX(Movimientos!$M$5:$M$2001,MATCH(A69&amp;"ENTRADA",Movimientos!$R$5:$R$2001,0))),"S/D")</f>
        <v>S/D</v>
      </c>
      <c r="I69" s="16" t="str">
        <f t="shared" ca="1" si="2"/>
        <v>S/D</v>
      </c>
      <c r="J69" s="6">
        <f>IF(A69="","",SUMIFS(Movimientos!$K:$K,Movimientos!$H:$H,A69))</f>
        <v>0</v>
      </c>
      <c r="K69" s="14" t="str">
        <f t="shared" ca="1" si="3"/>
        <v>OK</v>
      </c>
    </row>
    <row r="70" spans="1:11">
      <c r="A70" s="18" t="s">
        <v>2131</v>
      </c>
      <c r="B70" s="3" t="str">
        <f>IFERROR(INDEX(Movimientos!$C$5:$C$2001,MATCH(A70&amp;"ENTRADA",Movimientos!$R$5:$R$2001,0)),"-")</f>
        <v>-</v>
      </c>
      <c r="C70" s="3" t="str">
        <f>IFERROR(INDEX(Movimientos!$D$5:$D$2001,MATCH(A70&amp;"ENTRADA",Movimientos!$R$5:$R$2001,0)),"-")</f>
        <v>-</v>
      </c>
      <c r="D70" s="3" t="str">
        <f>IFERROR(INDEX(Movimientos!$E$5:$E$2001,MATCH(A70&amp;"ENTRADA",Movimientos!$R$5:$R$2001,0)),"-")</f>
        <v>-</v>
      </c>
      <c r="E70" s="3" t="str">
        <f>IFERROR(INDEX(Movimientos!$F$5:$F$2001,MATCH(A70&amp;"ENTRADA",Movimientos!$R$5:$R$2001,0)),"-")</f>
        <v>-</v>
      </c>
      <c r="F70" s="3" t="str">
        <f>IFERROR(INDEX(Movimientos!$G$5:$G$2001,MATCH(A70&amp;"ENTRADA",Movimientos!$R$5:$R$2001,0)),"-")</f>
        <v>-</v>
      </c>
      <c r="G70" s="3" t="str">
        <f>IFERROR(INDEX(Movimientos!$L$5:$L$2001,MATCH(A70&amp;"ENTRADA",Movimientos!$R$5:$R$2001,0)),"-")</f>
        <v>-</v>
      </c>
      <c r="H70" s="19" t="str">
        <f>IFERROR(IF(INDEX(Movimientos!$M$5:$M$2001,MATCH(A70&amp;"ENTRADA",Movimientos!$R$5:$R$2001,0))=0,"S/D",INDEX(Movimientos!$M$5:$M$2001,MATCH(A70&amp;"ENTRADA",Movimientos!$R$5:$R$2001,0))),"S/D")</f>
        <v>S/D</v>
      </c>
      <c r="I70" s="16" t="str">
        <f t="shared" ca="1" si="2"/>
        <v>S/D</v>
      </c>
      <c r="J70" s="6">
        <f>IF(A70="","",SUMIFS(Movimientos!$K:$K,Movimientos!$H:$H,A70))</f>
        <v>0</v>
      </c>
      <c r="K70" s="14" t="str">
        <f t="shared" ca="1" si="3"/>
        <v>OK</v>
      </c>
    </row>
    <row r="71" spans="1:11">
      <c r="A71" s="18" t="s">
        <v>2132</v>
      </c>
      <c r="B71" s="3" t="str">
        <f>IFERROR(INDEX(Movimientos!$C$5:$C$2001,MATCH(A71&amp;"ENTRADA",Movimientos!$R$5:$R$2001,0)),"-")</f>
        <v>-</v>
      </c>
      <c r="C71" s="3" t="str">
        <f>IFERROR(INDEX(Movimientos!$D$5:$D$2001,MATCH(A71&amp;"ENTRADA",Movimientos!$R$5:$R$2001,0)),"-")</f>
        <v>-</v>
      </c>
      <c r="D71" s="3" t="str">
        <f>IFERROR(INDEX(Movimientos!$E$5:$E$2001,MATCH(A71&amp;"ENTRADA",Movimientos!$R$5:$R$2001,0)),"-")</f>
        <v>-</v>
      </c>
      <c r="E71" s="3" t="str">
        <f>IFERROR(INDEX(Movimientos!$F$5:$F$2001,MATCH(A71&amp;"ENTRADA",Movimientos!$R$5:$R$2001,0)),"-")</f>
        <v>-</v>
      </c>
      <c r="F71" s="3" t="str">
        <f>IFERROR(INDEX(Movimientos!$G$5:$G$2001,MATCH(A71&amp;"ENTRADA",Movimientos!$R$5:$R$2001,0)),"-")</f>
        <v>-</v>
      </c>
      <c r="G71" s="3" t="str">
        <f>IFERROR(INDEX(Movimientos!$L$5:$L$2001,MATCH(A71&amp;"ENTRADA",Movimientos!$R$5:$R$2001,0)),"-")</f>
        <v>-</v>
      </c>
      <c r="H71" s="19" t="str">
        <f>IFERROR(IF(INDEX(Movimientos!$M$5:$M$2001,MATCH(A71&amp;"ENTRADA",Movimientos!$R$5:$R$2001,0))=0,"S/D",INDEX(Movimientos!$M$5:$M$2001,MATCH(A71&amp;"ENTRADA",Movimientos!$R$5:$R$2001,0))),"S/D")</f>
        <v>S/D</v>
      </c>
      <c r="I71" s="16" t="str">
        <f t="shared" ca="1" si="2"/>
        <v>S/D</v>
      </c>
      <c r="J71" s="6">
        <f>IF(A71="","",SUMIFS(Movimientos!$K:$K,Movimientos!$H:$H,A71))</f>
        <v>0</v>
      </c>
      <c r="K71" s="14" t="str">
        <f t="shared" ca="1" si="3"/>
        <v>OK</v>
      </c>
    </row>
    <row r="72" spans="1:11">
      <c r="A72" s="18" t="s">
        <v>2133</v>
      </c>
      <c r="B72" s="3" t="str">
        <f>IFERROR(INDEX(Movimientos!$C$5:$C$2001,MATCH(A72&amp;"ENTRADA",Movimientos!$R$5:$R$2001,0)),"-")</f>
        <v>-</v>
      </c>
      <c r="C72" s="3" t="str">
        <f>IFERROR(INDEX(Movimientos!$D$5:$D$2001,MATCH(A72&amp;"ENTRADA",Movimientos!$R$5:$R$2001,0)),"-")</f>
        <v>-</v>
      </c>
      <c r="D72" s="3" t="str">
        <f>IFERROR(INDEX(Movimientos!$E$5:$E$2001,MATCH(A72&amp;"ENTRADA",Movimientos!$R$5:$R$2001,0)),"-")</f>
        <v>-</v>
      </c>
      <c r="E72" s="3" t="str">
        <f>IFERROR(INDEX(Movimientos!$F$5:$F$2001,MATCH(A72&amp;"ENTRADA",Movimientos!$R$5:$R$2001,0)),"-")</f>
        <v>-</v>
      </c>
      <c r="F72" s="3" t="str">
        <f>IFERROR(INDEX(Movimientos!$G$5:$G$2001,MATCH(A72&amp;"ENTRADA",Movimientos!$R$5:$R$2001,0)),"-")</f>
        <v>-</v>
      </c>
      <c r="G72" s="3" t="str">
        <f>IFERROR(INDEX(Movimientos!$L$5:$L$2001,MATCH(A72&amp;"ENTRADA",Movimientos!$R$5:$R$2001,0)),"-")</f>
        <v>-</v>
      </c>
      <c r="H72" s="19" t="str">
        <f>IFERROR(IF(INDEX(Movimientos!$M$5:$M$2001,MATCH(A72&amp;"ENTRADA",Movimientos!$R$5:$R$2001,0))=0,"S/D",INDEX(Movimientos!$M$5:$M$2001,MATCH(A72&amp;"ENTRADA",Movimientos!$R$5:$R$2001,0))),"S/D")</f>
        <v>S/D</v>
      </c>
      <c r="I72" s="16" t="str">
        <f t="shared" ca="1" si="2"/>
        <v>S/D</v>
      </c>
      <c r="J72" s="6">
        <f>IF(A72="","",SUMIFS(Movimientos!$K:$K,Movimientos!$H:$H,A72))</f>
        <v>0</v>
      </c>
      <c r="K72" s="14" t="str">
        <f t="shared" ca="1" si="3"/>
        <v>OK</v>
      </c>
    </row>
    <row r="73" spans="1:11">
      <c r="A73" s="18" t="s">
        <v>2134</v>
      </c>
      <c r="B73" s="3" t="str">
        <f>IFERROR(INDEX(Movimientos!$C$5:$C$2001,MATCH(A73&amp;"ENTRADA",Movimientos!$R$5:$R$2001,0)),"-")</f>
        <v>-</v>
      </c>
      <c r="C73" s="3" t="str">
        <f>IFERROR(INDEX(Movimientos!$D$5:$D$2001,MATCH(A73&amp;"ENTRADA",Movimientos!$R$5:$R$2001,0)),"-")</f>
        <v>-</v>
      </c>
      <c r="D73" s="3" t="str">
        <f>IFERROR(INDEX(Movimientos!$E$5:$E$2001,MATCH(A73&amp;"ENTRADA",Movimientos!$R$5:$R$2001,0)),"-")</f>
        <v>-</v>
      </c>
      <c r="E73" s="3" t="str">
        <f>IFERROR(INDEX(Movimientos!$F$5:$F$2001,MATCH(A73&amp;"ENTRADA",Movimientos!$R$5:$R$2001,0)),"-")</f>
        <v>-</v>
      </c>
      <c r="F73" s="3" t="str">
        <f>IFERROR(INDEX(Movimientos!$G$5:$G$2001,MATCH(A73&amp;"ENTRADA",Movimientos!$R$5:$R$2001,0)),"-")</f>
        <v>-</v>
      </c>
      <c r="G73" s="3" t="str">
        <f>IFERROR(INDEX(Movimientos!$L$5:$L$2001,MATCH(A73&amp;"ENTRADA",Movimientos!$R$5:$R$2001,0)),"-")</f>
        <v>-</v>
      </c>
      <c r="H73" s="19" t="str">
        <f>IFERROR(IF(INDEX(Movimientos!$M$5:$M$2001,MATCH(A73&amp;"ENTRADA",Movimientos!$R$5:$R$2001,0))=0,"S/D",INDEX(Movimientos!$M$5:$M$2001,MATCH(A73&amp;"ENTRADA",Movimientos!$R$5:$R$2001,0))),"S/D")</f>
        <v>S/D</v>
      </c>
      <c r="I73" s="16" t="str">
        <f t="shared" ca="1" si="2"/>
        <v>S/D</v>
      </c>
      <c r="J73" s="6">
        <f>IF(A73="","",SUMIFS(Movimientos!$K:$K,Movimientos!$H:$H,A73))</f>
        <v>0</v>
      </c>
      <c r="K73" s="14" t="str">
        <f t="shared" ca="1" si="3"/>
        <v>OK</v>
      </c>
    </row>
    <row r="74" spans="1:11">
      <c r="A74" s="18" t="s">
        <v>2135</v>
      </c>
      <c r="B74" s="3" t="str">
        <f>IFERROR(INDEX(Movimientos!$C$5:$C$2001,MATCH(A74&amp;"ENTRADA",Movimientos!$R$5:$R$2001,0)),"-")</f>
        <v>-</v>
      </c>
      <c r="C74" s="3" t="str">
        <f>IFERROR(INDEX(Movimientos!$D$5:$D$2001,MATCH(A74&amp;"ENTRADA",Movimientos!$R$5:$R$2001,0)),"-")</f>
        <v>-</v>
      </c>
      <c r="D74" s="3" t="str">
        <f>IFERROR(INDEX(Movimientos!$E$5:$E$2001,MATCH(A74&amp;"ENTRADA",Movimientos!$R$5:$R$2001,0)),"-")</f>
        <v>-</v>
      </c>
      <c r="E74" s="3" t="str">
        <f>IFERROR(INDEX(Movimientos!$F$5:$F$2001,MATCH(A74&amp;"ENTRADA",Movimientos!$R$5:$R$2001,0)),"-")</f>
        <v>-</v>
      </c>
      <c r="F74" s="3" t="str">
        <f>IFERROR(INDEX(Movimientos!$G$5:$G$2001,MATCH(A74&amp;"ENTRADA",Movimientos!$R$5:$R$2001,0)),"-")</f>
        <v>-</v>
      </c>
      <c r="G74" s="3" t="str">
        <f>IFERROR(INDEX(Movimientos!$L$5:$L$2001,MATCH(A74&amp;"ENTRADA",Movimientos!$R$5:$R$2001,0)),"-")</f>
        <v>-</v>
      </c>
      <c r="H74" s="19" t="str">
        <f>IFERROR(IF(INDEX(Movimientos!$M$5:$M$2001,MATCH(A74&amp;"ENTRADA",Movimientos!$R$5:$R$2001,0))=0,"S/D",INDEX(Movimientos!$M$5:$M$2001,MATCH(A74&amp;"ENTRADA",Movimientos!$R$5:$R$2001,0))),"S/D")</f>
        <v>S/D</v>
      </c>
      <c r="I74" s="16" t="str">
        <f t="shared" ca="1" si="2"/>
        <v>S/D</v>
      </c>
      <c r="J74" s="6">
        <f>IF(A74="","",SUMIFS(Movimientos!$K:$K,Movimientos!$H:$H,A74))</f>
        <v>0</v>
      </c>
      <c r="K74" s="14" t="str">
        <f t="shared" ca="1" si="3"/>
        <v>OK</v>
      </c>
    </row>
    <row r="75" spans="1:11">
      <c r="A75" s="18" t="s">
        <v>2136</v>
      </c>
      <c r="B75" s="3" t="str">
        <f>IFERROR(INDEX(Movimientos!$C$5:$C$2001,MATCH(A75&amp;"ENTRADA",Movimientos!$R$5:$R$2001,0)),"-")</f>
        <v>-</v>
      </c>
      <c r="C75" s="3" t="str">
        <f>IFERROR(INDEX(Movimientos!$D$5:$D$2001,MATCH(A75&amp;"ENTRADA",Movimientos!$R$5:$R$2001,0)),"-")</f>
        <v>-</v>
      </c>
      <c r="D75" s="3" t="str">
        <f>IFERROR(INDEX(Movimientos!$E$5:$E$2001,MATCH(A75&amp;"ENTRADA",Movimientos!$R$5:$R$2001,0)),"-")</f>
        <v>-</v>
      </c>
      <c r="E75" s="3" t="str">
        <f>IFERROR(INDEX(Movimientos!$F$5:$F$2001,MATCH(A75&amp;"ENTRADA",Movimientos!$R$5:$R$2001,0)),"-")</f>
        <v>-</v>
      </c>
      <c r="F75" s="3" t="str">
        <f>IFERROR(INDEX(Movimientos!$G$5:$G$2001,MATCH(A75&amp;"ENTRADA",Movimientos!$R$5:$R$2001,0)),"-")</f>
        <v>-</v>
      </c>
      <c r="G75" s="3" t="str">
        <f>IFERROR(INDEX(Movimientos!$L$5:$L$2001,MATCH(A75&amp;"ENTRADA",Movimientos!$R$5:$R$2001,0)),"-")</f>
        <v>-</v>
      </c>
      <c r="H75" s="19" t="str">
        <f>IFERROR(IF(INDEX(Movimientos!$M$5:$M$2001,MATCH(A75&amp;"ENTRADA",Movimientos!$R$5:$R$2001,0))=0,"S/D",INDEX(Movimientos!$M$5:$M$2001,MATCH(A75&amp;"ENTRADA",Movimientos!$R$5:$R$2001,0))),"S/D")</f>
        <v>S/D</v>
      </c>
      <c r="I75" s="16" t="str">
        <f t="shared" ref="I75:I138" ca="1" si="4">IF(OR(A75="",H75="S/D"),"S/D",H75-TODAY())</f>
        <v>S/D</v>
      </c>
      <c r="J75" s="6">
        <f>IF(A75="","",SUMIFS(Movimientos!$K:$K,Movimientos!$H:$H,A75))</f>
        <v>0</v>
      </c>
      <c r="K75" s="14" t="str">
        <f t="shared" ref="K75:K138" ca="1" si="5">IF(A75="","",IF(H75="S/D","OK",IF(H75&lt;TODAY(),"VENCIDO",IF(J75&lt;=0,"SIN STOCK",IF(I75&gt;=180,"OK","PRÓXIMO A VENCER")))))</f>
        <v>OK</v>
      </c>
    </row>
    <row r="76" spans="1:11">
      <c r="A76" s="18" t="s">
        <v>2137</v>
      </c>
      <c r="B76" s="3" t="str">
        <f>IFERROR(INDEX(Movimientos!$C$5:$C$2001,MATCH(A76&amp;"ENTRADA",Movimientos!$R$5:$R$2001,0)),"-")</f>
        <v>-</v>
      </c>
      <c r="C76" s="3" t="str">
        <f>IFERROR(INDEX(Movimientos!$D$5:$D$2001,MATCH(A76&amp;"ENTRADA",Movimientos!$R$5:$R$2001,0)),"-")</f>
        <v>-</v>
      </c>
      <c r="D76" s="3" t="str">
        <f>IFERROR(INDEX(Movimientos!$E$5:$E$2001,MATCH(A76&amp;"ENTRADA",Movimientos!$R$5:$R$2001,0)),"-")</f>
        <v>-</v>
      </c>
      <c r="E76" s="3" t="str">
        <f>IFERROR(INDEX(Movimientos!$F$5:$F$2001,MATCH(A76&amp;"ENTRADA",Movimientos!$R$5:$R$2001,0)),"-")</f>
        <v>-</v>
      </c>
      <c r="F76" s="3" t="str">
        <f>IFERROR(INDEX(Movimientos!$G$5:$G$2001,MATCH(A76&amp;"ENTRADA",Movimientos!$R$5:$R$2001,0)),"-")</f>
        <v>-</v>
      </c>
      <c r="G76" s="3" t="str">
        <f>IFERROR(INDEX(Movimientos!$L$5:$L$2001,MATCH(A76&amp;"ENTRADA",Movimientos!$R$5:$R$2001,0)),"-")</f>
        <v>-</v>
      </c>
      <c r="H76" s="19" t="str">
        <f>IFERROR(IF(INDEX(Movimientos!$M$5:$M$2001,MATCH(A76&amp;"ENTRADA",Movimientos!$R$5:$R$2001,0))=0,"S/D",INDEX(Movimientos!$M$5:$M$2001,MATCH(A76&amp;"ENTRADA",Movimientos!$R$5:$R$2001,0))),"S/D")</f>
        <v>S/D</v>
      </c>
      <c r="I76" s="16" t="str">
        <f t="shared" ca="1" si="4"/>
        <v>S/D</v>
      </c>
      <c r="J76" s="6">
        <f>IF(A76="","",SUMIFS(Movimientos!$K:$K,Movimientos!$H:$H,A76))</f>
        <v>0</v>
      </c>
      <c r="K76" s="14" t="str">
        <f t="shared" ca="1" si="5"/>
        <v>OK</v>
      </c>
    </row>
    <row r="77" spans="1:11">
      <c r="A77" s="18" t="s">
        <v>2138</v>
      </c>
      <c r="B77" s="3" t="str">
        <f>IFERROR(INDEX(Movimientos!$C$5:$C$2001,MATCH(A77&amp;"ENTRADA",Movimientos!$R$5:$R$2001,0)),"-")</f>
        <v>-</v>
      </c>
      <c r="C77" s="3" t="str">
        <f>IFERROR(INDEX(Movimientos!$D$5:$D$2001,MATCH(A77&amp;"ENTRADA",Movimientos!$R$5:$R$2001,0)),"-")</f>
        <v>-</v>
      </c>
      <c r="D77" s="3" t="str">
        <f>IFERROR(INDEX(Movimientos!$E$5:$E$2001,MATCH(A77&amp;"ENTRADA",Movimientos!$R$5:$R$2001,0)),"-")</f>
        <v>-</v>
      </c>
      <c r="E77" s="3" t="str">
        <f>IFERROR(INDEX(Movimientos!$F$5:$F$2001,MATCH(A77&amp;"ENTRADA",Movimientos!$R$5:$R$2001,0)),"-")</f>
        <v>-</v>
      </c>
      <c r="F77" s="3" t="str">
        <f>IFERROR(INDEX(Movimientos!$G$5:$G$2001,MATCH(A77&amp;"ENTRADA",Movimientos!$R$5:$R$2001,0)),"-")</f>
        <v>-</v>
      </c>
      <c r="G77" s="3" t="str">
        <f>IFERROR(INDEX(Movimientos!$L$5:$L$2001,MATCH(A77&amp;"ENTRADA",Movimientos!$R$5:$R$2001,0)),"-")</f>
        <v>-</v>
      </c>
      <c r="H77" s="19" t="str">
        <f>IFERROR(IF(INDEX(Movimientos!$M$5:$M$2001,MATCH(A77&amp;"ENTRADA",Movimientos!$R$5:$R$2001,0))=0,"S/D",INDEX(Movimientos!$M$5:$M$2001,MATCH(A77&amp;"ENTRADA",Movimientos!$R$5:$R$2001,0))),"S/D")</f>
        <v>S/D</v>
      </c>
      <c r="I77" s="16" t="str">
        <f t="shared" ca="1" si="4"/>
        <v>S/D</v>
      </c>
      <c r="J77" s="6">
        <f>IF(A77="","",SUMIFS(Movimientos!$K:$K,Movimientos!$H:$H,A77))</f>
        <v>0</v>
      </c>
      <c r="K77" s="14" t="str">
        <f t="shared" ca="1" si="5"/>
        <v>OK</v>
      </c>
    </row>
    <row r="78" spans="1:11">
      <c r="A78" s="18" t="s">
        <v>2139</v>
      </c>
      <c r="B78" s="3" t="str">
        <f>IFERROR(INDEX(Movimientos!$C$5:$C$2001,MATCH(A78&amp;"ENTRADA",Movimientos!$R$5:$R$2001,0)),"-")</f>
        <v>-</v>
      </c>
      <c r="C78" s="3" t="str">
        <f>IFERROR(INDEX(Movimientos!$D$5:$D$2001,MATCH(A78&amp;"ENTRADA",Movimientos!$R$5:$R$2001,0)),"-")</f>
        <v>-</v>
      </c>
      <c r="D78" s="3" t="str">
        <f>IFERROR(INDEX(Movimientos!$E$5:$E$2001,MATCH(A78&amp;"ENTRADA",Movimientos!$R$5:$R$2001,0)),"-")</f>
        <v>-</v>
      </c>
      <c r="E78" s="3" t="str">
        <f>IFERROR(INDEX(Movimientos!$F$5:$F$2001,MATCH(A78&amp;"ENTRADA",Movimientos!$R$5:$R$2001,0)),"-")</f>
        <v>-</v>
      </c>
      <c r="F78" s="3" t="str">
        <f>IFERROR(INDEX(Movimientos!$G$5:$G$2001,MATCH(A78&amp;"ENTRADA",Movimientos!$R$5:$R$2001,0)),"-")</f>
        <v>-</v>
      </c>
      <c r="G78" s="3" t="str">
        <f>IFERROR(INDEX(Movimientos!$L$5:$L$2001,MATCH(A78&amp;"ENTRADA",Movimientos!$R$5:$R$2001,0)),"-")</f>
        <v>-</v>
      </c>
      <c r="H78" s="19" t="str">
        <f>IFERROR(IF(INDEX(Movimientos!$M$5:$M$2001,MATCH(A78&amp;"ENTRADA",Movimientos!$R$5:$R$2001,0))=0,"S/D",INDEX(Movimientos!$M$5:$M$2001,MATCH(A78&amp;"ENTRADA",Movimientos!$R$5:$R$2001,0))),"S/D")</f>
        <v>S/D</v>
      </c>
      <c r="I78" s="16" t="str">
        <f t="shared" ca="1" si="4"/>
        <v>S/D</v>
      </c>
      <c r="J78" s="6">
        <f>IF(A78="","",SUMIFS(Movimientos!$K:$K,Movimientos!$H:$H,A78))</f>
        <v>0</v>
      </c>
      <c r="K78" s="14" t="str">
        <f t="shared" ca="1" si="5"/>
        <v>OK</v>
      </c>
    </row>
    <row r="79" spans="1:11">
      <c r="A79" s="18" t="s">
        <v>2140</v>
      </c>
      <c r="B79" s="3" t="str">
        <f>IFERROR(INDEX(Movimientos!$C$5:$C$2001,MATCH(A79&amp;"ENTRADA",Movimientos!$R$5:$R$2001,0)),"-")</f>
        <v>-</v>
      </c>
      <c r="C79" s="3" t="str">
        <f>IFERROR(INDEX(Movimientos!$D$5:$D$2001,MATCH(A79&amp;"ENTRADA",Movimientos!$R$5:$R$2001,0)),"-")</f>
        <v>-</v>
      </c>
      <c r="D79" s="3" t="str">
        <f>IFERROR(INDEX(Movimientos!$E$5:$E$2001,MATCH(A79&amp;"ENTRADA",Movimientos!$R$5:$R$2001,0)),"-")</f>
        <v>-</v>
      </c>
      <c r="E79" s="3" t="str">
        <f>IFERROR(INDEX(Movimientos!$F$5:$F$2001,MATCH(A79&amp;"ENTRADA",Movimientos!$R$5:$R$2001,0)),"-")</f>
        <v>-</v>
      </c>
      <c r="F79" s="3" t="str">
        <f>IFERROR(INDEX(Movimientos!$G$5:$G$2001,MATCH(A79&amp;"ENTRADA",Movimientos!$R$5:$R$2001,0)),"-")</f>
        <v>-</v>
      </c>
      <c r="G79" s="3" t="str">
        <f>IFERROR(INDEX(Movimientos!$L$5:$L$2001,MATCH(A79&amp;"ENTRADA",Movimientos!$R$5:$R$2001,0)),"-")</f>
        <v>-</v>
      </c>
      <c r="H79" s="19" t="str">
        <f>IFERROR(IF(INDEX(Movimientos!$M$5:$M$2001,MATCH(A79&amp;"ENTRADA",Movimientos!$R$5:$R$2001,0))=0,"S/D",INDEX(Movimientos!$M$5:$M$2001,MATCH(A79&amp;"ENTRADA",Movimientos!$R$5:$R$2001,0))),"S/D")</f>
        <v>S/D</v>
      </c>
      <c r="I79" s="16" t="str">
        <f t="shared" ca="1" si="4"/>
        <v>S/D</v>
      </c>
      <c r="J79" s="6">
        <f>IF(A79="","",SUMIFS(Movimientos!$K:$K,Movimientos!$H:$H,A79))</f>
        <v>0</v>
      </c>
      <c r="K79" s="14" t="str">
        <f t="shared" ca="1" si="5"/>
        <v>OK</v>
      </c>
    </row>
    <row r="80" spans="1:11">
      <c r="A80" s="18" t="s">
        <v>2141</v>
      </c>
      <c r="B80" s="3" t="str">
        <f>IFERROR(INDEX(Movimientos!$C$5:$C$2001,MATCH(A80&amp;"ENTRADA",Movimientos!$R$5:$R$2001,0)),"-")</f>
        <v>-</v>
      </c>
      <c r="C80" s="3" t="str">
        <f>IFERROR(INDEX(Movimientos!$D$5:$D$2001,MATCH(A80&amp;"ENTRADA",Movimientos!$R$5:$R$2001,0)),"-")</f>
        <v>-</v>
      </c>
      <c r="D80" s="3" t="str">
        <f>IFERROR(INDEX(Movimientos!$E$5:$E$2001,MATCH(A80&amp;"ENTRADA",Movimientos!$R$5:$R$2001,0)),"-")</f>
        <v>-</v>
      </c>
      <c r="E80" s="3" t="str">
        <f>IFERROR(INDEX(Movimientos!$F$5:$F$2001,MATCH(A80&amp;"ENTRADA",Movimientos!$R$5:$R$2001,0)),"-")</f>
        <v>-</v>
      </c>
      <c r="F80" s="3" t="str">
        <f>IFERROR(INDEX(Movimientos!$G$5:$G$2001,MATCH(A80&amp;"ENTRADA",Movimientos!$R$5:$R$2001,0)),"-")</f>
        <v>-</v>
      </c>
      <c r="G80" s="3" t="str">
        <f>IFERROR(INDEX(Movimientos!$L$5:$L$2001,MATCH(A80&amp;"ENTRADA",Movimientos!$R$5:$R$2001,0)),"-")</f>
        <v>-</v>
      </c>
      <c r="H80" s="19" t="str">
        <f>IFERROR(IF(INDEX(Movimientos!$M$5:$M$2001,MATCH(A80&amp;"ENTRADA",Movimientos!$R$5:$R$2001,0))=0,"S/D",INDEX(Movimientos!$M$5:$M$2001,MATCH(A80&amp;"ENTRADA",Movimientos!$R$5:$R$2001,0))),"S/D")</f>
        <v>S/D</v>
      </c>
      <c r="I80" s="16" t="str">
        <f t="shared" ca="1" si="4"/>
        <v>S/D</v>
      </c>
      <c r="J80" s="6">
        <f>IF(A80="","",SUMIFS(Movimientos!$K:$K,Movimientos!$H:$H,A80))</f>
        <v>0</v>
      </c>
      <c r="K80" s="14" t="str">
        <f t="shared" ca="1" si="5"/>
        <v>OK</v>
      </c>
    </row>
    <row r="81" spans="1:11">
      <c r="A81" s="18" t="s">
        <v>2142</v>
      </c>
      <c r="B81" s="3" t="str">
        <f>IFERROR(INDEX(Movimientos!$C$5:$C$2001,MATCH(A81&amp;"ENTRADA",Movimientos!$R$5:$R$2001,0)),"-")</f>
        <v>-</v>
      </c>
      <c r="C81" s="3" t="str">
        <f>IFERROR(INDEX(Movimientos!$D$5:$D$2001,MATCH(A81&amp;"ENTRADA",Movimientos!$R$5:$R$2001,0)),"-")</f>
        <v>-</v>
      </c>
      <c r="D81" s="3" t="str">
        <f>IFERROR(INDEX(Movimientos!$E$5:$E$2001,MATCH(A81&amp;"ENTRADA",Movimientos!$R$5:$R$2001,0)),"-")</f>
        <v>-</v>
      </c>
      <c r="E81" s="3" t="str">
        <f>IFERROR(INDEX(Movimientos!$F$5:$F$2001,MATCH(A81&amp;"ENTRADA",Movimientos!$R$5:$R$2001,0)),"-")</f>
        <v>-</v>
      </c>
      <c r="F81" s="3" t="str">
        <f>IFERROR(INDEX(Movimientos!$G$5:$G$2001,MATCH(A81&amp;"ENTRADA",Movimientos!$R$5:$R$2001,0)),"-")</f>
        <v>-</v>
      </c>
      <c r="G81" s="3" t="str">
        <f>IFERROR(INDEX(Movimientos!$L$5:$L$2001,MATCH(A81&amp;"ENTRADA",Movimientos!$R$5:$R$2001,0)),"-")</f>
        <v>-</v>
      </c>
      <c r="H81" s="19" t="str">
        <f>IFERROR(IF(INDEX(Movimientos!$M$5:$M$2001,MATCH(A81&amp;"ENTRADA",Movimientos!$R$5:$R$2001,0))=0,"S/D",INDEX(Movimientos!$M$5:$M$2001,MATCH(A81&amp;"ENTRADA",Movimientos!$R$5:$R$2001,0))),"S/D")</f>
        <v>S/D</v>
      </c>
      <c r="I81" s="16" t="str">
        <f t="shared" ca="1" si="4"/>
        <v>S/D</v>
      </c>
      <c r="J81" s="6">
        <f>IF(A81="","",SUMIFS(Movimientos!$K:$K,Movimientos!$H:$H,A81))</f>
        <v>0</v>
      </c>
      <c r="K81" s="14" t="str">
        <f t="shared" ca="1" si="5"/>
        <v>OK</v>
      </c>
    </row>
    <row r="82" spans="1:11">
      <c r="A82" s="18" t="s">
        <v>2143</v>
      </c>
      <c r="B82" s="3" t="str">
        <f>IFERROR(INDEX(Movimientos!$C$5:$C$2001,MATCH(A82&amp;"ENTRADA",Movimientos!$R$5:$R$2001,0)),"-")</f>
        <v>-</v>
      </c>
      <c r="C82" s="3" t="str">
        <f>IFERROR(INDEX(Movimientos!$D$5:$D$2001,MATCH(A82&amp;"ENTRADA",Movimientos!$R$5:$R$2001,0)),"-")</f>
        <v>-</v>
      </c>
      <c r="D82" s="3" t="str">
        <f>IFERROR(INDEX(Movimientos!$E$5:$E$2001,MATCH(A82&amp;"ENTRADA",Movimientos!$R$5:$R$2001,0)),"-")</f>
        <v>-</v>
      </c>
      <c r="E82" s="3" t="str">
        <f>IFERROR(INDEX(Movimientos!$F$5:$F$2001,MATCH(A82&amp;"ENTRADA",Movimientos!$R$5:$R$2001,0)),"-")</f>
        <v>-</v>
      </c>
      <c r="F82" s="3" t="str">
        <f>IFERROR(INDEX(Movimientos!$G$5:$G$2001,MATCH(A82&amp;"ENTRADA",Movimientos!$R$5:$R$2001,0)),"-")</f>
        <v>-</v>
      </c>
      <c r="G82" s="3" t="str">
        <f>IFERROR(INDEX(Movimientos!$L$5:$L$2001,MATCH(A82&amp;"ENTRADA",Movimientos!$R$5:$R$2001,0)),"-")</f>
        <v>-</v>
      </c>
      <c r="H82" s="19" t="str">
        <f>IFERROR(IF(INDEX(Movimientos!$M$5:$M$2001,MATCH(A82&amp;"ENTRADA",Movimientos!$R$5:$R$2001,0))=0,"S/D",INDEX(Movimientos!$M$5:$M$2001,MATCH(A82&amp;"ENTRADA",Movimientos!$R$5:$R$2001,0))),"S/D")</f>
        <v>S/D</v>
      </c>
      <c r="I82" s="16" t="str">
        <f t="shared" ca="1" si="4"/>
        <v>S/D</v>
      </c>
      <c r="J82" s="6">
        <f>IF(A82="","",SUMIFS(Movimientos!$K:$K,Movimientos!$H:$H,A82))</f>
        <v>0</v>
      </c>
      <c r="K82" s="14" t="str">
        <f t="shared" ca="1" si="5"/>
        <v>OK</v>
      </c>
    </row>
    <row r="83" spans="1:11">
      <c r="A83" s="18" t="s">
        <v>2144</v>
      </c>
      <c r="B83" s="3" t="str">
        <f>IFERROR(INDEX(Movimientos!$C$5:$C$2001,MATCH(A83&amp;"ENTRADA",Movimientos!$R$5:$R$2001,0)),"-")</f>
        <v>-</v>
      </c>
      <c r="C83" s="3" t="str">
        <f>IFERROR(INDEX(Movimientos!$D$5:$D$2001,MATCH(A83&amp;"ENTRADA",Movimientos!$R$5:$R$2001,0)),"-")</f>
        <v>-</v>
      </c>
      <c r="D83" s="3" t="str">
        <f>IFERROR(INDEX(Movimientos!$E$5:$E$2001,MATCH(A83&amp;"ENTRADA",Movimientos!$R$5:$R$2001,0)),"-")</f>
        <v>-</v>
      </c>
      <c r="E83" s="3" t="str">
        <f>IFERROR(INDEX(Movimientos!$F$5:$F$2001,MATCH(A83&amp;"ENTRADA",Movimientos!$R$5:$R$2001,0)),"-")</f>
        <v>-</v>
      </c>
      <c r="F83" s="3" t="str">
        <f>IFERROR(INDEX(Movimientos!$G$5:$G$2001,MATCH(A83&amp;"ENTRADA",Movimientos!$R$5:$R$2001,0)),"-")</f>
        <v>-</v>
      </c>
      <c r="G83" s="3" t="str">
        <f>IFERROR(INDEX(Movimientos!$L$5:$L$2001,MATCH(A83&amp;"ENTRADA",Movimientos!$R$5:$R$2001,0)),"-")</f>
        <v>-</v>
      </c>
      <c r="H83" s="19" t="str">
        <f>IFERROR(IF(INDEX(Movimientos!$M$5:$M$2001,MATCH(A83&amp;"ENTRADA",Movimientos!$R$5:$R$2001,0))=0,"S/D",INDEX(Movimientos!$M$5:$M$2001,MATCH(A83&amp;"ENTRADA",Movimientos!$R$5:$R$2001,0))),"S/D")</f>
        <v>S/D</v>
      </c>
      <c r="I83" s="16" t="str">
        <f t="shared" ca="1" si="4"/>
        <v>S/D</v>
      </c>
      <c r="J83" s="6">
        <f>IF(A83="","",SUMIFS(Movimientos!$K:$K,Movimientos!$H:$H,A83))</f>
        <v>0</v>
      </c>
      <c r="K83" s="14" t="str">
        <f t="shared" ca="1" si="5"/>
        <v>OK</v>
      </c>
    </row>
    <row r="84" spans="1:11">
      <c r="A84" s="18" t="s">
        <v>2145</v>
      </c>
      <c r="B84" s="3" t="str">
        <f>IFERROR(INDEX(Movimientos!$C$5:$C$2001,MATCH(A84&amp;"ENTRADA",Movimientos!$R$5:$R$2001,0)),"-")</f>
        <v>-</v>
      </c>
      <c r="C84" s="3" t="str">
        <f>IFERROR(INDEX(Movimientos!$D$5:$D$2001,MATCH(A84&amp;"ENTRADA",Movimientos!$R$5:$R$2001,0)),"-")</f>
        <v>-</v>
      </c>
      <c r="D84" s="3" t="str">
        <f>IFERROR(INDEX(Movimientos!$E$5:$E$2001,MATCH(A84&amp;"ENTRADA",Movimientos!$R$5:$R$2001,0)),"-")</f>
        <v>-</v>
      </c>
      <c r="E84" s="3" t="str">
        <f>IFERROR(INDEX(Movimientos!$F$5:$F$2001,MATCH(A84&amp;"ENTRADA",Movimientos!$R$5:$R$2001,0)),"-")</f>
        <v>-</v>
      </c>
      <c r="F84" s="3" t="str">
        <f>IFERROR(INDEX(Movimientos!$G$5:$G$2001,MATCH(A84&amp;"ENTRADA",Movimientos!$R$5:$R$2001,0)),"-")</f>
        <v>-</v>
      </c>
      <c r="G84" s="3" t="str">
        <f>IFERROR(INDEX(Movimientos!$L$5:$L$2001,MATCH(A84&amp;"ENTRADA",Movimientos!$R$5:$R$2001,0)),"-")</f>
        <v>-</v>
      </c>
      <c r="H84" s="19" t="str">
        <f>IFERROR(IF(INDEX(Movimientos!$M$5:$M$2001,MATCH(A84&amp;"ENTRADA",Movimientos!$R$5:$R$2001,0))=0,"S/D",INDEX(Movimientos!$M$5:$M$2001,MATCH(A84&amp;"ENTRADA",Movimientos!$R$5:$R$2001,0))),"S/D")</f>
        <v>S/D</v>
      </c>
      <c r="I84" s="16" t="str">
        <f t="shared" ca="1" si="4"/>
        <v>S/D</v>
      </c>
      <c r="J84" s="6">
        <f>IF(A84="","",SUMIFS(Movimientos!$K:$K,Movimientos!$H:$H,A84))</f>
        <v>0</v>
      </c>
      <c r="K84" s="14" t="str">
        <f t="shared" ca="1" si="5"/>
        <v>OK</v>
      </c>
    </row>
    <row r="85" spans="1:11">
      <c r="A85" s="18" t="s">
        <v>2146</v>
      </c>
      <c r="B85" s="3" t="str">
        <f>IFERROR(INDEX(Movimientos!$C$5:$C$2001,MATCH(A85&amp;"ENTRADA",Movimientos!$R$5:$R$2001,0)),"-")</f>
        <v>-</v>
      </c>
      <c r="C85" s="3" t="str">
        <f>IFERROR(INDEX(Movimientos!$D$5:$D$2001,MATCH(A85&amp;"ENTRADA",Movimientos!$R$5:$R$2001,0)),"-")</f>
        <v>-</v>
      </c>
      <c r="D85" s="3" t="str">
        <f>IFERROR(INDEX(Movimientos!$E$5:$E$2001,MATCH(A85&amp;"ENTRADA",Movimientos!$R$5:$R$2001,0)),"-")</f>
        <v>-</v>
      </c>
      <c r="E85" s="3" t="str">
        <f>IFERROR(INDEX(Movimientos!$F$5:$F$2001,MATCH(A85&amp;"ENTRADA",Movimientos!$R$5:$R$2001,0)),"-")</f>
        <v>-</v>
      </c>
      <c r="F85" s="3" t="str">
        <f>IFERROR(INDEX(Movimientos!$G$5:$G$2001,MATCH(A85&amp;"ENTRADA",Movimientos!$R$5:$R$2001,0)),"-")</f>
        <v>-</v>
      </c>
      <c r="G85" s="3" t="str">
        <f>IFERROR(INDEX(Movimientos!$L$5:$L$2001,MATCH(A85&amp;"ENTRADA",Movimientos!$R$5:$R$2001,0)),"-")</f>
        <v>-</v>
      </c>
      <c r="H85" s="19" t="str">
        <f>IFERROR(IF(INDEX(Movimientos!$M$5:$M$2001,MATCH(A85&amp;"ENTRADA",Movimientos!$R$5:$R$2001,0))=0,"S/D",INDEX(Movimientos!$M$5:$M$2001,MATCH(A85&amp;"ENTRADA",Movimientos!$R$5:$R$2001,0))),"S/D")</f>
        <v>S/D</v>
      </c>
      <c r="I85" s="16" t="str">
        <f t="shared" ca="1" si="4"/>
        <v>S/D</v>
      </c>
      <c r="J85" s="6">
        <f>IF(A85="","",SUMIFS(Movimientos!$K:$K,Movimientos!$H:$H,A85))</f>
        <v>0</v>
      </c>
      <c r="K85" s="14" t="str">
        <f t="shared" ca="1" si="5"/>
        <v>OK</v>
      </c>
    </row>
    <row r="86" spans="1:11">
      <c r="A86" s="18" t="s">
        <v>2147</v>
      </c>
      <c r="B86" s="3" t="str">
        <f>IFERROR(INDEX(Movimientos!$C$5:$C$2001,MATCH(A86&amp;"ENTRADA",Movimientos!$R$5:$R$2001,0)),"-")</f>
        <v>-</v>
      </c>
      <c r="C86" s="3" t="str">
        <f>IFERROR(INDEX(Movimientos!$D$5:$D$2001,MATCH(A86&amp;"ENTRADA",Movimientos!$R$5:$R$2001,0)),"-")</f>
        <v>-</v>
      </c>
      <c r="D86" s="3" t="str">
        <f>IFERROR(INDEX(Movimientos!$E$5:$E$2001,MATCH(A86&amp;"ENTRADA",Movimientos!$R$5:$R$2001,0)),"-")</f>
        <v>-</v>
      </c>
      <c r="E86" s="3" t="str">
        <f>IFERROR(INDEX(Movimientos!$F$5:$F$2001,MATCH(A86&amp;"ENTRADA",Movimientos!$R$5:$R$2001,0)),"-")</f>
        <v>-</v>
      </c>
      <c r="F86" s="3" t="str">
        <f>IFERROR(INDEX(Movimientos!$G$5:$G$2001,MATCH(A86&amp;"ENTRADA",Movimientos!$R$5:$R$2001,0)),"-")</f>
        <v>-</v>
      </c>
      <c r="G86" s="3" t="str">
        <f>IFERROR(INDEX(Movimientos!$L$5:$L$2001,MATCH(A86&amp;"ENTRADA",Movimientos!$R$5:$R$2001,0)),"-")</f>
        <v>-</v>
      </c>
      <c r="H86" s="19" t="str">
        <f>IFERROR(IF(INDEX(Movimientos!$M$5:$M$2001,MATCH(A86&amp;"ENTRADA",Movimientos!$R$5:$R$2001,0))=0,"S/D",INDEX(Movimientos!$M$5:$M$2001,MATCH(A86&amp;"ENTRADA",Movimientos!$R$5:$R$2001,0))),"S/D")</f>
        <v>S/D</v>
      </c>
      <c r="I86" s="16" t="str">
        <f t="shared" ca="1" si="4"/>
        <v>S/D</v>
      </c>
      <c r="J86" s="6">
        <f>IF(A86="","",SUMIFS(Movimientos!$K:$K,Movimientos!$H:$H,A86))</f>
        <v>0</v>
      </c>
      <c r="K86" s="14" t="str">
        <f t="shared" ca="1" si="5"/>
        <v>OK</v>
      </c>
    </row>
    <row r="87" spans="1:11">
      <c r="A87" s="18" t="s">
        <v>2148</v>
      </c>
      <c r="B87" s="3" t="str">
        <f>IFERROR(INDEX(Movimientos!$C$5:$C$2001,MATCH(A87&amp;"ENTRADA",Movimientos!$R$5:$R$2001,0)),"-")</f>
        <v>-</v>
      </c>
      <c r="C87" s="3" t="str">
        <f>IFERROR(INDEX(Movimientos!$D$5:$D$2001,MATCH(A87&amp;"ENTRADA",Movimientos!$R$5:$R$2001,0)),"-")</f>
        <v>-</v>
      </c>
      <c r="D87" s="3" t="str">
        <f>IFERROR(INDEX(Movimientos!$E$5:$E$2001,MATCH(A87&amp;"ENTRADA",Movimientos!$R$5:$R$2001,0)),"-")</f>
        <v>-</v>
      </c>
      <c r="E87" s="3" t="str">
        <f>IFERROR(INDEX(Movimientos!$F$5:$F$2001,MATCH(A87&amp;"ENTRADA",Movimientos!$R$5:$R$2001,0)),"-")</f>
        <v>-</v>
      </c>
      <c r="F87" s="3" t="str">
        <f>IFERROR(INDEX(Movimientos!$G$5:$G$2001,MATCH(A87&amp;"ENTRADA",Movimientos!$R$5:$R$2001,0)),"-")</f>
        <v>-</v>
      </c>
      <c r="G87" s="3" t="str">
        <f>IFERROR(INDEX(Movimientos!$L$5:$L$2001,MATCH(A87&amp;"ENTRADA",Movimientos!$R$5:$R$2001,0)),"-")</f>
        <v>-</v>
      </c>
      <c r="H87" s="19" t="str">
        <f>IFERROR(IF(INDEX(Movimientos!$M$5:$M$2001,MATCH(A87&amp;"ENTRADA",Movimientos!$R$5:$R$2001,0))=0,"S/D",INDEX(Movimientos!$M$5:$M$2001,MATCH(A87&amp;"ENTRADA",Movimientos!$R$5:$R$2001,0))),"S/D")</f>
        <v>S/D</v>
      </c>
      <c r="I87" s="16" t="str">
        <f t="shared" ca="1" si="4"/>
        <v>S/D</v>
      </c>
      <c r="J87" s="6">
        <f>IF(A87="","",SUMIFS(Movimientos!$K:$K,Movimientos!$H:$H,A87))</f>
        <v>0</v>
      </c>
      <c r="K87" s="14" t="str">
        <f t="shared" ca="1" si="5"/>
        <v>OK</v>
      </c>
    </row>
    <row r="88" spans="1:11">
      <c r="A88" s="18" t="s">
        <v>2149</v>
      </c>
      <c r="B88" s="3" t="str">
        <f>IFERROR(INDEX(Movimientos!$C$5:$C$2001,MATCH(A88&amp;"ENTRADA",Movimientos!$R$5:$R$2001,0)),"-")</f>
        <v>-</v>
      </c>
      <c r="C88" s="3" t="str">
        <f>IFERROR(INDEX(Movimientos!$D$5:$D$2001,MATCH(A88&amp;"ENTRADA",Movimientos!$R$5:$R$2001,0)),"-")</f>
        <v>-</v>
      </c>
      <c r="D88" s="3" t="str">
        <f>IFERROR(INDEX(Movimientos!$E$5:$E$2001,MATCH(A88&amp;"ENTRADA",Movimientos!$R$5:$R$2001,0)),"-")</f>
        <v>-</v>
      </c>
      <c r="E88" s="3" t="str">
        <f>IFERROR(INDEX(Movimientos!$F$5:$F$2001,MATCH(A88&amp;"ENTRADA",Movimientos!$R$5:$R$2001,0)),"-")</f>
        <v>-</v>
      </c>
      <c r="F88" s="3" t="str">
        <f>IFERROR(INDEX(Movimientos!$G$5:$G$2001,MATCH(A88&amp;"ENTRADA",Movimientos!$R$5:$R$2001,0)),"-")</f>
        <v>-</v>
      </c>
      <c r="G88" s="3" t="str">
        <f>IFERROR(INDEX(Movimientos!$L$5:$L$2001,MATCH(A88&amp;"ENTRADA",Movimientos!$R$5:$R$2001,0)),"-")</f>
        <v>-</v>
      </c>
      <c r="H88" s="19" t="str">
        <f>IFERROR(IF(INDEX(Movimientos!$M$5:$M$2001,MATCH(A88&amp;"ENTRADA",Movimientos!$R$5:$R$2001,0))=0,"S/D",INDEX(Movimientos!$M$5:$M$2001,MATCH(A88&amp;"ENTRADA",Movimientos!$R$5:$R$2001,0))),"S/D")</f>
        <v>S/D</v>
      </c>
      <c r="I88" s="16" t="str">
        <f t="shared" ca="1" si="4"/>
        <v>S/D</v>
      </c>
      <c r="J88" s="6">
        <f>IF(A88="","",SUMIFS(Movimientos!$K:$K,Movimientos!$H:$H,A88))</f>
        <v>0</v>
      </c>
      <c r="K88" s="14" t="str">
        <f t="shared" ca="1" si="5"/>
        <v>OK</v>
      </c>
    </row>
    <row r="89" spans="1:11">
      <c r="A89" s="18" t="s">
        <v>2150</v>
      </c>
      <c r="B89" s="3" t="str">
        <f>IFERROR(INDEX(Movimientos!$C$5:$C$2001,MATCH(A89&amp;"ENTRADA",Movimientos!$R$5:$R$2001,0)),"-")</f>
        <v>-</v>
      </c>
      <c r="C89" s="3" t="str">
        <f>IFERROR(INDEX(Movimientos!$D$5:$D$2001,MATCH(A89&amp;"ENTRADA",Movimientos!$R$5:$R$2001,0)),"-")</f>
        <v>-</v>
      </c>
      <c r="D89" s="3" t="str">
        <f>IFERROR(INDEX(Movimientos!$E$5:$E$2001,MATCH(A89&amp;"ENTRADA",Movimientos!$R$5:$R$2001,0)),"-")</f>
        <v>-</v>
      </c>
      <c r="E89" s="3" t="str">
        <f>IFERROR(INDEX(Movimientos!$F$5:$F$2001,MATCH(A89&amp;"ENTRADA",Movimientos!$R$5:$R$2001,0)),"-")</f>
        <v>-</v>
      </c>
      <c r="F89" s="3" t="str">
        <f>IFERROR(INDEX(Movimientos!$G$5:$G$2001,MATCH(A89&amp;"ENTRADA",Movimientos!$R$5:$R$2001,0)),"-")</f>
        <v>-</v>
      </c>
      <c r="G89" s="3" t="str">
        <f>IFERROR(INDEX(Movimientos!$L$5:$L$2001,MATCH(A89&amp;"ENTRADA",Movimientos!$R$5:$R$2001,0)),"-")</f>
        <v>-</v>
      </c>
      <c r="H89" s="19" t="str">
        <f>IFERROR(IF(INDEX(Movimientos!$M$5:$M$2001,MATCH(A89&amp;"ENTRADA",Movimientos!$R$5:$R$2001,0))=0,"S/D",INDEX(Movimientos!$M$5:$M$2001,MATCH(A89&amp;"ENTRADA",Movimientos!$R$5:$R$2001,0))),"S/D")</f>
        <v>S/D</v>
      </c>
      <c r="I89" s="16" t="str">
        <f t="shared" ca="1" si="4"/>
        <v>S/D</v>
      </c>
      <c r="J89" s="6">
        <f>IF(A89="","",SUMIFS(Movimientos!$K:$K,Movimientos!$H:$H,A89))</f>
        <v>0</v>
      </c>
      <c r="K89" s="14" t="str">
        <f t="shared" ca="1" si="5"/>
        <v>OK</v>
      </c>
    </row>
    <row r="90" spans="1:11">
      <c r="A90" s="18" t="s">
        <v>2151</v>
      </c>
      <c r="B90" s="3" t="str">
        <f>IFERROR(INDEX(Movimientos!$C$5:$C$2001,MATCH(A90&amp;"ENTRADA",Movimientos!$R$5:$R$2001,0)),"-")</f>
        <v>-</v>
      </c>
      <c r="C90" s="3" t="str">
        <f>IFERROR(INDEX(Movimientos!$D$5:$D$2001,MATCH(A90&amp;"ENTRADA",Movimientos!$R$5:$R$2001,0)),"-")</f>
        <v>-</v>
      </c>
      <c r="D90" s="3" t="str">
        <f>IFERROR(INDEX(Movimientos!$E$5:$E$2001,MATCH(A90&amp;"ENTRADA",Movimientos!$R$5:$R$2001,0)),"-")</f>
        <v>-</v>
      </c>
      <c r="E90" s="3" t="str">
        <f>IFERROR(INDEX(Movimientos!$F$5:$F$2001,MATCH(A90&amp;"ENTRADA",Movimientos!$R$5:$R$2001,0)),"-")</f>
        <v>-</v>
      </c>
      <c r="F90" s="3" t="str">
        <f>IFERROR(INDEX(Movimientos!$G$5:$G$2001,MATCH(A90&amp;"ENTRADA",Movimientos!$R$5:$R$2001,0)),"-")</f>
        <v>-</v>
      </c>
      <c r="G90" s="3" t="str">
        <f>IFERROR(INDEX(Movimientos!$L$5:$L$2001,MATCH(A90&amp;"ENTRADA",Movimientos!$R$5:$R$2001,0)),"-")</f>
        <v>-</v>
      </c>
      <c r="H90" s="19" t="str">
        <f>IFERROR(IF(INDEX(Movimientos!$M$5:$M$2001,MATCH(A90&amp;"ENTRADA",Movimientos!$R$5:$R$2001,0))=0,"S/D",INDEX(Movimientos!$M$5:$M$2001,MATCH(A90&amp;"ENTRADA",Movimientos!$R$5:$R$2001,0))),"S/D")</f>
        <v>S/D</v>
      </c>
      <c r="I90" s="16" t="str">
        <f t="shared" ca="1" si="4"/>
        <v>S/D</v>
      </c>
      <c r="J90" s="6">
        <f>IF(A90="","",SUMIFS(Movimientos!$K:$K,Movimientos!$H:$H,A90))</f>
        <v>0</v>
      </c>
      <c r="K90" s="14" t="str">
        <f t="shared" ca="1" si="5"/>
        <v>OK</v>
      </c>
    </row>
    <row r="91" spans="1:11">
      <c r="A91" s="18" t="s">
        <v>2152</v>
      </c>
      <c r="B91" s="3" t="str">
        <f>IFERROR(INDEX(Movimientos!$C$5:$C$2001,MATCH(A91&amp;"ENTRADA",Movimientos!$R$5:$R$2001,0)),"-")</f>
        <v>-</v>
      </c>
      <c r="C91" s="3" t="str">
        <f>IFERROR(INDEX(Movimientos!$D$5:$D$2001,MATCH(A91&amp;"ENTRADA",Movimientos!$R$5:$R$2001,0)),"-")</f>
        <v>-</v>
      </c>
      <c r="D91" s="3" t="str">
        <f>IFERROR(INDEX(Movimientos!$E$5:$E$2001,MATCH(A91&amp;"ENTRADA",Movimientos!$R$5:$R$2001,0)),"-")</f>
        <v>-</v>
      </c>
      <c r="E91" s="3" t="str">
        <f>IFERROR(INDEX(Movimientos!$F$5:$F$2001,MATCH(A91&amp;"ENTRADA",Movimientos!$R$5:$R$2001,0)),"-")</f>
        <v>-</v>
      </c>
      <c r="F91" s="3" t="str">
        <f>IFERROR(INDEX(Movimientos!$G$5:$G$2001,MATCH(A91&amp;"ENTRADA",Movimientos!$R$5:$R$2001,0)),"-")</f>
        <v>-</v>
      </c>
      <c r="G91" s="3" t="str">
        <f>IFERROR(INDEX(Movimientos!$L$5:$L$2001,MATCH(A91&amp;"ENTRADA",Movimientos!$R$5:$R$2001,0)),"-")</f>
        <v>-</v>
      </c>
      <c r="H91" s="19" t="str">
        <f>IFERROR(IF(INDEX(Movimientos!$M$5:$M$2001,MATCH(A91&amp;"ENTRADA",Movimientos!$R$5:$R$2001,0))=0,"S/D",INDEX(Movimientos!$M$5:$M$2001,MATCH(A91&amp;"ENTRADA",Movimientos!$R$5:$R$2001,0))),"S/D")</f>
        <v>S/D</v>
      </c>
      <c r="I91" s="16" t="str">
        <f t="shared" ca="1" si="4"/>
        <v>S/D</v>
      </c>
      <c r="J91" s="6">
        <f>IF(A91="","",SUMIFS(Movimientos!$K:$K,Movimientos!$H:$H,A91))</f>
        <v>0</v>
      </c>
      <c r="K91" s="14" t="str">
        <f t="shared" ca="1" si="5"/>
        <v>OK</v>
      </c>
    </row>
    <row r="92" spans="1:11">
      <c r="A92" s="18" t="s">
        <v>2153</v>
      </c>
      <c r="B92" s="3" t="str">
        <f>IFERROR(INDEX(Movimientos!$C$5:$C$2001,MATCH(A92&amp;"ENTRADA",Movimientos!$R$5:$R$2001,0)),"-")</f>
        <v>-</v>
      </c>
      <c r="C92" s="3" t="str">
        <f>IFERROR(INDEX(Movimientos!$D$5:$D$2001,MATCH(A92&amp;"ENTRADA",Movimientos!$R$5:$R$2001,0)),"-")</f>
        <v>-</v>
      </c>
      <c r="D92" s="3" t="str">
        <f>IFERROR(INDEX(Movimientos!$E$5:$E$2001,MATCH(A92&amp;"ENTRADA",Movimientos!$R$5:$R$2001,0)),"-")</f>
        <v>-</v>
      </c>
      <c r="E92" s="3" t="str">
        <f>IFERROR(INDEX(Movimientos!$F$5:$F$2001,MATCH(A92&amp;"ENTRADA",Movimientos!$R$5:$R$2001,0)),"-")</f>
        <v>-</v>
      </c>
      <c r="F92" s="3" t="str">
        <f>IFERROR(INDEX(Movimientos!$G$5:$G$2001,MATCH(A92&amp;"ENTRADA",Movimientos!$R$5:$R$2001,0)),"-")</f>
        <v>-</v>
      </c>
      <c r="G92" s="3" t="str">
        <f>IFERROR(INDEX(Movimientos!$L$5:$L$2001,MATCH(A92&amp;"ENTRADA",Movimientos!$R$5:$R$2001,0)),"-")</f>
        <v>-</v>
      </c>
      <c r="H92" s="19" t="str">
        <f>IFERROR(IF(INDEX(Movimientos!$M$5:$M$2001,MATCH(A92&amp;"ENTRADA",Movimientos!$R$5:$R$2001,0))=0,"S/D",INDEX(Movimientos!$M$5:$M$2001,MATCH(A92&amp;"ENTRADA",Movimientos!$R$5:$R$2001,0))),"S/D")</f>
        <v>S/D</v>
      </c>
      <c r="I92" s="16" t="str">
        <f t="shared" ca="1" si="4"/>
        <v>S/D</v>
      </c>
      <c r="J92" s="6">
        <f>IF(A92="","",SUMIFS(Movimientos!$K:$K,Movimientos!$H:$H,A92))</f>
        <v>0</v>
      </c>
      <c r="K92" s="14" t="str">
        <f t="shared" ca="1" si="5"/>
        <v>OK</v>
      </c>
    </row>
    <row r="93" spans="1:11">
      <c r="A93" s="18" t="s">
        <v>2154</v>
      </c>
      <c r="B93" s="3" t="str">
        <f>IFERROR(INDEX(Movimientos!$C$5:$C$2001,MATCH(A93&amp;"ENTRADA",Movimientos!$R$5:$R$2001,0)),"-")</f>
        <v>-</v>
      </c>
      <c r="C93" s="3" t="str">
        <f>IFERROR(INDEX(Movimientos!$D$5:$D$2001,MATCH(A93&amp;"ENTRADA",Movimientos!$R$5:$R$2001,0)),"-")</f>
        <v>-</v>
      </c>
      <c r="D93" s="3" t="str">
        <f>IFERROR(INDEX(Movimientos!$E$5:$E$2001,MATCH(A93&amp;"ENTRADA",Movimientos!$R$5:$R$2001,0)),"-")</f>
        <v>-</v>
      </c>
      <c r="E93" s="3" t="str">
        <f>IFERROR(INDEX(Movimientos!$F$5:$F$2001,MATCH(A93&amp;"ENTRADA",Movimientos!$R$5:$R$2001,0)),"-")</f>
        <v>-</v>
      </c>
      <c r="F93" s="3" t="str">
        <f>IFERROR(INDEX(Movimientos!$G$5:$G$2001,MATCH(A93&amp;"ENTRADA",Movimientos!$R$5:$R$2001,0)),"-")</f>
        <v>-</v>
      </c>
      <c r="G93" s="3" t="str">
        <f>IFERROR(INDEX(Movimientos!$L$5:$L$2001,MATCH(A93&amp;"ENTRADA",Movimientos!$R$5:$R$2001,0)),"-")</f>
        <v>-</v>
      </c>
      <c r="H93" s="19" t="str">
        <f>IFERROR(IF(INDEX(Movimientos!$M$5:$M$2001,MATCH(A93&amp;"ENTRADA",Movimientos!$R$5:$R$2001,0))=0,"S/D",INDEX(Movimientos!$M$5:$M$2001,MATCH(A93&amp;"ENTRADA",Movimientos!$R$5:$R$2001,0))),"S/D")</f>
        <v>S/D</v>
      </c>
      <c r="I93" s="16" t="str">
        <f t="shared" ca="1" si="4"/>
        <v>S/D</v>
      </c>
      <c r="J93" s="6">
        <f>IF(A93="","",SUMIFS(Movimientos!$K:$K,Movimientos!$H:$H,A93))</f>
        <v>0</v>
      </c>
      <c r="K93" s="14" t="str">
        <f t="shared" ca="1" si="5"/>
        <v>OK</v>
      </c>
    </row>
    <row r="94" spans="1:11">
      <c r="A94" s="18" t="s">
        <v>2155</v>
      </c>
      <c r="B94" s="3" t="str">
        <f>IFERROR(INDEX(Movimientos!$C$5:$C$2001,MATCH(A94&amp;"ENTRADA",Movimientos!$R$5:$R$2001,0)),"-")</f>
        <v>-</v>
      </c>
      <c r="C94" s="3" t="str">
        <f>IFERROR(INDEX(Movimientos!$D$5:$D$2001,MATCH(A94&amp;"ENTRADA",Movimientos!$R$5:$R$2001,0)),"-")</f>
        <v>-</v>
      </c>
      <c r="D94" s="3" t="str">
        <f>IFERROR(INDEX(Movimientos!$E$5:$E$2001,MATCH(A94&amp;"ENTRADA",Movimientos!$R$5:$R$2001,0)),"-")</f>
        <v>-</v>
      </c>
      <c r="E94" s="3" t="str">
        <f>IFERROR(INDEX(Movimientos!$F$5:$F$2001,MATCH(A94&amp;"ENTRADA",Movimientos!$R$5:$R$2001,0)),"-")</f>
        <v>-</v>
      </c>
      <c r="F94" s="3" t="str">
        <f>IFERROR(INDEX(Movimientos!$G$5:$G$2001,MATCH(A94&amp;"ENTRADA",Movimientos!$R$5:$R$2001,0)),"-")</f>
        <v>-</v>
      </c>
      <c r="G94" s="3" t="str">
        <f>IFERROR(INDEX(Movimientos!$L$5:$L$2001,MATCH(A94&amp;"ENTRADA",Movimientos!$R$5:$R$2001,0)),"-")</f>
        <v>-</v>
      </c>
      <c r="H94" s="19" t="str">
        <f>IFERROR(IF(INDEX(Movimientos!$M$5:$M$2001,MATCH(A94&amp;"ENTRADA",Movimientos!$R$5:$R$2001,0))=0,"S/D",INDEX(Movimientos!$M$5:$M$2001,MATCH(A94&amp;"ENTRADA",Movimientos!$R$5:$R$2001,0))),"S/D")</f>
        <v>S/D</v>
      </c>
      <c r="I94" s="16" t="str">
        <f t="shared" ca="1" si="4"/>
        <v>S/D</v>
      </c>
      <c r="J94" s="6">
        <f>IF(A94="","",SUMIFS(Movimientos!$K:$K,Movimientos!$H:$H,A94))</f>
        <v>0</v>
      </c>
      <c r="K94" s="14" t="str">
        <f t="shared" ca="1" si="5"/>
        <v>OK</v>
      </c>
    </row>
    <row r="95" spans="1:11">
      <c r="A95" s="18" t="s">
        <v>2156</v>
      </c>
      <c r="B95" s="3" t="str">
        <f>IFERROR(INDEX(Movimientos!$C$5:$C$2001,MATCH(A95&amp;"ENTRADA",Movimientos!$R$5:$R$2001,0)),"-")</f>
        <v>-</v>
      </c>
      <c r="C95" s="3" t="str">
        <f>IFERROR(INDEX(Movimientos!$D$5:$D$2001,MATCH(A95&amp;"ENTRADA",Movimientos!$R$5:$R$2001,0)),"-")</f>
        <v>-</v>
      </c>
      <c r="D95" s="3" t="str">
        <f>IFERROR(INDEX(Movimientos!$E$5:$E$2001,MATCH(A95&amp;"ENTRADA",Movimientos!$R$5:$R$2001,0)),"-")</f>
        <v>-</v>
      </c>
      <c r="E95" s="3" t="str">
        <f>IFERROR(INDEX(Movimientos!$F$5:$F$2001,MATCH(A95&amp;"ENTRADA",Movimientos!$R$5:$R$2001,0)),"-")</f>
        <v>-</v>
      </c>
      <c r="F95" s="3" t="str">
        <f>IFERROR(INDEX(Movimientos!$G$5:$G$2001,MATCH(A95&amp;"ENTRADA",Movimientos!$R$5:$R$2001,0)),"-")</f>
        <v>-</v>
      </c>
      <c r="G95" s="3" t="str">
        <f>IFERROR(INDEX(Movimientos!$L$5:$L$2001,MATCH(A95&amp;"ENTRADA",Movimientos!$R$5:$R$2001,0)),"-")</f>
        <v>-</v>
      </c>
      <c r="H95" s="19" t="str">
        <f>IFERROR(IF(INDEX(Movimientos!$M$5:$M$2001,MATCH(A95&amp;"ENTRADA",Movimientos!$R$5:$R$2001,0))=0,"S/D",INDEX(Movimientos!$M$5:$M$2001,MATCH(A95&amp;"ENTRADA",Movimientos!$R$5:$R$2001,0))),"S/D")</f>
        <v>S/D</v>
      </c>
      <c r="I95" s="16" t="str">
        <f t="shared" ca="1" si="4"/>
        <v>S/D</v>
      </c>
      <c r="J95" s="6">
        <f>IF(A95="","",SUMIFS(Movimientos!$K:$K,Movimientos!$H:$H,A95))</f>
        <v>0</v>
      </c>
      <c r="K95" s="14" t="str">
        <f t="shared" ca="1" si="5"/>
        <v>OK</v>
      </c>
    </row>
    <row r="96" spans="1:11">
      <c r="A96" s="18" t="s">
        <v>2157</v>
      </c>
      <c r="B96" s="3" t="str">
        <f>IFERROR(INDEX(Movimientos!$C$5:$C$2001,MATCH(A96&amp;"ENTRADA",Movimientos!$R$5:$R$2001,0)),"-")</f>
        <v>-</v>
      </c>
      <c r="C96" s="3" t="str">
        <f>IFERROR(INDEX(Movimientos!$D$5:$D$2001,MATCH(A96&amp;"ENTRADA",Movimientos!$R$5:$R$2001,0)),"-")</f>
        <v>-</v>
      </c>
      <c r="D96" s="3" t="str">
        <f>IFERROR(INDEX(Movimientos!$E$5:$E$2001,MATCH(A96&amp;"ENTRADA",Movimientos!$R$5:$R$2001,0)),"-")</f>
        <v>-</v>
      </c>
      <c r="E96" s="3" t="str">
        <f>IFERROR(INDEX(Movimientos!$F$5:$F$2001,MATCH(A96&amp;"ENTRADA",Movimientos!$R$5:$R$2001,0)),"-")</f>
        <v>-</v>
      </c>
      <c r="F96" s="3" t="str">
        <f>IFERROR(INDEX(Movimientos!$G$5:$G$2001,MATCH(A96&amp;"ENTRADA",Movimientos!$R$5:$R$2001,0)),"-")</f>
        <v>-</v>
      </c>
      <c r="G96" s="3" t="str">
        <f>IFERROR(INDEX(Movimientos!$L$5:$L$2001,MATCH(A96&amp;"ENTRADA",Movimientos!$R$5:$R$2001,0)),"-")</f>
        <v>-</v>
      </c>
      <c r="H96" s="19" t="str">
        <f>IFERROR(IF(INDEX(Movimientos!$M$5:$M$2001,MATCH(A96&amp;"ENTRADA",Movimientos!$R$5:$R$2001,0))=0,"S/D",INDEX(Movimientos!$M$5:$M$2001,MATCH(A96&amp;"ENTRADA",Movimientos!$R$5:$R$2001,0))),"S/D")</f>
        <v>S/D</v>
      </c>
      <c r="I96" s="16" t="str">
        <f t="shared" ca="1" si="4"/>
        <v>S/D</v>
      </c>
      <c r="J96" s="6">
        <f>IF(A96="","",SUMIFS(Movimientos!$K:$K,Movimientos!$H:$H,A96))</f>
        <v>0</v>
      </c>
      <c r="K96" s="14" t="str">
        <f t="shared" ca="1" si="5"/>
        <v>OK</v>
      </c>
    </row>
    <row r="97" spans="1:11">
      <c r="A97" s="18" t="s">
        <v>2158</v>
      </c>
      <c r="B97" s="3" t="str">
        <f>IFERROR(INDEX(Movimientos!$C$5:$C$2001,MATCH(A97&amp;"ENTRADA",Movimientos!$R$5:$R$2001,0)),"-")</f>
        <v>-</v>
      </c>
      <c r="C97" s="3" t="str">
        <f>IFERROR(INDEX(Movimientos!$D$5:$D$2001,MATCH(A97&amp;"ENTRADA",Movimientos!$R$5:$R$2001,0)),"-")</f>
        <v>-</v>
      </c>
      <c r="D97" s="3" t="str">
        <f>IFERROR(INDEX(Movimientos!$E$5:$E$2001,MATCH(A97&amp;"ENTRADA",Movimientos!$R$5:$R$2001,0)),"-")</f>
        <v>-</v>
      </c>
      <c r="E97" s="3" t="str">
        <f>IFERROR(INDEX(Movimientos!$F$5:$F$2001,MATCH(A97&amp;"ENTRADA",Movimientos!$R$5:$R$2001,0)),"-")</f>
        <v>-</v>
      </c>
      <c r="F97" s="3" t="str">
        <f>IFERROR(INDEX(Movimientos!$G$5:$G$2001,MATCH(A97&amp;"ENTRADA",Movimientos!$R$5:$R$2001,0)),"-")</f>
        <v>-</v>
      </c>
      <c r="G97" s="3" t="str">
        <f>IFERROR(INDEX(Movimientos!$L$5:$L$2001,MATCH(A97&amp;"ENTRADA",Movimientos!$R$5:$R$2001,0)),"-")</f>
        <v>-</v>
      </c>
      <c r="H97" s="19" t="str">
        <f>IFERROR(IF(INDEX(Movimientos!$M$5:$M$2001,MATCH(A97&amp;"ENTRADA",Movimientos!$R$5:$R$2001,0))=0,"S/D",INDEX(Movimientos!$M$5:$M$2001,MATCH(A97&amp;"ENTRADA",Movimientos!$R$5:$R$2001,0))),"S/D")</f>
        <v>S/D</v>
      </c>
      <c r="I97" s="16" t="str">
        <f t="shared" ca="1" si="4"/>
        <v>S/D</v>
      </c>
      <c r="J97" s="6">
        <f>IF(A97="","",SUMIFS(Movimientos!$K:$K,Movimientos!$H:$H,A97))</f>
        <v>0</v>
      </c>
      <c r="K97" s="14" t="str">
        <f t="shared" ca="1" si="5"/>
        <v>OK</v>
      </c>
    </row>
    <row r="98" spans="1:11">
      <c r="A98" s="18" t="s">
        <v>2159</v>
      </c>
      <c r="B98" s="3" t="str">
        <f>IFERROR(INDEX(Movimientos!$C$5:$C$2001,MATCH(A98&amp;"ENTRADA",Movimientos!$R$5:$R$2001,0)),"-")</f>
        <v>-</v>
      </c>
      <c r="C98" s="3" t="str">
        <f>IFERROR(INDEX(Movimientos!$D$5:$D$2001,MATCH(A98&amp;"ENTRADA",Movimientos!$R$5:$R$2001,0)),"-")</f>
        <v>-</v>
      </c>
      <c r="D98" s="3" t="str">
        <f>IFERROR(INDEX(Movimientos!$E$5:$E$2001,MATCH(A98&amp;"ENTRADA",Movimientos!$R$5:$R$2001,0)),"-")</f>
        <v>-</v>
      </c>
      <c r="E98" s="3" t="str">
        <f>IFERROR(INDEX(Movimientos!$F$5:$F$2001,MATCH(A98&amp;"ENTRADA",Movimientos!$R$5:$R$2001,0)),"-")</f>
        <v>-</v>
      </c>
      <c r="F98" s="3" t="str">
        <f>IFERROR(INDEX(Movimientos!$G$5:$G$2001,MATCH(A98&amp;"ENTRADA",Movimientos!$R$5:$R$2001,0)),"-")</f>
        <v>-</v>
      </c>
      <c r="G98" s="3" t="str">
        <f>IFERROR(INDEX(Movimientos!$L$5:$L$2001,MATCH(A98&amp;"ENTRADA",Movimientos!$R$5:$R$2001,0)),"-")</f>
        <v>-</v>
      </c>
      <c r="H98" s="19" t="str">
        <f>IFERROR(IF(INDEX(Movimientos!$M$5:$M$2001,MATCH(A98&amp;"ENTRADA",Movimientos!$R$5:$R$2001,0))=0,"S/D",INDEX(Movimientos!$M$5:$M$2001,MATCH(A98&amp;"ENTRADA",Movimientos!$R$5:$R$2001,0))),"S/D")</f>
        <v>S/D</v>
      </c>
      <c r="I98" s="16" t="str">
        <f t="shared" ca="1" si="4"/>
        <v>S/D</v>
      </c>
      <c r="J98" s="6">
        <f>IF(A98="","",SUMIFS(Movimientos!$K:$K,Movimientos!$H:$H,A98))</f>
        <v>0</v>
      </c>
      <c r="K98" s="14" t="str">
        <f t="shared" ca="1" si="5"/>
        <v>OK</v>
      </c>
    </row>
    <row r="99" spans="1:11">
      <c r="A99" s="18" t="s">
        <v>2160</v>
      </c>
      <c r="B99" s="3" t="str">
        <f>IFERROR(INDEX(Movimientos!$C$5:$C$2001,MATCH(A99&amp;"ENTRADA",Movimientos!$R$5:$R$2001,0)),"-")</f>
        <v>-</v>
      </c>
      <c r="C99" s="3" t="str">
        <f>IFERROR(INDEX(Movimientos!$D$5:$D$2001,MATCH(A99&amp;"ENTRADA",Movimientos!$R$5:$R$2001,0)),"-")</f>
        <v>-</v>
      </c>
      <c r="D99" s="3" t="str">
        <f>IFERROR(INDEX(Movimientos!$E$5:$E$2001,MATCH(A99&amp;"ENTRADA",Movimientos!$R$5:$R$2001,0)),"-")</f>
        <v>-</v>
      </c>
      <c r="E99" s="3" t="str">
        <f>IFERROR(INDEX(Movimientos!$F$5:$F$2001,MATCH(A99&amp;"ENTRADA",Movimientos!$R$5:$R$2001,0)),"-")</f>
        <v>-</v>
      </c>
      <c r="F99" s="3" t="str">
        <f>IFERROR(INDEX(Movimientos!$G$5:$G$2001,MATCH(A99&amp;"ENTRADA",Movimientos!$R$5:$R$2001,0)),"-")</f>
        <v>-</v>
      </c>
      <c r="G99" s="3" t="str">
        <f>IFERROR(INDEX(Movimientos!$L$5:$L$2001,MATCH(A99&amp;"ENTRADA",Movimientos!$R$5:$R$2001,0)),"-")</f>
        <v>-</v>
      </c>
      <c r="H99" s="19" t="str">
        <f>IFERROR(IF(INDEX(Movimientos!$M$5:$M$2001,MATCH(A99&amp;"ENTRADA",Movimientos!$R$5:$R$2001,0))=0,"S/D",INDEX(Movimientos!$M$5:$M$2001,MATCH(A99&amp;"ENTRADA",Movimientos!$R$5:$R$2001,0))),"S/D")</f>
        <v>S/D</v>
      </c>
      <c r="I99" s="16" t="str">
        <f t="shared" ca="1" si="4"/>
        <v>S/D</v>
      </c>
      <c r="J99" s="6">
        <f>IF(A99="","",SUMIFS(Movimientos!$K:$K,Movimientos!$H:$H,A99))</f>
        <v>0</v>
      </c>
      <c r="K99" s="14" t="str">
        <f t="shared" ca="1" si="5"/>
        <v>OK</v>
      </c>
    </row>
    <row r="100" spans="1:11">
      <c r="A100" s="18" t="s">
        <v>2161</v>
      </c>
      <c r="B100" s="3" t="str">
        <f>IFERROR(INDEX(Movimientos!$C$5:$C$2001,MATCH(A100&amp;"ENTRADA",Movimientos!$R$5:$R$2001,0)),"-")</f>
        <v>-</v>
      </c>
      <c r="C100" s="3" t="str">
        <f>IFERROR(INDEX(Movimientos!$D$5:$D$2001,MATCH(A100&amp;"ENTRADA",Movimientos!$R$5:$R$2001,0)),"-")</f>
        <v>-</v>
      </c>
      <c r="D100" s="3" t="str">
        <f>IFERROR(INDEX(Movimientos!$E$5:$E$2001,MATCH(A100&amp;"ENTRADA",Movimientos!$R$5:$R$2001,0)),"-")</f>
        <v>-</v>
      </c>
      <c r="E100" s="3" t="str">
        <f>IFERROR(INDEX(Movimientos!$F$5:$F$2001,MATCH(A100&amp;"ENTRADA",Movimientos!$R$5:$R$2001,0)),"-")</f>
        <v>-</v>
      </c>
      <c r="F100" s="3" t="str">
        <f>IFERROR(INDEX(Movimientos!$G$5:$G$2001,MATCH(A100&amp;"ENTRADA",Movimientos!$R$5:$R$2001,0)),"-")</f>
        <v>-</v>
      </c>
      <c r="G100" s="3" t="str">
        <f>IFERROR(INDEX(Movimientos!$L$5:$L$2001,MATCH(A100&amp;"ENTRADA",Movimientos!$R$5:$R$2001,0)),"-")</f>
        <v>-</v>
      </c>
      <c r="H100" s="19" t="str">
        <f>IFERROR(IF(INDEX(Movimientos!$M$5:$M$2001,MATCH(A100&amp;"ENTRADA",Movimientos!$R$5:$R$2001,0))=0,"S/D",INDEX(Movimientos!$M$5:$M$2001,MATCH(A100&amp;"ENTRADA",Movimientos!$R$5:$R$2001,0))),"S/D")</f>
        <v>S/D</v>
      </c>
      <c r="I100" s="16" t="str">
        <f t="shared" ca="1" si="4"/>
        <v>S/D</v>
      </c>
      <c r="J100" s="6">
        <f>IF(A100="","",SUMIFS(Movimientos!$K:$K,Movimientos!$H:$H,A100))</f>
        <v>0</v>
      </c>
      <c r="K100" s="14" t="str">
        <f t="shared" ca="1" si="5"/>
        <v>OK</v>
      </c>
    </row>
    <row r="101" spans="1:11">
      <c r="A101" s="18" t="s">
        <v>2162</v>
      </c>
      <c r="B101" s="3" t="str">
        <f>IFERROR(INDEX(Movimientos!$C$5:$C$2001,MATCH(A101&amp;"ENTRADA",Movimientos!$R$5:$R$2001,0)),"-")</f>
        <v>-</v>
      </c>
      <c r="C101" s="3" t="str">
        <f>IFERROR(INDEX(Movimientos!$D$5:$D$2001,MATCH(A101&amp;"ENTRADA",Movimientos!$R$5:$R$2001,0)),"-")</f>
        <v>-</v>
      </c>
      <c r="D101" s="3" t="str">
        <f>IFERROR(INDEX(Movimientos!$E$5:$E$2001,MATCH(A101&amp;"ENTRADA",Movimientos!$R$5:$R$2001,0)),"-")</f>
        <v>-</v>
      </c>
      <c r="E101" s="3" t="str">
        <f>IFERROR(INDEX(Movimientos!$F$5:$F$2001,MATCH(A101&amp;"ENTRADA",Movimientos!$R$5:$R$2001,0)),"-")</f>
        <v>-</v>
      </c>
      <c r="F101" s="3" t="str">
        <f>IFERROR(INDEX(Movimientos!$G$5:$G$2001,MATCH(A101&amp;"ENTRADA",Movimientos!$R$5:$R$2001,0)),"-")</f>
        <v>-</v>
      </c>
      <c r="G101" s="3" t="str">
        <f>IFERROR(INDEX(Movimientos!$L$5:$L$2001,MATCH(A101&amp;"ENTRADA",Movimientos!$R$5:$R$2001,0)),"-")</f>
        <v>-</v>
      </c>
      <c r="H101" s="19" t="str">
        <f>IFERROR(IF(INDEX(Movimientos!$M$5:$M$2001,MATCH(A101&amp;"ENTRADA",Movimientos!$R$5:$R$2001,0))=0,"S/D",INDEX(Movimientos!$M$5:$M$2001,MATCH(A101&amp;"ENTRADA",Movimientos!$R$5:$R$2001,0))),"S/D")</f>
        <v>S/D</v>
      </c>
      <c r="I101" s="16" t="str">
        <f t="shared" ca="1" si="4"/>
        <v>S/D</v>
      </c>
      <c r="J101" s="6">
        <f>IF(A101="","",SUMIFS(Movimientos!$K:$K,Movimientos!$H:$H,A101))</f>
        <v>0</v>
      </c>
      <c r="K101" s="14" t="str">
        <f t="shared" ca="1" si="5"/>
        <v>OK</v>
      </c>
    </row>
    <row r="102" spans="1:11">
      <c r="A102" s="18" t="s">
        <v>2163</v>
      </c>
      <c r="B102" s="3" t="str">
        <f>IFERROR(INDEX(Movimientos!$C$5:$C$2001,MATCH(A102&amp;"ENTRADA",Movimientos!$R$5:$R$2001,0)),"-")</f>
        <v>-</v>
      </c>
      <c r="C102" s="3" t="str">
        <f>IFERROR(INDEX(Movimientos!$D$5:$D$2001,MATCH(A102&amp;"ENTRADA",Movimientos!$R$5:$R$2001,0)),"-")</f>
        <v>-</v>
      </c>
      <c r="D102" s="3" t="str">
        <f>IFERROR(INDEX(Movimientos!$E$5:$E$2001,MATCH(A102&amp;"ENTRADA",Movimientos!$R$5:$R$2001,0)),"-")</f>
        <v>-</v>
      </c>
      <c r="E102" s="3" t="str">
        <f>IFERROR(INDEX(Movimientos!$F$5:$F$2001,MATCH(A102&amp;"ENTRADA",Movimientos!$R$5:$R$2001,0)),"-")</f>
        <v>-</v>
      </c>
      <c r="F102" s="3" t="str">
        <f>IFERROR(INDEX(Movimientos!$G$5:$G$2001,MATCH(A102&amp;"ENTRADA",Movimientos!$R$5:$R$2001,0)),"-")</f>
        <v>-</v>
      </c>
      <c r="G102" s="3" t="str">
        <f>IFERROR(INDEX(Movimientos!$L$5:$L$2001,MATCH(A102&amp;"ENTRADA",Movimientos!$R$5:$R$2001,0)),"-")</f>
        <v>-</v>
      </c>
      <c r="H102" s="19" t="str">
        <f>IFERROR(IF(INDEX(Movimientos!$M$5:$M$2001,MATCH(A102&amp;"ENTRADA",Movimientos!$R$5:$R$2001,0))=0,"S/D",INDEX(Movimientos!$M$5:$M$2001,MATCH(A102&amp;"ENTRADA",Movimientos!$R$5:$R$2001,0))),"S/D")</f>
        <v>S/D</v>
      </c>
      <c r="I102" s="16" t="str">
        <f t="shared" ca="1" si="4"/>
        <v>S/D</v>
      </c>
      <c r="J102" s="6">
        <f>IF(A102="","",SUMIFS(Movimientos!$K:$K,Movimientos!$H:$H,A102))</f>
        <v>0</v>
      </c>
      <c r="K102" s="14" t="str">
        <f t="shared" ca="1" si="5"/>
        <v>OK</v>
      </c>
    </row>
    <row r="103" spans="1:11">
      <c r="A103" s="18" t="s">
        <v>2164</v>
      </c>
      <c r="B103" s="3" t="str">
        <f>IFERROR(INDEX(Movimientos!$C$5:$C$2001,MATCH(A103&amp;"ENTRADA",Movimientos!$R$5:$R$2001,0)),"-")</f>
        <v>-</v>
      </c>
      <c r="C103" s="3" t="str">
        <f>IFERROR(INDEX(Movimientos!$D$5:$D$2001,MATCH(A103&amp;"ENTRADA",Movimientos!$R$5:$R$2001,0)),"-")</f>
        <v>-</v>
      </c>
      <c r="D103" s="3" t="str">
        <f>IFERROR(INDEX(Movimientos!$E$5:$E$2001,MATCH(A103&amp;"ENTRADA",Movimientos!$R$5:$R$2001,0)),"-")</f>
        <v>-</v>
      </c>
      <c r="E103" s="3" t="str">
        <f>IFERROR(INDEX(Movimientos!$F$5:$F$2001,MATCH(A103&amp;"ENTRADA",Movimientos!$R$5:$R$2001,0)),"-")</f>
        <v>-</v>
      </c>
      <c r="F103" s="3" t="str">
        <f>IFERROR(INDEX(Movimientos!$G$5:$G$2001,MATCH(A103&amp;"ENTRADA",Movimientos!$R$5:$R$2001,0)),"-")</f>
        <v>-</v>
      </c>
      <c r="G103" s="3" t="str">
        <f>IFERROR(INDEX(Movimientos!$L$5:$L$2001,MATCH(A103&amp;"ENTRADA",Movimientos!$R$5:$R$2001,0)),"-")</f>
        <v>-</v>
      </c>
      <c r="H103" s="19" t="str">
        <f>IFERROR(IF(INDEX(Movimientos!$M$5:$M$2001,MATCH(A103&amp;"ENTRADA",Movimientos!$R$5:$R$2001,0))=0,"S/D",INDEX(Movimientos!$M$5:$M$2001,MATCH(A103&amp;"ENTRADA",Movimientos!$R$5:$R$2001,0))),"S/D")</f>
        <v>S/D</v>
      </c>
      <c r="I103" s="16" t="str">
        <f t="shared" ca="1" si="4"/>
        <v>S/D</v>
      </c>
      <c r="J103" s="6">
        <f>IF(A103="","",SUMIFS(Movimientos!$K:$K,Movimientos!$H:$H,A103))</f>
        <v>0</v>
      </c>
      <c r="K103" s="14" t="str">
        <f t="shared" ca="1" si="5"/>
        <v>OK</v>
      </c>
    </row>
    <row r="104" spans="1:11">
      <c r="A104" s="18" t="s">
        <v>2165</v>
      </c>
      <c r="B104" s="3" t="str">
        <f>IFERROR(INDEX(Movimientos!$C$5:$C$2001,MATCH(A104&amp;"ENTRADA",Movimientos!$R$5:$R$2001,0)),"-")</f>
        <v>-</v>
      </c>
      <c r="C104" s="3" t="str">
        <f>IFERROR(INDEX(Movimientos!$D$5:$D$2001,MATCH(A104&amp;"ENTRADA",Movimientos!$R$5:$R$2001,0)),"-")</f>
        <v>-</v>
      </c>
      <c r="D104" s="3" t="str">
        <f>IFERROR(INDEX(Movimientos!$E$5:$E$2001,MATCH(A104&amp;"ENTRADA",Movimientos!$R$5:$R$2001,0)),"-")</f>
        <v>-</v>
      </c>
      <c r="E104" s="3" t="str">
        <f>IFERROR(INDEX(Movimientos!$F$5:$F$2001,MATCH(A104&amp;"ENTRADA",Movimientos!$R$5:$R$2001,0)),"-")</f>
        <v>-</v>
      </c>
      <c r="F104" s="3" t="str">
        <f>IFERROR(INDEX(Movimientos!$G$5:$G$2001,MATCH(A104&amp;"ENTRADA",Movimientos!$R$5:$R$2001,0)),"-")</f>
        <v>-</v>
      </c>
      <c r="G104" s="3" t="str">
        <f>IFERROR(INDEX(Movimientos!$L$5:$L$2001,MATCH(A104&amp;"ENTRADA",Movimientos!$R$5:$R$2001,0)),"-")</f>
        <v>-</v>
      </c>
      <c r="H104" s="19" t="str">
        <f>IFERROR(IF(INDEX(Movimientos!$M$5:$M$2001,MATCH(A104&amp;"ENTRADA",Movimientos!$R$5:$R$2001,0))=0,"S/D",INDEX(Movimientos!$M$5:$M$2001,MATCH(A104&amp;"ENTRADA",Movimientos!$R$5:$R$2001,0))),"S/D")</f>
        <v>S/D</v>
      </c>
      <c r="I104" s="16" t="str">
        <f t="shared" ca="1" si="4"/>
        <v>S/D</v>
      </c>
      <c r="J104" s="6">
        <f>IF(A104="","",SUMIFS(Movimientos!$K:$K,Movimientos!$H:$H,A104))</f>
        <v>0</v>
      </c>
      <c r="K104" s="14" t="str">
        <f t="shared" ca="1" si="5"/>
        <v>OK</v>
      </c>
    </row>
    <row r="105" spans="1:11">
      <c r="A105" s="18" t="s">
        <v>2166</v>
      </c>
      <c r="B105" s="3" t="str">
        <f>IFERROR(INDEX(Movimientos!$C$5:$C$2001,MATCH(A105&amp;"ENTRADA",Movimientos!$R$5:$R$2001,0)),"-")</f>
        <v>-</v>
      </c>
      <c r="C105" s="3" t="str">
        <f>IFERROR(INDEX(Movimientos!$D$5:$D$2001,MATCH(A105&amp;"ENTRADA",Movimientos!$R$5:$R$2001,0)),"-")</f>
        <v>-</v>
      </c>
      <c r="D105" s="3" t="str">
        <f>IFERROR(INDEX(Movimientos!$E$5:$E$2001,MATCH(A105&amp;"ENTRADA",Movimientos!$R$5:$R$2001,0)),"-")</f>
        <v>-</v>
      </c>
      <c r="E105" s="3" t="str">
        <f>IFERROR(INDEX(Movimientos!$F$5:$F$2001,MATCH(A105&amp;"ENTRADA",Movimientos!$R$5:$R$2001,0)),"-")</f>
        <v>-</v>
      </c>
      <c r="F105" s="3" t="str">
        <f>IFERROR(INDEX(Movimientos!$G$5:$G$2001,MATCH(A105&amp;"ENTRADA",Movimientos!$R$5:$R$2001,0)),"-")</f>
        <v>-</v>
      </c>
      <c r="G105" s="3" t="str">
        <f>IFERROR(INDEX(Movimientos!$L$5:$L$2001,MATCH(A105&amp;"ENTRADA",Movimientos!$R$5:$R$2001,0)),"-")</f>
        <v>-</v>
      </c>
      <c r="H105" s="19" t="str">
        <f>IFERROR(IF(INDEX(Movimientos!$M$5:$M$2001,MATCH(A105&amp;"ENTRADA",Movimientos!$R$5:$R$2001,0))=0,"S/D",INDEX(Movimientos!$M$5:$M$2001,MATCH(A105&amp;"ENTRADA",Movimientos!$R$5:$R$2001,0))),"S/D")</f>
        <v>S/D</v>
      </c>
      <c r="I105" s="16" t="str">
        <f t="shared" ca="1" si="4"/>
        <v>S/D</v>
      </c>
      <c r="J105" s="6">
        <f>IF(A105="","",SUMIFS(Movimientos!$K:$K,Movimientos!$H:$H,A105))</f>
        <v>0</v>
      </c>
      <c r="K105" s="14" t="str">
        <f t="shared" ca="1" si="5"/>
        <v>OK</v>
      </c>
    </row>
    <row r="106" spans="1:11">
      <c r="A106" s="18" t="s">
        <v>2167</v>
      </c>
      <c r="B106" s="3" t="str">
        <f>IFERROR(INDEX(Movimientos!$C$5:$C$2001,MATCH(A106&amp;"ENTRADA",Movimientos!$R$5:$R$2001,0)),"-")</f>
        <v>-</v>
      </c>
      <c r="C106" s="3" t="str">
        <f>IFERROR(INDEX(Movimientos!$D$5:$D$2001,MATCH(A106&amp;"ENTRADA",Movimientos!$R$5:$R$2001,0)),"-")</f>
        <v>-</v>
      </c>
      <c r="D106" s="3" t="str">
        <f>IFERROR(INDEX(Movimientos!$E$5:$E$2001,MATCH(A106&amp;"ENTRADA",Movimientos!$R$5:$R$2001,0)),"-")</f>
        <v>-</v>
      </c>
      <c r="E106" s="3" t="str">
        <f>IFERROR(INDEX(Movimientos!$F$5:$F$2001,MATCH(A106&amp;"ENTRADA",Movimientos!$R$5:$R$2001,0)),"-")</f>
        <v>-</v>
      </c>
      <c r="F106" s="3" t="str">
        <f>IFERROR(INDEX(Movimientos!$G$5:$G$2001,MATCH(A106&amp;"ENTRADA",Movimientos!$R$5:$R$2001,0)),"-")</f>
        <v>-</v>
      </c>
      <c r="G106" s="3" t="str">
        <f>IFERROR(INDEX(Movimientos!$L$5:$L$2001,MATCH(A106&amp;"ENTRADA",Movimientos!$R$5:$R$2001,0)),"-")</f>
        <v>-</v>
      </c>
      <c r="H106" s="19" t="str">
        <f>IFERROR(IF(INDEX(Movimientos!$M$5:$M$2001,MATCH(A106&amp;"ENTRADA",Movimientos!$R$5:$R$2001,0))=0,"S/D",INDEX(Movimientos!$M$5:$M$2001,MATCH(A106&amp;"ENTRADA",Movimientos!$R$5:$R$2001,0))),"S/D")</f>
        <v>S/D</v>
      </c>
      <c r="I106" s="16" t="str">
        <f t="shared" ca="1" si="4"/>
        <v>S/D</v>
      </c>
      <c r="J106" s="6">
        <f>IF(A106="","",SUMIFS(Movimientos!$K:$K,Movimientos!$H:$H,A106))</f>
        <v>0</v>
      </c>
      <c r="K106" s="14" t="str">
        <f t="shared" ca="1" si="5"/>
        <v>OK</v>
      </c>
    </row>
    <row r="107" spans="1:11">
      <c r="A107" s="18" t="s">
        <v>2168</v>
      </c>
      <c r="B107" s="3" t="str">
        <f>IFERROR(INDEX(Movimientos!$C$5:$C$2001,MATCH(A107&amp;"ENTRADA",Movimientos!$R$5:$R$2001,0)),"-")</f>
        <v>-</v>
      </c>
      <c r="C107" s="3" t="str">
        <f>IFERROR(INDEX(Movimientos!$D$5:$D$2001,MATCH(A107&amp;"ENTRADA",Movimientos!$R$5:$R$2001,0)),"-")</f>
        <v>-</v>
      </c>
      <c r="D107" s="3" t="str">
        <f>IFERROR(INDEX(Movimientos!$E$5:$E$2001,MATCH(A107&amp;"ENTRADA",Movimientos!$R$5:$R$2001,0)),"-")</f>
        <v>-</v>
      </c>
      <c r="E107" s="3" t="str">
        <f>IFERROR(INDEX(Movimientos!$F$5:$F$2001,MATCH(A107&amp;"ENTRADA",Movimientos!$R$5:$R$2001,0)),"-")</f>
        <v>-</v>
      </c>
      <c r="F107" s="3" t="str">
        <f>IFERROR(INDEX(Movimientos!$G$5:$G$2001,MATCH(A107&amp;"ENTRADA",Movimientos!$R$5:$R$2001,0)),"-")</f>
        <v>-</v>
      </c>
      <c r="G107" s="3" t="str">
        <f>IFERROR(INDEX(Movimientos!$L$5:$L$2001,MATCH(A107&amp;"ENTRADA",Movimientos!$R$5:$R$2001,0)),"-")</f>
        <v>-</v>
      </c>
      <c r="H107" s="19" t="str">
        <f>IFERROR(IF(INDEX(Movimientos!$M$5:$M$2001,MATCH(A107&amp;"ENTRADA",Movimientos!$R$5:$R$2001,0))=0,"S/D",INDEX(Movimientos!$M$5:$M$2001,MATCH(A107&amp;"ENTRADA",Movimientos!$R$5:$R$2001,0))),"S/D")</f>
        <v>S/D</v>
      </c>
      <c r="I107" s="16" t="str">
        <f t="shared" ca="1" si="4"/>
        <v>S/D</v>
      </c>
      <c r="J107" s="6">
        <f>IF(A107="","",SUMIFS(Movimientos!$K:$K,Movimientos!$H:$H,A107))</f>
        <v>0</v>
      </c>
      <c r="K107" s="14" t="str">
        <f t="shared" ca="1" si="5"/>
        <v>OK</v>
      </c>
    </row>
    <row r="108" spans="1:11">
      <c r="A108" s="18" t="s">
        <v>2169</v>
      </c>
      <c r="B108" s="3" t="str">
        <f>IFERROR(INDEX(Movimientos!$C$5:$C$2001,MATCH(A108&amp;"ENTRADA",Movimientos!$R$5:$R$2001,0)),"-")</f>
        <v>-</v>
      </c>
      <c r="C108" s="3" t="str">
        <f>IFERROR(INDEX(Movimientos!$D$5:$D$2001,MATCH(A108&amp;"ENTRADA",Movimientos!$R$5:$R$2001,0)),"-")</f>
        <v>-</v>
      </c>
      <c r="D108" s="3" t="str">
        <f>IFERROR(INDEX(Movimientos!$E$5:$E$2001,MATCH(A108&amp;"ENTRADA",Movimientos!$R$5:$R$2001,0)),"-")</f>
        <v>-</v>
      </c>
      <c r="E108" s="3" t="str">
        <f>IFERROR(INDEX(Movimientos!$F$5:$F$2001,MATCH(A108&amp;"ENTRADA",Movimientos!$R$5:$R$2001,0)),"-")</f>
        <v>-</v>
      </c>
      <c r="F108" s="3" t="str">
        <f>IFERROR(INDEX(Movimientos!$G$5:$G$2001,MATCH(A108&amp;"ENTRADA",Movimientos!$R$5:$R$2001,0)),"-")</f>
        <v>-</v>
      </c>
      <c r="G108" s="3" t="str">
        <f>IFERROR(INDEX(Movimientos!$L$5:$L$2001,MATCH(A108&amp;"ENTRADA",Movimientos!$R$5:$R$2001,0)),"-")</f>
        <v>-</v>
      </c>
      <c r="H108" s="19" t="str">
        <f>IFERROR(IF(INDEX(Movimientos!$M$5:$M$2001,MATCH(A108&amp;"ENTRADA",Movimientos!$R$5:$R$2001,0))=0,"S/D",INDEX(Movimientos!$M$5:$M$2001,MATCH(A108&amp;"ENTRADA",Movimientos!$R$5:$R$2001,0))),"S/D")</f>
        <v>S/D</v>
      </c>
      <c r="I108" s="16" t="str">
        <f t="shared" ca="1" si="4"/>
        <v>S/D</v>
      </c>
      <c r="J108" s="6">
        <f>IF(A108="","",SUMIFS(Movimientos!$K:$K,Movimientos!$H:$H,A108))</f>
        <v>0</v>
      </c>
      <c r="K108" s="14" t="str">
        <f t="shared" ca="1" si="5"/>
        <v>OK</v>
      </c>
    </row>
    <row r="109" spans="1:11">
      <c r="A109" s="18" t="s">
        <v>2170</v>
      </c>
      <c r="B109" s="3" t="str">
        <f>IFERROR(INDEX(Movimientos!$C$5:$C$2001,MATCH(A109&amp;"ENTRADA",Movimientos!$R$5:$R$2001,0)),"-")</f>
        <v>-</v>
      </c>
      <c r="C109" s="3" t="str">
        <f>IFERROR(INDEX(Movimientos!$D$5:$D$2001,MATCH(A109&amp;"ENTRADA",Movimientos!$R$5:$R$2001,0)),"-")</f>
        <v>-</v>
      </c>
      <c r="D109" s="3" t="str">
        <f>IFERROR(INDEX(Movimientos!$E$5:$E$2001,MATCH(A109&amp;"ENTRADA",Movimientos!$R$5:$R$2001,0)),"-")</f>
        <v>-</v>
      </c>
      <c r="E109" s="3" t="str">
        <f>IFERROR(INDEX(Movimientos!$F$5:$F$2001,MATCH(A109&amp;"ENTRADA",Movimientos!$R$5:$R$2001,0)),"-")</f>
        <v>-</v>
      </c>
      <c r="F109" s="3" t="str">
        <f>IFERROR(INDEX(Movimientos!$G$5:$G$2001,MATCH(A109&amp;"ENTRADA",Movimientos!$R$5:$R$2001,0)),"-")</f>
        <v>-</v>
      </c>
      <c r="G109" s="3" t="str">
        <f>IFERROR(INDEX(Movimientos!$L$5:$L$2001,MATCH(A109&amp;"ENTRADA",Movimientos!$R$5:$R$2001,0)),"-")</f>
        <v>-</v>
      </c>
      <c r="H109" s="19" t="str">
        <f>IFERROR(IF(INDEX(Movimientos!$M$5:$M$2001,MATCH(A109&amp;"ENTRADA",Movimientos!$R$5:$R$2001,0))=0,"S/D",INDEX(Movimientos!$M$5:$M$2001,MATCH(A109&amp;"ENTRADA",Movimientos!$R$5:$R$2001,0))),"S/D")</f>
        <v>S/D</v>
      </c>
      <c r="I109" s="16" t="str">
        <f t="shared" ca="1" si="4"/>
        <v>S/D</v>
      </c>
      <c r="J109" s="6">
        <f>IF(A109="","",SUMIFS(Movimientos!$K:$K,Movimientos!$H:$H,A109))</f>
        <v>0</v>
      </c>
      <c r="K109" s="14" t="str">
        <f t="shared" ca="1" si="5"/>
        <v>OK</v>
      </c>
    </row>
    <row r="110" spans="1:11">
      <c r="A110" s="18" t="s">
        <v>2171</v>
      </c>
      <c r="B110" s="3" t="str">
        <f>IFERROR(INDEX(Movimientos!$C$5:$C$2001,MATCH(A110&amp;"ENTRADA",Movimientos!$R$5:$R$2001,0)),"-")</f>
        <v>-</v>
      </c>
      <c r="C110" s="3" t="str">
        <f>IFERROR(INDEX(Movimientos!$D$5:$D$2001,MATCH(A110&amp;"ENTRADA",Movimientos!$R$5:$R$2001,0)),"-")</f>
        <v>-</v>
      </c>
      <c r="D110" s="3" t="str">
        <f>IFERROR(INDEX(Movimientos!$E$5:$E$2001,MATCH(A110&amp;"ENTRADA",Movimientos!$R$5:$R$2001,0)),"-")</f>
        <v>-</v>
      </c>
      <c r="E110" s="3" t="str">
        <f>IFERROR(INDEX(Movimientos!$F$5:$F$2001,MATCH(A110&amp;"ENTRADA",Movimientos!$R$5:$R$2001,0)),"-")</f>
        <v>-</v>
      </c>
      <c r="F110" s="3" t="str">
        <f>IFERROR(INDEX(Movimientos!$G$5:$G$2001,MATCH(A110&amp;"ENTRADA",Movimientos!$R$5:$R$2001,0)),"-")</f>
        <v>-</v>
      </c>
      <c r="G110" s="3" t="str">
        <f>IFERROR(INDEX(Movimientos!$L$5:$L$2001,MATCH(A110&amp;"ENTRADA",Movimientos!$R$5:$R$2001,0)),"-")</f>
        <v>-</v>
      </c>
      <c r="H110" s="19" t="str">
        <f>IFERROR(IF(INDEX(Movimientos!$M$5:$M$2001,MATCH(A110&amp;"ENTRADA",Movimientos!$R$5:$R$2001,0))=0,"S/D",INDEX(Movimientos!$M$5:$M$2001,MATCH(A110&amp;"ENTRADA",Movimientos!$R$5:$R$2001,0))),"S/D")</f>
        <v>S/D</v>
      </c>
      <c r="I110" s="16" t="str">
        <f t="shared" ca="1" si="4"/>
        <v>S/D</v>
      </c>
      <c r="J110" s="6">
        <f>IF(A110="","",SUMIFS(Movimientos!$K:$K,Movimientos!$H:$H,A110))</f>
        <v>0</v>
      </c>
      <c r="K110" s="14" t="str">
        <f t="shared" ca="1" si="5"/>
        <v>OK</v>
      </c>
    </row>
    <row r="111" spans="1:11">
      <c r="A111" s="18" t="s">
        <v>2172</v>
      </c>
      <c r="B111" s="3" t="str">
        <f>IFERROR(INDEX(Movimientos!$C$5:$C$2001,MATCH(A111&amp;"ENTRADA",Movimientos!$R$5:$R$2001,0)),"-")</f>
        <v>-</v>
      </c>
      <c r="C111" s="3" t="str">
        <f>IFERROR(INDEX(Movimientos!$D$5:$D$2001,MATCH(A111&amp;"ENTRADA",Movimientos!$R$5:$R$2001,0)),"-")</f>
        <v>-</v>
      </c>
      <c r="D111" s="3" t="str">
        <f>IFERROR(INDEX(Movimientos!$E$5:$E$2001,MATCH(A111&amp;"ENTRADA",Movimientos!$R$5:$R$2001,0)),"-")</f>
        <v>-</v>
      </c>
      <c r="E111" s="3" t="str">
        <f>IFERROR(INDEX(Movimientos!$F$5:$F$2001,MATCH(A111&amp;"ENTRADA",Movimientos!$R$5:$R$2001,0)),"-")</f>
        <v>-</v>
      </c>
      <c r="F111" s="3" t="str">
        <f>IFERROR(INDEX(Movimientos!$G$5:$G$2001,MATCH(A111&amp;"ENTRADA",Movimientos!$R$5:$R$2001,0)),"-")</f>
        <v>-</v>
      </c>
      <c r="G111" s="3" t="str">
        <f>IFERROR(INDEX(Movimientos!$L$5:$L$2001,MATCH(A111&amp;"ENTRADA",Movimientos!$R$5:$R$2001,0)),"-")</f>
        <v>-</v>
      </c>
      <c r="H111" s="19" t="str">
        <f>IFERROR(IF(INDEX(Movimientos!$M$5:$M$2001,MATCH(A111&amp;"ENTRADA",Movimientos!$R$5:$R$2001,0))=0,"S/D",INDEX(Movimientos!$M$5:$M$2001,MATCH(A111&amp;"ENTRADA",Movimientos!$R$5:$R$2001,0))),"S/D")</f>
        <v>S/D</v>
      </c>
      <c r="I111" s="16" t="str">
        <f t="shared" ca="1" si="4"/>
        <v>S/D</v>
      </c>
      <c r="J111" s="6">
        <f>IF(A111="","",SUMIFS(Movimientos!$K:$K,Movimientos!$H:$H,A111))</f>
        <v>0</v>
      </c>
      <c r="K111" s="14" t="str">
        <f t="shared" ca="1" si="5"/>
        <v>OK</v>
      </c>
    </row>
    <row r="112" spans="1:11">
      <c r="A112" s="18" t="s">
        <v>2173</v>
      </c>
      <c r="B112" s="3" t="str">
        <f>IFERROR(INDEX(Movimientos!$C$5:$C$2001,MATCH(A112&amp;"ENTRADA",Movimientos!$R$5:$R$2001,0)),"-")</f>
        <v>-</v>
      </c>
      <c r="C112" s="3" t="str">
        <f>IFERROR(INDEX(Movimientos!$D$5:$D$2001,MATCH(A112&amp;"ENTRADA",Movimientos!$R$5:$R$2001,0)),"-")</f>
        <v>-</v>
      </c>
      <c r="D112" s="3" t="str">
        <f>IFERROR(INDEX(Movimientos!$E$5:$E$2001,MATCH(A112&amp;"ENTRADA",Movimientos!$R$5:$R$2001,0)),"-")</f>
        <v>-</v>
      </c>
      <c r="E112" s="3" t="str">
        <f>IFERROR(INDEX(Movimientos!$F$5:$F$2001,MATCH(A112&amp;"ENTRADA",Movimientos!$R$5:$R$2001,0)),"-")</f>
        <v>-</v>
      </c>
      <c r="F112" s="3" t="str">
        <f>IFERROR(INDEX(Movimientos!$G$5:$G$2001,MATCH(A112&amp;"ENTRADA",Movimientos!$R$5:$R$2001,0)),"-")</f>
        <v>-</v>
      </c>
      <c r="G112" s="3" t="str">
        <f>IFERROR(INDEX(Movimientos!$L$5:$L$2001,MATCH(A112&amp;"ENTRADA",Movimientos!$R$5:$R$2001,0)),"-")</f>
        <v>-</v>
      </c>
      <c r="H112" s="19" t="str">
        <f>IFERROR(IF(INDEX(Movimientos!$M$5:$M$2001,MATCH(A112&amp;"ENTRADA",Movimientos!$R$5:$R$2001,0))=0,"S/D",INDEX(Movimientos!$M$5:$M$2001,MATCH(A112&amp;"ENTRADA",Movimientos!$R$5:$R$2001,0))),"S/D")</f>
        <v>S/D</v>
      </c>
      <c r="I112" s="16" t="str">
        <f t="shared" ca="1" si="4"/>
        <v>S/D</v>
      </c>
      <c r="J112" s="6">
        <f>IF(A112="","",SUMIFS(Movimientos!$K:$K,Movimientos!$H:$H,A112))</f>
        <v>0</v>
      </c>
      <c r="K112" s="14" t="str">
        <f t="shared" ca="1" si="5"/>
        <v>OK</v>
      </c>
    </row>
    <row r="113" spans="1:11">
      <c r="A113" s="18" t="s">
        <v>2174</v>
      </c>
      <c r="B113" s="3" t="str">
        <f>IFERROR(INDEX(Movimientos!$C$5:$C$2001,MATCH(A113&amp;"ENTRADA",Movimientos!$R$5:$R$2001,0)),"-")</f>
        <v>-</v>
      </c>
      <c r="C113" s="3" t="str">
        <f>IFERROR(INDEX(Movimientos!$D$5:$D$2001,MATCH(A113&amp;"ENTRADA",Movimientos!$R$5:$R$2001,0)),"-")</f>
        <v>-</v>
      </c>
      <c r="D113" s="3" t="str">
        <f>IFERROR(INDEX(Movimientos!$E$5:$E$2001,MATCH(A113&amp;"ENTRADA",Movimientos!$R$5:$R$2001,0)),"-")</f>
        <v>-</v>
      </c>
      <c r="E113" s="3" t="str">
        <f>IFERROR(INDEX(Movimientos!$F$5:$F$2001,MATCH(A113&amp;"ENTRADA",Movimientos!$R$5:$R$2001,0)),"-")</f>
        <v>-</v>
      </c>
      <c r="F113" s="3" t="str">
        <f>IFERROR(INDEX(Movimientos!$G$5:$G$2001,MATCH(A113&amp;"ENTRADA",Movimientos!$R$5:$R$2001,0)),"-")</f>
        <v>-</v>
      </c>
      <c r="G113" s="3" t="str">
        <f>IFERROR(INDEX(Movimientos!$L$5:$L$2001,MATCH(A113&amp;"ENTRADA",Movimientos!$R$5:$R$2001,0)),"-")</f>
        <v>-</v>
      </c>
      <c r="H113" s="19" t="str">
        <f>IFERROR(IF(INDEX(Movimientos!$M$5:$M$2001,MATCH(A113&amp;"ENTRADA",Movimientos!$R$5:$R$2001,0))=0,"S/D",INDEX(Movimientos!$M$5:$M$2001,MATCH(A113&amp;"ENTRADA",Movimientos!$R$5:$R$2001,0))),"S/D")</f>
        <v>S/D</v>
      </c>
      <c r="I113" s="16" t="str">
        <f t="shared" ca="1" si="4"/>
        <v>S/D</v>
      </c>
      <c r="J113" s="6">
        <f>IF(A113="","",SUMIFS(Movimientos!$K:$K,Movimientos!$H:$H,A113))</f>
        <v>0</v>
      </c>
      <c r="K113" s="14" t="str">
        <f t="shared" ca="1" si="5"/>
        <v>OK</v>
      </c>
    </row>
    <row r="114" spans="1:11">
      <c r="A114" s="18" t="s">
        <v>2175</v>
      </c>
      <c r="B114" s="3" t="str">
        <f>IFERROR(INDEX(Movimientos!$C$5:$C$2001,MATCH(A114&amp;"ENTRADA",Movimientos!$R$5:$R$2001,0)),"-")</f>
        <v>-</v>
      </c>
      <c r="C114" s="3" t="str">
        <f>IFERROR(INDEX(Movimientos!$D$5:$D$2001,MATCH(A114&amp;"ENTRADA",Movimientos!$R$5:$R$2001,0)),"-")</f>
        <v>-</v>
      </c>
      <c r="D114" s="3" t="str">
        <f>IFERROR(INDEX(Movimientos!$E$5:$E$2001,MATCH(A114&amp;"ENTRADA",Movimientos!$R$5:$R$2001,0)),"-")</f>
        <v>-</v>
      </c>
      <c r="E114" s="3" t="str">
        <f>IFERROR(INDEX(Movimientos!$F$5:$F$2001,MATCH(A114&amp;"ENTRADA",Movimientos!$R$5:$R$2001,0)),"-")</f>
        <v>-</v>
      </c>
      <c r="F114" s="3" t="str">
        <f>IFERROR(INDEX(Movimientos!$G$5:$G$2001,MATCH(A114&amp;"ENTRADA",Movimientos!$R$5:$R$2001,0)),"-")</f>
        <v>-</v>
      </c>
      <c r="G114" s="3" t="str">
        <f>IFERROR(INDEX(Movimientos!$L$5:$L$2001,MATCH(A114&amp;"ENTRADA",Movimientos!$R$5:$R$2001,0)),"-")</f>
        <v>-</v>
      </c>
      <c r="H114" s="19" t="str">
        <f>IFERROR(IF(INDEX(Movimientos!$M$5:$M$2001,MATCH(A114&amp;"ENTRADA",Movimientos!$R$5:$R$2001,0))=0,"S/D",INDEX(Movimientos!$M$5:$M$2001,MATCH(A114&amp;"ENTRADA",Movimientos!$R$5:$R$2001,0))),"S/D")</f>
        <v>S/D</v>
      </c>
      <c r="I114" s="16" t="str">
        <f t="shared" ca="1" si="4"/>
        <v>S/D</v>
      </c>
      <c r="J114" s="6">
        <f>IF(A114="","",SUMIFS(Movimientos!$K:$K,Movimientos!$H:$H,A114))</f>
        <v>0</v>
      </c>
      <c r="K114" s="14" t="str">
        <f t="shared" ca="1" si="5"/>
        <v>OK</v>
      </c>
    </row>
    <row r="115" spans="1:11">
      <c r="A115" s="18" t="s">
        <v>2176</v>
      </c>
      <c r="B115" s="3" t="str">
        <f>IFERROR(INDEX(Movimientos!$C$5:$C$2001,MATCH(A115&amp;"ENTRADA",Movimientos!$R$5:$R$2001,0)),"-")</f>
        <v>-</v>
      </c>
      <c r="C115" s="3" t="str">
        <f>IFERROR(INDEX(Movimientos!$D$5:$D$2001,MATCH(A115&amp;"ENTRADA",Movimientos!$R$5:$R$2001,0)),"-")</f>
        <v>-</v>
      </c>
      <c r="D115" s="3" t="str">
        <f>IFERROR(INDEX(Movimientos!$E$5:$E$2001,MATCH(A115&amp;"ENTRADA",Movimientos!$R$5:$R$2001,0)),"-")</f>
        <v>-</v>
      </c>
      <c r="E115" s="3" t="str">
        <f>IFERROR(INDEX(Movimientos!$F$5:$F$2001,MATCH(A115&amp;"ENTRADA",Movimientos!$R$5:$R$2001,0)),"-")</f>
        <v>-</v>
      </c>
      <c r="F115" s="3" t="str">
        <f>IFERROR(INDEX(Movimientos!$G$5:$G$2001,MATCH(A115&amp;"ENTRADA",Movimientos!$R$5:$R$2001,0)),"-")</f>
        <v>-</v>
      </c>
      <c r="G115" s="3" t="str">
        <f>IFERROR(INDEX(Movimientos!$L$5:$L$2001,MATCH(A115&amp;"ENTRADA",Movimientos!$R$5:$R$2001,0)),"-")</f>
        <v>-</v>
      </c>
      <c r="H115" s="19" t="str">
        <f>IFERROR(IF(INDEX(Movimientos!$M$5:$M$2001,MATCH(A115&amp;"ENTRADA",Movimientos!$R$5:$R$2001,0))=0,"S/D",INDEX(Movimientos!$M$5:$M$2001,MATCH(A115&amp;"ENTRADA",Movimientos!$R$5:$R$2001,0))),"S/D")</f>
        <v>S/D</v>
      </c>
      <c r="I115" s="16" t="str">
        <f t="shared" ca="1" si="4"/>
        <v>S/D</v>
      </c>
      <c r="J115" s="6">
        <f>IF(A115="","",SUMIFS(Movimientos!$K:$K,Movimientos!$H:$H,A115))</f>
        <v>0</v>
      </c>
      <c r="K115" s="14" t="str">
        <f t="shared" ca="1" si="5"/>
        <v>OK</v>
      </c>
    </row>
    <row r="116" spans="1:11">
      <c r="A116" s="18" t="s">
        <v>2177</v>
      </c>
      <c r="B116" s="3" t="str">
        <f>IFERROR(INDEX(Movimientos!$C$5:$C$2001,MATCH(A116&amp;"ENTRADA",Movimientos!$R$5:$R$2001,0)),"-")</f>
        <v>-</v>
      </c>
      <c r="C116" s="3" t="str">
        <f>IFERROR(INDEX(Movimientos!$D$5:$D$2001,MATCH(A116&amp;"ENTRADA",Movimientos!$R$5:$R$2001,0)),"-")</f>
        <v>-</v>
      </c>
      <c r="D116" s="3" t="str">
        <f>IFERROR(INDEX(Movimientos!$E$5:$E$2001,MATCH(A116&amp;"ENTRADA",Movimientos!$R$5:$R$2001,0)),"-")</f>
        <v>-</v>
      </c>
      <c r="E116" s="3" t="str">
        <f>IFERROR(INDEX(Movimientos!$F$5:$F$2001,MATCH(A116&amp;"ENTRADA",Movimientos!$R$5:$R$2001,0)),"-")</f>
        <v>-</v>
      </c>
      <c r="F116" s="3" t="str">
        <f>IFERROR(INDEX(Movimientos!$G$5:$G$2001,MATCH(A116&amp;"ENTRADA",Movimientos!$R$5:$R$2001,0)),"-")</f>
        <v>-</v>
      </c>
      <c r="G116" s="3" t="str">
        <f>IFERROR(INDEX(Movimientos!$L$5:$L$2001,MATCH(A116&amp;"ENTRADA",Movimientos!$R$5:$R$2001,0)),"-")</f>
        <v>-</v>
      </c>
      <c r="H116" s="19" t="str">
        <f>IFERROR(IF(INDEX(Movimientos!$M$5:$M$2001,MATCH(A116&amp;"ENTRADA",Movimientos!$R$5:$R$2001,0))=0,"S/D",INDEX(Movimientos!$M$5:$M$2001,MATCH(A116&amp;"ENTRADA",Movimientos!$R$5:$R$2001,0))),"S/D")</f>
        <v>S/D</v>
      </c>
      <c r="I116" s="16" t="str">
        <f t="shared" ca="1" si="4"/>
        <v>S/D</v>
      </c>
      <c r="J116" s="6">
        <f>IF(A116="","",SUMIFS(Movimientos!$K:$K,Movimientos!$H:$H,A116))</f>
        <v>0</v>
      </c>
      <c r="K116" s="14" t="str">
        <f t="shared" ca="1" si="5"/>
        <v>OK</v>
      </c>
    </row>
    <row r="117" spans="1:11">
      <c r="A117" s="18" t="s">
        <v>2178</v>
      </c>
      <c r="B117" s="3" t="str">
        <f>IFERROR(INDEX(Movimientos!$C$5:$C$2001,MATCH(A117&amp;"ENTRADA",Movimientos!$R$5:$R$2001,0)),"-")</f>
        <v>-</v>
      </c>
      <c r="C117" s="3" t="str">
        <f>IFERROR(INDEX(Movimientos!$D$5:$D$2001,MATCH(A117&amp;"ENTRADA",Movimientos!$R$5:$R$2001,0)),"-")</f>
        <v>-</v>
      </c>
      <c r="D117" s="3" t="str">
        <f>IFERROR(INDEX(Movimientos!$E$5:$E$2001,MATCH(A117&amp;"ENTRADA",Movimientos!$R$5:$R$2001,0)),"-")</f>
        <v>-</v>
      </c>
      <c r="E117" s="3" t="str">
        <f>IFERROR(INDEX(Movimientos!$F$5:$F$2001,MATCH(A117&amp;"ENTRADA",Movimientos!$R$5:$R$2001,0)),"-")</f>
        <v>-</v>
      </c>
      <c r="F117" s="3" t="str">
        <f>IFERROR(INDEX(Movimientos!$G$5:$G$2001,MATCH(A117&amp;"ENTRADA",Movimientos!$R$5:$R$2001,0)),"-")</f>
        <v>-</v>
      </c>
      <c r="G117" s="3" t="str">
        <f>IFERROR(INDEX(Movimientos!$L$5:$L$2001,MATCH(A117&amp;"ENTRADA",Movimientos!$R$5:$R$2001,0)),"-")</f>
        <v>-</v>
      </c>
      <c r="H117" s="19" t="str">
        <f>IFERROR(IF(INDEX(Movimientos!$M$5:$M$2001,MATCH(A117&amp;"ENTRADA",Movimientos!$R$5:$R$2001,0))=0,"S/D",INDEX(Movimientos!$M$5:$M$2001,MATCH(A117&amp;"ENTRADA",Movimientos!$R$5:$R$2001,0))),"S/D")</f>
        <v>S/D</v>
      </c>
      <c r="I117" s="16" t="str">
        <f t="shared" ca="1" si="4"/>
        <v>S/D</v>
      </c>
      <c r="J117" s="6">
        <f>IF(A117="","",SUMIFS(Movimientos!$K:$K,Movimientos!$H:$H,A117))</f>
        <v>0</v>
      </c>
      <c r="K117" s="14" t="str">
        <f t="shared" ca="1" si="5"/>
        <v>OK</v>
      </c>
    </row>
    <row r="118" spans="1:11">
      <c r="A118" s="18" t="s">
        <v>2179</v>
      </c>
      <c r="B118" s="3" t="str">
        <f>IFERROR(INDEX(Movimientos!$C$5:$C$2001,MATCH(A118&amp;"ENTRADA",Movimientos!$R$5:$R$2001,0)),"-")</f>
        <v>-</v>
      </c>
      <c r="C118" s="3" t="str">
        <f>IFERROR(INDEX(Movimientos!$D$5:$D$2001,MATCH(A118&amp;"ENTRADA",Movimientos!$R$5:$R$2001,0)),"-")</f>
        <v>-</v>
      </c>
      <c r="D118" s="3" t="str">
        <f>IFERROR(INDEX(Movimientos!$E$5:$E$2001,MATCH(A118&amp;"ENTRADA",Movimientos!$R$5:$R$2001,0)),"-")</f>
        <v>-</v>
      </c>
      <c r="E118" s="3" t="str">
        <f>IFERROR(INDEX(Movimientos!$F$5:$F$2001,MATCH(A118&amp;"ENTRADA",Movimientos!$R$5:$R$2001,0)),"-")</f>
        <v>-</v>
      </c>
      <c r="F118" s="3" t="str">
        <f>IFERROR(INDEX(Movimientos!$G$5:$G$2001,MATCH(A118&amp;"ENTRADA",Movimientos!$R$5:$R$2001,0)),"-")</f>
        <v>-</v>
      </c>
      <c r="G118" s="3" t="str">
        <f>IFERROR(INDEX(Movimientos!$L$5:$L$2001,MATCH(A118&amp;"ENTRADA",Movimientos!$R$5:$R$2001,0)),"-")</f>
        <v>-</v>
      </c>
      <c r="H118" s="19" t="str">
        <f>IFERROR(IF(INDEX(Movimientos!$M$5:$M$2001,MATCH(A118&amp;"ENTRADA",Movimientos!$R$5:$R$2001,0))=0,"S/D",INDEX(Movimientos!$M$5:$M$2001,MATCH(A118&amp;"ENTRADA",Movimientos!$R$5:$R$2001,0))),"S/D")</f>
        <v>S/D</v>
      </c>
      <c r="I118" s="16" t="str">
        <f t="shared" ca="1" si="4"/>
        <v>S/D</v>
      </c>
      <c r="J118" s="6">
        <f>IF(A118="","",SUMIFS(Movimientos!$K:$K,Movimientos!$H:$H,A118))</f>
        <v>0</v>
      </c>
      <c r="K118" s="14" t="str">
        <f t="shared" ca="1" si="5"/>
        <v>OK</v>
      </c>
    </row>
    <row r="119" spans="1:11">
      <c r="A119" s="18" t="s">
        <v>2180</v>
      </c>
      <c r="B119" s="3" t="str">
        <f>IFERROR(INDEX(Movimientos!$C$5:$C$2001,MATCH(A119&amp;"ENTRADA",Movimientos!$R$5:$R$2001,0)),"-")</f>
        <v>-</v>
      </c>
      <c r="C119" s="3" t="str">
        <f>IFERROR(INDEX(Movimientos!$D$5:$D$2001,MATCH(A119&amp;"ENTRADA",Movimientos!$R$5:$R$2001,0)),"-")</f>
        <v>-</v>
      </c>
      <c r="D119" s="3" t="str">
        <f>IFERROR(INDEX(Movimientos!$E$5:$E$2001,MATCH(A119&amp;"ENTRADA",Movimientos!$R$5:$R$2001,0)),"-")</f>
        <v>-</v>
      </c>
      <c r="E119" s="3" t="str">
        <f>IFERROR(INDEX(Movimientos!$F$5:$F$2001,MATCH(A119&amp;"ENTRADA",Movimientos!$R$5:$R$2001,0)),"-")</f>
        <v>-</v>
      </c>
      <c r="F119" s="3" t="str">
        <f>IFERROR(INDEX(Movimientos!$G$5:$G$2001,MATCH(A119&amp;"ENTRADA",Movimientos!$R$5:$R$2001,0)),"-")</f>
        <v>-</v>
      </c>
      <c r="G119" s="3" t="str">
        <f>IFERROR(INDEX(Movimientos!$L$5:$L$2001,MATCH(A119&amp;"ENTRADA",Movimientos!$R$5:$R$2001,0)),"-")</f>
        <v>-</v>
      </c>
      <c r="H119" s="19" t="str">
        <f>IFERROR(IF(INDEX(Movimientos!$M$5:$M$2001,MATCH(A119&amp;"ENTRADA",Movimientos!$R$5:$R$2001,0))=0,"S/D",INDEX(Movimientos!$M$5:$M$2001,MATCH(A119&amp;"ENTRADA",Movimientos!$R$5:$R$2001,0))),"S/D")</f>
        <v>S/D</v>
      </c>
      <c r="I119" s="16" t="str">
        <f t="shared" ca="1" si="4"/>
        <v>S/D</v>
      </c>
      <c r="J119" s="6">
        <f>IF(A119="","",SUMIFS(Movimientos!$K:$K,Movimientos!$H:$H,A119))</f>
        <v>0</v>
      </c>
      <c r="K119" s="14" t="str">
        <f t="shared" ca="1" si="5"/>
        <v>OK</v>
      </c>
    </row>
    <row r="120" spans="1:11">
      <c r="A120" s="18" t="s">
        <v>2181</v>
      </c>
      <c r="B120" s="3" t="str">
        <f>IFERROR(INDEX(Movimientos!$C$5:$C$2001,MATCH(A120&amp;"ENTRADA",Movimientos!$R$5:$R$2001,0)),"-")</f>
        <v>-</v>
      </c>
      <c r="C120" s="3" t="str">
        <f>IFERROR(INDEX(Movimientos!$D$5:$D$2001,MATCH(A120&amp;"ENTRADA",Movimientos!$R$5:$R$2001,0)),"-")</f>
        <v>-</v>
      </c>
      <c r="D120" s="3" t="str">
        <f>IFERROR(INDEX(Movimientos!$E$5:$E$2001,MATCH(A120&amp;"ENTRADA",Movimientos!$R$5:$R$2001,0)),"-")</f>
        <v>-</v>
      </c>
      <c r="E120" s="3" t="str">
        <f>IFERROR(INDEX(Movimientos!$F$5:$F$2001,MATCH(A120&amp;"ENTRADA",Movimientos!$R$5:$R$2001,0)),"-")</f>
        <v>-</v>
      </c>
      <c r="F120" s="3" t="str">
        <f>IFERROR(INDEX(Movimientos!$G$5:$G$2001,MATCH(A120&amp;"ENTRADA",Movimientos!$R$5:$R$2001,0)),"-")</f>
        <v>-</v>
      </c>
      <c r="G120" s="3" t="str">
        <f>IFERROR(INDEX(Movimientos!$L$5:$L$2001,MATCH(A120&amp;"ENTRADA",Movimientos!$R$5:$R$2001,0)),"-")</f>
        <v>-</v>
      </c>
      <c r="H120" s="19" t="str">
        <f>IFERROR(IF(INDEX(Movimientos!$M$5:$M$2001,MATCH(A120&amp;"ENTRADA",Movimientos!$R$5:$R$2001,0))=0,"S/D",INDEX(Movimientos!$M$5:$M$2001,MATCH(A120&amp;"ENTRADA",Movimientos!$R$5:$R$2001,0))),"S/D")</f>
        <v>S/D</v>
      </c>
      <c r="I120" s="16" t="str">
        <f t="shared" ca="1" si="4"/>
        <v>S/D</v>
      </c>
      <c r="J120" s="6">
        <f>IF(A120="","",SUMIFS(Movimientos!$K:$K,Movimientos!$H:$H,A120))</f>
        <v>0</v>
      </c>
      <c r="K120" s="14" t="str">
        <f t="shared" ca="1" si="5"/>
        <v>OK</v>
      </c>
    </row>
    <row r="121" spans="1:11">
      <c r="A121" s="18" t="s">
        <v>2182</v>
      </c>
      <c r="B121" s="3" t="str">
        <f>IFERROR(INDEX(Movimientos!$C$5:$C$2001,MATCH(A121&amp;"ENTRADA",Movimientos!$R$5:$R$2001,0)),"-")</f>
        <v>-</v>
      </c>
      <c r="C121" s="3" t="str">
        <f>IFERROR(INDEX(Movimientos!$D$5:$D$2001,MATCH(A121&amp;"ENTRADA",Movimientos!$R$5:$R$2001,0)),"-")</f>
        <v>-</v>
      </c>
      <c r="D121" s="3" t="str">
        <f>IFERROR(INDEX(Movimientos!$E$5:$E$2001,MATCH(A121&amp;"ENTRADA",Movimientos!$R$5:$R$2001,0)),"-")</f>
        <v>-</v>
      </c>
      <c r="E121" s="3" t="str">
        <f>IFERROR(INDEX(Movimientos!$F$5:$F$2001,MATCH(A121&amp;"ENTRADA",Movimientos!$R$5:$R$2001,0)),"-")</f>
        <v>-</v>
      </c>
      <c r="F121" s="3" t="str">
        <f>IFERROR(INDEX(Movimientos!$G$5:$G$2001,MATCH(A121&amp;"ENTRADA",Movimientos!$R$5:$R$2001,0)),"-")</f>
        <v>-</v>
      </c>
      <c r="G121" s="3" t="str">
        <f>IFERROR(INDEX(Movimientos!$L$5:$L$2001,MATCH(A121&amp;"ENTRADA",Movimientos!$R$5:$R$2001,0)),"-")</f>
        <v>-</v>
      </c>
      <c r="H121" s="19" t="str">
        <f>IFERROR(IF(INDEX(Movimientos!$M$5:$M$2001,MATCH(A121&amp;"ENTRADA",Movimientos!$R$5:$R$2001,0))=0,"S/D",INDEX(Movimientos!$M$5:$M$2001,MATCH(A121&amp;"ENTRADA",Movimientos!$R$5:$R$2001,0))),"S/D")</f>
        <v>S/D</v>
      </c>
      <c r="I121" s="16" t="str">
        <f t="shared" ca="1" si="4"/>
        <v>S/D</v>
      </c>
      <c r="J121" s="6">
        <f>IF(A121="","",SUMIFS(Movimientos!$K:$K,Movimientos!$H:$H,A121))</f>
        <v>0</v>
      </c>
      <c r="K121" s="14" t="str">
        <f t="shared" ca="1" si="5"/>
        <v>OK</v>
      </c>
    </row>
    <row r="122" spans="1:11">
      <c r="A122" s="18" t="s">
        <v>2183</v>
      </c>
      <c r="B122" s="3" t="str">
        <f>IFERROR(INDEX(Movimientos!$C$5:$C$2001,MATCH(A122&amp;"ENTRADA",Movimientos!$R$5:$R$2001,0)),"-")</f>
        <v>-</v>
      </c>
      <c r="C122" s="3" t="str">
        <f>IFERROR(INDEX(Movimientos!$D$5:$D$2001,MATCH(A122&amp;"ENTRADA",Movimientos!$R$5:$R$2001,0)),"-")</f>
        <v>-</v>
      </c>
      <c r="D122" s="3" t="str">
        <f>IFERROR(INDEX(Movimientos!$E$5:$E$2001,MATCH(A122&amp;"ENTRADA",Movimientos!$R$5:$R$2001,0)),"-")</f>
        <v>-</v>
      </c>
      <c r="E122" s="3" t="str">
        <f>IFERROR(INDEX(Movimientos!$F$5:$F$2001,MATCH(A122&amp;"ENTRADA",Movimientos!$R$5:$R$2001,0)),"-")</f>
        <v>-</v>
      </c>
      <c r="F122" s="3" t="str">
        <f>IFERROR(INDEX(Movimientos!$G$5:$G$2001,MATCH(A122&amp;"ENTRADA",Movimientos!$R$5:$R$2001,0)),"-")</f>
        <v>-</v>
      </c>
      <c r="G122" s="3" t="str">
        <f>IFERROR(INDEX(Movimientos!$L$5:$L$2001,MATCH(A122&amp;"ENTRADA",Movimientos!$R$5:$R$2001,0)),"-")</f>
        <v>-</v>
      </c>
      <c r="H122" s="19" t="str">
        <f>IFERROR(IF(INDEX(Movimientos!$M$5:$M$2001,MATCH(A122&amp;"ENTRADA",Movimientos!$R$5:$R$2001,0))=0,"S/D",INDEX(Movimientos!$M$5:$M$2001,MATCH(A122&amp;"ENTRADA",Movimientos!$R$5:$R$2001,0))),"S/D")</f>
        <v>S/D</v>
      </c>
      <c r="I122" s="16" t="str">
        <f t="shared" ca="1" si="4"/>
        <v>S/D</v>
      </c>
      <c r="J122" s="6">
        <f>IF(A122="","",SUMIFS(Movimientos!$K:$K,Movimientos!$H:$H,A122))</f>
        <v>0</v>
      </c>
      <c r="K122" s="14" t="str">
        <f t="shared" ca="1" si="5"/>
        <v>OK</v>
      </c>
    </row>
    <row r="123" spans="1:11">
      <c r="A123" s="18" t="s">
        <v>2184</v>
      </c>
      <c r="B123" s="3" t="str">
        <f>IFERROR(INDEX(Movimientos!$C$5:$C$2001,MATCH(A123&amp;"ENTRADA",Movimientos!$R$5:$R$2001,0)),"-")</f>
        <v>-</v>
      </c>
      <c r="C123" s="3" t="str">
        <f>IFERROR(INDEX(Movimientos!$D$5:$D$2001,MATCH(A123&amp;"ENTRADA",Movimientos!$R$5:$R$2001,0)),"-")</f>
        <v>-</v>
      </c>
      <c r="D123" s="3" t="str">
        <f>IFERROR(INDEX(Movimientos!$E$5:$E$2001,MATCH(A123&amp;"ENTRADA",Movimientos!$R$5:$R$2001,0)),"-")</f>
        <v>-</v>
      </c>
      <c r="E123" s="3" t="str">
        <f>IFERROR(INDEX(Movimientos!$F$5:$F$2001,MATCH(A123&amp;"ENTRADA",Movimientos!$R$5:$R$2001,0)),"-")</f>
        <v>-</v>
      </c>
      <c r="F123" s="3" t="str">
        <f>IFERROR(INDEX(Movimientos!$G$5:$G$2001,MATCH(A123&amp;"ENTRADA",Movimientos!$R$5:$R$2001,0)),"-")</f>
        <v>-</v>
      </c>
      <c r="G123" s="3" t="str">
        <f>IFERROR(INDEX(Movimientos!$L$5:$L$2001,MATCH(A123&amp;"ENTRADA",Movimientos!$R$5:$R$2001,0)),"-")</f>
        <v>-</v>
      </c>
      <c r="H123" s="19" t="str">
        <f>IFERROR(IF(INDEX(Movimientos!$M$5:$M$2001,MATCH(A123&amp;"ENTRADA",Movimientos!$R$5:$R$2001,0))=0,"S/D",INDEX(Movimientos!$M$5:$M$2001,MATCH(A123&amp;"ENTRADA",Movimientos!$R$5:$R$2001,0))),"S/D")</f>
        <v>S/D</v>
      </c>
      <c r="I123" s="16" t="str">
        <f t="shared" ca="1" si="4"/>
        <v>S/D</v>
      </c>
      <c r="J123" s="6">
        <f>IF(A123="","",SUMIFS(Movimientos!$K:$K,Movimientos!$H:$H,A123))</f>
        <v>0</v>
      </c>
      <c r="K123" s="14" t="str">
        <f t="shared" ca="1" si="5"/>
        <v>OK</v>
      </c>
    </row>
    <row r="124" spans="1:11">
      <c r="A124" s="18" t="s">
        <v>2185</v>
      </c>
      <c r="B124" s="3" t="str">
        <f>IFERROR(INDEX(Movimientos!$C$5:$C$2001,MATCH(A124&amp;"ENTRADA",Movimientos!$R$5:$R$2001,0)),"-")</f>
        <v>-</v>
      </c>
      <c r="C124" s="3" t="str">
        <f>IFERROR(INDEX(Movimientos!$D$5:$D$2001,MATCH(A124&amp;"ENTRADA",Movimientos!$R$5:$R$2001,0)),"-")</f>
        <v>-</v>
      </c>
      <c r="D124" s="3" t="str">
        <f>IFERROR(INDEX(Movimientos!$E$5:$E$2001,MATCH(A124&amp;"ENTRADA",Movimientos!$R$5:$R$2001,0)),"-")</f>
        <v>-</v>
      </c>
      <c r="E124" s="3" t="str">
        <f>IFERROR(INDEX(Movimientos!$F$5:$F$2001,MATCH(A124&amp;"ENTRADA",Movimientos!$R$5:$R$2001,0)),"-")</f>
        <v>-</v>
      </c>
      <c r="F124" s="3" t="str">
        <f>IFERROR(INDEX(Movimientos!$G$5:$G$2001,MATCH(A124&amp;"ENTRADA",Movimientos!$R$5:$R$2001,0)),"-")</f>
        <v>-</v>
      </c>
      <c r="G124" s="3" t="str">
        <f>IFERROR(INDEX(Movimientos!$L$5:$L$2001,MATCH(A124&amp;"ENTRADA",Movimientos!$R$5:$R$2001,0)),"-")</f>
        <v>-</v>
      </c>
      <c r="H124" s="19" t="str">
        <f>IFERROR(IF(INDEX(Movimientos!$M$5:$M$2001,MATCH(A124&amp;"ENTRADA",Movimientos!$R$5:$R$2001,0))=0,"S/D",INDEX(Movimientos!$M$5:$M$2001,MATCH(A124&amp;"ENTRADA",Movimientos!$R$5:$R$2001,0))),"S/D")</f>
        <v>S/D</v>
      </c>
      <c r="I124" s="16" t="str">
        <f t="shared" ca="1" si="4"/>
        <v>S/D</v>
      </c>
      <c r="J124" s="6">
        <f>IF(A124="","",SUMIFS(Movimientos!$K:$K,Movimientos!$H:$H,A124))</f>
        <v>0</v>
      </c>
      <c r="K124" s="14" t="str">
        <f t="shared" ca="1" si="5"/>
        <v>OK</v>
      </c>
    </row>
    <row r="125" spans="1:11">
      <c r="A125" s="18" t="s">
        <v>2186</v>
      </c>
      <c r="B125" s="3" t="str">
        <f>IFERROR(INDEX(Movimientos!$C$5:$C$2001,MATCH(A125&amp;"ENTRADA",Movimientos!$R$5:$R$2001,0)),"-")</f>
        <v>-</v>
      </c>
      <c r="C125" s="3" t="str">
        <f>IFERROR(INDEX(Movimientos!$D$5:$D$2001,MATCH(A125&amp;"ENTRADA",Movimientos!$R$5:$R$2001,0)),"-")</f>
        <v>-</v>
      </c>
      <c r="D125" s="3" t="str">
        <f>IFERROR(INDEX(Movimientos!$E$5:$E$2001,MATCH(A125&amp;"ENTRADA",Movimientos!$R$5:$R$2001,0)),"-")</f>
        <v>-</v>
      </c>
      <c r="E125" s="3" t="str">
        <f>IFERROR(INDEX(Movimientos!$F$5:$F$2001,MATCH(A125&amp;"ENTRADA",Movimientos!$R$5:$R$2001,0)),"-")</f>
        <v>-</v>
      </c>
      <c r="F125" s="3" t="str">
        <f>IFERROR(INDEX(Movimientos!$G$5:$G$2001,MATCH(A125&amp;"ENTRADA",Movimientos!$R$5:$R$2001,0)),"-")</f>
        <v>-</v>
      </c>
      <c r="G125" s="3" t="str">
        <f>IFERROR(INDEX(Movimientos!$L$5:$L$2001,MATCH(A125&amp;"ENTRADA",Movimientos!$R$5:$R$2001,0)),"-")</f>
        <v>-</v>
      </c>
      <c r="H125" s="19" t="str">
        <f>IFERROR(IF(INDEX(Movimientos!$M$5:$M$2001,MATCH(A125&amp;"ENTRADA",Movimientos!$R$5:$R$2001,0))=0,"S/D",INDEX(Movimientos!$M$5:$M$2001,MATCH(A125&amp;"ENTRADA",Movimientos!$R$5:$R$2001,0))),"S/D")</f>
        <v>S/D</v>
      </c>
      <c r="I125" s="16" t="str">
        <f t="shared" ca="1" si="4"/>
        <v>S/D</v>
      </c>
      <c r="J125" s="6">
        <f>IF(A125="","",SUMIFS(Movimientos!$K:$K,Movimientos!$H:$H,A125))</f>
        <v>0</v>
      </c>
      <c r="K125" s="14" t="str">
        <f t="shared" ca="1" si="5"/>
        <v>OK</v>
      </c>
    </row>
    <row r="126" spans="1:11">
      <c r="A126" s="18" t="s">
        <v>2187</v>
      </c>
      <c r="B126" s="3" t="str">
        <f>IFERROR(INDEX(Movimientos!$C$5:$C$2001,MATCH(A126&amp;"ENTRADA",Movimientos!$R$5:$R$2001,0)),"-")</f>
        <v>-</v>
      </c>
      <c r="C126" s="3" t="str">
        <f>IFERROR(INDEX(Movimientos!$D$5:$D$2001,MATCH(A126&amp;"ENTRADA",Movimientos!$R$5:$R$2001,0)),"-")</f>
        <v>-</v>
      </c>
      <c r="D126" s="3" t="str">
        <f>IFERROR(INDEX(Movimientos!$E$5:$E$2001,MATCH(A126&amp;"ENTRADA",Movimientos!$R$5:$R$2001,0)),"-")</f>
        <v>-</v>
      </c>
      <c r="E126" s="3" t="str">
        <f>IFERROR(INDEX(Movimientos!$F$5:$F$2001,MATCH(A126&amp;"ENTRADA",Movimientos!$R$5:$R$2001,0)),"-")</f>
        <v>-</v>
      </c>
      <c r="F126" s="3" t="str">
        <f>IFERROR(INDEX(Movimientos!$G$5:$G$2001,MATCH(A126&amp;"ENTRADA",Movimientos!$R$5:$R$2001,0)),"-")</f>
        <v>-</v>
      </c>
      <c r="G126" s="3" t="str">
        <f>IFERROR(INDEX(Movimientos!$L$5:$L$2001,MATCH(A126&amp;"ENTRADA",Movimientos!$R$5:$R$2001,0)),"-")</f>
        <v>-</v>
      </c>
      <c r="H126" s="19" t="str">
        <f>IFERROR(IF(INDEX(Movimientos!$M$5:$M$2001,MATCH(A126&amp;"ENTRADA",Movimientos!$R$5:$R$2001,0))=0,"S/D",INDEX(Movimientos!$M$5:$M$2001,MATCH(A126&amp;"ENTRADA",Movimientos!$R$5:$R$2001,0))),"S/D")</f>
        <v>S/D</v>
      </c>
      <c r="I126" s="16" t="str">
        <f t="shared" ca="1" si="4"/>
        <v>S/D</v>
      </c>
      <c r="J126" s="6">
        <f>IF(A126="","",SUMIFS(Movimientos!$K:$K,Movimientos!$H:$H,A126))</f>
        <v>0</v>
      </c>
      <c r="K126" s="14" t="str">
        <f t="shared" ca="1" si="5"/>
        <v>OK</v>
      </c>
    </row>
    <row r="127" spans="1:11">
      <c r="A127" s="18" t="s">
        <v>2188</v>
      </c>
      <c r="B127" s="3" t="str">
        <f>IFERROR(INDEX(Movimientos!$C$5:$C$2001,MATCH(A127&amp;"ENTRADA",Movimientos!$R$5:$R$2001,0)),"-")</f>
        <v>-</v>
      </c>
      <c r="C127" s="3" t="str">
        <f>IFERROR(INDEX(Movimientos!$D$5:$D$2001,MATCH(A127&amp;"ENTRADA",Movimientos!$R$5:$R$2001,0)),"-")</f>
        <v>-</v>
      </c>
      <c r="D127" s="3" t="str">
        <f>IFERROR(INDEX(Movimientos!$E$5:$E$2001,MATCH(A127&amp;"ENTRADA",Movimientos!$R$5:$R$2001,0)),"-")</f>
        <v>-</v>
      </c>
      <c r="E127" s="3" t="str">
        <f>IFERROR(INDEX(Movimientos!$F$5:$F$2001,MATCH(A127&amp;"ENTRADA",Movimientos!$R$5:$R$2001,0)),"-")</f>
        <v>-</v>
      </c>
      <c r="F127" s="3" t="str">
        <f>IFERROR(INDEX(Movimientos!$G$5:$G$2001,MATCH(A127&amp;"ENTRADA",Movimientos!$R$5:$R$2001,0)),"-")</f>
        <v>-</v>
      </c>
      <c r="G127" s="3" t="str">
        <f>IFERROR(INDEX(Movimientos!$L$5:$L$2001,MATCH(A127&amp;"ENTRADA",Movimientos!$R$5:$R$2001,0)),"-")</f>
        <v>-</v>
      </c>
      <c r="H127" s="19" t="str">
        <f>IFERROR(IF(INDEX(Movimientos!$M$5:$M$2001,MATCH(A127&amp;"ENTRADA",Movimientos!$R$5:$R$2001,0))=0,"S/D",INDEX(Movimientos!$M$5:$M$2001,MATCH(A127&amp;"ENTRADA",Movimientos!$R$5:$R$2001,0))),"S/D")</f>
        <v>S/D</v>
      </c>
      <c r="I127" s="16" t="str">
        <f t="shared" ca="1" si="4"/>
        <v>S/D</v>
      </c>
      <c r="J127" s="6">
        <f>IF(A127="","",SUMIFS(Movimientos!$K:$K,Movimientos!$H:$H,A127))</f>
        <v>0</v>
      </c>
      <c r="K127" s="14" t="str">
        <f t="shared" ca="1" si="5"/>
        <v>OK</v>
      </c>
    </row>
    <row r="128" spans="1:11">
      <c r="A128" s="18" t="s">
        <v>2189</v>
      </c>
      <c r="B128" s="3" t="str">
        <f>IFERROR(INDEX(Movimientos!$C$5:$C$2001,MATCH(A128&amp;"ENTRADA",Movimientos!$R$5:$R$2001,0)),"-")</f>
        <v>-</v>
      </c>
      <c r="C128" s="3" t="str">
        <f>IFERROR(INDEX(Movimientos!$D$5:$D$2001,MATCH(A128&amp;"ENTRADA",Movimientos!$R$5:$R$2001,0)),"-")</f>
        <v>-</v>
      </c>
      <c r="D128" s="3" t="str">
        <f>IFERROR(INDEX(Movimientos!$E$5:$E$2001,MATCH(A128&amp;"ENTRADA",Movimientos!$R$5:$R$2001,0)),"-")</f>
        <v>-</v>
      </c>
      <c r="E128" s="3" t="str">
        <f>IFERROR(INDEX(Movimientos!$F$5:$F$2001,MATCH(A128&amp;"ENTRADA",Movimientos!$R$5:$R$2001,0)),"-")</f>
        <v>-</v>
      </c>
      <c r="F128" s="3" t="str">
        <f>IFERROR(INDEX(Movimientos!$G$5:$G$2001,MATCH(A128&amp;"ENTRADA",Movimientos!$R$5:$R$2001,0)),"-")</f>
        <v>-</v>
      </c>
      <c r="G128" s="3" t="str">
        <f>IFERROR(INDEX(Movimientos!$L$5:$L$2001,MATCH(A128&amp;"ENTRADA",Movimientos!$R$5:$R$2001,0)),"-")</f>
        <v>-</v>
      </c>
      <c r="H128" s="19" t="str">
        <f>IFERROR(IF(INDEX(Movimientos!$M$5:$M$2001,MATCH(A128&amp;"ENTRADA",Movimientos!$R$5:$R$2001,0))=0,"S/D",INDEX(Movimientos!$M$5:$M$2001,MATCH(A128&amp;"ENTRADA",Movimientos!$R$5:$R$2001,0))),"S/D")</f>
        <v>S/D</v>
      </c>
      <c r="I128" s="16" t="str">
        <f t="shared" ca="1" si="4"/>
        <v>S/D</v>
      </c>
      <c r="J128" s="6">
        <f>IF(A128="","",SUMIFS(Movimientos!$K:$K,Movimientos!$H:$H,A128))</f>
        <v>0</v>
      </c>
      <c r="K128" s="14" t="str">
        <f t="shared" ca="1" si="5"/>
        <v>OK</v>
      </c>
    </row>
    <row r="129" spans="1:11">
      <c r="A129" s="18" t="s">
        <v>2190</v>
      </c>
      <c r="B129" s="3" t="str">
        <f>IFERROR(INDEX(Movimientos!$C$5:$C$2001,MATCH(A129&amp;"ENTRADA",Movimientos!$R$5:$R$2001,0)),"-")</f>
        <v>-</v>
      </c>
      <c r="C129" s="3" t="str">
        <f>IFERROR(INDEX(Movimientos!$D$5:$D$2001,MATCH(A129&amp;"ENTRADA",Movimientos!$R$5:$R$2001,0)),"-")</f>
        <v>-</v>
      </c>
      <c r="D129" s="3" t="str">
        <f>IFERROR(INDEX(Movimientos!$E$5:$E$2001,MATCH(A129&amp;"ENTRADA",Movimientos!$R$5:$R$2001,0)),"-")</f>
        <v>-</v>
      </c>
      <c r="E129" s="3" t="str">
        <f>IFERROR(INDEX(Movimientos!$F$5:$F$2001,MATCH(A129&amp;"ENTRADA",Movimientos!$R$5:$R$2001,0)),"-")</f>
        <v>-</v>
      </c>
      <c r="F129" s="3" t="str">
        <f>IFERROR(INDEX(Movimientos!$G$5:$G$2001,MATCH(A129&amp;"ENTRADA",Movimientos!$R$5:$R$2001,0)),"-")</f>
        <v>-</v>
      </c>
      <c r="G129" s="3" t="str">
        <f>IFERROR(INDEX(Movimientos!$L$5:$L$2001,MATCH(A129&amp;"ENTRADA",Movimientos!$R$5:$R$2001,0)),"-")</f>
        <v>-</v>
      </c>
      <c r="H129" s="19" t="str">
        <f>IFERROR(IF(INDEX(Movimientos!$M$5:$M$2001,MATCH(A129&amp;"ENTRADA",Movimientos!$R$5:$R$2001,0))=0,"S/D",INDEX(Movimientos!$M$5:$M$2001,MATCH(A129&amp;"ENTRADA",Movimientos!$R$5:$R$2001,0))),"S/D")</f>
        <v>S/D</v>
      </c>
      <c r="I129" s="16" t="str">
        <f t="shared" ca="1" si="4"/>
        <v>S/D</v>
      </c>
      <c r="J129" s="6">
        <f>IF(A129="","",SUMIFS(Movimientos!$K:$K,Movimientos!$H:$H,A129))</f>
        <v>0</v>
      </c>
      <c r="K129" s="14" t="str">
        <f t="shared" ca="1" si="5"/>
        <v>OK</v>
      </c>
    </row>
    <row r="130" spans="1:11">
      <c r="A130" s="18" t="s">
        <v>2191</v>
      </c>
      <c r="B130" s="3" t="str">
        <f>IFERROR(INDEX(Movimientos!$C$5:$C$2001,MATCH(A130&amp;"ENTRADA",Movimientos!$R$5:$R$2001,0)),"-")</f>
        <v>-</v>
      </c>
      <c r="C130" s="3" t="str">
        <f>IFERROR(INDEX(Movimientos!$D$5:$D$2001,MATCH(A130&amp;"ENTRADA",Movimientos!$R$5:$R$2001,0)),"-")</f>
        <v>-</v>
      </c>
      <c r="D130" s="3" t="str">
        <f>IFERROR(INDEX(Movimientos!$E$5:$E$2001,MATCH(A130&amp;"ENTRADA",Movimientos!$R$5:$R$2001,0)),"-")</f>
        <v>-</v>
      </c>
      <c r="E130" s="3" t="str">
        <f>IFERROR(INDEX(Movimientos!$F$5:$F$2001,MATCH(A130&amp;"ENTRADA",Movimientos!$R$5:$R$2001,0)),"-")</f>
        <v>-</v>
      </c>
      <c r="F130" s="3" t="str">
        <f>IFERROR(INDEX(Movimientos!$G$5:$G$2001,MATCH(A130&amp;"ENTRADA",Movimientos!$R$5:$R$2001,0)),"-")</f>
        <v>-</v>
      </c>
      <c r="G130" s="3" t="str">
        <f>IFERROR(INDEX(Movimientos!$L$5:$L$2001,MATCH(A130&amp;"ENTRADA",Movimientos!$R$5:$R$2001,0)),"-")</f>
        <v>-</v>
      </c>
      <c r="H130" s="19" t="str">
        <f>IFERROR(IF(INDEX(Movimientos!$M$5:$M$2001,MATCH(A130&amp;"ENTRADA",Movimientos!$R$5:$R$2001,0))=0,"S/D",INDEX(Movimientos!$M$5:$M$2001,MATCH(A130&amp;"ENTRADA",Movimientos!$R$5:$R$2001,0))),"S/D")</f>
        <v>S/D</v>
      </c>
      <c r="I130" s="16" t="str">
        <f t="shared" ca="1" si="4"/>
        <v>S/D</v>
      </c>
      <c r="J130" s="6">
        <f>IF(A130="","",SUMIFS(Movimientos!$K:$K,Movimientos!$H:$H,A130))</f>
        <v>0</v>
      </c>
      <c r="K130" s="14" t="str">
        <f t="shared" ca="1" si="5"/>
        <v>OK</v>
      </c>
    </row>
    <row r="131" spans="1:11">
      <c r="A131" s="18" t="s">
        <v>2192</v>
      </c>
      <c r="B131" s="3" t="str">
        <f>IFERROR(INDEX(Movimientos!$C$5:$C$2001,MATCH(A131&amp;"ENTRADA",Movimientos!$R$5:$R$2001,0)),"-")</f>
        <v>-</v>
      </c>
      <c r="C131" s="3" t="str">
        <f>IFERROR(INDEX(Movimientos!$D$5:$D$2001,MATCH(A131&amp;"ENTRADA",Movimientos!$R$5:$R$2001,0)),"-")</f>
        <v>-</v>
      </c>
      <c r="D131" s="3" t="str">
        <f>IFERROR(INDEX(Movimientos!$E$5:$E$2001,MATCH(A131&amp;"ENTRADA",Movimientos!$R$5:$R$2001,0)),"-")</f>
        <v>-</v>
      </c>
      <c r="E131" s="3" t="str">
        <f>IFERROR(INDEX(Movimientos!$F$5:$F$2001,MATCH(A131&amp;"ENTRADA",Movimientos!$R$5:$R$2001,0)),"-")</f>
        <v>-</v>
      </c>
      <c r="F131" s="3" t="str">
        <f>IFERROR(INDEX(Movimientos!$G$5:$G$2001,MATCH(A131&amp;"ENTRADA",Movimientos!$R$5:$R$2001,0)),"-")</f>
        <v>-</v>
      </c>
      <c r="G131" s="3" t="str">
        <f>IFERROR(INDEX(Movimientos!$L$5:$L$2001,MATCH(A131&amp;"ENTRADA",Movimientos!$R$5:$R$2001,0)),"-")</f>
        <v>-</v>
      </c>
      <c r="H131" s="19" t="str">
        <f>IFERROR(IF(INDEX(Movimientos!$M$5:$M$2001,MATCH(A131&amp;"ENTRADA",Movimientos!$R$5:$R$2001,0))=0,"S/D",INDEX(Movimientos!$M$5:$M$2001,MATCH(A131&amp;"ENTRADA",Movimientos!$R$5:$R$2001,0))),"S/D")</f>
        <v>S/D</v>
      </c>
      <c r="I131" s="16" t="str">
        <f t="shared" ca="1" si="4"/>
        <v>S/D</v>
      </c>
      <c r="J131" s="6">
        <f>IF(A131="","",SUMIFS(Movimientos!$K:$K,Movimientos!$H:$H,A131))</f>
        <v>0</v>
      </c>
      <c r="K131" s="14" t="str">
        <f t="shared" ca="1" si="5"/>
        <v>OK</v>
      </c>
    </row>
    <row r="132" spans="1:11">
      <c r="A132" s="18" t="s">
        <v>2193</v>
      </c>
      <c r="B132" s="3" t="str">
        <f>IFERROR(INDEX(Movimientos!$C$5:$C$2001,MATCH(A132&amp;"ENTRADA",Movimientos!$R$5:$R$2001,0)),"-")</f>
        <v>-</v>
      </c>
      <c r="C132" s="3" t="str">
        <f>IFERROR(INDEX(Movimientos!$D$5:$D$2001,MATCH(A132&amp;"ENTRADA",Movimientos!$R$5:$R$2001,0)),"-")</f>
        <v>-</v>
      </c>
      <c r="D132" s="3" t="str">
        <f>IFERROR(INDEX(Movimientos!$E$5:$E$2001,MATCH(A132&amp;"ENTRADA",Movimientos!$R$5:$R$2001,0)),"-")</f>
        <v>-</v>
      </c>
      <c r="E132" s="3" t="str">
        <f>IFERROR(INDEX(Movimientos!$F$5:$F$2001,MATCH(A132&amp;"ENTRADA",Movimientos!$R$5:$R$2001,0)),"-")</f>
        <v>-</v>
      </c>
      <c r="F132" s="3" t="str">
        <f>IFERROR(INDEX(Movimientos!$G$5:$G$2001,MATCH(A132&amp;"ENTRADA",Movimientos!$R$5:$R$2001,0)),"-")</f>
        <v>-</v>
      </c>
      <c r="G132" s="3" t="str">
        <f>IFERROR(INDEX(Movimientos!$L$5:$L$2001,MATCH(A132&amp;"ENTRADA",Movimientos!$R$5:$R$2001,0)),"-")</f>
        <v>-</v>
      </c>
      <c r="H132" s="19" t="str">
        <f>IFERROR(IF(INDEX(Movimientos!$M$5:$M$2001,MATCH(A132&amp;"ENTRADA",Movimientos!$R$5:$R$2001,0))=0,"S/D",INDEX(Movimientos!$M$5:$M$2001,MATCH(A132&amp;"ENTRADA",Movimientos!$R$5:$R$2001,0))),"S/D")</f>
        <v>S/D</v>
      </c>
      <c r="I132" s="16" t="str">
        <f t="shared" ca="1" si="4"/>
        <v>S/D</v>
      </c>
      <c r="J132" s="6">
        <f>IF(A132="","",SUMIFS(Movimientos!$K:$K,Movimientos!$H:$H,A132))</f>
        <v>0</v>
      </c>
      <c r="K132" s="14" t="str">
        <f t="shared" ca="1" si="5"/>
        <v>OK</v>
      </c>
    </row>
    <row r="133" spans="1:11">
      <c r="A133" s="18" t="s">
        <v>2194</v>
      </c>
      <c r="B133" s="3" t="str">
        <f>IFERROR(INDEX(Movimientos!$C$5:$C$2001,MATCH(A133&amp;"ENTRADA",Movimientos!$R$5:$R$2001,0)),"-")</f>
        <v>-</v>
      </c>
      <c r="C133" s="3" t="str">
        <f>IFERROR(INDEX(Movimientos!$D$5:$D$2001,MATCH(A133&amp;"ENTRADA",Movimientos!$R$5:$R$2001,0)),"-")</f>
        <v>-</v>
      </c>
      <c r="D133" s="3" t="str">
        <f>IFERROR(INDEX(Movimientos!$E$5:$E$2001,MATCH(A133&amp;"ENTRADA",Movimientos!$R$5:$R$2001,0)),"-")</f>
        <v>-</v>
      </c>
      <c r="E133" s="3" t="str">
        <f>IFERROR(INDEX(Movimientos!$F$5:$F$2001,MATCH(A133&amp;"ENTRADA",Movimientos!$R$5:$R$2001,0)),"-")</f>
        <v>-</v>
      </c>
      <c r="F133" s="3" t="str">
        <f>IFERROR(INDEX(Movimientos!$G$5:$G$2001,MATCH(A133&amp;"ENTRADA",Movimientos!$R$5:$R$2001,0)),"-")</f>
        <v>-</v>
      </c>
      <c r="G133" s="3" t="str">
        <f>IFERROR(INDEX(Movimientos!$L$5:$L$2001,MATCH(A133&amp;"ENTRADA",Movimientos!$R$5:$R$2001,0)),"-")</f>
        <v>-</v>
      </c>
      <c r="H133" s="19" t="str">
        <f>IFERROR(IF(INDEX(Movimientos!$M$5:$M$2001,MATCH(A133&amp;"ENTRADA",Movimientos!$R$5:$R$2001,0))=0,"S/D",INDEX(Movimientos!$M$5:$M$2001,MATCH(A133&amp;"ENTRADA",Movimientos!$R$5:$R$2001,0))),"S/D")</f>
        <v>S/D</v>
      </c>
      <c r="I133" s="16" t="str">
        <f t="shared" ca="1" si="4"/>
        <v>S/D</v>
      </c>
      <c r="J133" s="6">
        <f>IF(A133="","",SUMIFS(Movimientos!$K:$K,Movimientos!$H:$H,A133))</f>
        <v>0</v>
      </c>
      <c r="K133" s="14" t="str">
        <f t="shared" ca="1" si="5"/>
        <v>OK</v>
      </c>
    </row>
    <row r="134" spans="1:11">
      <c r="A134" s="18" t="s">
        <v>2195</v>
      </c>
      <c r="B134" s="3" t="str">
        <f>IFERROR(INDEX(Movimientos!$C$5:$C$2001,MATCH(A134&amp;"ENTRADA",Movimientos!$R$5:$R$2001,0)),"-")</f>
        <v>-</v>
      </c>
      <c r="C134" s="3" t="str">
        <f>IFERROR(INDEX(Movimientos!$D$5:$D$2001,MATCH(A134&amp;"ENTRADA",Movimientos!$R$5:$R$2001,0)),"-")</f>
        <v>-</v>
      </c>
      <c r="D134" s="3" t="str">
        <f>IFERROR(INDEX(Movimientos!$E$5:$E$2001,MATCH(A134&amp;"ENTRADA",Movimientos!$R$5:$R$2001,0)),"-")</f>
        <v>-</v>
      </c>
      <c r="E134" s="3" t="str">
        <f>IFERROR(INDEX(Movimientos!$F$5:$F$2001,MATCH(A134&amp;"ENTRADA",Movimientos!$R$5:$R$2001,0)),"-")</f>
        <v>-</v>
      </c>
      <c r="F134" s="3" t="str">
        <f>IFERROR(INDEX(Movimientos!$G$5:$G$2001,MATCH(A134&amp;"ENTRADA",Movimientos!$R$5:$R$2001,0)),"-")</f>
        <v>-</v>
      </c>
      <c r="G134" s="3" t="str">
        <f>IFERROR(INDEX(Movimientos!$L$5:$L$2001,MATCH(A134&amp;"ENTRADA",Movimientos!$R$5:$R$2001,0)),"-")</f>
        <v>-</v>
      </c>
      <c r="H134" s="19" t="str">
        <f>IFERROR(IF(INDEX(Movimientos!$M$5:$M$2001,MATCH(A134&amp;"ENTRADA",Movimientos!$R$5:$R$2001,0))=0,"S/D",INDEX(Movimientos!$M$5:$M$2001,MATCH(A134&amp;"ENTRADA",Movimientos!$R$5:$R$2001,0))),"S/D")</f>
        <v>S/D</v>
      </c>
      <c r="I134" s="16" t="str">
        <f t="shared" ca="1" si="4"/>
        <v>S/D</v>
      </c>
      <c r="J134" s="6">
        <f>IF(A134="","",SUMIFS(Movimientos!$K:$K,Movimientos!$H:$H,A134))</f>
        <v>0</v>
      </c>
      <c r="K134" s="14" t="str">
        <f t="shared" ca="1" si="5"/>
        <v>OK</v>
      </c>
    </row>
    <row r="135" spans="1:11">
      <c r="A135" s="18" t="s">
        <v>2196</v>
      </c>
      <c r="B135" s="3" t="str">
        <f>IFERROR(INDEX(Movimientos!$C$5:$C$2001,MATCH(A135&amp;"ENTRADA",Movimientos!$R$5:$R$2001,0)),"-")</f>
        <v>-</v>
      </c>
      <c r="C135" s="3" t="str">
        <f>IFERROR(INDEX(Movimientos!$D$5:$D$2001,MATCH(A135&amp;"ENTRADA",Movimientos!$R$5:$R$2001,0)),"-")</f>
        <v>-</v>
      </c>
      <c r="D135" s="3" t="str">
        <f>IFERROR(INDEX(Movimientos!$E$5:$E$2001,MATCH(A135&amp;"ENTRADA",Movimientos!$R$5:$R$2001,0)),"-")</f>
        <v>-</v>
      </c>
      <c r="E135" s="3" t="str">
        <f>IFERROR(INDEX(Movimientos!$F$5:$F$2001,MATCH(A135&amp;"ENTRADA",Movimientos!$R$5:$R$2001,0)),"-")</f>
        <v>-</v>
      </c>
      <c r="F135" s="3" t="str">
        <f>IFERROR(INDEX(Movimientos!$G$5:$G$2001,MATCH(A135&amp;"ENTRADA",Movimientos!$R$5:$R$2001,0)),"-")</f>
        <v>-</v>
      </c>
      <c r="G135" s="3" t="str">
        <f>IFERROR(INDEX(Movimientos!$L$5:$L$2001,MATCH(A135&amp;"ENTRADA",Movimientos!$R$5:$R$2001,0)),"-")</f>
        <v>-</v>
      </c>
      <c r="H135" s="19" t="str">
        <f>IFERROR(IF(INDEX(Movimientos!$M$5:$M$2001,MATCH(A135&amp;"ENTRADA",Movimientos!$R$5:$R$2001,0))=0,"S/D",INDEX(Movimientos!$M$5:$M$2001,MATCH(A135&amp;"ENTRADA",Movimientos!$R$5:$R$2001,0))),"S/D")</f>
        <v>S/D</v>
      </c>
      <c r="I135" s="16" t="str">
        <f t="shared" ca="1" si="4"/>
        <v>S/D</v>
      </c>
      <c r="J135" s="6">
        <f>IF(A135="","",SUMIFS(Movimientos!$K:$K,Movimientos!$H:$H,A135))</f>
        <v>0</v>
      </c>
      <c r="K135" s="14" t="str">
        <f t="shared" ca="1" si="5"/>
        <v>OK</v>
      </c>
    </row>
    <row r="136" spans="1:11">
      <c r="A136" s="18" t="s">
        <v>2197</v>
      </c>
      <c r="B136" s="3" t="str">
        <f>IFERROR(INDEX(Movimientos!$C$5:$C$2001,MATCH(A136&amp;"ENTRADA",Movimientos!$R$5:$R$2001,0)),"-")</f>
        <v>-</v>
      </c>
      <c r="C136" s="3" t="str">
        <f>IFERROR(INDEX(Movimientos!$D$5:$D$2001,MATCH(A136&amp;"ENTRADA",Movimientos!$R$5:$R$2001,0)),"-")</f>
        <v>-</v>
      </c>
      <c r="D136" s="3" t="str">
        <f>IFERROR(INDEX(Movimientos!$E$5:$E$2001,MATCH(A136&amp;"ENTRADA",Movimientos!$R$5:$R$2001,0)),"-")</f>
        <v>-</v>
      </c>
      <c r="E136" s="3" t="str">
        <f>IFERROR(INDEX(Movimientos!$F$5:$F$2001,MATCH(A136&amp;"ENTRADA",Movimientos!$R$5:$R$2001,0)),"-")</f>
        <v>-</v>
      </c>
      <c r="F136" s="3" t="str">
        <f>IFERROR(INDEX(Movimientos!$G$5:$G$2001,MATCH(A136&amp;"ENTRADA",Movimientos!$R$5:$R$2001,0)),"-")</f>
        <v>-</v>
      </c>
      <c r="G136" s="3" t="str">
        <f>IFERROR(INDEX(Movimientos!$L$5:$L$2001,MATCH(A136&amp;"ENTRADA",Movimientos!$R$5:$R$2001,0)),"-")</f>
        <v>-</v>
      </c>
      <c r="H136" s="19" t="str">
        <f>IFERROR(IF(INDEX(Movimientos!$M$5:$M$2001,MATCH(A136&amp;"ENTRADA",Movimientos!$R$5:$R$2001,0))=0,"S/D",INDEX(Movimientos!$M$5:$M$2001,MATCH(A136&amp;"ENTRADA",Movimientos!$R$5:$R$2001,0))),"S/D")</f>
        <v>S/D</v>
      </c>
      <c r="I136" s="16" t="str">
        <f t="shared" ca="1" si="4"/>
        <v>S/D</v>
      </c>
      <c r="J136" s="6">
        <f>IF(A136="","",SUMIFS(Movimientos!$K:$K,Movimientos!$H:$H,A136))</f>
        <v>0</v>
      </c>
      <c r="K136" s="14" t="str">
        <f t="shared" ca="1" si="5"/>
        <v>OK</v>
      </c>
    </row>
    <row r="137" spans="1:11">
      <c r="A137" s="18" t="s">
        <v>2198</v>
      </c>
      <c r="B137" s="3" t="str">
        <f>IFERROR(INDEX(Movimientos!$C$5:$C$2001,MATCH(A137&amp;"ENTRADA",Movimientos!$R$5:$R$2001,0)),"-")</f>
        <v>-</v>
      </c>
      <c r="C137" s="3" t="str">
        <f>IFERROR(INDEX(Movimientos!$D$5:$D$2001,MATCH(A137&amp;"ENTRADA",Movimientos!$R$5:$R$2001,0)),"-")</f>
        <v>-</v>
      </c>
      <c r="D137" s="3" t="str">
        <f>IFERROR(INDEX(Movimientos!$E$5:$E$2001,MATCH(A137&amp;"ENTRADA",Movimientos!$R$5:$R$2001,0)),"-")</f>
        <v>-</v>
      </c>
      <c r="E137" s="3" t="str">
        <f>IFERROR(INDEX(Movimientos!$F$5:$F$2001,MATCH(A137&amp;"ENTRADA",Movimientos!$R$5:$R$2001,0)),"-")</f>
        <v>-</v>
      </c>
      <c r="F137" s="3" t="str">
        <f>IFERROR(INDEX(Movimientos!$G$5:$G$2001,MATCH(A137&amp;"ENTRADA",Movimientos!$R$5:$R$2001,0)),"-")</f>
        <v>-</v>
      </c>
      <c r="G137" s="3" t="str">
        <f>IFERROR(INDEX(Movimientos!$L$5:$L$2001,MATCH(A137&amp;"ENTRADA",Movimientos!$R$5:$R$2001,0)),"-")</f>
        <v>-</v>
      </c>
      <c r="H137" s="19" t="str">
        <f>IFERROR(IF(INDEX(Movimientos!$M$5:$M$2001,MATCH(A137&amp;"ENTRADA",Movimientos!$R$5:$R$2001,0))=0,"S/D",INDEX(Movimientos!$M$5:$M$2001,MATCH(A137&amp;"ENTRADA",Movimientos!$R$5:$R$2001,0))),"S/D")</f>
        <v>S/D</v>
      </c>
      <c r="I137" s="16" t="str">
        <f t="shared" ca="1" si="4"/>
        <v>S/D</v>
      </c>
      <c r="J137" s="6">
        <f>IF(A137="","",SUMIFS(Movimientos!$K:$K,Movimientos!$H:$H,A137))</f>
        <v>0</v>
      </c>
      <c r="K137" s="14" t="str">
        <f t="shared" ca="1" si="5"/>
        <v>OK</v>
      </c>
    </row>
    <row r="138" spans="1:11">
      <c r="A138" s="18" t="s">
        <v>2199</v>
      </c>
      <c r="B138" s="3" t="str">
        <f>IFERROR(INDEX(Movimientos!$C$5:$C$2001,MATCH(A138&amp;"ENTRADA",Movimientos!$R$5:$R$2001,0)),"-")</f>
        <v>-</v>
      </c>
      <c r="C138" s="3" t="str">
        <f>IFERROR(INDEX(Movimientos!$D$5:$D$2001,MATCH(A138&amp;"ENTRADA",Movimientos!$R$5:$R$2001,0)),"-")</f>
        <v>-</v>
      </c>
      <c r="D138" s="3" t="str">
        <f>IFERROR(INDEX(Movimientos!$E$5:$E$2001,MATCH(A138&amp;"ENTRADA",Movimientos!$R$5:$R$2001,0)),"-")</f>
        <v>-</v>
      </c>
      <c r="E138" s="3" t="str">
        <f>IFERROR(INDEX(Movimientos!$F$5:$F$2001,MATCH(A138&amp;"ENTRADA",Movimientos!$R$5:$R$2001,0)),"-")</f>
        <v>-</v>
      </c>
      <c r="F138" s="3" t="str">
        <f>IFERROR(INDEX(Movimientos!$G$5:$G$2001,MATCH(A138&amp;"ENTRADA",Movimientos!$R$5:$R$2001,0)),"-")</f>
        <v>-</v>
      </c>
      <c r="G138" s="3" t="str">
        <f>IFERROR(INDEX(Movimientos!$L$5:$L$2001,MATCH(A138&amp;"ENTRADA",Movimientos!$R$5:$R$2001,0)),"-")</f>
        <v>-</v>
      </c>
      <c r="H138" s="19" t="str">
        <f>IFERROR(IF(INDEX(Movimientos!$M$5:$M$2001,MATCH(A138&amp;"ENTRADA",Movimientos!$R$5:$R$2001,0))=0,"S/D",INDEX(Movimientos!$M$5:$M$2001,MATCH(A138&amp;"ENTRADA",Movimientos!$R$5:$R$2001,0))),"S/D")</f>
        <v>S/D</v>
      </c>
      <c r="I138" s="16" t="str">
        <f t="shared" ca="1" si="4"/>
        <v>S/D</v>
      </c>
      <c r="J138" s="6">
        <f>IF(A138="","",SUMIFS(Movimientos!$K:$K,Movimientos!$H:$H,A138))</f>
        <v>0</v>
      </c>
      <c r="K138" s="14" t="str">
        <f t="shared" ca="1" si="5"/>
        <v>OK</v>
      </c>
    </row>
    <row r="139" spans="1:11">
      <c r="A139" s="18" t="s">
        <v>2200</v>
      </c>
      <c r="B139" s="3" t="str">
        <f>IFERROR(INDEX(Movimientos!$C$5:$C$2001,MATCH(A139&amp;"ENTRADA",Movimientos!$R$5:$R$2001,0)),"-")</f>
        <v>-</v>
      </c>
      <c r="C139" s="3" t="str">
        <f>IFERROR(INDEX(Movimientos!$D$5:$D$2001,MATCH(A139&amp;"ENTRADA",Movimientos!$R$5:$R$2001,0)),"-")</f>
        <v>-</v>
      </c>
      <c r="D139" s="3" t="str">
        <f>IFERROR(INDEX(Movimientos!$E$5:$E$2001,MATCH(A139&amp;"ENTRADA",Movimientos!$R$5:$R$2001,0)),"-")</f>
        <v>-</v>
      </c>
      <c r="E139" s="3" t="str">
        <f>IFERROR(INDEX(Movimientos!$F$5:$F$2001,MATCH(A139&amp;"ENTRADA",Movimientos!$R$5:$R$2001,0)),"-")</f>
        <v>-</v>
      </c>
      <c r="F139" s="3" t="str">
        <f>IFERROR(INDEX(Movimientos!$G$5:$G$2001,MATCH(A139&amp;"ENTRADA",Movimientos!$R$5:$R$2001,0)),"-")</f>
        <v>-</v>
      </c>
      <c r="G139" s="3" t="str">
        <f>IFERROR(INDEX(Movimientos!$L$5:$L$2001,MATCH(A139&amp;"ENTRADA",Movimientos!$R$5:$R$2001,0)),"-")</f>
        <v>-</v>
      </c>
      <c r="H139" s="19" t="str">
        <f>IFERROR(IF(INDEX(Movimientos!$M$5:$M$2001,MATCH(A139&amp;"ENTRADA",Movimientos!$R$5:$R$2001,0))=0,"S/D",INDEX(Movimientos!$M$5:$M$2001,MATCH(A139&amp;"ENTRADA",Movimientos!$R$5:$R$2001,0))),"S/D")</f>
        <v>S/D</v>
      </c>
      <c r="I139" s="16" t="str">
        <f t="shared" ref="I139:I202" ca="1" si="6">IF(OR(A139="",H139="S/D"),"S/D",H139-TODAY())</f>
        <v>S/D</v>
      </c>
      <c r="J139" s="6">
        <f>IF(A139="","",SUMIFS(Movimientos!$K:$K,Movimientos!$H:$H,A139))</f>
        <v>0</v>
      </c>
      <c r="K139" s="14" t="str">
        <f t="shared" ref="K139:K202" ca="1" si="7">IF(A139="","",IF(H139="S/D","OK",IF(H139&lt;TODAY(),"VENCIDO",IF(J139&lt;=0,"SIN STOCK",IF(I139&gt;=180,"OK","PRÓXIMO A VENCER")))))</f>
        <v>OK</v>
      </c>
    </row>
    <row r="140" spans="1:11">
      <c r="A140" s="18" t="s">
        <v>2201</v>
      </c>
      <c r="B140" s="3" t="str">
        <f>IFERROR(INDEX(Movimientos!$C$5:$C$2001,MATCH(A140&amp;"ENTRADA",Movimientos!$R$5:$R$2001,0)),"-")</f>
        <v>-</v>
      </c>
      <c r="C140" s="3" t="str">
        <f>IFERROR(INDEX(Movimientos!$D$5:$D$2001,MATCH(A140&amp;"ENTRADA",Movimientos!$R$5:$R$2001,0)),"-")</f>
        <v>-</v>
      </c>
      <c r="D140" s="3" t="str">
        <f>IFERROR(INDEX(Movimientos!$E$5:$E$2001,MATCH(A140&amp;"ENTRADA",Movimientos!$R$5:$R$2001,0)),"-")</f>
        <v>-</v>
      </c>
      <c r="E140" s="3" t="str">
        <f>IFERROR(INDEX(Movimientos!$F$5:$F$2001,MATCH(A140&amp;"ENTRADA",Movimientos!$R$5:$R$2001,0)),"-")</f>
        <v>-</v>
      </c>
      <c r="F140" s="3" t="str">
        <f>IFERROR(INDEX(Movimientos!$G$5:$G$2001,MATCH(A140&amp;"ENTRADA",Movimientos!$R$5:$R$2001,0)),"-")</f>
        <v>-</v>
      </c>
      <c r="G140" s="3" t="str">
        <f>IFERROR(INDEX(Movimientos!$L$5:$L$2001,MATCH(A140&amp;"ENTRADA",Movimientos!$R$5:$R$2001,0)),"-")</f>
        <v>-</v>
      </c>
      <c r="H140" s="19" t="str">
        <f>IFERROR(IF(INDEX(Movimientos!$M$5:$M$2001,MATCH(A140&amp;"ENTRADA",Movimientos!$R$5:$R$2001,0))=0,"S/D",INDEX(Movimientos!$M$5:$M$2001,MATCH(A140&amp;"ENTRADA",Movimientos!$R$5:$R$2001,0))),"S/D")</f>
        <v>S/D</v>
      </c>
      <c r="I140" s="16" t="str">
        <f t="shared" ca="1" si="6"/>
        <v>S/D</v>
      </c>
      <c r="J140" s="6">
        <f>IF(A140="","",SUMIFS(Movimientos!$K:$K,Movimientos!$H:$H,A140))</f>
        <v>0</v>
      </c>
      <c r="K140" s="14" t="str">
        <f t="shared" ca="1" si="7"/>
        <v>OK</v>
      </c>
    </row>
    <row r="141" spans="1:11">
      <c r="A141" s="18" t="s">
        <v>2202</v>
      </c>
      <c r="B141" s="3" t="str">
        <f>IFERROR(INDEX(Movimientos!$C$5:$C$2001,MATCH(A141&amp;"ENTRADA",Movimientos!$R$5:$R$2001,0)),"-")</f>
        <v>-</v>
      </c>
      <c r="C141" s="3" t="str">
        <f>IFERROR(INDEX(Movimientos!$D$5:$D$2001,MATCH(A141&amp;"ENTRADA",Movimientos!$R$5:$R$2001,0)),"-")</f>
        <v>-</v>
      </c>
      <c r="D141" s="3" t="str">
        <f>IFERROR(INDEX(Movimientos!$E$5:$E$2001,MATCH(A141&amp;"ENTRADA",Movimientos!$R$5:$R$2001,0)),"-")</f>
        <v>-</v>
      </c>
      <c r="E141" s="3" t="str">
        <f>IFERROR(INDEX(Movimientos!$F$5:$F$2001,MATCH(A141&amp;"ENTRADA",Movimientos!$R$5:$R$2001,0)),"-")</f>
        <v>-</v>
      </c>
      <c r="F141" s="3" t="str">
        <f>IFERROR(INDEX(Movimientos!$G$5:$G$2001,MATCH(A141&amp;"ENTRADA",Movimientos!$R$5:$R$2001,0)),"-")</f>
        <v>-</v>
      </c>
      <c r="G141" s="3" t="str">
        <f>IFERROR(INDEX(Movimientos!$L$5:$L$2001,MATCH(A141&amp;"ENTRADA",Movimientos!$R$5:$R$2001,0)),"-")</f>
        <v>-</v>
      </c>
      <c r="H141" s="19" t="str">
        <f>IFERROR(IF(INDEX(Movimientos!$M$5:$M$2001,MATCH(A141&amp;"ENTRADA",Movimientos!$R$5:$R$2001,0))=0,"S/D",INDEX(Movimientos!$M$5:$M$2001,MATCH(A141&amp;"ENTRADA",Movimientos!$R$5:$R$2001,0))),"S/D")</f>
        <v>S/D</v>
      </c>
      <c r="I141" s="16" t="str">
        <f t="shared" ca="1" si="6"/>
        <v>S/D</v>
      </c>
      <c r="J141" s="6">
        <f>IF(A141="","",SUMIFS(Movimientos!$K:$K,Movimientos!$H:$H,A141))</f>
        <v>0</v>
      </c>
      <c r="K141" s="14" t="str">
        <f t="shared" ca="1" si="7"/>
        <v>OK</v>
      </c>
    </row>
    <row r="142" spans="1:11">
      <c r="A142" s="18" t="s">
        <v>2203</v>
      </c>
      <c r="B142" s="3" t="str">
        <f>IFERROR(INDEX(Movimientos!$C$5:$C$2001,MATCH(A142&amp;"ENTRADA",Movimientos!$R$5:$R$2001,0)),"-")</f>
        <v>-</v>
      </c>
      <c r="C142" s="3" t="str">
        <f>IFERROR(INDEX(Movimientos!$D$5:$D$2001,MATCH(A142&amp;"ENTRADA",Movimientos!$R$5:$R$2001,0)),"-")</f>
        <v>-</v>
      </c>
      <c r="D142" s="3" t="str">
        <f>IFERROR(INDEX(Movimientos!$E$5:$E$2001,MATCH(A142&amp;"ENTRADA",Movimientos!$R$5:$R$2001,0)),"-")</f>
        <v>-</v>
      </c>
      <c r="E142" s="3" t="str">
        <f>IFERROR(INDEX(Movimientos!$F$5:$F$2001,MATCH(A142&amp;"ENTRADA",Movimientos!$R$5:$R$2001,0)),"-")</f>
        <v>-</v>
      </c>
      <c r="F142" s="3" t="str">
        <f>IFERROR(INDEX(Movimientos!$G$5:$G$2001,MATCH(A142&amp;"ENTRADA",Movimientos!$R$5:$R$2001,0)),"-")</f>
        <v>-</v>
      </c>
      <c r="G142" s="3" t="str">
        <f>IFERROR(INDEX(Movimientos!$L$5:$L$2001,MATCH(A142&amp;"ENTRADA",Movimientos!$R$5:$R$2001,0)),"-")</f>
        <v>-</v>
      </c>
      <c r="H142" s="19" t="str">
        <f>IFERROR(IF(INDEX(Movimientos!$M$5:$M$2001,MATCH(A142&amp;"ENTRADA",Movimientos!$R$5:$R$2001,0))=0,"S/D",INDEX(Movimientos!$M$5:$M$2001,MATCH(A142&amp;"ENTRADA",Movimientos!$R$5:$R$2001,0))),"S/D")</f>
        <v>S/D</v>
      </c>
      <c r="I142" s="16" t="str">
        <f t="shared" ca="1" si="6"/>
        <v>S/D</v>
      </c>
      <c r="J142" s="6">
        <f>IF(A142="","",SUMIFS(Movimientos!$K:$K,Movimientos!$H:$H,A142))</f>
        <v>0</v>
      </c>
      <c r="K142" s="14" t="str">
        <f t="shared" ca="1" si="7"/>
        <v>OK</v>
      </c>
    </row>
    <row r="143" spans="1:11">
      <c r="A143" s="18" t="s">
        <v>2204</v>
      </c>
      <c r="B143" s="3" t="str">
        <f>IFERROR(INDEX(Movimientos!$C$5:$C$2001,MATCH(A143&amp;"ENTRADA",Movimientos!$R$5:$R$2001,0)),"-")</f>
        <v>-</v>
      </c>
      <c r="C143" s="3" t="str">
        <f>IFERROR(INDEX(Movimientos!$D$5:$D$2001,MATCH(A143&amp;"ENTRADA",Movimientos!$R$5:$R$2001,0)),"-")</f>
        <v>-</v>
      </c>
      <c r="D143" s="3" t="str">
        <f>IFERROR(INDEX(Movimientos!$E$5:$E$2001,MATCH(A143&amp;"ENTRADA",Movimientos!$R$5:$R$2001,0)),"-")</f>
        <v>-</v>
      </c>
      <c r="E143" s="3" t="str">
        <f>IFERROR(INDEX(Movimientos!$F$5:$F$2001,MATCH(A143&amp;"ENTRADA",Movimientos!$R$5:$R$2001,0)),"-")</f>
        <v>-</v>
      </c>
      <c r="F143" s="3" t="str">
        <f>IFERROR(INDEX(Movimientos!$G$5:$G$2001,MATCH(A143&amp;"ENTRADA",Movimientos!$R$5:$R$2001,0)),"-")</f>
        <v>-</v>
      </c>
      <c r="G143" s="3" t="str">
        <f>IFERROR(INDEX(Movimientos!$L$5:$L$2001,MATCH(A143&amp;"ENTRADA",Movimientos!$R$5:$R$2001,0)),"-")</f>
        <v>-</v>
      </c>
      <c r="H143" s="19" t="str">
        <f>IFERROR(IF(INDEX(Movimientos!$M$5:$M$2001,MATCH(A143&amp;"ENTRADA",Movimientos!$R$5:$R$2001,0))=0,"S/D",INDEX(Movimientos!$M$5:$M$2001,MATCH(A143&amp;"ENTRADA",Movimientos!$R$5:$R$2001,0))),"S/D")</f>
        <v>S/D</v>
      </c>
      <c r="I143" s="16" t="str">
        <f t="shared" ca="1" si="6"/>
        <v>S/D</v>
      </c>
      <c r="J143" s="6">
        <f>IF(A143="","",SUMIFS(Movimientos!$K:$K,Movimientos!$H:$H,A143))</f>
        <v>0</v>
      </c>
      <c r="K143" s="14" t="str">
        <f t="shared" ca="1" si="7"/>
        <v>OK</v>
      </c>
    </row>
    <row r="144" spans="1:11">
      <c r="A144" s="18" t="s">
        <v>2205</v>
      </c>
      <c r="B144" s="3" t="str">
        <f>IFERROR(INDEX(Movimientos!$C$5:$C$2001,MATCH(A144&amp;"ENTRADA",Movimientos!$R$5:$R$2001,0)),"-")</f>
        <v>-</v>
      </c>
      <c r="C144" s="3" t="str">
        <f>IFERROR(INDEX(Movimientos!$D$5:$D$2001,MATCH(A144&amp;"ENTRADA",Movimientos!$R$5:$R$2001,0)),"-")</f>
        <v>-</v>
      </c>
      <c r="D144" s="3" t="str">
        <f>IFERROR(INDEX(Movimientos!$E$5:$E$2001,MATCH(A144&amp;"ENTRADA",Movimientos!$R$5:$R$2001,0)),"-")</f>
        <v>-</v>
      </c>
      <c r="E144" s="3" t="str">
        <f>IFERROR(INDEX(Movimientos!$F$5:$F$2001,MATCH(A144&amp;"ENTRADA",Movimientos!$R$5:$R$2001,0)),"-")</f>
        <v>-</v>
      </c>
      <c r="F144" s="3" t="str">
        <f>IFERROR(INDEX(Movimientos!$G$5:$G$2001,MATCH(A144&amp;"ENTRADA",Movimientos!$R$5:$R$2001,0)),"-")</f>
        <v>-</v>
      </c>
      <c r="G144" s="3" t="str">
        <f>IFERROR(INDEX(Movimientos!$L$5:$L$2001,MATCH(A144&amp;"ENTRADA",Movimientos!$R$5:$R$2001,0)),"-")</f>
        <v>-</v>
      </c>
      <c r="H144" s="19" t="str">
        <f>IFERROR(IF(INDEX(Movimientos!$M$5:$M$2001,MATCH(A144&amp;"ENTRADA",Movimientos!$R$5:$R$2001,0))=0,"S/D",INDEX(Movimientos!$M$5:$M$2001,MATCH(A144&amp;"ENTRADA",Movimientos!$R$5:$R$2001,0))),"S/D")</f>
        <v>S/D</v>
      </c>
      <c r="I144" s="16" t="str">
        <f t="shared" ca="1" si="6"/>
        <v>S/D</v>
      </c>
      <c r="J144" s="6">
        <f>IF(A144="","",SUMIFS(Movimientos!$K:$K,Movimientos!$H:$H,A144))</f>
        <v>0</v>
      </c>
      <c r="K144" s="14" t="str">
        <f t="shared" ca="1" si="7"/>
        <v>OK</v>
      </c>
    </row>
    <row r="145" spans="1:11">
      <c r="A145" s="18" t="s">
        <v>2206</v>
      </c>
      <c r="B145" s="3" t="str">
        <f>IFERROR(INDEX(Movimientos!$C$5:$C$2001,MATCH(A145&amp;"ENTRADA",Movimientos!$R$5:$R$2001,0)),"-")</f>
        <v>-</v>
      </c>
      <c r="C145" s="3" t="str">
        <f>IFERROR(INDEX(Movimientos!$D$5:$D$2001,MATCH(A145&amp;"ENTRADA",Movimientos!$R$5:$R$2001,0)),"-")</f>
        <v>-</v>
      </c>
      <c r="D145" s="3" t="str">
        <f>IFERROR(INDEX(Movimientos!$E$5:$E$2001,MATCH(A145&amp;"ENTRADA",Movimientos!$R$5:$R$2001,0)),"-")</f>
        <v>-</v>
      </c>
      <c r="E145" s="3" t="str">
        <f>IFERROR(INDEX(Movimientos!$F$5:$F$2001,MATCH(A145&amp;"ENTRADA",Movimientos!$R$5:$R$2001,0)),"-")</f>
        <v>-</v>
      </c>
      <c r="F145" s="3" t="str">
        <f>IFERROR(INDEX(Movimientos!$G$5:$G$2001,MATCH(A145&amp;"ENTRADA",Movimientos!$R$5:$R$2001,0)),"-")</f>
        <v>-</v>
      </c>
      <c r="G145" s="3" t="str">
        <f>IFERROR(INDEX(Movimientos!$L$5:$L$2001,MATCH(A145&amp;"ENTRADA",Movimientos!$R$5:$R$2001,0)),"-")</f>
        <v>-</v>
      </c>
      <c r="H145" s="19" t="str">
        <f>IFERROR(IF(INDEX(Movimientos!$M$5:$M$2001,MATCH(A145&amp;"ENTRADA",Movimientos!$R$5:$R$2001,0))=0,"S/D",INDEX(Movimientos!$M$5:$M$2001,MATCH(A145&amp;"ENTRADA",Movimientos!$R$5:$R$2001,0))),"S/D")</f>
        <v>S/D</v>
      </c>
      <c r="I145" s="16" t="str">
        <f t="shared" ca="1" si="6"/>
        <v>S/D</v>
      </c>
      <c r="J145" s="6">
        <f>IF(A145="","",SUMIFS(Movimientos!$K:$K,Movimientos!$H:$H,A145))</f>
        <v>0</v>
      </c>
      <c r="K145" s="14" t="str">
        <f t="shared" ca="1" si="7"/>
        <v>OK</v>
      </c>
    </row>
    <row r="146" spans="1:11">
      <c r="A146" s="18" t="s">
        <v>2207</v>
      </c>
      <c r="B146" s="3" t="str">
        <f>IFERROR(INDEX(Movimientos!$C$5:$C$2001,MATCH(A146&amp;"ENTRADA",Movimientos!$R$5:$R$2001,0)),"-")</f>
        <v>-</v>
      </c>
      <c r="C146" s="3" t="str">
        <f>IFERROR(INDEX(Movimientos!$D$5:$D$2001,MATCH(A146&amp;"ENTRADA",Movimientos!$R$5:$R$2001,0)),"-")</f>
        <v>-</v>
      </c>
      <c r="D146" s="3" t="str">
        <f>IFERROR(INDEX(Movimientos!$E$5:$E$2001,MATCH(A146&amp;"ENTRADA",Movimientos!$R$5:$R$2001,0)),"-")</f>
        <v>-</v>
      </c>
      <c r="E146" s="3" t="str">
        <f>IFERROR(INDEX(Movimientos!$F$5:$F$2001,MATCH(A146&amp;"ENTRADA",Movimientos!$R$5:$R$2001,0)),"-")</f>
        <v>-</v>
      </c>
      <c r="F146" s="3" t="str">
        <f>IFERROR(INDEX(Movimientos!$G$5:$G$2001,MATCH(A146&amp;"ENTRADA",Movimientos!$R$5:$R$2001,0)),"-")</f>
        <v>-</v>
      </c>
      <c r="G146" s="3" t="str">
        <f>IFERROR(INDEX(Movimientos!$L$5:$L$2001,MATCH(A146&amp;"ENTRADA",Movimientos!$R$5:$R$2001,0)),"-")</f>
        <v>-</v>
      </c>
      <c r="H146" s="19" t="str">
        <f>IFERROR(IF(INDEX(Movimientos!$M$5:$M$2001,MATCH(A146&amp;"ENTRADA",Movimientos!$R$5:$R$2001,0))=0,"S/D",INDEX(Movimientos!$M$5:$M$2001,MATCH(A146&amp;"ENTRADA",Movimientos!$R$5:$R$2001,0))),"S/D")</f>
        <v>S/D</v>
      </c>
      <c r="I146" s="16" t="str">
        <f t="shared" ca="1" si="6"/>
        <v>S/D</v>
      </c>
      <c r="J146" s="6">
        <f>IF(A146="","",SUMIFS(Movimientos!$K:$K,Movimientos!$H:$H,A146))</f>
        <v>0</v>
      </c>
      <c r="K146" s="14" t="str">
        <f t="shared" ca="1" si="7"/>
        <v>OK</v>
      </c>
    </row>
    <row r="147" spans="1:11">
      <c r="A147" s="18" t="s">
        <v>2208</v>
      </c>
      <c r="B147" s="3" t="str">
        <f>IFERROR(INDEX(Movimientos!$C$5:$C$2001,MATCH(A147&amp;"ENTRADA",Movimientos!$R$5:$R$2001,0)),"-")</f>
        <v>-</v>
      </c>
      <c r="C147" s="3" t="str">
        <f>IFERROR(INDEX(Movimientos!$D$5:$D$2001,MATCH(A147&amp;"ENTRADA",Movimientos!$R$5:$R$2001,0)),"-")</f>
        <v>-</v>
      </c>
      <c r="D147" s="3" t="str">
        <f>IFERROR(INDEX(Movimientos!$E$5:$E$2001,MATCH(A147&amp;"ENTRADA",Movimientos!$R$5:$R$2001,0)),"-")</f>
        <v>-</v>
      </c>
      <c r="E147" s="3" t="str">
        <f>IFERROR(INDEX(Movimientos!$F$5:$F$2001,MATCH(A147&amp;"ENTRADA",Movimientos!$R$5:$R$2001,0)),"-")</f>
        <v>-</v>
      </c>
      <c r="F147" s="3" t="str">
        <f>IFERROR(INDEX(Movimientos!$G$5:$G$2001,MATCH(A147&amp;"ENTRADA",Movimientos!$R$5:$R$2001,0)),"-")</f>
        <v>-</v>
      </c>
      <c r="G147" s="3" t="str">
        <f>IFERROR(INDEX(Movimientos!$L$5:$L$2001,MATCH(A147&amp;"ENTRADA",Movimientos!$R$5:$R$2001,0)),"-")</f>
        <v>-</v>
      </c>
      <c r="H147" s="19" t="str">
        <f>IFERROR(IF(INDEX(Movimientos!$M$5:$M$2001,MATCH(A147&amp;"ENTRADA",Movimientos!$R$5:$R$2001,0))=0,"S/D",INDEX(Movimientos!$M$5:$M$2001,MATCH(A147&amp;"ENTRADA",Movimientos!$R$5:$R$2001,0))),"S/D")</f>
        <v>S/D</v>
      </c>
      <c r="I147" s="16" t="str">
        <f t="shared" ca="1" si="6"/>
        <v>S/D</v>
      </c>
      <c r="J147" s="6">
        <f>IF(A147="","",SUMIFS(Movimientos!$K:$K,Movimientos!$H:$H,A147))</f>
        <v>0</v>
      </c>
      <c r="K147" s="14" t="str">
        <f t="shared" ca="1" si="7"/>
        <v>OK</v>
      </c>
    </row>
    <row r="148" spans="1:11">
      <c r="A148" s="18" t="s">
        <v>2209</v>
      </c>
      <c r="B148" s="3" t="str">
        <f>IFERROR(INDEX(Movimientos!$C$5:$C$2001,MATCH(A148&amp;"ENTRADA",Movimientos!$R$5:$R$2001,0)),"-")</f>
        <v>-</v>
      </c>
      <c r="C148" s="3" t="str">
        <f>IFERROR(INDEX(Movimientos!$D$5:$D$2001,MATCH(A148&amp;"ENTRADA",Movimientos!$R$5:$R$2001,0)),"-")</f>
        <v>-</v>
      </c>
      <c r="D148" s="3" t="str">
        <f>IFERROR(INDEX(Movimientos!$E$5:$E$2001,MATCH(A148&amp;"ENTRADA",Movimientos!$R$5:$R$2001,0)),"-")</f>
        <v>-</v>
      </c>
      <c r="E148" s="3" t="str">
        <f>IFERROR(INDEX(Movimientos!$F$5:$F$2001,MATCH(A148&amp;"ENTRADA",Movimientos!$R$5:$R$2001,0)),"-")</f>
        <v>-</v>
      </c>
      <c r="F148" s="3" t="str">
        <f>IFERROR(INDEX(Movimientos!$G$5:$G$2001,MATCH(A148&amp;"ENTRADA",Movimientos!$R$5:$R$2001,0)),"-")</f>
        <v>-</v>
      </c>
      <c r="G148" s="3" t="str">
        <f>IFERROR(INDEX(Movimientos!$L$5:$L$2001,MATCH(A148&amp;"ENTRADA",Movimientos!$R$5:$R$2001,0)),"-")</f>
        <v>-</v>
      </c>
      <c r="H148" s="19" t="str">
        <f>IFERROR(IF(INDEX(Movimientos!$M$5:$M$2001,MATCH(A148&amp;"ENTRADA",Movimientos!$R$5:$R$2001,0))=0,"S/D",INDEX(Movimientos!$M$5:$M$2001,MATCH(A148&amp;"ENTRADA",Movimientos!$R$5:$R$2001,0))),"S/D")</f>
        <v>S/D</v>
      </c>
      <c r="I148" s="16" t="str">
        <f t="shared" ca="1" si="6"/>
        <v>S/D</v>
      </c>
      <c r="J148" s="6">
        <f>IF(A148="","",SUMIFS(Movimientos!$K:$K,Movimientos!$H:$H,A148))</f>
        <v>0</v>
      </c>
      <c r="K148" s="14" t="str">
        <f t="shared" ca="1" si="7"/>
        <v>OK</v>
      </c>
    </row>
    <row r="149" spans="1:11">
      <c r="A149" s="18" t="s">
        <v>2210</v>
      </c>
      <c r="B149" s="3" t="str">
        <f>IFERROR(INDEX(Movimientos!$C$5:$C$2001,MATCH(A149&amp;"ENTRADA",Movimientos!$R$5:$R$2001,0)),"-")</f>
        <v>-</v>
      </c>
      <c r="C149" s="3" t="str">
        <f>IFERROR(INDEX(Movimientos!$D$5:$D$2001,MATCH(A149&amp;"ENTRADA",Movimientos!$R$5:$R$2001,0)),"-")</f>
        <v>-</v>
      </c>
      <c r="D149" s="3" t="str">
        <f>IFERROR(INDEX(Movimientos!$E$5:$E$2001,MATCH(A149&amp;"ENTRADA",Movimientos!$R$5:$R$2001,0)),"-")</f>
        <v>-</v>
      </c>
      <c r="E149" s="3" t="str">
        <f>IFERROR(INDEX(Movimientos!$F$5:$F$2001,MATCH(A149&amp;"ENTRADA",Movimientos!$R$5:$R$2001,0)),"-")</f>
        <v>-</v>
      </c>
      <c r="F149" s="3" t="str">
        <f>IFERROR(INDEX(Movimientos!$G$5:$G$2001,MATCH(A149&amp;"ENTRADA",Movimientos!$R$5:$R$2001,0)),"-")</f>
        <v>-</v>
      </c>
      <c r="G149" s="3" t="str">
        <f>IFERROR(INDEX(Movimientos!$L$5:$L$2001,MATCH(A149&amp;"ENTRADA",Movimientos!$R$5:$R$2001,0)),"-")</f>
        <v>-</v>
      </c>
      <c r="H149" s="19" t="str">
        <f>IFERROR(IF(INDEX(Movimientos!$M$5:$M$2001,MATCH(A149&amp;"ENTRADA",Movimientos!$R$5:$R$2001,0))=0,"S/D",INDEX(Movimientos!$M$5:$M$2001,MATCH(A149&amp;"ENTRADA",Movimientos!$R$5:$R$2001,0))),"S/D")</f>
        <v>S/D</v>
      </c>
      <c r="I149" s="16" t="str">
        <f t="shared" ca="1" si="6"/>
        <v>S/D</v>
      </c>
      <c r="J149" s="6">
        <f>IF(A149="","",SUMIFS(Movimientos!$K:$K,Movimientos!$H:$H,A149))</f>
        <v>0</v>
      </c>
      <c r="K149" s="14" t="str">
        <f t="shared" ca="1" si="7"/>
        <v>OK</v>
      </c>
    </row>
    <row r="150" spans="1:11">
      <c r="A150" s="18" t="s">
        <v>2211</v>
      </c>
      <c r="B150" s="3" t="str">
        <f>IFERROR(INDEX(Movimientos!$C$5:$C$2001,MATCH(A150&amp;"ENTRADA",Movimientos!$R$5:$R$2001,0)),"-")</f>
        <v>-</v>
      </c>
      <c r="C150" s="3" t="str">
        <f>IFERROR(INDEX(Movimientos!$D$5:$D$2001,MATCH(A150&amp;"ENTRADA",Movimientos!$R$5:$R$2001,0)),"-")</f>
        <v>-</v>
      </c>
      <c r="D150" s="3" t="str">
        <f>IFERROR(INDEX(Movimientos!$E$5:$E$2001,MATCH(A150&amp;"ENTRADA",Movimientos!$R$5:$R$2001,0)),"-")</f>
        <v>-</v>
      </c>
      <c r="E150" s="3" t="str">
        <f>IFERROR(INDEX(Movimientos!$F$5:$F$2001,MATCH(A150&amp;"ENTRADA",Movimientos!$R$5:$R$2001,0)),"-")</f>
        <v>-</v>
      </c>
      <c r="F150" s="3" t="str">
        <f>IFERROR(INDEX(Movimientos!$G$5:$G$2001,MATCH(A150&amp;"ENTRADA",Movimientos!$R$5:$R$2001,0)),"-")</f>
        <v>-</v>
      </c>
      <c r="G150" s="3" t="str">
        <f>IFERROR(INDEX(Movimientos!$L$5:$L$2001,MATCH(A150&amp;"ENTRADA",Movimientos!$R$5:$R$2001,0)),"-")</f>
        <v>-</v>
      </c>
      <c r="H150" s="19" t="str">
        <f>IFERROR(IF(INDEX(Movimientos!$M$5:$M$2001,MATCH(A150&amp;"ENTRADA",Movimientos!$R$5:$R$2001,0))=0,"S/D",INDEX(Movimientos!$M$5:$M$2001,MATCH(A150&amp;"ENTRADA",Movimientos!$R$5:$R$2001,0))),"S/D")</f>
        <v>S/D</v>
      </c>
      <c r="I150" s="16" t="str">
        <f t="shared" ca="1" si="6"/>
        <v>S/D</v>
      </c>
      <c r="J150" s="6">
        <f>IF(A150="","",SUMIFS(Movimientos!$K:$K,Movimientos!$H:$H,A150))</f>
        <v>0</v>
      </c>
      <c r="K150" s="14" t="str">
        <f t="shared" ca="1" si="7"/>
        <v>OK</v>
      </c>
    </row>
    <row r="151" spans="1:11">
      <c r="A151" s="18" t="s">
        <v>2212</v>
      </c>
      <c r="B151" s="3" t="str">
        <f>IFERROR(INDEX(Movimientos!$C$5:$C$2001,MATCH(A151&amp;"ENTRADA",Movimientos!$R$5:$R$2001,0)),"-")</f>
        <v>-</v>
      </c>
      <c r="C151" s="3" t="str">
        <f>IFERROR(INDEX(Movimientos!$D$5:$D$2001,MATCH(A151&amp;"ENTRADA",Movimientos!$R$5:$R$2001,0)),"-")</f>
        <v>-</v>
      </c>
      <c r="D151" s="3" t="str">
        <f>IFERROR(INDEX(Movimientos!$E$5:$E$2001,MATCH(A151&amp;"ENTRADA",Movimientos!$R$5:$R$2001,0)),"-")</f>
        <v>-</v>
      </c>
      <c r="E151" s="3" t="str">
        <f>IFERROR(INDEX(Movimientos!$F$5:$F$2001,MATCH(A151&amp;"ENTRADA",Movimientos!$R$5:$R$2001,0)),"-")</f>
        <v>-</v>
      </c>
      <c r="F151" s="3" t="str">
        <f>IFERROR(INDEX(Movimientos!$G$5:$G$2001,MATCH(A151&amp;"ENTRADA",Movimientos!$R$5:$R$2001,0)),"-")</f>
        <v>-</v>
      </c>
      <c r="G151" s="3" t="str">
        <f>IFERROR(INDEX(Movimientos!$L$5:$L$2001,MATCH(A151&amp;"ENTRADA",Movimientos!$R$5:$R$2001,0)),"-")</f>
        <v>-</v>
      </c>
      <c r="H151" s="19" t="str">
        <f>IFERROR(IF(INDEX(Movimientos!$M$5:$M$2001,MATCH(A151&amp;"ENTRADA",Movimientos!$R$5:$R$2001,0))=0,"S/D",INDEX(Movimientos!$M$5:$M$2001,MATCH(A151&amp;"ENTRADA",Movimientos!$R$5:$R$2001,0))),"S/D")</f>
        <v>S/D</v>
      </c>
      <c r="I151" s="16" t="str">
        <f t="shared" ca="1" si="6"/>
        <v>S/D</v>
      </c>
      <c r="J151" s="6">
        <f>IF(A151="","",SUMIFS(Movimientos!$K:$K,Movimientos!$H:$H,A151))</f>
        <v>0</v>
      </c>
      <c r="K151" s="14" t="str">
        <f t="shared" ca="1" si="7"/>
        <v>OK</v>
      </c>
    </row>
    <row r="152" spans="1:11">
      <c r="A152" s="18" t="s">
        <v>2213</v>
      </c>
      <c r="B152" s="3" t="str">
        <f>IFERROR(INDEX(Movimientos!$C$5:$C$2001,MATCH(A152&amp;"ENTRADA",Movimientos!$R$5:$R$2001,0)),"-")</f>
        <v>-</v>
      </c>
      <c r="C152" s="3" t="str">
        <f>IFERROR(INDEX(Movimientos!$D$5:$D$2001,MATCH(A152&amp;"ENTRADA",Movimientos!$R$5:$R$2001,0)),"-")</f>
        <v>-</v>
      </c>
      <c r="D152" s="3" t="str">
        <f>IFERROR(INDEX(Movimientos!$E$5:$E$2001,MATCH(A152&amp;"ENTRADA",Movimientos!$R$5:$R$2001,0)),"-")</f>
        <v>-</v>
      </c>
      <c r="E152" s="3" t="str">
        <f>IFERROR(INDEX(Movimientos!$F$5:$F$2001,MATCH(A152&amp;"ENTRADA",Movimientos!$R$5:$R$2001,0)),"-")</f>
        <v>-</v>
      </c>
      <c r="F152" s="3" t="str">
        <f>IFERROR(INDEX(Movimientos!$G$5:$G$2001,MATCH(A152&amp;"ENTRADA",Movimientos!$R$5:$R$2001,0)),"-")</f>
        <v>-</v>
      </c>
      <c r="G152" s="3" t="str">
        <f>IFERROR(INDEX(Movimientos!$L$5:$L$2001,MATCH(A152&amp;"ENTRADA",Movimientos!$R$5:$R$2001,0)),"-")</f>
        <v>-</v>
      </c>
      <c r="H152" s="19" t="str">
        <f>IFERROR(IF(INDEX(Movimientos!$M$5:$M$2001,MATCH(A152&amp;"ENTRADA",Movimientos!$R$5:$R$2001,0))=0,"S/D",INDEX(Movimientos!$M$5:$M$2001,MATCH(A152&amp;"ENTRADA",Movimientos!$R$5:$R$2001,0))),"S/D")</f>
        <v>S/D</v>
      </c>
      <c r="I152" s="16" t="str">
        <f t="shared" ca="1" si="6"/>
        <v>S/D</v>
      </c>
      <c r="J152" s="6">
        <f>IF(A152="","",SUMIFS(Movimientos!$K:$K,Movimientos!$H:$H,A152))</f>
        <v>0</v>
      </c>
      <c r="K152" s="14" t="str">
        <f t="shared" ca="1" si="7"/>
        <v>OK</v>
      </c>
    </row>
    <row r="153" spans="1:11">
      <c r="A153" s="18" t="s">
        <v>2214</v>
      </c>
      <c r="B153" s="3" t="str">
        <f>IFERROR(INDEX(Movimientos!$C$5:$C$2001,MATCH(A153&amp;"ENTRADA",Movimientos!$R$5:$R$2001,0)),"-")</f>
        <v>-</v>
      </c>
      <c r="C153" s="3" t="str">
        <f>IFERROR(INDEX(Movimientos!$D$5:$D$2001,MATCH(A153&amp;"ENTRADA",Movimientos!$R$5:$R$2001,0)),"-")</f>
        <v>-</v>
      </c>
      <c r="D153" s="3" t="str">
        <f>IFERROR(INDEX(Movimientos!$E$5:$E$2001,MATCH(A153&amp;"ENTRADA",Movimientos!$R$5:$R$2001,0)),"-")</f>
        <v>-</v>
      </c>
      <c r="E153" s="3" t="str">
        <f>IFERROR(INDEX(Movimientos!$F$5:$F$2001,MATCH(A153&amp;"ENTRADA",Movimientos!$R$5:$R$2001,0)),"-")</f>
        <v>-</v>
      </c>
      <c r="F153" s="3" t="str">
        <f>IFERROR(INDEX(Movimientos!$G$5:$G$2001,MATCH(A153&amp;"ENTRADA",Movimientos!$R$5:$R$2001,0)),"-")</f>
        <v>-</v>
      </c>
      <c r="G153" s="3" t="str">
        <f>IFERROR(INDEX(Movimientos!$L$5:$L$2001,MATCH(A153&amp;"ENTRADA",Movimientos!$R$5:$R$2001,0)),"-")</f>
        <v>-</v>
      </c>
      <c r="H153" s="19" t="str">
        <f>IFERROR(IF(INDEX(Movimientos!$M$5:$M$2001,MATCH(A153&amp;"ENTRADA",Movimientos!$R$5:$R$2001,0))=0,"S/D",INDEX(Movimientos!$M$5:$M$2001,MATCH(A153&amp;"ENTRADA",Movimientos!$R$5:$R$2001,0))),"S/D")</f>
        <v>S/D</v>
      </c>
      <c r="I153" s="16" t="str">
        <f t="shared" ca="1" si="6"/>
        <v>S/D</v>
      </c>
      <c r="J153" s="6">
        <f>IF(A153="","",SUMIFS(Movimientos!$K:$K,Movimientos!$H:$H,A153))</f>
        <v>0</v>
      </c>
      <c r="K153" s="14" t="str">
        <f t="shared" ca="1" si="7"/>
        <v>OK</v>
      </c>
    </row>
    <row r="154" spans="1:11">
      <c r="A154" s="18" t="s">
        <v>2215</v>
      </c>
      <c r="B154" s="3" t="str">
        <f>IFERROR(INDEX(Movimientos!$C$5:$C$2001,MATCH(A154&amp;"ENTRADA",Movimientos!$R$5:$R$2001,0)),"-")</f>
        <v>-</v>
      </c>
      <c r="C154" s="3" t="str">
        <f>IFERROR(INDEX(Movimientos!$D$5:$D$2001,MATCH(A154&amp;"ENTRADA",Movimientos!$R$5:$R$2001,0)),"-")</f>
        <v>-</v>
      </c>
      <c r="D154" s="3" t="str">
        <f>IFERROR(INDEX(Movimientos!$E$5:$E$2001,MATCH(A154&amp;"ENTRADA",Movimientos!$R$5:$R$2001,0)),"-")</f>
        <v>-</v>
      </c>
      <c r="E154" s="3" t="str">
        <f>IFERROR(INDEX(Movimientos!$F$5:$F$2001,MATCH(A154&amp;"ENTRADA",Movimientos!$R$5:$R$2001,0)),"-")</f>
        <v>-</v>
      </c>
      <c r="F154" s="3" t="str">
        <f>IFERROR(INDEX(Movimientos!$G$5:$G$2001,MATCH(A154&amp;"ENTRADA",Movimientos!$R$5:$R$2001,0)),"-")</f>
        <v>-</v>
      </c>
      <c r="G154" s="3" t="str">
        <f>IFERROR(INDEX(Movimientos!$L$5:$L$2001,MATCH(A154&amp;"ENTRADA",Movimientos!$R$5:$R$2001,0)),"-")</f>
        <v>-</v>
      </c>
      <c r="H154" s="19" t="str">
        <f>IFERROR(IF(INDEX(Movimientos!$M$5:$M$2001,MATCH(A154&amp;"ENTRADA",Movimientos!$R$5:$R$2001,0))=0,"S/D",INDEX(Movimientos!$M$5:$M$2001,MATCH(A154&amp;"ENTRADA",Movimientos!$R$5:$R$2001,0))),"S/D")</f>
        <v>S/D</v>
      </c>
      <c r="I154" s="16" t="str">
        <f t="shared" ca="1" si="6"/>
        <v>S/D</v>
      </c>
      <c r="J154" s="6">
        <f>IF(A154="","",SUMIFS(Movimientos!$K:$K,Movimientos!$H:$H,A154))</f>
        <v>0</v>
      </c>
      <c r="K154" s="14" t="str">
        <f t="shared" ca="1" si="7"/>
        <v>OK</v>
      </c>
    </row>
    <row r="155" spans="1:11">
      <c r="A155" s="18" t="s">
        <v>2216</v>
      </c>
      <c r="B155" s="3" t="str">
        <f>IFERROR(INDEX(Movimientos!$C$5:$C$2001,MATCH(A155&amp;"ENTRADA",Movimientos!$R$5:$R$2001,0)),"-")</f>
        <v>-</v>
      </c>
      <c r="C155" s="3" t="str">
        <f>IFERROR(INDEX(Movimientos!$D$5:$D$2001,MATCH(A155&amp;"ENTRADA",Movimientos!$R$5:$R$2001,0)),"-")</f>
        <v>-</v>
      </c>
      <c r="D155" s="3" t="str">
        <f>IFERROR(INDEX(Movimientos!$E$5:$E$2001,MATCH(A155&amp;"ENTRADA",Movimientos!$R$5:$R$2001,0)),"-")</f>
        <v>-</v>
      </c>
      <c r="E155" s="3" t="str">
        <f>IFERROR(INDEX(Movimientos!$F$5:$F$2001,MATCH(A155&amp;"ENTRADA",Movimientos!$R$5:$R$2001,0)),"-")</f>
        <v>-</v>
      </c>
      <c r="F155" s="3" t="str">
        <f>IFERROR(INDEX(Movimientos!$G$5:$G$2001,MATCH(A155&amp;"ENTRADA",Movimientos!$R$5:$R$2001,0)),"-")</f>
        <v>-</v>
      </c>
      <c r="G155" s="3" t="str">
        <f>IFERROR(INDEX(Movimientos!$L$5:$L$2001,MATCH(A155&amp;"ENTRADA",Movimientos!$R$5:$R$2001,0)),"-")</f>
        <v>-</v>
      </c>
      <c r="H155" s="19" t="str">
        <f>IFERROR(IF(INDEX(Movimientos!$M$5:$M$2001,MATCH(A155&amp;"ENTRADA",Movimientos!$R$5:$R$2001,0))=0,"S/D",INDEX(Movimientos!$M$5:$M$2001,MATCH(A155&amp;"ENTRADA",Movimientos!$R$5:$R$2001,0))),"S/D")</f>
        <v>S/D</v>
      </c>
      <c r="I155" s="16" t="str">
        <f t="shared" ca="1" si="6"/>
        <v>S/D</v>
      </c>
      <c r="J155" s="6">
        <f>IF(A155="","",SUMIFS(Movimientos!$K:$K,Movimientos!$H:$H,A155))</f>
        <v>0</v>
      </c>
      <c r="K155" s="14" t="str">
        <f t="shared" ca="1" si="7"/>
        <v>OK</v>
      </c>
    </row>
    <row r="156" spans="1:11">
      <c r="A156" s="18" t="s">
        <v>2217</v>
      </c>
      <c r="B156" s="3" t="str">
        <f>IFERROR(INDEX(Movimientos!$C$5:$C$2001,MATCH(A156&amp;"ENTRADA",Movimientos!$R$5:$R$2001,0)),"-")</f>
        <v>-</v>
      </c>
      <c r="C156" s="3" t="str">
        <f>IFERROR(INDEX(Movimientos!$D$5:$D$2001,MATCH(A156&amp;"ENTRADA",Movimientos!$R$5:$R$2001,0)),"-")</f>
        <v>-</v>
      </c>
      <c r="D156" s="3" t="str">
        <f>IFERROR(INDEX(Movimientos!$E$5:$E$2001,MATCH(A156&amp;"ENTRADA",Movimientos!$R$5:$R$2001,0)),"-")</f>
        <v>-</v>
      </c>
      <c r="E156" s="3" t="str">
        <f>IFERROR(INDEX(Movimientos!$F$5:$F$2001,MATCH(A156&amp;"ENTRADA",Movimientos!$R$5:$R$2001,0)),"-")</f>
        <v>-</v>
      </c>
      <c r="F156" s="3" t="str">
        <f>IFERROR(INDEX(Movimientos!$G$5:$G$2001,MATCH(A156&amp;"ENTRADA",Movimientos!$R$5:$R$2001,0)),"-")</f>
        <v>-</v>
      </c>
      <c r="G156" s="3" t="str">
        <f>IFERROR(INDEX(Movimientos!$L$5:$L$2001,MATCH(A156&amp;"ENTRADA",Movimientos!$R$5:$R$2001,0)),"-")</f>
        <v>-</v>
      </c>
      <c r="H156" s="19" t="str">
        <f>IFERROR(IF(INDEX(Movimientos!$M$5:$M$2001,MATCH(A156&amp;"ENTRADA",Movimientos!$R$5:$R$2001,0))=0,"S/D",INDEX(Movimientos!$M$5:$M$2001,MATCH(A156&amp;"ENTRADA",Movimientos!$R$5:$R$2001,0))),"S/D")</f>
        <v>S/D</v>
      </c>
      <c r="I156" s="16" t="str">
        <f t="shared" ca="1" si="6"/>
        <v>S/D</v>
      </c>
      <c r="J156" s="6">
        <f>IF(A156="","",SUMIFS(Movimientos!$K:$K,Movimientos!$H:$H,A156))</f>
        <v>0</v>
      </c>
      <c r="K156" s="14" t="str">
        <f t="shared" ca="1" si="7"/>
        <v>OK</v>
      </c>
    </row>
    <row r="157" spans="1:11">
      <c r="A157" s="18" t="s">
        <v>2218</v>
      </c>
      <c r="B157" s="3" t="str">
        <f>IFERROR(INDEX(Movimientos!$C$5:$C$2001,MATCH(A157&amp;"ENTRADA",Movimientos!$R$5:$R$2001,0)),"-")</f>
        <v>-</v>
      </c>
      <c r="C157" s="3" t="str">
        <f>IFERROR(INDEX(Movimientos!$D$5:$D$2001,MATCH(A157&amp;"ENTRADA",Movimientos!$R$5:$R$2001,0)),"-")</f>
        <v>-</v>
      </c>
      <c r="D157" s="3" t="str">
        <f>IFERROR(INDEX(Movimientos!$E$5:$E$2001,MATCH(A157&amp;"ENTRADA",Movimientos!$R$5:$R$2001,0)),"-")</f>
        <v>-</v>
      </c>
      <c r="E157" s="3" t="str">
        <f>IFERROR(INDEX(Movimientos!$F$5:$F$2001,MATCH(A157&amp;"ENTRADA",Movimientos!$R$5:$R$2001,0)),"-")</f>
        <v>-</v>
      </c>
      <c r="F157" s="3" t="str">
        <f>IFERROR(INDEX(Movimientos!$G$5:$G$2001,MATCH(A157&amp;"ENTRADA",Movimientos!$R$5:$R$2001,0)),"-")</f>
        <v>-</v>
      </c>
      <c r="G157" s="3" t="str">
        <f>IFERROR(INDEX(Movimientos!$L$5:$L$2001,MATCH(A157&amp;"ENTRADA",Movimientos!$R$5:$R$2001,0)),"-")</f>
        <v>-</v>
      </c>
      <c r="H157" s="19" t="str">
        <f>IFERROR(IF(INDEX(Movimientos!$M$5:$M$2001,MATCH(A157&amp;"ENTRADA",Movimientos!$R$5:$R$2001,0))=0,"S/D",INDEX(Movimientos!$M$5:$M$2001,MATCH(A157&amp;"ENTRADA",Movimientos!$R$5:$R$2001,0))),"S/D")</f>
        <v>S/D</v>
      </c>
      <c r="I157" s="16" t="str">
        <f t="shared" ca="1" si="6"/>
        <v>S/D</v>
      </c>
      <c r="J157" s="6">
        <f>IF(A157="","",SUMIFS(Movimientos!$K:$K,Movimientos!$H:$H,A157))</f>
        <v>0</v>
      </c>
      <c r="K157" s="14" t="str">
        <f t="shared" ca="1" si="7"/>
        <v>OK</v>
      </c>
    </row>
    <row r="158" spans="1:11">
      <c r="A158" s="18" t="s">
        <v>2219</v>
      </c>
      <c r="B158" s="3" t="str">
        <f>IFERROR(INDEX(Movimientos!$C$5:$C$2001,MATCH(A158&amp;"ENTRADA",Movimientos!$R$5:$R$2001,0)),"-")</f>
        <v>-</v>
      </c>
      <c r="C158" s="3" t="str">
        <f>IFERROR(INDEX(Movimientos!$D$5:$D$2001,MATCH(A158&amp;"ENTRADA",Movimientos!$R$5:$R$2001,0)),"-")</f>
        <v>-</v>
      </c>
      <c r="D158" s="3" t="str">
        <f>IFERROR(INDEX(Movimientos!$E$5:$E$2001,MATCH(A158&amp;"ENTRADA",Movimientos!$R$5:$R$2001,0)),"-")</f>
        <v>-</v>
      </c>
      <c r="E158" s="3" t="str">
        <f>IFERROR(INDEX(Movimientos!$F$5:$F$2001,MATCH(A158&amp;"ENTRADA",Movimientos!$R$5:$R$2001,0)),"-")</f>
        <v>-</v>
      </c>
      <c r="F158" s="3" t="str">
        <f>IFERROR(INDEX(Movimientos!$G$5:$G$2001,MATCH(A158&amp;"ENTRADA",Movimientos!$R$5:$R$2001,0)),"-")</f>
        <v>-</v>
      </c>
      <c r="G158" s="3" t="str">
        <f>IFERROR(INDEX(Movimientos!$L$5:$L$2001,MATCH(A158&amp;"ENTRADA",Movimientos!$R$5:$R$2001,0)),"-")</f>
        <v>-</v>
      </c>
      <c r="H158" s="19" t="str">
        <f>IFERROR(IF(INDEX(Movimientos!$M$5:$M$2001,MATCH(A158&amp;"ENTRADA",Movimientos!$R$5:$R$2001,0))=0,"S/D",INDEX(Movimientos!$M$5:$M$2001,MATCH(A158&amp;"ENTRADA",Movimientos!$R$5:$R$2001,0))),"S/D")</f>
        <v>S/D</v>
      </c>
      <c r="I158" s="16" t="str">
        <f t="shared" ca="1" si="6"/>
        <v>S/D</v>
      </c>
      <c r="J158" s="6">
        <f>IF(A158="","",SUMIFS(Movimientos!$K:$K,Movimientos!$H:$H,A158))</f>
        <v>0</v>
      </c>
      <c r="K158" s="14" t="str">
        <f t="shared" ca="1" si="7"/>
        <v>OK</v>
      </c>
    </row>
    <row r="159" spans="1:11">
      <c r="A159" s="18" t="s">
        <v>2220</v>
      </c>
      <c r="B159" s="3" t="str">
        <f>IFERROR(INDEX(Movimientos!$C$5:$C$2001,MATCH(A159&amp;"ENTRADA",Movimientos!$R$5:$R$2001,0)),"-")</f>
        <v>-</v>
      </c>
      <c r="C159" s="3" t="str">
        <f>IFERROR(INDEX(Movimientos!$D$5:$D$2001,MATCH(A159&amp;"ENTRADA",Movimientos!$R$5:$R$2001,0)),"-")</f>
        <v>-</v>
      </c>
      <c r="D159" s="3" t="str">
        <f>IFERROR(INDEX(Movimientos!$E$5:$E$2001,MATCH(A159&amp;"ENTRADA",Movimientos!$R$5:$R$2001,0)),"-")</f>
        <v>-</v>
      </c>
      <c r="E159" s="3" t="str">
        <f>IFERROR(INDEX(Movimientos!$F$5:$F$2001,MATCH(A159&amp;"ENTRADA",Movimientos!$R$5:$R$2001,0)),"-")</f>
        <v>-</v>
      </c>
      <c r="F159" s="3" t="str">
        <f>IFERROR(INDEX(Movimientos!$G$5:$G$2001,MATCH(A159&amp;"ENTRADA",Movimientos!$R$5:$R$2001,0)),"-")</f>
        <v>-</v>
      </c>
      <c r="G159" s="3" t="str">
        <f>IFERROR(INDEX(Movimientos!$L$5:$L$2001,MATCH(A159&amp;"ENTRADA",Movimientos!$R$5:$R$2001,0)),"-")</f>
        <v>-</v>
      </c>
      <c r="H159" s="19" t="str">
        <f>IFERROR(IF(INDEX(Movimientos!$M$5:$M$2001,MATCH(A159&amp;"ENTRADA",Movimientos!$R$5:$R$2001,0))=0,"S/D",INDEX(Movimientos!$M$5:$M$2001,MATCH(A159&amp;"ENTRADA",Movimientos!$R$5:$R$2001,0))),"S/D")</f>
        <v>S/D</v>
      </c>
      <c r="I159" s="16" t="str">
        <f t="shared" ca="1" si="6"/>
        <v>S/D</v>
      </c>
      <c r="J159" s="6">
        <f>IF(A159="","",SUMIFS(Movimientos!$K:$K,Movimientos!$H:$H,A159))</f>
        <v>0</v>
      </c>
      <c r="K159" s="14" t="str">
        <f t="shared" ca="1" si="7"/>
        <v>OK</v>
      </c>
    </row>
    <row r="160" spans="1:11">
      <c r="A160" s="18" t="s">
        <v>2221</v>
      </c>
      <c r="B160" s="3" t="str">
        <f>IFERROR(INDEX(Movimientos!$C$5:$C$2001,MATCH(A160&amp;"ENTRADA",Movimientos!$R$5:$R$2001,0)),"-")</f>
        <v>-</v>
      </c>
      <c r="C160" s="3" t="str">
        <f>IFERROR(INDEX(Movimientos!$D$5:$D$2001,MATCH(A160&amp;"ENTRADA",Movimientos!$R$5:$R$2001,0)),"-")</f>
        <v>-</v>
      </c>
      <c r="D160" s="3" t="str">
        <f>IFERROR(INDEX(Movimientos!$E$5:$E$2001,MATCH(A160&amp;"ENTRADA",Movimientos!$R$5:$R$2001,0)),"-")</f>
        <v>-</v>
      </c>
      <c r="E160" s="3" t="str">
        <f>IFERROR(INDEX(Movimientos!$F$5:$F$2001,MATCH(A160&amp;"ENTRADA",Movimientos!$R$5:$R$2001,0)),"-")</f>
        <v>-</v>
      </c>
      <c r="F160" s="3" t="str">
        <f>IFERROR(INDEX(Movimientos!$G$5:$G$2001,MATCH(A160&amp;"ENTRADA",Movimientos!$R$5:$R$2001,0)),"-")</f>
        <v>-</v>
      </c>
      <c r="G160" s="3" t="str">
        <f>IFERROR(INDEX(Movimientos!$L$5:$L$2001,MATCH(A160&amp;"ENTRADA",Movimientos!$R$5:$R$2001,0)),"-")</f>
        <v>-</v>
      </c>
      <c r="H160" s="19" t="str">
        <f>IFERROR(IF(INDEX(Movimientos!$M$5:$M$2001,MATCH(A160&amp;"ENTRADA",Movimientos!$R$5:$R$2001,0))=0,"S/D",INDEX(Movimientos!$M$5:$M$2001,MATCH(A160&amp;"ENTRADA",Movimientos!$R$5:$R$2001,0))),"S/D")</f>
        <v>S/D</v>
      </c>
      <c r="I160" s="16" t="str">
        <f t="shared" ca="1" si="6"/>
        <v>S/D</v>
      </c>
      <c r="J160" s="6">
        <f>IF(A160="","",SUMIFS(Movimientos!$K:$K,Movimientos!$H:$H,A160))</f>
        <v>0</v>
      </c>
      <c r="K160" s="14" t="str">
        <f t="shared" ca="1" si="7"/>
        <v>OK</v>
      </c>
    </row>
    <row r="161" spans="1:11">
      <c r="A161" s="18" t="s">
        <v>2222</v>
      </c>
      <c r="B161" s="3" t="str">
        <f>IFERROR(INDEX(Movimientos!$C$5:$C$2001,MATCH(A161&amp;"ENTRADA",Movimientos!$R$5:$R$2001,0)),"-")</f>
        <v>-</v>
      </c>
      <c r="C161" s="3" t="str">
        <f>IFERROR(INDEX(Movimientos!$D$5:$D$2001,MATCH(A161&amp;"ENTRADA",Movimientos!$R$5:$R$2001,0)),"-")</f>
        <v>-</v>
      </c>
      <c r="D161" s="3" t="str">
        <f>IFERROR(INDEX(Movimientos!$E$5:$E$2001,MATCH(A161&amp;"ENTRADA",Movimientos!$R$5:$R$2001,0)),"-")</f>
        <v>-</v>
      </c>
      <c r="E161" s="3" t="str">
        <f>IFERROR(INDEX(Movimientos!$F$5:$F$2001,MATCH(A161&amp;"ENTRADA",Movimientos!$R$5:$R$2001,0)),"-")</f>
        <v>-</v>
      </c>
      <c r="F161" s="3" t="str">
        <f>IFERROR(INDEX(Movimientos!$G$5:$G$2001,MATCH(A161&amp;"ENTRADA",Movimientos!$R$5:$R$2001,0)),"-")</f>
        <v>-</v>
      </c>
      <c r="G161" s="3" t="str">
        <f>IFERROR(INDEX(Movimientos!$L$5:$L$2001,MATCH(A161&amp;"ENTRADA",Movimientos!$R$5:$R$2001,0)),"-")</f>
        <v>-</v>
      </c>
      <c r="H161" s="19" t="str">
        <f>IFERROR(IF(INDEX(Movimientos!$M$5:$M$2001,MATCH(A161&amp;"ENTRADA",Movimientos!$R$5:$R$2001,0))=0,"S/D",INDEX(Movimientos!$M$5:$M$2001,MATCH(A161&amp;"ENTRADA",Movimientos!$R$5:$R$2001,0))),"S/D")</f>
        <v>S/D</v>
      </c>
      <c r="I161" s="16" t="str">
        <f t="shared" ca="1" si="6"/>
        <v>S/D</v>
      </c>
      <c r="J161" s="6">
        <f>IF(A161="","",SUMIFS(Movimientos!$K:$K,Movimientos!$H:$H,A161))</f>
        <v>0</v>
      </c>
      <c r="K161" s="14" t="str">
        <f t="shared" ca="1" si="7"/>
        <v>OK</v>
      </c>
    </row>
    <row r="162" spans="1:11">
      <c r="A162" s="18" t="s">
        <v>2223</v>
      </c>
      <c r="B162" s="3" t="str">
        <f>IFERROR(INDEX(Movimientos!$C$5:$C$2001,MATCH(A162&amp;"ENTRADA",Movimientos!$R$5:$R$2001,0)),"-")</f>
        <v>-</v>
      </c>
      <c r="C162" s="3" t="str">
        <f>IFERROR(INDEX(Movimientos!$D$5:$D$2001,MATCH(A162&amp;"ENTRADA",Movimientos!$R$5:$R$2001,0)),"-")</f>
        <v>-</v>
      </c>
      <c r="D162" s="3" t="str">
        <f>IFERROR(INDEX(Movimientos!$E$5:$E$2001,MATCH(A162&amp;"ENTRADA",Movimientos!$R$5:$R$2001,0)),"-")</f>
        <v>-</v>
      </c>
      <c r="E162" s="3" t="str">
        <f>IFERROR(INDEX(Movimientos!$F$5:$F$2001,MATCH(A162&amp;"ENTRADA",Movimientos!$R$5:$R$2001,0)),"-")</f>
        <v>-</v>
      </c>
      <c r="F162" s="3" t="str">
        <f>IFERROR(INDEX(Movimientos!$G$5:$G$2001,MATCH(A162&amp;"ENTRADA",Movimientos!$R$5:$R$2001,0)),"-")</f>
        <v>-</v>
      </c>
      <c r="G162" s="3" t="str">
        <f>IFERROR(INDEX(Movimientos!$L$5:$L$2001,MATCH(A162&amp;"ENTRADA",Movimientos!$R$5:$R$2001,0)),"-")</f>
        <v>-</v>
      </c>
      <c r="H162" s="19" t="str">
        <f>IFERROR(IF(INDEX(Movimientos!$M$5:$M$2001,MATCH(A162&amp;"ENTRADA",Movimientos!$R$5:$R$2001,0))=0,"S/D",INDEX(Movimientos!$M$5:$M$2001,MATCH(A162&amp;"ENTRADA",Movimientos!$R$5:$R$2001,0))),"S/D")</f>
        <v>S/D</v>
      </c>
      <c r="I162" s="16" t="str">
        <f t="shared" ca="1" si="6"/>
        <v>S/D</v>
      </c>
      <c r="J162" s="6">
        <f>IF(A162="","",SUMIFS(Movimientos!$K:$K,Movimientos!$H:$H,A162))</f>
        <v>0</v>
      </c>
      <c r="K162" s="14" t="str">
        <f t="shared" ca="1" si="7"/>
        <v>OK</v>
      </c>
    </row>
    <row r="163" spans="1:11">
      <c r="A163" s="18" t="s">
        <v>2224</v>
      </c>
      <c r="B163" s="3" t="str">
        <f>IFERROR(INDEX(Movimientos!$C$5:$C$2001,MATCH(A163&amp;"ENTRADA",Movimientos!$R$5:$R$2001,0)),"-")</f>
        <v>-</v>
      </c>
      <c r="C163" s="3" t="str">
        <f>IFERROR(INDEX(Movimientos!$D$5:$D$2001,MATCH(A163&amp;"ENTRADA",Movimientos!$R$5:$R$2001,0)),"-")</f>
        <v>-</v>
      </c>
      <c r="D163" s="3" t="str">
        <f>IFERROR(INDEX(Movimientos!$E$5:$E$2001,MATCH(A163&amp;"ENTRADA",Movimientos!$R$5:$R$2001,0)),"-")</f>
        <v>-</v>
      </c>
      <c r="E163" s="3" t="str">
        <f>IFERROR(INDEX(Movimientos!$F$5:$F$2001,MATCH(A163&amp;"ENTRADA",Movimientos!$R$5:$R$2001,0)),"-")</f>
        <v>-</v>
      </c>
      <c r="F163" s="3" t="str">
        <f>IFERROR(INDEX(Movimientos!$G$5:$G$2001,MATCH(A163&amp;"ENTRADA",Movimientos!$R$5:$R$2001,0)),"-")</f>
        <v>-</v>
      </c>
      <c r="G163" s="3" t="str">
        <f>IFERROR(INDEX(Movimientos!$L$5:$L$2001,MATCH(A163&amp;"ENTRADA",Movimientos!$R$5:$R$2001,0)),"-")</f>
        <v>-</v>
      </c>
      <c r="H163" s="19" t="str">
        <f>IFERROR(IF(INDEX(Movimientos!$M$5:$M$2001,MATCH(A163&amp;"ENTRADA",Movimientos!$R$5:$R$2001,0))=0,"S/D",INDEX(Movimientos!$M$5:$M$2001,MATCH(A163&amp;"ENTRADA",Movimientos!$R$5:$R$2001,0))),"S/D")</f>
        <v>S/D</v>
      </c>
      <c r="I163" s="16" t="str">
        <f t="shared" ca="1" si="6"/>
        <v>S/D</v>
      </c>
      <c r="J163" s="6">
        <f>IF(A163="","",SUMIFS(Movimientos!$K:$K,Movimientos!$H:$H,A163))</f>
        <v>0</v>
      </c>
      <c r="K163" s="14" t="str">
        <f t="shared" ca="1" si="7"/>
        <v>OK</v>
      </c>
    </row>
    <row r="164" spans="1:11">
      <c r="A164" s="18" t="s">
        <v>2225</v>
      </c>
      <c r="B164" s="3" t="str">
        <f>IFERROR(INDEX(Movimientos!$C$5:$C$2001,MATCH(A164&amp;"ENTRADA",Movimientos!$R$5:$R$2001,0)),"-")</f>
        <v>-</v>
      </c>
      <c r="C164" s="3" t="str">
        <f>IFERROR(INDEX(Movimientos!$D$5:$D$2001,MATCH(A164&amp;"ENTRADA",Movimientos!$R$5:$R$2001,0)),"-")</f>
        <v>-</v>
      </c>
      <c r="D164" s="3" t="str">
        <f>IFERROR(INDEX(Movimientos!$E$5:$E$2001,MATCH(A164&amp;"ENTRADA",Movimientos!$R$5:$R$2001,0)),"-")</f>
        <v>-</v>
      </c>
      <c r="E164" s="3" t="str">
        <f>IFERROR(INDEX(Movimientos!$F$5:$F$2001,MATCH(A164&amp;"ENTRADA",Movimientos!$R$5:$R$2001,0)),"-")</f>
        <v>-</v>
      </c>
      <c r="F164" s="3" t="str">
        <f>IFERROR(INDEX(Movimientos!$G$5:$G$2001,MATCH(A164&amp;"ENTRADA",Movimientos!$R$5:$R$2001,0)),"-")</f>
        <v>-</v>
      </c>
      <c r="G164" s="3" t="str">
        <f>IFERROR(INDEX(Movimientos!$L$5:$L$2001,MATCH(A164&amp;"ENTRADA",Movimientos!$R$5:$R$2001,0)),"-")</f>
        <v>-</v>
      </c>
      <c r="H164" s="19" t="str">
        <f>IFERROR(IF(INDEX(Movimientos!$M$5:$M$2001,MATCH(A164&amp;"ENTRADA",Movimientos!$R$5:$R$2001,0))=0,"S/D",INDEX(Movimientos!$M$5:$M$2001,MATCH(A164&amp;"ENTRADA",Movimientos!$R$5:$R$2001,0))),"S/D")</f>
        <v>S/D</v>
      </c>
      <c r="I164" s="16" t="str">
        <f t="shared" ca="1" si="6"/>
        <v>S/D</v>
      </c>
      <c r="J164" s="6">
        <f>IF(A164="","",SUMIFS(Movimientos!$K:$K,Movimientos!$H:$H,A164))</f>
        <v>0</v>
      </c>
      <c r="K164" s="14" t="str">
        <f t="shared" ca="1" si="7"/>
        <v>OK</v>
      </c>
    </row>
    <row r="165" spans="1:11">
      <c r="A165" s="18" t="s">
        <v>2226</v>
      </c>
      <c r="B165" s="3" t="str">
        <f>IFERROR(INDEX(Movimientos!$C$5:$C$2001,MATCH(A165&amp;"ENTRADA",Movimientos!$R$5:$R$2001,0)),"-")</f>
        <v>-</v>
      </c>
      <c r="C165" s="3" t="str">
        <f>IFERROR(INDEX(Movimientos!$D$5:$D$2001,MATCH(A165&amp;"ENTRADA",Movimientos!$R$5:$R$2001,0)),"-")</f>
        <v>-</v>
      </c>
      <c r="D165" s="3" t="str">
        <f>IFERROR(INDEX(Movimientos!$E$5:$E$2001,MATCH(A165&amp;"ENTRADA",Movimientos!$R$5:$R$2001,0)),"-")</f>
        <v>-</v>
      </c>
      <c r="E165" s="3" t="str">
        <f>IFERROR(INDEX(Movimientos!$F$5:$F$2001,MATCH(A165&amp;"ENTRADA",Movimientos!$R$5:$R$2001,0)),"-")</f>
        <v>-</v>
      </c>
      <c r="F165" s="3" t="str">
        <f>IFERROR(INDEX(Movimientos!$G$5:$G$2001,MATCH(A165&amp;"ENTRADA",Movimientos!$R$5:$R$2001,0)),"-")</f>
        <v>-</v>
      </c>
      <c r="G165" s="3" t="str">
        <f>IFERROR(INDEX(Movimientos!$L$5:$L$2001,MATCH(A165&amp;"ENTRADA",Movimientos!$R$5:$R$2001,0)),"-")</f>
        <v>-</v>
      </c>
      <c r="H165" s="19" t="str">
        <f>IFERROR(IF(INDEX(Movimientos!$M$5:$M$2001,MATCH(A165&amp;"ENTRADA",Movimientos!$R$5:$R$2001,0))=0,"S/D",INDEX(Movimientos!$M$5:$M$2001,MATCH(A165&amp;"ENTRADA",Movimientos!$R$5:$R$2001,0))),"S/D")</f>
        <v>S/D</v>
      </c>
      <c r="I165" s="16" t="str">
        <f t="shared" ca="1" si="6"/>
        <v>S/D</v>
      </c>
      <c r="J165" s="6">
        <f>IF(A165="","",SUMIFS(Movimientos!$K:$K,Movimientos!$H:$H,A165))</f>
        <v>0</v>
      </c>
      <c r="K165" s="14" t="str">
        <f t="shared" ca="1" si="7"/>
        <v>OK</v>
      </c>
    </row>
    <row r="166" spans="1:11">
      <c r="A166" s="18" t="s">
        <v>2227</v>
      </c>
      <c r="B166" s="3" t="str">
        <f>IFERROR(INDEX(Movimientos!$C$5:$C$2001,MATCH(A166&amp;"ENTRADA",Movimientos!$R$5:$R$2001,0)),"-")</f>
        <v>-</v>
      </c>
      <c r="C166" s="3" t="str">
        <f>IFERROR(INDEX(Movimientos!$D$5:$D$2001,MATCH(A166&amp;"ENTRADA",Movimientos!$R$5:$R$2001,0)),"-")</f>
        <v>-</v>
      </c>
      <c r="D166" s="3" t="str">
        <f>IFERROR(INDEX(Movimientos!$E$5:$E$2001,MATCH(A166&amp;"ENTRADA",Movimientos!$R$5:$R$2001,0)),"-")</f>
        <v>-</v>
      </c>
      <c r="E166" s="3" t="str">
        <f>IFERROR(INDEX(Movimientos!$F$5:$F$2001,MATCH(A166&amp;"ENTRADA",Movimientos!$R$5:$R$2001,0)),"-")</f>
        <v>-</v>
      </c>
      <c r="F166" s="3" t="str">
        <f>IFERROR(INDEX(Movimientos!$G$5:$G$2001,MATCH(A166&amp;"ENTRADA",Movimientos!$R$5:$R$2001,0)),"-")</f>
        <v>-</v>
      </c>
      <c r="G166" s="3" t="str">
        <f>IFERROR(INDEX(Movimientos!$L$5:$L$2001,MATCH(A166&amp;"ENTRADA",Movimientos!$R$5:$R$2001,0)),"-")</f>
        <v>-</v>
      </c>
      <c r="H166" s="19" t="str">
        <f>IFERROR(IF(INDEX(Movimientos!$M$5:$M$2001,MATCH(A166&amp;"ENTRADA",Movimientos!$R$5:$R$2001,0))=0,"S/D",INDEX(Movimientos!$M$5:$M$2001,MATCH(A166&amp;"ENTRADA",Movimientos!$R$5:$R$2001,0))),"S/D")</f>
        <v>S/D</v>
      </c>
      <c r="I166" s="16" t="str">
        <f t="shared" ca="1" si="6"/>
        <v>S/D</v>
      </c>
      <c r="J166" s="6">
        <f>IF(A166="","",SUMIFS(Movimientos!$K:$K,Movimientos!$H:$H,A166))</f>
        <v>0</v>
      </c>
      <c r="K166" s="14" t="str">
        <f t="shared" ca="1" si="7"/>
        <v>OK</v>
      </c>
    </row>
    <row r="167" spans="1:11">
      <c r="A167" s="18" t="s">
        <v>2228</v>
      </c>
      <c r="B167" s="3" t="str">
        <f>IFERROR(INDEX(Movimientos!$C$5:$C$2001,MATCH(A167&amp;"ENTRADA",Movimientos!$R$5:$R$2001,0)),"-")</f>
        <v>-</v>
      </c>
      <c r="C167" s="3" t="str">
        <f>IFERROR(INDEX(Movimientos!$D$5:$D$2001,MATCH(A167&amp;"ENTRADA",Movimientos!$R$5:$R$2001,0)),"-")</f>
        <v>-</v>
      </c>
      <c r="D167" s="3" t="str">
        <f>IFERROR(INDEX(Movimientos!$E$5:$E$2001,MATCH(A167&amp;"ENTRADA",Movimientos!$R$5:$R$2001,0)),"-")</f>
        <v>-</v>
      </c>
      <c r="E167" s="3" t="str">
        <f>IFERROR(INDEX(Movimientos!$F$5:$F$2001,MATCH(A167&amp;"ENTRADA",Movimientos!$R$5:$R$2001,0)),"-")</f>
        <v>-</v>
      </c>
      <c r="F167" s="3" t="str">
        <f>IFERROR(INDEX(Movimientos!$G$5:$G$2001,MATCH(A167&amp;"ENTRADA",Movimientos!$R$5:$R$2001,0)),"-")</f>
        <v>-</v>
      </c>
      <c r="G167" s="3" t="str">
        <f>IFERROR(INDEX(Movimientos!$L$5:$L$2001,MATCH(A167&amp;"ENTRADA",Movimientos!$R$5:$R$2001,0)),"-")</f>
        <v>-</v>
      </c>
      <c r="H167" s="19" t="str">
        <f>IFERROR(IF(INDEX(Movimientos!$M$5:$M$2001,MATCH(A167&amp;"ENTRADA",Movimientos!$R$5:$R$2001,0))=0,"S/D",INDEX(Movimientos!$M$5:$M$2001,MATCH(A167&amp;"ENTRADA",Movimientos!$R$5:$R$2001,0))),"S/D")</f>
        <v>S/D</v>
      </c>
      <c r="I167" s="16" t="str">
        <f t="shared" ca="1" si="6"/>
        <v>S/D</v>
      </c>
      <c r="J167" s="6">
        <f>IF(A167="","",SUMIFS(Movimientos!$K:$K,Movimientos!$H:$H,A167))</f>
        <v>0</v>
      </c>
      <c r="K167" s="14" t="str">
        <f t="shared" ca="1" si="7"/>
        <v>OK</v>
      </c>
    </row>
    <row r="168" spans="1:11">
      <c r="A168" s="18" t="s">
        <v>2229</v>
      </c>
      <c r="B168" s="3" t="str">
        <f>IFERROR(INDEX(Movimientos!$C$5:$C$2001,MATCH(A168&amp;"ENTRADA",Movimientos!$R$5:$R$2001,0)),"-")</f>
        <v>-</v>
      </c>
      <c r="C168" s="3" t="str">
        <f>IFERROR(INDEX(Movimientos!$D$5:$D$2001,MATCH(A168&amp;"ENTRADA",Movimientos!$R$5:$R$2001,0)),"-")</f>
        <v>-</v>
      </c>
      <c r="D168" s="3" t="str">
        <f>IFERROR(INDEX(Movimientos!$E$5:$E$2001,MATCH(A168&amp;"ENTRADA",Movimientos!$R$5:$R$2001,0)),"-")</f>
        <v>-</v>
      </c>
      <c r="E168" s="3" t="str">
        <f>IFERROR(INDEX(Movimientos!$F$5:$F$2001,MATCH(A168&amp;"ENTRADA",Movimientos!$R$5:$R$2001,0)),"-")</f>
        <v>-</v>
      </c>
      <c r="F168" s="3" t="str">
        <f>IFERROR(INDEX(Movimientos!$G$5:$G$2001,MATCH(A168&amp;"ENTRADA",Movimientos!$R$5:$R$2001,0)),"-")</f>
        <v>-</v>
      </c>
      <c r="G168" s="3" t="str">
        <f>IFERROR(INDEX(Movimientos!$L$5:$L$2001,MATCH(A168&amp;"ENTRADA",Movimientos!$R$5:$R$2001,0)),"-")</f>
        <v>-</v>
      </c>
      <c r="H168" s="19" t="str">
        <f>IFERROR(IF(INDEX(Movimientos!$M$5:$M$2001,MATCH(A168&amp;"ENTRADA",Movimientos!$R$5:$R$2001,0))=0,"S/D",INDEX(Movimientos!$M$5:$M$2001,MATCH(A168&amp;"ENTRADA",Movimientos!$R$5:$R$2001,0))),"S/D")</f>
        <v>S/D</v>
      </c>
      <c r="I168" s="16" t="str">
        <f t="shared" ca="1" si="6"/>
        <v>S/D</v>
      </c>
      <c r="J168" s="6">
        <f>IF(A168="","",SUMIFS(Movimientos!$K:$K,Movimientos!$H:$H,A168))</f>
        <v>0</v>
      </c>
      <c r="K168" s="14" t="str">
        <f t="shared" ca="1" si="7"/>
        <v>OK</v>
      </c>
    </row>
    <row r="169" spans="1:11">
      <c r="A169" s="18" t="s">
        <v>2230</v>
      </c>
      <c r="B169" s="3" t="str">
        <f>IFERROR(INDEX(Movimientos!$C$5:$C$2001,MATCH(A169&amp;"ENTRADA",Movimientos!$R$5:$R$2001,0)),"-")</f>
        <v>-</v>
      </c>
      <c r="C169" s="3" t="str">
        <f>IFERROR(INDEX(Movimientos!$D$5:$D$2001,MATCH(A169&amp;"ENTRADA",Movimientos!$R$5:$R$2001,0)),"-")</f>
        <v>-</v>
      </c>
      <c r="D169" s="3" t="str">
        <f>IFERROR(INDEX(Movimientos!$E$5:$E$2001,MATCH(A169&amp;"ENTRADA",Movimientos!$R$5:$R$2001,0)),"-")</f>
        <v>-</v>
      </c>
      <c r="E169" s="3" t="str">
        <f>IFERROR(INDEX(Movimientos!$F$5:$F$2001,MATCH(A169&amp;"ENTRADA",Movimientos!$R$5:$R$2001,0)),"-")</f>
        <v>-</v>
      </c>
      <c r="F169" s="3" t="str">
        <f>IFERROR(INDEX(Movimientos!$G$5:$G$2001,MATCH(A169&amp;"ENTRADA",Movimientos!$R$5:$R$2001,0)),"-")</f>
        <v>-</v>
      </c>
      <c r="G169" s="3" t="str">
        <f>IFERROR(INDEX(Movimientos!$L$5:$L$2001,MATCH(A169&amp;"ENTRADA",Movimientos!$R$5:$R$2001,0)),"-")</f>
        <v>-</v>
      </c>
      <c r="H169" s="19" t="str">
        <f>IFERROR(IF(INDEX(Movimientos!$M$5:$M$2001,MATCH(A169&amp;"ENTRADA",Movimientos!$R$5:$R$2001,0))=0,"S/D",INDEX(Movimientos!$M$5:$M$2001,MATCH(A169&amp;"ENTRADA",Movimientos!$R$5:$R$2001,0))),"S/D")</f>
        <v>S/D</v>
      </c>
      <c r="I169" s="16" t="str">
        <f t="shared" ca="1" si="6"/>
        <v>S/D</v>
      </c>
      <c r="J169" s="6">
        <f>IF(A169="","",SUMIFS(Movimientos!$K:$K,Movimientos!$H:$H,A169))</f>
        <v>0</v>
      </c>
      <c r="K169" s="14" t="str">
        <f t="shared" ca="1" si="7"/>
        <v>OK</v>
      </c>
    </row>
    <row r="170" spans="1:11">
      <c r="A170" s="18" t="s">
        <v>2231</v>
      </c>
      <c r="B170" s="3" t="str">
        <f>IFERROR(INDEX(Movimientos!$C$5:$C$2001,MATCH(A170&amp;"ENTRADA",Movimientos!$R$5:$R$2001,0)),"-")</f>
        <v>-</v>
      </c>
      <c r="C170" s="3" t="str">
        <f>IFERROR(INDEX(Movimientos!$D$5:$D$2001,MATCH(A170&amp;"ENTRADA",Movimientos!$R$5:$R$2001,0)),"-")</f>
        <v>-</v>
      </c>
      <c r="D170" s="3" t="str">
        <f>IFERROR(INDEX(Movimientos!$E$5:$E$2001,MATCH(A170&amp;"ENTRADA",Movimientos!$R$5:$R$2001,0)),"-")</f>
        <v>-</v>
      </c>
      <c r="E170" s="3" t="str">
        <f>IFERROR(INDEX(Movimientos!$F$5:$F$2001,MATCH(A170&amp;"ENTRADA",Movimientos!$R$5:$R$2001,0)),"-")</f>
        <v>-</v>
      </c>
      <c r="F170" s="3" t="str">
        <f>IFERROR(INDEX(Movimientos!$G$5:$G$2001,MATCH(A170&amp;"ENTRADA",Movimientos!$R$5:$R$2001,0)),"-")</f>
        <v>-</v>
      </c>
      <c r="G170" s="3" t="str">
        <f>IFERROR(INDEX(Movimientos!$L$5:$L$2001,MATCH(A170&amp;"ENTRADA",Movimientos!$R$5:$R$2001,0)),"-")</f>
        <v>-</v>
      </c>
      <c r="H170" s="19" t="str">
        <f>IFERROR(IF(INDEX(Movimientos!$M$5:$M$2001,MATCH(A170&amp;"ENTRADA",Movimientos!$R$5:$R$2001,0))=0,"S/D",INDEX(Movimientos!$M$5:$M$2001,MATCH(A170&amp;"ENTRADA",Movimientos!$R$5:$R$2001,0))),"S/D")</f>
        <v>S/D</v>
      </c>
      <c r="I170" s="16" t="str">
        <f t="shared" ca="1" si="6"/>
        <v>S/D</v>
      </c>
      <c r="J170" s="6">
        <f>IF(A170="","",SUMIFS(Movimientos!$K:$K,Movimientos!$H:$H,A170))</f>
        <v>0</v>
      </c>
      <c r="K170" s="14" t="str">
        <f t="shared" ca="1" si="7"/>
        <v>OK</v>
      </c>
    </row>
    <row r="171" spans="1:11">
      <c r="A171" s="18" t="s">
        <v>2232</v>
      </c>
      <c r="B171" s="3" t="str">
        <f>IFERROR(INDEX(Movimientos!$C$5:$C$2001,MATCH(A171&amp;"ENTRADA",Movimientos!$R$5:$R$2001,0)),"-")</f>
        <v>-</v>
      </c>
      <c r="C171" s="3" t="str">
        <f>IFERROR(INDEX(Movimientos!$D$5:$D$2001,MATCH(A171&amp;"ENTRADA",Movimientos!$R$5:$R$2001,0)),"-")</f>
        <v>-</v>
      </c>
      <c r="D171" s="3" t="str">
        <f>IFERROR(INDEX(Movimientos!$E$5:$E$2001,MATCH(A171&amp;"ENTRADA",Movimientos!$R$5:$R$2001,0)),"-")</f>
        <v>-</v>
      </c>
      <c r="E171" s="3" t="str">
        <f>IFERROR(INDEX(Movimientos!$F$5:$F$2001,MATCH(A171&amp;"ENTRADA",Movimientos!$R$5:$R$2001,0)),"-")</f>
        <v>-</v>
      </c>
      <c r="F171" s="3" t="str">
        <f>IFERROR(INDEX(Movimientos!$G$5:$G$2001,MATCH(A171&amp;"ENTRADA",Movimientos!$R$5:$R$2001,0)),"-")</f>
        <v>-</v>
      </c>
      <c r="G171" s="3" t="str">
        <f>IFERROR(INDEX(Movimientos!$L$5:$L$2001,MATCH(A171&amp;"ENTRADA",Movimientos!$R$5:$R$2001,0)),"-")</f>
        <v>-</v>
      </c>
      <c r="H171" s="19" t="str">
        <f>IFERROR(IF(INDEX(Movimientos!$M$5:$M$2001,MATCH(A171&amp;"ENTRADA",Movimientos!$R$5:$R$2001,0))=0,"S/D",INDEX(Movimientos!$M$5:$M$2001,MATCH(A171&amp;"ENTRADA",Movimientos!$R$5:$R$2001,0))),"S/D")</f>
        <v>S/D</v>
      </c>
      <c r="I171" s="16" t="str">
        <f t="shared" ca="1" si="6"/>
        <v>S/D</v>
      </c>
      <c r="J171" s="6">
        <f>IF(A171="","",SUMIFS(Movimientos!$K:$K,Movimientos!$H:$H,A171))</f>
        <v>0</v>
      </c>
      <c r="K171" s="14" t="str">
        <f t="shared" ca="1" si="7"/>
        <v>OK</v>
      </c>
    </row>
    <row r="172" spans="1:11">
      <c r="A172" s="18" t="s">
        <v>2233</v>
      </c>
      <c r="B172" s="3" t="str">
        <f>IFERROR(INDEX(Movimientos!$C$5:$C$2001,MATCH(A172&amp;"ENTRADA",Movimientos!$R$5:$R$2001,0)),"-")</f>
        <v>-</v>
      </c>
      <c r="C172" s="3" t="str">
        <f>IFERROR(INDEX(Movimientos!$D$5:$D$2001,MATCH(A172&amp;"ENTRADA",Movimientos!$R$5:$R$2001,0)),"-")</f>
        <v>-</v>
      </c>
      <c r="D172" s="3" t="str">
        <f>IFERROR(INDEX(Movimientos!$E$5:$E$2001,MATCH(A172&amp;"ENTRADA",Movimientos!$R$5:$R$2001,0)),"-")</f>
        <v>-</v>
      </c>
      <c r="E172" s="3" t="str">
        <f>IFERROR(INDEX(Movimientos!$F$5:$F$2001,MATCH(A172&amp;"ENTRADA",Movimientos!$R$5:$R$2001,0)),"-")</f>
        <v>-</v>
      </c>
      <c r="F172" s="3" t="str">
        <f>IFERROR(INDEX(Movimientos!$G$5:$G$2001,MATCH(A172&amp;"ENTRADA",Movimientos!$R$5:$R$2001,0)),"-")</f>
        <v>-</v>
      </c>
      <c r="G172" s="3" t="str">
        <f>IFERROR(INDEX(Movimientos!$L$5:$L$2001,MATCH(A172&amp;"ENTRADA",Movimientos!$R$5:$R$2001,0)),"-")</f>
        <v>-</v>
      </c>
      <c r="H172" s="19" t="str">
        <f>IFERROR(IF(INDEX(Movimientos!$M$5:$M$2001,MATCH(A172&amp;"ENTRADA",Movimientos!$R$5:$R$2001,0))=0,"S/D",INDEX(Movimientos!$M$5:$M$2001,MATCH(A172&amp;"ENTRADA",Movimientos!$R$5:$R$2001,0))),"S/D")</f>
        <v>S/D</v>
      </c>
      <c r="I172" s="16" t="str">
        <f t="shared" ca="1" si="6"/>
        <v>S/D</v>
      </c>
      <c r="J172" s="6">
        <f>IF(A172="","",SUMIFS(Movimientos!$K:$K,Movimientos!$H:$H,A172))</f>
        <v>0</v>
      </c>
      <c r="K172" s="14" t="str">
        <f t="shared" ca="1" si="7"/>
        <v>OK</v>
      </c>
    </row>
    <row r="173" spans="1:11">
      <c r="A173" s="18" t="s">
        <v>2234</v>
      </c>
      <c r="B173" s="3" t="str">
        <f>IFERROR(INDEX(Movimientos!$C$5:$C$2001,MATCH(A173&amp;"ENTRADA",Movimientos!$R$5:$R$2001,0)),"-")</f>
        <v>-</v>
      </c>
      <c r="C173" s="3" t="str">
        <f>IFERROR(INDEX(Movimientos!$D$5:$D$2001,MATCH(A173&amp;"ENTRADA",Movimientos!$R$5:$R$2001,0)),"-")</f>
        <v>-</v>
      </c>
      <c r="D173" s="3" t="str">
        <f>IFERROR(INDEX(Movimientos!$E$5:$E$2001,MATCH(A173&amp;"ENTRADA",Movimientos!$R$5:$R$2001,0)),"-")</f>
        <v>-</v>
      </c>
      <c r="E173" s="3" t="str">
        <f>IFERROR(INDEX(Movimientos!$F$5:$F$2001,MATCH(A173&amp;"ENTRADA",Movimientos!$R$5:$R$2001,0)),"-")</f>
        <v>-</v>
      </c>
      <c r="F173" s="3" t="str">
        <f>IFERROR(INDEX(Movimientos!$G$5:$G$2001,MATCH(A173&amp;"ENTRADA",Movimientos!$R$5:$R$2001,0)),"-")</f>
        <v>-</v>
      </c>
      <c r="G173" s="3" t="str">
        <f>IFERROR(INDEX(Movimientos!$L$5:$L$2001,MATCH(A173&amp;"ENTRADA",Movimientos!$R$5:$R$2001,0)),"-")</f>
        <v>-</v>
      </c>
      <c r="H173" s="19" t="str">
        <f>IFERROR(IF(INDEX(Movimientos!$M$5:$M$2001,MATCH(A173&amp;"ENTRADA",Movimientos!$R$5:$R$2001,0))=0,"S/D",INDEX(Movimientos!$M$5:$M$2001,MATCH(A173&amp;"ENTRADA",Movimientos!$R$5:$R$2001,0))),"S/D")</f>
        <v>S/D</v>
      </c>
      <c r="I173" s="16" t="str">
        <f t="shared" ca="1" si="6"/>
        <v>S/D</v>
      </c>
      <c r="J173" s="6">
        <f>IF(A173="","",SUMIFS(Movimientos!$K:$K,Movimientos!$H:$H,A173))</f>
        <v>0</v>
      </c>
      <c r="K173" s="14" t="str">
        <f t="shared" ca="1" si="7"/>
        <v>OK</v>
      </c>
    </row>
    <row r="174" spans="1:11">
      <c r="A174" s="18" t="s">
        <v>2235</v>
      </c>
      <c r="B174" s="3" t="str">
        <f>IFERROR(INDEX(Movimientos!$C$5:$C$2001,MATCH(A174&amp;"ENTRADA",Movimientos!$R$5:$R$2001,0)),"-")</f>
        <v>-</v>
      </c>
      <c r="C174" s="3" t="str">
        <f>IFERROR(INDEX(Movimientos!$D$5:$D$2001,MATCH(A174&amp;"ENTRADA",Movimientos!$R$5:$R$2001,0)),"-")</f>
        <v>-</v>
      </c>
      <c r="D174" s="3" t="str">
        <f>IFERROR(INDEX(Movimientos!$E$5:$E$2001,MATCH(A174&amp;"ENTRADA",Movimientos!$R$5:$R$2001,0)),"-")</f>
        <v>-</v>
      </c>
      <c r="E174" s="3" t="str">
        <f>IFERROR(INDEX(Movimientos!$F$5:$F$2001,MATCH(A174&amp;"ENTRADA",Movimientos!$R$5:$R$2001,0)),"-")</f>
        <v>-</v>
      </c>
      <c r="F174" s="3" t="str">
        <f>IFERROR(INDEX(Movimientos!$G$5:$G$2001,MATCH(A174&amp;"ENTRADA",Movimientos!$R$5:$R$2001,0)),"-")</f>
        <v>-</v>
      </c>
      <c r="G174" s="3" t="str">
        <f>IFERROR(INDEX(Movimientos!$L$5:$L$2001,MATCH(A174&amp;"ENTRADA",Movimientos!$R$5:$R$2001,0)),"-")</f>
        <v>-</v>
      </c>
      <c r="H174" s="19" t="str">
        <f>IFERROR(IF(INDEX(Movimientos!$M$5:$M$2001,MATCH(A174&amp;"ENTRADA",Movimientos!$R$5:$R$2001,0))=0,"S/D",INDEX(Movimientos!$M$5:$M$2001,MATCH(A174&amp;"ENTRADA",Movimientos!$R$5:$R$2001,0))),"S/D")</f>
        <v>S/D</v>
      </c>
      <c r="I174" s="16" t="str">
        <f t="shared" ca="1" si="6"/>
        <v>S/D</v>
      </c>
      <c r="J174" s="6">
        <f>IF(A174="","",SUMIFS(Movimientos!$K:$K,Movimientos!$H:$H,A174))</f>
        <v>0</v>
      </c>
      <c r="K174" s="14" t="str">
        <f t="shared" ca="1" si="7"/>
        <v>OK</v>
      </c>
    </row>
    <row r="175" spans="1:11">
      <c r="A175" s="18" t="s">
        <v>2236</v>
      </c>
      <c r="B175" s="3" t="str">
        <f>IFERROR(INDEX(Movimientos!$C$5:$C$2001,MATCH(A175&amp;"ENTRADA",Movimientos!$R$5:$R$2001,0)),"-")</f>
        <v>-</v>
      </c>
      <c r="C175" s="3" t="str">
        <f>IFERROR(INDEX(Movimientos!$D$5:$D$2001,MATCH(A175&amp;"ENTRADA",Movimientos!$R$5:$R$2001,0)),"-")</f>
        <v>-</v>
      </c>
      <c r="D175" s="3" t="str">
        <f>IFERROR(INDEX(Movimientos!$E$5:$E$2001,MATCH(A175&amp;"ENTRADA",Movimientos!$R$5:$R$2001,0)),"-")</f>
        <v>-</v>
      </c>
      <c r="E175" s="3" t="str">
        <f>IFERROR(INDEX(Movimientos!$F$5:$F$2001,MATCH(A175&amp;"ENTRADA",Movimientos!$R$5:$R$2001,0)),"-")</f>
        <v>-</v>
      </c>
      <c r="F175" s="3" t="str">
        <f>IFERROR(INDEX(Movimientos!$G$5:$G$2001,MATCH(A175&amp;"ENTRADA",Movimientos!$R$5:$R$2001,0)),"-")</f>
        <v>-</v>
      </c>
      <c r="G175" s="3" t="str">
        <f>IFERROR(INDEX(Movimientos!$L$5:$L$2001,MATCH(A175&amp;"ENTRADA",Movimientos!$R$5:$R$2001,0)),"-")</f>
        <v>-</v>
      </c>
      <c r="H175" s="19" t="str">
        <f>IFERROR(IF(INDEX(Movimientos!$M$5:$M$2001,MATCH(A175&amp;"ENTRADA",Movimientos!$R$5:$R$2001,0))=0,"S/D",INDEX(Movimientos!$M$5:$M$2001,MATCH(A175&amp;"ENTRADA",Movimientos!$R$5:$R$2001,0))),"S/D")</f>
        <v>S/D</v>
      </c>
      <c r="I175" s="16" t="str">
        <f t="shared" ca="1" si="6"/>
        <v>S/D</v>
      </c>
      <c r="J175" s="6">
        <f>IF(A175="","",SUMIFS(Movimientos!$K:$K,Movimientos!$H:$H,A175))</f>
        <v>0</v>
      </c>
      <c r="K175" s="14" t="str">
        <f t="shared" ca="1" si="7"/>
        <v>OK</v>
      </c>
    </row>
    <row r="176" spans="1:11">
      <c r="A176" s="18" t="s">
        <v>2237</v>
      </c>
      <c r="B176" s="3" t="str">
        <f>IFERROR(INDEX(Movimientos!$C$5:$C$2001,MATCH(A176&amp;"ENTRADA",Movimientos!$R$5:$R$2001,0)),"-")</f>
        <v>-</v>
      </c>
      <c r="C176" s="3" t="str">
        <f>IFERROR(INDEX(Movimientos!$D$5:$D$2001,MATCH(A176&amp;"ENTRADA",Movimientos!$R$5:$R$2001,0)),"-")</f>
        <v>-</v>
      </c>
      <c r="D176" s="3" t="str">
        <f>IFERROR(INDEX(Movimientos!$E$5:$E$2001,MATCH(A176&amp;"ENTRADA",Movimientos!$R$5:$R$2001,0)),"-")</f>
        <v>-</v>
      </c>
      <c r="E176" s="3" t="str">
        <f>IFERROR(INDEX(Movimientos!$F$5:$F$2001,MATCH(A176&amp;"ENTRADA",Movimientos!$R$5:$R$2001,0)),"-")</f>
        <v>-</v>
      </c>
      <c r="F176" s="3" t="str">
        <f>IFERROR(INDEX(Movimientos!$G$5:$G$2001,MATCH(A176&amp;"ENTRADA",Movimientos!$R$5:$R$2001,0)),"-")</f>
        <v>-</v>
      </c>
      <c r="G176" s="3" t="str">
        <f>IFERROR(INDEX(Movimientos!$L$5:$L$2001,MATCH(A176&amp;"ENTRADA",Movimientos!$R$5:$R$2001,0)),"-")</f>
        <v>-</v>
      </c>
      <c r="H176" s="19" t="str">
        <f>IFERROR(IF(INDEX(Movimientos!$M$5:$M$2001,MATCH(A176&amp;"ENTRADA",Movimientos!$R$5:$R$2001,0))=0,"S/D",INDEX(Movimientos!$M$5:$M$2001,MATCH(A176&amp;"ENTRADA",Movimientos!$R$5:$R$2001,0))),"S/D")</f>
        <v>S/D</v>
      </c>
      <c r="I176" s="16" t="str">
        <f t="shared" ca="1" si="6"/>
        <v>S/D</v>
      </c>
      <c r="J176" s="6">
        <f>IF(A176="","",SUMIFS(Movimientos!$K:$K,Movimientos!$H:$H,A176))</f>
        <v>0</v>
      </c>
      <c r="K176" s="14" t="str">
        <f t="shared" ca="1" si="7"/>
        <v>OK</v>
      </c>
    </row>
    <row r="177" spans="1:11">
      <c r="A177" s="18" t="s">
        <v>2238</v>
      </c>
      <c r="B177" s="3" t="str">
        <f>IFERROR(INDEX(Movimientos!$C$5:$C$2001,MATCH(A177&amp;"ENTRADA",Movimientos!$R$5:$R$2001,0)),"-")</f>
        <v>-</v>
      </c>
      <c r="C177" s="3" t="str">
        <f>IFERROR(INDEX(Movimientos!$D$5:$D$2001,MATCH(A177&amp;"ENTRADA",Movimientos!$R$5:$R$2001,0)),"-")</f>
        <v>-</v>
      </c>
      <c r="D177" s="3" t="str">
        <f>IFERROR(INDEX(Movimientos!$E$5:$E$2001,MATCH(A177&amp;"ENTRADA",Movimientos!$R$5:$R$2001,0)),"-")</f>
        <v>-</v>
      </c>
      <c r="E177" s="3" t="str">
        <f>IFERROR(INDEX(Movimientos!$F$5:$F$2001,MATCH(A177&amp;"ENTRADA",Movimientos!$R$5:$R$2001,0)),"-")</f>
        <v>-</v>
      </c>
      <c r="F177" s="3" t="str">
        <f>IFERROR(INDEX(Movimientos!$G$5:$G$2001,MATCH(A177&amp;"ENTRADA",Movimientos!$R$5:$R$2001,0)),"-")</f>
        <v>-</v>
      </c>
      <c r="G177" s="3" t="str">
        <f>IFERROR(INDEX(Movimientos!$L$5:$L$2001,MATCH(A177&amp;"ENTRADA",Movimientos!$R$5:$R$2001,0)),"-")</f>
        <v>-</v>
      </c>
      <c r="H177" s="19" t="str">
        <f>IFERROR(IF(INDEX(Movimientos!$M$5:$M$2001,MATCH(A177&amp;"ENTRADA",Movimientos!$R$5:$R$2001,0))=0,"S/D",INDEX(Movimientos!$M$5:$M$2001,MATCH(A177&amp;"ENTRADA",Movimientos!$R$5:$R$2001,0))),"S/D")</f>
        <v>S/D</v>
      </c>
      <c r="I177" s="16" t="str">
        <f t="shared" ca="1" si="6"/>
        <v>S/D</v>
      </c>
      <c r="J177" s="6">
        <f>IF(A177="","",SUMIFS(Movimientos!$K:$K,Movimientos!$H:$H,A177))</f>
        <v>0</v>
      </c>
      <c r="K177" s="14" t="str">
        <f t="shared" ca="1" si="7"/>
        <v>OK</v>
      </c>
    </row>
    <row r="178" spans="1:11">
      <c r="A178" s="18" t="s">
        <v>2239</v>
      </c>
      <c r="B178" s="3" t="str">
        <f>IFERROR(INDEX(Movimientos!$C$5:$C$2001,MATCH(A178&amp;"ENTRADA",Movimientos!$R$5:$R$2001,0)),"-")</f>
        <v>-</v>
      </c>
      <c r="C178" s="3" t="str">
        <f>IFERROR(INDEX(Movimientos!$D$5:$D$2001,MATCH(A178&amp;"ENTRADA",Movimientos!$R$5:$R$2001,0)),"-")</f>
        <v>-</v>
      </c>
      <c r="D178" s="3" t="str">
        <f>IFERROR(INDEX(Movimientos!$E$5:$E$2001,MATCH(A178&amp;"ENTRADA",Movimientos!$R$5:$R$2001,0)),"-")</f>
        <v>-</v>
      </c>
      <c r="E178" s="3" t="str">
        <f>IFERROR(INDEX(Movimientos!$F$5:$F$2001,MATCH(A178&amp;"ENTRADA",Movimientos!$R$5:$R$2001,0)),"-")</f>
        <v>-</v>
      </c>
      <c r="F178" s="3" t="str">
        <f>IFERROR(INDEX(Movimientos!$G$5:$G$2001,MATCH(A178&amp;"ENTRADA",Movimientos!$R$5:$R$2001,0)),"-")</f>
        <v>-</v>
      </c>
      <c r="G178" s="3" t="str">
        <f>IFERROR(INDEX(Movimientos!$L$5:$L$2001,MATCH(A178&amp;"ENTRADA",Movimientos!$R$5:$R$2001,0)),"-")</f>
        <v>-</v>
      </c>
      <c r="H178" s="19" t="str">
        <f>IFERROR(IF(INDEX(Movimientos!$M$5:$M$2001,MATCH(A178&amp;"ENTRADA",Movimientos!$R$5:$R$2001,0))=0,"S/D",INDEX(Movimientos!$M$5:$M$2001,MATCH(A178&amp;"ENTRADA",Movimientos!$R$5:$R$2001,0))),"S/D")</f>
        <v>S/D</v>
      </c>
      <c r="I178" s="16" t="str">
        <f t="shared" ca="1" si="6"/>
        <v>S/D</v>
      </c>
      <c r="J178" s="6">
        <f>IF(A178="","",SUMIFS(Movimientos!$K:$K,Movimientos!$H:$H,A178))</f>
        <v>0</v>
      </c>
      <c r="K178" s="14" t="str">
        <f t="shared" ca="1" si="7"/>
        <v>OK</v>
      </c>
    </row>
    <row r="179" spans="1:11">
      <c r="A179" s="18" t="s">
        <v>2240</v>
      </c>
      <c r="B179" s="3" t="str">
        <f>IFERROR(INDEX(Movimientos!$C$5:$C$2001,MATCH(A179&amp;"ENTRADA",Movimientos!$R$5:$R$2001,0)),"-")</f>
        <v>-</v>
      </c>
      <c r="C179" s="3" t="str">
        <f>IFERROR(INDEX(Movimientos!$D$5:$D$2001,MATCH(A179&amp;"ENTRADA",Movimientos!$R$5:$R$2001,0)),"-")</f>
        <v>-</v>
      </c>
      <c r="D179" s="3" t="str">
        <f>IFERROR(INDEX(Movimientos!$E$5:$E$2001,MATCH(A179&amp;"ENTRADA",Movimientos!$R$5:$R$2001,0)),"-")</f>
        <v>-</v>
      </c>
      <c r="E179" s="3" t="str">
        <f>IFERROR(INDEX(Movimientos!$F$5:$F$2001,MATCH(A179&amp;"ENTRADA",Movimientos!$R$5:$R$2001,0)),"-")</f>
        <v>-</v>
      </c>
      <c r="F179" s="3" t="str">
        <f>IFERROR(INDEX(Movimientos!$G$5:$G$2001,MATCH(A179&amp;"ENTRADA",Movimientos!$R$5:$R$2001,0)),"-")</f>
        <v>-</v>
      </c>
      <c r="G179" s="3" t="str">
        <f>IFERROR(INDEX(Movimientos!$L$5:$L$2001,MATCH(A179&amp;"ENTRADA",Movimientos!$R$5:$R$2001,0)),"-")</f>
        <v>-</v>
      </c>
      <c r="H179" s="19" t="str">
        <f>IFERROR(IF(INDEX(Movimientos!$M$5:$M$2001,MATCH(A179&amp;"ENTRADA",Movimientos!$R$5:$R$2001,0))=0,"S/D",INDEX(Movimientos!$M$5:$M$2001,MATCH(A179&amp;"ENTRADA",Movimientos!$R$5:$R$2001,0))),"S/D")</f>
        <v>S/D</v>
      </c>
      <c r="I179" s="16" t="str">
        <f t="shared" ca="1" si="6"/>
        <v>S/D</v>
      </c>
      <c r="J179" s="6">
        <f>IF(A179="","",SUMIFS(Movimientos!$K:$K,Movimientos!$H:$H,A179))</f>
        <v>0</v>
      </c>
      <c r="K179" s="14" t="str">
        <f t="shared" ca="1" si="7"/>
        <v>OK</v>
      </c>
    </row>
    <row r="180" spans="1:11">
      <c r="A180" s="18" t="s">
        <v>2241</v>
      </c>
      <c r="B180" s="3" t="str">
        <f>IFERROR(INDEX(Movimientos!$C$5:$C$2001,MATCH(A180&amp;"ENTRADA",Movimientos!$R$5:$R$2001,0)),"-")</f>
        <v>-</v>
      </c>
      <c r="C180" s="3" t="str">
        <f>IFERROR(INDEX(Movimientos!$D$5:$D$2001,MATCH(A180&amp;"ENTRADA",Movimientos!$R$5:$R$2001,0)),"-")</f>
        <v>-</v>
      </c>
      <c r="D180" s="3" t="str">
        <f>IFERROR(INDEX(Movimientos!$E$5:$E$2001,MATCH(A180&amp;"ENTRADA",Movimientos!$R$5:$R$2001,0)),"-")</f>
        <v>-</v>
      </c>
      <c r="E180" s="3" t="str">
        <f>IFERROR(INDEX(Movimientos!$F$5:$F$2001,MATCH(A180&amp;"ENTRADA",Movimientos!$R$5:$R$2001,0)),"-")</f>
        <v>-</v>
      </c>
      <c r="F180" s="3" t="str">
        <f>IFERROR(INDEX(Movimientos!$G$5:$G$2001,MATCH(A180&amp;"ENTRADA",Movimientos!$R$5:$R$2001,0)),"-")</f>
        <v>-</v>
      </c>
      <c r="G180" s="3" t="str">
        <f>IFERROR(INDEX(Movimientos!$L$5:$L$2001,MATCH(A180&amp;"ENTRADA",Movimientos!$R$5:$R$2001,0)),"-")</f>
        <v>-</v>
      </c>
      <c r="H180" s="19" t="str">
        <f>IFERROR(IF(INDEX(Movimientos!$M$5:$M$2001,MATCH(A180&amp;"ENTRADA",Movimientos!$R$5:$R$2001,0))=0,"S/D",INDEX(Movimientos!$M$5:$M$2001,MATCH(A180&amp;"ENTRADA",Movimientos!$R$5:$R$2001,0))),"S/D")</f>
        <v>S/D</v>
      </c>
      <c r="I180" s="16" t="str">
        <f t="shared" ca="1" si="6"/>
        <v>S/D</v>
      </c>
      <c r="J180" s="6">
        <f>IF(A180="","",SUMIFS(Movimientos!$K:$K,Movimientos!$H:$H,A180))</f>
        <v>0</v>
      </c>
      <c r="K180" s="14" t="str">
        <f t="shared" ca="1" si="7"/>
        <v>OK</v>
      </c>
    </row>
    <row r="181" spans="1:11">
      <c r="A181" s="18" t="s">
        <v>2242</v>
      </c>
      <c r="B181" s="3" t="str">
        <f>IFERROR(INDEX(Movimientos!$C$5:$C$2001,MATCH(A181&amp;"ENTRADA",Movimientos!$R$5:$R$2001,0)),"-")</f>
        <v>-</v>
      </c>
      <c r="C181" s="3" t="str">
        <f>IFERROR(INDEX(Movimientos!$D$5:$D$2001,MATCH(A181&amp;"ENTRADA",Movimientos!$R$5:$R$2001,0)),"-")</f>
        <v>-</v>
      </c>
      <c r="D181" s="3" t="str">
        <f>IFERROR(INDEX(Movimientos!$E$5:$E$2001,MATCH(A181&amp;"ENTRADA",Movimientos!$R$5:$R$2001,0)),"-")</f>
        <v>-</v>
      </c>
      <c r="E181" s="3" t="str">
        <f>IFERROR(INDEX(Movimientos!$F$5:$F$2001,MATCH(A181&amp;"ENTRADA",Movimientos!$R$5:$R$2001,0)),"-")</f>
        <v>-</v>
      </c>
      <c r="F181" s="3" t="str">
        <f>IFERROR(INDEX(Movimientos!$G$5:$G$2001,MATCH(A181&amp;"ENTRADA",Movimientos!$R$5:$R$2001,0)),"-")</f>
        <v>-</v>
      </c>
      <c r="G181" s="3" t="str">
        <f>IFERROR(INDEX(Movimientos!$L$5:$L$2001,MATCH(A181&amp;"ENTRADA",Movimientos!$R$5:$R$2001,0)),"-")</f>
        <v>-</v>
      </c>
      <c r="H181" s="19" t="str">
        <f>IFERROR(IF(INDEX(Movimientos!$M$5:$M$2001,MATCH(A181&amp;"ENTRADA",Movimientos!$R$5:$R$2001,0))=0,"S/D",INDEX(Movimientos!$M$5:$M$2001,MATCH(A181&amp;"ENTRADA",Movimientos!$R$5:$R$2001,0))),"S/D")</f>
        <v>S/D</v>
      </c>
      <c r="I181" s="16" t="str">
        <f t="shared" ca="1" si="6"/>
        <v>S/D</v>
      </c>
      <c r="J181" s="6">
        <f>IF(A181="","",SUMIFS(Movimientos!$K:$K,Movimientos!$H:$H,A181))</f>
        <v>0</v>
      </c>
      <c r="K181" s="14" t="str">
        <f t="shared" ca="1" si="7"/>
        <v>OK</v>
      </c>
    </row>
    <row r="182" spans="1:11">
      <c r="A182" s="18" t="s">
        <v>2243</v>
      </c>
      <c r="B182" s="3" t="str">
        <f>IFERROR(INDEX(Movimientos!$C$5:$C$2001,MATCH(A182&amp;"ENTRADA",Movimientos!$R$5:$R$2001,0)),"-")</f>
        <v>-</v>
      </c>
      <c r="C182" s="3" t="str">
        <f>IFERROR(INDEX(Movimientos!$D$5:$D$2001,MATCH(A182&amp;"ENTRADA",Movimientos!$R$5:$R$2001,0)),"-")</f>
        <v>-</v>
      </c>
      <c r="D182" s="3" t="str">
        <f>IFERROR(INDEX(Movimientos!$E$5:$E$2001,MATCH(A182&amp;"ENTRADA",Movimientos!$R$5:$R$2001,0)),"-")</f>
        <v>-</v>
      </c>
      <c r="E182" s="3" t="str">
        <f>IFERROR(INDEX(Movimientos!$F$5:$F$2001,MATCH(A182&amp;"ENTRADA",Movimientos!$R$5:$R$2001,0)),"-")</f>
        <v>-</v>
      </c>
      <c r="F182" s="3" t="str">
        <f>IFERROR(INDEX(Movimientos!$G$5:$G$2001,MATCH(A182&amp;"ENTRADA",Movimientos!$R$5:$R$2001,0)),"-")</f>
        <v>-</v>
      </c>
      <c r="G182" s="3" t="str">
        <f>IFERROR(INDEX(Movimientos!$L$5:$L$2001,MATCH(A182&amp;"ENTRADA",Movimientos!$R$5:$R$2001,0)),"-")</f>
        <v>-</v>
      </c>
      <c r="H182" s="19" t="str">
        <f>IFERROR(IF(INDEX(Movimientos!$M$5:$M$2001,MATCH(A182&amp;"ENTRADA",Movimientos!$R$5:$R$2001,0))=0,"S/D",INDEX(Movimientos!$M$5:$M$2001,MATCH(A182&amp;"ENTRADA",Movimientos!$R$5:$R$2001,0))),"S/D")</f>
        <v>S/D</v>
      </c>
      <c r="I182" s="16" t="str">
        <f t="shared" ca="1" si="6"/>
        <v>S/D</v>
      </c>
      <c r="J182" s="6">
        <f>IF(A182="","",SUMIFS(Movimientos!$K:$K,Movimientos!$H:$H,A182))</f>
        <v>0</v>
      </c>
      <c r="K182" s="14" t="str">
        <f t="shared" ca="1" si="7"/>
        <v>OK</v>
      </c>
    </row>
    <row r="183" spans="1:11">
      <c r="A183" s="18" t="s">
        <v>2244</v>
      </c>
      <c r="B183" s="3" t="str">
        <f>IFERROR(INDEX(Movimientos!$C$5:$C$2001,MATCH(A183&amp;"ENTRADA",Movimientos!$R$5:$R$2001,0)),"-")</f>
        <v>-</v>
      </c>
      <c r="C183" s="3" t="str">
        <f>IFERROR(INDEX(Movimientos!$D$5:$D$2001,MATCH(A183&amp;"ENTRADA",Movimientos!$R$5:$R$2001,0)),"-")</f>
        <v>-</v>
      </c>
      <c r="D183" s="3" t="str">
        <f>IFERROR(INDEX(Movimientos!$E$5:$E$2001,MATCH(A183&amp;"ENTRADA",Movimientos!$R$5:$R$2001,0)),"-")</f>
        <v>-</v>
      </c>
      <c r="E183" s="3" t="str">
        <f>IFERROR(INDEX(Movimientos!$F$5:$F$2001,MATCH(A183&amp;"ENTRADA",Movimientos!$R$5:$R$2001,0)),"-")</f>
        <v>-</v>
      </c>
      <c r="F183" s="3" t="str">
        <f>IFERROR(INDEX(Movimientos!$G$5:$G$2001,MATCH(A183&amp;"ENTRADA",Movimientos!$R$5:$R$2001,0)),"-")</f>
        <v>-</v>
      </c>
      <c r="G183" s="3" t="str">
        <f>IFERROR(INDEX(Movimientos!$L$5:$L$2001,MATCH(A183&amp;"ENTRADA",Movimientos!$R$5:$R$2001,0)),"-")</f>
        <v>-</v>
      </c>
      <c r="H183" s="19" t="str">
        <f>IFERROR(IF(INDEX(Movimientos!$M$5:$M$2001,MATCH(A183&amp;"ENTRADA",Movimientos!$R$5:$R$2001,0))=0,"S/D",INDEX(Movimientos!$M$5:$M$2001,MATCH(A183&amp;"ENTRADA",Movimientos!$R$5:$R$2001,0))),"S/D")</f>
        <v>S/D</v>
      </c>
      <c r="I183" s="16" t="str">
        <f t="shared" ca="1" si="6"/>
        <v>S/D</v>
      </c>
      <c r="J183" s="6">
        <f>IF(A183="","",SUMIFS(Movimientos!$K:$K,Movimientos!$H:$H,A183))</f>
        <v>0</v>
      </c>
      <c r="K183" s="14" t="str">
        <f t="shared" ca="1" si="7"/>
        <v>OK</v>
      </c>
    </row>
    <row r="184" spans="1:11">
      <c r="A184" s="18" t="s">
        <v>2245</v>
      </c>
      <c r="B184" s="3" t="str">
        <f>IFERROR(INDEX(Movimientos!$C$5:$C$2001,MATCH(A184&amp;"ENTRADA",Movimientos!$R$5:$R$2001,0)),"-")</f>
        <v>-</v>
      </c>
      <c r="C184" s="3" t="str">
        <f>IFERROR(INDEX(Movimientos!$D$5:$D$2001,MATCH(A184&amp;"ENTRADA",Movimientos!$R$5:$R$2001,0)),"-")</f>
        <v>-</v>
      </c>
      <c r="D184" s="3" t="str">
        <f>IFERROR(INDEX(Movimientos!$E$5:$E$2001,MATCH(A184&amp;"ENTRADA",Movimientos!$R$5:$R$2001,0)),"-")</f>
        <v>-</v>
      </c>
      <c r="E184" s="3" t="str">
        <f>IFERROR(INDEX(Movimientos!$F$5:$F$2001,MATCH(A184&amp;"ENTRADA",Movimientos!$R$5:$R$2001,0)),"-")</f>
        <v>-</v>
      </c>
      <c r="F184" s="3" t="str">
        <f>IFERROR(INDEX(Movimientos!$G$5:$G$2001,MATCH(A184&amp;"ENTRADA",Movimientos!$R$5:$R$2001,0)),"-")</f>
        <v>-</v>
      </c>
      <c r="G184" s="3" t="str">
        <f>IFERROR(INDEX(Movimientos!$L$5:$L$2001,MATCH(A184&amp;"ENTRADA",Movimientos!$R$5:$R$2001,0)),"-")</f>
        <v>-</v>
      </c>
      <c r="H184" s="19" t="str">
        <f>IFERROR(IF(INDEX(Movimientos!$M$5:$M$2001,MATCH(A184&amp;"ENTRADA",Movimientos!$R$5:$R$2001,0))=0,"S/D",INDEX(Movimientos!$M$5:$M$2001,MATCH(A184&amp;"ENTRADA",Movimientos!$R$5:$R$2001,0))),"S/D")</f>
        <v>S/D</v>
      </c>
      <c r="I184" s="16" t="str">
        <f t="shared" ca="1" si="6"/>
        <v>S/D</v>
      </c>
      <c r="J184" s="6">
        <f>IF(A184="","",SUMIFS(Movimientos!$K:$K,Movimientos!$H:$H,A184))</f>
        <v>0</v>
      </c>
      <c r="K184" s="14" t="str">
        <f t="shared" ca="1" si="7"/>
        <v>OK</v>
      </c>
    </row>
    <row r="185" spans="1:11">
      <c r="A185" s="18" t="s">
        <v>2246</v>
      </c>
      <c r="B185" s="3" t="str">
        <f>IFERROR(INDEX(Movimientos!$C$5:$C$2001,MATCH(A185&amp;"ENTRADA",Movimientos!$R$5:$R$2001,0)),"-")</f>
        <v>-</v>
      </c>
      <c r="C185" s="3" t="str">
        <f>IFERROR(INDEX(Movimientos!$D$5:$D$2001,MATCH(A185&amp;"ENTRADA",Movimientos!$R$5:$R$2001,0)),"-")</f>
        <v>-</v>
      </c>
      <c r="D185" s="3" t="str">
        <f>IFERROR(INDEX(Movimientos!$E$5:$E$2001,MATCH(A185&amp;"ENTRADA",Movimientos!$R$5:$R$2001,0)),"-")</f>
        <v>-</v>
      </c>
      <c r="E185" s="3" t="str">
        <f>IFERROR(INDEX(Movimientos!$F$5:$F$2001,MATCH(A185&amp;"ENTRADA",Movimientos!$R$5:$R$2001,0)),"-")</f>
        <v>-</v>
      </c>
      <c r="F185" s="3" t="str">
        <f>IFERROR(INDEX(Movimientos!$G$5:$G$2001,MATCH(A185&amp;"ENTRADA",Movimientos!$R$5:$R$2001,0)),"-")</f>
        <v>-</v>
      </c>
      <c r="G185" s="3" t="str">
        <f>IFERROR(INDEX(Movimientos!$L$5:$L$2001,MATCH(A185&amp;"ENTRADA",Movimientos!$R$5:$R$2001,0)),"-")</f>
        <v>-</v>
      </c>
      <c r="H185" s="19" t="str">
        <f>IFERROR(IF(INDEX(Movimientos!$M$5:$M$2001,MATCH(A185&amp;"ENTRADA",Movimientos!$R$5:$R$2001,0))=0,"S/D",INDEX(Movimientos!$M$5:$M$2001,MATCH(A185&amp;"ENTRADA",Movimientos!$R$5:$R$2001,0))),"S/D")</f>
        <v>S/D</v>
      </c>
      <c r="I185" s="16" t="str">
        <f t="shared" ca="1" si="6"/>
        <v>S/D</v>
      </c>
      <c r="J185" s="6">
        <f>IF(A185="","",SUMIFS(Movimientos!$K:$K,Movimientos!$H:$H,A185))</f>
        <v>0</v>
      </c>
      <c r="K185" s="14" t="str">
        <f t="shared" ca="1" si="7"/>
        <v>OK</v>
      </c>
    </row>
    <row r="186" spans="1:11">
      <c r="A186" s="18" t="s">
        <v>2247</v>
      </c>
      <c r="B186" s="3" t="str">
        <f>IFERROR(INDEX(Movimientos!$C$5:$C$2001,MATCH(A186&amp;"ENTRADA",Movimientos!$R$5:$R$2001,0)),"-")</f>
        <v>-</v>
      </c>
      <c r="C186" s="3" t="str">
        <f>IFERROR(INDEX(Movimientos!$D$5:$D$2001,MATCH(A186&amp;"ENTRADA",Movimientos!$R$5:$R$2001,0)),"-")</f>
        <v>-</v>
      </c>
      <c r="D186" s="3" t="str">
        <f>IFERROR(INDEX(Movimientos!$E$5:$E$2001,MATCH(A186&amp;"ENTRADA",Movimientos!$R$5:$R$2001,0)),"-")</f>
        <v>-</v>
      </c>
      <c r="E186" s="3" t="str">
        <f>IFERROR(INDEX(Movimientos!$F$5:$F$2001,MATCH(A186&amp;"ENTRADA",Movimientos!$R$5:$R$2001,0)),"-")</f>
        <v>-</v>
      </c>
      <c r="F186" s="3" t="str">
        <f>IFERROR(INDEX(Movimientos!$G$5:$G$2001,MATCH(A186&amp;"ENTRADA",Movimientos!$R$5:$R$2001,0)),"-")</f>
        <v>-</v>
      </c>
      <c r="G186" s="3" t="str">
        <f>IFERROR(INDEX(Movimientos!$L$5:$L$2001,MATCH(A186&amp;"ENTRADA",Movimientos!$R$5:$R$2001,0)),"-")</f>
        <v>-</v>
      </c>
      <c r="H186" s="19" t="str">
        <f>IFERROR(IF(INDEX(Movimientos!$M$5:$M$2001,MATCH(A186&amp;"ENTRADA",Movimientos!$R$5:$R$2001,0))=0,"S/D",INDEX(Movimientos!$M$5:$M$2001,MATCH(A186&amp;"ENTRADA",Movimientos!$R$5:$R$2001,0))),"S/D")</f>
        <v>S/D</v>
      </c>
      <c r="I186" s="16" t="str">
        <f t="shared" ca="1" si="6"/>
        <v>S/D</v>
      </c>
      <c r="J186" s="6">
        <f>IF(A186="","",SUMIFS(Movimientos!$K:$K,Movimientos!$H:$H,A186))</f>
        <v>0</v>
      </c>
      <c r="K186" s="14" t="str">
        <f t="shared" ca="1" si="7"/>
        <v>OK</v>
      </c>
    </row>
    <row r="187" spans="1:11">
      <c r="A187" s="18" t="s">
        <v>2248</v>
      </c>
      <c r="B187" s="3" t="str">
        <f>IFERROR(INDEX(Movimientos!$C$5:$C$2001,MATCH(A187&amp;"ENTRADA",Movimientos!$R$5:$R$2001,0)),"-")</f>
        <v>-</v>
      </c>
      <c r="C187" s="3" t="str">
        <f>IFERROR(INDEX(Movimientos!$D$5:$D$2001,MATCH(A187&amp;"ENTRADA",Movimientos!$R$5:$R$2001,0)),"-")</f>
        <v>-</v>
      </c>
      <c r="D187" s="3" t="str">
        <f>IFERROR(INDEX(Movimientos!$E$5:$E$2001,MATCH(A187&amp;"ENTRADA",Movimientos!$R$5:$R$2001,0)),"-")</f>
        <v>-</v>
      </c>
      <c r="E187" s="3" t="str">
        <f>IFERROR(INDEX(Movimientos!$F$5:$F$2001,MATCH(A187&amp;"ENTRADA",Movimientos!$R$5:$R$2001,0)),"-")</f>
        <v>-</v>
      </c>
      <c r="F187" s="3" t="str">
        <f>IFERROR(INDEX(Movimientos!$G$5:$G$2001,MATCH(A187&amp;"ENTRADA",Movimientos!$R$5:$R$2001,0)),"-")</f>
        <v>-</v>
      </c>
      <c r="G187" s="3" t="str">
        <f>IFERROR(INDEX(Movimientos!$L$5:$L$2001,MATCH(A187&amp;"ENTRADA",Movimientos!$R$5:$R$2001,0)),"-")</f>
        <v>-</v>
      </c>
      <c r="H187" s="19" t="str">
        <f>IFERROR(IF(INDEX(Movimientos!$M$5:$M$2001,MATCH(A187&amp;"ENTRADA",Movimientos!$R$5:$R$2001,0))=0,"S/D",INDEX(Movimientos!$M$5:$M$2001,MATCH(A187&amp;"ENTRADA",Movimientos!$R$5:$R$2001,0))),"S/D")</f>
        <v>S/D</v>
      </c>
      <c r="I187" s="16" t="str">
        <f t="shared" ca="1" si="6"/>
        <v>S/D</v>
      </c>
      <c r="J187" s="6">
        <f>IF(A187="","",SUMIFS(Movimientos!$K:$K,Movimientos!$H:$H,A187))</f>
        <v>0</v>
      </c>
      <c r="K187" s="14" t="str">
        <f t="shared" ca="1" si="7"/>
        <v>OK</v>
      </c>
    </row>
    <row r="188" spans="1:11">
      <c r="A188" s="18" t="s">
        <v>2249</v>
      </c>
      <c r="B188" s="3" t="str">
        <f>IFERROR(INDEX(Movimientos!$C$5:$C$2001,MATCH(A188&amp;"ENTRADA",Movimientos!$R$5:$R$2001,0)),"-")</f>
        <v>-</v>
      </c>
      <c r="C188" s="3" t="str">
        <f>IFERROR(INDEX(Movimientos!$D$5:$D$2001,MATCH(A188&amp;"ENTRADA",Movimientos!$R$5:$R$2001,0)),"-")</f>
        <v>-</v>
      </c>
      <c r="D188" s="3" t="str">
        <f>IFERROR(INDEX(Movimientos!$E$5:$E$2001,MATCH(A188&amp;"ENTRADA",Movimientos!$R$5:$R$2001,0)),"-")</f>
        <v>-</v>
      </c>
      <c r="E188" s="3" t="str">
        <f>IFERROR(INDEX(Movimientos!$F$5:$F$2001,MATCH(A188&amp;"ENTRADA",Movimientos!$R$5:$R$2001,0)),"-")</f>
        <v>-</v>
      </c>
      <c r="F188" s="3" t="str">
        <f>IFERROR(INDEX(Movimientos!$G$5:$G$2001,MATCH(A188&amp;"ENTRADA",Movimientos!$R$5:$R$2001,0)),"-")</f>
        <v>-</v>
      </c>
      <c r="G188" s="3" t="str">
        <f>IFERROR(INDEX(Movimientos!$L$5:$L$2001,MATCH(A188&amp;"ENTRADA",Movimientos!$R$5:$R$2001,0)),"-")</f>
        <v>-</v>
      </c>
      <c r="H188" s="19" t="str">
        <f>IFERROR(IF(INDEX(Movimientos!$M$5:$M$2001,MATCH(A188&amp;"ENTRADA",Movimientos!$R$5:$R$2001,0))=0,"S/D",INDEX(Movimientos!$M$5:$M$2001,MATCH(A188&amp;"ENTRADA",Movimientos!$R$5:$R$2001,0))),"S/D")</f>
        <v>S/D</v>
      </c>
      <c r="I188" s="16" t="str">
        <f t="shared" ca="1" si="6"/>
        <v>S/D</v>
      </c>
      <c r="J188" s="6">
        <f>IF(A188="","",SUMIFS(Movimientos!$K:$K,Movimientos!$H:$H,A188))</f>
        <v>0</v>
      </c>
      <c r="K188" s="14" t="str">
        <f t="shared" ca="1" si="7"/>
        <v>OK</v>
      </c>
    </row>
    <row r="189" spans="1:11">
      <c r="A189" s="18" t="s">
        <v>2250</v>
      </c>
      <c r="B189" s="3" t="str">
        <f>IFERROR(INDEX(Movimientos!$C$5:$C$2001,MATCH(A189&amp;"ENTRADA",Movimientos!$R$5:$R$2001,0)),"-")</f>
        <v>-</v>
      </c>
      <c r="C189" s="3" t="str">
        <f>IFERROR(INDEX(Movimientos!$D$5:$D$2001,MATCH(A189&amp;"ENTRADA",Movimientos!$R$5:$R$2001,0)),"-")</f>
        <v>-</v>
      </c>
      <c r="D189" s="3" t="str">
        <f>IFERROR(INDEX(Movimientos!$E$5:$E$2001,MATCH(A189&amp;"ENTRADA",Movimientos!$R$5:$R$2001,0)),"-")</f>
        <v>-</v>
      </c>
      <c r="E189" s="3" t="str">
        <f>IFERROR(INDEX(Movimientos!$F$5:$F$2001,MATCH(A189&amp;"ENTRADA",Movimientos!$R$5:$R$2001,0)),"-")</f>
        <v>-</v>
      </c>
      <c r="F189" s="3" t="str">
        <f>IFERROR(INDEX(Movimientos!$G$5:$G$2001,MATCH(A189&amp;"ENTRADA",Movimientos!$R$5:$R$2001,0)),"-")</f>
        <v>-</v>
      </c>
      <c r="G189" s="3" t="str">
        <f>IFERROR(INDEX(Movimientos!$L$5:$L$2001,MATCH(A189&amp;"ENTRADA",Movimientos!$R$5:$R$2001,0)),"-")</f>
        <v>-</v>
      </c>
      <c r="H189" s="19" t="str">
        <f>IFERROR(IF(INDEX(Movimientos!$M$5:$M$2001,MATCH(A189&amp;"ENTRADA",Movimientos!$R$5:$R$2001,0))=0,"S/D",INDEX(Movimientos!$M$5:$M$2001,MATCH(A189&amp;"ENTRADA",Movimientos!$R$5:$R$2001,0))),"S/D")</f>
        <v>S/D</v>
      </c>
      <c r="I189" s="16" t="str">
        <f t="shared" ca="1" si="6"/>
        <v>S/D</v>
      </c>
      <c r="J189" s="6">
        <f>IF(A189="","",SUMIFS(Movimientos!$K:$K,Movimientos!$H:$H,A189))</f>
        <v>0</v>
      </c>
      <c r="K189" s="14" t="str">
        <f t="shared" ca="1" si="7"/>
        <v>OK</v>
      </c>
    </row>
    <row r="190" spans="1:11">
      <c r="A190" s="18" t="s">
        <v>2251</v>
      </c>
      <c r="B190" s="3" t="str">
        <f>IFERROR(INDEX(Movimientos!$C$5:$C$2001,MATCH(A190&amp;"ENTRADA",Movimientos!$R$5:$R$2001,0)),"-")</f>
        <v>-</v>
      </c>
      <c r="C190" s="3" t="str">
        <f>IFERROR(INDEX(Movimientos!$D$5:$D$2001,MATCH(A190&amp;"ENTRADA",Movimientos!$R$5:$R$2001,0)),"-")</f>
        <v>-</v>
      </c>
      <c r="D190" s="3" t="str">
        <f>IFERROR(INDEX(Movimientos!$E$5:$E$2001,MATCH(A190&amp;"ENTRADA",Movimientos!$R$5:$R$2001,0)),"-")</f>
        <v>-</v>
      </c>
      <c r="E190" s="3" t="str">
        <f>IFERROR(INDEX(Movimientos!$F$5:$F$2001,MATCH(A190&amp;"ENTRADA",Movimientos!$R$5:$R$2001,0)),"-")</f>
        <v>-</v>
      </c>
      <c r="F190" s="3" t="str">
        <f>IFERROR(INDEX(Movimientos!$G$5:$G$2001,MATCH(A190&amp;"ENTRADA",Movimientos!$R$5:$R$2001,0)),"-")</f>
        <v>-</v>
      </c>
      <c r="G190" s="3" t="str">
        <f>IFERROR(INDEX(Movimientos!$L$5:$L$2001,MATCH(A190&amp;"ENTRADA",Movimientos!$R$5:$R$2001,0)),"-")</f>
        <v>-</v>
      </c>
      <c r="H190" s="19" t="str">
        <f>IFERROR(IF(INDEX(Movimientos!$M$5:$M$2001,MATCH(A190&amp;"ENTRADA",Movimientos!$R$5:$R$2001,0))=0,"S/D",INDEX(Movimientos!$M$5:$M$2001,MATCH(A190&amp;"ENTRADA",Movimientos!$R$5:$R$2001,0))),"S/D")</f>
        <v>S/D</v>
      </c>
      <c r="I190" s="16" t="str">
        <f t="shared" ca="1" si="6"/>
        <v>S/D</v>
      </c>
      <c r="J190" s="6">
        <f>IF(A190="","",SUMIFS(Movimientos!$K:$K,Movimientos!$H:$H,A190))</f>
        <v>0</v>
      </c>
      <c r="K190" s="14" t="str">
        <f t="shared" ca="1" si="7"/>
        <v>OK</v>
      </c>
    </row>
    <row r="191" spans="1:11">
      <c r="A191" s="18" t="s">
        <v>2252</v>
      </c>
      <c r="B191" s="3" t="str">
        <f>IFERROR(INDEX(Movimientos!$C$5:$C$2001,MATCH(A191&amp;"ENTRADA",Movimientos!$R$5:$R$2001,0)),"-")</f>
        <v>-</v>
      </c>
      <c r="C191" s="3" t="str">
        <f>IFERROR(INDEX(Movimientos!$D$5:$D$2001,MATCH(A191&amp;"ENTRADA",Movimientos!$R$5:$R$2001,0)),"-")</f>
        <v>-</v>
      </c>
      <c r="D191" s="3" t="str">
        <f>IFERROR(INDEX(Movimientos!$E$5:$E$2001,MATCH(A191&amp;"ENTRADA",Movimientos!$R$5:$R$2001,0)),"-")</f>
        <v>-</v>
      </c>
      <c r="E191" s="3" t="str">
        <f>IFERROR(INDEX(Movimientos!$F$5:$F$2001,MATCH(A191&amp;"ENTRADA",Movimientos!$R$5:$R$2001,0)),"-")</f>
        <v>-</v>
      </c>
      <c r="F191" s="3" t="str">
        <f>IFERROR(INDEX(Movimientos!$G$5:$G$2001,MATCH(A191&amp;"ENTRADA",Movimientos!$R$5:$R$2001,0)),"-")</f>
        <v>-</v>
      </c>
      <c r="G191" s="3" t="str">
        <f>IFERROR(INDEX(Movimientos!$L$5:$L$2001,MATCH(A191&amp;"ENTRADA",Movimientos!$R$5:$R$2001,0)),"-")</f>
        <v>-</v>
      </c>
      <c r="H191" s="19" t="str">
        <f>IFERROR(IF(INDEX(Movimientos!$M$5:$M$2001,MATCH(A191&amp;"ENTRADA",Movimientos!$R$5:$R$2001,0))=0,"S/D",INDEX(Movimientos!$M$5:$M$2001,MATCH(A191&amp;"ENTRADA",Movimientos!$R$5:$R$2001,0))),"S/D")</f>
        <v>S/D</v>
      </c>
      <c r="I191" s="16" t="str">
        <f t="shared" ca="1" si="6"/>
        <v>S/D</v>
      </c>
      <c r="J191" s="6">
        <f>IF(A191="","",SUMIFS(Movimientos!$K:$K,Movimientos!$H:$H,A191))</f>
        <v>0</v>
      </c>
      <c r="K191" s="14" t="str">
        <f t="shared" ca="1" si="7"/>
        <v>OK</v>
      </c>
    </row>
    <row r="192" spans="1:11">
      <c r="A192" s="18" t="s">
        <v>2253</v>
      </c>
      <c r="B192" s="3" t="str">
        <f>IFERROR(INDEX(Movimientos!$C$5:$C$2001,MATCH(A192&amp;"ENTRADA",Movimientos!$R$5:$R$2001,0)),"-")</f>
        <v>-</v>
      </c>
      <c r="C192" s="3" t="str">
        <f>IFERROR(INDEX(Movimientos!$D$5:$D$2001,MATCH(A192&amp;"ENTRADA",Movimientos!$R$5:$R$2001,0)),"-")</f>
        <v>-</v>
      </c>
      <c r="D192" s="3" t="str">
        <f>IFERROR(INDEX(Movimientos!$E$5:$E$2001,MATCH(A192&amp;"ENTRADA",Movimientos!$R$5:$R$2001,0)),"-")</f>
        <v>-</v>
      </c>
      <c r="E192" s="3" t="str">
        <f>IFERROR(INDEX(Movimientos!$F$5:$F$2001,MATCH(A192&amp;"ENTRADA",Movimientos!$R$5:$R$2001,0)),"-")</f>
        <v>-</v>
      </c>
      <c r="F192" s="3" t="str">
        <f>IFERROR(INDEX(Movimientos!$G$5:$G$2001,MATCH(A192&amp;"ENTRADA",Movimientos!$R$5:$R$2001,0)),"-")</f>
        <v>-</v>
      </c>
      <c r="G192" s="3" t="str">
        <f>IFERROR(INDEX(Movimientos!$L$5:$L$2001,MATCH(A192&amp;"ENTRADA",Movimientos!$R$5:$R$2001,0)),"-")</f>
        <v>-</v>
      </c>
      <c r="H192" s="19" t="str">
        <f>IFERROR(IF(INDEX(Movimientos!$M$5:$M$2001,MATCH(A192&amp;"ENTRADA",Movimientos!$R$5:$R$2001,0))=0,"S/D",INDEX(Movimientos!$M$5:$M$2001,MATCH(A192&amp;"ENTRADA",Movimientos!$R$5:$R$2001,0))),"S/D")</f>
        <v>S/D</v>
      </c>
      <c r="I192" s="16" t="str">
        <f t="shared" ca="1" si="6"/>
        <v>S/D</v>
      </c>
      <c r="J192" s="6">
        <f>IF(A192="","",SUMIFS(Movimientos!$K:$K,Movimientos!$H:$H,A192))</f>
        <v>0</v>
      </c>
      <c r="K192" s="14" t="str">
        <f t="shared" ca="1" si="7"/>
        <v>OK</v>
      </c>
    </row>
    <row r="193" spans="1:11">
      <c r="A193" s="18" t="s">
        <v>2254</v>
      </c>
      <c r="B193" s="3" t="str">
        <f>IFERROR(INDEX(Movimientos!$C$5:$C$2001,MATCH(A193&amp;"ENTRADA",Movimientos!$R$5:$R$2001,0)),"-")</f>
        <v>-</v>
      </c>
      <c r="C193" s="3" t="str">
        <f>IFERROR(INDEX(Movimientos!$D$5:$D$2001,MATCH(A193&amp;"ENTRADA",Movimientos!$R$5:$R$2001,0)),"-")</f>
        <v>-</v>
      </c>
      <c r="D193" s="3" t="str">
        <f>IFERROR(INDEX(Movimientos!$E$5:$E$2001,MATCH(A193&amp;"ENTRADA",Movimientos!$R$5:$R$2001,0)),"-")</f>
        <v>-</v>
      </c>
      <c r="E193" s="3" t="str">
        <f>IFERROR(INDEX(Movimientos!$F$5:$F$2001,MATCH(A193&amp;"ENTRADA",Movimientos!$R$5:$R$2001,0)),"-")</f>
        <v>-</v>
      </c>
      <c r="F193" s="3" t="str">
        <f>IFERROR(INDEX(Movimientos!$G$5:$G$2001,MATCH(A193&amp;"ENTRADA",Movimientos!$R$5:$R$2001,0)),"-")</f>
        <v>-</v>
      </c>
      <c r="G193" s="3" t="str">
        <f>IFERROR(INDEX(Movimientos!$L$5:$L$2001,MATCH(A193&amp;"ENTRADA",Movimientos!$R$5:$R$2001,0)),"-")</f>
        <v>-</v>
      </c>
      <c r="H193" s="19" t="str">
        <f>IFERROR(IF(INDEX(Movimientos!$M$5:$M$2001,MATCH(A193&amp;"ENTRADA",Movimientos!$R$5:$R$2001,0))=0,"S/D",INDEX(Movimientos!$M$5:$M$2001,MATCH(A193&amp;"ENTRADA",Movimientos!$R$5:$R$2001,0))),"S/D")</f>
        <v>S/D</v>
      </c>
      <c r="I193" s="16" t="str">
        <f t="shared" ca="1" si="6"/>
        <v>S/D</v>
      </c>
      <c r="J193" s="6">
        <f>IF(A193="","",SUMIFS(Movimientos!$K:$K,Movimientos!$H:$H,A193))</f>
        <v>0</v>
      </c>
      <c r="K193" s="14" t="str">
        <f t="shared" ca="1" si="7"/>
        <v>OK</v>
      </c>
    </row>
    <row r="194" spans="1:11">
      <c r="A194" s="18" t="s">
        <v>2255</v>
      </c>
      <c r="B194" s="3" t="str">
        <f>IFERROR(INDEX(Movimientos!$C$5:$C$2001,MATCH(A194&amp;"ENTRADA",Movimientos!$R$5:$R$2001,0)),"-")</f>
        <v>-</v>
      </c>
      <c r="C194" s="3" t="str">
        <f>IFERROR(INDEX(Movimientos!$D$5:$D$2001,MATCH(A194&amp;"ENTRADA",Movimientos!$R$5:$R$2001,0)),"-")</f>
        <v>-</v>
      </c>
      <c r="D194" s="3" t="str">
        <f>IFERROR(INDEX(Movimientos!$E$5:$E$2001,MATCH(A194&amp;"ENTRADA",Movimientos!$R$5:$R$2001,0)),"-")</f>
        <v>-</v>
      </c>
      <c r="E194" s="3" t="str">
        <f>IFERROR(INDEX(Movimientos!$F$5:$F$2001,MATCH(A194&amp;"ENTRADA",Movimientos!$R$5:$R$2001,0)),"-")</f>
        <v>-</v>
      </c>
      <c r="F194" s="3" t="str">
        <f>IFERROR(INDEX(Movimientos!$G$5:$G$2001,MATCH(A194&amp;"ENTRADA",Movimientos!$R$5:$R$2001,0)),"-")</f>
        <v>-</v>
      </c>
      <c r="G194" s="3" t="str">
        <f>IFERROR(INDEX(Movimientos!$L$5:$L$2001,MATCH(A194&amp;"ENTRADA",Movimientos!$R$5:$R$2001,0)),"-")</f>
        <v>-</v>
      </c>
      <c r="H194" s="19" t="str">
        <f>IFERROR(IF(INDEX(Movimientos!$M$5:$M$2001,MATCH(A194&amp;"ENTRADA",Movimientos!$R$5:$R$2001,0))=0,"S/D",INDEX(Movimientos!$M$5:$M$2001,MATCH(A194&amp;"ENTRADA",Movimientos!$R$5:$R$2001,0))),"S/D")</f>
        <v>S/D</v>
      </c>
      <c r="I194" s="16" t="str">
        <f t="shared" ca="1" si="6"/>
        <v>S/D</v>
      </c>
      <c r="J194" s="6">
        <f>IF(A194="","",SUMIFS(Movimientos!$K:$K,Movimientos!$H:$H,A194))</f>
        <v>0</v>
      </c>
      <c r="K194" s="14" t="str">
        <f t="shared" ca="1" si="7"/>
        <v>OK</v>
      </c>
    </row>
    <row r="195" spans="1:11">
      <c r="A195" s="18" t="s">
        <v>2256</v>
      </c>
      <c r="B195" s="3" t="str">
        <f>IFERROR(INDEX(Movimientos!$C$5:$C$2001,MATCH(A195&amp;"ENTRADA",Movimientos!$R$5:$R$2001,0)),"-")</f>
        <v>-</v>
      </c>
      <c r="C195" s="3" t="str">
        <f>IFERROR(INDEX(Movimientos!$D$5:$D$2001,MATCH(A195&amp;"ENTRADA",Movimientos!$R$5:$R$2001,0)),"-")</f>
        <v>-</v>
      </c>
      <c r="D195" s="3" t="str">
        <f>IFERROR(INDEX(Movimientos!$E$5:$E$2001,MATCH(A195&amp;"ENTRADA",Movimientos!$R$5:$R$2001,0)),"-")</f>
        <v>-</v>
      </c>
      <c r="E195" s="3" t="str">
        <f>IFERROR(INDEX(Movimientos!$F$5:$F$2001,MATCH(A195&amp;"ENTRADA",Movimientos!$R$5:$R$2001,0)),"-")</f>
        <v>-</v>
      </c>
      <c r="F195" s="3" t="str">
        <f>IFERROR(INDEX(Movimientos!$G$5:$G$2001,MATCH(A195&amp;"ENTRADA",Movimientos!$R$5:$R$2001,0)),"-")</f>
        <v>-</v>
      </c>
      <c r="G195" s="3" t="str">
        <f>IFERROR(INDEX(Movimientos!$L$5:$L$2001,MATCH(A195&amp;"ENTRADA",Movimientos!$R$5:$R$2001,0)),"-")</f>
        <v>-</v>
      </c>
      <c r="H195" s="19" t="str">
        <f>IFERROR(IF(INDEX(Movimientos!$M$5:$M$2001,MATCH(A195&amp;"ENTRADA",Movimientos!$R$5:$R$2001,0))=0,"S/D",INDEX(Movimientos!$M$5:$M$2001,MATCH(A195&amp;"ENTRADA",Movimientos!$R$5:$R$2001,0))),"S/D")</f>
        <v>S/D</v>
      </c>
      <c r="I195" s="16" t="str">
        <f t="shared" ca="1" si="6"/>
        <v>S/D</v>
      </c>
      <c r="J195" s="6">
        <f>IF(A195="","",SUMIFS(Movimientos!$K:$K,Movimientos!$H:$H,A195))</f>
        <v>0</v>
      </c>
      <c r="K195" s="14" t="str">
        <f t="shared" ca="1" si="7"/>
        <v>OK</v>
      </c>
    </row>
    <row r="196" spans="1:11">
      <c r="A196" s="18" t="s">
        <v>2257</v>
      </c>
      <c r="B196" s="3" t="str">
        <f>IFERROR(INDEX(Movimientos!$C$5:$C$2001,MATCH(A196&amp;"ENTRADA",Movimientos!$R$5:$R$2001,0)),"-")</f>
        <v>-</v>
      </c>
      <c r="C196" s="3" t="str">
        <f>IFERROR(INDEX(Movimientos!$D$5:$D$2001,MATCH(A196&amp;"ENTRADA",Movimientos!$R$5:$R$2001,0)),"-")</f>
        <v>-</v>
      </c>
      <c r="D196" s="3" t="str">
        <f>IFERROR(INDEX(Movimientos!$E$5:$E$2001,MATCH(A196&amp;"ENTRADA",Movimientos!$R$5:$R$2001,0)),"-")</f>
        <v>-</v>
      </c>
      <c r="E196" s="3" t="str">
        <f>IFERROR(INDEX(Movimientos!$F$5:$F$2001,MATCH(A196&amp;"ENTRADA",Movimientos!$R$5:$R$2001,0)),"-")</f>
        <v>-</v>
      </c>
      <c r="F196" s="3" t="str">
        <f>IFERROR(INDEX(Movimientos!$G$5:$G$2001,MATCH(A196&amp;"ENTRADA",Movimientos!$R$5:$R$2001,0)),"-")</f>
        <v>-</v>
      </c>
      <c r="G196" s="3" t="str">
        <f>IFERROR(INDEX(Movimientos!$L$5:$L$2001,MATCH(A196&amp;"ENTRADA",Movimientos!$R$5:$R$2001,0)),"-")</f>
        <v>-</v>
      </c>
      <c r="H196" s="19" t="str">
        <f>IFERROR(IF(INDEX(Movimientos!$M$5:$M$2001,MATCH(A196&amp;"ENTRADA",Movimientos!$R$5:$R$2001,0))=0,"S/D",INDEX(Movimientos!$M$5:$M$2001,MATCH(A196&amp;"ENTRADA",Movimientos!$R$5:$R$2001,0))),"S/D")</f>
        <v>S/D</v>
      </c>
      <c r="I196" s="16" t="str">
        <f t="shared" ca="1" si="6"/>
        <v>S/D</v>
      </c>
      <c r="J196" s="6">
        <f>IF(A196="","",SUMIFS(Movimientos!$K:$K,Movimientos!$H:$H,A196))</f>
        <v>0</v>
      </c>
      <c r="K196" s="14" t="str">
        <f t="shared" ca="1" si="7"/>
        <v>OK</v>
      </c>
    </row>
    <row r="197" spans="1:11">
      <c r="A197" s="18" t="s">
        <v>2258</v>
      </c>
      <c r="B197" s="3" t="str">
        <f>IFERROR(INDEX(Movimientos!$C$5:$C$2001,MATCH(A197&amp;"ENTRADA",Movimientos!$R$5:$R$2001,0)),"-")</f>
        <v>-</v>
      </c>
      <c r="C197" s="3" t="str">
        <f>IFERROR(INDEX(Movimientos!$D$5:$D$2001,MATCH(A197&amp;"ENTRADA",Movimientos!$R$5:$R$2001,0)),"-")</f>
        <v>-</v>
      </c>
      <c r="D197" s="3" t="str">
        <f>IFERROR(INDEX(Movimientos!$E$5:$E$2001,MATCH(A197&amp;"ENTRADA",Movimientos!$R$5:$R$2001,0)),"-")</f>
        <v>-</v>
      </c>
      <c r="E197" s="3" t="str">
        <f>IFERROR(INDEX(Movimientos!$F$5:$F$2001,MATCH(A197&amp;"ENTRADA",Movimientos!$R$5:$R$2001,0)),"-")</f>
        <v>-</v>
      </c>
      <c r="F197" s="3" t="str">
        <f>IFERROR(INDEX(Movimientos!$G$5:$G$2001,MATCH(A197&amp;"ENTRADA",Movimientos!$R$5:$R$2001,0)),"-")</f>
        <v>-</v>
      </c>
      <c r="G197" s="3" t="str">
        <f>IFERROR(INDEX(Movimientos!$L$5:$L$2001,MATCH(A197&amp;"ENTRADA",Movimientos!$R$5:$R$2001,0)),"-")</f>
        <v>-</v>
      </c>
      <c r="H197" s="19" t="str">
        <f>IFERROR(IF(INDEX(Movimientos!$M$5:$M$2001,MATCH(A197&amp;"ENTRADA",Movimientos!$R$5:$R$2001,0))=0,"S/D",INDEX(Movimientos!$M$5:$M$2001,MATCH(A197&amp;"ENTRADA",Movimientos!$R$5:$R$2001,0))),"S/D")</f>
        <v>S/D</v>
      </c>
      <c r="I197" s="16" t="str">
        <f t="shared" ca="1" si="6"/>
        <v>S/D</v>
      </c>
      <c r="J197" s="6">
        <f>IF(A197="","",SUMIFS(Movimientos!$K:$K,Movimientos!$H:$H,A197))</f>
        <v>0</v>
      </c>
      <c r="K197" s="14" t="str">
        <f t="shared" ca="1" si="7"/>
        <v>OK</v>
      </c>
    </row>
    <row r="198" spans="1:11">
      <c r="A198" s="18" t="s">
        <v>2259</v>
      </c>
      <c r="B198" s="3" t="str">
        <f>IFERROR(INDEX(Movimientos!$C$5:$C$2001,MATCH(A198&amp;"ENTRADA",Movimientos!$R$5:$R$2001,0)),"-")</f>
        <v>-</v>
      </c>
      <c r="C198" s="3" t="str">
        <f>IFERROR(INDEX(Movimientos!$D$5:$D$2001,MATCH(A198&amp;"ENTRADA",Movimientos!$R$5:$R$2001,0)),"-")</f>
        <v>-</v>
      </c>
      <c r="D198" s="3" t="str">
        <f>IFERROR(INDEX(Movimientos!$E$5:$E$2001,MATCH(A198&amp;"ENTRADA",Movimientos!$R$5:$R$2001,0)),"-")</f>
        <v>-</v>
      </c>
      <c r="E198" s="3" t="str">
        <f>IFERROR(INDEX(Movimientos!$F$5:$F$2001,MATCH(A198&amp;"ENTRADA",Movimientos!$R$5:$R$2001,0)),"-")</f>
        <v>-</v>
      </c>
      <c r="F198" s="3" t="str">
        <f>IFERROR(INDEX(Movimientos!$G$5:$G$2001,MATCH(A198&amp;"ENTRADA",Movimientos!$R$5:$R$2001,0)),"-")</f>
        <v>-</v>
      </c>
      <c r="G198" s="3" t="str">
        <f>IFERROR(INDEX(Movimientos!$L$5:$L$2001,MATCH(A198&amp;"ENTRADA",Movimientos!$R$5:$R$2001,0)),"-")</f>
        <v>-</v>
      </c>
      <c r="H198" s="19" t="str">
        <f>IFERROR(IF(INDEX(Movimientos!$M$5:$M$2001,MATCH(A198&amp;"ENTRADA",Movimientos!$R$5:$R$2001,0))=0,"S/D",INDEX(Movimientos!$M$5:$M$2001,MATCH(A198&amp;"ENTRADA",Movimientos!$R$5:$R$2001,0))),"S/D")</f>
        <v>S/D</v>
      </c>
      <c r="I198" s="16" t="str">
        <f t="shared" ca="1" si="6"/>
        <v>S/D</v>
      </c>
      <c r="J198" s="6">
        <f>IF(A198="","",SUMIFS(Movimientos!$K:$K,Movimientos!$H:$H,A198))</f>
        <v>0</v>
      </c>
      <c r="K198" s="14" t="str">
        <f t="shared" ca="1" si="7"/>
        <v>OK</v>
      </c>
    </row>
    <row r="199" spans="1:11">
      <c r="A199" s="18" t="s">
        <v>2260</v>
      </c>
      <c r="B199" s="3" t="str">
        <f>IFERROR(INDEX(Movimientos!$C$5:$C$2001,MATCH(A199&amp;"ENTRADA",Movimientos!$R$5:$R$2001,0)),"-")</f>
        <v>-</v>
      </c>
      <c r="C199" s="3" t="str">
        <f>IFERROR(INDEX(Movimientos!$D$5:$D$2001,MATCH(A199&amp;"ENTRADA",Movimientos!$R$5:$R$2001,0)),"-")</f>
        <v>-</v>
      </c>
      <c r="D199" s="3" t="str">
        <f>IFERROR(INDEX(Movimientos!$E$5:$E$2001,MATCH(A199&amp;"ENTRADA",Movimientos!$R$5:$R$2001,0)),"-")</f>
        <v>-</v>
      </c>
      <c r="E199" s="3" t="str">
        <f>IFERROR(INDEX(Movimientos!$F$5:$F$2001,MATCH(A199&amp;"ENTRADA",Movimientos!$R$5:$R$2001,0)),"-")</f>
        <v>-</v>
      </c>
      <c r="F199" s="3" t="str">
        <f>IFERROR(INDEX(Movimientos!$G$5:$G$2001,MATCH(A199&amp;"ENTRADA",Movimientos!$R$5:$R$2001,0)),"-")</f>
        <v>-</v>
      </c>
      <c r="G199" s="3" t="str">
        <f>IFERROR(INDEX(Movimientos!$L$5:$L$2001,MATCH(A199&amp;"ENTRADA",Movimientos!$R$5:$R$2001,0)),"-")</f>
        <v>-</v>
      </c>
      <c r="H199" s="19" t="str">
        <f>IFERROR(IF(INDEX(Movimientos!$M$5:$M$2001,MATCH(A199&amp;"ENTRADA",Movimientos!$R$5:$R$2001,0))=0,"S/D",INDEX(Movimientos!$M$5:$M$2001,MATCH(A199&amp;"ENTRADA",Movimientos!$R$5:$R$2001,0))),"S/D")</f>
        <v>S/D</v>
      </c>
      <c r="I199" s="16" t="str">
        <f t="shared" ca="1" si="6"/>
        <v>S/D</v>
      </c>
      <c r="J199" s="6">
        <f>IF(A199="","",SUMIFS(Movimientos!$K:$K,Movimientos!$H:$H,A199))</f>
        <v>0</v>
      </c>
      <c r="K199" s="14" t="str">
        <f t="shared" ca="1" si="7"/>
        <v>OK</v>
      </c>
    </row>
    <row r="200" spans="1:11">
      <c r="A200" s="18" t="s">
        <v>2261</v>
      </c>
      <c r="B200" s="3" t="str">
        <f>IFERROR(INDEX(Movimientos!$C$5:$C$2001,MATCH(A200&amp;"ENTRADA",Movimientos!$R$5:$R$2001,0)),"-")</f>
        <v>-</v>
      </c>
      <c r="C200" s="3" t="str">
        <f>IFERROR(INDEX(Movimientos!$D$5:$D$2001,MATCH(A200&amp;"ENTRADA",Movimientos!$R$5:$R$2001,0)),"-")</f>
        <v>-</v>
      </c>
      <c r="D200" s="3" t="str">
        <f>IFERROR(INDEX(Movimientos!$E$5:$E$2001,MATCH(A200&amp;"ENTRADA",Movimientos!$R$5:$R$2001,0)),"-")</f>
        <v>-</v>
      </c>
      <c r="E200" s="3" t="str">
        <f>IFERROR(INDEX(Movimientos!$F$5:$F$2001,MATCH(A200&amp;"ENTRADA",Movimientos!$R$5:$R$2001,0)),"-")</f>
        <v>-</v>
      </c>
      <c r="F200" s="3" t="str">
        <f>IFERROR(INDEX(Movimientos!$G$5:$G$2001,MATCH(A200&amp;"ENTRADA",Movimientos!$R$5:$R$2001,0)),"-")</f>
        <v>-</v>
      </c>
      <c r="G200" s="3" t="str">
        <f>IFERROR(INDEX(Movimientos!$L$5:$L$2001,MATCH(A200&amp;"ENTRADA",Movimientos!$R$5:$R$2001,0)),"-")</f>
        <v>-</v>
      </c>
      <c r="H200" s="19" t="str">
        <f>IFERROR(IF(INDEX(Movimientos!$M$5:$M$2001,MATCH(A200&amp;"ENTRADA",Movimientos!$R$5:$R$2001,0))=0,"S/D",INDEX(Movimientos!$M$5:$M$2001,MATCH(A200&amp;"ENTRADA",Movimientos!$R$5:$R$2001,0))),"S/D")</f>
        <v>S/D</v>
      </c>
      <c r="I200" s="16" t="str">
        <f t="shared" ca="1" si="6"/>
        <v>S/D</v>
      </c>
      <c r="J200" s="6">
        <f>IF(A200="","",SUMIFS(Movimientos!$K:$K,Movimientos!$H:$H,A200))</f>
        <v>0</v>
      </c>
      <c r="K200" s="14" t="str">
        <f t="shared" ca="1" si="7"/>
        <v>OK</v>
      </c>
    </row>
    <row r="201" spans="1:11">
      <c r="A201" s="18" t="s">
        <v>2262</v>
      </c>
      <c r="B201" s="3" t="str">
        <f>IFERROR(INDEX(Movimientos!$C$5:$C$2001,MATCH(A201&amp;"ENTRADA",Movimientos!$R$5:$R$2001,0)),"-")</f>
        <v>-</v>
      </c>
      <c r="C201" s="3" t="str">
        <f>IFERROR(INDEX(Movimientos!$D$5:$D$2001,MATCH(A201&amp;"ENTRADA",Movimientos!$R$5:$R$2001,0)),"-")</f>
        <v>-</v>
      </c>
      <c r="D201" s="3" t="str">
        <f>IFERROR(INDEX(Movimientos!$E$5:$E$2001,MATCH(A201&amp;"ENTRADA",Movimientos!$R$5:$R$2001,0)),"-")</f>
        <v>-</v>
      </c>
      <c r="E201" s="3" t="str">
        <f>IFERROR(INDEX(Movimientos!$F$5:$F$2001,MATCH(A201&amp;"ENTRADA",Movimientos!$R$5:$R$2001,0)),"-")</f>
        <v>-</v>
      </c>
      <c r="F201" s="3" t="str">
        <f>IFERROR(INDEX(Movimientos!$G$5:$G$2001,MATCH(A201&amp;"ENTRADA",Movimientos!$R$5:$R$2001,0)),"-")</f>
        <v>-</v>
      </c>
      <c r="G201" s="3" t="str">
        <f>IFERROR(INDEX(Movimientos!$L$5:$L$2001,MATCH(A201&amp;"ENTRADA",Movimientos!$R$5:$R$2001,0)),"-")</f>
        <v>-</v>
      </c>
      <c r="H201" s="19" t="str">
        <f>IFERROR(IF(INDEX(Movimientos!$M$5:$M$2001,MATCH(A201&amp;"ENTRADA",Movimientos!$R$5:$R$2001,0))=0,"S/D",INDEX(Movimientos!$M$5:$M$2001,MATCH(A201&amp;"ENTRADA",Movimientos!$R$5:$R$2001,0))),"S/D")</f>
        <v>S/D</v>
      </c>
      <c r="I201" s="16" t="str">
        <f t="shared" ca="1" si="6"/>
        <v>S/D</v>
      </c>
      <c r="J201" s="6">
        <f>IF(A201="","",SUMIFS(Movimientos!$K:$K,Movimientos!$H:$H,A201))</f>
        <v>0</v>
      </c>
      <c r="K201" s="14" t="str">
        <f t="shared" ca="1" si="7"/>
        <v>OK</v>
      </c>
    </row>
    <row r="202" spans="1:11">
      <c r="A202" s="18" t="s">
        <v>2263</v>
      </c>
      <c r="B202" s="3" t="str">
        <f>IFERROR(INDEX(Movimientos!$C$5:$C$2001,MATCH(A202&amp;"ENTRADA",Movimientos!$R$5:$R$2001,0)),"-")</f>
        <v>-</v>
      </c>
      <c r="C202" s="3" t="str">
        <f>IFERROR(INDEX(Movimientos!$D$5:$D$2001,MATCH(A202&amp;"ENTRADA",Movimientos!$R$5:$R$2001,0)),"-")</f>
        <v>-</v>
      </c>
      <c r="D202" s="3" t="str">
        <f>IFERROR(INDEX(Movimientos!$E$5:$E$2001,MATCH(A202&amp;"ENTRADA",Movimientos!$R$5:$R$2001,0)),"-")</f>
        <v>-</v>
      </c>
      <c r="E202" s="3" t="str">
        <f>IFERROR(INDEX(Movimientos!$F$5:$F$2001,MATCH(A202&amp;"ENTRADA",Movimientos!$R$5:$R$2001,0)),"-")</f>
        <v>-</v>
      </c>
      <c r="F202" s="3" t="str">
        <f>IFERROR(INDEX(Movimientos!$G$5:$G$2001,MATCH(A202&amp;"ENTRADA",Movimientos!$R$5:$R$2001,0)),"-")</f>
        <v>-</v>
      </c>
      <c r="G202" s="3" t="str">
        <f>IFERROR(INDEX(Movimientos!$L$5:$L$2001,MATCH(A202&amp;"ENTRADA",Movimientos!$R$5:$R$2001,0)),"-")</f>
        <v>-</v>
      </c>
      <c r="H202" s="19" t="str">
        <f>IFERROR(IF(INDEX(Movimientos!$M$5:$M$2001,MATCH(A202&amp;"ENTRADA",Movimientos!$R$5:$R$2001,0))=0,"S/D",INDEX(Movimientos!$M$5:$M$2001,MATCH(A202&amp;"ENTRADA",Movimientos!$R$5:$R$2001,0))),"S/D")</f>
        <v>S/D</v>
      </c>
      <c r="I202" s="16" t="str">
        <f t="shared" ca="1" si="6"/>
        <v>S/D</v>
      </c>
      <c r="J202" s="6">
        <f>IF(A202="","",SUMIFS(Movimientos!$K:$K,Movimientos!$H:$H,A202))</f>
        <v>0</v>
      </c>
      <c r="K202" s="14" t="str">
        <f t="shared" ca="1" si="7"/>
        <v>OK</v>
      </c>
    </row>
    <row r="203" spans="1:11">
      <c r="A203" s="18" t="s">
        <v>2264</v>
      </c>
      <c r="B203" s="3" t="str">
        <f>IFERROR(INDEX(Movimientos!$C$5:$C$2001,MATCH(A203&amp;"ENTRADA",Movimientos!$R$5:$R$2001,0)),"-")</f>
        <v>-</v>
      </c>
      <c r="C203" s="3" t="str">
        <f>IFERROR(INDEX(Movimientos!$D$5:$D$2001,MATCH(A203&amp;"ENTRADA",Movimientos!$R$5:$R$2001,0)),"-")</f>
        <v>-</v>
      </c>
      <c r="D203" s="3" t="str">
        <f>IFERROR(INDEX(Movimientos!$E$5:$E$2001,MATCH(A203&amp;"ENTRADA",Movimientos!$R$5:$R$2001,0)),"-")</f>
        <v>-</v>
      </c>
      <c r="E203" s="3" t="str">
        <f>IFERROR(INDEX(Movimientos!$F$5:$F$2001,MATCH(A203&amp;"ENTRADA",Movimientos!$R$5:$R$2001,0)),"-")</f>
        <v>-</v>
      </c>
      <c r="F203" s="3" t="str">
        <f>IFERROR(INDEX(Movimientos!$G$5:$G$2001,MATCH(A203&amp;"ENTRADA",Movimientos!$R$5:$R$2001,0)),"-")</f>
        <v>-</v>
      </c>
      <c r="G203" s="3" t="str">
        <f>IFERROR(INDEX(Movimientos!$L$5:$L$2001,MATCH(A203&amp;"ENTRADA",Movimientos!$R$5:$R$2001,0)),"-")</f>
        <v>-</v>
      </c>
      <c r="H203" s="19" t="str">
        <f>IFERROR(IF(INDEX(Movimientos!$M$5:$M$2001,MATCH(A203&amp;"ENTRADA",Movimientos!$R$5:$R$2001,0))=0,"S/D",INDEX(Movimientos!$M$5:$M$2001,MATCH(A203&amp;"ENTRADA",Movimientos!$R$5:$R$2001,0))),"S/D")</f>
        <v>S/D</v>
      </c>
      <c r="I203" s="16" t="str">
        <f t="shared" ref="I203:I266" ca="1" si="8">IF(OR(A203="",H203="S/D"),"S/D",H203-TODAY())</f>
        <v>S/D</v>
      </c>
      <c r="J203" s="6">
        <f>IF(A203="","",SUMIFS(Movimientos!$K:$K,Movimientos!$H:$H,A203))</f>
        <v>0</v>
      </c>
      <c r="K203" s="14" t="str">
        <f t="shared" ref="K203:K266" ca="1" si="9">IF(A203="","",IF(H203="S/D","OK",IF(H203&lt;TODAY(),"VENCIDO",IF(J203&lt;=0,"SIN STOCK",IF(I203&gt;=180,"OK","PRÓXIMO A VENCER")))))</f>
        <v>OK</v>
      </c>
    </row>
    <row r="204" spans="1:11">
      <c r="A204" s="18" t="s">
        <v>2265</v>
      </c>
      <c r="B204" s="3" t="str">
        <f>IFERROR(INDEX(Movimientos!$C$5:$C$2001,MATCH(A204&amp;"ENTRADA",Movimientos!$R$5:$R$2001,0)),"-")</f>
        <v>-</v>
      </c>
      <c r="C204" s="3" t="str">
        <f>IFERROR(INDEX(Movimientos!$D$5:$D$2001,MATCH(A204&amp;"ENTRADA",Movimientos!$R$5:$R$2001,0)),"-")</f>
        <v>-</v>
      </c>
      <c r="D204" s="3" t="str">
        <f>IFERROR(INDEX(Movimientos!$E$5:$E$2001,MATCH(A204&amp;"ENTRADA",Movimientos!$R$5:$R$2001,0)),"-")</f>
        <v>-</v>
      </c>
      <c r="E204" s="3" t="str">
        <f>IFERROR(INDEX(Movimientos!$F$5:$F$2001,MATCH(A204&amp;"ENTRADA",Movimientos!$R$5:$R$2001,0)),"-")</f>
        <v>-</v>
      </c>
      <c r="F204" s="3" t="str">
        <f>IFERROR(INDEX(Movimientos!$G$5:$G$2001,MATCH(A204&amp;"ENTRADA",Movimientos!$R$5:$R$2001,0)),"-")</f>
        <v>-</v>
      </c>
      <c r="G204" s="3" t="str">
        <f>IFERROR(INDEX(Movimientos!$L$5:$L$2001,MATCH(A204&amp;"ENTRADA",Movimientos!$R$5:$R$2001,0)),"-")</f>
        <v>-</v>
      </c>
      <c r="H204" s="19" t="str">
        <f>IFERROR(IF(INDEX(Movimientos!$M$5:$M$2001,MATCH(A204&amp;"ENTRADA",Movimientos!$R$5:$R$2001,0))=0,"S/D",INDEX(Movimientos!$M$5:$M$2001,MATCH(A204&amp;"ENTRADA",Movimientos!$R$5:$R$2001,0))),"S/D")</f>
        <v>S/D</v>
      </c>
      <c r="I204" s="16" t="str">
        <f t="shared" ca="1" si="8"/>
        <v>S/D</v>
      </c>
      <c r="J204" s="6">
        <f>IF(A204="","",SUMIFS(Movimientos!$K:$K,Movimientos!$H:$H,A204))</f>
        <v>0</v>
      </c>
      <c r="K204" s="14" t="str">
        <f t="shared" ca="1" si="9"/>
        <v>OK</v>
      </c>
    </row>
    <row r="205" spans="1:11">
      <c r="A205" s="18" t="s">
        <v>2266</v>
      </c>
      <c r="B205" s="3" t="str">
        <f>IFERROR(INDEX(Movimientos!$C$5:$C$2001,MATCH(A205&amp;"ENTRADA",Movimientos!$R$5:$R$2001,0)),"-")</f>
        <v>-</v>
      </c>
      <c r="C205" s="3" t="str">
        <f>IFERROR(INDEX(Movimientos!$D$5:$D$2001,MATCH(A205&amp;"ENTRADA",Movimientos!$R$5:$R$2001,0)),"-")</f>
        <v>-</v>
      </c>
      <c r="D205" s="3" t="str">
        <f>IFERROR(INDEX(Movimientos!$E$5:$E$2001,MATCH(A205&amp;"ENTRADA",Movimientos!$R$5:$R$2001,0)),"-")</f>
        <v>-</v>
      </c>
      <c r="E205" s="3" t="str">
        <f>IFERROR(INDEX(Movimientos!$F$5:$F$2001,MATCH(A205&amp;"ENTRADA",Movimientos!$R$5:$R$2001,0)),"-")</f>
        <v>-</v>
      </c>
      <c r="F205" s="3" t="str">
        <f>IFERROR(INDEX(Movimientos!$G$5:$G$2001,MATCH(A205&amp;"ENTRADA",Movimientos!$R$5:$R$2001,0)),"-")</f>
        <v>-</v>
      </c>
      <c r="G205" s="3" t="str">
        <f>IFERROR(INDEX(Movimientos!$L$5:$L$2001,MATCH(A205&amp;"ENTRADA",Movimientos!$R$5:$R$2001,0)),"-")</f>
        <v>-</v>
      </c>
      <c r="H205" s="19" t="str">
        <f>IFERROR(IF(INDEX(Movimientos!$M$5:$M$2001,MATCH(A205&amp;"ENTRADA",Movimientos!$R$5:$R$2001,0))=0,"S/D",INDEX(Movimientos!$M$5:$M$2001,MATCH(A205&amp;"ENTRADA",Movimientos!$R$5:$R$2001,0))),"S/D")</f>
        <v>S/D</v>
      </c>
      <c r="I205" s="16" t="str">
        <f t="shared" ca="1" si="8"/>
        <v>S/D</v>
      </c>
      <c r="J205" s="6">
        <f>IF(A205="","",SUMIFS(Movimientos!$K:$K,Movimientos!$H:$H,A205))</f>
        <v>0</v>
      </c>
      <c r="K205" s="14" t="str">
        <f t="shared" ca="1" si="9"/>
        <v>OK</v>
      </c>
    </row>
    <row r="206" spans="1:11">
      <c r="A206" s="18" t="s">
        <v>2267</v>
      </c>
      <c r="B206" s="3" t="str">
        <f>IFERROR(INDEX(Movimientos!$C$5:$C$2001,MATCH(A206&amp;"ENTRADA",Movimientos!$R$5:$R$2001,0)),"-")</f>
        <v>-</v>
      </c>
      <c r="C206" s="3" t="str">
        <f>IFERROR(INDEX(Movimientos!$D$5:$D$2001,MATCH(A206&amp;"ENTRADA",Movimientos!$R$5:$R$2001,0)),"-")</f>
        <v>-</v>
      </c>
      <c r="D206" s="3" t="str">
        <f>IFERROR(INDEX(Movimientos!$E$5:$E$2001,MATCH(A206&amp;"ENTRADA",Movimientos!$R$5:$R$2001,0)),"-")</f>
        <v>-</v>
      </c>
      <c r="E206" s="3" t="str">
        <f>IFERROR(INDEX(Movimientos!$F$5:$F$2001,MATCH(A206&amp;"ENTRADA",Movimientos!$R$5:$R$2001,0)),"-")</f>
        <v>-</v>
      </c>
      <c r="F206" s="3" t="str">
        <f>IFERROR(INDEX(Movimientos!$G$5:$G$2001,MATCH(A206&amp;"ENTRADA",Movimientos!$R$5:$R$2001,0)),"-")</f>
        <v>-</v>
      </c>
      <c r="G206" s="3" t="str">
        <f>IFERROR(INDEX(Movimientos!$L$5:$L$2001,MATCH(A206&amp;"ENTRADA",Movimientos!$R$5:$R$2001,0)),"-")</f>
        <v>-</v>
      </c>
      <c r="H206" s="19" t="str">
        <f>IFERROR(IF(INDEX(Movimientos!$M$5:$M$2001,MATCH(A206&amp;"ENTRADA",Movimientos!$R$5:$R$2001,0))=0,"S/D",INDEX(Movimientos!$M$5:$M$2001,MATCH(A206&amp;"ENTRADA",Movimientos!$R$5:$R$2001,0))),"S/D")</f>
        <v>S/D</v>
      </c>
      <c r="I206" s="16" t="str">
        <f t="shared" ca="1" si="8"/>
        <v>S/D</v>
      </c>
      <c r="J206" s="6">
        <f>IF(A206="","",SUMIFS(Movimientos!$K:$K,Movimientos!$H:$H,A206))</f>
        <v>0</v>
      </c>
      <c r="K206" s="14" t="str">
        <f t="shared" ca="1" si="9"/>
        <v>OK</v>
      </c>
    </row>
    <row r="207" spans="1:11">
      <c r="A207" s="18" t="s">
        <v>2268</v>
      </c>
      <c r="B207" s="3" t="str">
        <f>IFERROR(INDEX(Movimientos!$C$5:$C$2001,MATCH(A207&amp;"ENTRADA",Movimientos!$R$5:$R$2001,0)),"-")</f>
        <v>-</v>
      </c>
      <c r="C207" s="3" t="str">
        <f>IFERROR(INDEX(Movimientos!$D$5:$D$2001,MATCH(A207&amp;"ENTRADA",Movimientos!$R$5:$R$2001,0)),"-")</f>
        <v>-</v>
      </c>
      <c r="D207" s="3" t="str">
        <f>IFERROR(INDEX(Movimientos!$E$5:$E$2001,MATCH(A207&amp;"ENTRADA",Movimientos!$R$5:$R$2001,0)),"-")</f>
        <v>-</v>
      </c>
      <c r="E207" s="3" t="str">
        <f>IFERROR(INDEX(Movimientos!$F$5:$F$2001,MATCH(A207&amp;"ENTRADA",Movimientos!$R$5:$R$2001,0)),"-")</f>
        <v>-</v>
      </c>
      <c r="F207" s="3" t="str">
        <f>IFERROR(INDEX(Movimientos!$G$5:$G$2001,MATCH(A207&amp;"ENTRADA",Movimientos!$R$5:$R$2001,0)),"-")</f>
        <v>-</v>
      </c>
      <c r="G207" s="3" t="str">
        <f>IFERROR(INDEX(Movimientos!$L$5:$L$2001,MATCH(A207&amp;"ENTRADA",Movimientos!$R$5:$R$2001,0)),"-")</f>
        <v>-</v>
      </c>
      <c r="H207" s="19" t="str">
        <f>IFERROR(IF(INDEX(Movimientos!$M$5:$M$2001,MATCH(A207&amp;"ENTRADA",Movimientos!$R$5:$R$2001,0))=0,"S/D",INDEX(Movimientos!$M$5:$M$2001,MATCH(A207&amp;"ENTRADA",Movimientos!$R$5:$R$2001,0))),"S/D")</f>
        <v>S/D</v>
      </c>
      <c r="I207" s="16" t="str">
        <f t="shared" ca="1" si="8"/>
        <v>S/D</v>
      </c>
      <c r="J207" s="6">
        <f>IF(A207="","",SUMIFS(Movimientos!$K:$K,Movimientos!$H:$H,A207))</f>
        <v>0</v>
      </c>
      <c r="K207" s="14" t="str">
        <f t="shared" ca="1" si="9"/>
        <v>OK</v>
      </c>
    </row>
    <row r="208" spans="1:11">
      <c r="A208" s="18" t="s">
        <v>2269</v>
      </c>
      <c r="B208" s="3" t="str">
        <f>IFERROR(INDEX(Movimientos!$C$5:$C$2001,MATCH(A208&amp;"ENTRADA",Movimientos!$R$5:$R$2001,0)),"-")</f>
        <v>-</v>
      </c>
      <c r="C208" s="3" t="str">
        <f>IFERROR(INDEX(Movimientos!$D$5:$D$2001,MATCH(A208&amp;"ENTRADA",Movimientos!$R$5:$R$2001,0)),"-")</f>
        <v>-</v>
      </c>
      <c r="D208" s="3" t="str">
        <f>IFERROR(INDEX(Movimientos!$E$5:$E$2001,MATCH(A208&amp;"ENTRADA",Movimientos!$R$5:$R$2001,0)),"-")</f>
        <v>-</v>
      </c>
      <c r="E208" s="3" t="str">
        <f>IFERROR(INDEX(Movimientos!$F$5:$F$2001,MATCH(A208&amp;"ENTRADA",Movimientos!$R$5:$R$2001,0)),"-")</f>
        <v>-</v>
      </c>
      <c r="F208" s="3" t="str">
        <f>IFERROR(INDEX(Movimientos!$G$5:$G$2001,MATCH(A208&amp;"ENTRADA",Movimientos!$R$5:$R$2001,0)),"-")</f>
        <v>-</v>
      </c>
      <c r="G208" s="3" t="str">
        <f>IFERROR(INDEX(Movimientos!$L$5:$L$2001,MATCH(A208&amp;"ENTRADA",Movimientos!$R$5:$R$2001,0)),"-")</f>
        <v>-</v>
      </c>
      <c r="H208" s="19" t="str">
        <f>IFERROR(IF(INDEX(Movimientos!$M$5:$M$2001,MATCH(A208&amp;"ENTRADA",Movimientos!$R$5:$R$2001,0))=0,"S/D",INDEX(Movimientos!$M$5:$M$2001,MATCH(A208&amp;"ENTRADA",Movimientos!$R$5:$R$2001,0))),"S/D")</f>
        <v>S/D</v>
      </c>
      <c r="I208" s="16" t="str">
        <f t="shared" ca="1" si="8"/>
        <v>S/D</v>
      </c>
      <c r="J208" s="6">
        <f>IF(A208="","",SUMIFS(Movimientos!$K:$K,Movimientos!$H:$H,A208))</f>
        <v>0</v>
      </c>
      <c r="K208" s="14" t="str">
        <f t="shared" ca="1" si="9"/>
        <v>OK</v>
      </c>
    </row>
    <row r="209" spans="1:11">
      <c r="A209" s="18" t="s">
        <v>2270</v>
      </c>
      <c r="B209" s="3" t="str">
        <f>IFERROR(INDEX(Movimientos!$C$5:$C$2001,MATCH(A209&amp;"ENTRADA",Movimientos!$R$5:$R$2001,0)),"-")</f>
        <v>-</v>
      </c>
      <c r="C209" s="3" t="str">
        <f>IFERROR(INDEX(Movimientos!$D$5:$D$2001,MATCH(A209&amp;"ENTRADA",Movimientos!$R$5:$R$2001,0)),"-")</f>
        <v>-</v>
      </c>
      <c r="D209" s="3" t="str">
        <f>IFERROR(INDEX(Movimientos!$E$5:$E$2001,MATCH(A209&amp;"ENTRADA",Movimientos!$R$5:$R$2001,0)),"-")</f>
        <v>-</v>
      </c>
      <c r="E209" s="3" t="str">
        <f>IFERROR(INDEX(Movimientos!$F$5:$F$2001,MATCH(A209&amp;"ENTRADA",Movimientos!$R$5:$R$2001,0)),"-")</f>
        <v>-</v>
      </c>
      <c r="F209" s="3" t="str">
        <f>IFERROR(INDEX(Movimientos!$G$5:$G$2001,MATCH(A209&amp;"ENTRADA",Movimientos!$R$5:$R$2001,0)),"-")</f>
        <v>-</v>
      </c>
      <c r="G209" s="3" t="str">
        <f>IFERROR(INDEX(Movimientos!$L$5:$L$2001,MATCH(A209&amp;"ENTRADA",Movimientos!$R$5:$R$2001,0)),"-")</f>
        <v>-</v>
      </c>
      <c r="H209" s="19" t="str">
        <f>IFERROR(IF(INDEX(Movimientos!$M$5:$M$2001,MATCH(A209&amp;"ENTRADA",Movimientos!$R$5:$R$2001,0))=0,"S/D",INDEX(Movimientos!$M$5:$M$2001,MATCH(A209&amp;"ENTRADA",Movimientos!$R$5:$R$2001,0))),"S/D")</f>
        <v>S/D</v>
      </c>
      <c r="I209" s="16" t="str">
        <f t="shared" ca="1" si="8"/>
        <v>S/D</v>
      </c>
      <c r="J209" s="6">
        <f>IF(A209="","",SUMIFS(Movimientos!$K:$K,Movimientos!$H:$H,A209))</f>
        <v>0</v>
      </c>
      <c r="K209" s="14" t="str">
        <f t="shared" ca="1" si="9"/>
        <v>OK</v>
      </c>
    </row>
    <row r="210" spans="1:11">
      <c r="A210" s="18" t="s">
        <v>2271</v>
      </c>
      <c r="B210" s="3" t="str">
        <f>IFERROR(INDEX(Movimientos!$C$5:$C$2001,MATCH(A210&amp;"ENTRADA",Movimientos!$R$5:$R$2001,0)),"-")</f>
        <v>-</v>
      </c>
      <c r="C210" s="3" t="str">
        <f>IFERROR(INDEX(Movimientos!$D$5:$D$2001,MATCH(A210&amp;"ENTRADA",Movimientos!$R$5:$R$2001,0)),"-")</f>
        <v>-</v>
      </c>
      <c r="D210" s="3" t="str">
        <f>IFERROR(INDEX(Movimientos!$E$5:$E$2001,MATCH(A210&amp;"ENTRADA",Movimientos!$R$5:$R$2001,0)),"-")</f>
        <v>-</v>
      </c>
      <c r="E210" s="3" t="str">
        <f>IFERROR(INDEX(Movimientos!$F$5:$F$2001,MATCH(A210&amp;"ENTRADA",Movimientos!$R$5:$R$2001,0)),"-")</f>
        <v>-</v>
      </c>
      <c r="F210" s="3" t="str">
        <f>IFERROR(INDEX(Movimientos!$G$5:$G$2001,MATCH(A210&amp;"ENTRADA",Movimientos!$R$5:$R$2001,0)),"-")</f>
        <v>-</v>
      </c>
      <c r="G210" s="3" t="str">
        <f>IFERROR(INDEX(Movimientos!$L$5:$L$2001,MATCH(A210&amp;"ENTRADA",Movimientos!$R$5:$R$2001,0)),"-")</f>
        <v>-</v>
      </c>
      <c r="H210" s="19" t="str">
        <f>IFERROR(IF(INDEX(Movimientos!$M$5:$M$2001,MATCH(A210&amp;"ENTRADA",Movimientos!$R$5:$R$2001,0))=0,"S/D",INDEX(Movimientos!$M$5:$M$2001,MATCH(A210&amp;"ENTRADA",Movimientos!$R$5:$R$2001,0))),"S/D")</f>
        <v>S/D</v>
      </c>
      <c r="I210" s="16" t="str">
        <f t="shared" ca="1" si="8"/>
        <v>S/D</v>
      </c>
      <c r="J210" s="6">
        <f>IF(A210="","",SUMIFS(Movimientos!$K:$K,Movimientos!$H:$H,A210))</f>
        <v>0</v>
      </c>
      <c r="K210" s="14" t="str">
        <f t="shared" ca="1" si="9"/>
        <v>OK</v>
      </c>
    </row>
    <row r="211" spans="1:11">
      <c r="A211" s="18" t="s">
        <v>2272</v>
      </c>
      <c r="B211" s="3" t="str">
        <f>IFERROR(INDEX(Movimientos!$C$5:$C$2001,MATCH(A211&amp;"ENTRADA",Movimientos!$R$5:$R$2001,0)),"-")</f>
        <v>-</v>
      </c>
      <c r="C211" s="3" t="str">
        <f>IFERROR(INDEX(Movimientos!$D$5:$D$2001,MATCH(A211&amp;"ENTRADA",Movimientos!$R$5:$R$2001,0)),"-")</f>
        <v>-</v>
      </c>
      <c r="D211" s="3" t="str">
        <f>IFERROR(INDEX(Movimientos!$E$5:$E$2001,MATCH(A211&amp;"ENTRADA",Movimientos!$R$5:$R$2001,0)),"-")</f>
        <v>-</v>
      </c>
      <c r="E211" s="3" t="str">
        <f>IFERROR(INDEX(Movimientos!$F$5:$F$2001,MATCH(A211&amp;"ENTRADA",Movimientos!$R$5:$R$2001,0)),"-")</f>
        <v>-</v>
      </c>
      <c r="F211" s="3" t="str">
        <f>IFERROR(INDEX(Movimientos!$G$5:$G$2001,MATCH(A211&amp;"ENTRADA",Movimientos!$R$5:$R$2001,0)),"-")</f>
        <v>-</v>
      </c>
      <c r="G211" s="3" t="str">
        <f>IFERROR(INDEX(Movimientos!$L$5:$L$2001,MATCH(A211&amp;"ENTRADA",Movimientos!$R$5:$R$2001,0)),"-")</f>
        <v>-</v>
      </c>
      <c r="H211" s="19" t="str">
        <f>IFERROR(IF(INDEX(Movimientos!$M$5:$M$2001,MATCH(A211&amp;"ENTRADA",Movimientos!$R$5:$R$2001,0))=0,"S/D",INDEX(Movimientos!$M$5:$M$2001,MATCH(A211&amp;"ENTRADA",Movimientos!$R$5:$R$2001,0))),"S/D")</f>
        <v>S/D</v>
      </c>
      <c r="I211" s="16" t="str">
        <f t="shared" ca="1" si="8"/>
        <v>S/D</v>
      </c>
      <c r="J211" s="6">
        <f>IF(A211="","",SUMIFS(Movimientos!$K:$K,Movimientos!$H:$H,A211))</f>
        <v>0</v>
      </c>
      <c r="K211" s="14" t="str">
        <f t="shared" ca="1" si="9"/>
        <v>OK</v>
      </c>
    </row>
    <row r="212" spans="1:11">
      <c r="A212" s="18" t="s">
        <v>2273</v>
      </c>
      <c r="B212" s="3" t="str">
        <f>IFERROR(INDEX(Movimientos!$C$5:$C$2001,MATCH(A212&amp;"ENTRADA",Movimientos!$R$5:$R$2001,0)),"-")</f>
        <v>-</v>
      </c>
      <c r="C212" s="3" t="str">
        <f>IFERROR(INDEX(Movimientos!$D$5:$D$2001,MATCH(A212&amp;"ENTRADA",Movimientos!$R$5:$R$2001,0)),"-")</f>
        <v>-</v>
      </c>
      <c r="D212" s="3" t="str">
        <f>IFERROR(INDEX(Movimientos!$E$5:$E$2001,MATCH(A212&amp;"ENTRADA",Movimientos!$R$5:$R$2001,0)),"-")</f>
        <v>-</v>
      </c>
      <c r="E212" s="3" t="str">
        <f>IFERROR(INDEX(Movimientos!$F$5:$F$2001,MATCH(A212&amp;"ENTRADA",Movimientos!$R$5:$R$2001,0)),"-")</f>
        <v>-</v>
      </c>
      <c r="F212" s="3" t="str">
        <f>IFERROR(INDEX(Movimientos!$G$5:$G$2001,MATCH(A212&amp;"ENTRADA",Movimientos!$R$5:$R$2001,0)),"-")</f>
        <v>-</v>
      </c>
      <c r="G212" s="3" t="str">
        <f>IFERROR(INDEX(Movimientos!$L$5:$L$2001,MATCH(A212&amp;"ENTRADA",Movimientos!$R$5:$R$2001,0)),"-")</f>
        <v>-</v>
      </c>
      <c r="H212" s="19" t="str">
        <f>IFERROR(IF(INDEX(Movimientos!$M$5:$M$2001,MATCH(A212&amp;"ENTRADA",Movimientos!$R$5:$R$2001,0))=0,"S/D",INDEX(Movimientos!$M$5:$M$2001,MATCH(A212&amp;"ENTRADA",Movimientos!$R$5:$R$2001,0))),"S/D")</f>
        <v>S/D</v>
      </c>
      <c r="I212" s="16" t="str">
        <f t="shared" ca="1" si="8"/>
        <v>S/D</v>
      </c>
      <c r="J212" s="6">
        <f>IF(A212="","",SUMIFS(Movimientos!$K:$K,Movimientos!$H:$H,A212))</f>
        <v>0</v>
      </c>
      <c r="K212" s="14" t="str">
        <f t="shared" ca="1" si="9"/>
        <v>OK</v>
      </c>
    </row>
    <row r="213" spans="1:11">
      <c r="A213" s="18" t="s">
        <v>2274</v>
      </c>
      <c r="B213" s="3" t="str">
        <f>IFERROR(INDEX(Movimientos!$C$5:$C$2001,MATCH(A213&amp;"ENTRADA",Movimientos!$R$5:$R$2001,0)),"-")</f>
        <v>-</v>
      </c>
      <c r="C213" s="3" t="str">
        <f>IFERROR(INDEX(Movimientos!$D$5:$D$2001,MATCH(A213&amp;"ENTRADA",Movimientos!$R$5:$R$2001,0)),"-")</f>
        <v>-</v>
      </c>
      <c r="D213" s="3" t="str">
        <f>IFERROR(INDEX(Movimientos!$E$5:$E$2001,MATCH(A213&amp;"ENTRADA",Movimientos!$R$5:$R$2001,0)),"-")</f>
        <v>-</v>
      </c>
      <c r="E213" s="3" t="str">
        <f>IFERROR(INDEX(Movimientos!$F$5:$F$2001,MATCH(A213&amp;"ENTRADA",Movimientos!$R$5:$R$2001,0)),"-")</f>
        <v>-</v>
      </c>
      <c r="F213" s="3" t="str">
        <f>IFERROR(INDEX(Movimientos!$G$5:$G$2001,MATCH(A213&amp;"ENTRADA",Movimientos!$R$5:$R$2001,0)),"-")</f>
        <v>-</v>
      </c>
      <c r="G213" s="3" t="str">
        <f>IFERROR(INDEX(Movimientos!$L$5:$L$2001,MATCH(A213&amp;"ENTRADA",Movimientos!$R$5:$R$2001,0)),"-")</f>
        <v>-</v>
      </c>
      <c r="H213" s="19" t="str">
        <f>IFERROR(IF(INDEX(Movimientos!$M$5:$M$2001,MATCH(A213&amp;"ENTRADA",Movimientos!$R$5:$R$2001,0))=0,"S/D",INDEX(Movimientos!$M$5:$M$2001,MATCH(A213&amp;"ENTRADA",Movimientos!$R$5:$R$2001,0))),"S/D")</f>
        <v>S/D</v>
      </c>
      <c r="I213" s="16" t="str">
        <f t="shared" ca="1" si="8"/>
        <v>S/D</v>
      </c>
      <c r="J213" s="6">
        <f>IF(A213="","",SUMIFS(Movimientos!$K:$K,Movimientos!$H:$H,A213))</f>
        <v>0</v>
      </c>
      <c r="K213" s="14" t="str">
        <f t="shared" ca="1" si="9"/>
        <v>OK</v>
      </c>
    </row>
    <row r="214" spans="1:11">
      <c r="A214" s="18" t="s">
        <v>2275</v>
      </c>
      <c r="B214" s="3" t="str">
        <f>IFERROR(INDEX(Movimientos!$C$5:$C$2001,MATCH(A214&amp;"ENTRADA",Movimientos!$R$5:$R$2001,0)),"-")</f>
        <v>-</v>
      </c>
      <c r="C214" s="3" t="str">
        <f>IFERROR(INDEX(Movimientos!$D$5:$D$2001,MATCH(A214&amp;"ENTRADA",Movimientos!$R$5:$R$2001,0)),"-")</f>
        <v>-</v>
      </c>
      <c r="D214" s="3" t="str">
        <f>IFERROR(INDEX(Movimientos!$E$5:$E$2001,MATCH(A214&amp;"ENTRADA",Movimientos!$R$5:$R$2001,0)),"-")</f>
        <v>-</v>
      </c>
      <c r="E214" s="3" t="str">
        <f>IFERROR(INDEX(Movimientos!$F$5:$F$2001,MATCH(A214&amp;"ENTRADA",Movimientos!$R$5:$R$2001,0)),"-")</f>
        <v>-</v>
      </c>
      <c r="F214" s="3" t="str">
        <f>IFERROR(INDEX(Movimientos!$G$5:$G$2001,MATCH(A214&amp;"ENTRADA",Movimientos!$R$5:$R$2001,0)),"-")</f>
        <v>-</v>
      </c>
      <c r="G214" s="3" t="str">
        <f>IFERROR(INDEX(Movimientos!$L$5:$L$2001,MATCH(A214&amp;"ENTRADA",Movimientos!$R$5:$R$2001,0)),"-")</f>
        <v>-</v>
      </c>
      <c r="H214" s="19" t="str">
        <f>IFERROR(IF(INDEX(Movimientos!$M$5:$M$2001,MATCH(A214&amp;"ENTRADA",Movimientos!$R$5:$R$2001,0))=0,"S/D",INDEX(Movimientos!$M$5:$M$2001,MATCH(A214&amp;"ENTRADA",Movimientos!$R$5:$R$2001,0))),"S/D")</f>
        <v>S/D</v>
      </c>
      <c r="I214" s="16" t="str">
        <f t="shared" ca="1" si="8"/>
        <v>S/D</v>
      </c>
      <c r="J214" s="6">
        <f>IF(A214="","",SUMIFS(Movimientos!$K:$K,Movimientos!$H:$H,A214))</f>
        <v>0</v>
      </c>
      <c r="K214" s="14" t="str">
        <f t="shared" ca="1" si="9"/>
        <v>OK</v>
      </c>
    </row>
    <row r="215" spans="1:11">
      <c r="A215" s="18" t="s">
        <v>2276</v>
      </c>
      <c r="B215" s="3" t="str">
        <f>IFERROR(INDEX(Movimientos!$C$5:$C$2001,MATCH(A215&amp;"ENTRADA",Movimientos!$R$5:$R$2001,0)),"-")</f>
        <v>-</v>
      </c>
      <c r="C215" s="3" t="str">
        <f>IFERROR(INDEX(Movimientos!$D$5:$D$2001,MATCH(A215&amp;"ENTRADA",Movimientos!$R$5:$R$2001,0)),"-")</f>
        <v>-</v>
      </c>
      <c r="D215" s="3" t="str">
        <f>IFERROR(INDEX(Movimientos!$E$5:$E$2001,MATCH(A215&amp;"ENTRADA",Movimientos!$R$5:$R$2001,0)),"-")</f>
        <v>-</v>
      </c>
      <c r="E215" s="3" t="str">
        <f>IFERROR(INDEX(Movimientos!$F$5:$F$2001,MATCH(A215&amp;"ENTRADA",Movimientos!$R$5:$R$2001,0)),"-")</f>
        <v>-</v>
      </c>
      <c r="F215" s="3" t="str">
        <f>IFERROR(INDEX(Movimientos!$G$5:$G$2001,MATCH(A215&amp;"ENTRADA",Movimientos!$R$5:$R$2001,0)),"-")</f>
        <v>-</v>
      </c>
      <c r="G215" s="3" t="str">
        <f>IFERROR(INDEX(Movimientos!$L$5:$L$2001,MATCH(A215&amp;"ENTRADA",Movimientos!$R$5:$R$2001,0)),"-")</f>
        <v>-</v>
      </c>
      <c r="H215" s="19" t="str">
        <f>IFERROR(IF(INDEX(Movimientos!$M$5:$M$2001,MATCH(A215&amp;"ENTRADA",Movimientos!$R$5:$R$2001,0))=0,"S/D",INDEX(Movimientos!$M$5:$M$2001,MATCH(A215&amp;"ENTRADA",Movimientos!$R$5:$R$2001,0))),"S/D")</f>
        <v>S/D</v>
      </c>
      <c r="I215" s="16" t="str">
        <f t="shared" ca="1" si="8"/>
        <v>S/D</v>
      </c>
      <c r="J215" s="6">
        <f>IF(A215="","",SUMIFS(Movimientos!$K:$K,Movimientos!$H:$H,A215))</f>
        <v>0</v>
      </c>
      <c r="K215" s="14" t="str">
        <f t="shared" ca="1" si="9"/>
        <v>OK</v>
      </c>
    </row>
    <row r="216" spans="1:11">
      <c r="A216" s="18" t="s">
        <v>2277</v>
      </c>
      <c r="B216" s="3" t="str">
        <f>IFERROR(INDEX(Movimientos!$C$5:$C$2001,MATCH(A216&amp;"ENTRADA",Movimientos!$R$5:$R$2001,0)),"-")</f>
        <v>-</v>
      </c>
      <c r="C216" s="3" t="str">
        <f>IFERROR(INDEX(Movimientos!$D$5:$D$2001,MATCH(A216&amp;"ENTRADA",Movimientos!$R$5:$R$2001,0)),"-")</f>
        <v>-</v>
      </c>
      <c r="D216" s="3" t="str">
        <f>IFERROR(INDEX(Movimientos!$E$5:$E$2001,MATCH(A216&amp;"ENTRADA",Movimientos!$R$5:$R$2001,0)),"-")</f>
        <v>-</v>
      </c>
      <c r="E216" s="3" t="str">
        <f>IFERROR(INDEX(Movimientos!$F$5:$F$2001,MATCH(A216&amp;"ENTRADA",Movimientos!$R$5:$R$2001,0)),"-")</f>
        <v>-</v>
      </c>
      <c r="F216" s="3" t="str">
        <f>IFERROR(INDEX(Movimientos!$G$5:$G$2001,MATCH(A216&amp;"ENTRADA",Movimientos!$R$5:$R$2001,0)),"-")</f>
        <v>-</v>
      </c>
      <c r="G216" s="3" t="str">
        <f>IFERROR(INDEX(Movimientos!$L$5:$L$2001,MATCH(A216&amp;"ENTRADA",Movimientos!$R$5:$R$2001,0)),"-")</f>
        <v>-</v>
      </c>
      <c r="H216" s="19" t="str">
        <f>IFERROR(IF(INDEX(Movimientos!$M$5:$M$2001,MATCH(A216&amp;"ENTRADA",Movimientos!$R$5:$R$2001,0))=0,"S/D",INDEX(Movimientos!$M$5:$M$2001,MATCH(A216&amp;"ENTRADA",Movimientos!$R$5:$R$2001,0))),"S/D")</f>
        <v>S/D</v>
      </c>
      <c r="I216" s="16" t="str">
        <f t="shared" ca="1" si="8"/>
        <v>S/D</v>
      </c>
      <c r="J216" s="6">
        <f>IF(A216="","",SUMIFS(Movimientos!$K:$K,Movimientos!$H:$H,A216))</f>
        <v>0</v>
      </c>
      <c r="K216" s="14" t="str">
        <f t="shared" ca="1" si="9"/>
        <v>OK</v>
      </c>
    </row>
    <row r="217" spans="1:11">
      <c r="A217" s="18" t="s">
        <v>2278</v>
      </c>
      <c r="B217" s="3" t="str">
        <f>IFERROR(INDEX(Movimientos!$C$5:$C$2001,MATCH(A217&amp;"ENTRADA",Movimientos!$R$5:$R$2001,0)),"-")</f>
        <v>-</v>
      </c>
      <c r="C217" s="3" t="str">
        <f>IFERROR(INDEX(Movimientos!$D$5:$D$2001,MATCH(A217&amp;"ENTRADA",Movimientos!$R$5:$R$2001,0)),"-")</f>
        <v>-</v>
      </c>
      <c r="D217" s="3" t="str">
        <f>IFERROR(INDEX(Movimientos!$E$5:$E$2001,MATCH(A217&amp;"ENTRADA",Movimientos!$R$5:$R$2001,0)),"-")</f>
        <v>-</v>
      </c>
      <c r="E217" s="3" t="str">
        <f>IFERROR(INDEX(Movimientos!$F$5:$F$2001,MATCH(A217&amp;"ENTRADA",Movimientos!$R$5:$R$2001,0)),"-")</f>
        <v>-</v>
      </c>
      <c r="F217" s="3" t="str">
        <f>IFERROR(INDEX(Movimientos!$G$5:$G$2001,MATCH(A217&amp;"ENTRADA",Movimientos!$R$5:$R$2001,0)),"-")</f>
        <v>-</v>
      </c>
      <c r="G217" s="3" t="str">
        <f>IFERROR(INDEX(Movimientos!$L$5:$L$2001,MATCH(A217&amp;"ENTRADA",Movimientos!$R$5:$R$2001,0)),"-")</f>
        <v>-</v>
      </c>
      <c r="H217" s="19" t="str">
        <f>IFERROR(IF(INDEX(Movimientos!$M$5:$M$2001,MATCH(A217&amp;"ENTRADA",Movimientos!$R$5:$R$2001,0))=0,"S/D",INDEX(Movimientos!$M$5:$M$2001,MATCH(A217&amp;"ENTRADA",Movimientos!$R$5:$R$2001,0))),"S/D")</f>
        <v>S/D</v>
      </c>
      <c r="I217" s="16" t="str">
        <f t="shared" ca="1" si="8"/>
        <v>S/D</v>
      </c>
      <c r="J217" s="6">
        <f>IF(A217="","",SUMIFS(Movimientos!$K:$K,Movimientos!$H:$H,A217))</f>
        <v>0</v>
      </c>
      <c r="K217" s="14" t="str">
        <f t="shared" ca="1" si="9"/>
        <v>OK</v>
      </c>
    </row>
    <row r="218" spans="1:11">
      <c r="A218" s="18" t="s">
        <v>2279</v>
      </c>
      <c r="B218" s="3" t="str">
        <f>IFERROR(INDEX(Movimientos!$C$5:$C$2001,MATCH(A218&amp;"ENTRADA",Movimientos!$R$5:$R$2001,0)),"-")</f>
        <v>-</v>
      </c>
      <c r="C218" s="3" t="str">
        <f>IFERROR(INDEX(Movimientos!$D$5:$D$2001,MATCH(A218&amp;"ENTRADA",Movimientos!$R$5:$R$2001,0)),"-")</f>
        <v>-</v>
      </c>
      <c r="D218" s="3" t="str">
        <f>IFERROR(INDEX(Movimientos!$E$5:$E$2001,MATCH(A218&amp;"ENTRADA",Movimientos!$R$5:$R$2001,0)),"-")</f>
        <v>-</v>
      </c>
      <c r="E218" s="3" t="str">
        <f>IFERROR(INDEX(Movimientos!$F$5:$F$2001,MATCH(A218&amp;"ENTRADA",Movimientos!$R$5:$R$2001,0)),"-")</f>
        <v>-</v>
      </c>
      <c r="F218" s="3" t="str">
        <f>IFERROR(INDEX(Movimientos!$G$5:$G$2001,MATCH(A218&amp;"ENTRADA",Movimientos!$R$5:$R$2001,0)),"-")</f>
        <v>-</v>
      </c>
      <c r="G218" s="3" t="str">
        <f>IFERROR(INDEX(Movimientos!$L$5:$L$2001,MATCH(A218&amp;"ENTRADA",Movimientos!$R$5:$R$2001,0)),"-")</f>
        <v>-</v>
      </c>
      <c r="H218" s="19" t="str">
        <f>IFERROR(IF(INDEX(Movimientos!$M$5:$M$2001,MATCH(A218&amp;"ENTRADA",Movimientos!$R$5:$R$2001,0))=0,"S/D",INDEX(Movimientos!$M$5:$M$2001,MATCH(A218&amp;"ENTRADA",Movimientos!$R$5:$R$2001,0))),"S/D")</f>
        <v>S/D</v>
      </c>
      <c r="I218" s="16" t="str">
        <f t="shared" ca="1" si="8"/>
        <v>S/D</v>
      </c>
      <c r="J218" s="6">
        <f>IF(A218="","",SUMIFS(Movimientos!$K:$K,Movimientos!$H:$H,A218))</f>
        <v>0</v>
      </c>
      <c r="K218" s="14" t="str">
        <f t="shared" ca="1" si="9"/>
        <v>OK</v>
      </c>
    </row>
    <row r="219" spans="1:11">
      <c r="A219" s="18" t="s">
        <v>2280</v>
      </c>
      <c r="B219" s="3" t="str">
        <f>IFERROR(INDEX(Movimientos!$C$5:$C$2001,MATCH(A219&amp;"ENTRADA",Movimientos!$R$5:$R$2001,0)),"-")</f>
        <v>-</v>
      </c>
      <c r="C219" s="3" t="str">
        <f>IFERROR(INDEX(Movimientos!$D$5:$D$2001,MATCH(A219&amp;"ENTRADA",Movimientos!$R$5:$R$2001,0)),"-")</f>
        <v>-</v>
      </c>
      <c r="D219" s="3" t="str">
        <f>IFERROR(INDEX(Movimientos!$E$5:$E$2001,MATCH(A219&amp;"ENTRADA",Movimientos!$R$5:$R$2001,0)),"-")</f>
        <v>-</v>
      </c>
      <c r="E219" s="3" t="str">
        <f>IFERROR(INDEX(Movimientos!$F$5:$F$2001,MATCH(A219&amp;"ENTRADA",Movimientos!$R$5:$R$2001,0)),"-")</f>
        <v>-</v>
      </c>
      <c r="F219" s="3" t="str">
        <f>IFERROR(INDEX(Movimientos!$G$5:$G$2001,MATCH(A219&amp;"ENTRADA",Movimientos!$R$5:$R$2001,0)),"-")</f>
        <v>-</v>
      </c>
      <c r="G219" s="3" t="str">
        <f>IFERROR(INDEX(Movimientos!$L$5:$L$2001,MATCH(A219&amp;"ENTRADA",Movimientos!$R$5:$R$2001,0)),"-")</f>
        <v>-</v>
      </c>
      <c r="H219" s="19" t="str">
        <f>IFERROR(IF(INDEX(Movimientos!$M$5:$M$2001,MATCH(A219&amp;"ENTRADA",Movimientos!$R$5:$R$2001,0))=0,"S/D",INDEX(Movimientos!$M$5:$M$2001,MATCH(A219&amp;"ENTRADA",Movimientos!$R$5:$R$2001,0))),"S/D")</f>
        <v>S/D</v>
      </c>
      <c r="I219" s="16" t="str">
        <f t="shared" ca="1" si="8"/>
        <v>S/D</v>
      </c>
      <c r="J219" s="6">
        <f>IF(A219="","",SUMIFS(Movimientos!$K:$K,Movimientos!$H:$H,A219))</f>
        <v>0</v>
      </c>
      <c r="K219" s="14" t="str">
        <f t="shared" ca="1" si="9"/>
        <v>OK</v>
      </c>
    </row>
    <row r="220" spans="1:11">
      <c r="A220" s="18" t="s">
        <v>2281</v>
      </c>
      <c r="B220" s="3" t="str">
        <f>IFERROR(INDEX(Movimientos!$C$5:$C$2001,MATCH(A220&amp;"ENTRADA",Movimientos!$R$5:$R$2001,0)),"-")</f>
        <v>-</v>
      </c>
      <c r="C220" s="3" t="str">
        <f>IFERROR(INDEX(Movimientos!$D$5:$D$2001,MATCH(A220&amp;"ENTRADA",Movimientos!$R$5:$R$2001,0)),"-")</f>
        <v>-</v>
      </c>
      <c r="D220" s="3" t="str">
        <f>IFERROR(INDEX(Movimientos!$E$5:$E$2001,MATCH(A220&amp;"ENTRADA",Movimientos!$R$5:$R$2001,0)),"-")</f>
        <v>-</v>
      </c>
      <c r="E220" s="3" t="str">
        <f>IFERROR(INDEX(Movimientos!$F$5:$F$2001,MATCH(A220&amp;"ENTRADA",Movimientos!$R$5:$R$2001,0)),"-")</f>
        <v>-</v>
      </c>
      <c r="F220" s="3" t="str">
        <f>IFERROR(INDEX(Movimientos!$G$5:$G$2001,MATCH(A220&amp;"ENTRADA",Movimientos!$R$5:$R$2001,0)),"-")</f>
        <v>-</v>
      </c>
      <c r="G220" s="3" t="str">
        <f>IFERROR(INDEX(Movimientos!$L$5:$L$2001,MATCH(A220&amp;"ENTRADA",Movimientos!$R$5:$R$2001,0)),"-")</f>
        <v>-</v>
      </c>
      <c r="H220" s="19" t="str">
        <f>IFERROR(IF(INDEX(Movimientos!$M$5:$M$2001,MATCH(A220&amp;"ENTRADA",Movimientos!$R$5:$R$2001,0))=0,"S/D",INDEX(Movimientos!$M$5:$M$2001,MATCH(A220&amp;"ENTRADA",Movimientos!$R$5:$R$2001,0))),"S/D")</f>
        <v>S/D</v>
      </c>
      <c r="I220" s="16" t="str">
        <f t="shared" ca="1" si="8"/>
        <v>S/D</v>
      </c>
      <c r="J220" s="6">
        <f>IF(A220="","",SUMIFS(Movimientos!$K:$K,Movimientos!$H:$H,A220))</f>
        <v>0</v>
      </c>
      <c r="K220" s="14" t="str">
        <f t="shared" ca="1" si="9"/>
        <v>OK</v>
      </c>
    </row>
    <row r="221" spans="1:11">
      <c r="A221" s="18" t="s">
        <v>2282</v>
      </c>
      <c r="B221" s="3" t="str">
        <f>IFERROR(INDEX(Movimientos!$C$5:$C$2001,MATCH(A221&amp;"ENTRADA",Movimientos!$R$5:$R$2001,0)),"-")</f>
        <v>-</v>
      </c>
      <c r="C221" s="3" t="str">
        <f>IFERROR(INDEX(Movimientos!$D$5:$D$2001,MATCH(A221&amp;"ENTRADA",Movimientos!$R$5:$R$2001,0)),"-")</f>
        <v>-</v>
      </c>
      <c r="D221" s="3" t="str">
        <f>IFERROR(INDEX(Movimientos!$E$5:$E$2001,MATCH(A221&amp;"ENTRADA",Movimientos!$R$5:$R$2001,0)),"-")</f>
        <v>-</v>
      </c>
      <c r="E221" s="3" t="str">
        <f>IFERROR(INDEX(Movimientos!$F$5:$F$2001,MATCH(A221&amp;"ENTRADA",Movimientos!$R$5:$R$2001,0)),"-")</f>
        <v>-</v>
      </c>
      <c r="F221" s="3" t="str">
        <f>IFERROR(INDEX(Movimientos!$G$5:$G$2001,MATCH(A221&amp;"ENTRADA",Movimientos!$R$5:$R$2001,0)),"-")</f>
        <v>-</v>
      </c>
      <c r="G221" s="3" t="str">
        <f>IFERROR(INDEX(Movimientos!$L$5:$L$2001,MATCH(A221&amp;"ENTRADA",Movimientos!$R$5:$R$2001,0)),"-")</f>
        <v>-</v>
      </c>
      <c r="H221" s="19" t="str">
        <f>IFERROR(IF(INDEX(Movimientos!$M$5:$M$2001,MATCH(A221&amp;"ENTRADA",Movimientos!$R$5:$R$2001,0))=0,"S/D",INDEX(Movimientos!$M$5:$M$2001,MATCH(A221&amp;"ENTRADA",Movimientos!$R$5:$R$2001,0))),"S/D")</f>
        <v>S/D</v>
      </c>
      <c r="I221" s="16" t="str">
        <f t="shared" ca="1" si="8"/>
        <v>S/D</v>
      </c>
      <c r="J221" s="6">
        <f>IF(A221="","",SUMIFS(Movimientos!$K:$K,Movimientos!$H:$H,A221))</f>
        <v>0</v>
      </c>
      <c r="K221" s="14" t="str">
        <f t="shared" ca="1" si="9"/>
        <v>OK</v>
      </c>
    </row>
    <row r="222" spans="1:11">
      <c r="A222" s="18" t="s">
        <v>2283</v>
      </c>
      <c r="B222" s="3" t="str">
        <f>IFERROR(INDEX(Movimientos!$C$5:$C$2001,MATCH(A222&amp;"ENTRADA",Movimientos!$R$5:$R$2001,0)),"-")</f>
        <v>-</v>
      </c>
      <c r="C222" s="3" t="str">
        <f>IFERROR(INDEX(Movimientos!$D$5:$D$2001,MATCH(A222&amp;"ENTRADA",Movimientos!$R$5:$R$2001,0)),"-")</f>
        <v>-</v>
      </c>
      <c r="D222" s="3" t="str">
        <f>IFERROR(INDEX(Movimientos!$E$5:$E$2001,MATCH(A222&amp;"ENTRADA",Movimientos!$R$5:$R$2001,0)),"-")</f>
        <v>-</v>
      </c>
      <c r="E222" s="3" t="str">
        <f>IFERROR(INDEX(Movimientos!$F$5:$F$2001,MATCH(A222&amp;"ENTRADA",Movimientos!$R$5:$R$2001,0)),"-")</f>
        <v>-</v>
      </c>
      <c r="F222" s="3" t="str">
        <f>IFERROR(INDEX(Movimientos!$G$5:$G$2001,MATCH(A222&amp;"ENTRADA",Movimientos!$R$5:$R$2001,0)),"-")</f>
        <v>-</v>
      </c>
      <c r="G222" s="3" t="str">
        <f>IFERROR(INDEX(Movimientos!$L$5:$L$2001,MATCH(A222&amp;"ENTRADA",Movimientos!$R$5:$R$2001,0)),"-")</f>
        <v>-</v>
      </c>
      <c r="H222" s="19" t="str">
        <f>IFERROR(IF(INDEX(Movimientos!$M$5:$M$2001,MATCH(A222&amp;"ENTRADA",Movimientos!$R$5:$R$2001,0))=0,"S/D",INDEX(Movimientos!$M$5:$M$2001,MATCH(A222&amp;"ENTRADA",Movimientos!$R$5:$R$2001,0))),"S/D")</f>
        <v>S/D</v>
      </c>
      <c r="I222" s="16" t="str">
        <f t="shared" ca="1" si="8"/>
        <v>S/D</v>
      </c>
      <c r="J222" s="6">
        <f>IF(A222="","",SUMIFS(Movimientos!$K:$K,Movimientos!$H:$H,A222))</f>
        <v>0</v>
      </c>
      <c r="K222" s="14" t="str">
        <f t="shared" ca="1" si="9"/>
        <v>OK</v>
      </c>
    </row>
    <row r="223" spans="1:11">
      <c r="A223" s="18" t="s">
        <v>2284</v>
      </c>
      <c r="B223" s="3" t="str">
        <f>IFERROR(INDEX(Movimientos!$C$5:$C$2001,MATCH(A223&amp;"ENTRADA",Movimientos!$R$5:$R$2001,0)),"-")</f>
        <v>-</v>
      </c>
      <c r="C223" s="3" t="str">
        <f>IFERROR(INDEX(Movimientos!$D$5:$D$2001,MATCH(A223&amp;"ENTRADA",Movimientos!$R$5:$R$2001,0)),"-")</f>
        <v>-</v>
      </c>
      <c r="D223" s="3" t="str">
        <f>IFERROR(INDEX(Movimientos!$E$5:$E$2001,MATCH(A223&amp;"ENTRADA",Movimientos!$R$5:$R$2001,0)),"-")</f>
        <v>-</v>
      </c>
      <c r="E223" s="3" t="str">
        <f>IFERROR(INDEX(Movimientos!$F$5:$F$2001,MATCH(A223&amp;"ENTRADA",Movimientos!$R$5:$R$2001,0)),"-")</f>
        <v>-</v>
      </c>
      <c r="F223" s="3" t="str">
        <f>IFERROR(INDEX(Movimientos!$G$5:$G$2001,MATCH(A223&amp;"ENTRADA",Movimientos!$R$5:$R$2001,0)),"-")</f>
        <v>-</v>
      </c>
      <c r="G223" s="3" t="str">
        <f>IFERROR(INDEX(Movimientos!$L$5:$L$2001,MATCH(A223&amp;"ENTRADA",Movimientos!$R$5:$R$2001,0)),"-")</f>
        <v>-</v>
      </c>
      <c r="H223" s="19" t="str">
        <f>IFERROR(IF(INDEX(Movimientos!$M$5:$M$2001,MATCH(A223&amp;"ENTRADA",Movimientos!$R$5:$R$2001,0))=0,"S/D",INDEX(Movimientos!$M$5:$M$2001,MATCH(A223&amp;"ENTRADA",Movimientos!$R$5:$R$2001,0))),"S/D")</f>
        <v>S/D</v>
      </c>
      <c r="I223" s="16" t="str">
        <f t="shared" ca="1" si="8"/>
        <v>S/D</v>
      </c>
      <c r="J223" s="6">
        <f>IF(A223="","",SUMIFS(Movimientos!$K:$K,Movimientos!$H:$H,A223))</f>
        <v>0</v>
      </c>
      <c r="K223" s="14" t="str">
        <f t="shared" ca="1" si="9"/>
        <v>OK</v>
      </c>
    </row>
    <row r="224" spans="1:11">
      <c r="A224" s="18" t="s">
        <v>2285</v>
      </c>
      <c r="B224" s="3" t="str">
        <f>IFERROR(INDEX(Movimientos!$C$5:$C$2001,MATCH(A224&amp;"ENTRADA",Movimientos!$R$5:$R$2001,0)),"-")</f>
        <v>-</v>
      </c>
      <c r="C224" s="3" t="str">
        <f>IFERROR(INDEX(Movimientos!$D$5:$D$2001,MATCH(A224&amp;"ENTRADA",Movimientos!$R$5:$R$2001,0)),"-")</f>
        <v>-</v>
      </c>
      <c r="D224" s="3" t="str">
        <f>IFERROR(INDEX(Movimientos!$E$5:$E$2001,MATCH(A224&amp;"ENTRADA",Movimientos!$R$5:$R$2001,0)),"-")</f>
        <v>-</v>
      </c>
      <c r="E224" s="3" t="str">
        <f>IFERROR(INDEX(Movimientos!$F$5:$F$2001,MATCH(A224&amp;"ENTRADA",Movimientos!$R$5:$R$2001,0)),"-")</f>
        <v>-</v>
      </c>
      <c r="F224" s="3" t="str">
        <f>IFERROR(INDEX(Movimientos!$G$5:$G$2001,MATCH(A224&amp;"ENTRADA",Movimientos!$R$5:$R$2001,0)),"-")</f>
        <v>-</v>
      </c>
      <c r="G224" s="3" t="str">
        <f>IFERROR(INDEX(Movimientos!$L$5:$L$2001,MATCH(A224&amp;"ENTRADA",Movimientos!$R$5:$R$2001,0)),"-")</f>
        <v>-</v>
      </c>
      <c r="H224" s="19" t="str">
        <f>IFERROR(IF(INDEX(Movimientos!$M$5:$M$2001,MATCH(A224&amp;"ENTRADA",Movimientos!$R$5:$R$2001,0))=0,"S/D",INDEX(Movimientos!$M$5:$M$2001,MATCH(A224&amp;"ENTRADA",Movimientos!$R$5:$R$2001,0))),"S/D")</f>
        <v>S/D</v>
      </c>
      <c r="I224" s="16" t="str">
        <f t="shared" ca="1" si="8"/>
        <v>S/D</v>
      </c>
      <c r="J224" s="6">
        <f>IF(A224="","",SUMIFS(Movimientos!$K:$K,Movimientos!$H:$H,A224))</f>
        <v>0</v>
      </c>
      <c r="K224" s="14" t="str">
        <f t="shared" ca="1" si="9"/>
        <v>OK</v>
      </c>
    </row>
    <row r="225" spans="1:11">
      <c r="A225" s="18" t="s">
        <v>2286</v>
      </c>
      <c r="B225" s="3" t="str">
        <f>IFERROR(INDEX(Movimientos!$C$5:$C$2001,MATCH(A225&amp;"ENTRADA",Movimientos!$R$5:$R$2001,0)),"-")</f>
        <v>-</v>
      </c>
      <c r="C225" s="3" t="str">
        <f>IFERROR(INDEX(Movimientos!$D$5:$D$2001,MATCH(A225&amp;"ENTRADA",Movimientos!$R$5:$R$2001,0)),"-")</f>
        <v>-</v>
      </c>
      <c r="D225" s="3" t="str">
        <f>IFERROR(INDEX(Movimientos!$E$5:$E$2001,MATCH(A225&amp;"ENTRADA",Movimientos!$R$5:$R$2001,0)),"-")</f>
        <v>-</v>
      </c>
      <c r="E225" s="3" t="str">
        <f>IFERROR(INDEX(Movimientos!$F$5:$F$2001,MATCH(A225&amp;"ENTRADA",Movimientos!$R$5:$R$2001,0)),"-")</f>
        <v>-</v>
      </c>
      <c r="F225" s="3" t="str">
        <f>IFERROR(INDEX(Movimientos!$G$5:$G$2001,MATCH(A225&amp;"ENTRADA",Movimientos!$R$5:$R$2001,0)),"-")</f>
        <v>-</v>
      </c>
      <c r="G225" s="3" t="str">
        <f>IFERROR(INDEX(Movimientos!$L$5:$L$2001,MATCH(A225&amp;"ENTRADA",Movimientos!$R$5:$R$2001,0)),"-")</f>
        <v>-</v>
      </c>
      <c r="H225" s="19" t="str">
        <f>IFERROR(IF(INDEX(Movimientos!$M$5:$M$2001,MATCH(A225&amp;"ENTRADA",Movimientos!$R$5:$R$2001,0))=0,"S/D",INDEX(Movimientos!$M$5:$M$2001,MATCH(A225&amp;"ENTRADA",Movimientos!$R$5:$R$2001,0))),"S/D")</f>
        <v>S/D</v>
      </c>
      <c r="I225" s="16" t="str">
        <f t="shared" ca="1" si="8"/>
        <v>S/D</v>
      </c>
      <c r="J225" s="6">
        <f>IF(A225="","",SUMIFS(Movimientos!$K:$K,Movimientos!$H:$H,A225))</f>
        <v>0</v>
      </c>
      <c r="K225" s="14" t="str">
        <f t="shared" ca="1" si="9"/>
        <v>OK</v>
      </c>
    </row>
    <row r="226" spans="1:11">
      <c r="A226" s="18" t="s">
        <v>2287</v>
      </c>
      <c r="B226" s="3" t="str">
        <f>IFERROR(INDEX(Movimientos!$C$5:$C$2001,MATCH(A226&amp;"ENTRADA",Movimientos!$R$5:$R$2001,0)),"-")</f>
        <v>-</v>
      </c>
      <c r="C226" s="3" t="str">
        <f>IFERROR(INDEX(Movimientos!$D$5:$D$2001,MATCH(A226&amp;"ENTRADA",Movimientos!$R$5:$R$2001,0)),"-")</f>
        <v>-</v>
      </c>
      <c r="D226" s="3" t="str">
        <f>IFERROR(INDEX(Movimientos!$E$5:$E$2001,MATCH(A226&amp;"ENTRADA",Movimientos!$R$5:$R$2001,0)),"-")</f>
        <v>-</v>
      </c>
      <c r="E226" s="3" t="str">
        <f>IFERROR(INDEX(Movimientos!$F$5:$F$2001,MATCH(A226&amp;"ENTRADA",Movimientos!$R$5:$R$2001,0)),"-")</f>
        <v>-</v>
      </c>
      <c r="F226" s="3" t="str">
        <f>IFERROR(INDEX(Movimientos!$G$5:$G$2001,MATCH(A226&amp;"ENTRADA",Movimientos!$R$5:$R$2001,0)),"-")</f>
        <v>-</v>
      </c>
      <c r="G226" s="3" t="str">
        <f>IFERROR(INDEX(Movimientos!$L$5:$L$2001,MATCH(A226&amp;"ENTRADA",Movimientos!$R$5:$R$2001,0)),"-")</f>
        <v>-</v>
      </c>
      <c r="H226" s="19" t="str">
        <f>IFERROR(IF(INDEX(Movimientos!$M$5:$M$2001,MATCH(A226&amp;"ENTRADA",Movimientos!$R$5:$R$2001,0))=0,"S/D",INDEX(Movimientos!$M$5:$M$2001,MATCH(A226&amp;"ENTRADA",Movimientos!$R$5:$R$2001,0))),"S/D")</f>
        <v>S/D</v>
      </c>
      <c r="I226" s="16" t="str">
        <f t="shared" ca="1" si="8"/>
        <v>S/D</v>
      </c>
      <c r="J226" s="6">
        <f>IF(A226="","",SUMIFS(Movimientos!$K:$K,Movimientos!$H:$H,A226))</f>
        <v>0</v>
      </c>
      <c r="K226" s="14" t="str">
        <f t="shared" ca="1" si="9"/>
        <v>OK</v>
      </c>
    </row>
    <row r="227" spans="1:11">
      <c r="A227" s="18" t="s">
        <v>2288</v>
      </c>
      <c r="B227" s="3" t="str">
        <f>IFERROR(INDEX(Movimientos!$C$5:$C$2001,MATCH(A227&amp;"ENTRADA",Movimientos!$R$5:$R$2001,0)),"-")</f>
        <v>-</v>
      </c>
      <c r="C227" s="3" t="str">
        <f>IFERROR(INDEX(Movimientos!$D$5:$D$2001,MATCH(A227&amp;"ENTRADA",Movimientos!$R$5:$R$2001,0)),"-")</f>
        <v>-</v>
      </c>
      <c r="D227" s="3" t="str">
        <f>IFERROR(INDEX(Movimientos!$E$5:$E$2001,MATCH(A227&amp;"ENTRADA",Movimientos!$R$5:$R$2001,0)),"-")</f>
        <v>-</v>
      </c>
      <c r="E227" s="3" t="str">
        <f>IFERROR(INDEX(Movimientos!$F$5:$F$2001,MATCH(A227&amp;"ENTRADA",Movimientos!$R$5:$R$2001,0)),"-")</f>
        <v>-</v>
      </c>
      <c r="F227" s="3" t="str">
        <f>IFERROR(INDEX(Movimientos!$G$5:$G$2001,MATCH(A227&amp;"ENTRADA",Movimientos!$R$5:$R$2001,0)),"-")</f>
        <v>-</v>
      </c>
      <c r="G227" s="3" t="str">
        <f>IFERROR(INDEX(Movimientos!$L$5:$L$2001,MATCH(A227&amp;"ENTRADA",Movimientos!$R$5:$R$2001,0)),"-")</f>
        <v>-</v>
      </c>
      <c r="H227" s="19" t="str">
        <f>IFERROR(IF(INDEX(Movimientos!$M$5:$M$2001,MATCH(A227&amp;"ENTRADA",Movimientos!$R$5:$R$2001,0))=0,"S/D",INDEX(Movimientos!$M$5:$M$2001,MATCH(A227&amp;"ENTRADA",Movimientos!$R$5:$R$2001,0))),"S/D")</f>
        <v>S/D</v>
      </c>
      <c r="I227" s="16" t="str">
        <f t="shared" ca="1" si="8"/>
        <v>S/D</v>
      </c>
      <c r="J227" s="6">
        <f>IF(A227="","",SUMIFS(Movimientos!$K:$K,Movimientos!$H:$H,A227))</f>
        <v>0</v>
      </c>
      <c r="K227" s="14" t="str">
        <f t="shared" ca="1" si="9"/>
        <v>OK</v>
      </c>
    </row>
    <row r="228" spans="1:11">
      <c r="A228" s="18" t="s">
        <v>2289</v>
      </c>
      <c r="B228" s="3" t="str">
        <f>IFERROR(INDEX(Movimientos!$C$5:$C$2001,MATCH(A228&amp;"ENTRADA",Movimientos!$R$5:$R$2001,0)),"-")</f>
        <v>-</v>
      </c>
      <c r="C228" s="3" t="str">
        <f>IFERROR(INDEX(Movimientos!$D$5:$D$2001,MATCH(A228&amp;"ENTRADA",Movimientos!$R$5:$R$2001,0)),"-")</f>
        <v>-</v>
      </c>
      <c r="D228" s="3" t="str">
        <f>IFERROR(INDEX(Movimientos!$E$5:$E$2001,MATCH(A228&amp;"ENTRADA",Movimientos!$R$5:$R$2001,0)),"-")</f>
        <v>-</v>
      </c>
      <c r="E228" s="3" t="str">
        <f>IFERROR(INDEX(Movimientos!$F$5:$F$2001,MATCH(A228&amp;"ENTRADA",Movimientos!$R$5:$R$2001,0)),"-")</f>
        <v>-</v>
      </c>
      <c r="F228" s="3" t="str">
        <f>IFERROR(INDEX(Movimientos!$G$5:$G$2001,MATCH(A228&amp;"ENTRADA",Movimientos!$R$5:$R$2001,0)),"-")</f>
        <v>-</v>
      </c>
      <c r="G228" s="3" t="str">
        <f>IFERROR(INDEX(Movimientos!$L$5:$L$2001,MATCH(A228&amp;"ENTRADA",Movimientos!$R$5:$R$2001,0)),"-")</f>
        <v>-</v>
      </c>
      <c r="H228" s="19" t="str">
        <f>IFERROR(IF(INDEX(Movimientos!$M$5:$M$2001,MATCH(A228&amp;"ENTRADA",Movimientos!$R$5:$R$2001,0))=0,"S/D",INDEX(Movimientos!$M$5:$M$2001,MATCH(A228&amp;"ENTRADA",Movimientos!$R$5:$R$2001,0))),"S/D")</f>
        <v>S/D</v>
      </c>
      <c r="I228" s="16" t="str">
        <f t="shared" ca="1" si="8"/>
        <v>S/D</v>
      </c>
      <c r="J228" s="6">
        <f>IF(A228="","",SUMIFS(Movimientos!$K:$K,Movimientos!$H:$H,A228))</f>
        <v>0</v>
      </c>
      <c r="K228" s="14" t="str">
        <f t="shared" ca="1" si="9"/>
        <v>OK</v>
      </c>
    </row>
    <row r="229" spans="1:11">
      <c r="A229" s="18" t="s">
        <v>2290</v>
      </c>
      <c r="B229" s="3" t="str">
        <f>IFERROR(INDEX(Movimientos!$C$5:$C$2001,MATCH(A229&amp;"ENTRADA",Movimientos!$R$5:$R$2001,0)),"-")</f>
        <v>-</v>
      </c>
      <c r="C229" s="3" t="str">
        <f>IFERROR(INDEX(Movimientos!$D$5:$D$2001,MATCH(A229&amp;"ENTRADA",Movimientos!$R$5:$R$2001,0)),"-")</f>
        <v>-</v>
      </c>
      <c r="D229" s="3" t="str">
        <f>IFERROR(INDEX(Movimientos!$E$5:$E$2001,MATCH(A229&amp;"ENTRADA",Movimientos!$R$5:$R$2001,0)),"-")</f>
        <v>-</v>
      </c>
      <c r="E229" s="3" t="str">
        <f>IFERROR(INDEX(Movimientos!$F$5:$F$2001,MATCH(A229&amp;"ENTRADA",Movimientos!$R$5:$R$2001,0)),"-")</f>
        <v>-</v>
      </c>
      <c r="F229" s="3" t="str">
        <f>IFERROR(INDEX(Movimientos!$G$5:$G$2001,MATCH(A229&amp;"ENTRADA",Movimientos!$R$5:$R$2001,0)),"-")</f>
        <v>-</v>
      </c>
      <c r="G229" s="3" t="str">
        <f>IFERROR(INDEX(Movimientos!$L$5:$L$2001,MATCH(A229&amp;"ENTRADA",Movimientos!$R$5:$R$2001,0)),"-")</f>
        <v>-</v>
      </c>
      <c r="H229" s="19" t="str">
        <f>IFERROR(IF(INDEX(Movimientos!$M$5:$M$2001,MATCH(A229&amp;"ENTRADA",Movimientos!$R$5:$R$2001,0))=0,"S/D",INDEX(Movimientos!$M$5:$M$2001,MATCH(A229&amp;"ENTRADA",Movimientos!$R$5:$R$2001,0))),"S/D")</f>
        <v>S/D</v>
      </c>
      <c r="I229" s="16" t="str">
        <f t="shared" ca="1" si="8"/>
        <v>S/D</v>
      </c>
      <c r="J229" s="6">
        <f>IF(A229="","",SUMIFS(Movimientos!$K:$K,Movimientos!$H:$H,A229))</f>
        <v>0</v>
      </c>
      <c r="K229" s="14" t="str">
        <f t="shared" ca="1" si="9"/>
        <v>OK</v>
      </c>
    </row>
    <row r="230" spans="1:11">
      <c r="A230" s="18" t="s">
        <v>2291</v>
      </c>
      <c r="B230" s="3" t="str">
        <f>IFERROR(INDEX(Movimientos!$C$5:$C$2001,MATCH(A230&amp;"ENTRADA",Movimientos!$R$5:$R$2001,0)),"-")</f>
        <v>-</v>
      </c>
      <c r="C230" s="3" t="str">
        <f>IFERROR(INDEX(Movimientos!$D$5:$D$2001,MATCH(A230&amp;"ENTRADA",Movimientos!$R$5:$R$2001,0)),"-")</f>
        <v>-</v>
      </c>
      <c r="D230" s="3" t="str">
        <f>IFERROR(INDEX(Movimientos!$E$5:$E$2001,MATCH(A230&amp;"ENTRADA",Movimientos!$R$5:$R$2001,0)),"-")</f>
        <v>-</v>
      </c>
      <c r="E230" s="3" t="str">
        <f>IFERROR(INDEX(Movimientos!$F$5:$F$2001,MATCH(A230&amp;"ENTRADA",Movimientos!$R$5:$R$2001,0)),"-")</f>
        <v>-</v>
      </c>
      <c r="F230" s="3" t="str">
        <f>IFERROR(INDEX(Movimientos!$G$5:$G$2001,MATCH(A230&amp;"ENTRADA",Movimientos!$R$5:$R$2001,0)),"-")</f>
        <v>-</v>
      </c>
      <c r="G230" s="3" t="str">
        <f>IFERROR(INDEX(Movimientos!$L$5:$L$2001,MATCH(A230&amp;"ENTRADA",Movimientos!$R$5:$R$2001,0)),"-")</f>
        <v>-</v>
      </c>
      <c r="H230" s="19" t="str">
        <f>IFERROR(IF(INDEX(Movimientos!$M$5:$M$2001,MATCH(A230&amp;"ENTRADA",Movimientos!$R$5:$R$2001,0))=0,"S/D",INDEX(Movimientos!$M$5:$M$2001,MATCH(A230&amp;"ENTRADA",Movimientos!$R$5:$R$2001,0))),"S/D")</f>
        <v>S/D</v>
      </c>
      <c r="I230" s="16" t="str">
        <f t="shared" ca="1" si="8"/>
        <v>S/D</v>
      </c>
      <c r="J230" s="6">
        <f>IF(A230="","",SUMIFS(Movimientos!$K:$K,Movimientos!$H:$H,A230))</f>
        <v>0</v>
      </c>
      <c r="K230" s="14" t="str">
        <f t="shared" ca="1" si="9"/>
        <v>OK</v>
      </c>
    </row>
    <row r="231" spans="1:11">
      <c r="A231" s="18" t="s">
        <v>2292</v>
      </c>
      <c r="B231" s="3" t="str">
        <f>IFERROR(INDEX(Movimientos!$C$5:$C$2001,MATCH(A231&amp;"ENTRADA",Movimientos!$R$5:$R$2001,0)),"-")</f>
        <v>-</v>
      </c>
      <c r="C231" s="3" t="str">
        <f>IFERROR(INDEX(Movimientos!$D$5:$D$2001,MATCH(A231&amp;"ENTRADA",Movimientos!$R$5:$R$2001,0)),"-")</f>
        <v>-</v>
      </c>
      <c r="D231" s="3" t="str">
        <f>IFERROR(INDEX(Movimientos!$E$5:$E$2001,MATCH(A231&amp;"ENTRADA",Movimientos!$R$5:$R$2001,0)),"-")</f>
        <v>-</v>
      </c>
      <c r="E231" s="3" t="str">
        <f>IFERROR(INDEX(Movimientos!$F$5:$F$2001,MATCH(A231&amp;"ENTRADA",Movimientos!$R$5:$R$2001,0)),"-")</f>
        <v>-</v>
      </c>
      <c r="F231" s="3" t="str">
        <f>IFERROR(INDEX(Movimientos!$G$5:$G$2001,MATCH(A231&amp;"ENTRADA",Movimientos!$R$5:$R$2001,0)),"-")</f>
        <v>-</v>
      </c>
      <c r="G231" s="3" t="str">
        <f>IFERROR(INDEX(Movimientos!$L$5:$L$2001,MATCH(A231&amp;"ENTRADA",Movimientos!$R$5:$R$2001,0)),"-")</f>
        <v>-</v>
      </c>
      <c r="H231" s="19" t="str">
        <f>IFERROR(IF(INDEX(Movimientos!$M$5:$M$2001,MATCH(A231&amp;"ENTRADA",Movimientos!$R$5:$R$2001,0))=0,"S/D",INDEX(Movimientos!$M$5:$M$2001,MATCH(A231&amp;"ENTRADA",Movimientos!$R$5:$R$2001,0))),"S/D")</f>
        <v>S/D</v>
      </c>
      <c r="I231" s="16" t="str">
        <f t="shared" ca="1" si="8"/>
        <v>S/D</v>
      </c>
      <c r="J231" s="6">
        <f>IF(A231="","",SUMIFS(Movimientos!$K:$K,Movimientos!$H:$H,A231))</f>
        <v>0</v>
      </c>
      <c r="K231" s="14" t="str">
        <f t="shared" ca="1" si="9"/>
        <v>OK</v>
      </c>
    </row>
    <row r="232" spans="1:11">
      <c r="A232" s="18" t="s">
        <v>2293</v>
      </c>
      <c r="B232" s="3" t="str">
        <f>IFERROR(INDEX(Movimientos!$C$5:$C$2001,MATCH(A232&amp;"ENTRADA",Movimientos!$R$5:$R$2001,0)),"-")</f>
        <v>-</v>
      </c>
      <c r="C232" s="3" t="str">
        <f>IFERROR(INDEX(Movimientos!$D$5:$D$2001,MATCH(A232&amp;"ENTRADA",Movimientos!$R$5:$R$2001,0)),"-")</f>
        <v>-</v>
      </c>
      <c r="D232" s="3" t="str">
        <f>IFERROR(INDEX(Movimientos!$E$5:$E$2001,MATCH(A232&amp;"ENTRADA",Movimientos!$R$5:$R$2001,0)),"-")</f>
        <v>-</v>
      </c>
      <c r="E232" s="3" t="str">
        <f>IFERROR(INDEX(Movimientos!$F$5:$F$2001,MATCH(A232&amp;"ENTRADA",Movimientos!$R$5:$R$2001,0)),"-")</f>
        <v>-</v>
      </c>
      <c r="F232" s="3" t="str">
        <f>IFERROR(INDEX(Movimientos!$G$5:$G$2001,MATCH(A232&amp;"ENTRADA",Movimientos!$R$5:$R$2001,0)),"-")</f>
        <v>-</v>
      </c>
      <c r="G232" s="3" t="str">
        <f>IFERROR(INDEX(Movimientos!$L$5:$L$2001,MATCH(A232&amp;"ENTRADA",Movimientos!$R$5:$R$2001,0)),"-")</f>
        <v>-</v>
      </c>
      <c r="H232" s="19" t="str">
        <f>IFERROR(IF(INDEX(Movimientos!$M$5:$M$2001,MATCH(A232&amp;"ENTRADA",Movimientos!$R$5:$R$2001,0))=0,"S/D",INDEX(Movimientos!$M$5:$M$2001,MATCH(A232&amp;"ENTRADA",Movimientos!$R$5:$R$2001,0))),"S/D")</f>
        <v>S/D</v>
      </c>
      <c r="I232" s="16" t="str">
        <f t="shared" ca="1" si="8"/>
        <v>S/D</v>
      </c>
      <c r="J232" s="6">
        <f>IF(A232="","",SUMIFS(Movimientos!$K:$K,Movimientos!$H:$H,A232))</f>
        <v>0</v>
      </c>
      <c r="K232" s="14" t="str">
        <f t="shared" ca="1" si="9"/>
        <v>OK</v>
      </c>
    </row>
    <row r="233" spans="1:11">
      <c r="A233" s="18" t="s">
        <v>2294</v>
      </c>
      <c r="B233" s="3" t="str">
        <f>IFERROR(INDEX(Movimientos!$C$5:$C$2001,MATCH(A233&amp;"ENTRADA",Movimientos!$R$5:$R$2001,0)),"-")</f>
        <v>-</v>
      </c>
      <c r="C233" s="3" t="str">
        <f>IFERROR(INDEX(Movimientos!$D$5:$D$2001,MATCH(A233&amp;"ENTRADA",Movimientos!$R$5:$R$2001,0)),"-")</f>
        <v>-</v>
      </c>
      <c r="D233" s="3" t="str">
        <f>IFERROR(INDEX(Movimientos!$E$5:$E$2001,MATCH(A233&amp;"ENTRADA",Movimientos!$R$5:$R$2001,0)),"-")</f>
        <v>-</v>
      </c>
      <c r="E233" s="3" t="str">
        <f>IFERROR(INDEX(Movimientos!$F$5:$F$2001,MATCH(A233&amp;"ENTRADA",Movimientos!$R$5:$R$2001,0)),"-")</f>
        <v>-</v>
      </c>
      <c r="F233" s="3" t="str">
        <f>IFERROR(INDEX(Movimientos!$G$5:$G$2001,MATCH(A233&amp;"ENTRADA",Movimientos!$R$5:$R$2001,0)),"-")</f>
        <v>-</v>
      </c>
      <c r="G233" s="3" t="str">
        <f>IFERROR(INDEX(Movimientos!$L$5:$L$2001,MATCH(A233&amp;"ENTRADA",Movimientos!$R$5:$R$2001,0)),"-")</f>
        <v>-</v>
      </c>
      <c r="H233" s="19" t="str">
        <f>IFERROR(IF(INDEX(Movimientos!$M$5:$M$2001,MATCH(A233&amp;"ENTRADA",Movimientos!$R$5:$R$2001,0))=0,"S/D",INDEX(Movimientos!$M$5:$M$2001,MATCH(A233&amp;"ENTRADA",Movimientos!$R$5:$R$2001,0))),"S/D")</f>
        <v>S/D</v>
      </c>
      <c r="I233" s="16" t="str">
        <f t="shared" ca="1" si="8"/>
        <v>S/D</v>
      </c>
      <c r="J233" s="6">
        <f>IF(A233="","",SUMIFS(Movimientos!$K:$K,Movimientos!$H:$H,A233))</f>
        <v>0</v>
      </c>
      <c r="K233" s="14" t="str">
        <f t="shared" ca="1" si="9"/>
        <v>OK</v>
      </c>
    </row>
    <row r="234" spans="1:11">
      <c r="A234" s="18" t="s">
        <v>2295</v>
      </c>
      <c r="B234" s="3" t="str">
        <f>IFERROR(INDEX(Movimientos!$C$5:$C$2001,MATCH(A234&amp;"ENTRADA",Movimientos!$R$5:$R$2001,0)),"-")</f>
        <v>-</v>
      </c>
      <c r="C234" s="3" t="str">
        <f>IFERROR(INDEX(Movimientos!$D$5:$D$2001,MATCH(A234&amp;"ENTRADA",Movimientos!$R$5:$R$2001,0)),"-")</f>
        <v>-</v>
      </c>
      <c r="D234" s="3" t="str">
        <f>IFERROR(INDEX(Movimientos!$E$5:$E$2001,MATCH(A234&amp;"ENTRADA",Movimientos!$R$5:$R$2001,0)),"-")</f>
        <v>-</v>
      </c>
      <c r="E234" s="3" t="str">
        <f>IFERROR(INDEX(Movimientos!$F$5:$F$2001,MATCH(A234&amp;"ENTRADA",Movimientos!$R$5:$R$2001,0)),"-")</f>
        <v>-</v>
      </c>
      <c r="F234" s="3" t="str">
        <f>IFERROR(INDEX(Movimientos!$G$5:$G$2001,MATCH(A234&amp;"ENTRADA",Movimientos!$R$5:$R$2001,0)),"-")</f>
        <v>-</v>
      </c>
      <c r="G234" s="3" t="str">
        <f>IFERROR(INDEX(Movimientos!$L$5:$L$2001,MATCH(A234&amp;"ENTRADA",Movimientos!$R$5:$R$2001,0)),"-")</f>
        <v>-</v>
      </c>
      <c r="H234" s="19" t="str">
        <f>IFERROR(IF(INDEX(Movimientos!$M$5:$M$2001,MATCH(A234&amp;"ENTRADA",Movimientos!$R$5:$R$2001,0))=0,"S/D",INDEX(Movimientos!$M$5:$M$2001,MATCH(A234&amp;"ENTRADA",Movimientos!$R$5:$R$2001,0))),"S/D")</f>
        <v>S/D</v>
      </c>
      <c r="I234" s="16" t="str">
        <f t="shared" ca="1" si="8"/>
        <v>S/D</v>
      </c>
      <c r="J234" s="6">
        <f>IF(A234="","",SUMIFS(Movimientos!$K:$K,Movimientos!$H:$H,A234))</f>
        <v>0</v>
      </c>
      <c r="K234" s="14" t="str">
        <f t="shared" ca="1" si="9"/>
        <v>OK</v>
      </c>
    </row>
    <row r="235" spans="1:11">
      <c r="A235" s="18" t="s">
        <v>2296</v>
      </c>
      <c r="B235" s="3" t="str">
        <f>IFERROR(INDEX(Movimientos!$C$5:$C$2001,MATCH(A235&amp;"ENTRADA",Movimientos!$R$5:$R$2001,0)),"-")</f>
        <v>-</v>
      </c>
      <c r="C235" s="3" t="str">
        <f>IFERROR(INDEX(Movimientos!$D$5:$D$2001,MATCH(A235&amp;"ENTRADA",Movimientos!$R$5:$R$2001,0)),"-")</f>
        <v>-</v>
      </c>
      <c r="D235" s="3" t="str">
        <f>IFERROR(INDEX(Movimientos!$E$5:$E$2001,MATCH(A235&amp;"ENTRADA",Movimientos!$R$5:$R$2001,0)),"-")</f>
        <v>-</v>
      </c>
      <c r="E235" s="3" t="str">
        <f>IFERROR(INDEX(Movimientos!$F$5:$F$2001,MATCH(A235&amp;"ENTRADA",Movimientos!$R$5:$R$2001,0)),"-")</f>
        <v>-</v>
      </c>
      <c r="F235" s="3" t="str">
        <f>IFERROR(INDEX(Movimientos!$G$5:$G$2001,MATCH(A235&amp;"ENTRADA",Movimientos!$R$5:$R$2001,0)),"-")</f>
        <v>-</v>
      </c>
      <c r="G235" s="3" t="str">
        <f>IFERROR(INDEX(Movimientos!$L$5:$L$2001,MATCH(A235&amp;"ENTRADA",Movimientos!$R$5:$R$2001,0)),"-")</f>
        <v>-</v>
      </c>
      <c r="H235" s="19" t="str">
        <f>IFERROR(IF(INDEX(Movimientos!$M$5:$M$2001,MATCH(A235&amp;"ENTRADA",Movimientos!$R$5:$R$2001,0))=0,"S/D",INDEX(Movimientos!$M$5:$M$2001,MATCH(A235&amp;"ENTRADA",Movimientos!$R$5:$R$2001,0))),"S/D")</f>
        <v>S/D</v>
      </c>
      <c r="I235" s="16" t="str">
        <f t="shared" ca="1" si="8"/>
        <v>S/D</v>
      </c>
      <c r="J235" s="6">
        <f>IF(A235="","",SUMIFS(Movimientos!$K:$K,Movimientos!$H:$H,A235))</f>
        <v>0</v>
      </c>
      <c r="K235" s="14" t="str">
        <f t="shared" ca="1" si="9"/>
        <v>OK</v>
      </c>
    </row>
    <row r="236" spans="1:11">
      <c r="A236" s="18" t="s">
        <v>2297</v>
      </c>
      <c r="B236" s="3" t="str">
        <f>IFERROR(INDEX(Movimientos!$C$5:$C$2001,MATCH(A236&amp;"ENTRADA",Movimientos!$R$5:$R$2001,0)),"-")</f>
        <v>-</v>
      </c>
      <c r="C236" s="3" t="str">
        <f>IFERROR(INDEX(Movimientos!$D$5:$D$2001,MATCH(A236&amp;"ENTRADA",Movimientos!$R$5:$R$2001,0)),"-")</f>
        <v>-</v>
      </c>
      <c r="D236" s="3" t="str">
        <f>IFERROR(INDEX(Movimientos!$E$5:$E$2001,MATCH(A236&amp;"ENTRADA",Movimientos!$R$5:$R$2001,0)),"-")</f>
        <v>-</v>
      </c>
      <c r="E236" s="3" t="str">
        <f>IFERROR(INDEX(Movimientos!$F$5:$F$2001,MATCH(A236&amp;"ENTRADA",Movimientos!$R$5:$R$2001,0)),"-")</f>
        <v>-</v>
      </c>
      <c r="F236" s="3" t="str">
        <f>IFERROR(INDEX(Movimientos!$G$5:$G$2001,MATCH(A236&amp;"ENTRADA",Movimientos!$R$5:$R$2001,0)),"-")</f>
        <v>-</v>
      </c>
      <c r="G236" s="3" t="str">
        <f>IFERROR(INDEX(Movimientos!$L$5:$L$2001,MATCH(A236&amp;"ENTRADA",Movimientos!$R$5:$R$2001,0)),"-")</f>
        <v>-</v>
      </c>
      <c r="H236" s="19" t="str">
        <f>IFERROR(IF(INDEX(Movimientos!$M$5:$M$2001,MATCH(A236&amp;"ENTRADA",Movimientos!$R$5:$R$2001,0))=0,"S/D",INDEX(Movimientos!$M$5:$M$2001,MATCH(A236&amp;"ENTRADA",Movimientos!$R$5:$R$2001,0))),"S/D")</f>
        <v>S/D</v>
      </c>
      <c r="I236" s="16" t="str">
        <f t="shared" ca="1" si="8"/>
        <v>S/D</v>
      </c>
      <c r="J236" s="6">
        <f>IF(A236="","",SUMIFS(Movimientos!$K:$K,Movimientos!$H:$H,A236))</f>
        <v>0</v>
      </c>
      <c r="K236" s="14" t="str">
        <f t="shared" ca="1" si="9"/>
        <v>OK</v>
      </c>
    </row>
    <row r="237" spans="1:11">
      <c r="A237" s="18" t="s">
        <v>2298</v>
      </c>
      <c r="B237" s="3" t="str">
        <f>IFERROR(INDEX(Movimientos!$C$5:$C$2001,MATCH(A237&amp;"ENTRADA",Movimientos!$R$5:$R$2001,0)),"-")</f>
        <v>-</v>
      </c>
      <c r="C237" s="3" t="str">
        <f>IFERROR(INDEX(Movimientos!$D$5:$D$2001,MATCH(A237&amp;"ENTRADA",Movimientos!$R$5:$R$2001,0)),"-")</f>
        <v>-</v>
      </c>
      <c r="D237" s="3" t="str">
        <f>IFERROR(INDEX(Movimientos!$E$5:$E$2001,MATCH(A237&amp;"ENTRADA",Movimientos!$R$5:$R$2001,0)),"-")</f>
        <v>-</v>
      </c>
      <c r="E237" s="3" t="str">
        <f>IFERROR(INDEX(Movimientos!$F$5:$F$2001,MATCH(A237&amp;"ENTRADA",Movimientos!$R$5:$R$2001,0)),"-")</f>
        <v>-</v>
      </c>
      <c r="F237" s="3" t="str">
        <f>IFERROR(INDEX(Movimientos!$G$5:$G$2001,MATCH(A237&amp;"ENTRADA",Movimientos!$R$5:$R$2001,0)),"-")</f>
        <v>-</v>
      </c>
      <c r="G237" s="3" t="str">
        <f>IFERROR(INDEX(Movimientos!$L$5:$L$2001,MATCH(A237&amp;"ENTRADA",Movimientos!$R$5:$R$2001,0)),"-")</f>
        <v>-</v>
      </c>
      <c r="H237" s="19" t="str">
        <f>IFERROR(IF(INDEX(Movimientos!$M$5:$M$2001,MATCH(A237&amp;"ENTRADA",Movimientos!$R$5:$R$2001,0))=0,"S/D",INDEX(Movimientos!$M$5:$M$2001,MATCH(A237&amp;"ENTRADA",Movimientos!$R$5:$R$2001,0))),"S/D")</f>
        <v>S/D</v>
      </c>
      <c r="I237" s="16" t="str">
        <f t="shared" ca="1" si="8"/>
        <v>S/D</v>
      </c>
      <c r="J237" s="6">
        <f>IF(A237="","",SUMIFS(Movimientos!$K:$K,Movimientos!$H:$H,A237))</f>
        <v>0</v>
      </c>
      <c r="K237" s="14" t="str">
        <f t="shared" ca="1" si="9"/>
        <v>OK</v>
      </c>
    </row>
    <row r="238" spans="1:11">
      <c r="A238" s="18" t="s">
        <v>2299</v>
      </c>
      <c r="B238" s="3" t="str">
        <f>IFERROR(INDEX(Movimientos!$C$5:$C$2001,MATCH(A238&amp;"ENTRADA",Movimientos!$R$5:$R$2001,0)),"-")</f>
        <v>-</v>
      </c>
      <c r="C238" s="3" t="str">
        <f>IFERROR(INDEX(Movimientos!$D$5:$D$2001,MATCH(A238&amp;"ENTRADA",Movimientos!$R$5:$R$2001,0)),"-")</f>
        <v>-</v>
      </c>
      <c r="D238" s="3" t="str">
        <f>IFERROR(INDEX(Movimientos!$E$5:$E$2001,MATCH(A238&amp;"ENTRADA",Movimientos!$R$5:$R$2001,0)),"-")</f>
        <v>-</v>
      </c>
      <c r="E238" s="3" t="str">
        <f>IFERROR(INDEX(Movimientos!$F$5:$F$2001,MATCH(A238&amp;"ENTRADA",Movimientos!$R$5:$R$2001,0)),"-")</f>
        <v>-</v>
      </c>
      <c r="F238" s="3" t="str">
        <f>IFERROR(INDEX(Movimientos!$G$5:$G$2001,MATCH(A238&amp;"ENTRADA",Movimientos!$R$5:$R$2001,0)),"-")</f>
        <v>-</v>
      </c>
      <c r="G238" s="3" t="str">
        <f>IFERROR(INDEX(Movimientos!$L$5:$L$2001,MATCH(A238&amp;"ENTRADA",Movimientos!$R$5:$R$2001,0)),"-")</f>
        <v>-</v>
      </c>
      <c r="H238" s="19" t="str">
        <f>IFERROR(IF(INDEX(Movimientos!$M$5:$M$2001,MATCH(A238&amp;"ENTRADA",Movimientos!$R$5:$R$2001,0))=0,"S/D",INDEX(Movimientos!$M$5:$M$2001,MATCH(A238&amp;"ENTRADA",Movimientos!$R$5:$R$2001,0))),"S/D")</f>
        <v>S/D</v>
      </c>
      <c r="I238" s="16" t="str">
        <f t="shared" ca="1" si="8"/>
        <v>S/D</v>
      </c>
      <c r="J238" s="6">
        <f>IF(A238="","",SUMIFS(Movimientos!$K:$K,Movimientos!$H:$H,A238))</f>
        <v>0</v>
      </c>
      <c r="K238" s="14" t="str">
        <f t="shared" ca="1" si="9"/>
        <v>OK</v>
      </c>
    </row>
    <row r="239" spans="1:11">
      <c r="A239" s="18" t="s">
        <v>2300</v>
      </c>
      <c r="B239" s="3" t="str">
        <f>IFERROR(INDEX(Movimientos!$C$5:$C$2001,MATCH(A239&amp;"ENTRADA",Movimientos!$R$5:$R$2001,0)),"-")</f>
        <v>-</v>
      </c>
      <c r="C239" s="3" t="str">
        <f>IFERROR(INDEX(Movimientos!$D$5:$D$2001,MATCH(A239&amp;"ENTRADA",Movimientos!$R$5:$R$2001,0)),"-")</f>
        <v>-</v>
      </c>
      <c r="D239" s="3" t="str">
        <f>IFERROR(INDEX(Movimientos!$E$5:$E$2001,MATCH(A239&amp;"ENTRADA",Movimientos!$R$5:$R$2001,0)),"-")</f>
        <v>-</v>
      </c>
      <c r="E239" s="3" t="str">
        <f>IFERROR(INDEX(Movimientos!$F$5:$F$2001,MATCH(A239&amp;"ENTRADA",Movimientos!$R$5:$R$2001,0)),"-")</f>
        <v>-</v>
      </c>
      <c r="F239" s="3" t="str">
        <f>IFERROR(INDEX(Movimientos!$G$5:$G$2001,MATCH(A239&amp;"ENTRADA",Movimientos!$R$5:$R$2001,0)),"-")</f>
        <v>-</v>
      </c>
      <c r="G239" s="3" t="str">
        <f>IFERROR(INDEX(Movimientos!$L$5:$L$2001,MATCH(A239&amp;"ENTRADA",Movimientos!$R$5:$R$2001,0)),"-")</f>
        <v>-</v>
      </c>
      <c r="H239" s="19" t="str">
        <f>IFERROR(IF(INDEX(Movimientos!$M$5:$M$2001,MATCH(A239&amp;"ENTRADA",Movimientos!$R$5:$R$2001,0))=0,"S/D",INDEX(Movimientos!$M$5:$M$2001,MATCH(A239&amp;"ENTRADA",Movimientos!$R$5:$R$2001,0))),"S/D")</f>
        <v>S/D</v>
      </c>
      <c r="I239" s="16" t="str">
        <f t="shared" ca="1" si="8"/>
        <v>S/D</v>
      </c>
      <c r="J239" s="6">
        <f>IF(A239="","",SUMIFS(Movimientos!$K:$K,Movimientos!$H:$H,A239))</f>
        <v>0</v>
      </c>
      <c r="K239" s="14" t="str">
        <f t="shared" ca="1" si="9"/>
        <v>OK</v>
      </c>
    </row>
    <row r="240" spans="1:11">
      <c r="A240" s="18" t="s">
        <v>2301</v>
      </c>
      <c r="B240" s="3" t="str">
        <f>IFERROR(INDEX(Movimientos!$C$5:$C$2001,MATCH(A240&amp;"ENTRADA",Movimientos!$R$5:$R$2001,0)),"-")</f>
        <v>-</v>
      </c>
      <c r="C240" s="3" t="str">
        <f>IFERROR(INDEX(Movimientos!$D$5:$D$2001,MATCH(A240&amp;"ENTRADA",Movimientos!$R$5:$R$2001,0)),"-")</f>
        <v>-</v>
      </c>
      <c r="D240" s="3" t="str">
        <f>IFERROR(INDEX(Movimientos!$E$5:$E$2001,MATCH(A240&amp;"ENTRADA",Movimientos!$R$5:$R$2001,0)),"-")</f>
        <v>-</v>
      </c>
      <c r="E240" s="3" t="str">
        <f>IFERROR(INDEX(Movimientos!$F$5:$F$2001,MATCH(A240&amp;"ENTRADA",Movimientos!$R$5:$R$2001,0)),"-")</f>
        <v>-</v>
      </c>
      <c r="F240" s="3" t="str">
        <f>IFERROR(INDEX(Movimientos!$G$5:$G$2001,MATCH(A240&amp;"ENTRADA",Movimientos!$R$5:$R$2001,0)),"-")</f>
        <v>-</v>
      </c>
      <c r="G240" s="3" t="str">
        <f>IFERROR(INDEX(Movimientos!$L$5:$L$2001,MATCH(A240&amp;"ENTRADA",Movimientos!$R$5:$R$2001,0)),"-")</f>
        <v>-</v>
      </c>
      <c r="H240" s="19" t="str">
        <f>IFERROR(IF(INDEX(Movimientos!$M$5:$M$2001,MATCH(A240&amp;"ENTRADA",Movimientos!$R$5:$R$2001,0))=0,"S/D",INDEX(Movimientos!$M$5:$M$2001,MATCH(A240&amp;"ENTRADA",Movimientos!$R$5:$R$2001,0))),"S/D")</f>
        <v>S/D</v>
      </c>
      <c r="I240" s="16" t="str">
        <f t="shared" ca="1" si="8"/>
        <v>S/D</v>
      </c>
      <c r="J240" s="6">
        <f>IF(A240="","",SUMIFS(Movimientos!$K:$K,Movimientos!$H:$H,A240))</f>
        <v>0</v>
      </c>
      <c r="K240" s="14" t="str">
        <f t="shared" ca="1" si="9"/>
        <v>OK</v>
      </c>
    </row>
    <row r="241" spans="1:11">
      <c r="A241" s="18" t="s">
        <v>2302</v>
      </c>
      <c r="B241" s="3" t="str">
        <f>IFERROR(INDEX(Movimientos!$C$5:$C$2001,MATCH(A241&amp;"ENTRADA",Movimientos!$R$5:$R$2001,0)),"-")</f>
        <v>-</v>
      </c>
      <c r="C241" s="3" t="str">
        <f>IFERROR(INDEX(Movimientos!$D$5:$D$2001,MATCH(A241&amp;"ENTRADA",Movimientos!$R$5:$R$2001,0)),"-")</f>
        <v>-</v>
      </c>
      <c r="D241" s="3" t="str">
        <f>IFERROR(INDEX(Movimientos!$E$5:$E$2001,MATCH(A241&amp;"ENTRADA",Movimientos!$R$5:$R$2001,0)),"-")</f>
        <v>-</v>
      </c>
      <c r="E241" s="3" t="str">
        <f>IFERROR(INDEX(Movimientos!$F$5:$F$2001,MATCH(A241&amp;"ENTRADA",Movimientos!$R$5:$R$2001,0)),"-")</f>
        <v>-</v>
      </c>
      <c r="F241" s="3" t="str">
        <f>IFERROR(INDEX(Movimientos!$G$5:$G$2001,MATCH(A241&amp;"ENTRADA",Movimientos!$R$5:$R$2001,0)),"-")</f>
        <v>-</v>
      </c>
      <c r="G241" s="3" t="str">
        <f>IFERROR(INDEX(Movimientos!$L$5:$L$2001,MATCH(A241&amp;"ENTRADA",Movimientos!$R$5:$R$2001,0)),"-")</f>
        <v>-</v>
      </c>
      <c r="H241" s="19" t="str">
        <f>IFERROR(IF(INDEX(Movimientos!$M$5:$M$2001,MATCH(A241&amp;"ENTRADA",Movimientos!$R$5:$R$2001,0))=0,"S/D",INDEX(Movimientos!$M$5:$M$2001,MATCH(A241&amp;"ENTRADA",Movimientos!$R$5:$R$2001,0))),"S/D")</f>
        <v>S/D</v>
      </c>
      <c r="I241" s="16" t="str">
        <f t="shared" ca="1" si="8"/>
        <v>S/D</v>
      </c>
      <c r="J241" s="6">
        <f>IF(A241="","",SUMIFS(Movimientos!$K:$K,Movimientos!$H:$H,A241))</f>
        <v>0</v>
      </c>
      <c r="K241" s="14" t="str">
        <f t="shared" ca="1" si="9"/>
        <v>OK</v>
      </c>
    </row>
    <row r="242" spans="1:11">
      <c r="A242" s="18" t="s">
        <v>2303</v>
      </c>
      <c r="B242" s="3" t="str">
        <f>IFERROR(INDEX(Movimientos!$C$5:$C$2001,MATCH(A242&amp;"ENTRADA",Movimientos!$R$5:$R$2001,0)),"-")</f>
        <v>-</v>
      </c>
      <c r="C242" s="3" t="str">
        <f>IFERROR(INDEX(Movimientos!$D$5:$D$2001,MATCH(A242&amp;"ENTRADA",Movimientos!$R$5:$R$2001,0)),"-")</f>
        <v>-</v>
      </c>
      <c r="D242" s="3" t="str">
        <f>IFERROR(INDEX(Movimientos!$E$5:$E$2001,MATCH(A242&amp;"ENTRADA",Movimientos!$R$5:$R$2001,0)),"-")</f>
        <v>-</v>
      </c>
      <c r="E242" s="3" t="str">
        <f>IFERROR(INDEX(Movimientos!$F$5:$F$2001,MATCH(A242&amp;"ENTRADA",Movimientos!$R$5:$R$2001,0)),"-")</f>
        <v>-</v>
      </c>
      <c r="F242" s="3" t="str">
        <f>IFERROR(INDEX(Movimientos!$G$5:$G$2001,MATCH(A242&amp;"ENTRADA",Movimientos!$R$5:$R$2001,0)),"-")</f>
        <v>-</v>
      </c>
      <c r="G242" s="3" t="str">
        <f>IFERROR(INDEX(Movimientos!$L$5:$L$2001,MATCH(A242&amp;"ENTRADA",Movimientos!$R$5:$R$2001,0)),"-")</f>
        <v>-</v>
      </c>
      <c r="H242" s="19" t="str">
        <f>IFERROR(IF(INDEX(Movimientos!$M$5:$M$2001,MATCH(A242&amp;"ENTRADA",Movimientos!$R$5:$R$2001,0))=0,"S/D",INDEX(Movimientos!$M$5:$M$2001,MATCH(A242&amp;"ENTRADA",Movimientos!$R$5:$R$2001,0))),"S/D")</f>
        <v>S/D</v>
      </c>
      <c r="I242" s="16" t="str">
        <f t="shared" ca="1" si="8"/>
        <v>S/D</v>
      </c>
      <c r="J242" s="6">
        <f>IF(A242="","",SUMIFS(Movimientos!$K:$K,Movimientos!$H:$H,A242))</f>
        <v>0</v>
      </c>
      <c r="K242" s="14" t="str">
        <f t="shared" ca="1" si="9"/>
        <v>OK</v>
      </c>
    </row>
    <row r="243" spans="1:11">
      <c r="A243" s="18" t="s">
        <v>2304</v>
      </c>
      <c r="B243" s="3" t="str">
        <f>IFERROR(INDEX(Movimientos!$C$5:$C$2001,MATCH(A243&amp;"ENTRADA",Movimientos!$R$5:$R$2001,0)),"-")</f>
        <v>-</v>
      </c>
      <c r="C243" s="3" t="str">
        <f>IFERROR(INDEX(Movimientos!$D$5:$D$2001,MATCH(A243&amp;"ENTRADA",Movimientos!$R$5:$R$2001,0)),"-")</f>
        <v>-</v>
      </c>
      <c r="D243" s="3" t="str">
        <f>IFERROR(INDEX(Movimientos!$E$5:$E$2001,MATCH(A243&amp;"ENTRADA",Movimientos!$R$5:$R$2001,0)),"-")</f>
        <v>-</v>
      </c>
      <c r="E243" s="3" t="str">
        <f>IFERROR(INDEX(Movimientos!$F$5:$F$2001,MATCH(A243&amp;"ENTRADA",Movimientos!$R$5:$R$2001,0)),"-")</f>
        <v>-</v>
      </c>
      <c r="F243" s="3" t="str">
        <f>IFERROR(INDEX(Movimientos!$G$5:$G$2001,MATCH(A243&amp;"ENTRADA",Movimientos!$R$5:$R$2001,0)),"-")</f>
        <v>-</v>
      </c>
      <c r="G243" s="3" t="str">
        <f>IFERROR(INDEX(Movimientos!$L$5:$L$2001,MATCH(A243&amp;"ENTRADA",Movimientos!$R$5:$R$2001,0)),"-")</f>
        <v>-</v>
      </c>
      <c r="H243" s="19" t="str">
        <f>IFERROR(IF(INDEX(Movimientos!$M$5:$M$2001,MATCH(A243&amp;"ENTRADA",Movimientos!$R$5:$R$2001,0))=0,"S/D",INDEX(Movimientos!$M$5:$M$2001,MATCH(A243&amp;"ENTRADA",Movimientos!$R$5:$R$2001,0))),"S/D")</f>
        <v>S/D</v>
      </c>
      <c r="I243" s="16" t="str">
        <f t="shared" ca="1" si="8"/>
        <v>S/D</v>
      </c>
      <c r="J243" s="6">
        <f>IF(A243="","",SUMIFS(Movimientos!$K:$K,Movimientos!$H:$H,A243))</f>
        <v>0</v>
      </c>
      <c r="K243" s="14" t="str">
        <f t="shared" ca="1" si="9"/>
        <v>OK</v>
      </c>
    </row>
    <row r="244" spans="1:11">
      <c r="A244" s="18" t="s">
        <v>2305</v>
      </c>
      <c r="B244" s="3" t="str">
        <f>IFERROR(INDEX(Movimientos!$C$5:$C$2001,MATCH(A244&amp;"ENTRADA",Movimientos!$R$5:$R$2001,0)),"-")</f>
        <v>-</v>
      </c>
      <c r="C244" s="3" t="str">
        <f>IFERROR(INDEX(Movimientos!$D$5:$D$2001,MATCH(A244&amp;"ENTRADA",Movimientos!$R$5:$R$2001,0)),"-")</f>
        <v>-</v>
      </c>
      <c r="D244" s="3" t="str">
        <f>IFERROR(INDEX(Movimientos!$E$5:$E$2001,MATCH(A244&amp;"ENTRADA",Movimientos!$R$5:$R$2001,0)),"-")</f>
        <v>-</v>
      </c>
      <c r="E244" s="3" t="str">
        <f>IFERROR(INDEX(Movimientos!$F$5:$F$2001,MATCH(A244&amp;"ENTRADA",Movimientos!$R$5:$R$2001,0)),"-")</f>
        <v>-</v>
      </c>
      <c r="F244" s="3" t="str">
        <f>IFERROR(INDEX(Movimientos!$G$5:$G$2001,MATCH(A244&amp;"ENTRADA",Movimientos!$R$5:$R$2001,0)),"-")</f>
        <v>-</v>
      </c>
      <c r="G244" s="3" t="str">
        <f>IFERROR(INDEX(Movimientos!$L$5:$L$2001,MATCH(A244&amp;"ENTRADA",Movimientos!$R$5:$R$2001,0)),"-")</f>
        <v>-</v>
      </c>
      <c r="H244" s="19" t="str">
        <f>IFERROR(IF(INDEX(Movimientos!$M$5:$M$2001,MATCH(A244&amp;"ENTRADA",Movimientos!$R$5:$R$2001,0))=0,"S/D",INDEX(Movimientos!$M$5:$M$2001,MATCH(A244&amp;"ENTRADA",Movimientos!$R$5:$R$2001,0))),"S/D")</f>
        <v>S/D</v>
      </c>
      <c r="I244" s="16" t="str">
        <f t="shared" ca="1" si="8"/>
        <v>S/D</v>
      </c>
      <c r="J244" s="6">
        <f>IF(A244="","",SUMIFS(Movimientos!$K:$K,Movimientos!$H:$H,A244))</f>
        <v>0</v>
      </c>
      <c r="K244" s="14" t="str">
        <f t="shared" ca="1" si="9"/>
        <v>OK</v>
      </c>
    </row>
    <row r="245" spans="1:11">
      <c r="A245" s="18" t="s">
        <v>2306</v>
      </c>
      <c r="B245" s="3" t="str">
        <f>IFERROR(INDEX(Movimientos!$C$5:$C$2001,MATCH(A245&amp;"ENTRADA",Movimientos!$R$5:$R$2001,0)),"-")</f>
        <v>-</v>
      </c>
      <c r="C245" s="3" t="str">
        <f>IFERROR(INDEX(Movimientos!$D$5:$D$2001,MATCH(A245&amp;"ENTRADA",Movimientos!$R$5:$R$2001,0)),"-")</f>
        <v>-</v>
      </c>
      <c r="D245" s="3" t="str">
        <f>IFERROR(INDEX(Movimientos!$E$5:$E$2001,MATCH(A245&amp;"ENTRADA",Movimientos!$R$5:$R$2001,0)),"-")</f>
        <v>-</v>
      </c>
      <c r="E245" s="3" t="str">
        <f>IFERROR(INDEX(Movimientos!$F$5:$F$2001,MATCH(A245&amp;"ENTRADA",Movimientos!$R$5:$R$2001,0)),"-")</f>
        <v>-</v>
      </c>
      <c r="F245" s="3" t="str">
        <f>IFERROR(INDEX(Movimientos!$G$5:$G$2001,MATCH(A245&amp;"ENTRADA",Movimientos!$R$5:$R$2001,0)),"-")</f>
        <v>-</v>
      </c>
      <c r="G245" s="3" t="str">
        <f>IFERROR(INDEX(Movimientos!$L$5:$L$2001,MATCH(A245&amp;"ENTRADA",Movimientos!$R$5:$R$2001,0)),"-")</f>
        <v>-</v>
      </c>
      <c r="H245" s="19" t="str">
        <f>IFERROR(IF(INDEX(Movimientos!$M$5:$M$2001,MATCH(A245&amp;"ENTRADA",Movimientos!$R$5:$R$2001,0))=0,"S/D",INDEX(Movimientos!$M$5:$M$2001,MATCH(A245&amp;"ENTRADA",Movimientos!$R$5:$R$2001,0))),"S/D")</f>
        <v>S/D</v>
      </c>
      <c r="I245" s="16" t="str">
        <f t="shared" ca="1" si="8"/>
        <v>S/D</v>
      </c>
      <c r="J245" s="6">
        <f>IF(A245="","",SUMIFS(Movimientos!$K:$K,Movimientos!$H:$H,A245))</f>
        <v>0</v>
      </c>
      <c r="K245" s="14" t="str">
        <f t="shared" ca="1" si="9"/>
        <v>OK</v>
      </c>
    </row>
    <row r="246" spans="1:11">
      <c r="A246" s="18" t="s">
        <v>2307</v>
      </c>
      <c r="B246" s="3" t="str">
        <f>IFERROR(INDEX(Movimientos!$C$5:$C$2001,MATCH(A246&amp;"ENTRADA",Movimientos!$R$5:$R$2001,0)),"-")</f>
        <v>-</v>
      </c>
      <c r="C246" s="3" t="str">
        <f>IFERROR(INDEX(Movimientos!$D$5:$D$2001,MATCH(A246&amp;"ENTRADA",Movimientos!$R$5:$R$2001,0)),"-")</f>
        <v>-</v>
      </c>
      <c r="D246" s="3" t="str">
        <f>IFERROR(INDEX(Movimientos!$E$5:$E$2001,MATCH(A246&amp;"ENTRADA",Movimientos!$R$5:$R$2001,0)),"-")</f>
        <v>-</v>
      </c>
      <c r="E246" s="3" t="str">
        <f>IFERROR(INDEX(Movimientos!$F$5:$F$2001,MATCH(A246&amp;"ENTRADA",Movimientos!$R$5:$R$2001,0)),"-")</f>
        <v>-</v>
      </c>
      <c r="F246" s="3" t="str">
        <f>IFERROR(INDEX(Movimientos!$G$5:$G$2001,MATCH(A246&amp;"ENTRADA",Movimientos!$R$5:$R$2001,0)),"-")</f>
        <v>-</v>
      </c>
      <c r="G246" s="3" t="str">
        <f>IFERROR(INDEX(Movimientos!$L$5:$L$2001,MATCH(A246&amp;"ENTRADA",Movimientos!$R$5:$R$2001,0)),"-")</f>
        <v>-</v>
      </c>
      <c r="H246" s="19" t="str">
        <f>IFERROR(IF(INDEX(Movimientos!$M$5:$M$2001,MATCH(A246&amp;"ENTRADA",Movimientos!$R$5:$R$2001,0))=0,"S/D",INDEX(Movimientos!$M$5:$M$2001,MATCH(A246&amp;"ENTRADA",Movimientos!$R$5:$R$2001,0))),"S/D")</f>
        <v>S/D</v>
      </c>
      <c r="I246" s="16" t="str">
        <f t="shared" ca="1" si="8"/>
        <v>S/D</v>
      </c>
      <c r="J246" s="6">
        <f>IF(A246="","",SUMIFS(Movimientos!$K:$K,Movimientos!$H:$H,A246))</f>
        <v>0</v>
      </c>
      <c r="K246" s="14" t="str">
        <f t="shared" ca="1" si="9"/>
        <v>OK</v>
      </c>
    </row>
    <row r="247" spans="1:11">
      <c r="A247" s="18" t="s">
        <v>2308</v>
      </c>
      <c r="B247" s="3" t="str">
        <f>IFERROR(INDEX(Movimientos!$C$5:$C$2001,MATCH(A247&amp;"ENTRADA",Movimientos!$R$5:$R$2001,0)),"-")</f>
        <v>-</v>
      </c>
      <c r="C247" s="3" t="str">
        <f>IFERROR(INDEX(Movimientos!$D$5:$D$2001,MATCH(A247&amp;"ENTRADA",Movimientos!$R$5:$R$2001,0)),"-")</f>
        <v>-</v>
      </c>
      <c r="D247" s="3" t="str">
        <f>IFERROR(INDEX(Movimientos!$E$5:$E$2001,MATCH(A247&amp;"ENTRADA",Movimientos!$R$5:$R$2001,0)),"-")</f>
        <v>-</v>
      </c>
      <c r="E247" s="3" t="str">
        <f>IFERROR(INDEX(Movimientos!$F$5:$F$2001,MATCH(A247&amp;"ENTRADA",Movimientos!$R$5:$R$2001,0)),"-")</f>
        <v>-</v>
      </c>
      <c r="F247" s="3" t="str">
        <f>IFERROR(INDEX(Movimientos!$G$5:$G$2001,MATCH(A247&amp;"ENTRADA",Movimientos!$R$5:$R$2001,0)),"-")</f>
        <v>-</v>
      </c>
      <c r="G247" s="3" t="str">
        <f>IFERROR(INDEX(Movimientos!$L$5:$L$2001,MATCH(A247&amp;"ENTRADA",Movimientos!$R$5:$R$2001,0)),"-")</f>
        <v>-</v>
      </c>
      <c r="H247" s="19" t="str">
        <f>IFERROR(IF(INDEX(Movimientos!$M$5:$M$2001,MATCH(A247&amp;"ENTRADA",Movimientos!$R$5:$R$2001,0))=0,"S/D",INDEX(Movimientos!$M$5:$M$2001,MATCH(A247&amp;"ENTRADA",Movimientos!$R$5:$R$2001,0))),"S/D")</f>
        <v>S/D</v>
      </c>
      <c r="I247" s="16" t="str">
        <f t="shared" ca="1" si="8"/>
        <v>S/D</v>
      </c>
      <c r="J247" s="6">
        <f>IF(A247="","",SUMIFS(Movimientos!$K:$K,Movimientos!$H:$H,A247))</f>
        <v>0</v>
      </c>
      <c r="K247" s="14" t="str">
        <f t="shared" ca="1" si="9"/>
        <v>OK</v>
      </c>
    </row>
    <row r="248" spans="1:11">
      <c r="A248" s="18" t="s">
        <v>2309</v>
      </c>
      <c r="B248" s="3" t="str">
        <f>IFERROR(INDEX(Movimientos!$C$5:$C$2001,MATCH(A248&amp;"ENTRADA",Movimientos!$R$5:$R$2001,0)),"-")</f>
        <v>-</v>
      </c>
      <c r="C248" s="3" t="str">
        <f>IFERROR(INDEX(Movimientos!$D$5:$D$2001,MATCH(A248&amp;"ENTRADA",Movimientos!$R$5:$R$2001,0)),"-")</f>
        <v>-</v>
      </c>
      <c r="D248" s="3" t="str">
        <f>IFERROR(INDEX(Movimientos!$E$5:$E$2001,MATCH(A248&amp;"ENTRADA",Movimientos!$R$5:$R$2001,0)),"-")</f>
        <v>-</v>
      </c>
      <c r="E248" s="3" t="str">
        <f>IFERROR(INDEX(Movimientos!$F$5:$F$2001,MATCH(A248&amp;"ENTRADA",Movimientos!$R$5:$R$2001,0)),"-")</f>
        <v>-</v>
      </c>
      <c r="F248" s="3" t="str">
        <f>IFERROR(INDEX(Movimientos!$G$5:$G$2001,MATCH(A248&amp;"ENTRADA",Movimientos!$R$5:$R$2001,0)),"-")</f>
        <v>-</v>
      </c>
      <c r="G248" s="3" t="str">
        <f>IFERROR(INDEX(Movimientos!$L$5:$L$2001,MATCH(A248&amp;"ENTRADA",Movimientos!$R$5:$R$2001,0)),"-")</f>
        <v>-</v>
      </c>
      <c r="H248" s="19" t="str">
        <f>IFERROR(IF(INDEX(Movimientos!$M$5:$M$2001,MATCH(A248&amp;"ENTRADA",Movimientos!$R$5:$R$2001,0))=0,"S/D",INDEX(Movimientos!$M$5:$M$2001,MATCH(A248&amp;"ENTRADA",Movimientos!$R$5:$R$2001,0))),"S/D")</f>
        <v>S/D</v>
      </c>
      <c r="I248" s="16" t="str">
        <f t="shared" ca="1" si="8"/>
        <v>S/D</v>
      </c>
      <c r="J248" s="6">
        <f>IF(A248="","",SUMIFS(Movimientos!$K:$K,Movimientos!$H:$H,A248))</f>
        <v>0</v>
      </c>
      <c r="K248" s="14" t="str">
        <f t="shared" ca="1" si="9"/>
        <v>OK</v>
      </c>
    </row>
    <row r="249" spans="1:11">
      <c r="A249" s="18" t="s">
        <v>2310</v>
      </c>
      <c r="B249" s="3" t="str">
        <f>IFERROR(INDEX(Movimientos!$C$5:$C$2001,MATCH(A249&amp;"ENTRADA",Movimientos!$R$5:$R$2001,0)),"-")</f>
        <v>-</v>
      </c>
      <c r="C249" s="3" t="str">
        <f>IFERROR(INDEX(Movimientos!$D$5:$D$2001,MATCH(A249&amp;"ENTRADA",Movimientos!$R$5:$R$2001,0)),"-")</f>
        <v>-</v>
      </c>
      <c r="D249" s="3" t="str">
        <f>IFERROR(INDEX(Movimientos!$E$5:$E$2001,MATCH(A249&amp;"ENTRADA",Movimientos!$R$5:$R$2001,0)),"-")</f>
        <v>-</v>
      </c>
      <c r="E249" s="3" t="str">
        <f>IFERROR(INDEX(Movimientos!$F$5:$F$2001,MATCH(A249&amp;"ENTRADA",Movimientos!$R$5:$R$2001,0)),"-")</f>
        <v>-</v>
      </c>
      <c r="F249" s="3" t="str">
        <f>IFERROR(INDEX(Movimientos!$G$5:$G$2001,MATCH(A249&amp;"ENTRADA",Movimientos!$R$5:$R$2001,0)),"-")</f>
        <v>-</v>
      </c>
      <c r="G249" s="3" t="str">
        <f>IFERROR(INDEX(Movimientos!$L$5:$L$2001,MATCH(A249&amp;"ENTRADA",Movimientos!$R$5:$R$2001,0)),"-")</f>
        <v>-</v>
      </c>
      <c r="H249" s="19" t="str">
        <f>IFERROR(IF(INDEX(Movimientos!$M$5:$M$2001,MATCH(A249&amp;"ENTRADA",Movimientos!$R$5:$R$2001,0))=0,"S/D",INDEX(Movimientos!$M$5:$M$2001,MATCH(A249&amp;"ENTRADA",Movimientos!$R$5:$R$2001,0))),"S/D")</f>
        <v>S/D</v>
      </c>
      <c r="I249" s="16" t="str">
        <f t="shared" ca="1" si="8"/>
        <v>S/D</v>
      </c>
      <c r="J249" s="6">
        <f>IF(A249="","",SUMIFS(Movimientos!$K:$K,Movimientos!$H:$H,A249))</f>
        <v>0</v>
      </c>
      <c r="K249" s="14" t="str">
        <f t="shared" ca="1" si="9"/>
        <v>OK</v>
      </c>
    </row>
    <row r="250" spans="1:11">
      <c r="A250" s="18" t="s">
        <v>2311</v>
      </c>
      <c r="B250" s="3" t="str">
        <f>IFERROR(INDEX(Movimientos!$C$5:$C$2001,MATCH(A250&amp;"ENTRADA",Movimientos!$R$5:$R$2001,0)),"-")</f>
        <v>-</v>
      </c>
      <c r="C250" s="3" t="str">
        <f>IFERROR(INDEX(Movimientos!$D$5:$D$2001,MATCH(A250&amp;"ENTRADA",Movimientos!$R$5:$R$2001,0)),"-")</f>
        <v>-</v>
      </c>
      <c r="D250" s="3" t="str">
        <f>IFERROR(INDEX(Movimientos!$E$5:$E$2001,MATCH(A250&amp;"ENTRADA",Movimientos!$R$5:$R$2001,0)),"-")</f>
        <v>-</v>
      </c>
      <c r="E250" s="3" t="str">
        <f>IFERROR(INDEX(Movimientos!$F$5:$F$2001,MATCH(A250&amp;"ENTRADA",Movimientos!$R$5:$R$2001,0)),"-")</f>
        <v>-</v>
      </c>
      <c r="F250" s="3" t="str">
        <f>IFERROR(INDEX(Movimientos!$G$5:$G$2001,MATCH(A250&amp;"ENTRADA",Movimientos!$R$5:$R$2001,0)),"-")</f>
        <v>-</v>
      </c>
      <c r="G250" s="3" t="str">
        <f>IFERROR(INDEX(Movimientos!$L$5:$L$2001,MATCH(A250&amp;"ENTRADA",Movimientos!$R$5:$R$2001,0)),"-")</f>
        <v>-</v>
      </c>
      <c r="H250" s="19" t="str">
        <f>IFERROR(IF(INDEX(Movimientos!$M$5:$M$2001,MATCH(A250&amp;"ENTRADA",Movimientos!$R$5:$R$2001,0))=0,"S/D",INDEX(Movimientos!$M$5:$M$2001,MATCH(A250&amp;"ENTRADA",Movimientos!$R$5:$R$2001,0))),"S/D")</f>
        <v>S/D</v>
      </c>
      <c r="I250" s="16" t="str">
        <f t="shared" ca="1" si="8"/>
        <v>S/D</v>
      </c>
      <c r="J250" s="6">
        <f>IF(A250="","",SUMIFS(Movimientos!$K:$K,Movimientos!$H:$H,A250))</f>
        <v>0</v>
      </c>
      <c r="K250" s="14" t="str">
        <f t="shared" ca="1" si="9"/>
        <v>OK</v>
      </c>
    </row>
    <row r="251" spans="1:11">
      <c r="A251" s="18" t="s">
        <v>2312</v>
      </c>
      <c r="B251" s="3" t="str">
        <f>IFERROR(INDEX(Movimientos!$C$5:$C$2001,MATCH(A251&amp;"ENTRADA",Movimientos!$R$5:$R$2001,0)),"-")</f>
        <v>-</v>
      </c>
      <c r="C251" s="3" t="str">
        <f>IFERROR(INDEX(Movimientos!$D$5:$D$2001,MATCH(A251&amp;"ENTRADA",Movimientos!$R$5:$R$2001,0)),"-")</f>
        <v>-</v>
      </c>
      <c r="D251" s="3" t="str">
        <f>IFERROR(INDEX(Movimientos!$E$5:$E$2001,MATCH(A251&amp;"ENTRADA",Movimientos!$R$5:$R$2001,0)),"-")</f>
        <v>-</v>
      </c>
      <c r="E251" s="3" t="str">
        <f>IFERROR(INDEX(Movimientos!$F$5:$F$2001,MATCH(A251&amp;"ENTRADA",Movimientos!$R$5:$R$2001,0)),"-")</f>
        <v>-</v>
      </c>
      <c r="F251" s="3" t="str">
        <f>IFERROR(INDEX(Movimientos!$G$5:$G$2001,MATCH(A251&amp;"ENTRADA",Movimientos!$R$5:$R$2001,0)),"-")</f>
        <v>-</v>
      </c>
      <c r="G251" s="3" t="str">
        <f>IFERROR(INDEX(Movimientos!$L$5:$L$2001,MATCH(A251&amp;"ENTRADA",Movimientos!$R$5:$R$2001,0)),"-")</f>
        <v>-</v>
      </c>
      <c r="H251" s="19" t="str">
        <f>IFERROR(IF(INDEX(Movimientos!$M$5:$M$2001,MATCH(A251&amp;"ENTRADA",Movimientos!$R$5:$R$2001,0))=0,"S/D",INDEX(Movimientos!$M$5:$M$2001,MATCH(A251&amp;"ENTRADA",Movimientos!$R$5:$R$2001,0))),"S/D")</f>
        <v>S/D</v>
      </c>
      <c r="I251" s="16" t="str">
        <f t="shared" ca="1" si="8"/>
        <v>S/D</v>
      </c>
      <c r="J251" s="6">
        <f>IF(A251="","",SUMIFS(Movimientos!$K:$K,Movimientos!$H:$H,A251))</f>
        <v>0</v>
      </c>
      <c r="K251" s="14" t="str">
        <f t="shared" ca="1" si="9"/>
        <v>OK</v>
      </c>
    </row>
    <row r="252" spans="1:11">
      <c r="A252" s="18" t="s">
        <v>2313</v>
      </c>
      <c r="B252" s="3" t="str">
        <f>IFERROR(INDEX(Movimientos!$C$5:$C$2001,MATCH(A252&amp;"ENTRADA",Movimientos!$R$5:$R$2001,0)),"-")</f>
        <v>-</v>
      </c>
      <c r="C252" s="3" t="str">
        <f>IFERROR(INDEX(Movimientos!$D$5:$D$2001,MATCH(A252&amp;"ENTRADA",Movimientos!$R$5:$R$2001,0)),"-")</f>
        <v>-</v>
      </c>
      <c r="D252" s="3" t="str">
        <f>IFERROR(INDEX(Movimientos!$E$5:$E$2001,MATCH(A252&amp;"ENTRADA",Movimientos!$R$5:$R$2001,0)),"-")</f>
        <v>-</v>
      </c>
      <c r="E252" s="3" t="str">
        <f>IFERROR(INDEX(Movimientos!$F$5:$F$2001,MATCH(A252&amp;"ENTRADA",Movimientos!$R$5:$R$2001,0)),"-")</f>
        <v>-</v>
      </c>
      <c r="F252" s="3" t="str">
        <f>IFERROR(INDEX(Movimientos!$G$5:$G$2001,MATCH(A252&amp;"ENTRADA",Movimientos!$R$5:$R$2001,0)),"-")</f>
        <v>-</v>
      </c>
      <c r="G252" s="3" t="str">
        <f>IFERROR(INDEX(Movimientos!$L$5:$L$2001,MATCH(A252&amp;"ENTRADA",Movimientos!$R$5:$R$2001,0)),"-")</f>
        <v>-</v>
      </c>
      <c r="H252" s="19" t="str">
        <f>IFERROR(IF(INDEX(Movimientos!$M$5:$M$2001,MATCH(A252&amp;"ENTRADA",Movimientos!$R$5:$R$2001,0))=0,"S/D",INDEX(Movimientos!$M$5:$M$2001,MATCH(A252&amp;"ENTRADA",Movimientos!$R$5:$R$2001,0))),"S/D")</f>
        <v>S/D</v>
      </c>
      <c r="I252" s="16" t="str">
        <f t="shared" ca="1" si="8"/>
        <v>S/D</v>
      </c>
      <c r="J252" s="6">
        <f>IF(A252="","",SUMIFS(Movimientos!$K:$K,Movimientos!$H:$H,A252))</f>
        <v>0</v>
      </c>
      <c r="K252" s="14" t="str">
        <f t="shared" ca="1" si="9"/>
        <v>OK</v>
      </c>
    </row>
    <row r="253" spans="1:11">
      <c r="A253" s="18" t="s">
        <v>2314</v>
      </c>
      <c r="B253" s="3" t="str">
        <f>IFERROR(INDEX(Movimientos!$C$5:$C$2001,MATCH(A253&amp;"ENTRADA",Movimientos!$R$5:$R$2001,0)),"-")</f>
        <v>-</v>
      </c>
      <c r="C253" s="3" t="str">
        <f>IFERROR(INDEX(Movimientos!$D$5:$D$2001,MATCH(A253&amp;"ENTRADA",Movimientos!$R$5:$R$2001,0)),"-")</f>
        <v>-</v>
      </c>
      <c r="D253" s="3" t="str">
        <f>IFERROR(INDEX(Movimientos!$E$5:$E$2001,MATCH(A253&amp;"ENTRADA",Movimientos!$R$5:$R$2001,0)),"-")</f>
        <v>-</v>
      </c>
      <c r="E253" s="3" t="str">
        <f>IFERROR(INDEX(Movimientos!$F$5:$F$2001,MATCH(A253&amp;"ENTRADA",Movimientos!$R$5:$R$2001,0)),"-")</f>
        <v>-</v>
      </c>
      <c r="F253" s="3" t="str">
        <f>IFERROR(INDEX(Movimientos!$G$5:$G$2001,MATCH(A253&amp;"ENTRADA",Movimientos!$R$5:$R$2001,0)),"-")</f>
        <v>-</v>
      </c>
      <c r="G253" s="3" t="str">
        <f>IFERROR(INDEX(Movimientos!$L$5:$L$2001,MATCH(A253&amp;"ENTRADA",Movimientos!$R$5:$R$2001,0)),"-")</f>
        <v>-</v>
      </c>
      <c r="H253" s="19" t="str">
        <f>IFERROR(IF(INDEX(Movimientos!$M$5:$M$2001,MATCH(A253&amp;"ENTRADA",Movimientos!$R$5:$R$2001,0))=0,"S/D",INDEX(Movimientos!$M$5:$M$2001,MATCH(A253&amp;"ENTRADA",Movimientos!$R$5:$R$2001,0))),"S/D")</f>
        <v>S/D</v>
      </c>
      <c r="I253" s="16" t="str">
        <f t="shared" ca="1" si="8"/>
        <v>S/D</v>
      </c>
      <c r="J253" s="6">
        <f>IF(A253="","",SUMIFS(Movimientos!$K:$K,Movimientos!$H:$H,A253))</f>
        <v>0</v>
      </c>
      <c r="K253" s="14" t="str">
        <f t="shared" ca="1" si="9"/>
        <v>OK</v>
      </c>
    </row>
    <row r="254" spans="1:11">
      <c r="A254" s="18" t="s">
        <v>2315</v>
      </c>
      <c r="B254" s="3" t="str">
        <f>IFERROR(INDEX(Movimientos!$C$5:$C$2001,MATCH(A254&amp;"ENTRADA",Movimientos!$R$5:$R$2001,0)),"-")</f>
        <v>-</v>
      </c>
      <c r="C254" s="3" t="str">
        <f>IFERROR(INDEX(Movimientos!$D$5:$D$2001,MATCH(A254&amp;"ENTRADA",Movimientos!$R$5:$R$2001,0)),"-")</f>
        <v>-</v>
      </c>
      <c r="D254" s="3" t="str">
        <f>IFERROR(INDEX(Movimientos!$E$5:$E$2001,MATCH(A254&amp;"ENTRADA",Movimientos!$R$5:$R$2001,0)),"-")</f>
        <v>-</v>
      </c>
      <c r="E254" s="3" t="str">
        <f>IFERROR(INDEX(Movimientos!$F$5:$F$2001,MATCH(A254&amp;"ENTRADA",Movimientos!$R$5:$R$2001,0)),"-")</f>
        <v>-</v>
      </c>
      <c r="F254" s="3" t="str">
        <f>IFERROR(INDEX(Movimientos!$G$5:$G$2001,MATCH(A254&amp;"ENTRADA",Movimientos!$R$5:$R$2001,0)),"-")</f>
        <v>-</v>
      </c>
      <c r="G254" s="3" t="str">
        <f>IFERROR(INDEX(Movimientos!$L$5:$L$2001,MATCH(A254&amp;"ENTRADA",Movimientos!$R$5:$R$2001,0)),"-")</f>
        <v>-</v>
      </c>
      <c r="H254" s="19" t="str">
        <f>IFERROR(IF(INDEX(Movimientos!$M$5:$M$2001,MATCH(A254&amp;"ENTRADA",Movimientos!$R$5:$R$2001,0))=0,"S/D",INDEX(Movimientos!$M$5:$M$2001,MATCH(A254&amp;"ENTRADA",Movimientos!$R$5:$R$2001,0))),"S/D")</f>
        <v>S/D</v>
      </c>
      <c r="I254" s="16" t="str">
        <f t="shared" ca="1" si="8"/>
        <v>S/D</v>
      </c>
      <c r="J254" s="6">
        <f>IF(A254="","",SUMIFS(Movimientos!$K:$K,Movimientos!$H:$H,A254))</f>
        <v>0</v>
      </c>
      <c r="K254" s="14" t="str">
        <f t="shared" ca="1" si="9"/>
        <v>OK</v>
      </c>
    </row>
    <row r="255" spans="1:11">
      <c r="A255" s="18" t="s">
        <v>2316</v>
      </c>
      <c r="B255" s="3" t="str">
        <f>IFERROR(INDEX(Movimientos!$C$5:$C$2001,MATCH(A255&amp;"ENTRADA",Movimientos!$R$5:$R$2001,0)),"-")</f>
        <v>-</v>
      </c>
      <c r="C255" s="3" t="str">
        <f>IFERROR(INDEX(Movimientos!$D$5:$D$2001,MATCH(A255&amp;"ENTRADA",Movimientos!$R$5:$R$2001,0)),"-")</f>
        <v>-</v>
      </c>
      <c r="D255" s="3" t="str">
        <f>IFERROR(INDEX(Movimientos!$E$5:$E$2001,MATCH(A255&amp;"ENTRADA",Movimientos!$R$5:$R$2001,0)),"-")</f>
        <v>-</v>
      </c>
      <c r="E255" s="3" t="str">
        <f>IFERROR(INDEX(Movimientos!$F$5:$F$2001,MATCH(A255&amp;"ENTRADA",Movimientos!$R$5:$R$2001,0)),"-")</f>
        <v>-</v>
      </c>
      <c r="F255" s="3" t="str">
        <f>IFERROR(INDEX(Movimientos!$G$5:$G$2001,MATCH(A255&amp;"ENTRADA",Movimientos!$R$5:$R$2001,0)),"-")</f>
        <v>-</v>
      </c>
      <c r="G255" s="3" t="str">
        <f>IFERROR(INDEX(Movimientos!$L$5:$L$2001,MATCH(A255&amp;"ENTRADA",Movimientos!$R$5:$R$2001,0)),"-")</f>
        <v>-</v>
      </c>
      <c r="H255" s="19" t="str">
        <f>IFERROR(IF(INDEX(Movimientos!$M$5:$M$2001,MATCH(A255&amp;"ENTRADA",Movimientos!$R$5:$R$2001,0))=0,"S/D",INDEX(Movimientos!$M$5:$M$2001,MATCH(A255&amp;"ENTRADA",Movimientos!$R$5:$R$2001,0))),"S/D")</f>
        <v>S/D</v>
      </c>
      <c r="I255" s="16" t="str">
        <f t="shared" ca="1" si="8"/>
        <v>S/D</v>
      </c>
      <c r="J255" s="6">
        <f>IF(A255="","",SUMIFS(Movimientos!$K:$K,Movimientos!$H:$H,A255))</f>
        <v>0</v>
      </c>
      <c r="K255" s="14" t="str">
        <f t="shared" ca="1" si="9"/>
        <v>OK</v>
      </c>
    </row>
    <row r="256" spans="1:11">
      <c r="A256" s="18" t="s">
        <v>2317</v>
      </c>
      <c r="B256" s="3" t="str">
        <f>IFERROR(INDEX(Movimientos!$C$5:$C$2001,MATCH(A256&amp;"ENTRADA",Movimientos!$R$5:$R$2001,0)),"-")</f>
        <v>-</v>
      </c>
      <c r="C256" s="3" t="str">
        <f>IFERROR(INDEX(Movimientos!$D$5:$D$2001,MATCH(A256&amp;"ENTRADA",Movimientos!$R$5:$R$2001,0)),"-")</f>
        <v>-</v>
      </c>
      <c r="D256" s="3" t="str">
        <f>IFERROR(INDEX(Movimientos!$E$5:$E$2001,MATCH(A256&amp;"ENTRADA",Movimientos!$R$5:$R$2001,0)),"-")</f>
        <v>-</v>
      </c>
      <c r="E256" s="3" t="str">
        <f>IFERROR(INDEX(Movimientos!$F$5:$F$2001,MATCH(A256&amp;"ENTRADA",Movimientos!$R$5:$R$2001,0)),"-")</f>
        <v>-</v>
      </c>
      <c r="F256" s="3" t="str">
        <f>IFERROR(INDEX(Movimientos!$G$5:$G$2001,MATCH(A256&amp;"ENTRADA",Movimientos!$R$5:$R$2001,0)),"-")</f>
        <v>-</v>
      </c>
      <c r="G256" s="3" t="str">
        <f>IFERROR(INDEX(Movimientos!$L$5:$L$2001,MATCH(A256&amp;"ENTRADA",Movimientos!$R$5:$R$2001,0)),"-")</f>
        <v>-</v>
      </c>
      <c r="H256" s="19" t="str">
        <f>IFERROR(IF(INDEX(Movimientos!$M$5:$M$2001,MATCH(A256&amp;"ENTRADA",Movimientos!$R$5:$R$2001,0))=0,"S/D",INDEX(Movimientos!$M$5:$M$2001,MATCH(A256&amp;"ENTRADA",Movimientos!$R$5:$R$2001,0))),"S/D")</f>
        <v>S/D</v>
      </c>
      <c r="I256" s="16" t="str">
        <f t="shared" ca="1" si="8"/>
        <v>S/D</v>
      </c>
      <c r="J256" s="6">
        <f>IF(A256="","",SUMIFS(Movimientos!$K:$K,Movimientos!$H:$H,A256))</f>
        <v>0</v>
      </c>
      <c r="K256" s="14" t="str">
        <f t="shared" ca="1" si="9"/>
        <v>OK</v>
      </c>
    </row>
    <row r="257" spans="1:11">
      <c r="A257" s="18" t="s">
        <v>2318</v>
      </c>
      <c r="B257" s="3" t="str">
        <f>IFERROR(INDEX(Movimientos!$C$5:$C$2001,MATCH(A257&amp;"ENTRADA",Movimientos!$R$5:$R$2001,0)),"-")</f>
        <v>-</v>
      </c>
      <c r="C257" s="3" t="str">
        <f>IFERROR(INDEX(Movimientos!$D$5:$D$2001,MATCH(A257&amp;"ENTRADA",Movimientos!$R$5:$R$2001,0)),"-")</f>
        <v>-</v>
      </c>
      <c r="D257" s="3" t="str">
        <f>IFERROR(INDEX(Movimientos!$E$5:$E$2001,MATCH(A257&amp;"ENTRADA",Movimientos!$R$5:$R$2001,0)),"-")</f>
        <v>-</v>
      </c>
      <c r="E257" s="3" t="str">
        <f>IFERROR(INDEX(Movimientos!$F$5:$F$2001,MATCH(A257&amp;"ENTRADA",Movimientos!$R$5:$R$2001,0)),"-")</f>
        <v>-</v>
      </c>
      <c r="F257" s="3" t="str">
        <f>IFERROR(INDEX(Movimientos!$G$5:$G$2001,MATCH(A257&amp;"ENTRADA",Movimientos!$R$5:$R$2001,0)),"-")</f>
        <v>-</v>
      </c>
      <c r="G257" s="3" t="str">
        <f>IFERROR(INDEX(Movimientos!$L$5:$L$2001,MATCH(A257&amp;"ENTRADA",Movimientos!$R$5:$R$2001,0)),"-")</f>
        <v>-</v>
      </c>
      <c r="H257" s="19" t="str">
        <f>IFERROR(IF(INDEX(Movimientos!$M$5:$M$2001,MATCH(A257&amp;"ENTRADA",Movimientos!$R$5:$R$2001,0))=0,"S/D",INDEX(Movimientos!$M$5:$M$2001,MATCH(A257&amp;"ENTRADA",Movimientos!$R$5:$R$2001,0))),"S/D")</f>
        <v>S/D</v>
      </c>
      <c r="I257" s="16" t="str">
        <f t="shared" ca="1" si="8"/>
        <v>S/D</v>
      </c>
      <c r="J257" s="6">
        <f>IF(A257="","",SUMIFS(Movimientos!$K:$K,Movimientos!$H:$H,A257))</f>
        <v>0</v>
      </c>
      <c r="K257" s="14" t="str">
        <f t="shared" ca="1" si="9"/>
        <v>OK</v>
      </c>
    </row>
    <row r="258" spans="1:11">
      <c r="A258" s="18" t="s">
        <v>2319</v>
      </c>
      <c r="B258" s="3" t="str">
        <f>IFERROR(INDEX(Movimientos!$C$5:$C$2001,MATCH(A258&amp;"ENTRADA",Movimientos!$R$5:$R$2001,0)),"-")</f>
        <v>-</v>
      </c>
      <c r="C258" s="3" t="str">
        <f>IFERROR(INDEX(Movimientos!$D$5:$D$2001,MATCH(A258&amp;"ENTRADA",Movimientos!$R$5:$R$2001,0)),"-")</f>
        <v>-</v>
      </c>
      <c r="D258" s="3" t="str">
        <f>IFERROR(INDEX(Movimientos!$E$5:$E$2001,MATCH(A258&amp;"ENTRADA",Movimientos!$R$5:$R$2001,0)),"-")</f>
        <v>-</v>
      </c>
      <c r="E258" s="3" t="str">
        <f>IFERROR(INDEX(Movimientos!$F$5:$F$2001,MATCH(A258&amp;"ENTRADA",Movimientos!$R$5:$R$2001,0)),"-")</f>
        <v>-</v>
      </c>
      <c r="F258" s="3" t="str">
        <f>IFERROR(INDEX(Movimientos!$G$5:$G$2001,MATCH(A258&amp;"ENTRADA",Movimientos!$R$5:$R$2001,0)),"-")</f>
        <v>-</v>
      </c>
      <c r="G258" s="3" t="str">
        <f>IFERROR(INDEX(Movimientos!$L$5:$L$2001,MATCH(A258&amp;"ENTRADA",Movimientos!$R$5:$R$2001,0)),"-")</f>
        <v>-</v>
      </c>
      <c r="H258" s="19" t="str">
        <f>IFERROR(IF(INDEX(Movimientos!$M$5:$M$2001,MATCH(A258&amp;"ENTRADA",Movimientos!$R$5:$R$2001,0))=0,"S/D",INDEX(Movimientos!$M$5:$M$2001,MATCH(A258&amp;"ENTRADA",Movimientos!$R$5:$R$2001,0))),"S/D")</f>
        <v>S/D</v>
      </c>
      <c r="I258" s="16" t="str">
        <f t="shared" ca="1" si="8"/>
        <v>S/D</v>
      </c>
      <c r="J258" s="6">
        <f>IF(A258="","",SUMIFS(Movimientos!$K:$K,Movimientos!$H:$H,A258))</f>
        <v>0</v>
      </c>
      <c r="K258" s="14" t="str">
        <f t="shared" ca="1" si="9"/>
        <v>OK</v>
      </c>
    </row>
    <row r="259" spans="1:11">
      <c r="A259" s="18" t="s">
        <v>2320</v>
      </c>
      <c r="B259" s="3" t="str">
        <f>IFERROR(INDEX(Movimientos!$C$5:$C$2001,MATCH(A259&amp;"ENTRADA",Movimientos!$R$5:$R$2001,0)),"-")</f>
        <v>-</v>
      </c>
      <c r="C259" s="3" t="str">
        <f>IFERROR(INDEX(Movimientos!$D$5:$D$2001,MATCH(A259&amp;"ENTRADA",Movimientos!$R$5:$R$2001,0)),"-")</f>
        <v>-</v>
      </c>
      <c r="D259" s="3" t="str">
        <f>IFERROR(INDEX(Movimientos!$E$5:$E$2001,MATCH(A259&amp;"ENTRADA",Movimientos!$R$5:$R$2001,0)),"-")</f>
        <v>-</v>
      </c>
      <c r="E259" s="3" t="str">
        <f>IFERROR(INDEX(Movimientos!$F$5:$F$2001,MATCH(A259&amp;"ENTRADA",Movimientos!$R$5:$R$2001,0)),"-")</f>
        <v>-</v>
      </c>
      <c r="F259" s="3" t="str">
        <f>IFERROR(INDEX(Movimientos!$G$5:$G$2001,MATCH(A259&amp;"ENTRADA",Movimientos!$R$5:$R$2001,0)),"-")</f>
        <v>-</v>
      </c>
      <c r="G259" s="3" t="str">
        <f>IFERROR(INDEX(Movimientos!$L$5:$L$2001,MATCH(A259&amp;"ENTRADA",Movimientos!$R$5:$R$2001,0)),"-")</f>
        <v>-</v>
      </c>
      <c r="H259" s="19" t="str">
        <f>IFERROR(IF(INDEX(Movimientos!$M$5:$M$2001,MATCH(A259&amp;"ENTRADA",Movimientos!$R$5:$R$2001,0))=0,"S/D",INDEX(Movimientos!$M$5:$M$2001,MATCH(A259&amp;"ENTRADA",Movimientos!$R$5:$R$2001,0))),"S/D")</f>
        <v>S/D</v>
      </c>
      <c r="I259" s="16" t="str">
        <f t="shared" ca="1" si="8"/>
        <v>S/D</v>
      </c>
      <c r="J259" s="6">
        <f>IF(A259="","",SUMIFS(Movimientos!$K:$K,Movimientos!$H:$H,A259))</f>
        <v>0</v>
      </c>
      <c r="K259" s="14" t="str">
        <f t="shared" ca="1" si="9"/>
        <v>OK</v>
      </c>
    </row>
    <row r="260" spans="1:11">
      <c r="A260" s="18" t="s">
        <v>2321</v>
      </c>
      <c r="B260" s="3" t="str">
        <f>IFERROR(INDEX(Movimientos!$C$5:$C$2001,MATCH(A260&amp;"ENTRADA",Movimientos!$R$5:$R$2001,0)),"-")</f>
        <v>-</v>
      </c>
      <c r="C260" s="3" t="str">
        <f>IFERROR(INDEX(Movimientos!$D$5:$D$2001,MATCH(A260&amp;"ENTRADA",Movimientos!$R$5:$R$2001,0)),"-")</f>
        <v>-</v>
      </c>
      <c r="D260" s="3" t="str">
        <f>IFERROR(INDEX(Movimientos!$E$5:$E$2001,MATCH(A260&amp;"ENTRADA",Movimientos!$R$5:$R$2001,0)),"-")</f>
        <v>-</v>
      </c>
      <c r="E260" s="3" t="str">
        <f>IFERROR(INDEX(Movimientos!$F$5:$F$2001,MATCH(A260&amp;"ENTRADA",Movimientos!$R$5:$R$2001,0)),"-")</f>
        <v>-</v>
      </c>
      <c r="F260" s="3" t="str">
        <f>IFERROR(INDEX(Movimientos!$G$5:$G$2001,MATCH(A260&amp;"ENTRADA",Movimientos!$R$5:$R$2001,0)),"-")</f>
        <v>-</v>
      </c>
      <c r="G260" s="3" t="str">
        <f>IFERROR(INDEX(Movimientos!$L$5:$L$2001,MATCH(A260&amp;"ENTRADA",Movimientos!$R$5:$R$2001,0)),"-")</f>
        <v>-</v>
      </c>
      <c r="H260" s="19" t="str">
        <f>IFERROR(IF(INDEX(Movimientos!$M$5:$M$2001,MATCH(A260&amp;"ENTRADA",Movimientos!$R$5:$R$2001,0))=0,"S/D",INDEX(Movimientos!$M$5:$M$2001,MATCH(A260&amp;"ENTRADA",Movimientos!$R$5:$R$2001,0))),"S/D")</f>
        <v>S/D</v>
      </c>
      <c r="I260" s="16" t="str">
        <f t="shared" ca="1" si="8"/>
        <v>S/D</v>
      </c>
      <c r="J260" s="6">
        <f>IF(A260="","",SUMIFS(Movimientos!$K:$K,Movimientos!$H:$H,A260))</f>
        <v>0</v>
      </c>
      <c r="K260" s="14" t="str">
        <f t="shared" ca="1" si="9"/>
        <v>OK</v>
      </c>
    </row>
    <row r="261" spans="1:11">
      <c r="A261" s="18" t="s">
        <v>2322</v>
      </c>
      <c r="B261" s="3" t="str">
        <f>IFERROR(INDEX(Movimientos!$C$5:$C$2001,MATCH(A261&amp;"ENTRADA",Movimientos!$R$5:$R$2001,0)),"-")</f>
        <v>-</v>
      </c>
      <c r="C261" s="3" t="str">
        <f>IFERROR(INDEX(Movimientos!$D$5:$D$2001,MATCH(A261&amp;"ENTRADA",Movimientos!$R$5:$R$2001,0)),"-")</f>
        <v>-</v>
      </c>
      <c r="D261" s="3" t="str">
        <f>IFERROR(INDEX(Movimientos!$E$5:$E$2001,MATCH(A261&amp;"ENTRADA",Movimientos!$R$5:$R$2001,0)),"-")</f>
        <v>-</v>
      </c>
      <c r="E261" s="3" t="str">
        <f>IFERROR(INDEX(Movimientos!$F$5:$F$2001,MATCH(A261&amp;"ENTRADA",Movimientos!$R$5:$R$2001,0)),"-")</f>
        <v>-</v>
      </c>
      <c r="F261" s="3" t="str">
        <f>IFERROR(INDEX(Movimientos!$G$5:$G$2001,MATCH(A261&amp;"ENTRADA",Movimientos!$R$5:$R$2001,0)),"-")</f>
        <v>-</v>
      </c>
      <c r="G261" s="3" t="str">
        <f>IFERROR(INDEX(Movimientos!$L$5:$L$2001,MATCH(A261&amp;"ENTRADA",Movimientos!$R$5:$R$2001,0)),"-")</f>
        <v>-</v>
      </c>
      <c r="H261" s="19" t="str">
        <f>IFERROR(IF(INDEX(Movimientos!$M$5:$M$2001,MATCH(A261&amp;"ENTRADA",Movimientos!$R$5:$R$2001,0))=0,"S/D",INDEX(Movimientos!$M$5:$M$2001,MATCH(A261&amp;"ENTRADA",Movimientos!$R$5:$R$2001,0))),"S/D")</f>
        <v>S/D</v>
      </c>
      <c r="I261" s="16" t="str">
        <f t="shared" ca="1" si="8"/>
        <v>S/D</v>
      </c>
      <c r="J261" s="6">
        <f>IF(A261="","",SUMIFS(Movimientos!$K:$K,Movimientos!$H:$H,A261))</f>
        <v>0</v>
      </c>
      <c r="K261" s="14" t="str">
        <f t="shared" ca="1" si="9"/>
        <v>OK</v>
      </c>
    </row>
    <row r="262" spans="1:11">
      <c r="A262" s="18" t="s">
        <v>2323</v>
      </c>
      <c r="B262" s="3" t="str">
        <f>IFERROR(INDEX(Movimientos!$C$5:$C$2001,MATCH(A262&amp;"ENTRADA",Movimientos!$R$5:$R$2001,0)),"-")</f>
        <v>-</v>
      </c>
      <c r="C262" s="3" t="str">
        <f>IFERROR(INDEX(Movimientos!$D$5:$D$2001,MATCH(A262&amp;"ENTRADA",Movimientos!$R$5:$R$2001,0)),"-")</f>
        <v>-</v>
      </c>
      <c r="D262" s="3" t="str">
        <f>IFERROR(INDEX(Movimientos!$E$5:$E$2001,MATCH(A262&amp;"ENTRADA",Movimientos!$R$5:$R$2001,0)),"-")</f>
        <v>-</v>
      </c>
      <c r="E262" s="3" t="str">
        <f>IFERROR(INDEX(Movimientos!$F$5:$F$2001,MATCH(A262&amp;"ENTRADA",Movimientos!$R$5:$R$2001,0)),"-")</f>
        <v>-</v>
      </c>
      <c r="F262" s="3" t="str">
        <f>IFERROR(INDEX(Movimientos!$G$5:$G$2001,MATCH(A262&amp;"ENTRADA",Movimientos!$R$5:$R$2001,0)),"-")</f>
        <v>-</v>
      </c>
      <c r="G262" s="3" t="str">
        <f>IFERROR(INDEX(Movimientos!$L$5:$L$2001,MATCH(A262&amp;"ENTRADA",Movimientos!$R$5:$R$2001,0)),"-")</f>
        <v>-</v>
      </c>
      <c r="H262" s="19" t="str">
        <f>IFERROR(IF(INDEX(Movimientos!$M$5:$M$2001,MATCH(A262&amp;"ENTRADA",Movimientos!$R$5:$R$2001,0))=0,"S/D",INDEX(Movimientos!$M$5:$M$2001,MATCH(A262&amp;"ENTRADA",Movimientos!$R$5:$R$2001,0))),"S/D")</f>
        <v>S/D</v>
      </c>
      <c r="I262" s="16" t="str">
        <f t="shared" ca="1" si="8"/>
        <v>S/D</v>
      </c>
      <c r="J262" s="6">
        <f>IF(A262="","",SUMIFS(Movimientos!$K:$K,Movimientos!$H:$H,A262))</f>
        <v>0</v>
      </c>
      <c r="K262" s="14" t="str">
        <f t="shared" ca="1" si="9"/>
        <v>OK</v>
      </c>
    </row>
    <row r="263" spans="1:11">
      <c r="A263" s="18" t="s">
        <v>2324</v>
      </c>
      <c r="B263" s="3" t="str">
        <f>IFERROR(INDEX(Movimientos!$C$5:$C$2001,MATCH(A263&amp;"ENTRADA",Movimientos!$R$5:$R$2001,0)),"-")</f>
        <v>-</v>
      </c>
      <c r="C263" s="3" t="str">
        <f>IFERROR(INDEX(Movimientos!$D$5:$D$2001,MATCH(A263&amp;"ENTRADA",Movimientos!$R$5:$R$2001,0)),"-")</f>
        <v>-</v>
      </c>
      <c r="D263" s="3" t="str">
        <f>IFERROR(INDEX(Movimientos!$E$5:$E$2001,MATCH(A263&amp;"ENTRADA",Movimientos!$R$5:$R$2001,0)),"-")</f>
        <v>-</v>
      </c>
      <c r="E263" s="3" t="str">
        <f>IFERROR(INDEX(Movimientos!$F$5:$F$2001,MATCH(A263&amp;"ENTRADA",Movimientos!$R$5:$R$2001,0)),"-")</f>
        <v>-</v>
      </c>
      <c r="F263" s="3" t="str">
        <f>IFERROR(INDEX(Movimientos!$G$5:$G$2001,MATCH(A263&amp;"ENTRADA",Movimientos!$R$5:$R$2001,0)),"-")</f>
        <v>-</v>
      </c>
      <c r="G263" s="3" t="str">
        <f>IFERROR(INDEX(Movimientos!$L$5:$L$2001,MATCH(A263&amp;"ENTRADA",Movimientos!$R$5:$R$2001,0)),"-")</f>
        <v>-</v>
      </c>
      <c r="H263" s="19" t="str">
        <f>IFERROR(IF(INDEX(Movimientos!$M$5:$M$2001,MATCH(A263&amp;"ENTRADA",Movimientos!$R$5:$R$2001,0))=0,"S/D",INDEX(Movimientos!$M$5:$M$2001,MATCH(A263&amp;"ENTRADA",Movimientos!$R$5:$R$2001,0))),"S/D")</f>
        <v>S/D</v>
      </c>
      <c r="I263" s="16" t="str">
        <f t="shared" ca="1" si="8"/>
        <v>S/D</v>
      </c>
      <c r="J263" s="6">
        <f>IF(A263="","",SUMIFS(Movimientos!$K:$K,Movimientos!$H:$H,A263))</f>
        <v>0</v>
      </c>
      <c r="K263" s="14" t="str">
        <f t="shared" ca="1" si="9"/>
        <v>OK</v>
      </c>
    </row>
    <row r="264" spans="1:11">
      <c r="A264" s="18" t="s">
        <v>2325</v>
      </c>
      <c r="B264" s="3" t="str">
        <f>IFERROR(INDEX(Movimientos!$C$5:$C$2001,MATCH(A264&amp;"ENTRADA",Movimientos!$R$5:$R$2001,0)),"-")</f>
        <v>-</v>
      </c>
      <c r="C264" s="3" t="str">
        <f>IFERROR(INDEX(Movimientos!$D$5:$D$2001,MATCH(A264&amp;"ENTRADA",Movimientos!$R$5:$R$2001,0)),"-")</f>
        <v>-</v>
      </c>
      <c r="D264" s="3" t="str">
        <f>IFERROR(INDEX(Movimientos!$E$5:$E$2001,MATCH(A264&amp;"ENTRADA",Movimientos!$R$5:$R$2001,0)),"-")</f>
        <v>-</v>
      </c>
      <c r="E264" s="3" t="str">
        <f>IFERROR(INDEX(Movimientos!$F$5:$F$2001,MATCH(A264&amp;"ENTRADA",Movimientos!$R$5:$R$2001,0)),"-")</f>
        <v>-</v>
      </c>
      <c r="F264" s="3" t="str">
        <f>IFERROR(INDEX(Movimientos!$G$5:$G$2001,MATCH(A264&amp;"ENTRADA",Movimientos!$R$5:$R$2001,0)),"-")</f>
        <v>-</v>
      </c>
      <c r="G264" s="3" t="str">
        <f>IFERROR(INDEX(Movimientos!$L$5:$L$2001,MATCH(A264&amp;"ENTRADA",Movimientos!$R$5:$R$2001,0)),"-")</f>
        <v>-</v>
      </c>
      <c r="H264" s="19" t="str">
        <f>IFERROR(IF(INDEX(Movimientos!$M$5:$M$2001,MATCH(A264&amp;"ENTRADA",Movimientos!$R$5:$R$2001,0))=0,"S/D",INDEX(Movimientos!$M$5:$M$2001,MATCH(A264&amp;"ENTRADA",Movimientos!$R$5:$R$2001,0))),"S/D")</f>
        <v>S/D</v>
      </c>
      <c r="I264" s="16" t="str">
        <f t="shared" ca="1" si="8"/>
        <v>S/D</v>
      </c>
      <c r="J264" s="6">
        <f>IF(A264="","",SUMIFS(Movimientos!$K:$K,Movimientos!$H:$H,A264))</f>
        <v>0</v>
      </c>
      <c r="K264" s="14" t="str">
        <f t="shared" ca="1" si="9"/>
        <v>OK</v>
      </c>
    </row>
    <row r="265" spans="1:11">
      <c r="A265" s="18" t="s">
        <v>2326</v>
      </c>
      <c r="B265" s="3" t="str">
        <f>IFERROR(INDEX(Movimientos!$C$5:$C$2001,MATCH(A265&amp;"ENTRADA",Movimientos!$R$5:$R$2001,0)),"-")</f>
        <v>-</v>
      </c>
      <c r="C265" s="3" t="str">
        <f>IFERROR(INDEX(Movimientos!$D$5:$D$2001,MATCH(A265&amp;"ENTRADA",Movimientos!$R$5:$R$2001,0)),"-")</f>
        <v>-</v>
      </c>
      <c r="D265" s="3" t="str">
        <f>IFERROR(INDEX(Movimientos!$E$5:$E$2001,MATCH(A265&amp;"ENTRADA",Movimientos!$R$5:$R$2001,0)),"-")</f>
        <v>-</v>
      </c>
      <c r="E265" s="3" t="str">
        <f>IFERROR(INDEX(Movimientos!$F$5:$F$2001,MATCH(A265&amp;"ENTRADA",Movimientos!$R$5:$R$2001,0)),"-")</f>
        <v>-</v>
      </c>
      <c r="F265" s="3" t="str">
        <f>IFERROR(INDEX(Movimientos!$G$5:$G$2001,MATCH(A265&amp;"ENTRADA",Movimientos!$R$5:$R$2001,0)),"-")</f>
        <v>-</v>
      </c>
      <c r="G265" s="3" t="str">
        <f>IFERROR(INDEX(Movimientos!$L$5:$L$2001,MATCH(A265&amp;"ENTRADA",Movimientos!$R$5:$R$2001,0)),"-")</f>
        <v>-</v>
      </c>
      <c r="H265" s="19" t="str">
        <f>IFERROR(IF(INDEX(Movimientos!$M$5:$M$2001,MATCH(A265&amp;"ENTRADA",Movimientos!$R$5:$R$2001,0))=0,"S/D",INDEX(Movimientos!$M$5:$M$2001,MATCH(A265&amp;"ENTRADA",Movimientos!$R$5:$R$2001,0))),"S/D")</f>
        <v>S/D</v>
      </c>
      <c r="I265" s="16" t="str">
        <f t="shared" ca="1" si="8"/>
        <v>S/D</v>
      </c>
      <c r="J265" s="6">
        <f>IF(A265="","",SUMIFS(Movimientos!$K:$K,Movimientos!$H:$H,A265))</f>
        <v>0</v>
      </c>
      <c r="K265" s="14" t="str">
        <f t="shared" ca="1" si="9"/>
        <v>OK</v>
      </c>
    </row>
    <row r="266" spans="1:11">
      <c r="A266" s="18" t="s">
        <v>2327</v>
      </c>
      <c r="B266" s="3" t="str">
        <f>IFERROR(INDEX(Movimientos!$C$5:$C$2001,MATCH(A266&amp;"ENTRADA",Movimientos!$R$5:$R$2001,0)),"-")</f>
        <v>-</v>
      </c>
      <c r="C266" s="3" t="str">
        <f>IFERROR(INDEX(Movimientos!$D$5:$D$2001,MATCH(A266&amp;"ENTRADA",Movimientos!$R$5:$R$2001,0)),"-")</f>
        <v>-</v>
      </c>
      <c r="D266" s="3" t="str">
        <f>IFERROR(INDEX(Movimientos!$E$5:$E$2001,MATCH(A266&amp;"ENTRADA",Movimientos!$R$5:$R$2001,0)),"-")</f>
        <v>-</v>
      </c>
      <c r="E266" s="3" t="str">
        <f>IFERROR(INDEX(Movimientos!$F$5:$F$2001,MATCH(A266&amp;"ENTRADA",Movimientos!$R$5:$R$2001,0)),"-")</f>
        <v>-</v>
      </c>
      <c r="F266" s="3" t="str">
        <f>IFERROR(INDEX(Movimientos!$G$5:$G$2001,MATCH(A266&amp;"ENTRADA",Movimientos!$R$5:$R$2001,0)),"-")</f>
        <v>-</v>
      </c>
      <c r="G266" s="3" t="str">
        <f>IFERROR(INDEX(Movimientos!$L$5:$L$2001,MATCH(A266&amp;"ENTRADA",Movimientos!$R$5:$R$2001,0)),"-")</f>
        <v>-</v>
      </c>
      <c r="H266" s="19" t="str">
        <f>IFERROR(IF(INDEX(Movimientos!$M$5:$M$2001,MATCH(A266&amp;"ENTRADA",Movimientos!$R$5:$R$2001,0))=0,"S/D",INDEX(Movimientos!$M$5:$M$2001,MATCH(A266&amp;"ENTRADA",Movimientos!$R$5:$R$2001,0))),"S/D")</f>
        <v>S/D</v>
      </c>
      <c r="I266" s="16" t="str">
        <f t="shared" ca="1" si="8"/>
        <v>S/D</v>
      </c>
      <c r="J266" s="6">
        <f>IF(A266="","",SUMIFS(Movimientos!$K:$K,Movimientos!$H:$H,A266))</f>
        <v>0</v>
      </c>
      <c r="K266" s="14" t="str">
        <f t="shared" ca="1" si="9"/>
        <v>OK</v>
      </c>
    </row>
    <row r="267" spans="1:11">
      <c r="A267" s="18" t="s">
        <v>2328</v>
      </c>
      <c r="B267" s="3" t="str">
        <f>IFERROR(INDEX(Movimientos!$C$5:$C$2001,MATCH(A267&amp;"ENTRADA",Movimientos!$R$5:$R$2001,0)),"-")</f>
        <v>-</v>
      </c>
      <c r="C267" s="3" t="str">
        <f>IFERROR(INDEX(Movimientos!$D$5:$D$2001,MATCH(A267&amp;"ENTRADA",Movimientos!$R$5:$R$2001,0)),"-")</f>
        <v>-</v>
      </c>
      <c r="D267" s="3" t="str">
        <f>IFERROR(INDEX(Movimientos!$E$5:$E$2001,MATCH(A267&amp;"ENTRADA",Movimientos!$R$5:$R$2001,0)),"-")</f>
        <v>-</v>
      </c>
      <c r="E267" s="3" t="str">
        <f>IFERROR(INDEX(Movimientos!$F$5:$F$2001,MATCH(A267&amp;"ENTRADA",Movimientos!$R$5:$R$2001,0)),"-")</f>
        <v>-</v>
      </c>
      <c r="F267" s="3" t="str">
        <f>IFERROR(INDEX(Movimientos!$G$5:$G$2001,MATCH(A267&amp;"ENTRADA",Movimientos!$R$5:$R$2001,0)),"-")</f>
        <v>-</v>
      </c>
      <c r="G267" s="3" t="str">
        <f>IFERROR(INDEX(Movimientos!$L$5:$L$2001,MATCH(A267&amp;"ENTRADA",Movimientos!$R$5:$R$2001,0)),"-")</f>
        <v>-</v>
      </c>
      <c r="H267" s="19" t="str">
        <f>IFERROR(IF(INDEX(Movimientos!$M$5:$M$2001,MATCH(A267&amp;"ENTRADA",Movimientos!$R$5:$R$2001,0))=0,"S/D",INDEX(Movimientos!$M$5:$M$2001,MATCH(A267&amp;"ENTRADA",Movimientos!$R$5:$R$2001,0))),"S/D")</f>
        <v>S/D</v>
      </c>
      <c r="I267" s="16" t="str">
        <f t="shared" ref="I267:I330" ca="1" si="10">IF(OR(A267="",H267="S/D"),"S/D",H267-TODAY())</f>
        <v>S/D</v>
      </c>
      <c r="J267" s="6">
        <f>IF(A267="","",SUMIFS(Movimientos!$K:$K,Movimientos!$H:$H,A267))</f>
        <v>0</v>
      </c>
      <c r="K267" s="14" t="str">
        <f t="shared" ref="K267:K330" ca="1" si="11">IF(A267="","",IF(H267="S/D","OK",IF(H267&lt;TODAY(),"VENCIDO",IF(J267&lt;=0,"SIN STOCK",IF(I267&gt;=180,"OK","PRÓXIMO A VENCER")))))</f>
        <v>OK</v>
      </c>
    </row>
    <row r="268" spans="1:11">
      <c r="A268" s="18" t="s">
        <v>2329</v>
      </c>
      <c r="B268" s="3" t="str">
        <f>IFERROR(INDEX(Movimientos!$C$5:$C$2001,MATCH(A268&amp;"ENTRADA",Movimientos!$R$5:$R$2001,0)),"-")</f>
        <v>-</v>
      </c>
      <c r="C268" s="3" t="str">
        <f>IFERROR(INDEX(Movimientos!$D$5:$D$2001,MATCH(A268&amp;"ENTRADA",Movimientos!$R$5:$R$2001,0)),"-")</f>
        <v>-</v>
      </c>
      <c r="D268" s="3" t="str">
        <f>IFERROR(INDEX(Movimientos!$E$5:$E$2001,MATCH(A268&amp;"ENTRADA",Movimientos!$R$5:$R$2001,0)),"-")</f>
        <v>-</v>
      </c>
      <c r="E268" s="3" t="str">
        <f>IFERROR(INDEX(Movimientos!$F$5:$F$2001,MATCH(A268&amp;"ENTRADA",Movimientos!$R$5:$R$2001,0)),"-")</f>
        <v>-</v>
      </c>
      <c r="F268" s="3" t="str">
        <f>IFERROR(INDEX(Movimientos!$G$5:$G$2001,MATCH(A268&amp;"ENTRADA",Movimientos!$R$5:$R$2001,0)),"-")</f>
        <v>-</v>
      </c>
      <c r="G268" s="3" t="str">
        <f>IFERROR(INDEX(Movimientos!$L$5:$L$2001,MATCH(A268&amp;"ENTRADA",Movimientos!$R$5:$R$2001,0)),"-")</f>
        <v>-</v>
      </c>
      <c r="H268" s="19" t="str">
        <f>IFERROR(IF(INDEX(Movimientos!$M$5:$M$2001,MATCH(A268&amp;"ENTRADA",Movimientos!$R$5:$R$2001,0))=0,"S/D",INDEX(Movimientos!$M$5:$M$2001,MATCH(A268&amp;"ENTRADA",Movimientos!$R$5:$R$2001,0))),"S/D")</f>
        <v>S/D</v>
      </c>
      <c r="I268" s="16" t="str">
        <f t="shared" ca="1" si="10"/>
        <v>S/D</v>
      </c>
      <c r="J268" s="6">
        <f>IF(A268="","",SUMIFS(Movimientos!$K:$K,Movimientos!$H:$H,A268))</f>
        <v>0</v>
      </c>
      <c r="K268" s="14" t="str">
        <f t="shared" ca="1" si="11"/>
        <v>OK</v>
      </c>
    </row>
    <row r="269" spans="1:11">
      <c r="A269" s="18" t="s">
        <v>2330</v>
      </c>
      <c r="B269" s="3" t="str">
        <f>IFERROR(INDEX(Movimientos!$C$5:$C$2001,MATCH(A269&amp;"ENTRADA",Movimientos!$R$5:$R$2001,0)),"-")</f>
        <v>-</v>
      </c>
      <c r="C269" s="3" t="str">
        <f>IFERROR(INDEX(Movimientos!$D$5:$D$2001,MATCH(A269&amp;"ENTRADA",Movimientos!$R$5:$R$2001,0)),"-")</f>
        <v>-</v>
      </c>
      <c r="D269" s="3" t="str">
        <f>IFERROR(INDEX(Movimientos!$E$5:$E$2001,MATCH(A269&amp;"ENTRADA",Movimientos!$R$5:$R$2001,0)),"-")</f>
        <v>-</v>
      </c>
      <c r="E269" s="3" t="str">
        <f>IFERROR(INDEX(Movimientos!$F$5:$F$2001,MATCH(A269&amp;"ENTRADA",Movimientos!$R$5:$R$2001,0)),"-")</f>
        <v>-</v>
      </c>
      <c r="F269" s="3" t="str">
        <f>IFERROR(INDEX(Movimientos!$G$5:$G$2001,MATCH(A269&amp;"ENTRADA",Movimientos!$R$5:$R$2001,0)),"-")</f>
        <v>-</v>
      </c>
      <c r="G269" s="3" t="str">
        <f>IFERROR(INDEX(Movimientos!$L$5:$L$2001,MATCH(A269&amp;"ENTRADA",Movimientos!$R$5:$R$2001,0)),"-")</f>
        <v>-</v>
      </c>
      <c r="H269" s="19" t="str">
        <f>IFERROR(IF(INDEX(Movimientos!$M$5:$M$2001,MATCH(A269&amp;"ENTRADA",Movimientos!$R$5:$R$2001,0))=0,"S/D",INDEX(Movimientos!$M$5:$M$2001,MATCH(A269&amp;"ENTRADA",Movimientos!$R$5:$R$2001,0))),"S/D")</f>
        <v>S/D</v>
      </c>
      <c r="I269" s="16" t="str">
        <f t="shared" ca="1" si="10"/>
        <v>S/D</v>
      </c>
      <c r="J269" s="6">
        <f>IF(A269="","",SUMIFS(Movimientos!$K:$K,Movimientos!$H:$H,A269))</f>
        <v>0</v>
      </c>
      <c r="K269" s="14" t="str">
        <f t="shared" ca="1" si="11"/>
        <v>OK</v>
      </c>
    </row>
    <row r="270" spans="1:11">
      <c r="A270" s="18" t="s">
        <v>2331</v>
      </c>
      <c r="B270" s="3" t="str">
        <f>IFERROR(INDEX(Movimientos!$C$5:$C$2001,MATCH(A270&amp;"ENTRADA",Movimientos!$R$5:$R$2001,0)),"-")</f>
        <v>-</v>
      </c>
      <c r="C270" s="3" t="str">
        <f>IFERROR(INDEX(Movimientos!$D$5:$D$2001,MATCH(A270&amp;"ENTRADA",Movimientos!$R$5:$R$2001,0)),"-")</f>
        <v>-</v>
      </c>
      <c r="D270" s="3" t="str">
        <f>IFERROR(INDEX(Movimientos!$E$5:$E$2001,MATCH(A270&amp;"ENTRADA",Movimientos!$R$5:$R$2001,0)),"-")</f>
        <v>-</v>
      </c>
      <c r="E270" s="3" t="str">
        <f>IFERROR(INDEX(Movimientos!$F$5:$F$2001,MATCH(A270&amp;"ENTRADA",Movimientos!$R$5:$R$2001,0)),"-")</f>
        <v>-</v>
      </c>
      <c r="F270" s="3" t="str">
        <f>IFERROR(INDEX(Movimientos!$G$5:$G$2001,MATCH(A270&amp;"ENTRADA",Movimientos!$R$5:$R$2001,0)),"-")</f>
        <v>-</v>
      </c>
      <c r="G270" s="3" t="str">
        <f>IFERROR(INDEX(Movimientos!$L$5:$L$2001,MATCH(A270&amp;"ENTRADA",Movimientos!$R$5:$R$2001,0)),"-")</f>
        <v>-</v>
      </c>
      <c r="H270" s="19" t="str">
        <f>IFERROR(IF(INDEX(Movimientos!$M$5:$M$2001,MATCH(A270&amp;"ENTRADA",Movimientos!$R$5:$R$2001,0))=0,"S/D",INDEX(Movimientos!$M$5:$M$2001,MATCH(A270&amp;"ENTRADA",Movimientos!$R$5:$R$2001,0))),"S/D")</f>
        <v>S/D</v>
      </c>
      <c r="I270" s="16" t="str">
        <f t="shared" ca="1" si="10"/>
        <v>S/D</v>
      </c>
      <c r="J270" s="6">
        <f>IF(A270="","",SUMIFS(Movimientos!$K:$K,Movimientos!$H:$H,A270))</f>
        <v>0</v>
      </c>
      <c r="K270" s="14" t="str">
        <f t="shared" ca="1" si="11"/>
        <v>OK</v>
      </c>
    </row>
    <row r="271" spans="1:11">
      <c r="A271" s="18" t="s">
        <v>2332</v>
      </c>
      <c r="B271" s="3" t="str">
        <f>IFERROR(INDEX(Movimientos!$C$5:$C$2001,MATCH(A271&amp;"ENTRADA",Movimientos!$R$5:$R$2001,0)),"-")</f>
        <v>-</v>
      </c>
      <c r="C271" s="3" t="str">
        <f>IFERROR(INDEX(Movimientos!$D$5:$D$2001,MATCH(A271&amp;"ENTRADA",Movimientos!$R$5:$R$2001,0)),"-")</f>
        <v>-</v>
      </c>
      <c r="D271" s="3" t="str">
        <f>IFERROR(INDEX(Movimientos!$E$5:$E$2001,MATCH(A271&amp;"ENTRADA",Movimientos!$R$5:$R$2001,0)),"-")</f>
        <v>-</v>
      </c>
      <c r="E271" s="3" t="str">
        <f>IFERROR(INDEX(Movimientos!$F$5:$F$2001,MATCH(A271&amp;"ENTRADA",Movimientos!$R$5:$R$2001,0)),"-")</f>
        <v>-</v>
      </c>
      <c r="F271" s="3" t="str">
        <f>IFERROR(INDEX(Movimientos!$G$5:$G$2001,MATCH(A271&amp;"ENTRADA",Movimientos!$R$5:$R$2001,0)),"-")</f>
        <v>-</v>
      </c>
      <c r="G271" s="3" t="str">
        <f>IFERROR(INDEX(Movimientos!$L$5:$L$2001,MATCH(A271&amp;"ENTRADA",Movimientos!$R$5:$R$2001,0)),"-")</f>
        <v>-</v>
      </c>
      <c r="H271" s="19" t="str">
        <f>IFERROR(IF(INDEX(Movimientos!$M$5:$M$2001,MATCH(A271&amp;"ENTRADA",Movimientos!$R$5:$R$2001,0))=0,"S/D",INDEX(Movimientos!$M$5:$M$2001,MATCH(A271&amp;"ENTRADA",Movimientos!$R$5:$R$2001,0))),"S/D")</f>
        <v>S/D</v>
      </c>
      <c r="I271" s="16" t="str">
        <f t="shared" ca="1" si="10"/>
        <v>S/D</v>
      </c>
      <c r="J271" s="6">
        <f>IF(A271="","",SUMIFS(Movimientos!$K:$K,Movimientos!$H:$H,A271))</f>
        <v>0</v>
      </c>
      <c r="K271" s="14" t="str">
        <f t="shared" ca="1" si="11"/>
        <v>OK</v>
      </c>
    </row>
    <row r="272" spans="1:11">
      <c r="A272" s="18" t="s">
        <v>2333</v>
      </c>
      <c r="B272" s="3" t="str">
        <f>IFERROR(INDEX(Movimientos!$C$5:$C$2001,MATCH(A272&amp;"ENTRADA",Movimientos!$R$5:$R$2001,0)),"-")</f>
        <v>-</v>
      </c>
      <c r="C272" s="3" t="str">
        <f>IFERROR(INDEX(Movimientos!$D$5:$D$2001,MATCH(A272&amp;"ENTRADA",Movimientos!$R$5:$R$2001,0)),"-")</f>
        <v>-</v>
      </c>
      <c r="D272" s="3" t="str">
        <f>IFERROR(INDEX(Movimientos!$E$5:$E$2001,MATCH(A272&amp;"ENTRADA",Movimientos!$R$5:$R$2001,0)),"-")</f>
        <v>-</v>
      </c>
      <c r="E272" s="3" t="str">
        <f>IFERROR(INDEX(Movimientos!$F$5:$F$2001,MATCH(A272&amp;"ENTRADA",Movimientos!$R$5:$R$2001,0)),"-")</f>
        <v>-</v>
      </c>
      <c r="F272" s="3" t="str">
        <f>IFERROR(INDEX(Movimientos!$G$5:$G$2001,MATCH(A272&amp;"ENTRADA",Movimientos!$R$5:$R$2001,0)),"-")</f>
        <v>-</v>
      </c>
      <c r="G272" s="3" t="str">
        <f>IFERROR(INDEX(Movimientos!$L$5:$L$2001,MATCH(A272&amp;"ENTRADA",Movimientos!$R$5:$R$2001,0)),"-")</f>
        <v>-</v>
      </c>
      <c r="H272" s="19" t="str">
        <f>IFERROR(IF(INDEX(Movimientos!$M$5:$M$2001,MATCH(A272&amp;"ENTRADA",Movimientos!$R$5:$R$2001,0))=0,"S/D",INDEX(Movimientos!$M$5:$M$2001,MATCH(A272&amp;"ENTRADA",Movimientos!$R$5:$R$2001,0))),"S/D")</f>
        <v>S/D</v>
      </c>
      <c r="I272" s="16" t="str">
        <f t="shared" ca="1" si="10"/>
        <v>S/D</v>
      </c>
      <c r="J272" s="6">
        <f>IF(A272="","",SUMIFS(Movimientos!$K:$K,Movimientos!$H:$H,A272))</f>
        <v>0</v>
      </c>
      <c r="K272" s="14" t="str">
        <f t="shared" ca="1" si="11"/>
        <v>OK</v>
      </c>
    </row>
    <row r="273" spans="1:11">
      <c r="A273" s="18" t="s">
        <v>2334</v>
      </c>
      <c r="B273" s="3" t="str">
        <f>IFERROR(INDEX(Movimientos!$C$5:$C$2001,MATCH(A273&amp;"ENTRADA",Movimientos!$R$5:$R$2001,0)),"-")</f>
        <v>-</v>
      </c>
      <c r="C273" s="3" t="str">
        <f>IFERROR(INDEX(Movimientos!$D$5:$D$2001,MATCH(A273&amp;"ENTRADA",Movimientos!$R$5:$R$2001,0)),"-")</f>
        <v>-</v>
      </c>
      <c r="D273" s="3" t="str">
        <f>IFERROR(INDEX(Movimientos!$E$5:$E$2001,MATCH(A273&amp;"ENTRADA",Movimientos!$R$5:$R$2001,0)),"-")</f>
        <v>-</v>
      </c>
      <c r="E273" s="3" t="str">
        <f>IFERROR(INDEX(Movimientos!$F$5:$F$2001,MATCH(A273&amp;"ENTRADA",Movimientos!$R$5:$R$2001,0)),"-")</f>
        <v>-</v>
      </c>
      <c r="F273" s="3" t="str">
        <f>IFERROR(INDEX(Movimientos!$G$5:$G$2001,MATCH(A273&amp;"ENTRADA",Movimientos!$R$5:$R$2001,0)),"-")</f>
        <v>-</v>
      </c>
      <c r="G273" s="3" t="str">
        <f>IFERROR(INDEX(Movimientos!$L$5:$L$2001,MATCH(A273&amp;"ENTRADA",Movimientos!$R$5:$R$2001,0)),"-")</f>
        <v>-</v>
      </c>
      <c r="H273" s="19" t="str">
        <f>IFERROR(IF(INDEX(Movimientos!$M$5:$M$2001,MATCH(A273&amp;"ENTRADA",Movimientos!$R$5:$R$2001,0))=0,"S/D",INDEX(Movimientos!$M$5:$M$2001,MATCH(A273&amp;"ENTRADA",Movimientos!$R$5:$R$2001,0))),"S/D")</f>
        <v>S/D</v>
      </c>
      <c r="I273" s="16" t="str">
        <f t="shared" ca="1" si="10"/>
        <v>S/D</v>
      </c>
      <c r="J273" s="6">
        <f>IF(A273="","",SUMIFS(Movimientos!$K:$K,Movimientos!$H:$H,A273))</f>
        <v>0</v>
      </c>
      <c r="K273" s="14" t="str">
        <f t="shared" ca="1" si="11"/>
        <v>OK</v>
      </c>
    </row>
    <row r="274" spans="1:11">
      <c r="A274" s="18" t="s">
        <v>2335</v>
      </c>
      <c r="B274" s="3" t="str">
        <f>IFERROR(INDEX(Movimientos!$C$5:$C$2001,MATCH(A274&amp;"ENTRADA",Movimientos!$R$5:$R$2001,0)),"-")</f>
        <v>-</v>
      </c>
      <c r="C274" s="3" t="str">
        <f>IFERROR(INDEX(Movimientos!$D$5:$D$2001,MATCH(A274&amp;"ENTRADA",Movimientos!$R$5:$R$2001,0)),"-")</f>
        <v>-</v>
      </c>
      <c r="D274" s="3" t="str">
        <f>IFERROR(INDEX(Movimientos!$E$5:$E$2001,MATCH(A274&amp;"ENTRADA",Movimientos!$R$5:$R$2001,0)),"-")</f>
        <v>-</v>
      </c>
      <c r="E274" s="3" t="str">
        <f>IFERROR(INDEX(Movimientos!$F$5:$F$2001,MATCH(A274&amp;"ENTRADA",Movimientos!$R$5:$R$2001,0)),"-")</f>
        <v>-</v>
      </c>
      <c r="F274" s="3" t="str">
        <f>IFERROR(INDEX(Movimientos!$G$5:$G$2001,MATCH(A274&amp;"ENTRADA",Movimientos!$R$5:$R$2001,0)),"-")</f>
        <v>-</v>
      </c>
      <c r="G274" s="3" t="str">
        <f>IFERROR(INDEX(Movimientos!$L$5:$L$2001,MATCH(A274&amp;"ENTRADA",Movimientos!$R$5:$R$2001,0)),"-")</f>
        <v>-</v>
      </c>
      <c r="H274" s="19" t="str">
        <f>IFERROR(IF(INDEX(Movimientos!$M$5:$M$2001,MATCH(A274&amp;"ENTRADA",Movimientos!$R$5:$R$2001,0))=0,"S/D",INDEX(Movimientos!$M$5:$M$2001,MATCH(A274&amp;"ENTRADA",Movimientos!$R$5:$R$2001,0))),"S/D")</f>
        <v>S/D</v>
      </c>
      <c r="I274" s="16" t="str">
        <f t="shared" ca="1" si="10"/>
        <v>S/D</v>
      </c>
      <c r="J274" s="6">
        <f>IF(A274="","",SUMIFS(Movimientos!$K:$K,Movimientos!$H:$H,A274))</f>
        <v>0</v>
      </c>
      <c r="K274" s="14" t="str">
        <f t="shared" ca="1" si="11"/>
        <v>OK</v>
      </c>
    </row>
    <row r="275" spans="1:11">
      <c r="A275" s="18" t="s">
        <v>2336</v>
      </c>
      <c r="B275" s="3" t="str">
        <f>IFERROR(INDEX(Movimientos!$C$5:$C$2001,MATCH(A275&amp;"ENTRADA",Movimientos!$R$5:$R$2001,0)),"-")</f>
        <v>-</v>
      </c>
      <c r="C275" s="3" t="str">
        <f>IFERROR(INDEX(Movimientos!$D$5:$D$2001,MATCH(A275&amp;"ENTRADA",Movimientos!$R$5:$R$2001,0)),"-")</f>
        <v>-</v>
      </c>
      <c r="D275" s="3" t="str">
        <f>IFERROR(INDEX(Movimientos!$E$5:$E$2001,MATCH(A275&amp;"ENTRADA",Movimientos!$R$5:$R$2001,0)),"-")</f>
        <v>-</v>
      </c>
      <c r="E275" s="3" t="str">
        <f>IFERROR(INDEX(Movimientos!$F$5:$F$2001,MATCH(A275&amp;"ENTRADA",Movimientos!$R$5:$R$2001,0)),"-")</f>
        <v>-</v>
      </c>
      <c r="F275" s="3" t="str">
        <f>IFERROR(INDEX(Movimientos!$G$5:$G$2001,MATCH(A275&amp;"ENTRADA",Movimientos!$R$5:$R$2001,0)),"-")</f>
        <v>-</v>
      </c>
      <c r="G275" s="3" t="str">
        <f>IFERROR(INDEX(Movimientos!$L$5:$L$2001,MATCH(A275&amp;"ENTRADA",Movimientos!$R$5:$R$2001,0)),"-")</f>
        <v>-</v>
      </c>
      <c r="H275" s="19" t="str">
        <f>IFERROR(IF(INDEX(Movimientos!$M$5:$M$2001,MATCH(A275&amp;"ENTRADA",Movimientos!$R$5:$R$2001,0))=0,"S/D",INDEX(Movimientos!$M$5:$M$2001,MATCH(A275&amp;"ENTRADA",Movimientos!$R$5:$R$2001,0))),"S/D")</f>
        <v>S/D</v>
      </c>
      <c r="I275" s="16" t="str">
        <f t="shared" ca="1" si="10"/>
        <v>S/D</v>
      </c>
      <c r="J275" s="6">
        <f>IF(A275="","",SUMIFS(Movimientos!$K:$K,Movimientos!$H:$H,A275))</f>
        <v>0</v>
      </c>
      <c r="K275" s="14" t="str">
        <f t="shared" ca="1" si="11"/>
        <v>OK</v>
      </c>
    </row>
    <row r="276" spans="1:11">
      <c r="A276" s="18" t="s">
        <v>2337</v>
      </c>
      <c r="B276" s="3" t="str">
        <f>IFERROR(INDEX(Movimientos!$C$5:$C$2001,MATCH(A276&amp;"ENTRADA",Movimientos!$R$5:$R$2001,0)),"-")</f>
        <v>-</v>
      </c>
      <c r="C276" s="3" t="str">
        <f>IFERROR(INDEX(Movimientos!$D$5:$D$2001,MATCH(A276&amp;"ENTRADA",Movimientos!$R$5:$R$2001,0)),"-")</f>
        <v>-</v>
      </c>
      <c r="D276" s="3" t="str">
        <f>IFERROR(INDEX(Movimientos!$E$5:$E$2001,MATCH(A276&amp;"ENTRADA",Movimientos!$R$5:$R$2001,0)),"-")</f>
        <v>-</v>
      </c>
      <c r="E276" s="3" t="str">
        <f>IFERROR(INDEX(Movimientos!$F$5:$F$2001,MATCH(A276&amp;"ENTRADA",Movimientos!$R$5:$R$2001,0)),"-")</f>
        <v>-</v>
      </c>
      <c r="F276" s="3" t="str">
        <f>IFERROR(INDEX(Movimientos!$G$5:$G$2001,MATCH(A276&amp;"ENTRADA",Movimientos!$R$5:$R$2001,0)),"-")</f>
        <v>-</v>
      </c>
      <c r="G276" s="3" t="str">
        <f>IFERROR(INDEX(Movimientos!$L$5:$L$2001,MATCH(A276&amp;"ENTRADA",Movimientos!$R$5:$R$2001,0)),"-")</f>
        <v>-</v>
      </c>
      <c r="H276" s="19" t="str">
        <f>IFERROR(IF(INDEX(Movimientos!$M$5:$M$2001,MATCH(A276&amp;"ENTRADA",Movimientos!$R$5:$R$2001,0))=0,"S/D",INDEX(Movimientos!$M$5:$M$2001,MATCH(A276&amp;"ENTRADA",Movimientos!$R$5:$R$2001,0))),"S/D")</f>
        <v>S/D</v>
      </c>
      <c r="I276" s="16" t="str">
        <f t="shared" ca="1" si="10"/>
        <v>S/D</v>
      </c>
      <c r="J276" s="6">
        <f>IF(A276="","",SUMIFS(Movimientos!$K:$K,Movimientos!$H:$H,A276))</f>
        <v>0</v>
      </c>
      <c r="K276" s="14" t="str">
        <f t="shared" ca="1" si="11"/>
        <v>OK</v>
      </c>
    </row>
    <row r="277" spans="1:11">
      <c r="A277" s="18" t="s">
        <v>2338</v>
      </c>
      <c r="B277" s="3" t="str">
        <f>IFERROR(INDEX(Movimientos!$C$5:$C$2001,MATCH(A277&amp;"ENTRADA",Movimientos!$R$5:$R$2001,0)),"-")</f>
        <v>-</v>
      </c>
      <c r="C277" s="3" t="str">
        <f>IFERROR(INDEX(Movimientos!$D$5:$D$2001,MATCH(A277&amp;"ENTRADA",Movimientos!$R$5:$R$2001,0)),"-")</f>
        <v>-</v>
      </c>
      <c r="D277" s="3" t="str">
        <f>IFERROR(INDEX(Movimientos!$E$5:$E$2001,MATCH(A277&amp;"ENTRADA",Movimientos!$R$5:$R$2001,0)),"-")</f>
        <v>-</v>
      </c>
      <c r="E277" s="3" t="str">
        <f>IFERROR(INDEX(Movimientos!$F$5:$F$2001,MATCH(A277&amp;"ENTRADA",Movimientos!$R$5:$R$2001,0)),"-")</f>
        <v>-</v>
      </c>
      <c r="F277" s="3" t="str">
        <f>IFERROR(INDEX(Movimientos!$G$5:$G$2001,MATCH(A277&amp;"ENTRADA",Movimientos!$R$5:$R$2001,0)),"-")</f>
        <v>-</v>
      </c>
      <c r="G277" s="3" t="str">
        <f>IFERROR(INDEX(Movimientos!$L$5:$L$2001,MATCH(A277&amp;"ENTRADA",Movimientos!$R$5:$R$2001,0)),"-")</f>
        <v>-</v>
      </c>
      <c r="H277" s="19" t="str">
        <f>IFERROR(IF(INDEX(Movimientos!$M$5:$M$2001,MATCH(A277&amp;"ENTRADA",Movimientos!$R$5:$R$2001,0))=0,"S/D",INDEX(Movimientos!$M$5:$M$2001,MATCH(A277&amp;"ENTRADA",Movimientos!$R$5:$R$2001,0))),"S/D")</f>
        <v>S/D</v>
      </c>
      <c r="I277" s="16" t="str">
        <f t="shared" ca="1" si="10"/>
        <v>S/D</v>
      </c>
      <c r="J277" s="6">
        <f>IF(A277="","",SUMIFS(Movimientos!$K:$K,Movimientos!$H:$H,A277))</f>
        <v>0</v>
      </c>
      <c r="K277" s="14" t="str">
        <f t="shared" ca="1" si="11"/>
        <v>OK</v>
      </c>
    </row>
    <row r="278" spans="1:11">
      <c r="A278" s="18" t="s">
        <v>2339</v>
      </c>
      <c r="B278" s="3" t="str">
        <f>IFERROR(INDEX(Movimientos!$C$5:$C$2001,MATCH(A278&amp;"ENTRADA",Movimientos!$R$5:$R$2001,0)),"-")</f>
        <v>-</v>
      </c>
      <c r="C278" s="3" t="str">
        <f>IFERROR(INDEX(Movimientos!$D$5:$D$2001,MATCH(A278&amp;"ENTRADA",Movimientos!$R$5:$R$2001,0)),"-")</f>
        <v>-</v>
      </c>
      <c r="D278" s="3" t="str">
        <f>IFERROR(INDEX(Movimientos!$E$5:$E$2001,MATCH(A278&amp;"ENTRADA",Movimientos!$R$5:$R$2001,0)),"-")</f>
        <v>-</v>
      </c>
      <c r="E278" s="3" t="str">
        <f>IFERROR(INDEX(Movimientos!$F$5:$F$2001,MATCH(A278&amp;"ENTRADA",Movimientos!$R$5:$R$2001,0)),"-")</f>
        <v>-</v>
      </c>
      <c r="F278" s="3" t="str">
        <f>IFERROR(INDEX(Movimientos!$G$5:$G$2001,MATCH(A278&amp;"ENTRADA",Movimientos!$R$5:$R$2001,0)),"-")</f>
        <v>-</v>
      </c>
      <c r="G278" s="3" t="str">
        <f>IFERROR(INDEX(Movimientos!$L$5:$L$2001,MATCH(A278&amp;"ENTRADA",Movimientos!$R$5:$R$2001,0)),"-")</f>
        <v>-</v>
      </c>
      <c r="H278" s="19" t="str">
        <f>IFERROR(IF(INDEX(Movimientos!$M$5:$M$2001,MATCH(A278&amp;"ENTRADA",Movimientos!$R$5:$R$2001,0))=0,"S/D",INDEX(Movimientos!$M$5:$M$2001,MATCH(A278&amp;"ENTRADA",Movimientos!$R$5:$R$2001,0))),"S/D")</f>
        <v>S/D</v>
      </c>
      <c r="I278" s="16" t="str">
        <f t="shared" ca="1" si="10"/>
        <v>S/D</v>
      </c>
      <c r="J278" s="6">
        <f>IF(A278="","",SUMIFS(Movimientos!$K:$K,Movimientos!$H:$H,A278))</f>
        <v>0</v>
      </c>
      <c r="K278" s="14" t="str">
        <f t="shared" ca="1" si="11"/>
        <v>OK</v>
      </c>
    </row>
    <row r="279" spans="1:11">
      <c r="A279" s="18" t="s">
        <v>2340</v>
      </c>
      <c r="B279" s="3" t="str">
        <f>IFERROR(INDEX(Movimientos!$C$5:$C$2001,MATCH(A279&amp;"ENTRADA",Movimientos!$R$5:$R$2001,0)),"-")</f>
        <v>-</v>
      </c>
      <c r="C279" s="3" t="str">
        <f>IFERROR(INDEX(Movimientos!$D$5:$D$2001,MATCH(A279&amp;"ENTRADA",Movimientos!$R$5:$R$2001,0)),"-")</f>
        <v>-</v>
      </c>
      <c r="D279" s="3" t="str">
        <f>IFERROR(INDEX(Movimientos!$E$5:$E$2001,MATCH(A279&amp;"ENTRADA",Movimientos!$R$5:$R$2001,0)),"-")</f>
        <v>-</v>
      </c>
      <c r="E279" s="3" t="str">
        <f>IFERROR(INDEX(Movimientos!$F$5:$F$2001,MATCH(A279&amp;"ENTRADA",Movimientos!$R$5:$R$2001,0)),"-")</f>
        <v>-</v>
      </c>
      <c r="F279" s="3" t="str">
        <f>IFERROR(INDEX(Movimientos!$G$5:$G$2001,MATCH(A279&amp;"ENTRADA",Movimientos!$R$5:$R$2001,0)),"-")</f>
        <v>-</v>
      </c>
      <c r="G279" s="3" t="str">
        <f>IFERROR(INDEX(Movimientos!$L$5:$L$2001,MATCH(A279&amp;"ENTRADA",Movimientos!$R$5:$R$2001,0)),"-")</f>
        <v>-</v>
      </c>
      <c r="H279" s="19" t="str">
        <f>IFERROR(IF(INDEX(Movimientos!$M$5:$M$2001,MATCH(A279&amp;"ENTRADA",Movimientos!$R$5:$R$2001,0))=0,"S/D",INDEX(Movimientos!$M$5:$M$2001,MATCH(A279&amp;"ENTRADA",Movimientos!$R$5:$R$2001,0))),"S/D")</f>
        <v>S/D</v>
      </c>
      <c r="I279" s="16" t="str">
        <f t="shared" ca="1" si="10"/>
        <v>S/D</v>
      </c>
      <c r="J279" s="6">
        <f>IF(A279="","",SUMIFS(Movimientos!$K:$K,Movimientos!$H:$H,A279))</f>
        <v>0</v>
      </c>
      <c r="K279" s="14" t="str">
        <f t="shared" ca="1" si="11"/>
        <v>OK</v>
      </c>
    </row>
    <row r="280" spans="1:11">
      <c r="A280" s="18" t="s">
        <v>2341</v>
      </c>
      <c r="B280" s="3" t="str">
        <f>IFERROR(INDEX(Movimientos!$C$5:$C$2001,MATCH(A280&amp;"ENTRADA",Movimientos!$R$5:$R$2001,0)),"-")</f>
        <v>-</v>
      </c>
      <c r="C280" s="3" t="str">
        <f>IFERROR(INDEX(Movimientos!$D$5:$D$2001,MATCH(A280&amp;"ENTRADA",Movimientos!$R$5:$R$2001,0)),"-")</f>
        <v>-</v>
      </c>
      <c r="D280" s="3" t="str">
        <f>IFERROR(INDEX(Movimientos!$E$5:$E$2001,MATCH(A280&amp;"ENTRADA",Movimientos!$R$5:$R$2001,0)),"-")</f>
        <v>-</v>
      </c>
      <c r="E280" s="3" t="str">
        <f>IFERROR(INDEX(Movimientos!$F$5:$F$2001,MATCH(A280&amp;"ENTRADA",Movimientos!$R$5:$R$2001,0)),"-")</f>
        <v>-</v>
      </c>
      <c r="F280" s="3" t="str">
        <f>IFERROR(INDEX(Movimientos!$G$5:$G$2001,MATCH(A280&amp;"ENTRADA",Movimientos!$R$5:$R$2001,0)),"-")</f>
        <v>-</v>
      </c>
      <c r="G280" s="3" t="str">
        <f>IFERROR(INDEX(Movimientos!$L$5:$L$2001,MATCH(A280&amp;"ENTRADA",Movimientos!$R$5:$R$2001,0)),"-")</f>
        <v>-</v>
      </c>
      <c r="H280" s="19" t="str">
        <f>IFERROR(IF(INDEX(Movimientos!$M$5:$M$2001,MATCH(A280&amp;"ENTRADA",Movimientos!$R$5:$R$2001,0))=0,"S/D",INDEX(Movimientos!$M$5:$M$2001,MATCH(A280&amp;"ENTRADA",Movimientos!$R$5:$R$2001,0))),"S/D")</f>
        <v>S/D</v>
      </c>
      <c r="I280" s="16" t="str">
        <f t="shared" ca="1" si="10"/>
        <v>S/D</v>
      </c>
      <c r="J280" s="6">
        <f>IF(A280="","",SUMIFS(Movimientos!$K:$K,Movimientos!$H:$H,A280))</f>
        <v>0</v>
      </c>
      <c r="K280" s="14" t="str">
        <f t="shared" ca="1" si="11"/>
        <v>OK</v>
      </c>
    </row>
    <row r="281" spans="1:11">
      <c r="A281" s="18" t="s">
        <v>2342</v>
      </c>
      <c r="B281" s="3" t="str">
        <f>IFERROR(INDEX(Movimientos!$C$5:$C$2001,MATCH(A281&amp;"ENTRADA",Movimientos!$R$5:$R$2001,0)),"-")</f>
        <v>-</v>
      </c>
      <c r="C281" s="3" t="str">
        <f>IFERROR(INDEX(Movimientos!$D$5:$D$2001,MATCH(A281&amp;"ENTRADA",Movimientos!$R$5:$R$2001,0)),"-")</f>
        <v>-</v>
      </c>
      <c r="D281" s="3" t="str">
        <f>IFERROR(INDEX(Movimientos!$E$5:$E$2001,MATCH(A281&amp;"ENTRADA",Movimientos!$R$5:$R$2001,0)),"-")</f>
        <v>-</v>
      </c>
      <c r="E281" s="3" t="str">
        <f>IFERROR(INDEX(Movimientos!$F$5:$F$2001,MATCH(A281&amp;"ENTRADA",Movimientos!$R$5:$R$2001,0)),"-")</f>
        <v>-</v>
      </c>
      <c r="F281" s="3" t="str">
        <f>IFERROR(INDEX(Movimientos!$G$5:$G$2001,MATCH(A281&amp;"ENTRADA",Movimientos!$R$5:$R$2001,0)),"-")</f>
        <v>-</v>
      </c>
      <c r="G281" s="3" t="str">
        <f>IFERROR(INDEX(Movimientos!$L$5:$L$2001,MATCH(A281&amp;"ENTRADA",Movimientos!$R$5:$R$2001,0)),"-")</f>
        <v>-</v>
      </c>
      <c r="H281" s="19" t="str">
        <f>IFERROR(IF(INDEX(Movimientos!$M$5:$M$2001,MATCH(A281&amp;"ENTRADA",Movimientos!$R$5:$R$2001,0))=0,"S/D",INDEX(Movimientos!$M$5:$M$2001,MATCH(A281&amp;"ENTRADA",Movimientos!$R$5:$R$2001,0))),"S/D")</f>
        <v>S/D</v>
      </c>
      <c r="I281" s="16" t="str">
        <f t="shared" ca="1" si="10"/>
        <v>S/D</v>
      </c>
      <c r="J281" s="6">
        <f>IF(A281="","",SUMIFS(Movimientos!$K:$K,Movimientos!$H:$H,A281))</f>
        <v>0</v>
      </c>
      <c r="K281" s="14" t="str">
        <f t="shared" ca="1" si="11"/>
        <v>OK</v>
      </c>
    </row>
    <row r="282" spans="1:11">
      <c r="A282" s="18" t="s">
        <v>2343</v>
      </c>
      <c r="B282" s="3" t="str">
        <f>IFERROR(INDEX(Movimientos!$C$5:$C$2001,MATCH(A282&amp;"ENTRADA",Movimientos!$R$5:$R$2001,0)),"-")</f>
        <v>-</v>
      </c>
      <c r="C282" s="3" t="str">
        <f>IFERROR(INDEX(Movimientos!$D$5:$D$2001,MATCH(A282&amp;"ENTRADA",Movimientos!$R$5:$R$2001,0)),"-")</f>
        <v>-</v>
      </c>
      <c r="D282" s="3" t="str">
        <f>IFERROR(INDEX(Movimientos!$E$5:$E$2001,MATCH(A282&amp;"ENTRADA",Movimientos!$R$5:$R$2001,0)),"-")</f>
        <v>-</v>
      </c>
      <c r="E282" s="3" t="str">
        <f>IFERROR(INDEX(Movimientos!$F$5:$F$2001,MATCH(A282&amp;"ENTRADA",Movimientos!$R$5:$R$2001,0)),"-")</f>
        <v>-</v>
      </c>
      <c r="F282" s="3" t="str">
        <f>IFERROR(INDEX(Movimientos!$G$5:$G$2001,MATCH(A282&amp;"ENTRADA",Movimientos!$R$5:$R$2001,0)),"-")</f>
        <v>-</v>
      </c>
      <c r="G282" s="3" t="str">
        <f>IFERROR(INDEX(Movimientos!$L$5:$L$2001,MATCH(A282&amp;"ENTRADA",Movimientos!$R$5:$R$2001,0)),"-")</f>
        <v>-</v>
      </c>
      <c r="H282" s="19" t="str">
        <f>IFERROR(IF(INDEX(Movimientos!$M$5:$M$2001,MATCH(A282&amp;"ENTRADA",Movimientos!$R$5:$R$2001,0))=0,"S/D",INDEX(Movimientos!$M$5:$M$2001,MATCH(A282&amp;"ENTRADA",Movimientos!$R$5:$R$2001,0))),"S/D")</f>
        <v>S/D</v>
      </c>
      <c r="I282" s="16" t="str">
        <f t="shared" ca="1" si="10"/>
        <v>S/D</v>
      </c>
      <c r="J282" s="6">
        <f>IF(A282="","",SUMIFS(Movimientos!$K:$K,Movimientos!$H:$H,A282))</f>
        <v>0</v>
      </c>
      <c r="K282" s="14" t="str">
        <f t="shared" ca="1" si="11"/>
        <v>OK</v>
      </c>
    </row>
    <row r="283" spans="1:11">
      <c r="A283" s="18" t="s">
        <v>2344</v>
      </c>
      <c r="B283" s="3" t="str">
        <f>IFERROR(INDEX(Movimientos!$C$5:$C$2001,MATCH(A283&amp;"ENTRADA",Movimientos!$R$5:$R$2001,0)),"-")</f>
        <v>-</v>
      </c>
      <c r="C283" s="3" t="str">
        <f>IFERROR(INDEX(Movimientos!$D$5:$D$2001,MATCH(A283&amp;"ENTRADA",Movimientos!$R$5:$R$2001,0)),"-")</f>
        <v>-</v>
      </c>
      <c r="D283" s="3" t="str">
        <f>IFERROR(INDEX(Movimientos!$E$5:$E$2001,MATCH(A283&amp;"ENTRADA",Movimientos!$R$5:$R$2001,0)),"-")</f>
        <v>-</v>
      </c>
      <c r="E283" s="3" t="str">
        <f>IFERROR(INDEX(Movimientos!$F$5:$F$2001,MATCH(A283&amp;"ENTRADA",Movimientos!$R$5:$R$2001,0)),"-")</f>
        <v>-</v>
      </c>
      <c r="F283" s="3" t="str">
        <f>IFERROR(INDEX(Movimientos!$G$5:$G$2001,MATCH(A283&amp;"ENTRADA",Movimientos!$R$5:$R$2001,0)),"-")</f>
        <v>-</v>
      </c>
      <c r="G283" s="3" t="str">
        <f>IFERROR(INDEX(Movimientos!$L$5:$L$2001,MATCH(A283&amp;"ENTRADA",Movimientos!$R$5:$R$2001,0)),"-")</f>
        <v>-</v>
      </c>
      <c r="H283" s="19" t="str">
        <f>IFERROR(IF(INDEX(Movimientos!$M$5:$M$2001,MATCH(A283&amp;"ENTRADA",Movimientos!$R$5:$R$2001,0))=0,"S/D",INDEX(Movimientos!$M$5:$M$2001,MATCH(A283&amp;"ENTRADA",Movimientos!$R$5:$R$2001,0))),"S/D")</f>
        <v>S/D</v>
      </c>
      <c r="I283" s="16" t="str">
        <f t="shared" ca="1" si="10"/>
        <v>S/D</v>
      </c>
      <c r="J283" s="6">
        <f>IF(A283="","",SUMIFS(Movimientos!$K:$K,Movimientos!$H:$H,A283))</f>
        <v>0</v>
      </c>
      <c r="K283" s="14" t="str">
        <f t="shared" ca="1" si="11"/>
        <v>OK</v>
      </c>
    </row>
    <row r="284" spans="1:11">
      <c r="A284" s="18" t="s">
        <v>2345</v>
      </c>
      <c r="B284" s="3" t="str">
        <f>IFERROR(INDEX(Movimientos!$C$5:$C$2001,MATCH(A284&amp;"ENTRADA",Movimientos!$R$5:$R$2001,0)),"-")</f>
        <v>-</v>
      </c>
      <c r="C284" s="3" t="str">
        <f>IFERROR(INDEX(Movimientos!$D$5:$D$2001,MATCH(A284&amp;"ENTRADA",Movimientos!$R$5:$R$2001,0)),"-")</f>
        <v>-</v>
      </c>
      <c r="D284" s="3" t="str">
        <f>IFERROR(INDEX(Movimientos!$E$5:$E$2001,MATCH(A284&amp;"ENTRADA",Movimientos!$R$5:$R$2001,0)),"-")</f>
        <v>-</v>
      </c>
      <c r="E284" s="3" t="str">
        <f>IFERROR(INDEX(Movimientos!$F$5:$F$2001,MATCH(A284&amp;"ENTRADA",Movimientos!$R$5:$R$2001,0)),"-")</f>
        <v>-</v>
      </c>
      <c r="F284" s="3" t="str">
        <f>IFERROR(INDEX(Movimientos!$G$5:$G$2001,MATCH(A284&amp;"ENTRADA",Movimientos!$R$5:$R$2001,0)),"-")</f>
        <v>-</v>
      </c>
      <c r="G284" s="3" t="str">
        <f>IFERROR(INDEX(Movimientos!$L$5:$L$2001,MATCH(A284&amp;"ENTRADA",Movimientos!$R$5:$R$2001,0)),"-")</f>
        <v>-</v>
      </c>
      <c r="H284" s="19" t="str">
        <f>IFERROR(IF(INDEX(Movimientos!$M$5:$M$2001,MATCH(A284&amp;"ENTRADA",Movimientos!$R$5:$R$2001,0))=0,"S/D",INDEX(Movimientos!$M$5:$M$2001,MATCH(A284&amp;"ENTRADA",Movimientos!$R$5:$R$2001,0))),"S/D")</f>
        <v>S/D</v>
      </c>
      <c r="I284" s="16" t="str">
        <f t="shared" ca="1" si="10"/>
        <v>S/D</v>
      </c>
      <c r="J284" s="6">
        <f>IF(A284="","",SUMIFS(Movimientos!$K:$K,Movimientos!$H:$H,A284))</f>
        <v>0</v>
      </c>
      <c r="K284" s="14" t="str">
        <f t="shared" ca="1" si="11"/>
        <v>OK</v>
      </c>
    </row>
    <row r="285" spans="1:11">
      <c r="A285" s="18" t="s">
        <v>2346</v>
      </c>
      <c r="B285" s="3" t="str">
        <f>IFERROR(INDEX(Movimientos!$C$5:$C$2001,MATCH(A285&amp;"ENTRADA",Movimientos!$R$5:$R$2001,0)),"-")</f>
        <v>-</v>
      </c>
      <c r="C285" s="3" t="str">
        <f>IFERROR(INDEX(Movimientos!$D$5:$D$2001,MATCH(A285&amp;"ENTRADA",Movimientos!$R$5:$R$2001,0)),"-")</f>
        <v>-</v>
      </c>
      <c r="D285" s="3" t="str">
        <f>IFERROR(INDEX(Movimientos!$E$5:$E$2001,MATCH(A285&amp;"ENTRADA",Movimientos!$R$5:$R$2001,0)),"-")</f>
        <v>-</v>
      </c>
      <c r="E285" s="3" t="str">
        <f>IFERROR(INDEX(Movimientos!$F$5:$F$2001,MATCH(A285&amp;"ENTRADA",Movimientos!$R$5:$R$2001,0)),"-")</f>
        <v>-</v>
      </c>
      <c r="F285" s="3" t="str">
        <f>IFERROR(INDEX(Movimientos!$G$5:$G$2001,MATCH(A285&amp;"ENTRADA",Movimientos!$R$5:$R$2001,0)),"-")</f>
        <v>-</v>
      </c>
      <c r="G285" s="3" t="str">
        <f>IFERROR(INDEX(Movimientos!$L$5:$L$2001,MATCH(A285&amp;"ENTRADA",Movimientos!$R$5:$R$2001,0)),"-")</f>
        <v>-</v>
      </c>
      <c r="H285" s="19" t="str">
        <f>IFERROR(IF(INDEX(Movimientos!$M$5:$M$2001,MATCH(A285&amp;"ENTRADA",Movimientos!$R$5:$R$2001,0))=0,"S/D",INDEX(Movimientos!$M$5:$M$2001,MATCH(A285&amp;"ENTRADA",Movimientos!$R$5:$R$2001,0))),"S/D")</f>
        <v>S/D</v>
      </c>
      <c r="I285" s="16" t="str">
        <f t="shared" ca="1" si="10"/>
        <v>S/D</v>
      </c>
      <c r="J285" s="6">
        <f>IF(A285="","",SUMIFS(Movimientos!$K:$K,Movimientos!$H:$H,A285))</f>
        <v>0</v>
      </c>
      <c r="K285" s="14" t="str">
        <f t="shared" ca="1" si="11"/>
        <v>OK</v>
      </c>
    </row>
    <row r="286" spans="1:11">
      <c r="A286" s="18" t="s">
        <v>2347</v>
      </c>
      <c r="B286" s="3" t="str">
        <f>IFERROR(INDEX(Movimientos!$C$5:$C$2001,MATCH(A286&amp;"ENTRADA",Movimientos!$R$5:$R$2001,0)),"-")</f>
        <v>-</v>
      </c>
      <c r="C286" s="3" t="str">
        <f>IFERROR(INDEX(Movimientos!$D$5:$D$2001,MATCH(A286&amp;"ENTRADA",Movimientos!$R$5:$R$2001,0)),"-")</f>
        <v>-</v>
      </c>
      <c r="D286" s="3" t="str">
        <f>IFERROR(INDEX(Movimientos!$E$5:$E$2001,MATCH(A286&amp;"ENTRADA",Movimientos!$R$5:$R$2001,0)),"-")</f>
        <v>-</v>
      </c>
      <c r="E286" s="3" t="str">
        <f>IFERROR(INDEX(Movimientos!$F$5:$F$2001,MATCH(A286&amp;"ENTRADA",Movimientos!$R$5:$R$2001,0)),"-")</f>
        <v>-</v>
      </c>
      <c r="F286" s="3" t="str">
        <f>IFERROR(INDEX(Movimientos!$G$5:$G$2001,MATCH(A286&amp;"ENTRADA",Movimientos!$R$5:$R$2001,0)),"-")</f>
        <v>-</v>
      </c>
      <c r="G286" s="3" t="str">
        <f>IFERROR(INDEX(Movimientos!$L$5:$L$2001,MATCH(A286&amp;"ENTRADA",Movimientos!$R$5:$R$2001,0)),"-")</f>
        <v>-</v>
      </c>
      <c r="H286" s="19" t="str">
        <f>IFERROR(IF(INDEX(Movimientos!$M$5:$M$2001,MATCH(A286&amp;"ENTRADA",Movimientos!$R$5:$R$2001,0))=0,"S/D",INDEX(Movimientos!$M$5:$M$2001,MATCH(A286&amp;"ENTRADA",Movimientos!$R$5:$R$2001,0))),"S/D")</f>
        <v>S/D</v>
      </c>
      <c r="I286" s="16" t="str">
        <f t="shared" ca="1" si="10"/>
        <v>S/D</v>
      </c>
      <c r="J286" s="6">
        <f>IF(A286="","",SUMIFS(Movimientos!$K:$K,Movimientos!$H:$H,A286))</f>
        <v>0</v>
      </c>
      <c r="K286" s="14" t="str">
        <f t="shared" ca="1" si="11"/>
        <v>OK</v>
      </c>
    </row>
    <row r="287" spans="1:11">
      <c r="A287" s="18" t="s">
        <v>2348</v>
      </c>
      <c r="B287" s="3" t="str">
        <f>IFERROR(INDEX(Movimientos!$C$5:$C$2001,MATCH(A287&amp;"ENTRADA",Movimientos!$R$5:$R$2001,0)),"-")</f>
        <v>-</v>
      </c>
      <c r="C287" s="3" t="str">
        <f>IFERROR(INDEX(Movimientos!$D$5:$D$2001,MATCH(A287&amp;"ENTRADA",Movimientos!$R$5:$R$2001,0)),"-")</f>
        <v>-</v>
      </c>
      <c r="D287" s="3" t="str">
        <f>IFERROR(INDEX(Movimientos!$E$5:$E$2001,MATCH(A287&amp;"ENTRADA",Movimientos!$R$5:$R$2001,0)),"-")</f>
        <v>-</v>
      </c>
      <c r="E287" s="3" t="str">
        <f>IFERROR(INDEX(Movimientos!$F$5:$F$2001,MATCH(A287&amp;"ENTRADA",Movimientos!$R$5:$R$2001,0)),"-")</f>
        <v>-</v>
      </c>
      <c r="F287" s="3" t="str">
        <f>IFERROR(INDEX(Movimientos!$G$5:$G$2001,MATCH(A287&amp;"ENTRADA",Movimientos!$R$5:$R$2001,0)),"-")</f>
        <v>-</v>
      </c>
      <c r="G287" s="3" t="str">
        <f>IFERROR(INDEX(Movimientos!$L$5:$L$2001,MATCH(A287&amp;"ENTRADA",Movimientos!$R$5:$R$2001,0)),"-")</f>
        <v>-</v>
      </c>
      <c r="H287" s="19" t="str">
        <f>IFERROR(IF(INDEX(Movimientos!$M$5:$M$2001,MATCH(A287&amp;"ENTRADA",Movimientos!$R$5:$R$2001,0))=0,"S/D",INDEX(Movimientos!$M$5:$M$2001,MATCH(A287&amp;"ENTRADA",Movimientos!$R$5:$R$2001,0))),"S/D")</f>
        <v>S/D</v>
      </c>
      <c r="I287" s="16" t="str">
        <f t="shared" ca="1" si="10"/>
        <v>S/D</v>
      </c>
      <c r="J287" s="6">
        <f>IF(A287="","",SUMIFS(Movimientos!$K:$K,Movimientos!$H:$H,A287))</f>
        <v>0</v>
      </c>
      <c r="K287" s="14" t="str">
        <f t="shared" ca="1" si="11"/>
        <v>OK</v>
      </c>
    </row>
    <row r="288" spans="1:11">
      <c r="A288" s="18" t="s">
        <v>2349</v>
      </c>
      <c r="B288" s="3" t="str">
        <f>IFERROR(INDEX(Movimientos!$C$5:$C$2001,MATCH(A288&amp;"ENTRADA",Movimientos!$R$5:$R$2001,0)),"-")</f>
        <v>-</v>
      </c>
      <c r="C288" s="3" t="str">
        <f>IFERROR(INDEX(Movimientos!$D$5:$D$2001,MATCH(A288&amp;"ENTRADA",Movimientos!$R$5:$R$2001,0)),"-")</f>
        <v>-</v>
      </c>
      <c r="D288" s="3" t="str">
        <f>IFERROR(INDEX(Movimientos!$E$5:$E$2001,MATCH(A288&amp;"ENTRADA",Movimientos!$R$5:$R$2001,0)),"-")</f>
        <v>-</v>
      </c>
      <c r="E288" s="3" t="str">
        <f>IFERROR(INDEX(Movimientos!$F$5:$F$2001,MATCH(A288&amp;"ENTRADA",Movimientos!$R$5:$R$2001,0)),"-")</f>
        <v>-</v>
      </c>
      <c r="F288" s="3" t="str">
        <f>IFERROR(INDEX(Movimientos!$G$5:$G$2001,MATCH(A288&amp;"ENTRADA",Movimientos!$R$5:$R$2001,0)),"-")</f>
        <v>-</v>
      </c>
      <c r="G288" s="3" t="str">
        <f>IFERROR(INDEX(Movimientos!$L$5:$L$2001,MATCH(A288&amp;"ENTRADA",Movimientos!$R$5:$R$2001,0)),"-")</f>
        <v>-</v>
      </c>
      <c r="H288" s="19" t="str">
        <f>IFERROR(IF(INDEX(Movimientos!$M$5:$M$2001,MATCH(A288&amp;"ENTRADA",Movimientos!$R$5:$R$2001,0))=0,"S/D",INDEX(Movimientos!$M$5:$M$2001,MATCH(A288&amp;"ENTRADA",Movimientos!$R$5:$R$2001,0))),"S/D")</f>
        <v>S/D</v>
      </c>
      <c r="I288" s="16" t="str">
        <f t="shared" ca="1" si="10"/>
        <v>S/D</v>
      </c>
      <c r="J288" s="6">
        <f>IF(A288="","",SUMIFS(Movimientos!$K:$K,Movimientos!$H:$H,A288))</f>
        <v>0</v>
      </c>
      <c r="K288" s="14" t="str">
        <f t="shared" ca="1" si="11"/>
        <v>OK</v>
      </c>
    </row>
    <row r="289" spans="1:11">
      <c r="A289" s="18" t="s">
        <v>2350</v>
      </c>
      <c r="B289" s="3" t="str">
        <f>IFERROR(INDEX(Movimientos!$C$5:$C$2001,MATCH(A289&amp;"ENTRADA",Movimientos!$R$5:$R$2001,0)),"-")</f>
        <v>-</v>
      </c>
      <c r="C289" s="3" t="str">
        <f>IFERROR(INDEX(Movimientos!$D$5:$D$2001,MATCH(A289&amp;"ENTRADA",Movimientos!$R$5:$R$2001,0)),"-")</f>
        <v>-</v>
      </c>
      <c r="D289" s="3" t="str">
        <f>IFERROR(INDEX(Movimientos!$E$5:$E$2001,MATCH(A289&amp;"ENTRADA",Movimientos!$R$5:$R$2001,0)),"-")</f>
        <v>-</v>
      </c>
      <c r="E289" s="3" t="str">
        <f>IFERROR(INDEX(Movimientos!$F$5:$F$2001,MATCH(A289&amp;"ENTRADA",Movimientos!$R$5:$R$2001,0)),"-")</f>
        <v>-</v>
      </c>
      <c r="F289" s="3" t="str">
        <f>IFERROR(INDEX(Movimientos!$G$5:$G$2001,MATCH(A289&amp;"ENTRADA",Movimientos!$R$5:$R$2001,0)),"-")</f>
        <v>-</v>
      </c>
      <c r="G289" s="3" t="str">
        <f>IFERROR(INDEX(Movimientos!$L$5:$L$2001,MATCH(A289&amp;"ENTRADA",Movimientos!$R$5:$R$2001,0)),"-")</f>
        <v>-</v>
      </c>
      <c r="H289" s="19" t="str">
        <f>IFERROR(IF(INDEX(Movimientos!$M$5:$M$2001,MATCH(A289&amp;"ENTRADA",Movimientos!$R$5:$R$2001,0))=0,"S/D",INDEX(Movimientos!$M$5:$M$2001,MATCH(A289&amp;"ENTRADA",Movimientos!$R$5:$R$2001,0))),"S/D")</f>
        <v>S/D</v>
      </c>
      <c r="I289" s="16" t="str">
        <f t="shared" ca="1" si="10"/>
        <v>S/D</v>
      </c>
      <c r="J289" s="6">
        <f>IF(A289="","",SUMIFS(Movimientos!$K:$K,Movimientos!$H:$H,A289))</f>
        <v>0</v>
      </c>
      <c r="K289" s="14" t="str">
        <f t="shared" ca="1" si="11"/>
        <v>OK</v>
      </c>
    </row>
    <row r="290" spans="1:11">
      <c r="A290" s="18" t="s">
        <v>2351</v>
      </c>
      <c r="B290" s="3" t="str">
        <f>IFERROR(INDEX(Movimientos!$C$5:$C$2001,MATCH(A290&amp;"ENTRADA",Movimientos!$R$5:$R$2001,0)),"-")</f>
        <v>-</v>
      </c>
      <c r="C290" s="3" t="str">
        <f>IFERROR(INDEX(Movimientos!$D$5:$D$2001,MATCH(A290&amp;"ENTRADA",Movimientos!$R$5:$R$2001,0)),"-")</f>
        <v>-</v>
      </c>
      <c r="D290" s="3" t="str">
        <f>IFERROR(INDEX(Movimientos!$E$5:$E$2001,MATCH(A290&amp;"ENTRADA",Movimientos!$R$5:$R$2001,0)),"-")</f>
        <v>-</v>
      </c>
      <c r="E290" s="3" t="str">
        <f>IFERROR(INDEX(Movimientos!$F$5:$F$2001,MATCH(A290&amp;"ENTRADA",Movimientos!$R$5:$R$2001,0)),"-")</f>
        <v>-</v>
      </c>
      <c r="F290" s="3" t="str">
        <f>IFERROR(INDEX(Movimientos!$G$5:$G$2001,MATCH(A290&amp;"ENTRADA",Movimientos!$R$5:$R$2001,0)),"-")</f>
        <v>-</v>
      </c>
      <c r="G290" s="3" t="str">
        <f>IFERROR(INDEX(Movimientos!$L$5:$L$2001,MATCH(A290&amp;"ENTRADA",Movimientos!$R$5:$R$2001,0)),"-")</f>
        <v>-</v>
      </c>
      <c r="H290" s="19" t="str">
        <f>IFERROR(IF(INDEX(Movimientos!$M$5:$M$2001,MATCH(A290&amp;"ENTRADA",Movimientos!$R$5:$R$2001,0))=0,"S/D",INDEX(Movimientos!$M$5:$M$2001,MATCH(A290&amp;"ENTRADA",Movimientos!$R$5:$R$2001,0))),"S/D")</f>
        <v>S/D</v>
      </c>
      <c r="I290" s="16" t="str">
        <f t="shared" ca="1" si="10"/>
        <v>S/D</v>
      </c>
      <c r="J290" s="6">
        <f>IF(A290="","",SUMIFS(Movimientos!$K:$K,Movimientos!$H:$H,A290))</f>
        <v>0</v>
      </c>
      <c r="K290" s="14" t="str">
        <f t="shared" ca="1" si="11"/>
        <v>OK</v>
      </c>
    </row>
    <row r="291" spans="1:11">
      <c r="A291" s="18" t="s">
        <v>2352</v>
      </c>
      <c r="B291" s="3" t="str">
        <f>IFERROR(INDEX(Movimientos!$C$5:$C$2001,MATCH(A291&amp;"ENTRADA",Movimientos!$R$5:$R$2001,0)),"-")</f>
        <v>-</v>
      </c>
      <c r="C291" s="3" t="str">
        <f>IFERROR(INDEX(Movimientos!$D$5:$D$2001,MATCH(A291&amp;"ENTRADA",Movimientos!$R$5:$R$2001,0)),"-")</f>
        <v>-</v>
      </c>
      <c r="D291" s="3" t="str">
        <f>IFERROR(INDEX(Movimientos!$E$5:$E$2001,MATCH(A291&amp;"ENTRADA",Movimientos!$R$5:$R$2001,0)),"-")</f>
        <v>-</v>
      </c>
      <c r="E291" s="3" t="str">
        <f>IFERROR(INDEX(Movimientos!$F$5:$F$2001,MATCH(A291&amp;"ENTRADA",Movimientos!$R$5:$R$2001,0)),"-")</f>
        <v>-</v>
      </c>
      <c r="F291" s="3" t="str">
        <f>IFERROR(INDEX(Movimientos!$G$5:$G$2001,MATCH(A291&amp;"ENTRADA",Movimientos!$R$5:$R$2001,0)),"-")</f>
        <v>-</v>
      </c>
      <c r="G291" s="3" t="str">
        <f>IFERROR(INDEX(Movimientos!$L$5:$L$2001,MATCH(A291&amp;"ENTRADA",Movimientos!$R$5:$R$2001,0)),"-")</f>
        <v>-</v>
      </c>
      <c r="H291" s="19" t="str">
        <f>IFERROR(IF(INDEX(Movimientos!$M$5:$M$2001,MATCH(A291&amp;"ENTRADA",Movimientos!$R$5:$R$2001,0))=0,"S/D",INDEX(Movimientos!$M$5:$M$2001,MATCH(A291&amp;"ENTRADA",Movimientos!$R$5:$R$2001,0))),"S/D")</f>
        <v>S/D</v>
      </c>
      <c r="I291" s="16" t="str">
        <f t="shared" ca="1" si="10"/>
        <v>S/D</v>
      </c>
      <c r="J291" s="6">
        <f>IF(A291="","",SUMIFS(Movimientos!$K:$K,Movimientos!$H:$H,A291))</f>
        <v>0</v>
      </c>
      <c r="K291" s="14" t="str">
        <f t="shared" ca="1" si="11"/>
        <v>OK</v>
      </c>
    </row>
    <row r="292" spans="1:11">
      <c r="A292" s="18" t="s">
        <v>2353</v>
      </c>
      <c r="B292" s="3" t="str">
        <f>IFERROR(INDEX(Movimientos!$C$5:$C$2001,MATCH(A292&amp;"ENTRADA",Movimientos!$R$5:$R$2001,0)),"-")</f>
        <v>-</v>
      </c>
      <c r="C292" s="3" t="str">
        <f>IFERROR(INDEX(Movimientos!$D$5:$D$2001,MATCH(A292&amp;"ENTRADA",Movimientos!$R$5:$R$2001,0)),"-")</f>
        <v>-</v>
      </c>
      <c r="D292" s="3" t="str">
        <f>IFERROR(INDEX(Movimientos!$E$5:$E$2001,MATCH(A292&amp;"ENTRADA",Movimientos!$R$5:$R$2001,0)),"-")</f>
        <v>-</v>
      </c>
      <c r="E292" s="3" t="str">
        <f>IFERROR(INDEX(Movimientos!$F$5:$F$2001,MATCH(A292&amp;"ENTRADA",Movimientos!$R$5:$R$2001,0)),"-")</f>
        <v>-</v>
      </c>
      <c r="F292" s="3" t="str">
        <f>IFERROR(INDEX(Movimientos!$G$5:$G$2001,MATCH(A292&amp;"ENTRADA",Movimientos!$R$5:$R$2001,0)),"-")</f>
        <v>-</v>
      </c>
      <c r="G292" s="3" t="str">
        <f>IFERROR(INDEX(Movimientos!$L$5:$L$2001,MATCH(A292&amp;"ENTRADA",Movimientos!$R$5:$R$2001,0)),"-")</f>
        <v>-</v>
      </c>
      <c r="H292" s="19" t="str">
        <f>IFERROR(IF(INDEX(Movimientos!$M$5:$M$2001,MATCH(A292&amp;"ENTRADA",Movimientos!$R$5:$R$2001,0))=0,"S/D",INDEX(Movimientos!$M$5:$M$2001,MATCH(A292&amp;"ENTRADA",Movimientos!$R$5:$R$2001,0))),"S/D")</f>
        <v>S/D</v>
      </c>
      <c r="I292" s="16" t="str">
        <f t="shared" ca="1" si="10"/>
        <v>S/D</v>
      </c>
      <c r="J292" s="6">
        <f>IF(A292="","",SUMIFS(Movimientos!$K:$K,Movimientos!$H:$H,A292))</f>
        <v>0</v>
      </c>
      <c r="K292" s="14" t="str">
        <f t="shared" ca="1" si="11"/>
        <v>OK</v>
      </c>
    </row>
    <row r="293" spans="1:11">
      <c r="A293" s="18" t="s">
        <v>2354</v>
      </c>
      <c r="B293" s="3" t="str">
        <f>IFERROR(INDEX(Movimientos!$C$5:$C$2001,MATCH(A293&amp;"ENTRADA",Movimientos!$R$5:$R$2001,0)),"-")</f>
        <v>-</v>
      </c>
      <c r="C293" s="3" t="str">
        <f>IFERROR(INDEX(Movimientos!$D$5:$D$2001,MATCH(A293&amp;"ENTRADA",Movimientos!$R$5:$R$2001,0)),"-")</f>
        <v>-</v>
      </c>
      <c r="D293" s="3" t="str">
        <f>IFERROR(INDEX(Movimientos!$E$5:$E$2001,MATCH(A293&amp;"ENTRADA",Movimientos!$R$5:$R$2001,0)),"-")</f>
        <v>-</v>
      </c>
      <c r="E293" s="3" t="str">
        <f>IFERROR(INDEX(Movimientos!$F$5:$F$2001,MATCH(A293&amp;"ENTRADA",Movimientos!$R$5:$R$2001,0)),"-")</f>
        <v>-</v>
      </c>
      <c r="F293" s="3" t="str">
        <f>IFERROR(INDEX(Movimientos!$G$5:$G$2001,MATCH(A293&amp;"ENTRADA",Movimientos!$R$5:$R$2001,0)),"-")</f>
        <v>-</v>
      </c>
      <c r="G293" s="3" t="str">
        <f>IFERROR(INDEX(Movimientos!$L$5:$L$2001,MATCH(A293&amp;"ENTRADA",Movimientos!$R$5:$R$2001,0)),"-")</f>
        <v>-</v>
      </c>
      <c r="H293" s="19" t="str">
        <f>IFERROR(IF(INDEX(Movimientos!$M$5:$M$2001,MATCH(A293&amp;"ENTRADA",Movimientos!$R$5:$R$2001,0))=0,"S/D",INDEX(Movimientos!$M$5:$M$2001,MATCH(A293&amp;"ENTRADA",Movimientos!$R$5:$R$2001,0))),"S/D")</f>
        <v>S/D</v>
      </c>
      <c r="I293" s="16" t="str">
        <f t="shared" ca="1" si="10"/>
        <v>S/D</v>
      </c>
      <c r="J293" s="6">
        <f>IF(A293="","",SUMIFS(Movimientos!$K:$K,Movimientos!$H:$H,A293))</f>
        <v>0</v>
      </c>
      <c r="K293" s="14" t="str">
        <f t="shared" ca="1" si="11"/>
        <v>OK</v>
      </c>
    </row>
    <row r="294" spans="1:11">
      <c r="A294" s="18" t="s">
        <v>2355</v>
      </c>
      <c r="B294" s="3" t="str">
        <f>IFERROR(INDEX(Movimientos!$C$5:$C$2001,MATCH(A294&amp;"ENTRADA",Movimientos!$R$5:$R$2001,0)),"-")</f>
        <v>-</v>
      </c>
      <c r="C294" s="3" t="str">
        <f>IFERROR(INDEX(Movimientos!$D$5:$D$2001,MATCH(A294&amp;"ENTRADA",Movimientos!$R$5:$R$2001,0)),"-")</f>
        <v>-</v>
      </c>
      <c r="D294" s="3" t="str">
        <f>IFERROR(INDEX(Movimientos!$E$5:$E$2001,MATCH(A294&amp;"ENTRADA",Movimientos!$R$5:$R$2001,0)),"-")</f>
        <v>-</v>
      </c>
      <c r="E294" s="3" t="str">
        <f>IFERROR(INDEX(Movimientos!$F$5:$F$2001,MATCH(A294&amp;"ENTRADA",Movimientos!$R$5:$R$2001,0)),"-")</f>
        <v>-</v>
      </c>
      <c r="F294" s="3" t="str">
        <f>IFERROR(INDEX(Movimientos!$G$5:$G$2001,MATCH(A294&amp;"ENTRADA",Movimientos!$R$5:$R$2001,0)),"-")</f>
        <v>-</v>
      </c>
      <c r="G294" s="3" t="str">
        <f>IFERROR(INDEX(Movimientos!$L$5:$L$2001,MATCH(A294&amp;"ENTRADA",Movimientos!$R$5:$R$2001,0)),"-")</f>
        <v>-</v>
      </c>
      <c r="H294" s="19" t="str">
        <f>IFERROR(IF(INDEX(Movimientos!$M$5:$M$2001,MATCH(A294&amp;"ENTRADA",Movimientos!$R$5:$R$2001,0))=0,"S/D",INDEX(Movimientos!$M$5:$M$2001,MATCH(A294&amp;"ENTRADA",Movimientos!$R$5:$R$2001,0))),"S/D")</f>
        <v>S/D</v>
      </c>
      <c r="I294" s="16" t="str">
        <f t="shared" ca="1" si="10"/>
        <v>S/D</v>
      </c>
      <c r="J294" s="6">
        <f>IF(A294="","",SUMIFS(Movimientos!$K:$K,Movimientos!$H:$H,A294))</f>
        <v>0</v>
      </c>
      <c r="K294" s="14" t="str">
        <f t="shared" ca="1" si="11"/>
        <v>OK</v>
      </c>
    </row>
    <row r="295" spans="1:11">
      <c r="A295" s="18" t="s">
        <v>2356</v>
      </c>
      <c r="B295" s="3" t="str">
        <f>IFERROR(INDEX(Movimientos!$C$5:$C$2001,MATCH(A295&amp;"ENTRADA",Movimientos!$R$5:$R$2001,0)),"-")</f>
        <v>-</v>
      </c>
      <c r="C295" s="3" t="str">
        <f>IFERROR(INDEX(Movimientos!$D$5:$D$2001,MATCH(A295&amp;"ENTRADA",Movimientos!$R$5:$R$2001,0)),"-")</f>
        <v>-</v>
      </c>
      <c r="D295" s="3" t="str">
        <f>IFERROR(INDEX(Movimientos!$E$5:$E$2001,MATCH(A295&amp;"ENTRADA",Movimientos!$R$5:$R$2001,0)),"-")</f>
        <v>-</v>
      </c>
      <c r="E295" s="3" t="str">
        <f>IFERROR(INDEX(Movimientos!$F$5:$F$2001,MATCH(A295&amp;"ENTRADA",Movimientos!$R$5:$R$2001,0)),"-")</f>
        <v>-</v>
      </c>
      <c r="F295" s="3" t="str">
        <f>IFERROR(INDEX(Movimientos!$G$5:$G$2001,MATCH(A295&amp;"ENTRADA",Movimientos!$R$5:$R$2001,0)),"-")</f>
        <v>-</v>
      </c>
      <c r="G295" s="3" t="str">
        <f>IFERROR(INDEX(Movimientos!$L$5:$L$2001,MATCH(A295&amp;"ENTRADA",Movimientos!$R$5:$R$2001,0)),"-")</f>
        <v>-</v>
      </c>
      <c r="H295" s="19" t="str">
        <f>IFERROR(IF(INDEX(Movimientos!$M$5:$M$2001,MATCH(A295&amp;"ENTRADA",Movimientos!$R$5:$R$2001,0))=0,"S/D",INDEX(Movimientos!$M$5:$M$2001,MATCH(A295&amp;"ENTRADA",Movimientos!$R$5:$R$2001,0))),"S/D")</f>
        <v>S/D</v>
      </c>
      <c r="I295" s="16" t="str">
        <f t="shared" ca="1" si="10"/>
        <v>S/D</v>
      </c>
      <c r="J295" s="6">
        <f>IF(A295="","",SUMIFS(Movimientos!$K:$K,Movimientos!$H:$H,A295))</f>
        <v>0</v>
      </c>
      <c r="K295" s="14" t="str">
        <f t="shared" ca="1" si="11"/>
        <v>OK</v>
      </c>
    </row>
    <row r="296" spans="1:11">
      <c r="A296" s="18" t="s">
        <v>2357</v>
      </c>
      <c r="B296" s="3" t="str">
        <f>IFERROR(INDEX(Movimientos!$C$5:$C$2001,MATCH(A296&amp;"ENTRADA",Movimientos!$R$5:$R$2001,0)),"-")</f>
        <v>-</v>
      </c>
      <c r="C296" s="3" t="str">
        <f>IFERROR(INDEX(Movimientos!$D$5:$D$2001,MATCH(A296&amp;"ENTRADA",Movimientos!$R$5:$R$2001,0)),"-")</f>
        <v>-</v>
      </c>
      <c r="D296" s="3" t="str">
        <f>IFERROR(INDEX(Movimientos!$E$5:$E$2001,MATCH(A296&amp;"ENTRADA",Movimientos!$R$5:$R$2001,0)),"-")</f>
        <v>-</v>
      </c>
      <c r="E296" s="3" t="str">
        <f>IFERROR(INDEX(Movimientos!$F$5:$F$2001,MATCH(A296&amp;"ENTRADA",Movimientos!$R$5:$R$2001,0)),"-")</f>
        <v>-</v>
      </c>
      <c r="F296" s="3" t="str">
        <f>IFERROR(INDEX(Movimientos!$G$5:$G$2001,MATCH(A296&amp;"ENTRADA",Movimientos!$R$5:$R$2001,0)),"-")</f>
        <v>-</v>
      </c>
      <c r="G296" s="3" t="str">
        <f>IFERROR(INDEX(Movimientos!$L$5:$L$2001,MATCH(A296&amp;"ENTRADA",Movimientos!$R$5:$R$2001,0)),"-")</f>
        <v>-</v>
      </c>
      <c r="H296" s="19" t="str">
        <f>IFERROR(IF(INDEX(Movimientos!$M$5:$M$2001,MATCH(A296&amp;"ENTRADA",Movimientos!$R$5:$R$2001,0))=0,"S/D",INDEX(Movimientos!$M$5:$M$2001,MATCH(A296&amp;"ENTRADA",Movimientos!$R$5:$R$2001,0))),"S/D")</f>
        <v>S/D</v>
      </c>
      <c r="I296" s="16" t="str">
        <f t="shared" ca="1" si="10"/>
        <v>S/D</v>
      </c>
      <c r="J296" s="6">
        <f>IF(A296="","",SUMIFS(Movimientos!$K:$K,Movimientos!$H:$H,A296))</f>
        <v>0</v>
      </c>
      <c r="K296" s="14" t="str">
        <f t="shared" ca="1" si="11"/>
        <v>OK</v>
      </c>
    </row>
    <row r="297" spans="1:11">
      <c r="A297" s="18" t="s">
        <v>2358</v>
      </c>
      <c r="B297" s="3" t="str">
        <f>IFERROR(INDEX(Movimientos!$C$5:$C$2001,MATCH(A297&amp;"ENTRADA",Movimientos!$R$5:$R$2001,0)),"-")</f>
        <v>-</v>
      </c>
      <c r="C297" s="3" t="str">
        <f>IFERROR(INDEX(Movimientos!$D$5:$D$2001,MATCH(A297&amp;"ENTRADA",Movimientos!$R$5:$R$2001,0)),"-")</f>
        <v>-</v>
      </c>
      <c r="D297" s="3" t="str">
        <f>IFERROR(INDEX(Movimientos!$E$5:$E$2001,MATCH(A297&amp;"ENTRADA",Movimientos!$R$5:$R$2001,0)),"-")</f>
        <v>-</v>
      </c>
      <c r="E297" s="3" t="str">
        <f>IFERROR(INDEX(Movimientos!$F$5:$F$2001,MATCH(A297&amp;"ENTRADA",Movimientos!$R$5:$R$2001,0)),"-")</f>
        <v>-</v>
      </c>
      <c r="F297" s="3" t="str">
        <f>IFERROR(INDEX(Movimientos!$G$5:$G$2001,MATCH(A297&amp;"ENTRADA",Movimientos!$R$5:$R$2001,0)),"-")</f>
        <v>-</v>
      </c>
      <c r="G297" s="3" t="str">
        <f>IFERROR(INDEX(Movimientos!$L$5:$L$2001,MATCH(A297&amp;"ENTRADA",Movimientos!$R$5:$R$2001,0)),"-")</f>
        <v>-</v>
      </c>
      <c r="H297" s="19" t="str">
        <f>IFERROR(IF(INDEX(Movimientos!$M$5:$M$2001,MATCH(A297&amp;"ENTRADA",Movimientos!$R$5:$R$2001,0))=0,"S/D",INDEX(Movimientos!$M$5:$M$2001,MATCH(A297&amp;"ENTRADA",Movimientos!$R$5:$R$2001,0))),"S/D")</f>
        <v>S/D</v>
      </c>
      <c r="I297" s="16" t="str">
        <f t="shared" ca="1" si="10"/>
        <v>S/D</v>
      </c>
      <c r="J297" s="6">
        <f>IF(A297="","",SUMIFS(Movimientos!$K:$K,Movimientos!$H:$H,A297))</f>
        <v>0</v>
      </c>
      <c r="K297" s="14" t="str">
        <f t="shared" ca="1" si="11"/>
        <v>OK</v>
      </c>
    </row>
    <row r="298" spans="1:11">
      <c r="A298" s="18" t="s">
        <v>2359</v>
      </c>
      <c r="B298" s="3" t="str">
        <f>IFERROR(INDEX(Movimientos!$C$5:$C$2001,MATCH(A298&amp;"ENTRADA",Movimientos!$R$5:$R$2001,0)),"-")</f>
        <v>-</v>
      </c>
      <c r="C298" s="3" t="str">
        <f>IFERROR(INDEX(Movimientos!$D$5:$D$2001,MATCH(A298&amp;"ENTRADA",Movimientos!$R$5:$R$2001,0)),"-")</f>
        <v>-</v>
      </c>
      <c r="D298" s="3" t="str">
        <f>IFERROR(INDEX(Movimientos!$E$5:$E$2001,MATCH(A298&amp;"ENTRADA",Movimientos!$R$5:$R$2001,0)),"-")</f>
        <v>-</v>
      </c>
      <c r="E298" s="3" t="str">
        <f>IFERROR(INDEX(Movimientos!$F$5:$F$2001,MATCH(A298&amp;"ENTRADA",Movimientos!$R$5:$R$2001,0)),"-")</f>
        <v>-</v>
      </c>
      <c r="F298" s="3" t="str">
        <f>IFERROR(INDEX(Movimientos!$G$5:$G$2001,MATCH(A298&amp;"ENTRADA",Movimientos!$R$5:$R$2001,0)),"-")</f>
        <v>-</v>
      </c>
      <c r="G298" s="3" t="str">
        <f>IFERROR(INDEX(Movimientos!$L$5:$L$2001,MATCH(A298&amp;"ENTRADA",Movimientos!$R$5:$R$2001,0)),"-")</f>
        <v>-</v>
      </c>
      <c r="H298" s="19" t="str">
        <f>IFERROR(IF(INDEX(Movimientos!$M$5:$M$2001,MATCH(A298&amp;"ENTRADA",Movimientos!$R$5:$R$2001,0))=0,"S/D",INDEX(Movimientos!$M$5:$M$2001,MATCH(A298&amp;"ENTRADA",Movimientos!$R$5:$R$2001,0))),"S/D")</f>
        <v>S/D</v>
      </c>
      <c r="I298" s="16" t="str">
        <f t="shared" ca="1" si="10"/>
        <v>S/D</v>
      </c>
      <c r="J298" s="6">
        <f>IF(A298="","",SUMIFS(Movimientos!$K:$K,Movimientos!$H:$H,A298))</f>
        <v>0</v>
      </c>
      <c r="K298" s="14" t="str">
        <f t="shared" ca="1" si="11"/>
        <v>OK</v>
      </c>
    </row>
    <row r="299" spans="1:11">
      <c r="A299" s="18" t="s">
        <v>2360</v>
      </c>
      <c r="B299" s="3" t="str">
        <f>IFERROR(INDEX(Movimientos!$C$5:$C$2001,MATCH(A299&amp;"ENTRADA",Movimientos!$R$5:$R$2001,0)),"-")</f>
        <v>-</v>
      </c>
      <c r="C299" s="3" t="str">
        <f>IFERROR(INDEX(Movimientos!$D$5:$D$2001,MATCH(A299&amp;"ENTRADA",Movimientos!$R$5:$R$2001,0)),"-")</f>
        <v>-</v>
      </c>
      <c r="D299" s="3" t="str">
        <f>IFERROR(INDEX(Movimientos!$E$5:$E$2001,MATCH(A299&amp;"ENTRADA",Movimientos!$R$5:$R$2001,0)),"-")</f>
        <v>-</v>
      </c>
      <c r="E299" s="3" t="str">
        <f>IFERROR(INDEX(Movimientos!$F$5:$F$2001,MATCH(A299&amp;"ENTRADA",Movimientos!$R$5:$R$2001,0)),"-")</f>
        <v>-</v>
      </c>
      <c r="F299" s="3" t="str">
        <f>IFERROR(INDEX(Movimientos!$G$5:$G$2001,MATCH(A299&amp;"ENTRADA",Movimientos!$R$5:$R$2001,0)),"-")</f>
        <v>-</v>
      </c>
      <c r="G299" s="3" t="str">
        <f>IFERROR(INDEX(Movimientos!$L$5:$L$2001,MATCH(A299&amp;"ENTRADA",Movimientos!$R$5:$R$2001,0)),"-")</f>
        <v>-</v>
      </c>
      <c r="H299" s="19" t="str">
        <f>IFERROR(IF(INDEX(Movimientos!$M$5:$M$2001,MATCH(A299&amp;"ENTRADA",Movimientos!$R$5:$R$2001,0))=0,"S/D",INDEX(Movimientos!$M$5:$M$2001,MATCH(A299&amp;"ENTRADA",Movimientos!$R$5:$R$2001,0))),"S/D")</f>
        <v>S/D</v>
      </c>
      <c r="I299" s="16" t="str">
        <f t="shared" ca="1" si="10"/>
        <v>S/D</v>
      </c>
      <c r="J299" s="6">
        <f>IF(A299="","",SUMIFS(Movimientos!$K:$K,Movimientos!$H:$H,A299))</f>
        <v>0</v>
      </c>
      <c r="K299" s="14" t="str">
        <f t="shared" ca="1" si="11"/>
        <v>OK</v>
      </c>
    </row>
    <row r="300" spans="1:11">
      <c r="A300" s="18" t="s">
        <v>2361</v>
      </c>
      <c r="B300" s="3" t="str">
        <f>IFERROR(INDEX(Movimientos!$C$5:$C$2001,MATCH(A300&amp;"ENTRADA",Movimientos!$R$5:$R$2001,0)),"-")</f>
        <v>-</v>
      </c>
      <c r="C300" s="3" t="str">
        <f>IFERROR(INDEX(Movimientos!$D$5:$D$2001,MATCH(A300&amp;"ENTRADA",Movimientos!$R$5:$R$2001,0)),"-")</f>
        <v>-</v>
      </c>
      <c r="D300" s="3" t="str">
        <f>IFERROR(INDEX(Movimientos!$E$5:$E$2001,MATCH(A300&amp;"ENTRADA",Movimientos!$R$5:$R$2001,0)),"-")</f>
        <v>-</v>
      </c>
      <c r="E300" s="3" t="str">
        <f>IFERROR(INDEX(Movimientos!$F$5:$F$2001,MATCH(A300&amp;"ENTRADA",Movimientos!$R$5:$R$2001,0)),"-")</f>
        <v>-</v>
      </c>
      <c r="F300" s="3" t="str">
        <f>IFERROR(INDEX(Movimientos!$G$5:$G$2001,MATCH(A300&amp;"ENTRADA",Movimientos!$R$5:$R$2001,0)),"-")</f>
        <v>-</v>
      </c>
      <c r="G300" s="3" t="str">
        <f>IFERROR(INDEX(Movimientos!$L$5:$L$2001,MATCH(A300&amp;"ENTRADA",Movimientos!$R$5:$R$2001,0)),"-")</f>
        <v>-</v>
      </c>
      <c r="H300" s="19" t="str">
        <f>IFERROR(IF(INDEX(Movimientos!$M$5:$M$2001,MATCH(A300&amp;"ENTRADA",Movimientos!$R$5:$R$2001,0))=0,"S/D",INDEX(Movimientos!$M$5:$M$2001,MATCH(A300&amp;"ENTRADA",Movimientos!$R$5:$R$2001,0))),"S/D")</f>
        <v>S/D</v>
      </c>
      <c r="I300" s="16" t="str">
        <f t="shared" ca="1" si="10"/>
        <v>S/D</v>
      </c>
      <c r="J300" s="6">
        <f>IF(A300="","",SUMIFS(Movimientos!$K:$K,Movimientos!$H:$H,A300))</f>
        <v>0</v>
      </c>
      <c r="K300" s="14" t="str">
        <f t="shared" ca="1" si="11"/>
        <v>OK</v>
      </c>
    </row>
    <row r="301" spans="1:11">
      <c r="A301" s="18" t="s">
        <v>2362</v>
      </c>
      <c r="B301" s="3" t="str">
        <f>IFERROR(INDEX(Movimientos!$C$5:$C$2001,MATCH(A301&amp;"ENTRADA",Movimientos!$R$5:$R$2001,0)),"-")</f>
        <v>-</v>
      </c>
      <c r="C301" s="3" t="str">
        <f>IFERROR(INDEX(Movimientos!$D$5:$D$2001,MATCH(A301&amp;"ENTRADA",Movimientos!$R$5:$R$2001,0)),"-")</f>
        <v>-</v>
      </c>
      <c r="D301" s="3" t="str">
        <f>IFERROR(INDEX(Movimientos!$E$5:$E$2001,MATCH(A301&amp;"ENTRADA",Movimientos!$R$5:$R$2001,0)),"-")</f>
        <v>-</v>
      </c>
      <c r="E301" s="3" t="str">
        <f>IFERROR(INDEX(Movimientos!$F$5:$F$2001,MATCH(A301&amp;"ENTRADA",Movimientos!$R$5:$R$2001,0)),"-")</f>
        <v>-</v>
      </c>
      <c r="F301" s="3" t="str">
        <f>IFERROR(INDEX(Movimientos!$G$5:$G$2001,MATCH(A301&amp;"ENTRADA",Movimientos!$R$5:$R$2001,0)),"-")</f>
        <v>-</v>
      </c>
      <c r="G301" s="3" t="str">
        <f>IFERROR(INDEX(Movimientos!$L$5:$L$2001,MATCH(A301&amp;"ENTRADA",Movimientos!$R$5:$R$2001,0)),"-")</f>
        <v>-</v>
      </c>
      <c r="H301" s="19" t="str">
        <f>IFERROR(IF(INDEX(Movimientos!$M$5:$M$2001,MATCH(A301&amp;"ENTRADA",Movimientos!$R$5:$R$2001,0))=0,"S/D",INDEX(Movimientos!$M$5:$M$2001,MATCH(A301&amp;"ENTRADA",Movimientos!$R$5:$R$2001,0))),"S/D")</f>
        <v>S/D</v>
      </c>
      <c r="I301" s="16" t="str">
        <f t="shared" ca="1" si="10"/>
        <v>S/D</v>
      </c>
      <c r="J301" s="6">
        <f>IF(A301="","",SUMIFS(Movimientos!$K:$K,Movimientos!$H:$H,A301))</f>
        <v>0</v>
      </c>
      <c r="K301" s="14" t="str">
        <f t="shared" ca="1" si="11"/>
        <v>OK</v>
      </c>
    </row>
    <row r="302" spans="1:11">
      <c r="A302" s="18" t="s">
        <v>2363</v>
      </c>
      <c r="B302" s="3" t="str">
        <f>IFERROR(INDEX(Movimientos!$C$5:$C$2001,MATCH(A302&amp;"ENTRADA",Movimientos!$R$5:$R$2001,0)),"-")</f>
        <v>-</v>
      </c>
      <c r="C302" s="3" t="str">
        <f>IFERROR(INDEX(Movimientos!$D$5:$D$2001,MATCH(A302&amp;"ENTRADA",Movimientos!$R$5:$R$2001,0)),"-")</f>
        <v>-</v>
      </c>
      <c r="D302" s="3" t="str">
        <f>IFERROR(INDEX(Movimientos!$E$5:$E$2001,MATCH(A302&amp;"ENTRADA",Movimientos!$R$5:$R$2001,0)),"-")</f>
        <v>-</v>
      </c>
      <c r="E302" s="3" t="str">
        <f>IFERROR(INDEX(Movimientos!$F$5:$F$2001,MATCH(A302&amp;"ENTRADA",Movimientos!$R$5:$R$2001,0)),"-")</f>
        <v>-</v>
      </c>
      <c r="F302" s="3" t="str">
        <f>IFERROR(INDEX(Movimientos!$G$5:$G$2001,MATCH(A302&amp;"ENTRADA",Movimientos!$R$5:$R$2001,0)),"-")</f>
        <v>-</v>
      </c>
      <c r="G302" s="3" t="str">
        <f>IFERROR(INDEX(Movimientos!$L$5:$L$2001,MATCH(A302&amp;"ENTRADA",Movimientos!$R$5:$R$2001,0)),"-")</f>
        <v>-</v>
      </c>
      <c r="H302" s="19" t="str">
        <f>IFERROR(IF(INDEX(Movimientos!$M$5:$M$2001,MATCH(A302&amp;"ENTRADA",Movimientos!$R$5:$R$2001,0))=0,"S/D",INDEX(Movimientos!$M$5:$M$2001,MATCH(A302&amp;"ENTRADA",Movimientos!$R$5:$R$2001,0))),"S/D")</f>
        <v>S/D</v>
      </c>
      <c r="I302" s="16" t="str">
        <f t="shared" ca="1" si="10"/>
        <v>S/D</v>
      </c>
      <c r="J302" s="6">
        <f>IF(A302="","",SUMIFS(Movimientos!$K:$K,Movimientos!$H:$H,A302))</f>
        <v>0</v>
      </c>
      <c r="K302" s="14" t="str">
        <f t="shared" ca="1" si="11"/>
        <v>OK</v>
      </c>
    </row>
    <row r="303" spans="1:11">
      <c r="A303" s="18" t="s">
        <v>2364</v>
      </c>
      <c r="B303" s="3" t="str">
        <f>IFERROR(INDEX(Movimientos!$C$5:$C$2001,MATCH(A303&amp;"ENTRADA",Movimientos!$R$5:$R$2001,0)),"-")</f>
        <v>-</v>
      </c>
      <c r="C303" s="3" t="str">
        <f>IFERROR(INDEX(Movimientos!$D$5:$D$2001,MATCH(A303&amp;"ENTRADA",Movimientos!$R$5:$R$2001,0)),"-")</f>
        <v>-</v>
      </c>
      <c r="D303" s="3" t="str">
        <f>IFERROR(INDEX(Movimientos!$E$5:$E$2001,MATCH(A303&amp;"ENTRADA",Movimientos!$R$5:$R$2001,0)),"-")</f>
        <v>-</v>
      </c>
      <c r="E303" s="3" t="str">
        <f>IFERROR(INDEX(Movimientos!$F$5:$F$2001,MATCH(A303&amp;"ENTRADA",Movimientos!$R$5:$R$2001,0)),"-")</f>
        <v>-</v>
      </c>
      <c r="F303" s="3" t="str">
        <f>IFERROR(INDEX(Movimientos!$G$5:$G$2001,MATCH(A303&amp;"ENTRADA",Movimientos!$R$5:$R$2001,0)),"-")</f>
        <v>-</v>
      </c>
      <c r="G303" s="3" t="str">
        <f>IFERROR(INDEX(Movimientos!$L$5:$L$2001,MATCH(A303&amp;"ENTRADA",Movimientos!$R$5:$R$2001,0)),"-")</f>
        <v>-</v>
      </c>
      <c r="H303" s="19" t="str">
        <f>IFERROR(IF(INDEX(Movimientos!$M$5:$M$2001,MATCH(A303&amp;"ENTRADA",Movimientos!$R$5:$R$2001,0))=0,"S/D",INDEX(Movimientos!$M$5:$M$2001,MATCH(A303&amp;"ENTRADA",Movimientos!$R$5:$R$2001,0))),"S/D")</f>
        <v>S/D</v>
      </c>
      <c r="I303" s="16" t="str">
        <f t="shared" ca="1" si="10"/>
        <v>S/D</v>
      </c>
      <c r="J303" s="6">
        <f>IF(A303="","",SUMIFS(Movimientos!$K:$K,Movimientos!$H:$H,A303))</f>
        <v>0</v>
      </c>
      <c r="K303" s="14" t="str">
        <f t="shared" ca="1" si="11"/>
        <v>OK</v>
      </c>
    </row>
    <row r="304" spans="1:11">
      <c r="A304" s="18" t="s">
        <v>2365</v>
      </c>
      <c r="B304" s="3" t="str">
        <f>IFERROR(INDEX(Movimientos!$C$5:$C$2001,MATCH(A304&amp;"ENTRADA",Movimientos!$R$5:$R$2001,0)),"-")</f>
        <v>-</v>
      </c>
      <c r="C304" s="3" t="str">
        <f>IFERROR(INDEX(Movimientos!$D$5:$D$2001,MATCH(A304&amp;"ENTRADA",Movimientos!$R$5:$R$2001,0)),"-")</f>
        <v>-</v>
      </c>
      <c r="D304" s="3" t="str">
        <f>IFERROR(INDEX(Movimientos!$E$5:$E$2001,MATCH(A304&amp;"ENTRADA",Movimientos!$R$5:$R$2001,0)),"-")</f>
        <v>-</v>
      </c>
      <c r="E304" s="3" t="str">
        <f>IFERROR(INDEX(Movimientos!$F$5:$F$2001,MATCH(A304&amp;"ENTRADA",Movimientos!$R$5:$R$2001,0)),"-")</f>
        <v>-</v>
      </c>
      <c r="F304" s="3" t="str">
        <f>IFERROR(INDEX(Movimientos!$G$5:$G$2001,MATCH(A304&amp;"ENTRADA",Movimientos!$R$5:$R$2001,0)),"-")</f>
        <v>-</v>
      </c>
      <c r="G304" s="3" t="str">
        <f>IFERROR(INDEX(Movimientos!$L$5:$L$2001,MATCH(A304&amp;"ENTRADA",Movimientos!$R$5:$R$2001,0)),"-")</f>
        <v>-</v>
      </c>
      <c r="H304" s="19" t="str">
        <f>IFERROR(IF(INDEX(Movimientos!$M$5:$M$2001,MATCH(A304&amp;"ENTRADA",Movimientos!$R$5:$R$2001,0))=0,"S/D",INDEX(Movimientos!$M$5:$M$2001,MATCH(A304&amp;"ENTRADA",Movimientos!$R$5:$R$2001,0))),"S/D")</f>
        <v>S/D</v>
      </c>
      <c r="I304" s="16" t="str">
        <f t="shared" ca="1" si="10"/>
        <v>S/D</v>
      </c>
      <c r="J304" s="6">
        <f>IF(A304="","",SUMIFS(Movimientos!$K:$K,Movimientos!$H:$H,A304))</f>
        <v>0</v>
      </c>
      <c r="K304" s="14" t="str">
        <f t="shared" ca="1" si="11"/>
        <v>OK</v>
      </c>
    </row>
    <row r="305" spans="1:11">
      <c r="A305" s="18" t="s">
        <v>2366</v>
      </c>
      <c r="B305" s="3" t="str">
        <f>IFERROR(INDEX(Movimientos!$C$5:$C$2001,MATCH(A305&amp;"ENTRADA",Movimientos!$R$5:$R$2001,0)),"-")</f>
        <v>-</v>
      </c>
      <c r="C305" s="3" t="str">
        <f>IFERROR(INDEX(Movimientos!$D$5:$D$2001,MATCH(A305&amp;"ENTRADA",Movimientos!$R$5:$R$2001,0)),"-")</f>
        <v>-</v>
      </c>
      <c r="D305" s="3" t="str">
        <f>IFERROR(INDEX(Movimientos!$E$5:$E$2001,MATCH(A305&amp;"ENTRADA",Movimientos!$R$5:$R$2001,0)),"-")</f>
        <v>-</v>
      </c>
      <c r="E305" s="3" t="str">
        <f>IFERROR(INDEX(Movimientos!$F$5:$F$2001,MATCH(A305&amp;"ENTRADA",Movimientos!$R$5:$R$2001,0)),"-")</f>
        <v>-</v>
      </c>
      <c r="F305" s="3" t="str">
        <f>IFERROR(INDEX(Movimientos!$G$5:$G$2001,MATCH(A305&amp;"ENTRADA",Movimientos!$R$5:$R$2001,0)),"-")</f>
        <v>-</v>
      </c>
      <c r="G305" s="3" t="str">
        <f>IFERROR(INDEX(Movimientos!$L$5:$L$2001,MATCH(A305&amp;"ENTRADA",Movimientos!$R$5:$R$2001,0)),"-")</f>
        <v>-</v>
      </c>
      <c r="H305" s="19" t="str">
        <f>IFERROR(IF(INDEX(Movimientos!$M$5:$M$2001,MATCH(A305&amp;"ENTRADA",Movimientos!$R$5:$R$2001,0))=0,"S/D",INDEX(Movimientos!$M$5:$M$2001,MATCH(A305&amp;"ENTRADA",Movimientos!$R$5:$R$2001,0))),"S/D")</f>
        <v>S/D</v>
      </c>
      <c r="I305" s="16" t="str">
        <f t="shared" ca="1" si="10"/>
        <v>S/D</v>
      </c>
      <c r="J305" s="6">
        <f>IF(A305="","",SUMIFS(Movimientos!$K:$K,Movimientos!$H:$H,A305))</f>
        <v>0</v>
      </c>
      <c r="K305" s="14" t="str">
        <f t="shared" ca="1" si="11"/>
        <v>OK</v>
      </c>
    </row>
    <row r="306" spans="1:11">
      <c r="A306" s="18" t="s">
        <v>2367</v>
      </c>
      <c r="B306" s="3" t="str">
        <f>IFERROR(INDEX(Movimientos!$C$5:$C$2001,MATCH(A306&amp;"ENTRADA",Movimientos!$R$5:$R$2001,0)),"-")</f>
        <v>-</v>
      </c>
      <c r="C306" s="3" t="str">
        <f>IFERROR(INDEX(Movimientos!$D$5:$D$2001,MATCH(A306&amp;"ENTRADA",Movimientos!$R$5:$R$2001,0)),"-")</f>
        <v>-</v>
      </c>
      <c r="D306" s="3" t="str">
        <f>IFERROR(INDEX(Movimientos!$E$5:$E$2001,MATCH(A306&amp;"ENTRADA",Movimientos!$R$5:$R$2001,0)),"-")</f>
        <v>-</v>
      </c>
      <c r="E306" s="3" t="str">
        <f>IFERROR(INDEX(Movimientos!$F$5:$F$2001,MATCH(A306&amp;"ENTRADA",Movimientos!$R$5:$R$2001,0)),"-")</f>
        <v>-</v>
      </c>
      <c r="F306" s="3" t="str">
        <f>IFERROR(INDEX(Movimientos!$G$5:$G$2001,MATCH(A306&amp;"ENTRADA",Movimientos!$R$5:$R$2001,0)),"-")</f>
        <v>-</v>
      </c>
      <c r="G306" s="3" t="str">
        <f>IFERROR(INDEX(Movimientos!$L$5:$L$2001,MATCH(A306&amp;"ENTRADA",Movimientos!$R$5:$R$2001,0)),"-")</f>
        <v>-</v>
      </c>
      <c r="H306" s="19" t="str">
        <f>IFERROR(IF(INDEX(Movimientos!$M$5:$M$2001,MATCH(A306&amp;"ENTRADA",Movimientos!$R$5:$R$2001,0))=0,"S/D",INDEX(Movimientos!$M$5:$M$2001,MATCH(A306&amp;"ENTRADA",Movimientos!$R$5:$R$2001,0))),"S/D")</f>
        <v>S/D</v>
      </c>
      <c r="I306" s="16" t="str">
        <f t="shared" ca="1" si="10"/>
        <v>S/D</v>
      </c>
      <c r="J306" s="6">
        <f>IF(A306="","",SUMIFS(Movimientos!$K:$K,Movimientos!$H:$H,A306))</f>
        <v>0</v>
      </c>
      <c r="K306" s="14" t="str">
        <f t="shared" ca="1" si="11"/>
        <v>OK</v>
      </c>
    </row>
    <row r="307" spans="1:11">
      <c r="A307" s="18" t="s">
        <v>2368</v>
      </c>
      <c r="B307" s="3" t="str">
        <f>IFERROR(INDEX(Movimientos!$C$5:$C$2001,MATCH(A307&amp;"ENTRADA",Movimientos!$R$5:$R$2001,0)),"-")</f>
        <v>-</v>
      </c>
      <c r="C307" s="3" t="str">
        <f>IFERROR(INDEX(Movimientos!$D$5:$D$2001,MATCH(A307&amp;"ENTRADA",Movimientos!$R$5:$R$2001,0)),"-")</f>
        <v>-</v>
      </c>
      <c r="D307" s="3" t="str">
        <f>IFERROR(INDEX(Movimientos!$E$5:$E$2001,MATCH(A307&amp;"ENTRADA",Movimientos!$R$5:$R$2001,0)),"-")</f>
        <v>-</v>
      </c>
      <c r="E307" s="3" t="str">
        <f>IFERROR(INDEX(Movimientos!$F$5:$F$2001,MATCH(A307&amp;"ENTRADA",Movimientos!$R$5:$R$2001,0)),"-")</f>
        <v>-</v>
      </c>
      <c r="F307" s="3" t="str">
        <f>IFERROR(INDEX(Movimientos!$G$5:$G$2001,MATCH(A307&amp;"ENTRADA",Movimientos!$R$5:$R$2001,0)),"-")</f>
        <v>-</v>
      </c>
      <c r="G307" s="3" t="str">
        <f>IFERROR(INDEX(Movimientos!$L$5:$L$2001,MATCH(A307&amp;"ENTRADA",Movimientos!$R$5:$R$2001,0)),"-")</f>
        <v>-</v>
      </c>
      <c r="H307" s="19" t="str">
        <f>IFERROR(IF(INDEX(Movimientos!$M$5:$M$2001,MATCH(A307&amp;"ENTRADA",Movimientos!$R$5:$R$2001,0))=0,"S/D",INDEX(Movimientos!$M$5:$M$2001,MATCH(A307&amp;"ENTRADA",Movimientos!$R$5:$R$2001,0))),"S/D")</f>
        <v>S/D</v>
      </c>
      <c r="I307" s="16" t="str">
        <f t="shared" ca="1" si="10"/>
        <v>S/D</v>
      </c>
      <c r="J307" s="6">
        <f>IF(A307="","",SUMIFS(Movimientos!$K:$K,Movimientos!$H:$H,A307))</f>
        <v>0</v>
      </c>
      <c r="K307" s="14" t="str">
        <f t="shared" ca="1" si="11"/>
        <v>OK</v>
      </c>
    </row>
    <row r="308" spans="1:11">
      <c r="A308" s="18" t="s">
        <v>2369</v>
      </c>
      <c r="B308" s="3" t="str">
        <f>IFERROR(INDEX(Movimientos!$C$5:$C$2001,MATCH(A308&amp;"ENTRADA",Movimientos!$R$5:$R$2001,0)),"-")</f>
        <v>-</v>
      </c>
      <c r="C308" s="3" t="str">
        <f>IFERROR(INDEX(Movimientos!$D$5:$D$2001,MATCH(A308&amp;"ENTRADA",Movimientos!$R$5:$R$2001,0)),"-")</f>
        <v>-</v>
      </c>
      <c r="D308" s="3" t="str">
        <f>IFERROR(INDEX(Movimientos!$E$5:$E$2001,MATCH(A308&amp;"ENTRADA",Movimientos!$R$5:$R$2001,0)),"-")</f>
        <v>-</v>
      </c>
      <c r="E308" s="3" t="str">
        <f>IFERROR(INDEX(Movimientos!$F$5:$F$2001,MATCH(A308&amp;"ENTRADA",Movimientos!$R$5:$R$2001,0)),"-")</f>
        <v>-</v>
      </c>
      <c r="F308" s="3" t="str">
        <f>IFERROR(INDEX(Movimientos!$G$5:$G$2001,MATCH(A308&amp;"ENTRADA",Movimientos!$R$5:$R$2001,0)),"-")</f>
        <v>-</v>
      </c>
      <c r="G308" s="3" t="str">
        <f>IFERROR(INDEX(Movimientos!$L$5:$L$2001,MATCH(A308&amp;"ENTRADA",Movimientos!$R$5:$R$2001,0)),"-")</f>
        <v>-</v>
      </c>
      <c r="H308" s="19" t="str">
        <f>IFERROR(IF(INDEX(Movimientos!$M$5:$M$2001,MATCH(A308&amp;"ENTRADA",Movimientos!$R$5:$R$2001,0))=0,"S/D",INDEX(Movimientos!$M$5:$M$2001,MATCH(A308&amp;"ENTRADA",Movimientos!$R$5:$R$2001,0))),"S/D")</f>
        <v>S/D</v>
      </c>
      <c r="I308" s="16" t="str">
        <f t="shared" ca="1" si="10"/>
        <v>S/D</v>
      </c>
      <c r="J308" s="6">
        <f>IF(A308="","",SUMIFS(Movimientos!$K:$K,Movimientos!$H:$H,A308))</f>
        <v>0</v>
      </c>
      <c r="K308" s="14" t="str">
        <f t="shared" ca="1" si="11"/>
        <v>OK</v>
      </c>
    </row>
    <row r="309" spans="1:11">
      <c r="A309" s="18" t="s">
        <v>2370</v>
      </c>
      <c r="B309" s="3" t="str">
        <f>IFERROR(INDEX(Movimientos!$C$5:$C$2001,MATCH(A309&amp;"ENTRADA",Movimientos!$R$5:$R$2001,0)),"-")</f>
        <v>-</v>
      </c>
      <c r="C309" s="3" t="str">
        <f>IFERROR(INDEX(Movimientos!$D$5:$D$2001,MATCH(A309&amp;"ENTRADA",Movimientos!$R$5:$R$2001,0)),"-")</f>
        <v>-</v>
      </c>
      <c r="D309" s="3" t="str">
        <f>IFERROR(INDEX(Movimientos!$E$5:$E$2001,MATCH(A309&amp;"ENTRADA",Movimientos!$R$5:$R$2001,0)),"-")</f>
        <v>-</v>
      </c>
      <c r="E309" s="3" t="str">
        <f>IFERROR(INDEX(Movimientos!$F$5:$F$2001,MATCH(A309&amp;"ENTRADA",Movimientos!$R$5:$R$2001,0)),"-")</f>
        <v>-</v>
      </c>
      <c r="F309" s="3" t="str">
        <f>IFERROR(INDEX(Movimientos!$G$5:$G$2001,MATCH(A309&amp;"ENTRADA",Movimientos!$R$5:$R$2001,0)),"-")</f>
        <v>-</v>
      </c>
      <c r="G309" s="3" t="str">
        <f>IFERROR(INDEX(Movimientos!$L$5:$L$2001,MATCH(A309&amp;"ENTRADA",Movimientos!$R$5:$R$2001,0)),"-")</f>
        <v>-</v>
      </c>
      <c r="H309" s="19" t="str">
        <f>IFERROR(IF(INDEX(Movimientos!$M$5:$M$2001,MATCH(A309&amp;"ENTRADA",Movimientos!$R$5:$R$2001,0))=0,"S/D",INDEX(Movimientos!$M$5:$M$2001,MATCH(A309&amp;"ENTRADA",Movimientos!$R$5:$R$2001,0))),"S/D")</f>
        <v>S/D</v>
      </c>
      <c r="I309" s="16" t="str">
        <f t="shared" ca="1" si="10"/>
        <v>S/D</v>
      </c>
      <c r="J309" s="6">
        <f>IF(A309="","",SUMIFS(Movimientos!$K:$K,Movimientos!$H:$H,A309))</f>
        <v>0</v>
      </c>
      <c r="K309" s="14" t="str">
        <f t="shared" ca="1" si="11"/>
        <v>OK</v>
      </c>
    </row>
    <row r="310" spans="1:11">
      <c r="A310" s="18" t="s">
        <v>2371</v>
      </c>
      <c r="B310" s="3" t="str">
        <f>IFERROR(INDEX(Movimientos!$C$5:$C$2001,MATCH(A310&amp;"ENTRADA",Movimientos!$R$5:$R$2001,0)),"-")</f>
        <v>-</v>
      </c>
      <c r="C310" s="3" t="str">
        <f>IFERROR(INDEX(Movimientos!$D$5:$D$2001,MATCH(A310&amp;"ENTRADA",Movimientos!$R$5:$R$2001,0)),"-")</f>
        <v>-</v>
      </c>
      <c r="D310" s="3" t="str">
        <f>IFERROR(INDEX(Movimientos!$E$5:$E$2001,MATCH(A310&amp;"ENTRADA",Movimientos!$R$5:$R$2001,0)),"-")</f>
        <v>-</v>
      </c>
      <c r="E310" s="3" t="str">
        <f>IFERROR(INDEX(Movimientos!$F$5:$F$2001,MATCH(A310&amp;"ENTRADA",Movimientos!$R$5:$R$2001,0)),"-")</f>
        <v>-</v>
      </c>
      <c r="F310" s="3" t="str">
        <f>IFERROR(INDEX(Movimientos!$G$5:$G$2001,MATCH(A310&amp;"ENTRADA",Movimientos!$R$5:$R$2001,0)),"-")</f>
        <v>-</v>
      </c>
      <c r="G310" s="3" t="str">
        <f>IFERROR(INDEX(Movimientos!$L$5:$L$2001,MATCH(A310&amp;"ENTRADA",Movimientos!$R$5:$R$2001,0)),"-")</f>
        <v>-</v>
      </c>
      <c r="H310" s="19" t="str">
        <f>IFERROR(IF(INDEX(Movimientos!$M$5:$M$2001,MATCH(A310&amp;"ENTRADA",Movimientos!$R$5:$R$2001,0))=0,"S/D",INDEX(Movimientos!$M$5:$M$2001,MATCH(A310&amp;"ENTRADA",Movimientos!$R$5:$R$2001,0))),"S/D")</f>
        <v>S/D</v>
      </c>
      <c r="I310" s="16" t="str">
        <f t="shared" ca="1" si="10"/>
        <v>S/D</v>
      </c>
      <c r="J310" s="6">
        <f>IF(A310="","",SUMIFS(Movimientos!$K:$K,Movimientos!$H:$H,A310))</f>
        <v>0</v>
      </c>
      <c r="K310" s="14" t="str">
        <f t="shared" ca="1" si="11"/>
        <v>OK</v>
      </c>
    </row>
    <row r="311" spans="1:11">
      <c r="A311" s="18" t="s">
        <v>2372</v>
      </c>
      <c r="B311" s="3" t="str">
        <f>IFERROR(INDEX(Movimientos!$C$5:$C$2001,MATCH(A311&amp;"ENTRADA",Movimientos!$R$5:$R$2001,0)),"-")</f>
        <v>-</v>
      </c>
      <c r="C311" s="3" t="str">
        <f>IFERROR(INDEX(Movimientos!$D$5:$D$2001,MATCH(A311&amp;"ENTRADA",Movimientos!$R$5:$R$2001,0)),"-")</f>
        <v>-</v>
      </c>
      <c r="D311" s="3" t="str">
        <f>IFERROR(INDEX(Movimientos!$E$5:$E$2001,MATCH(A311&amp;"ENTRADA",Movimientos!$R$5:$R$2001,0)),"-")</f>
        <v>-</v>
      </c>
      <c r="E311" s="3" t="str">
        <f>IFERROR(INDEX(Movimientos!$F$5:$F$2001,MATCH(A311&amp;"ENTRADA",Movimientos!$R$5:$R$2001,0)),"-")</f>
        <v>-</v>
      </c>
      <c r="F311" s="3" t="str">
        <f>IFERROR(INDEX(Movimientos!$G$5:$G$2001,MATCH(A311&amp;"ENTRADA",Movimientos!$R$5:$R$2001,0)),"-")</f>
        <v>-</v>
      </c>
      <c r="G311" s="3" t="str">
        <f>IFERROR(INDEX(Movimientos!$L$5:$L$2001,MATCH(A311&amp;"ENTRADA",Movimientos!$R$5:$R$2001,0)),"-")</f>
        <v>-</v>
      </c>
      <c r="H311" s="19" t="str">
        <f>IFERROR(IF(INDEX(Movimientos!$M$5:$M$2001,MATCH(A311&amp;"ENTRADA",Movimientos!$R$5:$R$2001,0))=0,"S/D",INDEX(Movimientos!$M$5:$M$2001,MATCH(A311&amp;"ENTRADA",Movimientos!$R$5:$R$2001,0))),"S/D")</f>
        <v>S/D</v>
      </c>
      <c r="I311" s="16" t="str">
        <f t="shared" ca="1" si="10"/>
        <v>S/D</v>
      </c>
      <c r="J311" s="6">
        <f>IF(A311="","",SUMIFS(Movimientos!$K:$K,Movimientos!$H:$H,A311))</f>
        <v>0</v>
      </c>
      <c r="K311" s="14" t="str">
        <f t="shared" ca="1" si="11"/>
        <v>OK</v>
      </c>
    </row>
    <row r="312" spans="1:11">
      <c r="A312" s="18" t="s">
        <v>2373</v>
      </c>
      <c r="B312" s="3" t="str">
        <f>IFERROR(INDEX(Movimientos!$C$5:$C$2001,MATCH(A312&amp;"ENTRADA",Movimientos!$R$5:$R$2001,0)),"-")</f>
        <v>-</v>
      </c>
      <c r="C312" s="3" t="str">
        <f>IFERROR(INDEX(Movimientos!$D$5:$D$2001,MATCH(A312&amp;"ENTRADA",Movimientos!$R$5:$R$2001,0)),"-")</f>
        <v>-</v>
      </c>
      <c r="D312" s="3" t="str">
        <f>IFERROR(INDEX(Movimientos!$E$5:$E$2001,MATCH(A312&amp;"ENTRADA",Movimientos!$R$5:$R$2001,0)),"-")</f>
        <v>-</v>
      </c>
      <c r="E312" s="3" t="str">
        <f>IFERROR(INDEX(Movimientos!$F$5:$F$2001,MATCH(A312&amp;"ENTRADA",Movimientos!$R$5:$R$2001,0)),"-")</f>
        <v>-</v>
      </c>
      <c r="F312" s="3" t="str">
        <f>IFERROR(INDEX(Movimientos!$G$5:$G$2001,MATCH(A312&amp;"ENTRADA",Movimientos!$R$5:$R$2001,0)),"-")</f>
        <v>-</v>
      </c>
      <c r="G312" s="3" t="str">
        <f>IFERROR(INDEX(Movimientos!$L$5:$L$2001,MATCH(A312&amp;"ENTRADA",Movimientos!$R$5:$R$2001,0)),"-")</f>
        <v>-</v>
      </c>
      <c r="H312" s="19" t="str">
        <f>IFERROR(IF(INDEX(Movimientos!$M$5:$M$2001,MATCH(A312&amp;"ENTRADA",Movimientos!$R$5:$R$2001,0))=0,"S/D",INDEX(Movimientos!$M$5:$M$2001,MATCH(A312&amp;"ENTRADA",Movimientos!$R$5:$R$2001,0))),"S/D")</f>
        <v>S/D</v>
      </c>
      <c r="I312" s="16" t="str">
        <f t="shared" ca="1" si="10"/>
        <v>S/D</v>
      </c>
      <c r="J312" s="6">
        <f>IF(A312="","",SUMIFS(Movimientos!$K:$K,Movimientos!$H:$H,A312))</f>
        <v>0</v>
      </c>
      <c r="K312" s="14" t="str">
        <f t="shared" ca="1" si="11"/>
        <v>OK</v>
      </c>
    </row>
    <row r="313" spans="1:11">
      <c r="A313" s="18" t="s">
        <v>2374</v>
      </c>
      <c r="B313" s="3" t="str">
        <f>IFERROR(INDEX(Movimientos!$C$5:$C$2001,MATCH(A313&amp;"ENTRADA",Movimientos!$R$5:$R$2001,0)),"-")</f>
        <v>-</v>
      </c>
      <c r="C313" s="3" t="str">
        <f>IFERROR(INDEX(Movimientos!$D$5:$D$2001,MATCH(A313&amp;"ENTRADA",Movimientos!$R$5:$R$2001,0)),"-")</f>
        <v>-</v>
      </c>
      <c r="D313" s="3" t="str">
        <f>IFERROR(INDEX(Movimientos!$E$5:$E$2001,MATCH(A313&amp;"ENTRADA",Movimientos!$R$5:$R$2001,0)),"-")</f>
        <v>-</v>
      </c>
      <c r="E313" s="3" t="str">
        <f>IFERROR(INDEX(Movimientos!$F$5:$F$2001,MATCH(A313&amp;"ENTRADA",Movimientos!$R$5:$R$2001,0)),"-")</f>
        <v>-</v>
      </c>
      <c r="F313" s="3" t="str">
        <f>IFERROR(INDEX(Movimientos!$G$5:$G$2001,MATCH(A313&amp;"ENTRADA",Movimientos!$R$5:$R$2001,0)),"-")</f>
        <v>-</v>
      </c>
      <c r="G313" s="3" t="str">
        <f>IFERROR(INDEX(Movimientos!$L$5:$L$2001,MATCH(A313&amp;"ENTRADA",Movimientos!$R$5:$R$2001,0)),"-")</f>
        <v>-</v>
      </c>
      <c r="H313" s="19" t="str">
        <f>IFERROR(IF(INDEX(Movimientos!$M$5:$M$2001,MATCH(A313&amp;"ENTRADA",Movimientos!$R$5:$R$2001,0))=0,"S/D",INDEX(Movimientos!$M$5:$M$2001,MATCH(A313&amp;"ENTRADA",Movimientos!$R$5:$R$2001,0))),"S/D")</f>
        <v>S/D</v>
      </c>
      <c r="I313" s="16" t="str">
        <f t="shared" ca="1" si="10"/>
        <v>S/D</v>
      </c>
      <c r="J313" s="6">
        <f>IF(A313="","",SUMIFS(Movimientos!$K:$K,Movimientos!$H:$H,A313))</f>
        <v>0</v>
      </c>
      <c r="K313" s="14" t="str">
        <f t="shared" ca="1" si="11"/>
        <v>OK</v>
      </c>
    </row>
    <row r="314" spans="1:11">
      <c r="A314" s="18" t="s">
        <v>2375</v>
      </c>
      <c r="B314" s="3" t="str">
        <f>IFERROR(INDEX(Movimientos!$C$5:$C$2001,MATCH(A314&amp;"ENTRADA",Movimientos!$R$5:$R$2001,0)),"-")</f>
        <v>-</v>
      </c>
      <c r="C314" s="3" t="str">
        <f>IFERROR(INDEX(Movimientos!$D$5:$D$2001,MATCH(A314&amp;"ENTRADA",Movimientos!$R$5:$R$2001,0)),"-")</f>
        <v>-</v>
      </c>
      <c r="D314" s="3" t="str">
        <f>IFERROR(INDEX(Movimientos!$E$5:$E$2001,MATCH(A314&amp;"ENTRADA",Movimientos!$R$5:$R$2001,0)),"-")</f>
        <v>-</v>
      </c>
      <c r="E314" s="3" t="str">
        <f>IFERROR(INDEX(Movimientos!$F$5:$F$2001,MATCH(A314&amp;"ENTRADA",Movimientos!$R$5:$R$2001,0)),"-")</f>
        <v>-</v>
      </c>
      <c r="F314" s="3" t="str">
        <f>IFERROR(INDEX(Movimientos!$G$5:$G$2001,MATCH(A314&amp;"ENTRADA",Movimientos!$R$5:$R$2001,0)),"-")</f>
        <v>-</v>
      </c>
      <c r="G314" s="3" t="str">
        <f>IFERROR(INDEX(Movimientos!$L$5:$L$2001,MATCH(A314&amp;"ENTRADA",Movimientos!$R$5:$R$2001,0)),"-")</f>
        <v>-</v>
      </c>
      <c r="H314" s="19" t="str">
        <f>IFERROR(IF(INDEX(Movimientos!$M$5:$M$2001,MATCH(A314&amp;"ENTRADA",Movimientos!$R$5:$R$2001,0))=0,"S/D",INDEX(Movimientos!$M$5:$M$2001,MATCH(A314&amp;"ENTRADA",Movimientos!$R$5:$R$2001,0))),"S/D")</f>
        <v>S/D</v>
      </c>
      <c r="I314" s="16" t="str">
        <f t="shared" ca="1" si="10"/>
        <v>S/D</v>
      </c>
      <c r="J314" s="6">
        <f>IF(A314="","",SUMIFS(Movimientos!$K:$K,Movimientos!$H:$H,A314))</f>
        <v>0</v>
      </c>
      <c r="K314" s="14" t="str">
        <f t="shared" ca="1" si="11"/>
        <v>OK</v>
      </c>
    </row>
    <row r="315" spans="1:11">
      <c r="A315" s="18" t="s">
        <v>2376</v>
      </c>
      <c r="B315" s="3" t="str">
        <f>IFERROR(INDEX(Movimientos!$C$5:$C$2001,MATCH(A315&amp;"ENTRADA",Movimientos!$R$5:$R$2001,0)),"-")</f>
        <v>-</v>
      </c>
      <c r="C315" s="3" t="str">
        <f>IFERROR(INDEX(Movimientos!$D$5:$D$2001,MATCH(A315&amp;"ENTRADA",Movimientos!$R$5:$R$2001,0)),"-")</f>
        <v>-</v>
      </c>
      <c r="D315" s="3" t="str">
        <f>IFERROR(INDEX(Movimientos!$E$5:$E$2001,MATCH(A315&amp;"ENTRADA",Movimientos!$R$5:$R$2001,0)),"-")</f>
        <v>-</v>
      </c>
      <c r="E315" s="3" t="str">
        <f>IFERROR(INDEX(Movimientos!$F$5:$F$2001,MATCH(A315&amp;"ENTRADA",Movimientos!$R$5:$R$2001,0)),"-")</f>
        <v>-</v>
      </c>
      <c r="F315" s="3" t="str">
        <f>IFERROR(INDEX(Movimientos!$G$5:$G$2001,MATCH(A315&amp;"ENTRADA",Movimientos!$R$5:$R$2001,0)),"-")</f>
        <v>-</v>
      </c>
      <c r="G315" s="3" t="str">
        <f>IFERROR(INDEX(Movimientos!$L$5:$L$2001,MATCH(A315&amp;"ENTRADA",Movimientos!$R$5:$R$2001,0)),"-")</f>
        <v>-</v>
      </c>
      <c r="H315" s="19" t="str">
        <f>IFERROR(IF(INDEX(Movimientos!$M$5:$M$2001,MATCH(A315&amp;"ENTRADA",Movimientos!$R$5:$R$2001,0))=0,"S/D",INDEX(Movimientos!$M$5:$M$2001,MATCH(A315&amp;"ENTRADA",Movimientos!$R$5:$R$2001,0))),"S/D")</f>
        <v>S/D</v>
      </c>
      <c r="I315" s="16" t="str">
        <f t="shared" ca="1" si="10"/>
        <v>S/D</v>
      </c>
      <c r="J315" s="6">
        <f>IF(A315="","",SUMIFS(Movimientos!$K:$K,Movimientos!$H:$H,A315))</f>
        <v>0</v>
      </c>
      <c r="K315" s="14" t="str">
        <f t="shared" ca="1" si="11"/>
        <v>OK</v>
      </c>
    </row>
    <row r="316" spans="1:11">
      <c r="A316" s="18" t="s">
        <v>2377</v>
      </c>
      <c r="B316" s="3" t="str">
        <f>IFERROR(INDEX(Movimientos!$C$5:$C$2001,MATCH(A316&amp;"ENTRADA",Movimientos!$R$5:$R$2001,0)),"-")</f>
        <v>-</v>
      </c>
      <c r="C316" s="3" t="str">
        <f>IFERROR(INDEX(Movimientos!$D$5:$D$2001,MATCH(A316&amp;"ENTRADA",Movimientos!$R$5:$R$2001,0)),"-")</f>
        <v>-</v>
      </c>
      <c r="D316" s="3" t="str">
        <f>IFERROR(INDEX(Movimientos!$E$5:$E$2001,MATCH(A316&amp;"ENTRADA",Movimientos!$R$5:$R$2001,0)),"-")</f>
        <v>-</v>
      </c>
      <c r="E316" s="3" t="str">
        <f>IFERROR(INDEX(Movimientos!$F$5:$F$2001,MATCH(A316&amp;"ENTRADA",Movimientos!$R$5:$R$2001,0)),"-")</f>
        <v>-</v>
      </c>
      <c r="F316" s="3" t="str">
        <f>IFERROR(INDEX(Movimientos!$G$5:$G$2001,MATCH(A316&amp;"ENTRADA",Movimientos!$R$5:$R$2001,0)),"-")</f>
        <v>-</v>
      </c>
      <c r="G316" s="3" t="str">
        <f>IFERROR(INDEX(Movimientos!$L$5:$L$2001,MATCH(A316&amp;"ENTRADA",Movimientos!$R$5:$R$2001,0)),"-")</f>
        <v>-</v>
      </c>
      <c r="H316" s="19" t="str">
        <f>IFERROR(IF(INDEX(Movimientos!$M$5:$M$2001,MATCH(A316&amp;"ENTRADA",Movimientos!$R$5:$R$2001,0))=0,"S/D",INDEX(Movimientos!$M$5:$M$2001,MATCH(A316&amp;"ENTRADA",Movimientos!$R$5:$R$2001,0))),"S/D")</f>
        <v>S/D</v>
      </c>
      <c r="I316" s="16" t="str">
        <f t="shared" ca="1" si="10"/>
        <v>S/D</v>
      </c>
      <c r="J316" s="6">
        <f>IF(A316="","",SUMIFS(Movimientos!$K:$K,Movimientos!$H:$H,A316))</f>
        <v>0</v>
      </c>
      <c r="K316" s="14" t="str">
        <f t="shared" ca="1" si="11"/>
        <v>OK</v>
      </c>
    </row>
    <row r="317" spans="1:11">
      <c r="A317" s="18" t="s">
        <v>2378</v>
      </c>
      <c r="B317" s="3" t="str">
        <f>IFERROR(INDEX(Movimientos!$C$5:$C$2001,MATCH(A317&amp;"ENTRADA",Movimientos!$R$5:$R$2001,0)),"-")</f>
        <v>-</v>
      </c>
      <c r="C317" s="3" t="str">
        <f>IFERROR(INDEX(Movimientos!$D$5:$D$2001,MATCH(A317&amp;"ENTRADA",Movimientos!$R$5:$R$2001,0)),"-")</f>
        <v>-</v>
      </c>
      <c r="D317" s="3" t="str">
        <f>IFERROR(INDEX(Movimientos!$E$5:$E$2001,MATCH(A317&amp;"ENTRADA",Movimientos!$R$5:$R$2001,0)),"-")</f>
        <v>-</v>
      </c>
      <c r="E317" s="3" t="str">
        <f>IFERROR(INDEX(Movimientos!$F$5:$F$2001,MATCH(A317&amp;"ENTRADA",Movimientos!$R$5:$R$2001,0)),"-")</f>
        <v>-</v>
      </c>
      <c r="F317" s="3" t="str">
        <f>IFERROR(INDEX(Movimientos!$G$5:$G$2001,MATCH(A317&amp;"ENTRADA",Movimientos!$R$5:$R$2001,0)),"-")</f>
        <v>-</v>
      </c>
      <c r="G317" s="3" t="str">
        <f>IFERROR(INDEX(Movimientos!$L$5:$L$2001,MATCH(A317&amp;"ENTRADA",Movimientos!$R$5:$R$2001,0)),"-")</f>
        <v>-</v>
      </c>
      <c r="H317" s="19" t="str">
        <f>IFERROR(IF(INDEX(Movimientos!$M$5:$M$2001,MATCH(A317&amp;"ENTRADA",Movimientos!$R$5:$R$2001,0))=0,"S/D",INDEX(Movimientos!$M$5:$M$2001,MATCH(A317&amp;"ENTRADA",Movimientos!$R$5:$R$2001,0))),"S/D")</f>
        <v>S/D</v>
      </c>
      <c r="I317" s="16" t="str">
        <f t="shared" ca="1" si="10"/>
        <v>S/D</v>
      </c>
      <c r="J317" s="6">
        <f>IF(A317="","",SUMIFS(Movimientos!$K:$K,Movimientos!$H:$H,A317))</f>
        <v>0</v>
      </c>
      <c r="K317" s="14" t="str">
        <f t="shared" ca="1" si="11"/>
        <v>OK</v>
      </c>
    </row>
    <row r="318" spans="1:11">
      <c r="A318" s="18" t="s">
        <v>2379</v>
      </c>
      <c r="B318" s="3" t="str">
        <f>IFERROR(INDEX(Movimientos!$C$5:$C$2001,MATCH(A318&amp;"ENTRADA",Movimientos!$R$5:$R$2001,0)),"-")</f>
        <v>-</v>
      </c>
      <c r="C318" s="3" t="str">
        <f>IFERROR(INDEX(Movimientos!$D$5:$D$2001,MATCH(A318&amp;"ENTRADA",Movimientos!$R$5:$R$2001,0)),"-")</f>
        <v>-</v>
      </c>
      <c r="D318" s="3" t="str">
        <f>IFERROR(INDEX(Movimientos!$E$5:$E$2001,MATCH(A318&amp;"ENTRADA",Movimientos!$R$5:$R$2001,0)),"-")</f>
        <v>-</v>
      </c>
      <c r="E318" s="3" t="str">
        <f>IFERROR(INDEX(Movimientos!$F$5:$F$2001,MATCH(A318&amp;"ENTRADA",Movimientos!$R$5:$R$2001,0)),"-")</f>
        <v>-</v>
      </c>
      <c r="F318" s="3" t="str">
        <f>IFERROR(INDEX(Movimientos!$G$5:$G$2001,MATCH(A318&amp;"ENTRADA",Movimientos!$R$5:$R$2001,0)),"-")</f>
        <v>-</v>
      </c>
      <c r="G318" s="3" t="str">
        <f>IFERROR(INDEX(Movimientos!$L$5:$L$2001,MATCH(A318&amp;"ENTRADA",Movimientos!$R$5:$R$2001,0)),"-")</f>
        <v>-</v>
      </c>
      <c r="H318" s="19" t="str">
        <f>IFERROR(IF(INDEX(Movimientos!$M$5:$M$2001,MATCH(A318&amp;"ENTRADA",Movimientos!$R$5:$R$2001,0))=0,"S/D",INDEX(Movimientos!$M$5:$M$2001,MATCH(A318&amp;"ENTRADA",Movimientos!$R$5:$R$2001,0))),"S/D")</f>
        <v>S/D</v>
      </c>
      <c r="I318" s="16" t="str">
        <f t="shared" ca="1" si="10"/>
        <v>S/D</v>
      </c>
      <c r="J318" s="6">
        <f>IF(A318="","",SUMIFS(Movimientos!$K:$K,Movimientos!$H:$H,A318))</f>
        <v>0</v>
      </c>
      <c r="K318" s="14" t="str">
        <f t="shared" ca="1" si="11"/>
        <v>OK</v>
      </c>
    </row>
    <row r="319" spans="1:11">
      <c r="A319" s="18" t="s">
        <v>2380</v>
      </c>
      <c r="B319" s="3" t="str">
        <f>IFERROR(INDEX(Movimientos!$C$5:$C$2001,MATCH(A319&amp;"ENTRADA",Movimientos!$R$5:$R$2001,0)),"-")</f>
        <v>-</v>
      </c>
      <c r="C319" s="3" t="str">
        <f>IFERROR(INDEX(Movimientos!$D$5:$D$2001,MATCH(A319&amp;"ENTRADA",Movimientos!$R$5:$R$2001,0)),"-")</f>
        <v>-</v>
      </c>
      <c r="D319" s="3" t="str">
        <f>IFERROR(INDEX(Movimientos!$E$5:$E$2001,MATCH(A319&amp;"ENTRADA",Movimientos!$R$5:$R$2001,0)),"-")</f>
        <v>-</v>
      </c>
      <c r="E319" s="3" t="str">
        <f>IFERROR(INDEX(Movimientos!$F$5:$F$2001,MATCH(A319&amp;"ENTRADA",Movimientos!$R$5:$R$2001,0)),"-")</f>
        <v>-</v>
      </c>
      <c r="F319" s="3" t="str">
        <f>IFERROR(INDEX(Movimientos!$G$5:$G$2001,MATCH(A319&amp;"ENTRADA",Movimientos!$R$5:$R$2001,0)),"-")</f>
        <v>-</v>
      </c>
      <c r="G319" s="3" t="str">
        <f>IFERROR(INDEX(Movimientos!$L$5:$L$2001,MATCH(A319&amp;"ENTRADA",Movimientos!$R$5:$R$2001,0)),"-")</f>
        <v>-</v>
      </c>
      <c r="H319" s="19" t="str">
        <f>IFERROR(IF(INDEX(Movimientos!$M$5:$M$2001,MATCH(A319&amp;"ENTRADA",Movimientos!$R$5:$R$2001,0))=0,"S/D",INDEX(Movimientos!$M$5:$M$2001,MATCH(A319&amp;"ENTRADA",Movimientos!$R$5:$R$2001,0))),"S/D")</f>
        <v>S/D</v>
      </c>
      <c r="I319" s="16" t="str">
        <f t="shared" ca="1" si="10"/>
        <v>S/D</v>
      </c>
      <c r="J319" s="6">
        <f>IF(A319="","",SUMIFS(Movimientos!$K:$K,Movimientos!$H:$H,A319))</f>
        <v>0</v>
      </c>
      <c r="K319" s="14" t="str">
        <f t="shared" ca="1" si="11"/>
        <v>OK</v>
      </c>
    </row>
    <row r="320" spans="1:11">
      <c r="A320" s="18" t="s">
        <v>2381</v>
      </c>
      <c r="B320" s="3" t="str">
        <f>IFERROR(INDEX(Movimientos!$C$5:$C$2001,MATCH(A320&amp;"ENTRADA",Movimientos!$R$5:$R$2001,0)),"-")</f>
        <v>-</v>
      </c>
      <c r="C320" s="3" t="str">
        <f>IFERROR(INDEX(Movimientos!$D$5:$D$2001,MATCH(A320&amp;"ENTRADA",Movimientos!$R$5:$R$2001,0)),"-")</f>
        <v>-</v>
      </c>
      <c r="D320" s="3" t="str">
        <f>IFERROR(INDEX(Movimientos!$E$5:$E$2001,MATCH(A320&amp;"ENTRADA",Movimientos!$R$5:$R$2001,0)),"-")</f>
        <v>-</v>
      </c>
      <c r="E320" s="3" t="str">
        <f>IFERROR(INDEX(Movimientos!$F$5:$F$2001,MATCH(A320&amp;"ENTRADA",Movimientos!$R$5:$R$2001,0)),"-")</f>
        <v>-</v>
      </c>
      <c r="F320" s="3" t="str">
        <f>IFERROR(INDEX(Movimientos!$G$5:$G$2001,MATCH(A320&amp;"ENTRADA",Movimientos!$R$5:$R$2001,0)),"-")</f>
        <v>-</v>
      </c>
      <c r="G320" s="3" t="str">
        <f>IFERROR(INDEX(Movimientos!$L$5:$L$2001,MATCH(A320&amp;"ENTRADA",Movimientos!$R$5:$R$2001,0)),"-")</f>
        <v>-</v>
      </c>
      <c r="H320" s="19" t="str">
        <f>IFERROR(IF(INDEX(Movimientos!$M$5:$M$2001,MATCH(A320&amp;"ENTRADA",Movimientos!$R$5:$R$2001,0))=0,"S/D",INDEX(Movimientos!$M$5:$M$2001,MATCH(A320&amp;"ENTRADA",Movimientos!$R$5:$R$2001,0))),"S/D")</f>
        <v>S/D</v>
      </c>
      <c r="I320" s="16" t="str">
        <f t="shared" ca="1" si="10"/>
        <v>S/D</v>
      </c>
      <c r="J320" s="6">
        <f>IF(A320="","",SUMIFS(Movimientos!$K:$K,Movimientos!$H:$H,A320))</f>
        <v>0</v>
      </c>
      <c r="K320" s="14" t="str">
        <f t="shared" ca="1" si="11"/>
        <v>OK</v>
      </c>
    </row>
    <row r="321" spans="1:11">
      <c r="A321" s="18" t="s">
        <v>2382</v>
      </c>
      <c r="B321" s="3" t="str">
        <f>IFERROR(INDEX(Movimientos!$C$5:$C$2001,MATCH(A321&amp;"ENTRADA",Movimientos!$R$5:$R$2001,0)),"-")</f>
        <v>-</v>
      </c>
      <c r="C321" s="3" t="str">
        <f>IFERROR(INDEX(Movimientos!$D$5:$D$2001,MATCH(A321&amp;"ENTRADA",Movimientos!$R$5:$R$2001,0)),"-")</f>
        <v>-</v>
      </c>
      <c r="D321" s="3" t="str">
        <f>IFERROR(INDEX(Movimientos!$E$5:$E$2001,MATCH(A321&amp;"ENTRADA",Movimientos!$R$5:$R$2001,0)),"-")</f>
        <v>-</v>
      </c>
      <c r="E321" s="3" t="str">
        <f>IFERROR(INDEX(Movimientos!$F$5:$F$2001,MATCH(A321&amp;"ENTRADA",Movimientos!$R$5:$R$2001,0)),"-")</f>
        <v>-</v>
      </c>
      <c r="F321" s="3" t="str">
        <f>IFERROR(INDEX(Movimientos!$G$5:$G$2001,MATCH(A321&amp;"ENTRADA",Movimientos!$R$5:$R$2001,0)),"-")</f>
        <v>-</v>
      </c>
      <c r="G321" s="3" t="str">
        <f>IFERROR(INDEX(Movimientos!$L$5:$L$2001,MATCH(A321&amp;"ENTRADA",Movimientos!$R$5:$R$2001,0)),"-")</f>
        <v>-</v>
      </c>
      <c r="H321" s="19" t="str">
        <f>IFERROR(IF(INDEX(Movimientos!$M$5:$M$2001,MATCH(A321&amp;"ENTRADA",Movimientos!$R$5:$R$2001,0))=0,"S/D",INDEX(Movimientos!$M$5:$M$2001,MATCH(A321&amp;"ENTRADA",Movimientos!$R$5:$R$2001,0))),"S/D")</f>
        <v>S/D</v>
      </c>
      <c r="I321" s="16" t="str">
        <f t="shared" ca="1" si="10"/>
        <v>S/D</v>
      </c>
      <c r="J321" s="6">
        <f>IF(A321="","",SUMIFS(Movimientos!$K:$K,Movimientos!$H:$H,A321))</f>
        <v>0</v>
      </c>
      <c r="K321" s="14" t="str">
        <f t="shared" ca="1" si="11"/>
        <v>OK</v>
      </c>
    </row>
    <row r="322" spans="1:11">
      <c r="A322" s="18" t="s">
        <v>2383</v>
      </c>
      <c r="B322" s="3" t="str">
        <f>IFERROR(INDEX(Movimientos!$C$5:$C$2001,MATCH(A322&amp;"ENTRADA",Movimientos!$R$5:$R$2001,0)),"-")</f>
        <v>-</v>
      </c>
      <c r="C322" s="3" t="str">
        <f>IFERROR(INDEX(Movimientos!$D$5:$D$2001,MATCH(A322&amp;"ENTRADA",Movimientos!$R$5:$R$2001,0)),"-")</f>
        <v>-</v>
      </c>
      <c r="D322" s="3" t="str">
        <f>IFERROR(INDEX(Movimientos!$E$5:$E$2001,MATCH(A322&amp;"ENTRADA",Movimientos!$R$5:$R$2001,0)),"-")</f>
        <v>-</v>
      </c>
      <c r="E322" s="3" t="str">
        <f>IFERROR(INDEX(Movimientos!$F$5:$F$2001,MATCH(A322&amp;"ENTRADA",Movimientos!$R$5:$R$2001,0)),"-")</f>
        <v>-</v>
      </c>
      <c r="F322" s="3" t="str">
        <f>IFERROR(INDEX(Movimientos!$G$5:$G$2001,MATCH(A322&amp;"ENTRADA",Movimientos!$R$5:$R$2001,0)),"-")</f>
        <v>-</v>
      </c>
      <c r="G322" s="3" t="str">
        <f>IFERROR(INDEX(Movimientos!$L$5:$L$2001,MATCH(A322&amp;"ENTRADA",Movimientos!$R$5:$R$2001,0)),"-")</f>
        <v>-</v>
      </c>
      <c r="H322" s="19" t="str">
        <f>IFERROR(IF(INDEX(Movimientos!$M$5:$M$2001,MATCH(A322&amp;"ENTRADA",Movimientos!$R$5:$R$2001,0))=0,"S/D",INDEX(Movimientos!$M$5:$M$2001,MATCH(A322&amp;"ENTRADA",Movimientos!$R$5:$R$2001,0))),"S/D")</f>
        <v>S/D</v>
      </c>
      <c r="I322" s="16" t="str">
        <f t="shared" ca="1" si="10"/>
        <v>S/D</v>
      </c>
      <c r="J322" s="6">
        <f>IF(A322="","",SUMIFS(Movimientos!$K:$K,Movimientos!$H:$H,A322))</f>
        <v>0</v>
      </c>
      <c r="K322" s="14" t="str">
        <f t="shared" ca="1" si="11"/>
        <v>OK</v>
      </c>
    </row>
    <row r="323" spans="1:11">
      <c r="A323" s="18" t="s">
        <v>2384</v>
      </c>
      <c r="B323" s="3" t="str">
        <f>IFERROR(INDEX(Movimientos!$C$5:$C$2001,MATCH(A323&amp;"ENTRADA",Movimientos!$R$5:$R$2001,0)),"-")</f>
        <v>-</v>
      </c>
      <c r="C323" s="3" t="str">
        <f>IFERROR(INDEX(Movimientos!$D$5:$D$2001,MATCH(A323&amp;"ENTRADA",Movimientos!$R$5:$R$2001,0)),"-")</f>
        <v>-</v>
      </c>
      <c r="D323" s="3" t="str">
        <f>IFERROR(INDEX(Movimientos!$E$5:$E$2001,MATCH(A323&amp;"ENTRADA",Movimientos!$R$5:$R$2001,0)),"-")</f>
        <v>-</v>
      </c>
      <c r="E323" s="3" t="str">
        <f>IFERROR(INDEX(Movimientos!$F$5:$F$2001,MATCH(A323&amp;"ENTRADA",Movimientos!$R$5:$R$2001,0)),"-")</f>
        <v>-</v>
      </c>
      <c r="F323" s="3" t="str">
        <f>IFERROR(INDEX(Movimientos!$G$5:$G$2001,MATCH(A323&amp;"ENTRADA",Movimientos!$R$5:$R$2001,0)),"-")</f>
        <v>-</v>
      </c>
      <c r="G323" s="3" t="str">
        <f>IFERROR(INDEX(Movimientos!$L$5:$L$2001,MATCH(A323&amp;"ENTRADA",Movimientos!$R$5:$R$2001,0)),"-")</f>
        <v>-</v>
      </c>
      <c r="H323" s="19" t="str">
        <f>IFERROR(IF(INDEX(Movimientos!$M$5:$M$2001,MATCH(A323&amp;"ENTRADA",Movimientos!$R$5:$R$2001,0))=0,"S/D",INDEX(Movimientos!$M$5:$M$2001,MATCH(A323&amp;"ENTRADA",Movimientos!$R$5:$R$2001,0))),"S/D")</f>
        <v>S/D</v>
      </c>
      <c r="I323" s="16" t="str">
        <f t="shared" ca="1" si="10"/>
        <v>S/D</v>
      </c>
      <c r="J323" s="6">
        <f>IF(A323="","",SUMIFS(Movimientos!$K:$K,Movimientos!$H:$H,A323))</f>
        <v>0</v>
      </c>
      <c r="K323" s="14" t="str">
        <f t="shared" ca="1" si="11"/>
        <v>OK</v>
      </c>
    </row>
    <row r="324" spans="1:11">
      <c r="A324" s="18" t="s">
        <v>2385</v>
      </c>
      <c r="B324" s="3" t="str">
        <f>IFERROR(INDEX(Movimientos!$C$5:$C$2001,MATCH(A324&amp;"ENTRADA",Movimientos!$R$5:$R$2001,0)),"-")</f>
        <v>-</v>
      </c>
      <c r="C324" s="3" t="str">
        <f>IFERROR(INDEX(Movimientos!$D$5:$D$2001,MATCH(A324&amp;"ENTRADA",Movimientos!$R$5:$R$2001,0)),"-")</f>
        <v>-</v>
      </c>
      <c r="D324" s="3" t="str">
        <f>IFERROR(INDEX(Movimientos!$E$5:$E$2001,MATCH(A324&amp;"ENTRADA",Movimientos!$R$5:$R$2001,0)),"-")</f>
        <v>-</v>
      </c>
      <c r="E324" s="3" t="str">
        <f>IFERROR(INDEX(Movimientos!$F$5:$F$2001,MATCH(A324&amp;"ENTRADA",Movimientos!$R$5:$R$2001,0)),"-")</f>
        <v>-</v>
      </c>
      <c r="F324" s="3" t="str">
        <f>IFERROR(INDEX(Movimientos!$G$5:$G$2001,MATCH(A324&amp;"ENTRADA",Movimientos!$R$5:$R$2001,0)),"-")</f>
        <v>-</v>
      </c>
      <c r="G324" s="3" t="str">
        <f>IFERROR(INDEX(Movimientos!$L$5:$L$2001,MATCH(A324&amp;"ENTRADA",Movimientos!$R$5:$R$2001,0)),"-")</f>
        <v>-</v>
      </c>
      <c r="H324" s="19" t="str">
        <f>IFERROR(IF(INDEX(Movimientos!$M$5:$M$2001,MATCH(A324&amp;"ENTRADA",Movimientos!$R$5:$R$2001,0))=0,"S/D",INDEX(Movimientos!$M$5:$M$2001,MATCH(A324&amp;"ENTRADA",Movimientos!$R$5:$R$2001,0))),"S/D")</f>
        <v>S/D</v>
      </c>
      <c r="I324" s="16" t="str">
        <f t="shared" ca="1" si="10"/>
        <v>S/D</v>
      </c>
      <c r="J324" s="6">
        <f>IF(A324="","",SUMIFS(Movimientos!$K:$K,Movimientos!$H:$H,A324))</f>
        <v>0</v>
      </c>
      <c r="K324" s="14" t="str">
        <f t="shared" ca="1" si="11"/>
        <v>OK</v>
      </c>
    </row>
    <row r="325" spans="1:11">
      <c r="A325" s="18" t="s">
        <v>2386</v>
      </c>
      <c r="B325" s="3" t="str">
        <f>IFERROR(INDEX(Movimientos!$C$5:$C$2001,MATCH(A325&amp;"ENTRADA",Movimientos!$R$5:$R$2001,0)),"-")</f>
        <v>-</v>
      </c>
      <c r="C325" s="3" t="str">
        <f>IFERROR(INDEX(Movimientos!$D$5:$D$2001,MATCH(A325&amp;"ENTRADA",Movimientos!$R$5:$R$2001,0)),"-")</f>
        <v>-</v>
      </c>
      <c r="D325" s="3" t="str">
        <f>IFERROR(INDEX(Movimientos!$E$5:$E$2001,MATCH(A325&amp;"ENTRADA",Movimientos!$R$5:$R$2001,0)),"-")</f>
        <v>-</v>
      </c>
      <c r="E325" s="3" t="str">
        <f>IFERROR(INDEX(Movimientos!$F$5:$F$2001,MATCH(A325&amp;"ENTRADA",Movimientos!$R$5:$R$2001,0)),"-")</f>
        <v>-</v>
      </c>
      <c r="F325" s="3" t="str">
        <f>IFERROR(INDEX(Movimientos!$G$5:$G$2001,MATCH(A325&amp;"ENTRADA",Movimientos!$R$5:$R$2001,0)),"-")</f>
        <v>-</v>
      </c>
      <c r="G325" s="3" t="str">
        <f>IFERROR(INDEX(Movimientos!$L$5:$L$2001,MATCH(A325&amp;"ENTRADA",Movimientos!$R$5:$R$2001,0)),"-")</f>
        <v>-</v>
      </c>
      <c r="H325" s="19" t="str">
        <f>IFERROR(IF(INDEX(Movimientos!$M$5:$M$2001,MATCH(A325&amp;"ENTRADA",Movimientos!$R$5:$R$2001,0))=0,"S/D",INDEX(Movimientos!$M$5:$M$2001,MATCH(A325&amp;"ENTRADA",Movimientos!$R$5:$R$2001,0))),"S/D")</f>
        <v>S/D</v>
      </c>
      <c r="I325" s="16" t="str">
        <f t="shared" ca="1" si="10"/>
        <v>S/D</v>
      </c>
      <c r="J325" s="6">
        <f>IF(A325="","",SUMIFS(Movimientos!$K:$K,Movimientos!$H:$H,A325))</f>
        <v>0</v>
      </c>
      <c r="K325" s="14" t="str">
        <f t="shared" ca="1" si="11"/>
        <v>OK</v>
      </c>
    </row>
    <row r="326" spans="1:11">
      <c r="A326" s="18" t="s">
        <v>2387</v>
      </c>
      <c r="B326" s="3" t="str">
        <f>IFERROR(INDEX(Movimientos!$C$5:$C$2001,MATCH(A326&amp;"ENTRADA",Movimientos!$R$5:$R$2001,0)),"-")</f>
        <v>-</v>
      </c>
      <c r="C326" s="3" t="str">
        <f>IFERROR(INDEX(Movimientos!$D$5:$D$2001,MATCH(A326&amp;"ENTRADA",Movimientos!$R$5:$R$2001,0)),"-")</f>
        <v>-</v>
      </c>
      <c r="D326" s="3" t="str">
        <f>IFERROR(INDEX(Movimientos!$E$5:$E$2001,MATCH(A326&amp;"ENTRADA",Movimientos!$R$5:$R$2001,0)),"-")</f>
        <v>-</v>
      </c>
      <c r="E326" s="3" t="str">
        <f>IFERROR(INDEX(Movimientos!$F$5:$F$2001,MATCH(A326&amp;"ENTRADA",Movimientos!$R$5:$R$2001,0)),"-")</f>
        <v>-</v>
      </c>
      <c r="F326" s="3" t="str">
        <f>IFERROR(INDEX(Movimientos!$G$5:$G$2001,MATCH(A326&amp;"ENTRADA",Movimientos!$R$5:$R$2001,0)),"-")</f>
        <v>-</v>
      </c>
      <c r="G326" s="3" t="str">
        <f>IFERROR(INDEX(Movimientos!$L$5:$L$2001,MATCH(A326&amp;"ENTRADA",Movimientos!$R$5:$R$2001,0)),"-")</f>
        <v>-</v>
      </c>
      <c r="H326" s="19" t="str">
        <f>IFERROR(IF(INDEX(Movimientos!$M$5:$M$2001,MATCH(A326&amp;"ENTRADA",Movimientos!$R$5:$R$2001,0))=0,"S/D",INDEX(Movimientos!$M$5:$M$2001,MATCH(A326&amp;"ENTRADA",Movimientos!$R$5:$R$2001,0))),"S/D")</f>
        <v>S/D</v>
      </c>
      <c r="I326" s="16" t="str">
        <f t="shared" ca="1" si="10"/>
        <v>S/D</v>
      </c>
      <c r="J326" s="6">
        <f>IF(A326="","",SUMIFS(Movimientos!$K:$K,Movimientos!$H:$H,A326))</f>
        <v>0</v>
      </c>
      <c r="K326" s="14" t="str">
        <f t="shared" ca="1" si="11"/>
        <v>OK</v>
      </c>
    </row>
    <row r="327" spans="1:11">
      <c r="A327" s="18" t="s">
        <v>2388</v>
      </c>
      <c r="B327" s="3" t="str">
        <f>IFERROR(INDEX(Movimientos!$C$5:$C$2001,MATCH(A327&amp;"ENTRADA",Movimientos!$R$5:$R$2001,0)),"-")</f>
        <v>-</v>
      </c>
      <c r="C327" s="3" t="str">
        <f>IFERROR(INDEX(Movimientos!$D$5:$D$2001,MATCH(A327&amp;"ENTRADA",Movimientos!$R$5:$R$2001,0)),"-")</f>
        <v>-</v>
      </c>
      <c r="D327" s="3" t="str">
        <f>IFERROR(INDEX(Movimientos!$E$5:$E$2001,MATCH(A327&amp;"ENTRADA",Movimientos!$R$5:$R$2001,0)),"-")</f>
        <v>-</v>
      </c>
      <c r="E327" s="3" t="str">
        <f>IFERROR(INDEX(Movimientos!$F$5:$F$2001,MATCH(A327&amp;"ENTRADA",Movimientos!$R$5:$R$2001,0)),"-")</f>
        <v>-</v>
      </c>
      <c r="F327" s="3" t="str">
        <f>IFERROR(INDEX(Movimientos!$G$5:$G$2001,MATCH(A327&amp;"ENTRADA",Movimientos!$R$5:$R$2001,0)),"-")</f>
        <v>-</v>
      </c>
      <c r="G327" s="3" t="str">
        <f>IFERROR(INDEX(Movimientos!$L$5:$L$2001,MATCH(A327&amp;"ENTRADA",Movimientos!$R$5:$R$2001,0)),"-")</f>
        <v>-</v>
      </c>
      <c r="H327" s="19" t="str">
        <f>IFERROR(IF(INDEX(Movimientos!$M$5:$M$2001,MATCH(A327&amp;"ENTRADA",Movimientos!$R$5:$R$2001,0))=0,"S/D",INDEX(Movimientos!$M$5:$M$2001,MATCH(A327&amp;"ENTRADA",Movimientos!$R$5:$R$2001,0))),"S/D")</f>
        <v>S/D</v>
      </c>
      <c r="I327" s="16" t="str">
        <f t="shared" ca="1" si="10"/>
        <v>S/D</v>
      </c>
      <c r="J327" s="6">
        <f>IF(A327="","",SUMIFS(Movimientos!$K:$K,Movimientos!$H:$H,A327))</f>
        <v>0</v>
      </c>
      <c r="K327" s="14" t="str">
        <f t="shared" ca="1" si="11"/>
        <v>OK</v>
      </c>
    </row>
    <row r="328" spans="1:11">
      <c r="A328" s="18" t="s">
        <v>2389</v>
      </c>
      <c r="B328" s="3" t="str">
        <f>IFERROR(INDEX(Movimientos!$C$5:$C$2001,MATCH(A328&amp;"ENTRADA",Movimientos!$R$5:$R$2001,0)),"-")</f>
        <v>-</v>
      </c>
      <c r="C328" s="3" t="str">
        <f>IFERROR(INDEX(Movimientos!$D$5:$D$2001,MATCH(A328&amp;"ENTRADA",Movimientos!$R$5:$R$2001,0)),"-")</f>
        <v>-</v>
      </c>
      <c r="D328" s="3" t="str">
        <f>IFERROR(INDEX(Movimientos!$E$5:$E$2001,MATCH(A328&amp;"ENTRADA",Movimientos!$R$5:$R$2001,0)),"-")</f>
        <v>-</v>
      </c>
      <c r="E328" s="3" t="str">
        <f>IFERROR(INDEX(Movimientos!$F$5:$F$2001,MATCH(A328&amp;"ENTRADA",Movimientos!$R$5:$R$2001,0)),"-")</f>
        <v>-</v>
      </c>
      <c r="F328" s="3" t="str">
        <f>IFERROR(INDEX(Movimientos!$G$5:$G$2001,MATCH(A328&amp;"ENTRADA",Movimientos!$R$5:$R$2001,0)),"-")</f>
        <v>-</v>
      </c>
      <c r="G328" s="3" t="str">
        <f>IFERROR(INDEX(Movimientos!$L$5:$L$2001,MATCH(A328&amp;"ENTRADA",Movimientos!$R$5:$R$2001,0)),"-")</f>
        <v>-</v>
      </c>
      <c r="H328" s="19" t="str">
        <f>IFERROR(IF(INDEX(Movimientos!$M$5:$M$2001,MATCH(A328&amp;"ENTRADA",Movimientos!$R$5:$R$2001,0))=0,"S/D",INDEX(Movimientos!$M$5:$M$2001,MATCH(A328&amp;"ENTRADA",Movimientos!$R$5:$R$2001,0))),"S/D")</f>
        <v>S/D</v>
      </c>
      <c r="I328" s="16" t="str">
        <f t="shared" ca="1" si="10"/>
        <v>S/D</v>
      </c>
      <c r="J328" s="6">
        <f>IF(A328="","",SUMIFS(Movimientos!$K:$K,Movimientos!$H:$H,A328))</f>
        <v>0</v>
      </c>
      <c r="K328" s="14" t="str">
        <f t="shared" ca="1" si="11"/>
        <v>OK</v>
      </c>
    </row>
    <row r="329" spans="1:11">
      <c r="A329" s="18" t="s">
        <v>2390</v>
      </c>
      <c r="B329" s="3" t="str">
        <f>IFERROR(INDEX(Movimientos!$C$5:$C$2001,MATCH(A329&amp;"ENTRADA",Movimientos!$R$5:$R$2001,0)),"-")</f>
        <v>-</v>
      </c>
      <c r="C329" s="3" t="str">
        <f>IFERROR(INDEX(Movimientos!$D$5:$D$2001,MATCH(A329&amp;"ENTRADA",Movimientos!$R$5:$R$2001,0)),"-")</f>
        <v>-</v>
      </c>
      <c r="D329" s="3" t="str">
        <f>IFERROR(INDEX(Movimientos!$E$5:$E$2001,MATCH(A329&amp;"ENTRADA",Movimientos!$R$5:$R$2001,0)),"-")</f>
        <v>-</v>
      </c>
      <c r="E329" s="3" t="str">
        <f>IFERROR(INDEX(Movimientos!$F$5:$F$2001,MATCH(A329&amp;"ENTRADA",Movimientos!$R$5:$R$2001,0)),"-")</f>
        <v>-</v>
      </c>
      <c r="F329" s="3" t="str">
        <f>IFERROR(INDEX(Movimientos!$G$5:$G$2001,MATCH(A329&amp;"ENTRADA",Movimientos!$R$5:$R$2001,0)),"-")</f>
        <v>-</v>
      </c>
      <c r="G329" s="3" t="str">
        <f>IFERROR(INDEX(Movimientos!$L$5:$L$2001,MATCH(A329&amp;"ENTRADA",Movimientos!$R$5:$R$2001,0)),"-")</f>
        <v>-</v>
      </c>
      <c r="H329" s="19" t="str">
        <f>IFERROR(IF(INDEX(Movimientos!$M$5:$M$2001,MATCH(A329&amp;"ENTRADA",Movimientos!$R$5:$R$2001,0))=0,"S/D",INDEX(Movimientos!$M$5:$M$2001,MATCH(A329&amp;"ENTRADA",Movimientos!$R$5:$R$2001,0))),"S/D")</f>
        <v>S/D</v>
      </c>
      <c r="I329" s="16" t="str">
        <f t="shared" ca="1" si="10"/>
        <v>S/D</v>
      </c>
      <c r="J329" s="6">
        <f>IF(A329="","",SUMIFS(Movimientos!$K:$K,Movimientos!$H:$H,A329))</f>
        <v>0</v>
      </c>
      <c r="K329" s="14" t="str">
        <f t="shared" ca="1" si="11"/>
        <v>OK</v>
      </c>
    </row>
    <row r="330" spans="1:11">
      <c r="A330" s="18" t="s">
        <v>2391</v>
      </c>
      <c r="B330" s="3" t="str">
        <f>IFERROR(INDEX(Movimientos!$C$5:$C$2001,MATCH(A330&amp;"ENTRADA",Movimientos!$R$5:$R$2001,0)),"-")</f>
        <v>-</v>
      </c>
      <c r="C330" s="3" t="str">
        <f>IFERROR(INDEX(Movimientos!$D$5:$D$2001,MATCH(A330&amp;"ENTRADA",Movimientos!$R$5:$R$2001,0)),"-")</f>
        <v>-</v>
      </c>
      <c r="D330" s="3" t="str">
        <f>IFERROR(INDEX(Movimientos!$E$5:$E$2001,MATCH(A330&amp;"ENTRADA",Movimientos!$R$5:$R$2001,0)),"-")</f>
        <v>-</v>
      </c>
      <c r="E330" s="3" t="str">
        <f>IFERROR(INDEX(Movimientos!$F$5:$F$2001,MATCH(A330&amp;"ENTRADA",Movimientos!$R$5:$R$2001,0)),"-")</f>
        <v>-</v>
      </c>
      <c r="F330" s="3" t="str">
        <f>IFERROR(INDEX(Movimientos!$G$5:$G$2001,MATCH(A330&amp;"ENTRADA",Movimientos!$R$5:$R$2001,0)),"-")</f>
        <v>-</v>
      </c>
      <c r="G330" s="3" t="str">
        <f>IFERROR(INDEX(Movimientos!$L$5:$L$2001,MATCH(A330&amp;"ENTRADA",Movimientos!$R$5:$R$2001,0)),"-")</f>
        <v>-</v>
      </c>
      <c r="H330" s="19" t="str">
        <f>IFERROR(IF(INDEX(Movimientos!$M$5:$M$2001,MATCH(A330&amp;"ENTRADA",Movimientos!$R$5:$R$2001,0))=0,"S/D",INDEX(Movimientos!$M$5:$M$2001,MATCH(A330&amp;"ENTRADA",Movimientos!$R$5:$R$2001,0))),"S/D")</f>
        <v>S/D</v>
      </c>
      <c r="I330" s="16" t="str">
        <f t="shared" ca="1" si="10"/>
        <v>S/D</v>
      </c>
      <c r="J330" s="6">
        <f>IF(A330="","",SUMIFS(Movimientos!$K:$K,Movimientos!$H:$H,A330))</f>
        <v>0</v>
      </c>
      <c r="K330" s="14" t="str">
        <f t="shared" ca="1" si="11"/>
        <v>OK</v>
      </c>
    </row>
    <row r="331" spans="1:11">
      <c r="A331" s="18" t="s">
        <v>2392</v>
      </c>
      <c r="B331" s="3" t="str">
        <f>IFERROR(INDEX(Movimientos!$C$5:$C$2001,MATCH(A331&amp;"ENTRADA",Movimientos!$R$5:$R$2001,0)),"-")</f>
        <v>-</v>
      </c>
      <c r="C331" s="3" t="str">
        <f>IFERROR(INDEX(Movimientos!$D$5:$D$2001,MATCH(A331&amp;"ENTRADA",Movimientos!$R$5:$R$2001,0)),"-")</f>
        <v>-</v>
      </c>
      <c r="D331" s="3" t="str">
        <f>IFERROR(INDEX(Movimientos!$E$5:$E$2001,MATCH(A331&amp;"ENTRADA",Movimientos!$R$5:$R$2001,0)),"-")</f>
        <v>-</v>
      </c>
      <c r="E331" s="3" t="str">
        <f>IFERROR(INDEX(Movimientos!$F$5:$F$2001,MATCH(A331&amp;"ENTRADA",Movimientos!$R$5:$R$2001,0)),"-")</f>
        <v>-</v>
      </c>
      <c r="F331" s="3" t="str">
        <f>IFERROR(INDEX(Movimientos!$G$5:$G$2001,MATCH(A331&amp;"ENTRADA",Movimientos!$R$5:$R$2001,0)),"-")</f>
        <v>-</v>
      </c>
      <c r="G331" s="3" t="str">
        <f>IFERROR(INDEX(Movimientos!$L$5:$L$2001,MATCH(A331&amp;"ENTRADA",Movimientos!$R$5:$R$2001,0)),"-")</f>
        <v>-</v>
      </c>
      <c r="H331" s="19" t="str">
        <f>IFERROR(IF(INDEX(Movimientos!$M$5:$M$2001,MATCH(A331&amp;"ENTRADA",Movimientos!$R$5:$R$2001,0))=0,"S/D",INDEX(Movimientos!$M$5:$M$2001,MATCH(A331&amp;"ENTRADA",Movimientos!$R$5:$R$2001,0))),"S/D")</f>
        <v>S/D</v>
      </c>
      <c r="I331" s="16" t="str">
        <f t="shared" ref="I331:I394" ca="1" si="12">IF(OR(A331="",H331="S/D"),"S/D",H331-TODAY())</f>
        <v>S/D</v>
      </c>
      <c r="J331" s="6">
        <f>IF(A331="","",SUMIFS(Movimientos!$K:$K,Movimientos!$H:$H,A331))</f>
        <v>0</v>
      </c>
      <c r="K331" s="14" t="str">
        <f t="shared" ref="K331:K394" ca="1" si="13">IF(A331="","",IF(H331="S/D","OK",IF(H331&lt;TODAY(),"VENCIDO",IF(J331&lt;=0,"SIN STOCK",IF(I331&gt;=180,"OK","PRÓXIMO A VENCER")))))</f>
        <v>OK</v>
      </c>
    </row>
    <row r="332" spans="1:11">
      <c r="A332" s="18" t="s">
        <v>2393</v>
      </c>
      <c r="B332" s="3" t="str">
        <f>IFERROR(INDEX(Movimientos!$C$5:$C$2001,MATCH(A332&amp;"ENTRADA",Movimientos!$R$5:$R$2001,0)),"-")</f>
        <v>-</v>
      </c>
      <c r="C332" s="3" t="str">
        <f>IFERROR(INDEX(Movimientos!$D$5:$D$2001,MATCH(A332&amp;"ENTRADA",Movimientos!$R$5:$R$2001,0)),"-")</f>
        <v>-</v>
      </c>
      <c r="D332" s="3" t="str">
        <f>IFERROR(INDEX(Movimientos!$E$5:$E$2001,MATCH(A332&amp;"ENTRADA",Movimientos!$R$5:$R$2001,0)),"-")</f>
        <v>-</v>
      </c>
      <c r="E332" s="3" t="str">
        <f>IFERROR(INDEX(Movimientos!$F$5:$F$2001,MATCH(A332&amp;"ENTRADA",Movimientos!$R$5:$R$2001,0)),"-")</f>
        <v>-</v>
      </c>
      <c r="F332" s="3" t="str">
        <f>IFERROR(INDEX(Movimientos!$G$5:$G$2001,MATCH(A332&amp;"ENTRADA",Movimientos!$R$5:$R$2001,0)),"-")</f>
        <v>-</v>
      </c>
      <c r="G332" s="3" t="str">
        <f>IFERROR(INDEX(Movimientos!$L$5:$L$2001,MATCH(A332&amp;"ENTRADA",Movimientos!$R$5:$R$2001,0)),"-")</f>
        <v>-</v>
      </c>
      <c r="H332" s="19" t="str">
        <f>IFERROR(IF(INDEX(Movimientos!$M$5:$M$2001,MATCH(A332&amp;"ENTRADA",Movimientos!$R$5:$R$2001,0))=0,"S/D",INDEX(Movimientos!$M$5:$M$2001,MATCH(A332&amp;"ENTRADA",Movimientos!$R$5:$R$2001,0))),"S/D")</f>
        <v>S/D</v>
      </c>
      <c r="I332" s="16" t="str">
        <f t="shared" ca="1" si="12"/>
        <v>S/D</v>
      </c>
      <c r="J332" s="6">
        <f>IF(A332="","",SUMIFS(Movimientos!$K:$K,Movimientos!$H:$H,A332))</f>
        <v>0</v>
      </c>
      <c r="K332" s="14" t="str">
        <f t="shared" ca="1" si="13"/>
        <v>OK</v>
      </c>
    </row>
    <row r="333" spans="1:11">
      <c r="A333" s="18" t="s">
        <v>2394</v>
      </c>
      <c r="B333" s="3" t="str">
        <f>IFERROR(INDEX(Movimientos!$C$5:$C$2001,MATCH(A333&amp;"ENTRADA",Movimientos!$R$5:$R$2001,0)),"-")</f>
        <v>-</v>
      </c>
      <c r="C333" s="3" t="str">
        <f>IFERROR(INDEX(Movimientos!$D$5:$D$2001,MATCH(A333&amp;"ENTRADA",Movimientos!$R$5:$R$2001,0)),"-")</f>
        <v>-</v>
      </c>
      <c r="D333" s="3" t="str">
        <f>IFERROR(INDEX(Movimientos!$E$5:$E$2001,MATCH(A333&amp;"ENTRADA",Movimientos!$R$5:$R$2001,0)),"-")</f>
        <v>-</v>
      </c>
      <c r="E333" s="3" t="str">
        <f>IFERROR(INDEX(Movimientos!$F$5:$F$2001,MATCH(A333&amp;"ENTRADA",Movimientos!$R$5:$R$2001,0)),"-")</f>
        <v>-</v>
      </c>
      <c r="F333" s="3" t="str">
        <f>IFERROR(INDEX(Movimientos!$G$5:$G$2001,MATCH(A333&amp;"ENTRADA",Movimientos!$R$5:$R$2001,0)),"-")</f>
        <v>-</v>
      </c>
      <c r="G333" s="3" t="str">
        <f>IFERROR(INDEX(Movimientos!$L$5:$L$2001,MATCH(A333&amp;"ENTRADA",Movimientos!$R$5:$R$2001,0)),"-")</f>
        <v>-</v>
      </c>
      <c r="H333" s="19" t="str">
        <f>IFERROR(IF(INDEX(Movimientos!$M$5:$M$2001,MATCH(A333&amp;"ENTRADA",Movimientos!$R$5:$R$2001,0))=0,"S/D",INDEX(Movimientos!$M$5:$M$2001,MATCH(A333&amp;"ENTRADA",Movimientos!$R$5:$R$2001,0))),"S/D")</f>
        <v>S/D</v>
      </c>
      <c r="I333" s="16" t="str">
        <f t="shared" ca="1" si="12"/>
        <v>S/D</v>
      </c>
      <c r="J333" s="6">
        <f>IF(A333="","",SUMIFS(Movimientos!$K:$K,Movimientos!$H:$H,A333))</f>
        <v>0</v>
      </c>
      <c r="K333" s="14" t="str">
        <f t="shared" ca="1" si="13"/>
        <v>OK</v>
      </c>
    </row>
    <row r="334" spans="1:11">
      <c r="A334" s="18" t="s">
        <v>2395</v>
      </c>
      <c r="B334" s="3" t="str">
        <f>IFERROR(INDEX(Movimientos!$C$5:$C$2001,MATCH(A334&amp;"ENTRADA",Movimientos!$R$5:$R$2001,0)),"-")</f>
        <v>-</v>
      </c>
      <c r="C334" s="3" t="str">
        <f>IFERROR(INDEX(Movimientos!$D$5:$D$2001,MATCH(A334&amp;"ENTRADA",Movimientos!$R$5:$R$2001,0)),"-")</f>
        <v>-</v>
      </c>
      <c r="D334" s="3" t="str">
        <f>IFERROR(INDEX(Movimientos!$E$5:$E$2001,MATCH(A334&amp;"ENTRADA",Movimientos!$R$5:$R$2001,0)),"-")</f>
        <v>-</v>
      </c>
      <c r="E334" s="3" t="str">
        <f>IFERROR(INDEX(Movimientos!$F$5:$F$2001,MATCH(A334&amp;"ENTRADA",Movimientos!$R$5:$R$2001,0)),"-")</f>
        <v>-</v>
      </c>
      <c r="F334" s="3" t="str">
        <f>IFERROR(INDEX(Movimientos!$G$5:$G$2001,MATCH(A334&amp;"ENTRADA",Movimientos!$R$5:$R$2001,0)),"-")</f>
        <v>-</v>
      </c>
      <c r="G334" s="3" t="str">
        <f>IFERROR(INDEX(Movimientos!$L$5:$L$2001,MATCH(A334&amp;"ENTRADA",Movimientos!$R$5:$R$2001,0)),"-")</f>
        <v>-</v>
      </c>
      <c r="H334" s="19" t="str">
        <f>IFERROR(IF(INDEX(Movimientos!$M$5:$M$2001,MATCH(A334&amp;"ENTRADA",Movimientos!$R$5:$R$2001,0))=0,"S/D",INDEX(Movimientos!$M$5:$M$2001,MATCH(A334&amp;"ENTRADA",Movimientos!$R$5:$R$2001,0))),"S/D")</f>
        <v>S/D</v>
      </c>
      <c r="I334" s="16" t="str">
        <f t="shared" ca="1" si="12"/>
        <v>S/D</v>
      </c>
      <c r="J334" s="6">
        <f>IF(A334="","",SUMIFS(Movimientos!$K:$K,Movimientos!$H:$H,A334))</f>
        <v>0</v>
      </c>
      <c r="K334" s="14" t="str">
        <f t="shared" ca="1" si="13"/>
        <v>OK</v>
      </c>
    </row>
    <row r="335" spans="1:11">
      <c r="A335" s="18" t="s">
        <v>2396</v>
      </c>
      <c r="B335" s="3" t="str">
        <f>IFERROR(INDEX(Movimientos!$C$5:$C$2001,MATCH(A335&amp;"ENTRADA",Movimientos!$R$5:$R$2001,0)),"-")</f>
        <v>-</v>
      </c>
      <c r="C335" s="3" t="str">
        <f>IFERROR(INDEX(Movimientos!$D$5:$D$2001,MATCH(A335&amp;"ENTRADA",Movimientos!$R$5:$R$2001,0)),"-")</f>
        <v>-</v>
      </c>
      <c r="D335" s="3" t="str">
        <f>IFERROR(INDEX(Movimientos!$E$5:$E$2001,MATCH(A335&amp;"ENTRADA",Movimientos!$R$5:$R$2001,0)),"-")</f>
        <v>-</v>
      </c>
      <c r="E335" s="3" t="str">
        <f>IFERROR(INDEX(Movimientos!$F$5:$F$2001,MATCH(A335&amp;"ENTRADA",Movimientos!$R$5:$R$2001,0)),"-")</f>
        <v>-</v>
      </c>
      <c r="F335" s="3" t="str">
        <f>IFERROR(INDEX(Movimientos!$G$5:$G$2001,MATCH(A335&amp;"ENTRADA",Movimientos!$R$5:$R$2001,0)),"-")</f>
        <v>-</v>
      </c>
      <c r="G335" s="3" t="str">
        <f>IFERROR(INDEX(Movimientos!$L$5:$L$2001,MATCH(A335&amp;"ENTRADA",Movimientos!$R$5:$R$2001,0)),"-")</f>
        <v>-</v>
      </c>
      <c r="H335" s="19" t="str">
        <f>IFERROR(IF(INDEX(Movimientos!$M$5:$M$2001,MATCH(A335&amp;"ENTRADA",Movimientos!$R$5:$R$2001,0))=0,"S/D",INDEX(Movimientos!$M$5:$M$2001,MATCH(A335&amp;"ENTRADA",Movimientos!$R$5:$R$2001,0))),"S/D")</f>
        <v>S/D</v>
      </c>
      <c r="I335" s="16" t="str">
        <f t="shared" ca="1" si="12"/>
        <v>S/D</v>
      </c>
      <c r="J335" s="6">
        <f>IF(A335="","",SUMIFS(Movimientos!$K:$K,Movimientos!$H:$H,A335))</f>
        <v>0</v>
      </c>
      <c r="K335" s="14" t="str">
        <f t="shared" ca="1" si="13"/>
        <v>OK</v>
      </c>
    </row>
    <row r="336" spans="1:11">
      <c r="A336" s="18" t="s">
        <v>2397</v>
      </c>
      <c r="B336" s="3" t="str">
        <f>IFERROR(INDEX(Movimientos!$C$5:$C$2001,MATCH(A336&amp;"ENTRADA",Movimientos!$R$5:$R$2001,0)),"-")</f>
        <v>-</v>
      </c>
      <c r="C336" s="3" t="str">
        <f>IFERROR(INDEX(Movimientos!$D$5:$D$2001,MATCH(A336&amp;"ENTRADA",Movimientos!$R$5:$R$2001,0)),"-")</f>
        <v>-</v>
      </c>
      <c r="D336" s="3" t="str">
        <f>IFERROR(INDEX(Movimientos!$E$5:$E$2001,MATCH(A336&amp;"ENTRADA",Movimientos!$R$5:$R$2001,0)),"-")</f>
        <v>-</v>
      </c>
      <c r="E336" s="3" t="str">
        <f>IFERROR(INDEX(Movimientos!$F$5:$F$2001,MATCH(A336&amp;"ENTRADA",Movimientos!$R$5:$R$2001,0)),"-")</f>
        <v>-</v>
      </c>
      <c r="F336" s="3" t="str">
        <f>IFERROR(INDEX(Movimientos!$G$5:$G$2001,MATCH(A336&amp;"ENTRADA",Movimientos!$R$5:$R$2001,0)),"-")</f>
        <v>-</v>
      </c>
      <c r="G336" s="3" t="str">
        <f>IFERROR(INDEX(Movimientos!$L$5:$L$2001,MATCH(A336&amp;"ENTRADA",Movimientos!$R$5:$R$2001,0)),"-")</f>
        <v>-</v>
      </c>
      <c r="H336" s="19" t="str">
        <f>IFERROR(IF(INDEX(Movimientos!$M$5:$M$2001,MATCH(A336&amp;"ENTRADA",Movimientos!$R$5:$R$2001,0))=0,"S/D",INDEX(Movimientos!$M$5:$M$2001,MATCH(A336&amp;"ENTRADA",Movimientos!$R$5:$R$2001,0))),"S/D")</f>
        <v>S/D</v>
      </c>
      <c r="I336" s="16" t="str">
        <f t="shared" ca="1" si="12"/>
        <v>S/D</v>
      </c>
      <c r="J336" s="6">
        <f>IF(A336="","",SUMIFS(Movimientos!$K:$K,Movimientos!$H:$H,A336))</f>
        <v>0</v>
      </c>
      <c r="K336" s="14" t="str">
        <f t="shared" ca="1" si="13"/>
        <v>OK</v>
      </c>
    </row>
    <row r="337" spans="1:11">
      <c r="A337" s="18" t="s">
        <v>2398</v>
      </c>
      <c r="B337" s="3" t="str">
        <f>IFERROR(INDEX(Movimientos!$C$5:$C$2001,MATCH(A337&amp;"ENTRADA",Movimientos!$R$5:$R$2001,0)),"-")</f>
        <v>-</v>
      </c>
      <c r="C337" s="3" t="str">
        <f>IFERROR(INDEX(Movimientos!$D$5:$D$2001,MATCH(A337&amp;"ENTRADA",Movimientos!$R$5:$R$2001,0)),"-")</f>
        <v>-</v>
      </c>
      <c r="D337" s="3" t="str">
        <f>IFERROR(INDEX(Movimientos!$E$5:$E$2001,MATCH(A337&amp;"ENTRADA",Movimientos!$R$5:$R$2001,0)),"-")</f>
        <v>-</v>
      </c>
      <c r="E337" s="3" t="str">
        <f>IFERROR(INDEX(Movimientos!$F$5:$F$2001,MATCH(A337&amp;"ENTRADA",Movimientos!$R$5:$R$2001,0)),"-")</f>
        <v>-</v>
      </c>
      <c r="F337" s="3" t="str">
        <f>IFERROR(INDEX(Movimientos!$G$5:$G$2001,MATCH(A337&amp;"ENTRADA",Movimientos!$R$5:$R$2001,0)),"-")</f>
        <v>-</v>
      </c>
      <c r="G337" s="3" t="str">
        <f>IFERROR(INDEX(Movimientos!$L$5:$L$2001,MATCH(A337&amp;"ENTRADA",Movimientos!$R$5:$R$2001,0)),"-")</f>
        <v>-</v>
      </c>
      <c r="H337" s="19" t="str">
        <f>IFERROR(IF(INDEX(Movimientos!$M$5:$M$2001,MATCH(A337&amp;"ENTRADA",Movimientos!$R$5:$R$2001,0))=0,"S/D",INDEX(Movimientos!$M$5:$M$2001,MATCH(A337&amp;"ENTRADA",Movimientos!$R$5:$R$2001,0))),"S/D")</f>
        <v>S/D</v>
      </c>
      <c r="I337" s="16" t="str">
        <f t="shared" ca="1" si="12"/>
        <v>S/D</v>
      </c>
      <c r="J337" s="6">
        <f>IF(A337="","",SUMIFS(Movimientos!$K:$K,Movimientos!$H:$H,A337))</f>
        <v>0</v>
      </c>
      <c r="K337" s="14" t="str">
        <f t="shared" ca="1" si="13"/>
        <v>OK</v>
      </c>
    </row>
    <row r="338" spans="1:11">
      <c r="A338" s="18" t="s">
        <v>2399</v>
      </c>
      <c r="B338" s="3" t="str">
        <f>IFERROR(INDEX(Movimientos!$C$5:$C$2001,MATCH(A338&amp;"ENTRADA",Movimientos!$R$5:$R$2001,0)),"-")</f>
        <v>-</v>
      </c>
      <c r="C338" s="3" t="str">
        <f>IFERROR(INDEX(Movimientos!$D$5:$D$2001,MATCH(A338&amp;"ENTRADA",Movimientos!$R$5:$R$2001,0)),"-")</f>
        <v>-</v>
      </c>
      <c r="D338" s="3" t="str">
        <f>IFERROR(INDEX(Movimientos!$E$5:$E$2001,MATCH(A338&amp;"ENTRADA",Movimientos!$R$5:$R$2001,0)),"-")</f>
        <v>-</v>
      </c>
      <c r="E338" s="3" t="str">
        <f>IFERROR(INDEX(Movimientos!$F$5:$F$2001,MATCH(A338&amp;"ENTRADA",Movimientos!$R$5:$R$2001,0)),"-")</f>
        <v>-</v>
      </c>
      <c r="F338" s="3" t="str">
        <f>IFERROR(INDEX(Movimientos!$G$5:$G$2001,MATCH(A338&amp;"ENTRADA",Movimientos!$R$5:$R$2001,0)),"-")</f>
        <v>-</v>
      </c>
      <c r="G338" s="3" t="str">
        <f>IFERROR(INDEX(Movimientos!$L$5:$L$2001,MATCH(A338&amp;"ENTRADA",Movimientos!$R$5:$R$2001,0)),"-")</f>
        <v>-</v>
      </c>
      <c r="H338" s="19" t="str">
        <f>IFERROR(IF(INDEX(Movimientos!$M$5:$M$2001,MATCH(A338&amp;"ENTRADA",Movimientos!$R$5:$R$2001,0))=0,"S/D",INDEX(Movimientos!$M$5:$M$2001,MATCH(A338&amp;"ENTRADA",Movimientos!$R$5:$R$2001,0))),"S/D")</f>
        <v>S/D</v>
      </c>
      <c r="I338" s="16" t="str">
        <f t="shared" ca="1" si="12"/>
        <v>S/D</v>
      </c>
      <c r="J338" s="6">
        <f>IF(A338="","",SUMIFS(Movimientos!$K:$K,Movimientos!$H:$H,A338))</f>
        <v>0</v>
      </c>
      <c r="K338" s="14" t="str">
        <f t="shared" ca="1" si="13"/>
        <v>OK</v>
      </c>
    </row>
    <row r="339" spans="1:11">
      <c r="A339" s="18" t="s">
        <v>2400</v>
      </c>
      <c r="B339" s="3" t="str">
        <f>IFERROR(INDEX(Movimientos!$C$5:$C$2001,MATCH(A339&amp;"ENTRADA",Movimientos!$R$5:$R$2001,0)),"-")</f>
        <v>-</v>
      </c>
      <c r="C339" s="3" t="str">
        <f>IFERROR(INDEX(Movimientos!$D$5:$D$2001,MATCH(A339&amp;"ENTRADA",Movimientos!$R$5:$R$2001,0)),"-")</f>
        <v>-</v>
      </c>
      <c r="D339" s="3" t="str">
        <f>IFERROR(INDEX(Movimientos!$E$5:$E$2001,MATCH(A339&amp;"ENTRADA",Movimientos!$R$5:$R$2001,0)),"-")</f>
        <v>-</v>
      </c>
      <c r="E339" s="3" t="str">
        <f>IFERROR(INDEX(Movimientos!$F$5:$F$2001,MATCH(A339&amp;"ENTRADA",Movimientos!$R$5:$R$2001,0)),"-")</f>
        <v>-</v>
      </c>
      <c r="F339" s="3" t="str">
        <f>IFERROR(INDEX(Movimientos!$G$5:$G$2001,MATCH(A339&amp;"ENTRADA",Movimientos!$R$5:$R$2001,0)),"-")</f>
        <v>-</v>
      </c>
      <c r="G339" s="3" t="str">
        <f>IFERROR(INDEX(Movimientos!$L$5:$L$2001,MATCH(A339&amp;"ENTRADA",Movimientos!$R$5:$R$2001,0)),"-")</f>
        <v>-</v>
      </c>
      <c r="H339" s="19" t="str">
        <f>IFERROR(IF(INDEX(Movimientos!$M$5:$M$2001,MATCH(A339&amp;"ENTRADA",Movimientos!$R$5:$R$2001,0))=0,"S/D",INDEX(Movimientos!$M$5:$M$2001,MATCH(A339&amp;"ENTRADA",Movimientos!$R$5:$R$2001,0))),"S/D")</f>
        <v>S/D</v>
      </c>
      <c r="I339" s="16" t="str">
        <f t="shared" ca="1" si="12"/>
        <v>S/D</v>
      </c>
      <c r="J339" s="6">
        <f>IF(A339="","",SUMIFS(Movimientos!$K:$K,Movimientos!$H:$H,A339))</f>
        <v>0</v>
      </c>
      <c r="K339" s="14" t="str">
        <f t="shared" ca="1" si="13"/>
        <v>OK</v>
      </c>
    </row>
    <row r="340" spans="1:11">
      <c r="A340" s="18" t="s">
        <v>2401</v>
      </c>
      <c r="B340" s="3" t="str">
        <f>IFERROR(INDEX(Movimientos!$C$5:$C$2001,MATCH(A340&amp;"ENTRADA",Movimientos!$R$5:$R$2001,0)),"-")</f>
        <v>-</v>
      </c>
      <c r="C340" s="3" t="str">
        <f>IFERROR(INDEX(Movimientos!$D$5:$D$2001,MATCH(A340&amp;"ENTRADA",Movimientos!$R$5:$R$2001,0)),"-")</f>
        <v>-</v>
      </c>
      <c r="D340" s="3" t="str">
        <f>IFERROR(INDEX(Movimientos!$E$5:$E$2001,MATCH(A340&amp;"ENTRADA",Movimientos!$R$5:$R$2001,0)),"-")</f>
        <v>-</v>
      </c>
      <c r="E340" s="3" t="str">
        <f>IFERROR(INDEX(Movimientos!$F$5:$F$2001,MATCH(A340&amp;"ENTRADA",Movimientos!$R$5:$R$2001,0)),"-")</f>
        <v>-</v>
      </c>
      <c r="F340" s="3" t="str">
        <f>IFERROR(INDEX(Movimientos!$G$5:$G$2001,MATCH(A340&amp;"ENTRADA",Movimientos!$R$5:$R$2001,0)),"-")</f>
        <v>-</v>
      </c>
      <c r="G340" s="3" t="str">
        <f>IFERROR(INDEX(Movimientos!$L$5:$L$2001,MATCH(A340&amp;"ENTRADA",Movimientos!$R$5:$R$2001,0)),"-")</f>
        <v>-</v>
      </c>
      <c r="H340" s="19" t="str">
        <f>IFERROR(IF(INDEX(Movimientos!$M$5:$M$2001,MATCH(A340&amp;"ENTRADA",Movimientos!$R$5:$R$2001,0))=0,"S/D",INDEX(Movimientos!$M$5:$M$2001,MATCH(A340&amp;"ENTRADA",Movimientos!$R$5:$R$2001,0))),"S/D")</f>
        <v>S/D</v>
      </c>
      <c r="I340" s="16" t="str">
        <f t="shared" ca="1" si="12"/>
        <v>S/D</v>
      </c>
      <c r="J340" s="6">
        <f>IF(A340="","",SUMIFS(Movimientos!$K:$K,Movimientos!$H:$H,A340))</f>
        <v>0</v>
      </c>
      <c r="K340" s="14" t="str">
        <f t="shared" ca="1" si="13"/>
        <v>OK</v>
      </c>
    </row>
    <row r="341" spans="1:11">
      <c r="A341" s="18" t="s">
        <v>2402</v>
      </c>
      <c r="B341" s="3" t="str">
        <f>IFERROR(INDEX(Movimientos!$C$5:$C$2001,MATCH(A341&amp;"ENTRADA",Movimientos!$R$5:$R$2001,0)),"-")</f>
        <v>-</v>
      </c>
      <c r="C341" s="3" t="str">
        <f>IFERROR(INDEX(Movimientos!$D$5:$D$2001,MATCH(A341&amp;"ENTRADA",Movimientos!$R$5:$R$2001,0)),"-")</f>
        <v>-</v>
      </c>
      <c r="D341" s="3" t="str">
        <f>IFERROR(INDEX(Movimientos!$E$5:$E$2001,MATCH(A341&amp;"ENTRADA",Movimientos!$R$5:$R$2001,0)),"-")</f>
        <v>-</v>
      </c>
      <c r="E341" s="3" t="str">
        <f>IFERROR(INDEX(Movimientos!$F$5:$F$2001,MATCH(A341&amp;"ENTRADA",Movimientos!$R$5:$R$2001,0)),"-")</f>
        <v>-</v>
      </c>
      <c r="F341" s="3" t="str">
        <f>IFERROR(INDEX(Movimientos!$G$5:$G$2001,MATCH(A341&amp;"ENTRADA",Movimientos!$R$5:$R$2001,0)),"-")</f>
        <v>-</v>
      </c>
      <c r="G341" s="3" t="str">
        <f>IFERROR(INDEX(Movimientos!$L$5:$L$2001,MATCH(A341&amp;"ENTRADA",Movimientos!$R$5:$R$2001,0)),"-")</f>
        <v>-</v>
      </c>
      <c r="H341" s="19" t="str">
        <f>IFERROR(IF(INDEX(Movimientos!$M$5:$M$2001,MATCH(A341&amp;"ENTRADA",Movimientos!$R$5:$R$2001,0))=0,"S/D",INDEX(Movimientos!$M$5:$M$2001,MATCH(A341&amp;"ENTRADA",Movimientos!$R$5:$R$2001,0))),"S/D")</f>
        <v>S/D</v>
      </c>
      <c r="I341" s="16" t="str">
        <f t="shared" ca="1" si="12"/>
        <v>S/D</v>
      </c>
      <c r="J341" s="6">
        <f>IF(A341="","",SUMIFS(Movimientos!$K:$K,Movimientos!$H:$H,A341))</f>
        <v>0</v>
      </c>
      <c r="K341" s="14" t="str">
        <f t="shared" ca="1" si="13"/>
        <v>OK</v>
      </c>
    </row>
    <row r="342" spans="1:11">
      <c r="A342" s="18" t="s">
        <v>2403</v>
      </c>
      <c r="B342" s="3" t="str">
        <f>IFERROR(INDEX(Movimientos!$C$5:$C$2001,MATCH(A342&amp;"ENTRADA",Movimientos!$R$5:$R$2001,0)),"-")</f>
        <v>-</v>
      </c>
      <c r="C342" s="3" t="str">
        <f>IFERROR(INDEX(Movimientos!$D$5:$D$2001,MATCH(A342&amp;"ENTRADA",Movimientos!$R$5:$R$2001,0)),"-")</f>
        <v>-</v>
      </c>
      <c r="D342" s="3" t="str">
        <f>IFERROR(INDEX(Movimientos!$E$5:$E$2001,MATCH(A342&amp;"ENTRADA",Movimientos!$R$5:$R$2001,0)),"-")</f>
        <v>-</v>
      </c>
      <c r="E342" s="3" t="str">
        <f>IFERROR(INDEX(Movimientos!$F$5:$F$2001,MATCH(A342&amp;"ENTRADA",Movimientos!$R$5:$R$2001,0)),"-")</f>
        <v>-</v>
      </c>
      <c r="F342" s="3" t="str">
        <f>IFERROR(INDEX(Movimientos!$G$5:$G$2001,MATCH(A342&amp;"ENTRADA",Movimientos!$R$5:$R$2001,0)),"-")</f>
        <v>-</v>
      </c>
      <c r="G342" s="3" t="str">
        <f>IFERROR(INDEX(Movimientos!$L$5:$L$2001,MATCH(A342&amp;"ENTRADA",Movimientos!$R$5:$R$2001,0)),"-")</f>
        <v>-</v>
      </c>
      <c r="H342" s="19" t="str">
        <f>IFERROR(IF(INDEX(Movimientos!$M$5:$M$2001,MATCH(A342&amp;"ENTRADA",Movimientos!$R$5:$R$2001,0))=0,"S/D",INDEX(Movimientos!$M$5:$M$2001,MATCH(A342&amp;"ENTRADA",Movimientos!$R$5:$R$2001,0))),"S/D")</f>
        <v>S/D</v>
      </c>
      <c r="I342" s="16" t="str">
        <f t="shared" ca="1" si="12"/>
        <v>S/D</v>
      </c>
      <c r="J342" s="6">
        <f>IF(A342="","",SUMIFS(Movimientos!$K:$K,Movimientos!$H:$H,A342))</f>
        <v>0</v>
      </c>
      <c r="K342" s="14" t="str">
        <f t="shared" ca="1" si="13"/>
        <v>OK</v>
      </c>
    </row>
    <row r="343" spans="1:11">
      <c r="A343" s="18" t="s">
        <v>2404</v>
      </c>
      <c r="B343" s="3" t="str">
        <f>IFERROR(INDEX(Movimientos!$C$5:$C$2001,MATCH(A343&amp;"ENTRADA",Movimientos!$R$5:$R$2001,0)),"-")</f>
        <v>-</v>
      </c>
      <c r="C343" s="3" t="str">
        <f>IFERROR(INDEX(Movimientos!$D$5:$D$2001,MATCH(A343&amp;"ENTRADA",Movimientos!$R$5:$R$2001,0)),"-")</f>
        <v>-</v>
      </c>
      <c r="D343" s="3" t="str">
        <f>IFERROR(INDEX(Movimientos!$E$5:$E$2001,MATCH(A343&amp;"ENTRADA",Movimientos!$R$5:$R$2001,0)),"-")</f>
        <v>-</v>
      </c>
      <c r="E343" s="3" t="str">
        <f>IFERROR(INDEX(Movimientos!$F$5:$F$2001,MATCH(A343&amp;"ENTRADA",Movimientos!$R$5:$R$2001,0)),"-")</f>
        <v>-</v>
      </c>
      <c r="F343" s="3" t="str">
        <f>IFERROR(INDEX(Movimientos!$G$5:$G$2001,MATCH(A343&amp;"ENTRADA",Movimientos!$R$5:$R$2001,0)),"-")</f>
        <v>-</v>
      </c>
      <c r="G343" s="3" t="str">
        <f>IFERROR(INDEX(Movimientos!$L$5:$L$2001,MATCH(A343&amp;"ENTRADA",Movimientos!$R$5:$R$2001,0)),"-")</f>
        <v>-</v>
      </c>
      <c r="H343" s="19" t="str">
        <f>IFERROR(IF(INDEX(Movimientos!$M$5:$M$2001,MATCH(A343&amp;"ENTRADA",Movimientos!$R$5:$R$2001,0))=0,"S/D",INDEX(Movimientos!$M$5:$M$2001,MATCH(A343&amp;"ENTRADA",Movimientos!$R$5:$R$2001,0))),"S/D")</f>
        <v>S/D</v>
      </c>
      <c r="I343" s="16" t="str">
        <f t="shared" ca="1" si="12"/>
        <v>S/D</v>
      </c>
      <c r="J343" s="6">
        <f>IF(A343="","",SUMIFS(Movimientos!$K:$K,Movimientos!$H:$H,A343))</f>
        <v>0</v>
      </c>
      <c r="K343" s="14" t="str">
        <f t="shared" ca="1" si="13"/>
        <v>OK</v>
      </c>
    </row>
    <row r="344" spans="1:11">
      <c r="A344" s="18" t="s">
        <v>2405</v>
      </c>
      <c r="B344" s="3" t="str">
        <f>IFERROR(INDEX(Movimientos!$C$5:$C$2001,MATCH(A344&amp;"ENTRADA",Movimientos!$R$5:$R$2001,0)),"-")</f>
        <v>-</v>
      </c>
      <c r="C344" s="3" t="str">
        <f>IFERROR(INDEX(Movimientos!$D$5:$D$2001,MATCH(A344&amp;"ENTRADA",Movimientos!$R$5:$R$2001,0)),"-")</f>
        <v>-</v>
      </c>
      <c r="D344" s="3" t="str">
        <f>IFERROR(INDEX(Movimientos!$E$5:$E$2001,MATCH(A344&amp;"ENTRADA",Movimientos!$R$5:$R$2001,0)),"-")</f>
        <v>-</v>
      </c>
      <c r="E344" s="3" t="str">
        <f>IFERROR(INDEX(Movimientos!$F$5:$F$2001,MATCH(A344&amp;"ENTRADA",Movimientos!$R$5:$R$2001,0)),"-")</f>
        <v>-</v>
      </c>
      <c r="F344" s="3" t="str">
        <f>IFERROR(INDEX(Movimientos!$G$5:$G$2001,MATCH(A344&amp;"ENTRADA",Movimientos!$R$5:$R$2001,0)),"-")</f>
        <v>-</v>
      </c>
      <c r="G344" s="3" t="str">
        <f>IFERROR(INDEX(Movimientos!$L$5:$L$2001,MATCH(A344&amp;"ENTRADA",Movimientos!$R$5:$R$2001,0)),"-")</f>
        <v>-</v>
      </c>
      <c r="H344" s="19" t="str">
        <f>IFERROR(IF(INDEX(Movimientos!$M$5:$M$2001,MATCH(A344&amp;"ENTRADA",Movimientos!$R$5:$R$2001,0))=0,"S/D",INDEX(Movimientos!$M$5:$M$2001,MATCH(A344&amp;"ENTRADA",Movimientos!$R$5:$R$2001,0))),"S/D")</f>
        <v>S/D</v>
      </c>
      <c r="I344" s="16" t="str">
        <f t="shared" ca="1" si="12"/>
        <v>S/D</v>
      </c>
      <c r="J344" s="6">
        <f>IF(A344="","",SUMIFS(Movimientos!$K:$K,Movimientos!$H:$H,A344))</f>
        <v>0</v>
      </c>
      <c r="K344" s="14" t="str">
        <f t="shared" ca="1" si="13"/>
        <v>OK</v>
      </c>
    </row>
    <row r="345" spans="1:11">
      <c r="A345" s="18" t="s">
        <v>2406</v>
      </c>
      <c r="B345" s="3" t="str">
        <f>IFERROR(INDEX(Movimientos!$C$5:$C$2001,MATCH(A345&amp;"ENTRADA",Movimientos!$R$5:$R$2001,0)),"-")</f>
        <v>-</v>
      </c>
      <c r="C345" s="3" t="str">
        <f>IFERROR(INDEX(Movimientos!$D$5:$D$2001,MATCH(A345&amp;"ENTRADA",Movimientos!$R$5:$R$2001,0)),"-")</f>
        <v>-</v>
      </c>
      <c r="D345" s="3" t="str">
        <f>IFERROR(INDEX(Movimientos!$E$5:$E$2001,MATCH(A345&amp;"ENTRADA",Movimientos!$R$5:$R$2001,0)),"-")</f>
        <v>-</v>
      </c>
      <c r="E345" s="3" t="str">
        <f>IFERROR(INDEX(Movimientos!$F$5:$F$2001,MATCH(A345&amp;"ENTRADA",Movimientos!$R$5:$R$2001,0)),"-")</f>
        <v>-</v>
      </c>
      <c r="F345" s="3" t="str">
        <f>IFERROR(INDEX(Movimientos!$G$5:$G$2001,MATCH(A345&amp;"ENTRADA",Movimientos!$R$5:$R$2001,0)),"-")</f>
        <v>-</v>
      </c>
      <c r="G345" s="3" t="str">
        <f>IFERROR(INDEX(Movimientos!$L$5:$L$2001,MATCH(A345&amp;"ENTRADA",Movimientos!$R$5:$R$2001,0)),"-")</f>
        <v>-</v>
      </c>
      <c r="H345" s="19" t="str">
        <f>IFERROR(IF(INDEX(Movimientos!$M$5:$M$2001,MATCH(A345&amp;"ENTRADA",Movimientos!$R$5:$R$2001,0))=0,"S/D",INDEX(Movimientos!$M$5:$M$2001,MATCH(A345&amp;"ENTRADA",Movimientos!$R$5:$R$2001,0))),"S/D")</f>
        <v>S/D</v>
      </c>
      <c r="I345" s="16" t="str">
        <f t="shared" ca="1" si="12"/>
        <v>S/D</v>
      </c>
      <c r="J345" s="6">
        <f>IF(A345="","",SUMIFS(Movimientos!$K:$K,Movimientos!$H:$H,A345))</f>
        <v>0</v>
      </c>
      <c r="K345" s="14" t="str">
        <f t="shared" ca="1" si="13"/>
        <v>OK</v>
      </c>
    </row>
    <row r="346" spans="1:11">
      <c r="A346" s="18" t="s">
        <v>2407</v>
      </c>
      <c r="B346" s="3" t="str">
        <f>IFERROR(INDEX(Movimientos!$C$5:$C$2001,MATCH(A346&amp;"ENTRADA",Movimientos!$R$5:$R$2001,0)),"-")</f>
        <v>-</v>
      </c>
      <c r="C346" s="3" t="str">
        <f>IFERROR(INDEX(Movimientos!$D$5:$D$2001,MATCH(A346&amp;"ENTRADA",Movimientos!$R$5:$R$2001,0)),"-")</f>
        <v>-</v>
      </c>
      <c r="D346" s="3" t="str">
        <f>IFERROR(INDEX(Movimientos!$E$5:$E$2001,MATCH(A346&amp;"ENTRADA",Movimientos!$R$5:$R$2001,0)),"-")</f>
        <v>-</v>
      </c>
      <c r="E346" s="3" t="str">
        <f>IFERROR(INDEX(Movimientos!$F$5:$F$2001,MATCH(A346&amp;"ENTRADA",Movimientos!$R$5:$R$2001,0)),"-")</f>
        <v>-</v>
      </c>
      <c r="F346" s="3" t="str">
        <f>IFERROR(INDEX(Movimientos!$G$5:$G$2001,MATCH(A346&amp;"ENTRADA",Movimientos!$R$5:$R$2001,0)),"-")</f>
        <v>-</v>
      </c>
      <c r="G346" s="3" t="str">
        <f>IFERROR(INDEX(Movimientos!$L$5:$L$2001,MATCH(A346&amp;"ENTRADA",Movimientos!$R$5:$R$2001,0)),"-")</f>
        <v>-</v>
      </c>
      <c r="H346" s="19" t="str">
        <f>IFERROR(IF(INDEX(Movimientos!$M$5:$M$2001,MATCH(A346&amp;"ENTRADA",Movimientos!$R$5:$R$2001,0))=0,"S/D",INDEX(Movimientos!$M$5:$M$2001,MATCH(A346&amp;"ENTRADA",Movimientos!$R$5:$R$2001,0))),"S/D")</f>
        <v>S/D</v>
      </c>
      <c r="I346" s="16" t="str">
        <f t="shared" ca="1" si="12"/>
        <v>S/D</v>
      </c>
      <c r="J346" s="6">
        <f>IF(A346="","",SUMIFS(Movimientos!$K:$K,Movimientos!$H:$H,A346))</f>
        <v>0</v>
      </c>
      <c r="K346" s="14" t="str">
        <f t="shared" ca="1" si="13"/>
        <v>OK</v>
      </c>
    </row>
    <row r="347" spans="1:11">
      <c r="A347" s="18" t="s">
        <v>2408</v>
      </c>
      <c r="B347" s="3" t="str">
        <f>IFERROR(INDEX(Movimientos!$C$5:$C$2001,MATCH(A347&amp;"ENTRADA",Movimientos!$R$5:$R$2001,0)),"-")</f>
        <v>-</v>
      </c>
      <c r="C347" s="3" t="str">
        <f>IFERROR(INDEX(Movimientos!$D$5:$D$2001,MATCH(A347&amp;"ENTRADA",Movimientos!$R$5:$R$2001,0)),"-")</f>
        <v>-</v>
      </c>
      <c r="D347" s="3" t="str">
        <f>IFERROR(INDEX(Movimientos!$E$5:$E$2001,MATCH(A347&amp;"ENTRADA",Movimientos!$R$5:$R$2001,0)),"-")</f>
        <v>-</v>
      </c>
      <c r="E347" s="3" t="str">
        <f>IFERROR(INDEX(Movimientos!$F$5:$F$2001,MATCH(A347&amp;"ENTRADA",Movimientos!$R$5:$R$2001,0)),"-")</f>
        <v>-</v>
      </c>
      <c r="F347" s="3" t="str">
        <f>IFERROR(INDEX(Movimientos!$G$5:$G$2001,MATCH(A347&amp;"ENTRADA",Movimientos!$R$5:$R$2001,0)),"-")</f>
        <v>-</v>
      </c>
      <c r="G347" s="3" t="str">
        <f>IFERROR(INDEX(Movimientos!$L$5:$L$2001,MATCH(A347&amp;"ENTRADA",Movimientos!$R$5:$R$2001,0)),"-")</f>
        <v>-</v>
      </c>
      <c r="H347" s="19" t="str">
        <f>IFERROR(IF(INDEX(Movimientos!$M$5:$M$2001,MATCH(A347&amp;"ENTRADA",Movimientos!$R$5:$R$2001,0))=0,"S/D",INDEX(Movimientos!$M$5:$M$2001,MATCH(A347&amp;"ENTRADA",Movimientos!$R$5:$R$2001,0))),"S/D")</f>
        <v>S/D</v>
      </c>
      <c r="I347" s="16" t="str">
        <f t="shared" ca="1" si="12"/>
        <v>S/D</v>
      </c>
      <c r="J347" s="6">
        <f>IF(A347="","",SUMIFS(Movimientos!$K:$K,Movimientos!$H:$H,A347))</f>
        <v>0</v>
      </c>
      <c r="K347" s="14" t="str">
        <f t="shared" ca="1" si="13"/>
        <v>OK</v>
      </c>
    </row>
    <row r="348" spans="1:11">
      <c r="A348" s="18" t="s">
        <v>2409</v>
      </c>
      <c r="B348" s="3" t="str">
        <f>IFERROR(INDEX(Movimientos!$C$5:$C$2001,MATCH(A348&amp;"ENTRADA",Movimientos!$R$5:$R$2001,0)),"-")</f>
        <v>-</v>
      </c>
      <c r="C348" s="3" t="str">
        <f>IFERROR(INDEX(Movimientos!$D$5:$D$2001,MATCH(A348&amp;"ENTRADA",Movimientos!$R$5:$R$2001,0)),"-")</f>
        <v>-</v>
      </c>
      <c r="D348" s="3" t="str">
        <f>IFERROR(INDEX(Movimientos!$E$5:$E$2001,MATCH(A348&amp;"ENTRADA",Movimientos!$R$5:$R$2001,0)),"-")</f>
        <v>-</v>
      </c>
      <c r="E348" s="3" t="str">
        <f>IFERROR(INDEX(Movimientos!$F$5:$F$2001,MATCH(A348&amp;"ENTRADA",Movimientos!$R$5:$R$2001,0)),"-")</f>
        <v>-</v>
      </c>
      <c r="F348" s="3" t="str">
        <f>IFERROR(INDEX(Movimientos!$G$5:$G$2001,MATCH(A348&amp;"ENTRADA",Movimientos!$R$5:$R$2001,0)),"-")</f>
        <v>-</v>
      </c>
      <c r="G348" s="3" t="str">
        <f>IFERROR(INDEX(Movimientos!$L$5:$L$2001,MATCH(A348&amp;"ENTRADA",Movimientos!$R$5:$R$2001,0)),"-")</f>
        <v>-</v>
      </c>
      <c r="H348" s="19" t="str">
        <f>IFERROR(IF(INDEX(Movimientos!$M$5:$M$2001,MATCH(A348&amp;"ENTRADA",Movimientos!$R$5:$R$2001,0))=0,"S/D",INDEX(Movimientos!$M$5:$M$2001,MATCH(A348&amp;"ENTRADA",Movimientos!$R$5:$R$2001,0))),"S/D")</f>
        <v>S/D</v>
      </c>
      <c r="I348" s="16" t="str">
        <f t="shared" ca="1" si="12"/>
        <v>S/D</v>
      </c>
      <c r="J348" s="6">
        <f>IF(A348="","",SUMIFS(Movimientos!$K:$K,Movimientos!$H:$H,A348))</f>
        <v>0</v>
      </c>
      <c r="K348" s="14" t="str">
        <f t="shared" ca="1" si="13"/>
        <v>OK</v>
      </c>
    </row>
    <row r="349" spans="1:11">
      <c r="A349" s="18" t="s">
        <v>2410</v>
      </c>
      <c r="B349" s="3" t="str">
        <f>IFERROR(INDEX(Movimientos!$C$5:$C$2001,MATCH(A349&amp;"ENTRADA",Movimientos!$R$5:$R$2001,0)),"-")</f>
        <v>-</v>
      </c>
      <c r="C349" s="3" t="str">
        <f>IFERROR(INDEX(Movimientos!$D$5:$D$2001,MATCH(A349&amp;"ENTRADA",Movimientos!$R$5:$R$2001,0)),"-")</f>
        <v>-</v>
      </c>
      <c r="D349" s="3" t="str">
        <f>IFERROR(INDEX(Movimientos!$E$5:$E$2001,MATCH(A349&amp;"ENTRADA",Movimientos!$R$5:$R$2001,0)),"-")</f>
        <v>-</v>
      </c>
      <c r="E349" s="3" t="str">
        <f>IFERROR(INDEX(Movimientos!$F$5:$F$2001,MATCH(A349&amp;"ENTRADA",Movimientos!$R$5:$R$2001,0)),"-")</f>
        <v>-</v>
      </c>
      <c r="F349" s="3" t="str">
        <f>IFERROR(INDEX(Movimientos!$G$5:$G$2001,MATCH(A349&amp;"ENTRADA",Movimientos!$R$5:$R$2001,0)),"-")</f>
        <v>-</v>
      </c>
      <c r="G349" s="3" t="str">
        <f>IFERROR(INDEX(Movimientos!$L$5:$L$2001,MATCH(A349&amp;"ENTRADA",Movimientos!$R$5:$R$2001,0)),"-")</f>
        <v>-</v>
      </c>
      <c r="H349" s="19" t="str">
        <f>IFERROR(IF(INDEX(Movimientos!$M$5:$M$2001,MATCH(A349&amp;"ENTRADA",Movimientos!$R$5:$R$2001,0))=0,"S/D",INDEX(Movimientos!$M$5:$M$2001,MATCH(A349&amp;"ENTRADA",Movimientos!$R$5:$R$2001,0))),"S/D")</f>
        <v>S/D</v>
      </c>
      <c r="I349" s="16" t="str">
        <f t="shared" ca="1" si="12"/>
        <v>S/D</v>
      </c>
      <c r="J349" s="6">
        <f>IF(A349="","",SUMIFS(Movimientos!$K:$K,Movimientos!$H:$H,A349))</f>
        <v>0</v>
      </c>
      <c r="K349" s="14" t="str">
        <f t="shared" ca="1" si="13"/>
        <v>OK</v>
      </c>
    </row>
    <row r="350" spans="1:11">
      <c r="A350" s="18" t="s">
        <v>2411</v>
      </c>
      <c r="B350" s="3" t="str">
        <f>IFERROR(INDEX(Movimientos!$C$5:$C$2001,MATCH(A350&amp;"ENTRADA",Movimientos!$R$5:$R$2001,0)),"-")</f>
        <v>-</v>
      </c>
      <c r="C350" s="3" t="str">
        <f>IFERROR(INDEX(Movimientos!$D$5:$D$2001,MATCH(A350&amp;"ENTRADA",Movimientos!$R$5:$R$2001,0)),"-")</f>
        <v>-</v>
      </c>
      <c r="D350" s="3" t="str">
        <f>IFERROR(INDEX(Movimientos!$E$5:$E$2001,MATCH(A350&amp;"ENTRADA",Movimientos!$R$5:$R$2001,0)),"-")</f>
        <v>-</v>
      </c>
      <c r="E350" s="3" t="str">
        <f>IFERROR(INDEX(Movimientos!$F$5:$F$2001,MATCH(A350&amp;"ENTRADA",Movimientos!$R$5:$R$2001,0)),"-")</f>
        <v>-</v>
      </c>
      <c r="F350" s="3" t="str">
        <f>IFERROR(INDEX(Movimientos!$G$5:$G$2001,MATCH(A350&amp;"ENTRADA",Movimientos!$R$5:$R$2001,0)),"-")</f>
        <v>-</v>
      </c>
      <c r="G350" s="3" t="str">
        <f>IFERROR(INDEX(Movimientos!$L$5:$L$2001,MATCH(A350&amp;"ENTRADA",Movimientos!$R$5:$R$2001,0)),"-")</f>
        <v>-</v>
      </c>
      <c r="H350" s="19" t="str">
        <f>IFERROR(IF(INDEX(Movimientos!$M$5:$M$2001,MATCH(A350&amp;"ENTRADA",Movimientos!$R$5:$R$2001,0))=0,"S/D",INDEX(Movimientos!$M$5:$M$2001,MATCH(A350&amp;"ENTRADA",Movimientos!$R$5:$R$2001,0))),"S/D")</f>
        <v>S/D</v>
      </c>
      <c r="I350" s="16" t="str">
        <f t="shared" ca="1" si="12"/>
        <v>S/D</v>
      </c>
      <c r="J350" s="6">
        <f>IF(A350="","",SUMIFS(Movimientos!$K:$K,Movimientos!$H:$H,A350))</f>
        <v>0</v>
      </c>
      <c r="K350" s="14" t="str">
        <f t="shared" ca="1" si="13"/>
        <v>OK</v>
      </c>
    </row>
    <row r="351" spans="1:11">
      <c r="A351" s="18" t="s">
        <v>2412</v>
      </c>
      <c r="B351" s="3" t="str">
        <f>IFERROR(INDEX(Movimientos!$C$5:$C$2001,MATCH(A351&amp;"ENTRADA",Movimientos!$R$5:$R$2001,0)),"-")</f>
        <v>-</v>
      </c>
      <c r="C351" s="3" t="str">
        <f>IFERROR(INDEX(Movimientos!$D$5:$D$2001,MATCH(A351&amp;"ENTRADA",Movimientos!$R$5:$R$2001,0)),"-")</f>
        <v>-</v>
      </c>
      <c r="D351" s="3" t="str">
        <f>IFERROR(INDEX(Movimientos!$E$5:$E$2001,MATCH(A351&amp;"ENTRADA",Movimientos!$R$5:$R$2001,0)),"-")</f>
        <v>-</v>
      </c>
      <c r="E351" s="3" t="str">
        <f>IFERROR(INDEX(Movimientos!$F$5:$F$2001,MATCH(A351&amp;"ENTRADA",Movimientos!$R$5:$R$2001,0)),"-")</f>
        <v>-</v>
      </c>
      <c r="F351" s="3" t="str">
        <f>IFERROR(INDEX(Movimientos!$G$5:$G$2001,MATCH(A351&amp;"ENTRADA",Movimientos!$R$5:$R$2001,0)),"-")</f>
        <v>-</v>
      </c>
      <c r="G351" s="3" t="str">
        <f>IFERROR(INDEX(Movimientos!$L$5:$L$2001,MATCH(A351&amp;"ENTRADA",Movimientos!$R$5:$R$2001,0)),"-")</f>
        <v>-</v>
      </c>
      <c r="H351" s="19" t="str">
        <f>IFERROR(IF(INDEX(Movimientos!$M$5:$M$2001,MATCH(A351&amp;"ENTRADA",Movimientos!$R$5:$R$2001,0))=0,"S/D",INDEX(Movimientos!$M$5:$M$2001,MATCH(A351&amp;"ENTRADA",Movimientos!$R$5:$R$2001,0))),"S/D")</f>
        <v>S/D</v>
      </c>
      <c r="I351" s="16" t="str">
        <f t="shared" ca="1" si="12"/>
        <v>S/D</v>
      </c>
      <c r="J351" s="6">
        <f>IF(A351="","",SUMIFS(Movimientos!$K:$K,Movimientos!$H:$H,A351))</f>
        <v>0</v>
      </c>
      <c r="K351" s="14" t="str">
        <f t="shared" ca="1" si="13"/>
        <v>OK</v>
      </c>
    </row>
    <row r="352" spans="1:11">
      <c r="A352" s="18" t="s">
        <v>2413</v>
      </c>
      <c r="B352" s="3" t="str">
        <f>IFERROR(INDEX(Movimientos!$C$5:$C$2001,MATCH(A352&amp;"ENTRADA",Movimientos!$R$5:$R$2001,0)),"-")</f>
        <v>-</v>
      </c>
      <c r="C352" s="3" t="str">
        <f>IFERROR(INDEX(Movimientos!$D$5:$D$2001,MATCH(A352&amp;"ENTRADA",Movimientos!$R$5:$R$2001,0)),"-")</f>
        <v>-</v>
      </c>
      <c r="D352" s="3" t="str">
        <f>IFERROR(INDEX(Movimientos!$E$5:$E$2001,MATCH(A352&amp;"ENTRADA",Movimientos!$R$5:$R$2001,0)),"-")</f>
        <v>-</v>
      </c>
      <c r="E352" s="3" t="str">
        <f>IFERROR(INDEX(Movimientos!$F$5:$F$2001,MATCH(A352&amp;"ENTRADA",Movimientos!$R$5:$R$2001,0)),"-")</f>
        <v>-</v>
      </c>
      <c r="F352" s="3" t="str">
        <f>IFERROR(INDEX(Movimientos!$G$5:$G$2001,MATCH(A352&amp;"ENTRADA",Movimientos!$R$5:$R$2001,0)),"-")</f>
        <v>-</v>
      </c>
      <c r="G352" s="3" t="str">
        <f>IFERROR(INDEX(Movimientos!$L$5:$L$2001,MATCH(A352&amp;"ENTRADA",Movimientos!$R$5:$R$2001,0)),"-")</f>
        <v>-</v>
      </c>
      <c r="H352" s="19" t="str">
        <f>IFERROR(IF(INDEX(Movimientos!$M$5:$M$2001,MATCH(A352&amp;"ENTRADA",Movimientos!$R$5:$R$2001,0))=0,"S/D",INDEX(Movimientos!$M$5:$M$2001,MATCH(A352&amp;"ENTRADA",Movimientos!$R$5:$R$2001,0))),"S/D")</f>
        <v>S/D</v>
      </c>
      <c r="I352" s="16" t="str">
        <f t="shared" ca="1" si="12"/>
        <v>S/D</v>
      </c>
      <c r="J352" s="6">
        <f>IF(A352="","",SUMIFS(Movimientos!$K:$K,Movimientos!$H:$H,A352))</f>
        <v>0</v>
      </c>
      <c r="K352" s="14" t="str">
        <f t="shared" ca="1" si="13"/>
        <v>OK</v>
      </c>
    </row>
    <row r="353" spans="1:11">
      <c r="A353" s="18" t="s">
        <v>2414</v>
      </c>
      <c r="B353" s="3" t="str">
        <f>IFERROR(INDEX(Movimientos!$C$5:$C$2001,MATCH(A353&amp;"ENTRADA",Movimientos!$R$5:$R$2001,0)),"-")</f>
        <v>-</v>
      </c>
      <c r="C353" s="3" t="str">
        <f>IFERROR(INDEX(Movimientos!$D$5:$D$2001,MATCH(A353&amp;"ENTRADA",Movimientos!$R$5:$R$2001,0)),"-")</f>
        <v>-</v>
      </c>
      <c r="D353" s="3" t="str">
        <f>IFERROR(INDEX(Movimientos!$E$5:$E$2001,MATCH(A353&amp;"ENTRADA",Movimientos!$R$5:$R$2001,0)),"-")</f>
        <v>-</v>
      </c>
      <c r="E353" s="3" t="str">
        <f>IFERROR(INDEX(Movimientos!$F$5:$F$2001,MATCH(A353&amp;"ENTRADA",Movimientos!$R$5:$R$2001,0)),"-")</f>
        <v>-</v>
      </c>
      <c r="F353" s="3" t="str">
        <f>IFERROR(INDEX(Movimientos!$G$5:$G$2001,MATCH(A353&amp;"ENTRADA",Movimientos!$R$5:$R$2001,0)),"-")</f>
        <v>-</v>
      </c>
      <c r="G353" s="3" t="str">
        <f>IFERROR(INDEX(Movimientos!$L$5:$L$2001,MATCH(A353&amp;"ENTRADA",Movimientos!$R$5:$R$2001,0)),"-")</f>
        <v>-</v>
      </c>
      <c r="H353" s="19" t="str">
        <f>IFERROR(IF(INDEX(Movimientos!$M$5:$M$2001,MATCH(A353&amp;"ENTRADA",Movimientos!$R$5:$R$2001,0))=0,"S/D",INDEX(Movimientos!$M$5:$M$2001,MATCH(A353&amp;"ENTRADA",Movimientos!$R$5:$R$2001,0))),"S/D")</f>
        <v>S/D</v>
      </c>
      <c r="I353" s="16" t="str">
        <f t="shared" ca="1" si="12"/>
        <v>S/D</v>
      </c>
      <c r="J353" s="6">
        <f>IF(A353="","",SUMIFS(Movimientos!$K:$K,Movimientos!$H:$H,A353))</f>
        <v>0</v>
      </c>
      <c r="K353" s="14" t="str">
        <f t="shared" ca="1" si="13"/>
        <v>OK</v>
      </c>
    </row>
    <row r="354" spans="1:11">
      <c r="A354" s="18" t="s">
        <v>2415</v>
      </c>
      <c r="B354" s="3" t="str">
        <f>IFERROR(INDEX(Movimientos!$C$5:$C$2001,MATCH(A354&amp;"ENTRADA",Movimientos!$R$5:$R$2001,0)),"-")</f>
        <v>-</v>
      </c>
      <c r="C354" s="3" t="str">
        <f>IFERROR(INDEX(Movimientos!$D$5:$D$2001,MATCH(A354&amp;"ENTRADA",Movimientos!$R$5:$R$2001,0)),"-")</f>
        <v>-</v>
      </c>
      <c r="D354" s="3" t="str">
        <f>IFERROR(INDEX(Movimientos!$E$5:$E$2001,MATCH(A354&amp;"ENTRADA",Movimientos!$R$5:$R$2001,0)),"-")</f>
        <v>-</v>
      </c>
      <c r="E354" s="3" t="str">
        <f>IFERROR(INDEX(Movimientos!$F$5:$F$2001,MATCH(A354&amp;"ENTRADA",Movimientos!$R$5:$R$2001,0)),"-")</f>
        <v>-</v>
      </c>
      <c r="F354" s="3" t="str">
        <f>IFERROR(INDEX(Movimientos!$G$5:$G$2001,MATCH(A354&amp;"ENTRADA",Movimientos!$R$5:$R$2001,0)),"-")</f>
        <v>-</v>
      </c>
      <c r="G354" s="3" t="str">
        <f>IFERROR(INDEX(Movimientos!$L$5:$L$2001,MATCH(A354&amp;"ENTRADA",Movimientos!$R$5:$R$2001,0)),"-")</f>
        <v>-</v>
      </c>
      <c r="H354" s="19" t="str">
        <f>IFERROR(IF(INDEX(Movimientos!$M$5:$M$2001,MATCH(A354&amp;"ENTRADA",Movimientos!$R$5:$R$2001,0))=0,"S/D",INDEX(Movimientos!$M$5:$M$2001,MATCH(A354&amp;"ENTRADA",Movimientos!$R$5:$R$2001,0))),"S/D")</f>
        <v>S/D</v>
      </c>
      <c r="I354" s="16" t="str">
        <f t="shared" ca="1" si="12"/>
        <v>S/D</v>
      </c>
      <c r="J354" s="6">
        <f>IF(A354="","",SUMIFS(Movimientos!$K:$K,Movimientos!$H:$H,A354))</f>
        <v>0</v>
      </c>
      <c r="K354" s="14" t="str">
        <f t="shared" ca="1" si="13"/>
        <v>OK</v>
      </c>
    </row>
    <row r="355" spans="1:11">
      <c r="A355" s="18" t="s">
        <v>2416</v>
      </c>
      <c r="B355" s="3" t="str">
        <f>IFERROR(INDEX(Movimientos!$C$5:$C$2001,MATCH(A355&amp;"ENTRADA",Movimientos!$R$5:$R$2001,0)),"-")</f>
        <v>-</v>
      </c>
      <c r="C355" s="3" t="str">
        <f>IFERROR(INDEX(Movimientos!$D$5:$D$2001,MATCH(A355&amp;"ENTRADA",Movimientos!$R$5:$R$2001,0)),"-")</f>
        <v>-</v>
      </c>
      <c r="D355" s="3" t="str">
        <f>IFERROR(INDEX(Movimientos!$E$5:$E$2001,MATCH(A355&amp;"ENTRADA",Movimientos!$R$5:$R$2001,0)),"-")</f>
        <v>-</v>
      </c>
      <c r="E355" s="3" t="str">
        <f>IFERROR(INDEX(Movimientos!$F$5:$F$2001,MATCH(A355&amp;"ENTRADA",Movimientos!$R$5:$R$2001,0)),"-")</f>
        <v>-</v>
      </c>
      <c r="F355" s="3" t="str">
        <f>IFERROR(INDEX(Movimientos!$G$5:$G$2001,MATCH(A355&amp;"ENTRADA",Movimientos!$R$5:$R$2001,0)),"-")</f>
        <v>-</v>
      </c>
      <c r="G355" s="3" t="str">
        <f>IFERROR(INDEX(Movimientos!$L$5:$L$2001,MATCH(A355&amp;"ENTRADA",Movimientos!$R$5:$R$2001,0)),"-")</f>
        <v>-</v>
      </c>
      <c r="H355" s="19" t="str">
        <f>IFERROR(IF(INDEX(Movimientos!$M$5:$M$2001,MATCH(A355&amp;"ENTRADA",Movimientos!$R$5:$R$2001,0))=0,"S/D",INDEX(Movimientos!$M$5:$M$2001,MATCH(A355&amp;"ENTRADA",Movimientos!$R$5:$R$2001,0))),"S/D")</f>
        <v>S/D</v>
      </c>
      <c r="I355" s="16" t="str">
        <f t="shared" ca="1" si="12"/>
        <v>S/D</v>
      </c>
      <c r="J355" s="6">
        <f>IF(A355="","",SUMIFS(Movimientos!$K:$K,Movimientos!$H:$H,A355))</f>
        <v>0</v>
      </c>
      <c r="K355" s="14" t="str">
        <f t="shared" ca="1" si="13"/>
        <v>OK</v>
      </c>
    </row>
    <row r="356" spans="1:11">
      <c r="A356" s="18" t="s">
        <v>2417</v>
      </c>
      <c r="B356" s="3" t="str">
        <f>IFERROR(INDEX(Movimientos!$C$5:$C$2001,MATCH(A356&amp;"ENTRADA",Movimientos!$R$5:$R$2001,0)),"-")</f>
        <v>-</v>
      </c>
      <c r="C356" s="3" t="str">
        <f>IFERROR(INDEX(Movimientos!$D$5:$D$2001,MATCH(A356&amp;"ENTRADA",Movimientos!$R$5:$R$2001,0)),"-")</f>
        <v>-</v>
      </c>
      <c r="D356" s="3" t="str">
        <f>IFERROR(INDEX(Movimientos!$E$5:$E$2001,MATCH(A356&amp;"ENTRADA",Movimientos!$R$5:$R$2001,0)),"-")</f>
        <v>-</v>
      </c>
      <c r="E356" s="3" t="str">
        <f>IFERROR(INDEX(Movimientos!$F$5:$F$2001,MATCH(A356&amp;"ENTRADA",Movimientos!$R$5:$R$2001,0)),"-")</f>
        <v>-</v>
      </c>
      <c r="F356" s="3" t="str">
        <f>IFERROR(INDEX(Movimientos!$G$5:$G$2001,MATCH(A356&amp;"ENTRADA",Movimientos!$R$5:$R$2001,0)),"-")</f>
        <v>-</v>
      </c>
      <c r="G356" s="3" t="str">
        <f>IFERROR(INDEX(Movimientos!$L$5:$L$2001,MATCH(A356&amp;"ENTRADA",Movimientos!$R$5:$R$2001,0)),"-")</f>
        <v>-</v>
      </c>
      <c r="H356" s="19" t="str">
        <f>IFERROR(IF(INDEX(Movimientos!$M$5:$M$2001,MATCH(A356&amp;"ENTRADA",Movimientos!$R$5:$R$2001,0))=0,"S/D",INDEX(Movimientos!$M$5:$M$2001,MATCH(A356&amp;"ENTRADA",Movimientos!$R$5:$R$2001,0))),"S/D")</f>
        <v>S/D</v>
      </c>
      <c r="I356" s="16" t="str">
        <f t="shared" ca="1" si="12"/>
        <v>S/D</v>
      </c>
      <c r="J356" s="6">
        <f>IF(A356="","",SUMIFS(Movimientos!$K:$K,Movimientos!$H:$H,A356))</f>
        <v>0</v>
      </c>
      <c r="K356" s="14" t="str">
        <f t="shared" ca="1" si="13"/>
        <v>OK</v>
      </c>
    </row>
    <row r="357" spans="1:11">
      <c r="A357" s="18" t="s">
        <v>2418</v>
      </c>
      <c r="B357" s="3" t="str">
        <f>IFERROR(INDEX(Movimientos!$C$5:$C$2001,MATCH(A357&amp;"ENTRADA",Movimientos!$R$5:$R$2001,0)),"-")</f>
        <v>-</v>
      </c>
      <c r="C357" s="3" t="str">
        <f>IFERROR(INDEX(Movimientos!$D$5:$D$2001,MATCH(A357&amp;"ENTRADA",Movimientos!$R$5:$R$2001,0)),"-")</f>
        <v>-</v>
      </c>
      <c r="D357" s="3" t="str">
        <f>IFERROR(INDEX(Movimientos!$E$5:$E$2001,MATCH(A357&amp;"ENTRADA",Movimientos!$R$5:$R$2001,0)),"-")</f>
        <v>-</v>
      </c>
      <c r="E357" s="3" t="str">
        <f>IFERROR(INDEX(Movimientos!$F$5:$F$2001,MATCH(A357&amp;"ENTRADA",Movimientos!$R$5:$R$2001,0)),"-")</f>
        <v>-</v>
      </c>
      <c r="F357" s="3" t="str">
        <f>IFERROR(INDEX(Movimientos!$G$5:$G$2001,MATCH(A357&amp;"ENTRADA",Movimientos!$R$5:$R$2001,0)),"-")</f>
        <v>-</v>
      </c>
      <c r="G357" s="3" t="str">
        <f>IFERROR(INDEX(Movimientos!$L$5:$L$2001,MATCH(A357&amp;"ENTRADA",Movimientos!$R$5:$R$2001,0)),"-")</f>
        <v>-</v>
      </c>
      <c r="H357" s="19" t="str">
        <f>IFERROR(IF(INDEX(Movimientos!$M$5:$M$2001,MATCH(A357&amp;"ENTRADA",Movimientos!$R$5:$R$2001,0))=0,"S/D",INDEX(Movimientos!$M$5:$M$2001,MATCH(A357&amp;"ENTRADA",Movimientos!$R$5:$R$2001,0))),"S/D")</f>
        <v>S/D</v>
      </c>
      <c r="I357" s="16" t="str">
        <f t="shared" ca="1" si="12"/>
        <v>S/D</v>
      </c>
      <c r="J357" s="6">
        <f>IF(A357="","",SUMIFS(Movimientos!$K:$K,Movimientos!$H:$H,A357))</f>
        <v>0</v>
      </c>
      <c r="K357" s="14" t="str">
        <f t="shared" ca="1" si="13"/>
        <v>OK</v>
      </c>
    </row>
    <row r="358" spans="1:11">
      <c r="A358" s="18" t="s">
        <v>2419</v>
      </c>
      <c r="B358" s="3" t="str">
        <f>IFERROR(INDEX(Movimientos!$C$5:$C$2001,MATCH(A358&amp;"ENTRADA",Movimientos!$R$5:$R$2001,0)),"-")</f>
        <v>-</v>
      </c>
      <c r="C358" s="3" t="str">
        <f>IFERROR(INDEX(Movimientos!$D$5:$D$2001,MATCH(A358&amp;"ENTRADA",Movimientos!$R$5:$R$2001,0)),"-")</f>
        <v>-</v>
      </c>
      <c r="D358" s="3" t="str">
        <f>IFERROR(INDEX(Movimientos!$E$5:$E$2001,MATCH(A358&amp;"ENTRADA",Movimientos!$R$5:$R$2001,0)),"-")</f>
        <v>-</v>
      </c>
      <c r="E358" s="3" t="str">
        <f>IFERROR(INDEX(Movimientos!$F$5:$F$2001,MATCH(A358&amp;"ENTRADA",Movimientos!$R$5:$R$2001,0)),"-")</f>
        <v>-</v>
      </c>
      <c r="F358" s="3" t="str">
        <f>IFERROR(INDEX(Movimientos!$G$5:$G$2001,MATCH(A358&amp;"ENTRADA",Movimientos!$R$5:$R$2001,0)),"-")</f>
        <v>-</v>
      </c>
      <c r="G358" s="3" t="str">
        <f>IFERROR(INDEX(Movimientos!$L$5:$L$2001,MATCH(A358&amp;"ENTRADA",Movimientos!$R$5:$R$2001,0)),"-")</f>
        <v>-</v>
      </c>
      <c r="H358" s="19" t="str">
        <f>IFERROR(IF(INDEX(Movimientos!$M$5:$M$2001,MATCH(A358&amp;"ENTRADA",Movimientos!$R$5:$R$2001,0))=0,"S/D",INDEX(Movimientos!$M$5:$M$2001,MATCH(A358&amp;"ENTRADA",Movimientos!$R$5:$R$2001,0))),"S/D")</f>
        <v>S/D</v>
      </c>
      <c r="I358" s="16" t="str">
        <f t="shared" ca="1" si="12"/>
        <v>S/D</v>
      </c>
      <c r="J358" s="6">
        <f>IF(A358="","",SUMIFS(Movimientos!$K:$K,Movimientos!$H:$H,A358))</f>
        <v>0</v>
      </c>
      <c r="K358" s="14" t="str">
        <f t="shared" ca="1" si="13"/>
        <v>OK</v>
      </c>
    </row>
    <row r="359" spans="1:11">
      <c r="A359" s="18" t="s">
        <v>2420</v>
      </c>
      <c r="B359" s="3" t="str">
        <f>IFERROR(INDEX(Movimientos!$C$5:$C$2001,MATCH(A359&amp;"ENTRADA",Movimientos!$R$5:$R$2001,0)),"-")</f>
        <v>-</v>
      </c>
      <c r="C359" s="3" t="str">
        <f>IFERROR(INDEX(Movimientos!$D$5:$D$2001,MATCH(A359&amp;"ENTRADA",Movimientos!$R$5:$R$2001,0)),"-")</f>
        <v>-</v>
      </c>
      <c r="D359" s="3" t="str">
        <f>IFERROR(INDEX(Movimientos!$E$5:$E$2001,MATCH(A359&amp;"ENTRADA",Movimientos!$R$5:$R$2001,0)),"-")</f>
        <v>-</v>
      </c>
      <c r="E359" s="3" t="str">
        <f>IFERROR(INDEX(Movimientos!$F$5:$F$2001,MATCH(A359&amp;"ENTRADA",Movimientos!$R$5:$R$2001,0)),"-")</f>
        <v>-</v>
      </c>
      <c r="F359" s="3" t="str">
        <f>IFERROR(INDEX(Movimientos!$G$5:$G$2001,MATCH(A359&amp;"ENTRADA",Movimientos!$R$5:$R$2001,0)),"-")</f>
        <v>-</v>
      </c>
      <c r="G359" s="3" t="str">
        <f>IFERROR(INDEX(Movimientos!$L$5:$L$2001,MATCH(A359&amp;"ENTRADA",Movimientos!$R$5:$R$2001,0)),"-")</f>
        <v>-</v>
      </c>
      <c r="H359" s="19" t="str">
        <f>IFERROR(IF(INDEX(Movimientos!$M$5:$M$2001,MATCH(A359&amp;"ENTRADA",Movimientos!$R$5:$R$2001,0))=0,"S/D",INDEX(Movimientos!$M$5:$M$2001,MATCH(A359&amp;"ENTRADA",Movimientos!$R$5:$R$2001,0))),"S/D")</f>
        <v>S/D</v>
      </c>
      <c r="I359" s="16" t="str">
        <f t="shared" ca="1" si="12"/>
        <v>S/D</v>
      </c>
      <c r="J359" s="6">
        <f>IF(A359="","",SUMIFS(Movimientos!$K:$K,Movimientos!$H:$H,A359))</f>
        <v>0</v>
      </c>
      <c r="K359" s="14" t="str">
        <f t="shared" ca="1" si="13"/>
        <v>OK</v>
      </c>
    </row>
    <row r="360" spans="1:11">
      <c r="A360" s="18" t="s">
        <v>2421</v>
      </c>
      <c r="B360" s="3" t="str">
        <f>IFERROR(INDEX(Movimientos!$C$5:$C$2001,MATCH(A360&amp;"ENTRADA",Movimientos!$R$5:$R$2001,0)),"-")</f>
        <v>-</v>
      </c>
      <c r="C360" s="3" t="str">
        <f>IFERROR(INDEX(Movimientos!$D$5:$D$2001,MATCH(A360&amp;"ENTRADA",Movimientos!$R$5:$R$2001,0)),"-")</f>
        <v>-</v>
      </c>
      <c r="D360" s="3" t="str">
        <f>IFERROR(INDEX(Movimientos!$E$5:$E$2001,MATCH(A360&amp;"ENTRADA",Movimientos!$R$5:$R$2001,0)),"-")</f>
        <v>-</v>
      </c>
      <c r="E360" s="3" t="str">
        <f>IFERROR(INDEX(Movimientos!$F$5:$F$2001,MATCH(A360&amp;"ENTRADA",Movimientos!$R$5:$R$2001,0)),"-")</f>
        <v>-</v>
      </c>
      <c r="F360" s="3" t="str">
        <f>IFERROR(INDEX(Movimientos!$G$5:$G$2001,MATCH(A360&amp;"ENTRADA",Movimientos!$R$5:$R$2001,0)),"-")</f>
        <v>-</v>
      </c>
      <c r="G360" s="3" t="str">
        <f>IFERROR(INDEX(Movimientos!$L$5:$L$2001,MATCH(A360&amp;"ENTRADA",Movimientos!$R$5:$R$2001,0)),"-")</f>
        <v>-</v>
      </c>
      <c r="H360" s="19" t="str">
        <f>IFERROR(IF(INDEX(Movimientos!$M$5:$M$2001,MATCH(A360&amp;"ENTRADA",Movimientos!$R$5:$R$2001,0))=0,"S/D",INDEX(Movimientos!$M$5:$M$2001,MATCH(A360&amp;"ENTRADA",Movimientos!$R$5:$R$2001,0))),"S/D")</f>
        <v>S/D</v>
      </c>
      <c r="I360" s="16" t="str">
        <f t="shared" ca="1" si="12"/>
        <v>S/D</v>
      </c>
      <c r="J360" s="6">
        <f>IF(A360="","",SUMIFS(Movimientos!$K:$K,Movimientos!$H:$H,A360))</f>
        <v>0</v>
      </c>
      <c r="K360" s="14" t="str">
        <f t="shared" ca="1" si="13"/>
        <v>OK</v>
      </c>
    </row>
    <row r="361" spans="1:11">
      <c r="A361" s="18" t="s">
        <v>2422</v>
      </c>
      <c r="B361" s="3" t="str">
        <f>IFERROR(INDEX(Movimientos!$C$5:$C$2001,MATCH(A361&amp;"ENTRADA",Movimientos!$R$5:$R$2001,0)),"-")</f>
        <v>-</v>
      </c>
      <c r="C361" s="3" t="str">
        <f>IFERROR(INDEX(Movimientos!$D$5:$D$2001,MATCH(A361&amp;"ENTRADA",Movimientos!$R$5:$R$2001,0)),"-")</f>
        <v>-</v>
      </c>
      <c r="D361" s="3" t="str">
        <f>IFERROR(INDEX(Movimientos!$E$5:$E$2001,MATCH(A361&amp;"ENTRADA",Movimientos!$R$5:$R$2001,0)),"-")</f>
        <v>-</v>
      </c>
      <c r="E361" s="3" t="str">
        <f>IFERROR(INDEX(Movimientos!$F$5:$F$2001,MATCH(A361&amp;"ENTRADA",Movimientos!$R$5:$R$2001,0)),"-")</f>
        <v>-</v>
      </c>
      <c r="F361" s="3" t="str">
        <f>IFERROR(INDEX(Movimientos!$G$5:$G$2001,MATCH(A361&amp;"ENTRADA",Movimientos!$R$5:$R$2001,0)),"-")</f>
        <v>-</v>
      </c>
      <c r="G361" s="3" t="str">
        <f>IFERROR(INDEX(Movimientos!$L$5:$L$2001,MATCH(A361&amp;"ENTRADA",Movimientos!$R$5:$R$2001,0)),"-")</f>
        <v>-</v>
      </c>
      <c r="H361" s="19" t="str">
        <f>IFERROR(IF(INDEX(Movimientos!$M$5:$M$2001,MATCH(A361&amp;"ENTRADA",Movimientos!$R$5:$R$2001,0))=0,"S/D",INDEX(Movimientos!$M$5:$M$2001,MATCH(A361&amp;"ENTRADA",Movimientos!$R$5:$R$2001,0))),"S/D")</f>
        <v>S/D</v>
      </c>
      <c r="I361" s="16" t="str">
        <f t="shared" ca="1" si="12"/>
        <v>S/D</v>
      </c>
      <c r="J361" s="6">
        <f>IF(A361="","",SUMIFS(Movimientos!$K:$K,Movimientos!$H:$H,A361))</f>
        <v>0</v>
      </c>
      <c r="K361" s="14" t="str">
        <f t="shared" ca="1" si="13"/>
        <v>OK</v>
      </c>
    </row>
    <row r="362" spans="1:11">
      <c r="A362" s="18" t="s">
        <v>2423</v>
      </c>
      <c r="B362" s="3" t="str">
        <f>IFERROR(INDEX(Movimientos!$C$5:$C$2001,MATCH(A362&amp;"ENTRADA",Movimientos!$R$5:$R$2001,0)),"-")</f>
        <v>-</v>
      </c>
      <c r="C362" s="3" t="str">
        <f>IFERROR(INDEX(Movimientos!$D$5:$D$2001,MATCH(A362&amp;"ENTRADA",Movimientos!$R$5:$R$2001,0)),"-")</f>
        <v>-</v>
      </c>
      <c r="D362" s="3" t="str">
        <f>IFERROR(INDEX(Movimientos!$E$5:$E$2001,MATCH(A362&amp;"ENTRADA",Movimientos!$R$5:$R$2001,0)),"-")</f>
        <v>-</v>
      </c>
      <c r="E362" s="3" t="str">
        <f>IFERROR(INDEX(Movimientos!$F$5:$F$2001,MATCH(A362&amp;"ENTRADA",Movimientos!$R$5:$R$2001,0)),"-")</f>
        <v>-</v>
      </c>
      <c r="F362" s="3" t="str">
        <f>IFERROR(INDEX(Movimientos!$G$5:$G$2001,MATCH(A362&amp;"ENTRADA",Movimientos!$R$5:$R$2001,0)),"-")</f>
        <v>-</v>
      </c>
      <c r="G362" s="3" t="str">
        <f>IFERROR(INDEX(Movimientos!$L$5:$L$2001,MATCH(A362&amp;"ENTRADA",Movimientos!$R$5:$R$2001,0)),"-")</f>
        <v>-</v>
      </c>
      <c r="H362" s="19" t="str">
        <f>IFERROR(IF(INDEX(Movimientos!$M$5:$M$2001,MATCH(A362&amp;"ENTRADA",Movimientos!$R$5:$R$2001,0))=0,"S/D",INDEX(Movimientos!$M$5:$M$2001,MATCH(A362&amp;"ENTRADA",Movimientos!$R$5:$R$2001,0))),"S/D")</f>
        <v>S/D</v>
      </c>
      <c r="I362" s="16" t="str">
        <f t="shared" ca="1" si="12"/>
        <v>S/D</v>
      </c>
      <c r="J362" s="6">
        <f>IF(A362="","",SUMIFS(Movimientos!$K:$K,Movimientos!$H:$H,A362))</f>
        <v>0</v>
      </c>
      <c r="K362" s="14" t="str">
        <f t="shared" ca="1" si="13"/>
        <v>OK</v>
      </c>
    </row>
    <row r="363" spans="1:11">
      <c r="A363" s="18" t="s">
        <v>2424</v>
      </c>
      <c r="B363" s="3" t="str">
        <f>IFERROR(INDEX(Movimientos!$C$5:$C$2001,MATCH(A363&amp;"ENTRADA",Movimientos!$R$5:$R$2001,0)),"-")</f>
        <v>-</v>
      </c>
      <c r="C363" s="3" t="str">
        <f>IFERROR(INDEX(Movimientos!$D$5:$D$2001,MATCH(A363&amp;"ENTRADA",Movimientos!$R$5:$R$2001,0)),"-")</f>
        <v>-</v>
      </c>
      <c r="D363" s="3" t="str">
        <f>IFERROR(INDEX(Movimientos!$E$5:$E$2001,MATCH(A363&amp;"ENTRADA",Movimientos!$R$5:$R$2001,0)),"-")</f>
        <v>-</v>
      </c>
      <c r="E363" s="3" t="str">
        <f>IFERROR(INDEX(Movimientos!$F$5:$F$2001,MATCH(A363&amp;"ENTRADA",Movimientos!$R$5:$R$2001,0)),"-")</f>
        <v>-</v>
      </c>
      <c r="F363" s="3" t="str">
        <f>IFERROR(INDEX(Movimientos!$G$5:$G$2001,MATCH(A363&amp;"ENTRADA",Movimientos!$R$5:$R$2001,0)),"-")</f>
        <v>-</v>
      </c>
      <c r="G363" s="3" t="str">
        <f>IFERROR(INDEX(Movimientos!$L$5:$L$2001,MATCH(A363&amp;"ENTRADA",Movimientos!$R$5:$R$2001,0)),"-")</f>
        <v>-</v>
      </c>
      <c r="H363" s="19" t="str">
        <f>IFERROR(IF(INDEX(Movimientos!$M$5:$M$2001,MATCH(A363&amp;"ENTRADA",Movimientos!$R$5:$R$2001,0))=0,"S/D",INDEX(Movimientos!$M$5:$M$2001,MATCH(A363&amp;"ENTRADA",Movimientos!$R$5:$R$2001,0))),"S/D")</f>
        <v>S/D</v>
      </c>
      <c r="I363" s="16" t="str">
        <f t="shared" ca="1" si="12"/>
        <v>S/D</v>
      </c>
      <c r="J363" s="6">
        <f>IF(A363="","",SUMIFS(Movimientos!$K:$K,Movimientos!$H:$H,A363))</f>
        <v>0</v>
      </c>
      <c r="K363" s="14" t="str">
        <f t="shared" ca="1" si="13"/>
        <v>OK</v>
      </c>
    </row>
    <row r="364" spans="1:11">
      <c r="A364" s="18" t="s">
        <v>2425</v>
      </c>
      <c r="B364" s="3" t="str">
        <f>IFERROR(INDEX(Movimientos!$C$5:$C$2001,MATCH(A364&amp;"ENTRADA",Movimientos!$R$5:$R$2001,0)),"-")</f>
        <v>-</v>
      </c>
      <c r="C364" s="3" t="str">
        <f>IFERROR(INDEX(Movimientos!$D$5:$D$2001,MATCH(A364&amp;"ENTRADA",Movimientos!$R$5:$R$2001,0)),"-")</f>
        <v>-</v>
      </c>
      <c r="D364" s="3" t="str">
        <f>IFERROR(INDEX(Movimientos!$E$5:$E$2001,MATCH(A364&amp;"ENTRADA",Movimientos!$R$5:$R$2001,0)),"-")</f>
        <v>-</v>
      </c>
      <c r="E364" s="3" t="str">
        <f>IFERROR(INDEX(Movimientos!$F$5:$F$2001,MATCH(A364&amp;"ENTRADA",Movimientos!$R$5:$R$2001,0)),"-")</f>
        <v>-</v>
      </c>
      <c r="F364" s="3" t="str">
        <f>IFERROR(INDEX(Movimientos!$G$5:$G$2001,MATCH(A364&amp;"ENTRADA",Movimientos!$R$5:$R$2001,0)),"-")</f>
        <v>-</v>
      </c>
      <c r="G364" s="3" t="str">
        <f>IFERROR(INDEX(Movimientos!$L$5:$L$2001,MATCH(A364&amp;"ENTRADA",Movimientos!$R$5:$R$2001,0)),"-")</f>
        <v>-</v>
      </c>
      <c r="H364" s="19" t="str">
        <f>IFERROR(IF(INDEX(Movimientos!$M$5:$M$2001,MATCH(A364&amp;"ENTRADA",Movimientos!$R$5:$R$2001,0))=0,"S/D",INDEX(Movimientos!$M$5:$M$2001,MATCH(A364&amp;"ENTRADA",Movimientos!$R$5:$R$2001,0))),"S/D")</f>
        <v>S/D</v>
      </c>
      <c r="I364" s="16" t="str">
        <f t="shared" ca="1" si="12"/>
        <v>S/D</v>
      </c>
      <c r="J364" s="6">
        <f>IF(A364="","",SUMIFS(Movimientos!$K:$K,Movimientos!$H:$H,A364))</f>
        <v>0</v>
      </c>
      <c r="K364" s="14" t="str">
        <f t="shared" ca="1" si="13"/>
        <v>OK</v>
      </c>
    </row>
    <row r="365" spans="1:11">
      <c r="A365" s="18" t="s">
        <v>2426</v>
      </c>
      <c r="B365" s="3" t="str">
        <f>IFERROR(INDEX(Movimientos!$C$5:$C$2001,MATCH(A365&amp;"ENTRADA",Movimientos!$R$5:$R$2001,0)),"-")</f>
        <v>-</v>
      </c>
      <c r="C365" s="3" t="str">
        <f>IFERROR(INDEX(Movimientos!$D$5:$D$2001,MATCH(A365&amp;"ENTRADA",Movimientos!$R$5:$R$2001,0)),"-")</f>
        <v>-</v>
      </c>
      <c r="D365" s="3" t="str">
        <f>IFERROR(INDEX(Movimientos!$E$5:$E$2001,MATCH(A365&amp;"ENTRADA",Movimientos!$R$5:$R$2001,0)),"-")</f>
        <v>-</v>
      </c>
      <c r="E365" s="3" t="str">
        <f>IFERROR(INDEX(Movimientos!$F$5:$F$2001,MATCH(A365&amp;"ENTRADA",Movimientos!$R$5:$R$2001,0)),"-")</f>
        <v>-</v>
      </c>
      <c r="F365" s="3" t="str">
        <f>IFERROR(INDEX(Movimientos!$G$5:$G$2001,MATCH(A365&amp;"ENTRADA",Movimientos!$R$5:$R$2001,0)),"-")</f>
        <v>-</v>
      </c>
      <c r="G365" s="3" t="str">
        <f>IFERROR(INDEX(Movimientos!$L$5:$L$2001,MATCH(A365&amp;"ENTRADA",Movimientos!$R$5:$R$2001,0)),"-")</f>
        <v>-</v>
      </c>
      <c r="H365" s="19" t="str">
        <f>IFERROR(IF(INDEX(Movimientos!$M$5:$M$2001,MATCH(A365&amp;"ENTRADA",Movimientos!$R$5:$R$2001,0))=0,"S/D",INDEX(Movimientos!$M$5:$M$2001,MATCH(A365&amp;"ENTRADA",Movimientos!$R$5:$R$2001,0))),"S/D")</f>
        <v>S/D</v>
      </c>
      <c r="I365" s="16" t="str">
        <f t="shared" ca="1" si="12"/>
        <v>S/D</v>
      </c>
      <c r="J365" s="6">
        <f>IF(A365="","",SUMIFS(Movimientos!$K:$K,Movimientos!$H:$H,A365))</f>
        <v>0</v>
      </c>
      <c r="K365" s="14" t="str">
        <f t="shared" ca="1" si="13"/>
        <v>OK</v>
      </c>
    </row>
    <row r="366" spans="1:11">
      <c r="A366" s="18" t="s">
        <v>2427</v>
      </c>
      <c r="B366" s="3" t="str">
        <f>IFERROR(INDEX(Movimientos!$C$5:$C$2001,MATCH(A366&amp;"ENTRADA",Movimientos!$R$5:$R$2001,0)),"-")</f>
        <v>-</v>
      </c>
      <c r="C366" s="3" t="str">
        <f>IFERROR(INDEX(Movimientos!$D$5:$D$2001,MATCH(A366&amp;"ENTRADA",Movimientos!$R$5:$R$2001,0)),"-")</f>
        <v>-</v>
      </c>
      <c r="D366" s="3" t="str">
        <f>IFERROR(INDEX(Movimientos!$E$5:$E$2001,MATCH(A366&amp;"ENTRADA",Movimientos!$R$5:$R$2001,0)),"-")</f>
        <v>-</v>
      </c>
      <c r="E366" s="3" t="str">
        <f>IFERROR(INDEX(Movimientos!$F$5:$F$2001,MATCH(A366&amp;"ENTRADA",Movimientos!$R$5:$R$2001,0)),"-")</f>
        <v>-</v>
      </c>
      <c r="F366" s="3" t="str">
        <f>IFERROR(INDEX(Movimientos!$G$5:$G$2001,MATCH(A366&amp;"ENTRADA",Movimientos!$R$5:$R$2001,0)),"-")</f>
        <v>-</v>
      </c>
      <c r="G366" s="3" t="str">
        <f>IFERROR(INDEX(Movimientos!$L$5:$L$2001,MATCH(A366&amp;"ENTRADA",Movimientos!$R$5:$R$2001,0)),"-")</f>
        <v>-</v>
      </c>
      <c r="H366" s="19" t="str">
        <f>IFERROR(IF(INDEX(Movimientos!$M$5:$M$2001,MATCH(A366&amp;"ENTRADA",Movimientos!$R$5:$R$2001,0))=0,"S/D",INDEX(Movimientos!$M$5:$M$2001,MATCH(A366&amp;"ENTRADA",Movimientos!$R$5:$R$2001,0))),"S/D")</f>
        <v>S/D</v>
      </c>
      <c r="I366" s="16" t="str">
        <f t="shared" ca="1" si="12"/>
        <v>S/D</v>
      </c>
      <c r="J366" s="6">
        <f>IF(A366="","",SUMIFS(Movimientos!$K:$K,Movimientos!$H:$H,A366))</f>
        <v>0</v>
      </c>
      <c r="K366" s="14" t="str">
        <f t="shared" ca="1" si="13"/>
        <v>OK</v>
      </c>
    </row>
    <row r="367" spans="1:11">
      <c r="A367" s="18" t="s">
        <v>2428</v>
      </c>
      <c r="B367" s="3" t="str">
        <f>IFERROR(INDEX(Movimientos!$C$5:$C$2001,MATCH(A367&amp;"ENTRADA",Movimientos!$R$5:$R$2001,0)),"-")</f>
        <v>-</v>
      </c>
      <c r="C367" s="3" t="str">
        <f>IFERROR(INDEX(Movimientos!$D$5:$D$2001,MATCH(A367&amp;"ENTRADA",Movimientos!$R$5:$R$2001,0)),"-")</f>
        <v>-</v>
      </c>
      <c r="D367" s="3" t="str">
        <f>IFERROR(INDEX(Movimientos!$E$5:$E$2001,MATCH(A367&amp;"ENTRADA",Movimientos!$R$5:$R$2001,0)),"-")</f>
        <v>-</v>
      </c>
      <c r="E367" s="3" t="str">
        <f>IFERROR(INDEX(Movimientos!$F$5:$F$2001,MATCH(A367&amp;"ENTRADA",Movimientos!$R$5:$R$2001,0)),"-")</f>
        <v>-</v>
      </c>
      <c r="F367" s="3" t="str">
        <f>IFERROR(INDEX(Movimientos!$G$5:$G$2001,MATCH(A367&amp;"ENTRADA",Movimientos!$R$5:$R$2001,0)),"-")</f>
        <v>-</v>
      </c>
      <c r="G367" s="3" t="str">
        <f>IFERROR(INDEX(Movimientos!$L$5:$L$2001,MATCH(A367&amp;"ENTRADA",Movimientos!$R$5:$R$2001,0)),"-")</f>
        <v>-</v>
      </c>
      <c r="H367" s="19" t="str">
        <f>IFERROR(IF(INDEX(Movimientos!$M$5:$M$2001,MATCH(A367&amp;"ENTRADA",Movimientos!$R$5:$R$2001,0))=0,"S/D",INDEX(Movimientos!$M$5:$M$2001,MATCH(A367&amp;"ENTRADA",Movimientos!$R$5:$R$2001,0))),"S/D")</f>
        <v>S/D</v>
      </c>
      <c r="I367" s="16" t="str">
        <f t="shared" ca="1" si="12"/>
        <v>S/D</v>
      </c>
      <c r="J367" s="6">
        <f>IF(A367="","",SUMIFS(Movimientos!$K:$K,Movimientos!$H:$H,A367))</f>
        <v>0</v>
      </c>
      <c r="K367" s="14" t="str">
        <f t="shared" ca="1" si="13"/>
        <v>OK</v>
      </c>
    </row>
    <row r="368" spans="1:11">
      <c r="A368" s="18" t="s">
        <v>2429</v>
      </c>
      <c r="B368" s="3" t="str">
        <f>IFERROR(INDEX(Movimientos!$C$5:$C$2001,MATCH(A368&amp;"ENTRADA",Movimientos!$R$5:$R$2001,0)),"-")</f>
        <v>-</v>
      </c>
      <c r="C368" s="3" t="str">
        <f>IFERROR(INDEX(Movimientos!$D$5:$D$2001,MATCH(A368&amp;"ENTRADA",Movimientos!$R$5:$R$2001,0)),"-")</f>
        <v>-</v>
      </c>
      <c r="D368" s="3" t="str">
        <f>IFERROR(INDEX(Movimientos!$E$5:$E$2001,MATCH(A368&amp;"ENTRADA",Movimientos!$R$5:$R$2001,0)),"-")</f>
        <v>-</v>
      </c>
      <c r="E368" s="3" t="str">
        <f>IFERROR(INDEX(Movimientos!$F$5:$F$2001,MATCH(A368&amp;"ENTRADA",Movimientos!$R$5:$R$2001,0)),"-")</f>
        <v>-</v>
      </c>
      <c r="F368" s="3" t="str">
        <f>IFERROR(INDEX(Movimientos!$G$5:$G$2001,MATCH(A368&amp;"ENTRADA",Movimientos!$R$5:$R$2001,0)),"-")</f>
        <v>-</v>
      </c>
      <c r="G368" s="3" t="str">
        <f>IFERROR(INDEX(Movimientos!$L$5:$L$2001,MATCH(A368&amp;"ENTRADA",Movimientos!$R$5:$R$2001,0)),"-")</f>
        <v>-</v>
      </c>
      <c r="H368" s="19" t="str">
        <f>IFERROR(IF(INDEX(Movimientos!$M$5:$M$2001,MATCH(A368&amp;"ENTRADA",Movimientos!$R$5:$R$2001,0))=0,"S/D",INDEX(Movimientos!$M$5:$M$2001,MATCH(A368&amp;"ENTRADA",Movimientos!$R$5:$R$2001,0))),"S/D")</f>
        <v>S/D</v>
      </c>
      <c r="I368" s="16" t="str">
        <f t="shared" ca="1" si="12"/>
        <v>S/D</v>
      </c>
      <c r="J368" s="6">
        <f>IF(A368="","",SUMIFS(Movimientos!$K:$K,Movimientos!$H:$H,A368))</f>
        <v>0</v>
      </c>
      <c r="K368" s="14" t="str">
        <f t="shared" ca="1" si="13"/>
        <v>OK</v>
      </c>
    </row>
    <row r="369" spans="1:11">
      <c r="A369" s="18" t="s">
        <v>2430</v>
      </c>
      <c r="B369" s="3" t="str">
        <f>IFERROR(INDEX(Movimientos!$C$5:$C$2001,MATCH(A369&amp;"ENTRADA",Movimientos!$R$5:$R$2001,0)),"-")</f>
        <v>-</v>
      </c>
      <c r="C369" s="3" t="str">
        <f>IFERROR(INDEX(Movimientos!$D$5:$D$2001,MATCH(A369&amp;"ENTRADA",Movimientos!$R$5:$R$2001,0)),"-")</f>
        <v>-</v>
      </c>
      <c r="D369" s="3" t="str">
        <f>IFERROR(INDEX(Movimientos!$E$5:$E$2001,MATCH(A369&amp;"ENTRADA",Movimientos!$R$5:$R$2001,0)),"-")</f>
        <v>-</v>
      </c>
      <c r="E369" s="3" t="str">
        <f>IFERROR(INDEX(Movimientos!$F$5:$F$2001,MATCH(A369&amp;"ENTRADA",Movimientos!$R$5:$R$2001,0)),"-")</f>
        <v>-</v>
      </c>
      <c r="F369" s="3" t="str">
        <f>IFERROR(INDEX(Movimientos!$G$5:$G$2001,MATCH(A369&amp;"ENTRADA",Movimientos!$R$5:$R$2001,0)),"-")</f>
        <v>-</v>
      </c>
      <c r="G369" s="3" t="str">
        <f>IFERROR(INDEX(Movimientos!$L$5:$L$2001,MATCH(A369&amp;"ENTRADA",Movimientos!$R$5:$R$2001,0)),"-")</f>
        <v>-</v>
      </c>
      <c r="H369" s="19" t="str">
        <f>IFERROR(IF(INDEX(Movimientos!$M$5:$M$2001,MATCH(A369&amp;"ENTRADA",Movimientos!$R$5:$R$2001,0))=0,"S/D",INDEX(Movimientos!$M$5:$M$2001,MATCH(A369&amp;"ENTRADA",Movimientos!$R$5:$R$2001,0))),"S/D")</f>
        <v>S/D</v>
      </c>
      <c r="I369" s="16" t="str">
        <f t="shared" ca="1" si="12"/>
        <v>S/D</v>
      </c>
      <c r="J369" s="6">
        <f>IF(A369="","",SUMIFS(Movimientos!$K:$K,Movimientos!$H:$H,A369))</f>
        <v>0</v>
      </c>
      <c r="K369" s="14" t="str">
        <f t="shared" ca="1" si="13"/>
        <v>OK</v>
      </c>
    </row>
    <row r="370" spans="1:11">
      <c r="A370" s="18" t="s">
        <v>2431</v>
      </c>
      <c r="B370" s="3" t="str">
        <f>IFERROR(INDEX(Movimientos!$C$5:$C$2001,MATCH(A370&amp;"ENTRADA",Movimientos!$R$5:$R$2001,0)),"-")</f>
        <v>-</v>
      </c>
      <c r="C370" s="3" t="str">
        <f>IFERROR(INDEX(Movimientos!$D$5:$D$2001,MATCH(A370&amp;"ENTRADA",Movimientos!$R$5:$R$2001,0)),"-")</f>
        <v>-</v>
      </c>
      <c r="D370" s="3" t="str">
        <f>IFERROR(INDEX(Movimientos!$E$5:$E$2001,MATCH(A370&amp;"ENTRADA",Movimientos!$R$5:$R$2001,0)),"-")</f>
        <v>-</v>
      </c>
      <c r="E370" s="3" t="str">
        <f>IFERROR(INDEX(Movimientos!$F$5:$F$2001,MATCH(A370&amp;"ENTRADA",Movimientos!$R$5:$R$2001,0)),"-")</f>
        <v>-</v>
      </c>
      <c r="F370" s="3" t="str">
        <f>IFERROR(INDEX(Movimientos!$G$5:$G$2001,MATCH(A370&amp;"ENTRADA",Movimientos!$R$5:$R$2001,0)),"-")</f>
        <v>-</v>
      </c>
      <c r="G370" s="3" t="str">
        <f>IFERROR(INDEX(Movimientos!$L$5:$L$2001,MATCH(A370&amp;"ENTRADA",Movimientos!$R$5:$R$2001,0)),"-")</f>
        <v>-</v>
      </c>
      <c r="H370" s="19" t="str">
        <f>IFERROR(IF(INDEX(Movimientos!$M$5:$M$2001,MATCH(A370&amp;"ENTRADA",Movimientos!$R$5:$R$2001,0))=0,"S/D",INDEX(Movimientos!$M$5:$M$2001,MATCH(A370&amp;"ENTRADA",Movimientos!$R$5:$R$2001,0))),"S/D")</f>
        <v>S/D</v>
      </c>
      <c r="I370" s="16" t="str">
        <f t="shared" ca="1" si="12"/>
        <v>S/D</v>
      </c>
      <c r="J370" s="6">
        <f>IF(A370="","",SUMIFS(Movimientos!$K:$K,Movimientos!$H:$H,A370))</f>
        <v>0</v>
      </c>
      <c r="K370" s="14" t="str">
        <f t="shared" ca="1" si="13"/>
        <v>OK</v>
      </c>
    </row>
    <row r="371" spans="1:11">
      <c r="A371" s="18" t="s">
        <v>2432</v>
      </c>
      <c r="B371" s="3" t="str">
        <f>IFERROR(INDEX(Movimientos!$C$5:$C$2001,MATCH(A371&amp;"ENTRADA",Movimientos!$R$5:$R$2001,0)),"-")</f>
        <v>-</v>
      </c>
      <c r="C371" s="3" t="str">
        <f>IFERROR(INDEX(Movimientos!$D$5:$D$2001,MATCH(A371&amp;"ENTRADA",Movimientos!$R$5:$R$2001,0)),"-")</f>
        <v>-</v>
      </c>
      <c r="D371" s="3" t="str">
        <f>IFERROR(INDEX(Movimientos!$E$5:$E$2001,MATCH(A371&amp;"ENTRADA",Movimientos!$R$5:$R$2001,0)),"-")</f>
        <v>-</v>
      </c>
      <c r="E371" s="3" t="str">
        <f>IFERROR(INDEX(Movimientos!$F$5:$F$2001,MATCH(A371&amp;"ENTRADA",Movimientos!$R$5:$R$2001,0)),"-")</f>
        <v>-</v>
      </c>
      <c r="F371" s="3" t="str">
        <f>IFERROR(INDEX(Movimientos!$G$5:$G$2001,MATCH(A371&amp;"ENTRADA",Movimientos!$R$5:$R$2001,0)),"-")</f>
        <v>-</v>
      </c>
      <c r="G371" s="3" t="str">
        <f>IFERROR(INDEX(Movimientos!$L$5:$L$2001,MATCH(A371&amp;"ENTRADA",Movimientos!$R$5:$R$2001,0)),"-")</f>
        <v>-</v>
      </c>
      <c r="H371" s="19" t="str">
        <f>IFERROR(IF(INDEX(Movimientos!$M$5:$M$2001,MATCH(A371&amp;"ENTRADA",Movimientos!$R$5:$R$2001,0))=0,"S/D",INDEX(Movimientos!$M$5:$M$2001,MATCH(A371&amp;"ENTRADA",Movimientos!$R$5:$R$2001,0))),"S/D")</f>
        <v>S/D</v>
      </c>
      <c r="I371" s="16" t="str">
        <f t="shared" ca="1" si="12"/>
        <v>S/D</v>
      </c>
      <c r="J371" s="6">
        <f>IF(A371="","",SUMIFS(Movimientos!$K:$K,Movimientos!$H:$H,A371))</f>
        <v>0</v>
      </c>
      <c r="K371" s="14" t="str">
        <f t="shared" ca="1" si="13"/>
        <v>OK</v>
      </c>
    </row>
    <row r="372" spans="1:11">
      <c r="A372" s="18" t="s">
        <v>2433</v>
      </c>
      <c r="B372" s="3" t="str">
        <f>IFERROR(INDEX(Movimientos!$C$5:$C$2001,MATCH(A372&amp;"ENTRADA",Movimientos!$R$5:$R$2001,0)),"-")</f>
        <v>-</v>
      </c>
      <c r="C372" s="3" t="str">
        <f>IFERROR(INDEX(Movimientos!$D$5:$D$2001,MATCH(A372&amp;"ENTRADA",Movimientos!$R$5:$R$2001,0)),"-")</f>
        <v>-</v>
      </c>
      <c r="D372" s="3" t="str">
        <f>IFERROR(INDEX(Movimientos!$E$5:$E$2001,MATCH(A372&amp;"ENTRADA",Movimientos!$R$5:$R$2001,0)),"-")</f>
        <v>-</v>
      </c>
      <c r="E372" s="3" t="str">
        <f>IFERROR(INDEX(Movimientos!$F$5:$F$2001,MATCH(A372&amp;"ENTRADA",Movimientos!$R$5:$R$2001,0)),"-")</f>
        <v>-</v>
      </c>
      <c r="F372" s="3" t="str">
        <f>IFERROR(INDEX(Movimientos!$G$5:$G$2001,MATCH(A372&amp;"ENTRADA",Movimientos!$R$5:$R$2001,0)),"-")</f>
        <v>-</v>
      </c>
      <c r="G372" s="3" t="str">
        <f>IFERROR(INDEX(Movimientos!$L$5:$L$2001,MATCH(A372&amp;"ENTRADA",Movimientos!$R$5:$R$2001,0)),"-")</f>
        <v>-</v>
      </c>
      <c r="H372" s="19" t="str">
        <f>IFERROR(IF(INDEX(Movimientos!$M$5:$M$2001,MATCH(A372&amp;"ENTRADA",Movimientos!$R$5:$R$2001,0))=0,"S/D",INDEX(Movimientos!$M$5:$M$2001,MATCH(A372&amp;"ENTRADA",Movimientos!$R$5:$R$2001,0))),"S/D")</f>
        <v>S/D</v>
      </c>
      <c r="I372" s="16" t="str">
        <f t="shared" ca="1" si="12"/>
        <v>S/D</v>
      </c>
      <c r="J372" s="6">
        <f>IF(A372="","",SUMIFS(Movimientos!$K:$K,Movimientos!$H:$H,A372))</f>
        <v>0</v>
      </c>
      <c r="K372" s="14" t="str">
        <f t="shared" ca="1" si="13"/>
        <v>OK</v>
      </c>
    </row>
    <row r="373" spans="1:11">
      <c r="A373" s="18" t="s">
        <v>2434</v>
      </c>
      <c r="B373" s="3" t="str">
        <f>IFERROR(INDEX(Movimientos!$C$5:$C$2001,MATCH(A373&amp;"ENTRADA",Movimientos!$R$5:$R$2001,0)),"-")</f>
        <v>-</v>
      </c>
      <c r="C373" s="3" t="str">
        <f>IFERROR(INDEX(Movimientos!$D$5:$D$2001,MATCH(A373&amp;"ENTRADA",Movimientos!$R$5:$R$2001,0)),"-")</f>
        <v>-</v>
      </c>
      <c r="D373" s="3" t="str">
        <f>IFERROR(INDEX(Movimientos!$E$5:$E$2001,MATCH(A373&amp;"ENTRADA",Movimientos!$R$5:$R$2001,0)),"-")</f>
        <v>-</v>
      </c>
      <c r="E373" s="3" t="str">
        <f>IFERROR(INDEX(Movimientos!$F$5:$F$2001,MATCH(A373&amp;"ENTRADA",Movimientos!$R$5:$R$2001,0)),"-")</f>
        <v>-</v>
      </c>
      <c r="F373" s="3" t="str">
        <f>IFERROR(INDEX(Movimientos!$G$5:$G$2001,MATCH(A373&amp;"ENTRADA",Movimientos!$R$5:$R$2001,0)),"-")</f>
        <v>-</v>
      </c>
      <c r="G373" s="3" t="str">
        <f>IFERROR(INDEX(Movimientos!$L$5:$L$2001,MATCH(A373&amp;"ENTRADA",Movimientos!$R$5:$R$2001,0)),"-")</f>
        <v>-</v>
      </c>
      <c r="H373" s="19" t="str">
        <f>IFERROR(IF(INDEX(Movimientos!$M$5:$M$2001,MATCH(A373&amp;"ENTRADA",Movimientos!$R$5:$R$2001,0))=0,"S/D",INDEX(Movimientos!$M$5:$M$2001,MATCH(A373&amp;"ENTRADA",Movimientos!$R$5:$R$2001,0))),"S/D")</f>
        <v>S/D</v>
      </c>
      <c r="I373" s="16" t="str">
        <f t="shared" ca="1" si="12"/>
        <v>S/D</v>
      </c>
      <c r="J373" s="6">
        <f>IF(A373="","",SUMIFS(Movimientos!$K:$K,Movimientos!$H:$H,A373))</f>
        <v>0</v>
      </c>
      <c r="K373" s="14" t="str">
        <f t="shared" ca="1" si="13"/>
        <v>OK</v>
      </c>
    </row>
    <row r="374" spans="1:11">
      <c r="A374" s="18" t="s">
        <v>2435</v>
      </c>
      <c r="B374" s="3" t="str">
        <f>IFERROR(INDEX(Movimientos!$C$5:$C$2001,MATCH(A374&amp;"ENTRADA",Movimientos!$R$5:$R$2001,0)),"-")</f>
        <v>-</v>
      </c>
      <c r="C374" s="3" t="str">
        <f>IFERROR(INDEX(Movimientos!$D$5:$D$2001,MATCH(A374&amp;"ENTRADA",Movimientos!$R$5:$R$2001,0)),"-")</f>
        <v>-</v>
      </c>
      <c r="D374" s="3" t="str">
        <f>IFERROR(INDEX(Movimientos!$E$5:$E$2001,MATCH(A374&amp;"ENTRADA",Movimientos!$R$5:$R$2001,0)),"-")</f>
        <v>-</v>
      </c>
      <c r="E374" s="3" t="str">
        <f>IFERROR(INDEX(Movimientos!$F$5:$F$2001,MATCH(A374&amp;"ENTRADA",Movimientos!$R$5:$R$2001,0)),"-")</f>
        <v>-</v>
      </c>
      <c r="F374" s="3" t="str">
        <f>IFERROR(INDEX(Movimientos!$G$5:$G$2001,MATCH(A374&amp;"ENTRADA",Movimientos!$R$5:$R$2001,0)),"-")</f>
        <v>-</v>
      </c>
      <c r="G374" s="3" t="str">
        <f>IFERROR(INDEX(Movimientos!$L$5:$L$2001,MATCH(A374&amp;"ENTRADA",Movimientos!$R$5:$R$2001,0)),"-")</f>
        <v>-</v>
      </c>
      <c r="H374" s="19" t="str">
        <f>IFERROR(IF(INDEX(Movimientos!$M$5:$M$2001,MATCH(A374&amp;"ENTRADA",Movimientos!$R$5:$R$2001,0))=0,"S/D",INDEX(Movimientos!$M$5:$M$2001,MATCH(A374&amp;"ENTRADA",Movimientos!$R$5:$R$2001,0))),"S/D")</f>
        <v>S/D</v>
      </c>
      <c r="I374" s="16" t="str">
        <f t="shared" ca="1" si="12"/>
        <v>S/D</v>
      </c>
      <c r="J374" s="6">
        <f>IF(A374="","",SUMIFS(Movimientos!$K:$K,Movimientos!$H:$H,A374))</f>
        <v>0</v>
      </c>
      <c r="K374" s="14" t="str">
        <f t="shared" ca="1" si="13"/>
        <v>OK</v>
      </c>
    </row>
    <row r="375" spans="1:11">
      <c r="A375" s="18" t="s">
        <v>2436</v>
      </c>
      <c r="B375" s="3" t="str">
        <f>IFERROR(INDEX(Movimientos!$C$5:$C$2001,MATCH(A375&amp;"ENTRADA",Movimientos!$R$5:$R$2001,0)),"-")</f>
        <v>-</v>
      </c>
      <c r="C375" s="3" t="str">
        <f>IFERROR(INDEX(Movimientos!$D$5:$D$2001,MATCH(A375&amp;"ENTRADA",Movimientos!$R$5:$R$2001,0)),"-")</f>
        <v>-</v>
      </c>
      <c r="D375" s="3" t="str">
        <f>IFERROR(INDEX(Movimientos!$E$5:$E$2001,MATCH(A375&amp;"ENTRADA",Movimientos!$R$5:$R$2001,0)),"-")</f>
        <v>-</v>
      </c>
      <c r="E375" s="3" t="str">
        <f>IFERROR(INDEX(Movimientos!$F$5:$F$2001,MATCH(A375&amp;"ENTRADA",Movimientos!$R$5:$R$2001,0)),"-")</f>
        <v>-</v>
      </c>
      <c r="F375" s="3" t="str">
        <f>IFERROR(INDEX(Movimientos!$G$5:$G$2001,MATCH(A375&amp;"ENTRADA",Movimientos!$R$5:$R$2001,0)),"-")</f>
        <v>-</v>
      </c>
      <c r="G375" s="3" t="str">
        <f>IFERROR(INDEX(Movimientos!$L$5:$L$2001,MATCH(A375&amp;"ENTRADA",Movimientos!$R$5:$R$2001,0)),"-")</f>
        <v>-</v>
      </c>
      <c r="H375" s="19" t="str">
        <f>IFERROR(IF(INDEX(Movimientos!$M$5:$M$2001,MATCH(A375&amp;"ENTRADA",Movimientos!$R$5:$R$2001,0))=0,"S/D",INDEX(Movimientos!$M$5:$M$2001,MATCH(A375&amp;"ENTRADA",Movimientos!$R$5:$R$2001,0))),"S/D")</f>
        <v>S/D</v>
      </c>
      <c r="I375" s="16" t="str">
        <f t="shared" ca="1" si="12"/>
        <v>S/D</v>
      </c>
      <c r="J375" s="6">
        <f>IF(A375="","",SUMIFS(Movimientos!$K:$K,Movimientos!$H:$H,A375))</f>
        <v>0</v>
      </c>
      <c r="K375" s="14" t="str">
        <f t="shared" ca="1" si="13"/>
        <v>OK</v>
      </c>
    </row>
    <row r="376" spans="1:11">
      <c r="A376" s="18" t="s">
        <v>2437</v>
      </c>
      <c r="B376" s="3" t="str">
        <f>IFERROR(INDEX(Movimientos!$C$5:$C$2001,MATCH(A376&amp;"ENTRADA",Movimientos!$R$5:$R$2001,0)),"-")</f>
        <v>-</v>
      </c>
      <c r="C376" s="3" t="str">
        <f>IFERROR(INDEX(Movimientos!$D$5:$D$2001,MATCH(A376&amp;"ENTRADA",Movimientos!$R$5:$R$2001,0)),"-")</f>
        <v>-</v>
      </c>
      <c r="D376" s="3" t="str">
        <f>IFERROR(INDEX(Movimientos!$E$5:$E$2001,MATCH(A376&amp;"ENTRADA",Movimientos!$R$5:$R$2001,0)),"-")</f>
        <v>-</v>
      </c>
      <c r="E376" s="3" t="str">
        <f>IFERROR(INDEX(Movimientos!$F$5:$F$2001,MATCH(A376&amp;"ENTRADA",Movimientos!$R$5:$R$2001,0)),"-")</f>
        <v>-</v>
      </c>
      <c r="F376" s="3" t="str">
        <f>IFERROR(INDEX(Movimientos!$G$5:$G$2001,MATCH(A376&amp;"ENTRADA",Movimientos!$R$5:$R$2001,0)),"-")</f>
        <v>-</v>
      </c>
      <c r="G376" s="3" t="str">
        <f>IFERROR(INDEX(Movimientos!$L$5:$L$2001,MATCH(A376&amp;"ENTRADA",Movimientos!$R$5:$R$2001,0)),"-")</f>
        <v>-</v>
      </c>
      <c r="H376" s="19" t="str">
        <f>IFERROR(IF(INDEX(Movimientos!$M$5:$M$2001,MATCH(A376&amp;"ENTRADA",Movimientos!$R$5:$R$2001,0))=0,"S/D",INDEX(Movimientos!$M$5:$M$2001,MATCH(A376&amp;"ENTRADA",Movimientos!$R$5:$R$2001,0))),"S/D")</f>
        <v>S/D</v>
      </c>
      <c r="I376" s="16" t="str">
        <f t="shared" ca="1" si="12"/>
        <v>S/D</v>
      </c>
      <c r="J376" s="6">
        <f>IF(A376="","",SUMIFS(Movimientos!$K:$K,Movimientos!$H:$H,A376))</f>
        <v>0</v>
      </c>
      <c r="K376" s="14" t="str">
        <f t="shared" ca="1" si="13"/>
        <v>OK</v>
      </c>
    </row>
    <row r="377" spans="1:11">
      <c r="A377" s="18" t="s">
        <v>2438</v>
      </c>
      <c r="B377" s="3" t="str">
        <f>IFERROR(INDEX(Movimientos!$C$5:$C$2001,MATCH(A377&amp;"ENTRADA",Movimientos!$R$5:$R$2001,0)),"-")</f>
        <v>-</v>
      </c>
      <c r="C377" s="3" t="str">
        <f>IFERROR(INDEX(Movimientos!$D$5:$D$2001,MATCH(A377&amp;"ENTRADA",Movimientos!$R$5:$R$2001,0)),"-")</f>
        <v>-</v>
      </c>
      <c r="D377" s="3" t="str">
        <f>IFERROR(INDEX(Movimientos!$E$5:$E$2001,MATCH(A377&amp;"ENTRADA",Movimientos!$R$5:$R$2001,0)),"-")</f>
        <v>-</v>
      </c>
      <c r="E377" s="3" t="str">
        <f>IFERROR(INDEX(Movimientos!$F$5:$F$2001,MATCH(A377&amp;"ENTRADA",Movimientos!$R$5:$R$2001,0)),"-")</f>
        <v>-</v>
      </c>
      <c r="F377" s="3" t="str">
        <f>IFERROR(INDEX(Movimientos!$G$5:$G$2001,MATCH(A377&amp;"ENTRADA",Movimientos!$R$5:$R$2001,0)),"-")</f>
        <v>-</v>
      </c>
      <c r="G377" s="3" t="str">
        <f>IFERROR(INDEX(Movimientos!$L$5:$L$2001,MATCH(A377&amp;"ENTRADA",Movimientos!$R$5:$R$2001,0)),"-")</f>
        <v>-</v>
      </c>
      <c r="H377" s="19" t="str">
        <f>IFERROR(IF(INDEX(Movimientos!$M$5:$M$2001,MATCH(A377&amp;"ENTRADA",Movimientos!$R$5:$R$2001,0))=0,"S/D",INDEX(Movimientos!$M$5:$M$2001,MATCH(A377&amp;"ENTRADA",Movimientos!$R$5:$R$2001,0))),"S/D")</f>
        <v>S/D</v>
      </c>
      <c r="I377" s="16" t="str">
        <f t="shared" ca="1" si="12"/>
        <v>S/D</v>
      </c>
      <c r="J377" s="6">
        <f>IF(A377="","",SUMIFS(Movimientos!$K:$K,Movimientos!$H:$H,A377))</f>
        <v>0</v>
      </c>
      <c r="K377" s="14" t="str">
        <f t="shared" ca="1" si="13"/>
        <v>OK</v>
      </c>
    </row>
    <row r="378" spans="1:11">
      <c r="A378" s="18" t="s">
        <v>2439</v>
      </c>
      <c r="B378" s="3" t="str">
        <f>IFERROR(INDEX(Movimientos!$C$5:$C$2001,MATCH(A378&amp;"ENTRADA",Movimientos!$R$5:$R$2001,0)),"-")</f>
        <v>-</v>
      </c>
      <c r="C378" s="3" t="str">
        <f>IFERROR(INDEX(Movimientos!$D$5:$D$2001,MATCH(A378&amp;"ENTRADA",Movimientos!$R$5:$R$2001,0)),"-")</f>
        <v>-</v>
      </c>
      <c r="D378" s="3" t="str">
        <f>IFERROR(INDEX(Movimientos!$E$5:$E$2001,MATCH(A378&amp;"ENTRADA",Movimientos!$R$5:$R$2001,0)),"-")</f>
        <v>-</v>
      </c>
      <c r="E378" s="3" t="str">
        <f>IFERROR(INDEX(Movimientos!$F$5:$F$2001,MATCH(A378&amp;"ENTRADA",Movimientos!$R$5:$R$2001,0)),"-")</f>
        <v>-</v>
      </c>
      <c r="F378" s="3" t="str">
        <f>IFERROR(INDEX(Movimientos!$G$5:$G$2001,MATCH(A378&amp;"ENTRADA",Movimientos!$R$5:$R$2001,0)),"-")</f>
        <v>-</v>
      </c>
      <c r="G378" s="3" t="str">
        <f>IFERROR(INDEX(Movimientos!$L$5:$L$2001,MATCH(A378&amp;"ENTRADA",Movimientos!$R$5:$R$2001,0)),"-")</f>
        <v>-</v>
      </c>
      <c r="H378" s="19" t="str">
        <f>IFERROR(IF(INDEX(Movimientos!$M$5:$M$2001,MATCH(A378&amp;"ENTRADA",Movimientos!$R$5:$R$2001,0))=0,"S/D",INDEX(Movimientos!$M$5:$M$2001,MATCH(A378&amp;"ENTRADA",Movimientos!$R$5:$R$2001,0))),"S/D")</f>
        <v>S/D</v>
      </c>
      <c r="I378" s="16" t="str">
        <f t="shared" ca="1" si="12"/>
        <v>S/D</v>
      </c>
      <c r="J378" s="6">
        <f>IF(A378="","",SUMIFS(Movimientos!$K:$K,Movimientos!$H:$H,A378))</f>
        <v>0</v>
      </c>
      <c r="K378" s="14" t="str">
        <f t="shared" ca="1" si="13"/>
        <v>OK</v>
      </c>
    </row>
    <row r="379" spans="1:11">
      <c r="A379" s="18" t="s">
        <v>2440</v>
      </c>
      <c r="B379" s="3" t="str">
        <f>IFERROR(INDEX(Movimientos!$C$5:$C$2001,MATCH(A379&amp;"ENTRADA",Movimientos!$R$5:$R$2001,0)),"-")</f>
        <v>-</v>
      </c>
      <c r="C379" s="3" t="str">
        <f>IFERROR(INDEX(Movimientos!$D$5:$D$2001,MATCH(A379&amp;"ENTRADA",Movimientos!$R$5:$R$2001,0)),"-")</f>
        <v>-</v>
      </c>
      <c r="D379" s="3" t="str">
        <f>IFERROR(INDEX(Movimientos!$E$5:$E$2001,MATCH(A379&amp;"ENTRADA",Movimientos!$R$5:$R$2001,0)),"-")</f>
        <v>-</v>
      </c>
      <c r="E379" s="3" t="str">
        <f>IFERROR(INDEX(Movimientos!$F$5:$F$2001,MATCH(A379&amp;"ENTRADA",Movimientos!$R$5:$R$2001,0)),"-")</f>
        <v>-</v>
      </c>
      <c r="F379" s="3" t="str">
        <f>IFERROR(INDEX(Movimientos!$G$5:$G$2001,MATCH(A379&amp;"ENTRADA",Movimientos!$R$5:$R$2001,0)),"-")</f>
        <v>-</v>
      </c>
      <c r="G379" s="3" t="str">
        <f>IFERROR(INDEX(Movimientos!$L$5:$L$2001,MATCH(A379&amp;"ENTRADA",Movimientos!$R$5:$R$2001,0)),"-")</f>
        <v>-</v>
      </c>
      <c r="H379" s="19" t="str">
        <f>IFERROR(IF(INDEX(Movimientos!$M$5:$M$2001,MATCH(A379&amp;"ENTRADA",Movimientos!$R$5:$R$2001,0))=0,"S/D",INDEX(Movimientos!$M$5:$M$2001,MATCH(A379&amp;"ENTRADA",Movimientos!$R$5:$R$2001,0))),"S/D")</f>
        <v>S/D</v>
      </c>
      <c r="I379" s="16" t="str">
        <f t="shared" ca="1" si="12"/>
        <v>S/D</v>
      </c>
      <c r="J379" s="6">
        <f>IF(A379="","",SUMIFS(Movimientos!$K:$K,Movimientos!$H:$H,A379))</f>
        <v>0</v>
      </c>
      <c r="K379" s="14" t="str">
        <f t="shared" ca="1" si="13"/>
        <v>OK</v>
      </c>
    </row>
    <row r="380" spans="1:11">
      <c r="A380" s="18" t="s">
        <v>2441</v>
      </c>
      <c r="B380" s="3" t="str">
        <f>IFERROR(INDEX(Movimientos!$C$5:$C$2001,MATCH(A380&amp;"ENTRADA",Movimientos!$R$5:$R$2001,0)),"-")</f>
        <v>-</v>
      </c>
      <c r="C380" s="3" t="str">
        <f>IFERROR(INDEX(Movimientos!$D$5:$D$2001,MATCH(A380&amp;"ENTRADA",Movimientos!$R$5:$R$2001,0)),"-")</f>
        <v>-</v>
      </c>
      <c r="D380" s="3" t="str">
        <f>IFERROR(INDEX(Movimientos!$E$5:$E$2001,MATCH(A380&amp;"ENTRADA",Movimientos!$R$5:$R$2001,0)),"-")</f>
        <v>-</v>
      </c>
      <c r="E380" s="3" t="str">
        <f>IFERROR(INDEX(Movimientos!$F$5:$F$2001,MATCH(A380&amp;"ENTRADA",Movimientos!$R$5:$R$2001,0)),"-")</f>
        <v>-</v>
      </c>
      <c r="F380" s="3" t="str">
        <f>IFERROR(INDEX(Movimientos!$G$5:$G$2001,MATCH(A380&amp;"ENTRADA",Movimientos!$R$5:$R$2001,0)),"-")</f>
        <v>-</v>
      </c>
      <c r="G380" s="3" t="str">
        <f>IFERROR(INDEX(Movimientos!$L$5:$L$2001,MATCH(A380&amp;"ENTRADA",Movimientos!$R$5:$R$2001,0)),"-")</f>
        <v>-</v>
      </c>
      <c r="H380" s="19" t="str">
        <f>IFERROR(IF(INDEX(Movimientos!$M$5:$M$2001,MATCH(A380&amp;"ENTRADA",Movimientos!$R$5:$R$2001,0))=0,"S/D",INDEX(Movimientos!$M$5:$M$2001,MATCH(A380&amp;"ENTRADA",Movimientos!$R$5:$R$2001,0))),"S/D")</f>
        <v>S/D</v>
      </c>
      <c r="I380" s="16" t="str">
        <f t="shared" ca="1" si="12"/>
        <v>S/D</v>
      </c>
      <c r="J380" s="6">
        <f>IF(A380="","",SUMIFS(Movimientos!$K:$K,Movimientos!$H:$H,A380))</f>
        <v>0</v>
      </c>
      <c r="K380" s="14" t="str">
        <f t="shared" ca="1" si="13"/>
        <v>OK</v>
      </c>
    </row>
    <row r="381" spans="1:11">
      <c r="A381" s="18" t="s">
        <v>2442</v>
      </c>
      <c r="B381" s="3" t="str">
        <f>IFERROR(INDEX(Movimientos!$C$5:$C$2001,MATCH(A381&amp;"ENTRADA",Movimientos!$R$5:$R$2001,0)),"-")</f>
        <v>-</v>
      </c>
      <c r="C381" s="3" t="str">
        <f>IFERROR(INDEX(Movimientos!$D$5:$D$2001,MATCH(A381&amp;"ENTRADA",Movimientos!$R$5:$R$2001,0)),"-")</f>
        <v>-</v>
      </c>
      <c r="D381" s="3" t="str">
        <f>IFERROR(INDEX(Movimientos!$E$5:$E$2001,MATCH(A381&amp;"ENTRADA",Movimientos!$R$5:$R$2001,0)),"-")</f>
        <v>-</v>
      </c>
      <c r="E381" s="3" t="str">
        <f>IFERROR(INDEX(Movimientos!$F$5:$F$2001,MATCH(A381&amp;"ENTRADA",Movimientos!$R$5:$R$2001,0)),"-")</f>
        <v>-</v>
      </c>
      <c r="F381" s="3" t="str">
        <f>IFERROR(INDEX(Movimientos!$G$5:$G$2001,MATCH(A381&amp;"ENTRADA",Movimientos!$R$5:$R$2001,0)),"-")</f>
        <v>-</v>
      </c>
      <c r="G381" s="3" t="str">
        <f>IFERROR(INDEX(Movimientos!$L$5:$L$2001,MATCH(A381&amp;"ENTRADA",Movimientos!$R$5:$R$2001,0)),"-")</f>
        <v>-</v>
      </c>
      <c r="H381" s="19" t="str">
        <f>IFERROR(IF(INDEX(Movimientos!$M$5:$M$2001,MATCH(A381&amp;"ENTRADA",Movimientos!$R$5:$R$2001,0))=0,"S/D",INDEX(Movimientos!$M$5:$M$2001,MATCH(A381&amp;"ENTRADA",Movimientos!$R$5:$R$2001,0))),"S/D")</f>
        <v>S/D</v>
      </c>
      <c r="I381" s="16" t="str">
        <f t="shared" ca="1" si="12"/>
        <v>S/D</v>
      </c>
      <c r="J381" s="6">
        <f>IF(A381="","",SUMIFS(Movimientos!$K:$K,Movimientos!$H:$H,A381))</f>
        <v>0</v>
      </c>
      <c r="K381" s="14" t="str">
        <f t="shared" ca="1" si="13"/>
        <v>OK</v>
      </c>
    </row>
    <row r="382" spans="1:11">
      <c r="A382" s="18" t="s">
        <v>2443</v>
      </c>
      <c r="B382" s="3" t="str">
        <f>IFERROR(INDEX(Movimientos!$C$5:$C$2001,MATCH(A382&amp;"ENTRADA",Movimientos!$R$5:$R$2001,0)),"-")</f>
        <v>-</v>
      </c>
      <c r="C382" s="3" t="str">
        <f>IFERROR(INDEX(Movimientos!$D$5:$D$2001,MATCH(A382&amp;"ENTRADA",Movimientos!$R$5:$R$2001,0)),"-")</f>
        <v>-</v>
      </c>
      <c r="D382" s="3" t="str">
        <f>IFERROR(INDEX(Movimientos!$E$5:$E$2001,MATCH(A382&amp;"ENTRADA",Movimientos!$R$5:$R$2001,0)),"-")</f>
        <v>-</v>
      </c>
      <c r="E382" s="3" t="str">
        <f>IFERROR(INDEX(Movimientos!$F$5:$F$2001,MATCH(A382&amp;"ENTRADA",Movimientos!$R$5:$R$2001,0)),"-")</f>
        <v>-</v>
      </c>
      <c r="F382" s="3" t="str">
        <f>IFERROR(INDEX(Movimientos!$G$5:$G$2001,MATCH(A382&amp;"ENTRADA",Movimientos!$R$5:$R$2001,0)),"-")</f>
        <v>-</v>
      </c>
      <c r="G382" s="3" t="str">
        <f>IFERROR(INDEX(Movimientos!$L$5:$L$2001,MATCH(A382&amp;"ENTRADA",Movimientos!$R$5:$R$2001,0)),"-")</f>
        <v>-</v>
      </c>
      <c r="H382" s="19" t="str">
        <f>IFERROR(IF(INDEX(Movimientos!$M$5:$M$2001,MATCH(A382&amp;"ENTRADA",Movimientos!$R$5:$R$2001,0))=0,"S/D",INDEX(Movimientos!$M$5:$M$2001,MATCH(A382&amp;"ENTRADA",Movimientos!$R$5:$R$2001,0))),"S/D")</f>
        <v>S/D</v>
      </c>
      <c r="I382" s="16" t="str">
        <f t="shared" ca="1" si="12"/>
        <v>S/D</v>
      </c>
      <c r="J382" s="6">
        <f>IF(A382="","",SUMIFS(Movimientos!$K:$K,Movimientos!$H:$H,A382))</f>
        <v>0</v>
      </c>
      <c r="K382" s="14" t="str">
        <f t="shared" ca="1" si="13"/>
        <v>OK</v>
      </c>
    </row>
    <row r="383" spans="1:11">
      <c r="A383" s="18" t="s">
        <v>2444</v>
      </c>
      <c r="B383" s="3" t="str">
        <f>IFERROR(INDEX(Movimientos!$C$5:$C$2001,MATCH(A383&amp;"ENTRADA",Movimientos!$R$5:$R$2001,0)),"-")</f>
        <v>-</v>
      </c>
      <c r="C383" s="3" t="str">
        <f>IFERROR(INDEX(Movimientos!$D$5:$D$2001,MATCH(A383&amp;"ENTRADA",Movimientos!$R$5:$R$2001,0)),"-")</f>
        <v>-</v>
      </c>
      <c r="D383" s="3" t="str">
        <f>IFERROR(INDEX(Movimientos!$E$5:$E$2001,MATCH(A383&amp;"ENTRADA",Movimientos!$R$5:$R$2001,0)),"-")</f>
        <v>-</v>
      </c>
      <c r="E383" s="3" t="str">
        <f>IFERROR(INDEX(Movimientos!$F$5:$F$2001,MATCH(A383&amp;"ENTRADA",Movimientos!$R$5:$R$2001,0)),"-")</f>
        <v>-</v>
      </c>
      <c r="F383" s="3" t="str">
        <f>IFERROR(INDEX(Movimientos!$G$5:$G$2001,MATCH(A383&amp;"ENTRADA",Movimientos!$R$5:$R$2001,0)),"-")</f>
        <v>-</v>
      </c>
      <c r="G383" s="3" t="str">
        <f>IFERROR(INDEX(Movimientos!$L$5:$L$2001,MATCH(A383&amp;"ENTRADA",Movimientos!$R$5:$R$2001,0)),"-")</f>
        <v>-</v>
      </c>
      <c r="H383" s="19" t="str">
        <f>IFERROR(IF(INDEX(Movimientos!$M$5:$M$2001,MATCH(A383&amp;"ENTRADA",Movimientos!$R$5:$R$2001,0))=0,"S/D",INDEX(Movimientos!$M$5:$M$2001,MATCH(A383&amp;"ENTRADA",Movimientos!$R$5:$R$2001,0))),"S/D")</f>
        <v>S/D</v>
      </c>
      <c r="I383" s="16" t="str">
        <f t="shared" ca="1" si="12"/>
        <v>S/D</v>
      </c>
      <c r="J383" s="6">
        <f>IF(A383="","",SUMIFS(Movimientos!$K:$K,Movimientos!$H:$H,A383))</f>
        <v>0</v>
      </c>
      <c r="K383" s="14" t="str">
        <f t="shared" ca="1" si="13"/>
        <v>OK</v>
      </c>
    </row>
    <row r="384" spans="1:11">
      <c r="A384" s="18" t="s">
        <v>2445</v>
      </c>
      <c r="B384" s="3" t="str">
        <f>IFERROR(INDEX(Movimientos!$C$5:$C$2001,MATCH(A384&amp;"ENTRADA",Movimientos!$R$5:$R$2001,0)),"-")</f>
        <v>-</v>
      </c>
      <c r="C384" s="3" t="str">
        <f>IFERROR(INDEX(Movimientos!$D$5:$D$2001,MATCH(A384&amp;"ENTRADA",Movimientos!$R$5:$R$2001,0)),"-")</f>
        <v>-</v>
      </c>
      <c r="D384" s="3" t="str">
        <f>IFERROR(INDEX(Movimientos!$E$5:$E$2001,MATCH(A384&amp;"ENTRADA",Movimientos!$R$5:$R$2001,0)),"-")</f>
        <v>-</v>
      </c>
      <c r="E384" s="3" t="str">
        <f>IFERROR(INDEX(Movimientos!$F$5:$F$2001,MATCH(A384&amp;"ENTRADA",Movimientos!$R$5:$R$2001,0)),"-")</f>
        <v>-</v>
      </c>
      <c r="F384" s="3" t="str">
        <f>IFERROR(INDEX(Movimientos!$G$5:$G$2001,MATCH(A384&amp;"ENTRADA",Movimientos!$R$5:$R$2001,0)),"-")</f>
        <v>-</v>
      </c>
      <c r="G384" s="3" t="str">
        <f>IFERROR(INDEX(Movimientos!$L$5:$L$2001,MATCH(A384&amp;"ENTRADA",Movimientos!$R$5:$R$2001,0)),"-")</f>
        <v>-</v>
      </c>
      <c r="H384" s="19" t="str">
        <f>IFERROR(IF(INDEX(Movimientos!$M$5:$M$2001,MATCH(A384&amp;"ENTRADA",Movimientos!$R$5:$R$2001,0))=0,"S/D",INDEX(Movimientos!$M$5:$M$2001,MATCH(A384&amp;"ENTRADA",Movimientos!$R$5:$R$2001,0))),"S/D")</f>
        <v>S/D</v>
      </c>
      <c r="I384" s="16" t="str">
        <f t="shared" ca="1" si="12"/>
        <v>S/D</v>
      </c>
      <c r="J384" s="6">
        <f>IF(A384="","",SUMIFS(Movimientos!$K:$K,Movimientos!$H:$H,A384))</f>
        <v>0</v>
      </c>
      <c r="K384" s="14" t="str">
        <f t="shared" ca="1" si="13"/>
        <v>OK</v>
      </c>
    </row>
    <row r="385" spans="1:11">
      <c r="A385" s="18" t="s">
        <v>2446</v>
      </c>
      <c r="B385" s="3" t="str">
        <f>IFERROR(INDEX(Movimientos!$C$5:$C$2001,MATCH(A385&amp;"ENTRADA",Movimientos!$R$5:$R$2001,0)),"-")</f>
        <v>-</v>
      </c>
      <c r="C385" s="3" t="str">
        <f>IFERROR(INDEX(Movimientos!$D$5:$D$2001,MATCH(A385&amp;"ENTRADA",Movimientos!$R$5:$R$2001,0)),"-")</f>
        <v>-</v>
      </c>
      <c r="D385" s="3" t="str">
        <f>IFERROR(INDEX(Movimientos!$E$5:$E$2001,MATCH(A385&amp;"ENTRADA",Movimientos!$R$5:$R$2001,0)),"-")</f>
        <v>-</v>
      </c>
      <c r="E385" s="3" t="str">
        <f>IFERROR(INDEX(Movimientos!$F$5:$F$2001,MATCH(A385&amp;"ENTRADA",Movimientos!$R$5:$R$2001,0)),"-")</f>
        <v>-</v>
      </c>
      <c r="F385" s="3" t="str">
        <f>IFERROR(INDEX(Movimientos!$G$5:$G$2001,MATCH(A385&amp;"ENTRADA",Movimientos!$R$5:$R$2001,0)),"-")</f>
        <v>-</v>
      </c>
      <c r="G385" s="3" t="str">
        <f>IFERROR(INDEX(Movimientos!$L$5:$L$2001,MATCH(A385&amp;"ENTRADA",Movimientos!$R$5:$R$2001,0)),"-")</f>
        <v>-</v>
      </c>
      <c r="H385" s="19" t="str">
        <f>IFERROR(IF(INDEX(Movimientos!$M$5:$M$2001,MATCH(A385&amp;"ENTRADA",Movimientos!$R$5:$R$2001,0))=0,"S/D",INDEX(Movimientos!$M$5:$M$2001,MATCH(A385&amp;"ENTRADA",Movimientos!$R$5:$R$2001,0))),"S/D")</f>
        <v>S/D</v>
      </c>
      <c r="I385" s="16" t="str">
        <f t="shared" ca="1" si="12"/>
        <v>S/D</v>
      </c>
      <c r="J385" s="6">
        <f>IF(A385="","",SUMIFS(Movimientos!$K:$K,Movimientos!$H:$H,A385))</f>
        <v>0</v>
      </c>
      <c r="K385" s="14" t="str">
        <f t="shared" ca="1" si="13"/>
        <v>OK</v>
      </c>
    </row>
    <row r="386" spans="1:11">
      <c r="A386" s="18" t="s">
        <v>2447</v>
      </c>
      <c r="B386" s="3" t="str">
        <f>IFERROR(INDEX(Movimientos!$C$5:$C$2001,MATCH(A386&amp;"ENTRADA",Movimientos!$R$5:$R$2001,0)),"-")</f>
        <v>-</v>
      </c>
      <c r="C386" s="3" t="str">
        <f>IFERROR(INDEX(Movimientos!$D$5:$D$2001,MATCH(A386&amp;"ENTRADA",Movimientos!$R$5:$R$2001,0)),"-")</f>
        <v>-</v>
      </c>
      <c r="D386" s="3" t="str">
        <f>IFERROR(INDEX(Movimientos!$E$5:$E$2001,MATCH(A386&amp;"ENTRADA",Movimientos!$R$5:$R$2001,0)),"-")</f>
        <v>-</v>
      </c>
      <c r="E386" s="3" t="str">
        <f>IFERROR(INDEX(Movimientos!$F$5:$F$2001,MATCH(A386&amp;"ENTRADA",Movimientos!$R$5:$R$2001,0)),"-")</f>
        <v>-</v>
      </c>
      <c r="F386" s="3" t="str">
        <f>IFERROR(INDEX(Movimientos!$G$5:$G$2001,MATCH(A386&amp;"ENTRADA",Movimientos!$R$5:$R$2001,0)),"-")</f>
        <v>-</v>
      </c>
      <c r="G386" s="3" t="str">
        <f>IFERROR(INDEX(Movimientos!$L$5:$L$2001,MATCH(A386&amp;"ENTRADA",Movimientos!$R$5:$R$2001,0)),"-")</f>
        <v>-</v>
      </c>
      <c r="H386" s="19" t="str">
        <f>IFERROR(IF(INDEX(Movimientos!$M$5:$M$2001,MATCH(A386&amp;"ENTRADA",Movimientos!$R$5:$R$2001,0))=0,"S/D",INDEX(Movimientos!$M$5:$M$2001,MATCH(A386&amp;"ENTRADA",Movimientos!$R$5:$R$2001,0))),"S/D")</f>
        <v>S/D</v>
      </c>
      <c r="I386" s="16" t="str">
        <f t="shared" ca="1" si="12"/>
        <v>S/D</v>
      </c>
      <c r="J386" s="6">
        <f>IF(A386="","",SUMIFS(Movimientos!$K:$K,Movimientos!$H:$H,A386))</f>
        <v>0</v>
      </c>
      <c r="K386" s="14" t="str">
        <f t="shared" ca="1" si="13"/>
        <v>OK</v>
      </c>
    </row>
    <row r="387" spans="1:11">
      <c r="A387" s="18" t="s">
        <v>2448</v>
      </c>
      <c r="B387" s="3" t="str">
        <f>IFERROR(INDEX(Movimientos!$C$5:$C$2001,MATCH(A387&amp;"ENTRADA",Movimientos!$R$5:$R$2001,0)),"-")</f>
        <v>-</v>
      </c>
      <c r="C387" s="3" t="str">
        <f>IFERROR(INDEX(Movimientos!$D$5:$D$2001,MATCH(A387&amp;"ENTRADA",Movimientos!$R$5:$R$2001,0)),"-")</f>
        <v>-</v>
      </c>
      <c r="D387" s="3" t="str">
        <f>IFERROR(INDEX(Movimientos!$E$5:$E$2001,MATCH(A387&amp;"ENTRADA",Movimientos!$R$5:$R$2001,0)),"-")</f>
        <v>-</v>
      </c>
      <c r="E387" s="3" t="str">
        <f>IFERROR(INDEX(Movimientos!$F$5:$F$2001,MATCH(A387&amp;"ENTRADA",Movimientos!$R$5:$R$2001,0)),"-")</f>
        <v>-</v>
      </c>
      <c r="F387" s="3" t="str">
        <f>IFERROR(INDEX(Movimientos!$G$5:$G$2001,MATCH(A387&amp;"ENTRADA",Movimientos!$R$5:$R$2001,0)),"-")</f>
        <v>-</v>
      </c>
      <c r="G387" s="3" t="str">
        <f>IFERROR(INDEX(Movimientos!$L$5:$L$2001,MATCH(A387&amp;"ENTRADA",Movimientos!$R$5:$R$2001,0)),"-")</f>
        <v>-</v>
      </c>
      <c r="H387" s="19" t="str">
        <f>IFERROR(IF(INDEX(Movimientos!$M$5:$M$2001,MATCH(A387&amp;"ENTRADA",Movimientos!$R$5:$R$2001,0))=0,"S/D",INDEX(Movimientos!$M$5:$M$2001,MATCH(A387&amp;"ENTRADA",Movimientos!$R$5:$R$2001,0))),"S/D")</f>
        <v>S/D</v>
      </c>
      <c r="I387" s="16" t="str">
        <f t="shared" ca="1" si="12"/>
        <v>S/D</v>
      </c>
      <c r="J387" s="6">
        <f>IF(A387="","",SUMIFS(Movimientos!$K:$K,Movimientos!$H:$H,A387))</f>
        <v>0</v>
      </c>
      <c r="K387" s="14" t="str">
        <f t="shared" ca="1" si="13"/>
        <v>OK</v>
      </c>
    </row>
    <row r="388" spans="1:11">
      <c r="A388" s="18" t="s">
        <v>2449</v>
      </c>
      <c r="B388" s="3" t="str">
        <f>IFERROR(INDEX(Movimientos!$C$5:$C$2001,MATCH(A388&amp;"ENTRADA",Movimientos!$R$5:$R$2001,0)),"-")</f>
        <v>-</v>
      </c>
      <c r="C388" s="3" t="str">
        <f>IFERROR(INDEX(Movimientos!$D$5:$D$2001,MATCH(A388&amp;"ENTRADA",Movimientos!$R$5:$R$2001,0)),"-")</f>
        <v>-</v>
      </c>
      <c r="D388" s="3" t="str">
        <f>IFERROR(INDEX(Movimientos!$E$5:$E$2001,MATCH(A388&amp;"ENTRADA",Movimientos!$R$5:$R$2001,0)),"-")</f>
        <v>-</v>
      </c>
      <c r="E388" s="3" t="str">
        <f>IFERROR(INDEX(Movimientos!$F$5:$F$2001,MATCH(A388&amp;"ENTRADA",Movimientos!$R$5:$R$2001,0)),"-")</f>
        <v>-</v>
      </c>
      <c r="F388" s="3" t="str">
        <f>IFERROR(INDEX(Movimientos!$G$5:$G$2001,MATCH(A388&amp;"ENTRADA",Movimientos!$R$5:$R$2001,0)),"-")</f>
        <v>-</v>
      </c>
      <c r="G388" s="3" t="str">
        <f>IFERROR(INDEX(Movimientos!$L$5:$L$2001,MATCH(A388&amp;"ENTRADA",Movimientos!$R$5:$R$2001,0)),"-")</f>
        <v>-</v>
      </c>
      <c r="H388" s="19" t="str">
        <f>IFERROR(IF(INDEX(Movimientos!$M$5:$M$2001,MATCH(A388&amp;"ENTRADA",Movimientos!$R$5:$R$2001,0))=0,"S/D",INDEX(Movimientos!$M$5:$M$2001,MATCH(A388&amp;"ENTRADA",Movimientos!$R$5:$R$2001,0))),"S/D")</f>
        <v>S/D</v>
      </c>
      <c r="I388" s="16" t="str">
        <f t="shared" ca="1" si="12"/>
        <v>S/D</v>
      </c>
      <c r="J388" s="6">
        <f>IF(A388="","",SUMIFS(Movimientos!$K:$K,Movimientos!$H:$H,A388))</f>
        <v>0</v>
      </c>
      <c r="K388" s="14" t="str">
        <f t="shared" ca="1" si="13"/>
        <v>OK</v>
      </c>
    </row>
    <row r="389" spans="1:11">
      <c r="A389" s="18" t="s">
        <v>2450</v>
      </c>
      <c r="B389" s="3" t="str">
        <f>IFERROR(INDEX(Movimientos!$C$5:$C$2001,MATCH(A389&amp;"ENTRADA",Movimientos!$R$5:$R$2001,0)),"-")</f>
        <v>-</v>
      </c>
      <c r="C389" s="3" t="str">
        <f>IFERROR(INDEX(Movimientos!$D$5:$D$2001,MATCH(A389&amp;"ENTRADA",Movimientos!$R$5:$R$2001,0)),"-")</f>
        <v>-</v>
      </c>
      <c r="D389" s="3" t="str">
        <f>IFERROR(INDEX(Movimientos!$E$5:$E$2001,MATCH(A389&amp;"ENTRADA",Movimientos!$R$5:$R$2001,0)),"-")</f>
        <v>-</v>
      </c>
      <c r="E389" s="3" t="str">
        <f>IFERROR(INDEX(Movimientos!$F$5:$F$2001,MATCH(A389&amp;"ENTRADA",Movimientos!$R$5:$R$2001,0)),"-")</f>
        <v>-</v>
      </c>
      <c r="F389" s="3" t="str">
        <f>IFERROR(INDEX(Movimientos!$G$5:$G$2001,MATCH(A389&amp;"ENTRADA",Movimientos!$R$5:$R$2001,0)),"-")</f>
        <v>-</v>
      </c>
      <c r="G389" s="3" t="str">
        <f>IFERROR(INDEX(Movimientos!$L$5:$L$2001,MATCH(A389&amp;"ENTRADA",Movimientos!$R$5:$R$2001,0)),"-")</f>
        <v>-</v>
      </c>
      <c r="H389" s="19" t="str">
        <f>IFERROR(IF(INDEX(Movimientos!$M$5:$M$2001,MATCH(A389&amp;"ENTRADA",Movimientos!$R$5:$R$2001,0))=0,"S/D",INDEX(Movimientos!$M$5:$M$2001,MATCH(A389&amp;"ENTRADA",Movimientos!$R$5:$R$2001,0))),"S/D")</f>
        <v>S/D</v>
      </c>
      <c r="I389" s="16" t="str">
        <f t="shared" ca="1" si="12"/>
        <v>S/D</v>
      </c>
      <c r="J389" s="6">
        <f>IF(A389="","",SUMIFS(Movimientos!$K:$K,Movimientos!$H:$H,A389))</f>
        <v>0</v>
      </c>
      <c r="K389" s="14" t="str">
        <f t="shared" ca="1" si="13"/>
        <v>OK</v>
      </c>
    </row>
    <row r="390" spans="1:11">
      <c r="A390" s="18" t="s">
        <v>2451</v>
      </c>
      <c r="B390" s="3" t="str">
        <f>IFERROR(INDEX(Movimientos!$C$5:$C$2001,MATCH(A390&amp;"ENTRADA",Movimientos!$R$5:$R$2001,0)),"-")</f>
        <v>-</v>
      </c>
      <c r="C390" s="3" t="str">
        <f>IFERROR(INDEX(Movimientos!$D$5:$D$2001,MATCH(A390&amp;"ENTRADA",Movimientos!$R$5:$R$2001,0)),"-")</f>
        <v>-</v>
      </c>
      <c r="D390" s="3" t="str">
        <f>IFERROR(INDEX(Movimientos!$E$5:$E$2001,MATCH(A390&amp;"ENTRADA",Movimientos!$R$5:$R$2001,0)),"-")</f>
        <v>-</v>
      </c>
      <c r="E390" s="3" t="str">
        <f>IFERROR(INDEX(Movimientos!$F$5:$F$2001,MATCH(A390&amp;"ENTRADA",Movimientos!$R$5:$R$2001,0)),"-")</f>
        <v>-</v>
      </c>
      <c r="F390" s="3" t="str">
        <f>IFERROR(INDEX(Movimientos!$G$5:$G$2001,MATCH(A390&amp;"ENTRADA",Movimientos!$R$5:$R$2001,0)),"-")</f>
        <v>-</v>
      </c>
      <c r="G390" s="3" t="str">
        <f>IFERROR(INDEX(Movimientos!$L$5:$L$2001,MATCH(A390&amp;"ENTRADA",Movimientos!$R$5:$R$2001,0)),"-")</f>
        <v>-</v>
      </c>
      <c r="H390" s="19" t="str">
        <f>IFERROR(IF(INDEX(Movimientos!$M$5:$M$2001,MATCH(A390&amp;"ENTRADA",Movimientos!$R$5:$R$2001,0))=0,"S/D",INDEX(Movimientos!$M$5:$M$2001,MATCH(A390&amp;"ENTRADA",Movimientos!$R$5:$R$2001,0))),"S/D")</f>
        <v>S/D</v>
      </c>
      <c r="I390" s="16" t="str">
        <f t="shared" ca="1" si="12"/>
        <v>S/D</v>
      </c>
      <c r="J390" s="6">
        <f>IF(A390="","",SUMIFS(Movimientos!$K:$K,Movimientos!$H:$H,A390))</f>
        <v>0</v>
      </c>
      <c r="K390" s="14" t="str">
        <f t="shared" ca="1" si="13"/>
        <v>OK</v>
      </c>
    </row>
    <row r="391" spans="1:11">
      <c r="A391" s="18" t="s">
        <v>2452</v>
      </c>
      <c r="B391" s="3" t="str">
        <f>IFERROR(INDEX(Movimientos!$C$5:$C$2001,MATCH(A391&amp;"ENTRADA",Movimientos!$R$5:$R$2001,0)),"-")</f>
        <v>-</v>
      </c>
      <c r="C391" s="3" t="str">
        <f>IFERROR(INDEX(Movimientos!$D$5:$D$2001,MATCH(A391&amp;"ENTRADA",Movimientos!$R$5:$R$2001,0)),"-")</f>
        <v>-</v>
      </c>
      <c r="D391" s="3" t="str">
        <f>IFERROR(INDEX(Movimientos!$E$5:$E$2001,MATCH(A391&amp;"ENTRADA",Movimientos!$R$5:$R$2001,0)),"-")</f>
        <v>-</v>
      </c>
      <c r="E391" s="3" t="str">
        <f>IFERROR(INDEX(Movimientos!$F$5:$F$2001,MATCH(A391&amp;"ENTRADA",Movimientos!$R$5:$R$2001,0)),"-")</f>
        <v>-</v>
      </c>
      <c r="F391" s="3" t="str">
        <f>IFERROR(INDEX(Movimientos!$G$5:$G$2001,MATCH(A391&amp;"ENTRADA",Movimientos!$R$5:$R$2001,0)),"-")</f>
        <v>-</v>
      </c>
      <c r="G391" s="3" t="str">
        <f>IFERROR(INDEX(Movimientos!$L$5:$L$2001,MATCH(A391&amp;"ENTRADA",Movimientos!$R$5:$R$2001,0)),"-")</f>
        <v>-</v>
      </c>
      <c r="H391" s="19" t="str">
        <f>IFERROR(IF(INDEX(Movimientos!$M$5:$M$2001,MATCH(A391&amp;"ENTRADA",Movimientos!$R$5:$R$2001,0))=0,"S/D",INDEX(Movimientos!$M$5:$M$2001,MATCH(A391&amp;"ENTRADA",Movimientos!$R$5:$R$2001,0))),"S/D")</f>
        <v>S/D</v>
      </c>
      <c r="I391" s="16" t="str">
        <f t="shared" ca="1" si="12"/>
        <v>S/D</v>
      </c>
      <c r="J391" s="6">
        <f>IF(A391="","",SUMIFS(Movimientos!$K:$K,Movimientos!$H:$H,A391))</f>
        <v>0</v>
      </c>
      <c r="K391" s="14" t="str">
        <f t="shared" ca="1" si="13"/>
        <v>OK</v>
      </c>
    </row>
    <row r="392" spans="1:11">
      <c r="A392" s="18" t="s">
        <v>2453</v>
      </c>
      <c r="B392" s="3" t="str">
        <f>IFERROR(INDEX(Movimientos!$C$5:$C$2001,MATCH(A392&amp;"ENTRADA",Movimientos!$R$5:$R$2001,0)),"-")</f>
        <v>-</v>
      </c>
      <c r="C392" s="3" t="str">
        <f>IFERROR(INDEX(Movimientos!$D$5:$D$2001,MATCH(A392&amp;"ENTRADA",Movimientos!$R$5:$R$2001,0)),"-")</f>
        <v>-</v>
      </c>
      <c r="D392" s="3" t="str">
        <f>IFERROR(INDEX(Movimientos!$E$5:$E$2001,MATCH(A392&amp;"ENTRADA",Movimientos!$R$5:$R$2001,0)),"-")</f>
        <v>-</v>
      </c>
      <c r="E392" s="3" t="str">
        <f>IFERROR(INDEX(Movimientos!$F$5:$F$2001,MATCH(A392&amp;"ENTRADA",Movimientos!$R$5:$R$2001,0)),"-")</f>
        <v>-</v>
      </c>
      <c r="F392" s="3" t="str">
        <f>IFERROR(INDEX(Movimientos!$G$5:$G$2001,MATCH(A392&amp;"ENTRADA",Movimientos!$R$5:$R$2001,0)),"-")</f>
        <v>-</v>
      </c>
      <c r="G392" s="3" t="str">
        <f>IFERROR(INDEX(Movimientos!$L$5:$L$2001,MATCH(A392&amp;"ENTRADA",Movimientos!$R$5:$R$2001,0)),"-")</f>
        <v>-</v>
      </c>
      <c r="H392" s="19" t="str">
        <f>IFERROR(IF(INDEX(Movimientos!$M$5:$M$2001,MATCH(A392&amp;"ENTRADA",Movimientos!$R$5:$R$2001,0))=0,"S/D",INDEX(Movimientos!$M$5:$M$2001,MATCH(A392&amp;"ENTRADA",Movimientos!$R$5:$R$2001,0))),"S/D")</f>
        <v>S/D</v>
      </c>
      <c r="I392" s="16" t="str">
        <f t="shared" ca="1" si="12"/>
        <v>S/D</v>
      </c>
      <c r="J392" s="6">
        <f>IF(A392="","",SUMIFS(Movimientos!$K:$K,Movimientos!$H:$H,A392))</f>
        <v>0</v>
      </c>
      <c r="K392" s="14" t="str">
        <f t="shared" ca="1" si="13"/>
        <v>OK</v>
      </c>
    </row>
    <row r="393" spans="1:11">
      <c r="A393" s="18" t="s">
        <v>2454</v>
      </c>
      <c r="B393" s="3" t="str">
        <f>IFERROR(INDEX(Movimientos!$C$5:$C$2001,MATCH(A393&amp;"ENTRADA",Movimientos!$R$5:$R$2001,0)),"-")</f>
        <v>-</v>
      </c>
      <c r="C393" s="3" t="str">
        <f>IFERROR(INDEX(Movimientos!$D$5:$D$2001,MATCH(A393&amp;"ENTRADA",Movimientos!$R$5:$R$2001,0)),"-")</f>
        <v>-</v>
      </c>
      <c r="D393" s="3" t="str">
        <f>IFERROR(INDEX(Movimientos!$E$5:$E$2001,MATCH(A393&amp;"ENTRADA",Movimientos!$R$5:$R$2001,0)),"-")</f>
        <v>-</v>
      </c>
      <c r="E393" s="3" t="str">
        <f>IFERROR(INDEX(Movimientos!$F$5:$F$2001,MATCH(A393&amp;"ENTRADA",Movimientos!$R$5:$R$2001,0)),"-")</f>
        <v>-</v>
      </c>
      <c r="F393" s="3" t="str">
        <f>IFERROR(INDEX(Movimientos!$G$5:$G$2001,MATCH(A393&amp;"ENTRADA",Movimientos!$R$5:$R$2001,0)),"-")</f>
        <v>-</v>
      </c>
      <c r="G393" s="3" t="str">
        <f>IFERROR(INDEX(Movimientos!$L$5:$L$2001,MATCH(A393&amp;"ENTRADA",Movimientos!$R$5:$R$2001,0)),"-")</f>
        <v>-</v>
      </c>
      <c r="H393" s="19" t="str">
        <f>IFERROR(IF(INDEX(Movimientos!$M$5:$M$2001,MATCH(A393&amp;"ENTRADA",Movimientos!$R$5:$R$2001,0))=0,"S/D",INDEX(Movimientos!$M$5:$M$2001,MATCH(A393&amp;"ENTRADA",Movimientos!$R$5:$R$2001,0))),"S/D")</f>
        <v>S/D</v>
      </c>
      <c r="I393" s="16" t="str">
        <f t="shared" ca="1" si="12"/>
        <v>S/D</v>
      </c>
      <c r="J393" s="6">
        <f>IF(A393="","",SUMIFS(Movimientos!$K:$K,Movimientos!$H:$H,A393))</f>
        <v>0</v>
      </c>
      <c r="K393" s="14" t="str">
        <f t="shared" ca="1" si="13"/>
        <v>OK</v>
      </c>
    </row>
    <row r="394" spans="1:11">
      <c r="A394" s="18" t="s">
        <v>2455</v>
      </c>
      <c r="B394" s="3" t="str">
        <f>IFERROR(INDEX(Movimientos!$C$5:$C$2001,MATCH(A394&amp;"ENTRADA",Movimientos!$R$5:$R$2001,0)),"-")</f>
        <v>-</v>
      </c>
      <c r="C394" s="3" t="str">
        <f>IFERROR(INDEX(Movimientos!$D$5:$D$2001,MATCH(A394&amp;"ENTRADA",Movimientos!$R$5:$R$2001,0)),"-")</f>
        <v>-</v>
      </c>
      <c r="D394" s="3" t="str">
        <f>IFERROR(INDEX(Movimientos!$E$5:$E$2001,MATCH(A394&amp;"ENTRADA",Movimientos!$R$5:$R$2001,0)),"-")</f>
        <v>-</v>
      </c>
      <c r="E394" s="3" t="str">
        <f>IFERROR(INDEX(Movimientos!$F$5:$F$2001,MATCH(A394&amp;"ENTRADA",Movimientos!$R$5:$R$2001,0)),"-")</f>
        <v>-</v>
      </c>
      <c r="F394" s="3" t="str">
        <f>IFERROR(INDEX(Movimientos!$G$5:$G$2001,MATCH(A394&amp;"ENTRADA",Movimientos!$R$5:$R$2001,0)),"-")</f>
        <v>-</v>
      </c>
      <c r="G394" s="3" t="str">
        <f>IFERROR(INDEX(Movimientos!$L$5:$L$2001,MATCH(A394&amp;"ENTRADA",Movimientos!$R$5:$R$2001,0)),"-")</f>
        <v>-</v>
      </c>
      <c r="H394" s="19" t="str">
        <f>IFERROR(IF(INDEX(Movimientos!$M$5:$M$2001,MATCH(A394&amp;"ENTRADA",Movimientos!$R$5:$R$2001,0))=0,"S/D",INDEX(Movimientos!$M$5:$M$2001,MATCH(A394&amp;"ENTRADA",Movimientos!$R$5:$R$2001,0))),"S/D")</f>
        <v>S/D</v>
      </c>
      <c r="I394" s="16" t="str">
        <f t="shared" ca="1" si="12"/>
        <v>S/D</v>
      </c>
      <c r="J394" s="6">
        <f>IF(A394="","",SUMIFS(Movimientos!$K:$K,Movimientos!$H:$H,A394))</f>
        <v>0</v>
      </c>
      <c r="K394" s="14" t="str">
        <f t="shared" ca="1" si="13"/>
        <v>OK</v>
      </c>
    </row>
    <row r="395" spans="1:11">
      <c r="A395" s="18" t="s">
        <v>2456</v>
      </c>
      <c r="B395" s="3" t="str">
        <f>IFERROR(INDEX(Movimientos!$C$5:$C$2001,MATCH(A395&amp;"ENTRADA",Movimientos!$R$5:$R$2001,0)),"-")</f>
        <v>-</v>
      </c>
      <c r="C395" s="3" t="str">
        <f>IFERROR(INDEX(Movimientos!$D$5:$D$2001,MATCH(A395&amp;"ENTRADA",Movimientos!$R$5:$R$2001,0)),"-")</f>
        <v>-</v>
      </c>
      <c r="D395" s="3" t="str">
        <f>IFERROR(INDEX(Movimientos!$E$5:$E$2001,MATCH(A395&amp;"ENTRADA",Movimientos!$R$5:$R$2001,0)),"-")</f>
        <v>-</v>
      </c>
      <c r="E395" s="3" t="str">
        <f>IFERROR(INDEX(Movimientos!$F$5:$F$2001,MATCH(A395&amp;"ENTRADA",Movimientos!$R$5:$R$2001,0)),"-")</f>
        <v>-</v>
      </c>
      <c r="F395" s="3" t="str">
        <f>IFERROR(INDEX(Movimientos!$G$5:$G$2001,MATCH(A395&amp;"ENTRADA",Movimientos!$R$5:$R$2001,0)),"-")</f>
        <v>-</v>
      </c>
      <c r="G395" s="3" t="str">
        <f>IFERROR(INDEX(Movimientos!$L$5:$L$2001,MATCH(A395&amp;"ENTRADA",Movimientos!$R$5:$R$2001,0)),"-")</f>
        <v>-</v>
      </c>
      <c r="H395" s="19" t="str">
        <f>IFERROR(IF(INDEX(Movimientos!$M$5:$M$2001,MATCH(A395&amp;"ENTRADA",Movimientos!$R$5:$R$2001,0))=0,"S/D",INDEX(Movimientos!$M$5:$M$2001,MATCH(A395&amp;"ENTRADA",Movimientos!$R$5:$R$2001,0))),"S/D")</f>
        <v>S/D</v>
      </c>
      <c r="I395" s="16" t="str">
        <f t="shared" ref="I395:I458" ca="1" si="14">IF(OR(A395="",H395="S/D"),"S/D",H395-TODAY())</f>
        <v>S/D</v>
      </c>
      <c r="J395" s="6">
        <f>IF(A395="","",SUMIFS(Movimientos!$K:$K,Movimientos!$H:$H,A395))</f>
        <v>0</v>
      </c>
      <c r="K395" s="14" t="str">
        <f t="shared" ref="K395:K458" ca="1" si="15">IF(A395="","",IF(H395="S/D","OK",IF(H395&lt;TODAY(),"VENCIDO",IF(J395&lt;=0,"SIN STOCK",IF(I395&gt;=180,"OK","PRÓXIMO A VENCER")))))</f>
        <v>OK</v>
      </c>
    </row>
    <row r="396" spans="1:11">
      <c r="A396" s="18" t="s">
        <v>2457</v>
      </c>
      <c r="B396" s="3" t="str">
        <f>IFERROR(INDEX(Movimientos!$C$5:$C$2001,MATCH(A396&amp;"ENTRADA",Movimientos!$R$5:$R$2001,0)),"-")</f>
        <v>-</v>
      </c>
      <c r="C396" s="3" t="str">
        <f>IFERROR(INDEX(Movimientos!$D$5:$D$2001,MATCH(A396&amp;"ENTRADA",Movimientos!$R$5:$R$2001,0)),"-")</f>
        <v>-</v>
      </c>
      <c r="D396" s="3" t="str">
        <f>IFERROR(INDEX(Movimientos!$E$5:$E$2001,MATCH(A396&amp;"ENTRADA",Movimientos!$R$5:$R$2001,0)),"-")</f>
        <v>-</v>
      </c>
      <c r="E396" s="3" t="str">
        <f>IFERROR(INDEX(Movimientos!$F$5:$F$2001,MATCH(A396&amp;"ENTRADA",Movimientos!$R$5:$R$2001,0)),"-")</f>
        <v>-</v>
      </c>
      <c r="F396" s="3" t="str">
        <f>IFERROR(INDEX(Movimientos!$G$5:$G$2001,MATCH(A396&amp;"ENTRADA",Movimientos!$R$5:$R$2001,0)),"-")</f>
        <v>-</v>
      </c>
      <c r="G396" s="3" t="str">
        <f>IFERROR(INDEX(Movimientos!$L$5:$L$2001,MATCH(A396&amp;"ENTRADA",Movimientos!$R$5:$R$2001,0)),"-")</f>
        <v>-</v>
      </c>
      <c r="H396" s="19" t="str">
        <f>IFERROR(IF(INDEX(Movimientos!$M$5:$M$2001,MATCH(A396&amp;"ENTRADA",Movimientos!$R$5:$R$2001,0))=0,"S/D",INDEX(Movimientos!$M$5:$M$2001,MATCH(A396&amp;"ENTRADA",Movimientos!$R$5:$R$2001,0))),"S/D")</f>
        <v>S/D</v>
      </c>
      <c r="I396" s="16" t="str">
        <f t="shared" ca="1" si="14"/>
        <v>S/D</v>
      </c>
      <c r="J396" s="6">
        <f>IF(A396="","",SUMIFS(Movimientos!$K:$K,Movimientos!$H:$H,A396))</f>
        <v>0</v>
      </c>
      <c r="K396" s="14" t="str">
        <f t="shared" ca="1" si="15"/>
        <v>OK</v>
      </c>
    </row>
    <row r="397" spans="1:11">
      <c r="A397" s="18" t="s">
        <v>2458</v>
      </c>
      <c r="B397" s="3" t="str">
        <f>IFERROR(INDEX(Movimientos!$C$5:$C$2001,MATCH(A397&amp;"ENTRADA",Movimientos!$R$5:$R$2001,0)),"-")</f>
        <v>-</v>
      </c>
      <c r="C397" s="3" t="str">
        <f>IFERROR(INDEX(Movimientos!$D$5:$D$2001,MATCH(A397&amp;"ENTRADA",Movimientos!$R$5:$R$2001,0)),"-")</f>
        <v>-</v>
      </c>
      <c r="D397" s="3" t="str">
        <f>IFERROR(INDEX(Movimientos!$E$5:$E$2001,MATCH(A397&amp;"ENTRADA",Movimientos!$R$5:$R$2001,0)),"-")</f>
        <v>-</v>
      </c>
      <c r="E397" s="3" t="str">
        <f>IFERROR(INDEX(Movimientos!$F$5:$F$2001,MATCH(A397&amp;"ENTRADA",Movimientos!$R$5:$R$2001,0)),"-")</f>
        <v>-</v>
      </c>
      <c r="F397" s="3" t="str">
        <f>IFERROR(INDEX(Movimientos!$G$5:$G$2001,MATCH(A397&amp;"ENTRADA",Movimientos!$R$5:$R$2001,0)),"-")</f>
        <v>-</v>
      </c>
      <c r="G397" s="3" t="str">
        <f>IFERROR(INDEX(Movimientos!$L$5:$L$2001,MATCH(A397&amp;"ENTRADA",Movimientos!$R$5:$R$2001,0)),"-")</f>
        <v>-</v>
      </c>
      <c r="H397" s="19" t="str">
        <f>IFERROR(IF(INDEX(Movimientos!$M$5:$M$2001,MATCH(A397&amp;"ENTRADA",Movimientos!$R$5:$R$2001,0))=0,"S/D",INDEX(Movimientos!$M$5:$M$2001,MATCH(A397&amp;"ENTRADA",Movimientos!$R$5:$R$2001,0))),"S/D")</f>
        <v>S/D</v>
      </c>
      <c r="I397" s="16" t="str">
        <f t="shared" ca="1" si="14"/>
        <v>S/D</v>
      </c>
      <c r="J397" s="6">
        <f>IF(A397="","",SUMIFS(Movimientos!$K:$K,Movimientos!$H:$H,A397))</f>
        <v>0</v>
      </c>
      <c r="K397" s="14" t="str">
        <f t="shared" ca="1" si="15"/>
        <v>OK</v>
      </c>
    </row>
    <row r="398" spans="1:11">
      <c r="A398" s="18" t="s">
        <v>2459</v>
      </c>
      <c r="B398" s="3" t="str">
        <f>IFERROR(INDEX(Movimientos!$C$5:$C$2001,MATCH(A398&amp;"ENTRADA",Movimientos!$R$5:$R$2001,0)),"-")</f>
        <v>-</v>
      </c>
      <c r="C398" s="3" t="str">
        <f>IFERROR(INDEX(Movimientos!$D$5:$D$2001,MATCH(A398&amp;"ENTRADA",Movimientos!$R$5:$R$2001,0)),"-")</f>
        <v>-</v>
      </c>
      <c r="D398" s="3" t="str">
        <f>IFERROR(INDEX(Movimientos!$E$5:$E$2001,MATCH(A398&amp;"ENTRADA",Movimientos!$R$5:$R$2001,0)),"-")</f>
        <v>-</v>
      </c>
      <c r="E398" s="3" t="str">
        <f>IFERROR(INDEX(Movimientos!$F$5:$F$2001,MATCH(A398&amp;"ENTRADA",Movimientos!$R$5:$R$2001,0)),"-")</f>
        <v>-</v>
      </c>
      <c r="F398" s="3" t="str">
        <f>IFERROR(INDEX(Movimientos!$G$5:$G$2001,MATCH(A398&amp;"ENTRADA",Movimientos!$R$5:$R$2001,0)),"-")</f>
        <v>-</v>
      </c>
      <c r="G398" s="3" t="str">
        <f>IFERROR(INDEX(Movimientos!$L$5:$L$2001,MATCH(A398&amp;"ENTRADA",Movimientos!$R$5:$R$2001,0)),"-")</f>
        <v>-</v>
      </c>
      <c r="H398" s="19" t="str">
        <f>IFERROR(IF(INDEX(Movimientos!$M$5:$M$2001,MATCH(A398&amp;"ENTRADA",Movimientos!$R$5:$R$2001,0))=0,"S/D",INDEX(Movimientos!$M$5:$M$2001,MATCH(A398&amp;"ENTRADA",Movimientos!$R$5:$R$2001,0))),"S/D")</f>
        <v>S/D</v>
      </c>
      <c r="I398" s="16" t="str">
        <f t="shared" ca="1" si="14"/>
        <v>S/D</v>
      </c>
      <c r="J398" s="6">
        <f>IF(A398="","",SUMIFS(Movimientos!$K:$K,Movimientos!$H:$H,A398))</f>
        <v>0</v>
      </c>
      <c r="K398" s="14" t="str">
        <f t="shared" ca="1" si="15"/>
        <v>OK</v>
      </c>
    </row>
    <row r="399" spans="1:11">
      <c r="A399" s="18" t="s">
        <v>2460</v>
      </c>
      <c r="B399" s="3" t="str">
        <f>IFERROR(INDEX(Movimientos!$C$5:$C$2001,MATCH(A399&amp;"ENTRADA",Movimientos!$R$5:$R$2001,0)),"-")</f>
        <v>-</v>
      </c>
      <c r="C399" s="3" t="str">
        <f>IFERROR(INDEX(Movimientos!$D$5:$D$2001,MATCH(A399&amp;"ENTRADA",Movimientos!$R$5:$R$2001,0)),"-")</f>
        <v>-</v>
      </c>
      <c r="D399" s="3" t="str">
        <f>IFERROR(INDEX(Movimientos!$E$5:$E$2001,MATCH(A399&amp;"ENTRADA",Movimientos!$R$5:$R$2001,0)),"-")</f>
        <v>-</v>
      </c>
      <c r="E399" s="3" t="str">
        <f>IFERROR(INDEX(Movimientos!$F$5:$F$2001,MATCH(A399&amp;"ENTRADA",Movimientos!$R$5:$R$2001,0)),"-")</f>
        <v>-</v>
      </c>
      <c r="F399" s="3" t="str">
        <f>IFERROR(INDEX(Movimientos!$G$5:$G$2001,MATCH(A399&amp;"ENTRADA",Movimientos!$R$5:$R$2001,0)),"-")</f>
        <v>-</v>
      </c>
      <c r="G399" s="3" t="str">
        <f>IFERROR(INDEX(Movimientos!$L$5:$L$2001,MATCH(A399&amp;"ENTRADA",Movimientos!$R$5:$R$2001,0)),"-")</f>
        <v>-</v>
      </c>
      <c r="H399" s="19" t="str">
        <f>IFERROR(IF(INDEX(Movimientos!$M$5:$M$2001,MATCH(A399&amp;"ENTRADA",Movimientos!$R$5:$R$2001,0))=0,"S/D",INDEX(Movimientos!$M$5:$M$2001,MATCH(A399&amp;"ENTRADA",Movimientos!$R$5:$R$2001,0))),"S/D")</f>
        <v>S/D</v>
      </c>
      <c r="I399" s="16" t="str">
        <f t="shared" ca="1" si="14"/>
        <v>S/D</v>
      </c>
      <c r="J399" s="6">
        <f>IF(A399="","",SUMIFS(Movimientos!$K:$K,Movimientos!$H:$H,A399))</f>
        <v>0</v>
      </c>
      <c r="K399" s="14" t="str">
        <f t="shared" ca="1" si="15"/>
        <v>OK</v>
      </c>
    </row>
    <row r="400" spans="1:11">
      <c r="A400" s="18" t="s">
        <v>2461</v>
      </c>
      <c r="B400" s="3" t="str">
        <f>IFERROR(INDEX(Movimientos!$C$5:$C$2001,MATCH(A400&amp;"ENTRADA",Movimientos!$R$5:$R$2001,0)),"-")</f>
        <v>-</v>
      </c>
      <c r="C400" s="3" t="str">
        <f>IFERROR(INDEX(Movimientos!$D$5:$D$2001,MATCH(A400&amp;"ENTRADA",Movimientos!$R$5:$R$2001,0)),"-")</f>
        <v>-</v>
      </c>
      <c r="D400" s="3" t="str">
        <f>IFERROR(INDEX(Movimientos!$E$5:$E$2001,MATCH(A400&amp;"ENTRADA",Movimientos!$R$5:$R$2001,0)),"-")</f>
        <v>-</v>
      </c>
      <c r="E400" s="3" t="str">
        <f>IFERROR(INDEX(Movimientos!$F$5:$F$2001,MATCH(A400&amp;"ENTRADA",Movimientos!$R$5:$R$2001,0)),"-")</f>
        <v>-</v>
      </c>
      <c r="F400" s="3" t="str">
        <f>IFERROR(INDEX(Movimientos!$G$5:$G$2001,MATCH(A400&amp;"ENTRADA",Movimientos!$R$5:$R$2001,0)),"-")</f>
        <v>-</v>
      </c>
      <c r="G400" s="3" t="str">
        <f>IFERROR(INDEX(Movimientos!$L$5:$L$2001,MATCH(A400&amp;"ENTRADA",Movimientos!$R$5:$R$2001,0)),"-")</f>
        <v>-</v>
      </c>
      <c r="H400" s="19" t="str">
        <f>IFERROR(IF(INDEX(Movimientos!$M$5:$M$2001,MATCH(A400&amp;"ENTRADA",Movimientos!$R$5:$R$2001,0))=0,"S/D",INDEX(Movimientos!$M$5:$M$2001,MATCH(A400&amp;"ENTRADA",Movimientos!$R$5:$R$2001,0))),"S/D")</f>
        <v>S/D</v>
      </c>
      <c r="I400" s="16" t="str">
        <f t="shared" ca="1" si="14"/>
        <v>S/D</v>
      </c>
      <c r="J400" s="6">
        <f>IF(A400="","",SUMIFS(Movimientos!$K:$K,Movimientos!$H:$H,A400))</f>
        <v>0</v>
      </c>
      <c r="K400" s="14" t="str">
        <f t="shared" ca="1" si="15"/>
        <v>OK</v>
      </c>
    </row>
    <row r="401" spans="1:11">
      <c r="A401" s="18" t="s">
        <v>2462</v>
      </c>
      <c r="B401" s="3" t="str">
        <f>IFERROR(INDEX(Movimientos!$C$5:$C$2001,MATCH(A401&amp;"ENTRADA",Movimientos!$R$5:$R$2001,0)),"-")</f>
        <v>-</v>
      </c>
      <c r="C401" s="3" t="str">
        <f>IFERROR(INDEX(Movimientos!$D$5:$D$2001,MATCH(A401&amp;"ENTRADA",Movimientos!$R$5:$R$2001,0)),"-")</f>
        <v>-</v>
      </c>
      <c r="D401" s="3" t="str">
        <f>IFERROR(INDEX(Movimientos!$E$5:$E$2001,MATCH(A401&amp;"ENTRADA",Movimientos!$R$5:$R$2001,0)),"-")</f>
        <v>-</v>
      </c>
      <c r="E401" s="3" t="str">
        <f>IFERROR(INDEX(Movimientos!$F$5:$F$2001,MATCH(A401&amp;"ENTRADA",Movimientos!$R$5:$R$2001,0)),"-")</f>
        <v>-</v>
      </c>
      <c r="F401" s="3" t="str">
        <f>IFERROR(INDEX(Movimientos!$G$5:$G$2001,MATCH(A401&amp;"ENTRADA",Movimientos!$R$5:$R$2001,0)),"-")</f>
        <v>-</v>
      </c>
      <c r="G401" s="3" t="str">
        <f>IFERROR(INDEX(Movimientos!$L$5:$L$2001,MATCH(A401&amp;"ENTRADA",Movimientos!$R$5:$R$2001,0)),"-")</f>
        <v>-</v>
      </c>
      <c r="H401" s="19" t="str">
        <f>IFERROR(IF(INDEX(Movimientos!$M$5:$M$2001,MATCH(A401&amp;"ENTRADA",Movimientos!$R$5:$R$2001,0))=0,"S/D",INDEX(Movimientos!$M$5:$M$2001,MATCH(A401&amp;"ENTRADA",Movimientos!$R$5:$R$2001,0))),"S/D")</f>
        <v>S/D</v>
      </c>
      <c r="I401" s="16" t="str">
        <f t="shared" ca="1" si="14"/>
        <v>S/D</v>
      </c>
      <c r="J401" s="6">
        <f>IF(A401="","",SUMIFS(Movimientos!$K:$K,Movimientos!$H:$H,A401))</f>
        <v>0</v>
      </c>
      <c r="K401" s="14" t="str">
        <f t="shared" ca="1" si="15"/>
        <v>OK</v>
      </c>
    </row>
    <row r="402" spans="1:11">
      <c r="A402" s="18" t="s">
        <v>2463</v>
      </c>
      <c r="B402" s="3" t="str">
        <f>IFERROR(INDEX(Movimientos!$C$5:$C$2001,MATCH(A402&amp;"ENTRADA",Movimientos!$R$5:$R$2001,0)),"-")</f>
        <v>-</v>
      </c>
      <c r="C402" s="3" t="str">
        <f>IFERROR(INDEX(Movimientos!$D$5:$D$2001,MATCH(A402&amp;"ENTRADA",Movimientos!$R$5:$R$2001,0)),"-")</f>
        <v>-</v>
      </c>
      <c r="D402" s="3" t="str">
        <f>IFERROR(INDEX(Movimientos!$E$5:$E$2001,MATCH(A402&amp;"ENTRADA",Movimientos!$R$5:$R$2001,0)),"-")</f>
        <v>-</v>
      </c>
      <c r="E402" s="3" t="str">
        <f>IFERROR(INDEX(Movimientos!$F$5:$F$2001,MATCH(A402&amp;"ENTRADA",Movimientos!$R$5:$R$2001,0)),"-")</f>
        <v>-</v>
      </c>
      <c r="F402" s="3" t="str">
        <f>IFERROR(INDEX(Movimientos!$G$5:$G$2001,MATCH(A402&amp;"ENTRADA",Movimientos!$R$5:$R$2001,0)),"-")</f>
        <v>-</v>
      </c>
      <c r="G402" s="3" t="str">
        <f>IFERROR(INDEX(Movimientos!$L$5:$L$2001,MATCH(A402&amp;"ENTRADA",Movimientos!$R$5:$R$2001,0)),"-")</f>
        <v>-</v>
      </c>
      <c r="H402" s="19" t="str">
        <f>IFERROR(IF(INDEX(Movimientos!$M$5:$M$2001,MATCH(A402&amp;"ENTRADA",Movimientos!$R$5:$R$2001,0))=0,"S/D",INDEX(Movimientos!$M$5:$M$2001,MATCH(A402&amp;"ENTRADA",Movimientos!$R$5:$R$2001,0))),"S/D")</f>
        <v>S/D</v>
      </c>
      <c r="I402" s="16" t="str">
        <f t="shared" ca="1" si="14"/>
        <v>S/D</v>
      </c>
      <c r="J402" s="6">
        <f>IF(A402="","",SUMIFS(Movimientos!$K:$K,Movimientos!$H:$H,A402))</f>
        <v>0</v>
      </c>
      <c r="K402" s="14" t="str">
        <f t="shared" ca="1" si="15"/>
        <v>OK</v>
      </c>
    </row>
    <row r="403" spans="1:11">
      <c r="A403" s="18" t="s">
        <v>2464</v>
      </c>
      <c r="B403" s="3" t="str">
        <f>IFERROR(INDEX(Movimientos!$C$5:$C$2001,MATCH(A403&amp;"ENTRADA",Movimientos!$R$5:$R$2001,0)),"-")</f>
        <v>-</v>
      </c>
      <c r="C403" s="3" t="str">
        <f>IFERROR(INDEX(Movimientos!$D$5:$D$2001,MATCH(A403&amp;"ENTRADA",Movimientos!$R$5:$R$2001,0)),"-")</f>
        <v>-</v>
      </c>
      <c r="D403" s="3" t="str">
        <f>IFERROR(INDEX(Movimientos!$E$5:$E$2001,MATCH(A403&amp;"ENTRADA",Movimientos!$R$5:$R$2001,0)),"-")</f>
        <v>-</v>
      </c>
      <c r="E403" s="3" t="str">
        <f>IFERROR(INDEX(Movimientos!$F$5:$F$2001,MATCH(A403&amp;"ENTRADA",Movimientos!$R$5:$R$2001,0)),"-")</f>
        <v>-</v>
      </c>
      <c r="F403" s="3" t="str">
        <f>IFERROR(INDEX(Movimientos!$G$5:$G$2001,MATCH(A403&amp;"ENTRADA",Movimientos!$R$5:$R$2001,0)),"-")</f>
        <v>-</v>
      </c>
      <c r="G403" s="3" t="str">
        <f>IFERROR(INDEX(Movimientos!$L$5:$L$2001,MATCH(A403&amp;"ENTRADA",Movimientos!$R$5:$R$2001,0)),"-")</f>
        <v>-</v>
      </c>
      <c r="H403" s="19" t="str">
        <f>IFERROR(IF(INDEX(Movimientos!$M$5:$M$2001,MATCH(A403&amp;"ENTRADA",Movimientos!$R$5:$R$2001,0))=0,"S/D",INDEX(Movimientos!$M$5:$M$2001,MATCH(A403&amp;"ENTRADA",Movimientos!$R$5:$R$2001,0))),"S/D")</f>
        <v>S/D</v>
      </c>
      <c r="I403" s="16" t="str">
        <f t="shared" ca="1" si="14"/>
        <v>S/D</v>
      </c>
      <c r="J403" s="6">
        <f>IF(A403="","",SUMIFS(Movimientos!$K:$K,Movimientos!$H:$H,A403))</f>
        <v>0</v>
      </c>
      <c r="K403" s="14" t="str">
        <f t="shared" ca="1" si="15"/>
        <v>OK</v>
      </c>
    </row>
    <row r="404" spans="1:11">
      <c r="A404" s="18" t="s">
        <v>2465</v>
      </c>
      <c r="B404" s="3" t="str">
        <f>IFERROR(INDEX(Movimientos!$C$5:$C$2001,MATCH(A404&amp;"ENTRADA",Movimientos!$R$5:$R$2001,0)),"-")</f>
        <v>-</v>
      </c>
      <c r="C404" s="3" t="str">
        <f>IFERROR(INDEX(Movimientos!$D$5:$D$2001,MATCH(A404&amp;"ENTRADA",Movimientos!$R$5:$R$2001,0)),"-")</f>
        <v>-</v>
      </c>
      <c r="D404" s="3" t="str">
        <f>IFERROR(INDEX(Movimientos!$E$5:$E$2001,MATCH(A404&amp;"ENTRADA",Movimientos!$R$5:$R$2001,0)),"-")</f>
        <v>-</v>
      </c>
      <c r="E404" s="3" t="str">
        <f>IFERROR(INDEX(Movimientos!$F$5:$F$2001,MATCH(A404&amp;"ENTRADA",Movimientos!$R$5:$R$2001,0)),"-")</f>
        <v>-</v>
      </c>
      <c r="F404" s="3" t="str">
        <f>IFERROR(INDEX(Movimientos!$G$5:$G$2001,MATCH(A404&amp;"ENTRADA",Movimientos!$R$5:$R$2001,0)),"-")</f>
        <v>-</v>
      </c>
      <c r="G404" s="3" t="str">
        <f>IFERROR(INDEX(Movimientos!$L$5:$L$2001,MATCH(A404&amp;"ENTRADA",Movimientos!$R$5:$R$2001,0)),"-")</f>
        <v>-</v>
      </c>
      <c r="H404" s="19" t="str">
        <f>IFERROR(IF(INDEX(Movimientos!$M$5:$M$2001,MATCH(A404&amp;"ENTRADA",Movimientos!$R$5:$R$2001,0))=0,"S/D",INDEX(Movimientos!$M$5:$M$2001,MATCH(A404&amp;"ENTRADA",Movimientos!$R$5:$R$2001,0))),"S/D")</f>
        <v>S/D</v>
      </c>
      <c r="I404" s="16" t="str">
        <f t="shared" ca="1" si="14"/>
        <v>S/D</v>
      </c>
      <c r="J404" s="6">
        <f>IF(A404="","",SUMIFS(Movimientos!$K:$K,Movimientos!$H:$H,A404))</f>
        <v>0</v>
      </c>
      <c r="K404" s="14" t="str">
        <f t="shared" ca="1" si="15"/>
        <v>OK</v>
      </c>
    </row>
    <row r="405" spans="1:11">
      <c r="A405" s="18" t="s">
        <v>2466</v>
      </c>
      <c r="B405" s="3" t="str">
        <f>IFERROR(INDEX(Movimientos!$C$5:$C$2001,MATCH(A405&amp;"ENTRADA",Movimientos!$R$5:$R$2001,0)),"-")</f>
        <v>-</v>
      </c>
      <c r="C405" s="3" t="str">
        <f>IFERROR(INDEX(Movimientos!$D$5:$D$2001,MATCH(A405&amp;"ENTRADA",Movimientos!$R$5:$R$2001,0)),"-")</f>
        <v>-</v>
      </c>
      <c r="D405" s="3" t="str">
        <f>IFERROR(INDEX(Movimientos!$E$5:$E$2001,MATCH(A405&amp;"ENTRADA",Movimientos!$R$5:$R$2001,0)),"-")</f>
        <v>-</v>
      </c>
      <c r="E405" s="3" t="str">
        <f>IFERROR(INDEX(Movimientos!$F$5:$F$2001,MATCH(A405&amp;"ENTRADA",Movimientos!$R$5:$R$2001,0)),"-")</f>
        <v>-</v>
      </c>
      <c r="F405" s="3" t="str">
        <f>IFERROR(INDEX(Movimientos!$G$5:$G$2001,MATCH(A405&amp;"ENTRADA",Movimientos!$R$5:$R$2001,0)),"-")</f>
        <v>-</v>
      </c>
      <c r="G405" s="3" t="str">
        <f>IFERROR(INDEX(Movimientos!$L$5:$L$2001,MATCH(A405&amp;"ENTRADA",Movimientos!$R$5:$R$2001,0)),"-")</f>
        <v>-</v>
      </c>
      <c r="H405" s="19" t="str">
        <f>IFERROR(IF(INDEX(Movimientos!$M$5:$M$2001,MATCH(A405&amp;"ENTRADA",Movimientos!$R$5:$R$2001,0))=0,"S/D",INDEX(Movimientos!$M$5:$M$2001,MATCH(A405&amp;"ENTRADA",Movimientos!$R$5:$R$2001,0))),"S/D")</f>
        <v>S/D</v>
      </c>
      <c r="I405" s="16" t="str">
        <f t="shared" ca="1" si="14"/>
        <v>S/D</v>
      </c>
      <c r="J405" s="6">
        <f>IF(A405="","",SUMIFS(Movimientos!$K:$K,Movimientos!$H:$H,A405))</f>
        <v>0</v>
      </c>
      <c r="K405" s="14" t="str">
        <f t="shared" ca="1" si="15"/>
        <v>OK</v>
      </c>
    </row>
    <row r="406" spans="1:11">
      <c r="A406" s="18" t="s">
        <v>2467</v>
      </c>
      <c r="B406" s="3" t="str">
        <f>IFERROR(INDEX(Movimientos!$C$5:$C$2001,MATCH(A406&amp;"ENTRADA",Movimientos!$R$5:$R$2001,0)),"-")</f>
        <v>-</v>
      </c>
      <c r="C406" s="3" t="str">
        <f>IFERROR(INDEX(Movimientos!$D$5:$D$2001,MATCH(A406&amp;"ENTRADA",Movimientos!$R$5:$R$2001,0)),"-")</f>
        <v>-</v>
      </c>
      <c r="D406" s="3" t="str">
        <f>IFERROR(INDEX(Movimientos!$E$5:$E$2001,MATCH(A406&amp;"ENTRADA",Movimientos!$R$5:$R$2001,0)),"-")</f>
        <v>-</v>
      </c>
      <c r="E406" s="3" t="str">
        <f>IFERROR(INDEX(Movimientos!$F$5:$F$2001,MATCH(A406&amp;"ENTRADA",Movimientos!$R$5:$R$2001,0)),"-")</f>
        <v>-</v>
      </c>
      <c r="F406" s="3" t="str">
        <f>IFERROR(INDEX(Movimientos!$G$5:$G$2001,MATCH(A406&amp;"ENTRADA",Movimientos!$R$5:$R$2001,0)),"-")</f>
        <v>-</v>
      </c>
      <c r="G406" s="3" t="str">
        <f>IFERROR(INDEX(Movimientos!$L$5:$L$2001,MATCH(A406&amp;"ENTRADA",Movimientos!$R$5:$R$2001,0)),"-")</f>
        <v>-</v>
      </c>
      <c r="H406" s="19" t="str">
        <f>IFERROR(IF(INDEX(Movimientos!$M$5:$M$2001,MATCH(A406&amp;"ENTRADA",Movimientos!$R$5:$R$2001,0))=0,"S/D",INDEX(Movimientos!$M$5:$M$2001,MATCH(A406&amp;"ENTRADA",Movimientos!$R$5:$R$2001,0))),"S/D")</f>
        <v>S/D</v>
      </c>
      <c r="I406" s="16" t="str">
        <f t="shared" ca="1" si="14"/>
        <v>S/D</v>
      </c>
      <c r="J406" s="6">
        <f>IF(A406="","",SUMIFS(Movimientos!$K:$K,Movimientos!$H:$H,A406))</f>
        <v>0</v>
      </c>
      <c r="K406" s="14" t="str">
        <f t="shared" ca="1" si="15"/>
        <v>OK</v>
      </c>
    </row>
    <row r="407" spans="1:11">
      <c r="A407" s="18" t="s">
        <v>2468</v>
      </c>
      <c r="B407" s="3" t="str">
        <f>IFERROR(INDEX(Movimientos!$C$5:$C$2001,MATCH(A407&amp;"ENTRADA",Movimientos!$R$5:$R$2001,0)),"-")</f>
        <v>-</v>
      </c>
      <c r="C407" s="3" t="str">
        <f>IFERROR(INDEX(Movimientos!$D$5:$D$2001,MATCH(A407&amp;"ENTRADA",Movimientos!$R$5:$R$2001,0)),"-")</f>
        <v>-</v>
      </c>
      <c r="D407" s="3" t="str">
        <f>IFERROR(INDEX(Movimientos!$E$5:$E$2001,MATCH(A407&amp;"ENTRADA",Movimientos!$R$5:$R$2001,0)),"-")</f>
        <v>-</v>
      </c>
      <c r="E407" s="3" t="str">
        <f>IFERROR(INDEX(Movimientos!$F$5:$F$2001,MATCH(A407&amp;"ENTRADA",Movimientos!$R$5:$R$2001,0)),"-")</f>
        <v>-</v>
      </c>
      <c r="F407" s="3" t="str">
        <f>IFERROR(INDEX(Movimientos!$G$5:$G$2001,MATCH(A407&amp;"ENTRADA",Movimientos!$R$5:$R$2001,0)),"-")</f>
        <v>-</v>
      </c>
      <c r="G407" s="3" t="str">
        <f>IFERROR(INDEX(Movimientos!$L$5:$L$2001,MATCH(A407&amp;"ENTRADA",Movimientos!$R$5:$R$2001,0)),"-")</f>
        <v>-</v>
      </c>
      <c r="H407" s="19" t="str">
        <f>IFERROR(IF(INDEX(Movimientos!$M$5:$M$2001,MATCH(A407&amp;"ENTRADA",Movimientos!$R$5:$R$2001,0))=0,"S/D",INDEX(Movimientos!$M$5:$M$2001,MATCH(A407&amp;"ENTRADA",Movimientos!$R$5:$R$2001,0))),"S/D")</f>
        <v>S/D</v>
      </c>
      <c r="I407" s="16" t="str">
        <f t="shared" ca="1" si="14"/>
        <v>S/D</v>
      </c>
      <c r="J407" s="6">
        <f>IF(A407="","",SUMIFS(Movimientos!$K:$K,Movimientos!$H:$H,A407))</f>
        <v>0</v>
      </c>
      <c r="K407" s="14" t="str">
        <f t="shared" ca="1" si="15"/>
        <v>OK</v>
      </c>
    </row>
    <row r="408" spans="1:11">
      <c r="A408" s="18" t="s">
        <v>2469</v>
      </c>
      <c r="B408" s="3" t="str">
        <f>IFERROR(INDEX(Movimientos!$C$5:$C$2001,MATCH(A408&amp;"ENTRADA",Movimientos!$R$5:$R$2001,0)),"-")</f>
        <v>-</v>
      </c>
      <c r="C408" s="3" t="str">
        <f>IFERROR(INDEX(Movimientos!$D$5:$D$2001,MATCH(A408&amp;"ENTRADA",Movimientos!$R$5:$R$2001,0)),"-")</f>
        <v>-</v>
      </c>
      <c r="D408" s="3" t="str">
        <f>IFERROR(INDEX(Movimientos!$E$5:$E$2001,MATCH(A408&amp;"ENTRADA",Movimientos!$R$5:$R$2001,0)),"-")</f>
        <v>-</v>
      </c>
      <c r="E408" s="3" t="str">
        <f>IFERROR(INDEX(Movimientos!$F$5:$F$2001,MATCH(A408&amp;"ENTRADA",Movimientos!$R$5:$R$2001,0)),"-")</f>
        <v>-</v>
      </c>
      <c r="F408" s="3" t="str">
        <f>IFERROR(INDEX(Movimientos!$G$5:$G$2001,MATCH(A408&amp;"ENTRADA",Movimientos!$R$5:$R$2001,0)),"-")</f>
        <v>-</v>
      </c>
      <c r="G408" s="3" t="str">
        <f>IFERROR(INDEX(Movimientos!$L$5:$L$2001,MATCH(A408&amp;"ENTRADA",Movimientos!$R$5:$R$2001,0)),"-")</f>
        <v>-</v>
      </c>
      <c r="H408" s="19" t="str">
        <f>IFERROR(IF(INDEX(Movimientos!$M$5:$M$2001,MATCH(A408&amp;"ENTRADA",Movimientos!$R$5:$R$2001,0))=0,"S/D",INDEX(Movimientos!$M$5:$M$2001,MATCH(A408&amp;"ENTRADA",Movimientos!$R$5:$R$2001,0))),"S/D")</f>
        <v>S/D</v>
      </c>
      <c r="I408" s="16" t="str">
        <f t="shared" ca="1" si="14"/>
        <v>S/D</v>
      </c>
      <c r="J408" s="6">
        <f>IF(A408="","",SUMIFS(Movimientos!$K:$K,Movimientos!$H:$H,A408))</f>
        <v>0</v>
      </c>
      <c r="K408" s="14" t="str">
        <f t="shared" ca="1" si="15"/>
        <v>OK</v>
      </c>
    </row>
    <row r="409" spans="1:11">
      <c r="A409" s="18" t="s">
        <v>2470</v>
      </c>
      <c r="B409" s="3" t="str">
        <f>IFERROR(INDEX(Movimientos!$C$5:$C$2001,MATCH(A409&amp;"ENTRADA",Movimientos!$R$5:$R$2001,0)),"-")</f>
        <v>-</v>
      </c>
      <c r="C409" s="3" t="str">
        <f>IFERROR(INDEX(Movimientos!$D$5:$D$2001,MATCH(A409&amp;"ENTRADA",Movimientos!$R$5:$R$2001,0)),"-")</f>
        <v>-</v>
      </c>
      <c r="D409" s="3" t="str">
        <f>IFERROR(INDEX(Movimientos!$E$5:$E$2001,MATCH(A409&amp;"ENTRADA",Movimientos!$R$5:$R$2001,0)),"-")</f>
        <v>-</v>
      </c>
      <c r="E409" s="3" t="str">
        <f>IFERROR(INDEX(Movimientos!$F$5:$F$2001,MATCH(A409&amp;"ENTRADA",Movimientos!$R$5:$R$2001,0)),"-")</f>
        <v>-</v>
      </c>
      <c r="F409" s="3" t="str">
        <f>IFERROR(INDEX(Movimientos!$G$5:$G$2001,MATCH(A409&amp;"ENTRADA",Movimientos!$R$5:$R$2001,0)),"-")</f>
        <v>-</v>
      </c>
      <c r="G409" s="3" t="str">
        <f>IFERROR(INDEX(Movimientos!$L$5:$L$2001,MATCH(A409&amp;"ENTRADA",Movimientos!$R$5:$R$2001,0)),"-")</f>
        <v>-</v>
      </c>
      <c r="H409" s="19" t="str">
        <f>IFERROR(IF(INDEX(Movimientos!$M$5:$M$2001,MATCH(A409&amp;"ENTRADA",Movimientos!$R$5:$R$2001,0))=0,"S/D",INDEX(Movimientos!$M$5:$M$2001,MATCH(A409&amp;"ENTRADA",Movimientos!$R$5:$R$2001,0))),"S/D")</f>
        <v>S/D</v>
      </c>
      <c r="I409" s="16" t="str">
        <f t="shared" ca="1" si="14"/>
        <v>S/D</v>
      </c>
      <c r="J409" s="6">
        <f>IF(A409="","",SUMIFS(Movimientos!$K:$K,Movimientos!$H:$H,A409))</f>
        <v>0</v>
      </c>
      <c r="K409" s="14" t="str">
        <f t="shared" ca="1" si="15"/>
        <v>OK</v>
      </c>
    </row>
    <row r="410" spans="1:11">
      <c r="A410" s="18" t="s">
        <v>2471</v>
      </c>
      <c r="B410" s="3" t="str">
        <f>IFERROR(INDEX(Movimientos!$C$5:$C$2001,MATCH(A410&amp;"ENTRADA",Movimientos!$R$5:$R$2001,0)),"-")</f>
        <v>-</v>
      </c>
      <c r="C410" s="3" t="str">
        <f>IFERROR(INDEX(Movimientos!$D$5:$D$2001,MATCH(A410&amp;"ENTRADA",Movimientos!$R$5:$R$2001,0)),"-")</f>
        <v>-</v>
      </c>
      <c r="D410" s="3" t="str">
        <f>IFERROR(INDEX(Movimientos!$E$5:$E$2001,MATCH(A410&amp;"ENTRADA",Movimientos!$R$5:$R$2001,0)),"-")</f>
        <v>-</v>
      </c>
      <c r="E410" s="3" t="str">
        <f>IFERROR(INDEX(Movimientos!$F$5:$F$2001,MATCH(A410&amp;"ENTRADA",Movimientos!$R$5:$R$2001,0)),"-")</f>
        <v>-</v>
      </c>
      <c r="F410" s="3" t="str">
        <f>IFERROR(INDEX(Movimientos!$G$5:$G$2001,MATCH(A410&amp;"ENTRADA",Movimientos!$R$5:$R$2001,0)),"-")</f>
        <v>-</v>
      </c>
      <c r="G410" s="3" t="str">
        <f>IFERROR(INDEX(Movimientos!$L$5:$L$2001,MATCH(A410&amp;"ENTRADA",Movimientos!$R$5:$R$2001,0)),"-")</f>
        <v>-</v>
      </c>
      <c r="H410" s="19" t="str">
        <f>IFERROR(IF(INDEX(Movimientos!$M$5:$M$2001,MATCH(A410&amp;"ENTRADA",Movimientos!$R$5:$R$2001,0))=0,"S/D",INDEX(Movimientos!$M$5:$M$2001,MATCH(A410&amp;"ENTRADA",Movimientos!$R$5:$R$2001,0))),"S/D")</f>
        <v>S/D</v>
      </c>
      <c r="I410" s="16" t="str">
        <f t="shared" ca="1" si="14"/>
        <v>S/D</v>
      </c>
      <c r="J410" s="6">
        <f>IF(A410="","",SUMIFS(Movimientos!$K:$K,Movimientos!$H:$H,A410))</f>
        <v>0</v>
      </c>
      <c r="K410" s="14" t="str">
        <f t="shared" ca="1" si="15"/>
        <v>OK</v>
      </c>
    </row>
    <row r="411" spans="1:11">
      <c r="A411" s="18" t="s">
        <v>2472</v>
      </c>
      <c r="B411" s="3" t="str">
        <f>IFERROR(INDEX(Movimientos!$C$5:$C$2001,MATCH(A411&amp;"ENTRADA",Movimientos!$R$5:$R$2001,0)),"-")</f>
        <v>-</v>
      </c>
      <c r="C411" s="3" t="str">
        <f>IFERROR(INDEX(Movimientos!$D$5:$D$2001,MATCH(A411&amp;"ENTRADA",Movimientos!$R$5:$R$2001,0)),"-")</f>
        <v>-</v>
      </c>
      <c r="D411" s="3" t="str">
        <f>IFERROR(INDEX(Movimientos!$E$5:$E$2001,MATCH(A411&amp;"ENTRADA",Movimientos!$R$5:$R$2001,0)),"-")</f>
        <v>-</v>
      </c>
      <c r="E411" s="3" t="str">
        <f>IFERROR(INDEX(Movimientos!$F$5:$F$2001,MATCH(A411&amp;"ENTRADA",Movimientos!$R$5:$R$2001,0)),"-")</f>
        <v>-</v>
      </c>
      <c r="F411" s="3" t="str">
        <f>IFERROR(INDEX(Movimientos!$G$5:$G$2001,MATCH(A411&amp;"ENTRADA",Movimientos!$R$5:$R$2001,0)),"-")</f>
        <v>-</v>
      </c>
      <c r="G411" s="3" t="str">
        <f>IFERROR(INDEX(Movimientos!$L$5:$L$2001,MATCH(A411&amp;"ENTRADA",Movimientos!$R$5:$R$2001,0)),"-")</f>
        <v>-</v>
      </c>
      <c r="H411" s="19" t="str">
        <f>IFERROR(IF(INDEX(Movimientos!$M$5:$M$2001,MATCH(A411&amp;"ENTRADA",Movimientos!$R$5:$R$2001,0))=0,"S/D",INDEX(Movimientos!$M$5:$M$2001,MATCH(A411&amp;"ENTRADA",Movimientos!$R$5:$R$2001,0))),"S/D")</f>
        <v>S/D</v>
      </c>
      <c r="I411" s="16" t="str">
        <f t="shared" ca="1" si="14"/>
        <v>S/D</v>
      </c>
      <c r="J411" s="6">
        <f>IF(A411="","",SUMIFS(Movimientos!$K:$K,Movimientos!$H:$H,A411))</f>
        <v>0</v>
      </c>
      <c r="K411" s="14" t="str">
        <f t="shared" ca="1" si="15"/>
        <v>OK</v>
      </c>
    </row>
    <row r="412" spans="1:11">
      <c r="A412" s="18" t="s">
        <v>2473</v>
      </c>
      <c r="B412" s="3" t="str">
        <f>IFERROR(INDEX(Movimientos!$C$5:$C$2001,MATCH(A412&amp;"ENTRADA",Movimientos!$R$5:$R$2001,0)),"-")</f>
        <v>-</v>
      </c>
      <c r="C412" s="3" t="str">
        <f>IFERROR(INDEX(Movimientos!$D$5:$D$2001,MATCH(A412&amp;"ENTRADA",Movimientos!$R$5:$R$2001,0)),"-")</f>
        <v>-</v>
      </c>
      <c r="D412" s="3" t="str">
        <f>IFERROR(INDEX(Movimientos!$E$5:$E$2001,MATCH(A412&amp;"ENTRADA",Movimientos!$R$5:$R$2001,0)),"-")</f>
        <v>-</v>
      </c>
      <c r="E412" s="3" t="str">
        <f>IFERROR(INDEX(Movimientos!$F$5:$F$2001,MATCH(A412&amp;"ENTRADA",Movimientos!$R$5:$R$2001,0)),"-")</f>
        <v>-</v>
      </c>
      <c r="F412" s="3" t="str">
        <f>IFERROR(INDEX(Movimientos!$G$5:$G$2001,MATCH(A412&amp;"ENTRADA",Movimientos!$R$5:$R$2001,0)),"-")</f>
        <v>-</v>
      </c>
      <c r="G412" s="3" t="str">
        <f>IFERROR(INDEX(Movimientos!$L$5:$L$2001,MATCH(A412&amp;"ENTRADA",Movimientos!$R$5:$R$2001,0)),"-")</f>
        <v>-</v>
      </c>
      <c r="H412" s="19" t="str">
        <f>IFERROR(IF(INDEX(Movimientos!$M$5:$M$2001,MATCH(A412&amp;"ENTRADA",Movimientos!$R$5:$R$2001,0))=0,"S/D",INDEX(Movimientos!$M$5:$M$2001,MATCH(A412&amp;"ENTRADA",Movimientos!$R$5:$R$2001,0))),"S/D")</f>
        <v>S/D</v>
      </c>
      <c r="I412" s="16" t="str">
        <f t="shared" ca="1" si="14"/>
        <v>S/D</v>
      </c>
      <c r="J412" s="6">
        <f>IF(A412="","",SUMIFS(Movimientos!$K:$K,Movimientos!$H:$H,A412))</f>
        <v>0</v>
      </c>
      <c r="K412" s="14" t="str">
        <f t="shared" ca="1" si="15"/>
        <v>OK</v>
      </c>
    </row>
    <row r="413" spans="1:11">
      <c r="A413" s="18" t="s">
        <v>2474</v>
      </c>
      <c r="B413" s="3" t="str">
        <f>IFERROR(INDEX(Movimientos!$C$5:$C$2001,MATCH(A413&amp;"ENTRADA",Movimientos!$R$5:$R$2001,0)),"-")</f>
        <v>-</v>
      </c>
      <c r="C413" s="3" t="str">
        <f>IFERROR(INDEX(Movimientos!$D$5:$D$2001,MATCH(A413&amp;"ENTRADA",Movimientos!$R$5:$R$2001,0)),"-")</f>
        <v>-</v>
      </c>
      <c r="D413" s="3" t="str">
        <f>IFERROR(INDEX(Movimientos!$E$5:$E$2001,MATCH(A413&amp;"ENTRADA",Movimientos!$R$5:$R$2001,0)),"-")</f>
        <v>-</v>
      </c>
      <c r="E413" s="3" t="str">
        <f>IFERROR(INDEX(Movimientos!$F$5:$F$2001,MATCH(A413&amp;"ENTRADA",Movimientos!$R$5:$R$2001,0)),"-")</f>
        <v>-</v>
      </c>
      <c r="F413" s="3" t="str">
        <f>IFERROR(INDEX(Movimientos!$G$5:$G$2001,MATCH(A413&amp;"ENTRADA",Movimientos!$R$5:$R$2001,0)),"-")</f>
        <v>-</v>
      </c>
      <c r="G413" s="3" t="str">
        <f>IFERROR(INDEX(Movimientos!$L$5:$L$2001,MATCH(A413&amp;"ENTRADA",Movimientos!$R$5:$R$2001,0)),"-")</f>
        <v>-</v>
      </c>
      <c r="H413" s="19" t="str">
        <f>IFERROR(IF(INDEX(Movimientos!$M$5:$M$2001,MATCH(A413&amp;"ENTRADA",Movimientos!$R$5:$R$2001,0))=0,"S/D",INDEX(Movimientos!$M$5:$M$2001,MATCH(A413&amp;"ENTRADA",Movimientos!$R$5:$R$2001,0))),"S/D")</f>
        <v>S/D</v>
      </c>
      <c r="I413" s="16" t="str">
        <f t="shared" ca="1" si="14"/>
        <v>S/D</v>
      </c>
      <c r="J413" s="6">
        <f>IF(A413="","",SUMIFS(Movimientos!$K:$K,Movimientos!$H:$H,A413))</f>
        <v>0</v>
      </c>
      <c r="K413" s="14" t="str">
        <f t="shared" ca="1" si="15"/>
        <v>OK</v>
      </c>
    </row>
    <row r="414" spans="1:11">
      <c r="A414" s="18" t="s">
        <v>2475</v>
      </c>
      <c r="B414" s="3" t="str">
        <f>IFERROR(INDEX(Movimientos!$C$5:$C$2001,MATCH(A414&amp;"ENTRADA",Movimientos!$R$5:$R$2001,0)),"-")</f>
        <v>-</v>
      </c>
      <c r="C414" s="3" t="str">
        <f>IFERROR(INDEX(Movimientos!$D$5:$D$2001,MATCH(A414&amp;"ENTRADA",Movimientos!$R$5:$R$2001,0)),"-")</f>
        <v>-</v>
      </c>
      <c r="D414" s="3" t="str">
        <f>IFERROR(INDEX(Movimientos!$E$5:$E$2001,MATCH(A414&amp;"ENTRADA",Movimientos!$R$5:$R$2001,0)),"-")</f>
        <v>-</v>
      </c>
      <c r="E414" s="3" t="str">
        <f>IFERROR(INDEX(Movimientos!$F$5:$F$2001,MATCH(A414&amp;"ENTRADA",Movimientos!$R$5:$R$2001,0)),"-")</f>
        <v>-</v>
      </c>
      <c r="F414" s="3" t="str">
        <f>IFERROR(INDEX(Movimientos!$G$5:$G$2001,MATCH(A414&amp;"ENTRADA",Movimientos!$R$5:$R$2001,0)),"-")</f>
        <v>-</v>
      </c>
      <c r="G414" s="3" t="str">
        <f>IFERROR(INDEX(Movimientos!$L$5:$L$2001,MATCH(A414&amp;"ENTRADA",Movimientos!$R$5:$R$2001,0)),"-")</f>
        <v>-</v>
      </c>
      <c r="H414" s="19" t="str">
        <f>IFERROR(IF(INDEX(Movimientos!$M$5:$M$2001,MATCH(A414&amp;"ENTRADA",Movimientos!$R$5:$R$2001,0))=0,"S/D",INDEX(Movimientos!$M$5:$M$2001,MATCH(A414&amp;"ENTRADA",Movimientos!$R$5:$R$2001,0))),"S/D")</f>
        <v>S/D</v>
      </c>
      <c r="I414" s="16" t="str">
        <f t="shared" ca="1" si="14"/>
        <v>S/D</v>
      </c>
      <c r="J414" s="6">
        <f>IF(A414="","",SUMIFS(Movimientos!$K:$K,Movimientos!$H:$H,A414))</f>
        <v>0</v>
      </c>
      <c r="K414" s="14" t="str">
        <f t="shared" ca="1" si="15"/>
        <v>OK</v>
      </c>
    </row>
    <row r="415" spans="1:11">
      <c r="A415" s="18" t="s">
        <v>2476</v>
      </c>
      <c r="B415" s="3" t="str">
        <f>IFERROR(INDEX(Movimientos!$C$5:$C$2001,MATCH(A415&amp;"ENTRADA",Movimientos!$R$5:$R$2001,0)),"-")</f>
        <v>-</v>
      </c>
      <c r="C415" s="3" t="str">
        <f>IFERROR(INDEX(Movimientos!$D$5:$D$2001,MATCH(A415&amp;"ENTRADA",Movimientos!$R$5:$R$2001,0)),"-")</f>
        <v>-</v>
      </c>
      <c r="D415" s="3" t="str">
        <f>IFERROR(INDEX(Movimientos!$E$5:$E$2001,MATCH(A415&amp;"ENTRADA",Movimientos!$R$5:$R$2001,0)),"-")</f>
        <v>-</v>
      </c>
      <c r="E415" s="3" t="str">
        <f>IFERROR(INDEX(Movimientos!$F$5:$F$2001,MATCH(A415&amp;"ENTRADA",Movimientos!$R$5:$R$2001,0)),"-")</f>
        <v>-</v>
      </c>
      <c r="F415" s="3" t="str">
        <f>IFERROR(INDEX(Movimientos!$G$5:$G$2001,MATCH(A415&amp;"ENTRADA",Movimientos!$R$5:$R$2001,0)),"-")</f>
        <v>-</v>
      </c>
      <c r="G415" s="3" t="str">
        <f>IFERROR(INDEX(Movimientos!$L$5:$L$2001,MATCH(A415&amp;"ENTRADA",Movimientos!$R$5:$R$2001,0)),"-")</f>
        <v>-</v>
      </c>
      <c r="H415" s="19" t="str">
        <f>IFERROR(IF(INDEX(Movimientos!$M$5:$M$2001,MATCH(A415&amp;"ENTRADA",Movimientos!$R$5:$R$2001,0))=0,"S/D",INDEX(Movimientos!$M$5:$M$2001,MATCH(A415&amp;"ENTRADA",Movimientos!$R$5:$R$2001,0))),"S/D")</f>
        <v>S/D</v>
      </c>
      <c r="I415" s="16" t="str">
        <f t="shared" ca="1" si="14"/>
        <v>S/D</v>
      </c>
      <c r="J415" s="6">
        <f>IF(A415="","",SUMIFS(Movimientos!$K:$K,Movimientos!$H:$H,A415))</f>
        <v>0</v>
      </c>
      <c r="K415" s="14" t="str">
        <f t="shared" ca="1" si="15"/>
        <v>OK</v>
      </c>
    </row>
    <row r="416" spans="1:11">
      <c r="A416" s="18" t="s">
        <v>2477</v>
      </c>
      <c r="B416" s="3" t="str">
        <f>IFERROR(INDEX(Movimientos!$C$5:$C$2001,MATCH(A416&amp;"ENTRADA",Movimientos!$R$5:$R$2001,0)),"-")</f>
        <v>-</v>
      </c>
      <c r="C416" s="3" t="str">
        <f>IFERROR(INDEX(Movimientos!$D$5:$D$2001,MATCH(A416&amp;"ENTRADA",Movimientos!$R$5:$R$2001,0)),"-")</f>
        <v>-</v>
      </c>
      <c r="D416" s="3" t="str">
        <f>IFERROR(INDEX(Movimientos!$E$5:$E$2001,MATCH(A416&amp;"ENTRADA",Movimientos!$R$5:$R$2001,0)),"-")</f>
        <v>-</v>
      </c>
      <c r="E416" s="3" t="str">
        <f>IFERROR(INDEX(Movimientos!$F$5:$F$2001,MATCH(A416&amp;"ENTRADA",Movimientos!$R$5:$R$2001,0)),"-")</f>
        <v>-</v>
      </c>
      <c r="F416" s="3" t="str">
        <f>IFERROR(INDEX(Movimientos!$G$5:$G$2001,MATCH(A416&amp;"ENTRADA",Movimientos!$R$5:$R$2001,0)),"-")</f>
        <v>-</v>
      </c>
      <c r="G416" s="3" t="str">
        <f>IFERROR(INDEX(Movimientos!$L$5:$L$2001,MATCH(A416&amp;"ENTRADA",Movimientos!$R$5:$R$2001,0)),"-")</f>
        <v>-</v>
      </c>
      <c r="H416" s="19" t="str">
        <f>IFERROR(IF(INDEX(Movimientos!$M$5:$M$2001,MATCH(A416&amp;"ENTRADA",Movimientos!$R$5:$R$2001,0))=0,"S/D",INDEX(Movimientos!$M$5:$M$2001,MATCH(A416&amp;"ENTRADA",Movimientos!$R$5:$R$2001,0))),"S/D")</f>
        <v>S/D</v>
      </c>
      <c r="I416" s="16" t="str">
        <f t="shared" ca="1" si="14"/>
        <v>S/D</v>
      </c>
      <c r="J416" s="6">
        <f>IF(A416="","",SUMIFS(Movimientos!$K:$K,Movimientos!$H:$H,A416))</f>
        <v>0</v>
      </c>
      <c r="K416" s="14" t="str">
        <f t="shared" ca="1" si="15"/>
        <v>OK</v>
      </c>
    </row>
    <row r="417" spans="1:11">
      <c r="A417" s="18" t="s">
        <v>2478</v>
      </c>
      <c r="B417" s="3" t="str">
        <f>IFERROR(INDEX(Movimientos!$C$5:$C$2001,MATCH(A417&amp;"ENTRADA",Movimientos!$R$5:$R$2001,0)),"-")</f>
        <v>-</v>
      </c>
      <c r="C417" s="3" t="str">
        <f>IFERROR(INDEX(Movimientos!$D$5:$D$2001,MATCH(A417&amp;"ENTRADA",Movimientos!$R$5:$R$2001,0)),"-")</f>
        <v>-</v>
      </c>
      <c r="D417" s="3" t="str">
        <f>IFERROR(INDEX(Movimientos!$E$5:$E$2001,MATCH(A417&amp;"ENTRADA",Movimientos!$R$5:$R$2001,0)),"-")</f>
        <v>-</v>
      </c>
      <c r="E417" s="3" t="str">
        <f>IFERROR(INDEX(Movimientos!$F$5:$F$2001,MATCH(A417&amp;"ENTRADA",Movimientos!$R$5:$R$2001,0)),"-")</f>
        <v>-</v>
      </c>
      <c r="F417" s="3" t="str">
        <f>IFERROR(INDEX(Movimientos!$G$5:$G$2001,MATCH(A417&amp;"ENTRADA",Movimientos!$R$5:$R$2001,0)),"-")</f>
        <v>-</v>
      </c>
      <c r="G417" s="3" t="str">
        <f>IFERROR(INDEX(Movimientos!$L$5:$L$2001,MATCH(A417&amp;"ENTRADA",Movimientos!$R$5:$R$2001,0)),"-")</f>
        <v>-</v>
      </c>
      <c r="H417" s="19" t="str">
        <f>IFERROR(IF(INDEX(Movimientos!$M$5:$M$2001,MATCH(A417&amp;"ENTRADA",Movimientos!$R$5:$R$2001,0))=0,"S/D",INDEX(Movimientos!$M$5:$M$2001,MATCH(A417&amp;"ENTRADA",Movimientos!$R$5:$R$2001,0))),"S/D")</f>
        <v>S/D</v>
      </c>
      <c r="I417" s="16" t="str">
        <f t="shared" ca="1" si="14"/>
        <v>S/D</v>
      </c>
      <c r="J417" s="6">
        <f>IF(A417="","",SUMIFS(Movimientos!$K:$K,Movimientos!$H:$H,A417))</f>
        <v>0</v>
      </c>
      <c r="K417" s="14" t="str">
        <f t="shared" ca="1" si="15"/>
        <v>OK</v>
      </c>
    </row>
    <row r="418" spans="1:11">
      <c r="A418" s="18" t="s">
        <v>2479</v>
      </c>
      <c r="B418" s="3" t="str">
        <f>IFERROR(INDEX(Movimientos!$C$5:$C$2001,MATCH(A418&amp;"ENTRADA",Movimientos!$R$5:$R$2001,0)),"-")</f>
        <v>-</v>
      </c>
      <c r="C418" s="3" t="str">
        <f>IFERROR(INDEX(Movimientos!$D$5:$D$2001,MATCH(A418&amp;"ENTRADA",Movimientos!$R$5:$R$2001,0)),"-")</f>
        <v>-</v>
      </c>
      <c r="D418" s="3" t="str">
        <f>IFERROR(INDEX(Movimientos!$E$5:$E$2001,MATCH(A418&amp;"ENTRADA",Movimientos!$R$5:$R$2001,0)),"-")</f>
        <v>-</v>
      </c>
      <c r="E418" s="3" t="str">
        <f>IFERROR(INDEX(Movimientos!$F$5:$F$2001,MATCH(A418&amp;"ENTRADA",Movimientos!$R$5:$R$2001,0)),"-")</f>
        <v>-</v>
      </c>
      <c r="F418" s="3" t="str">
        <f>IFERROR(INDEX(Movimientos!$G$5:$G$2001,MATCH(A418&amp;"ENTRADA",Movimientos!$R$5:$R$2001,0)),"-")</f>
        <v>-</v>
      </c>
      <c r="G418" s="3" t="str">
        <f>IFERROR(INDEX(Movimientos!$L$5:$L$2001,MATCH(A418&amp;"ENTRADA",Movimientos!$R$5:$R$2001,0)),"-")</f>
        <v>-</v>
      </c>
      <c r="H418" s="19" t="str">
        <f>IFERROR(IF(INDEX(Movimientos!$M$5:$M$2001,MATCH(A418&amp;"ENTRADA",Movimientos!$R$5:$R$2001,0))=0,"S/D",INDEX(Movimientos!$M$5:$M$2001,MATCH(A418&amp;"ENTRADA",Movimientos!$R$5:$R$2001,0))),"S/D")</f>
        <v>S/D</v>
      </c>
      <c r="I418" s="16" t="str">
        <f t="shared" ca="1" si="14"/>
        <v>S/D</v>
      </c>
      <c r="J418" s="6">
        <f>IF(A418="","",SUMIFS(Movimientos!$K:$K,Movimientos!$H:$H,A418))</f>
        <v>0</v>
      </c>
      <c r="K418" s="14" t="str">
        <f t="shared" ca="1" si="15"/>
        <v>OK</v>
      </c>
    </row>
    <row r="419" spans="1:11">
      <c r="A419" s="18" t="s">
        <v>2480</v>
      </c>
      <c r="B419" s="3" t="str">
        <f>IFERROR(INDEX(Movimientos!$C$5:$C$2001,MATCH(A419&amp;"ENTRADA",Movimientos!$R$5:$R$2001,0)),"-")</f>
        <v>-</v>
      </c>
      <c r="C419" s="3" t="str">
        <f>IFERROR(INDEX(Movimientos!$D$5:$D$2001,MATCH(A419&amp;"ENTRADA",Movimientos!$R$5:$R$2001,0)),"-")</f>
        <v>-</v>
      </c>
      <c r="D419" s="3" t="str">
        <f>IFERROR(INDEX(Movimientos!$E$5:$E$2001,MATCH(A419&amp;"ENTRADA",Movimientos!$R$5:$R$2001,0)),"-")</f>
        <v>-</v>
      </c>
      <c r="E419" s="3" t="str">
        <f>IFERROR(INDEX(Movimientos!$F$5:$F$2001,MATCH(A419&amp;"ENTRADA",Movimientos!$R$5:$R$2001,0)),"-")</f>
        <v>-</v>
      </c>
      <c r="F419" s="3" t="str">
        <f>IFERROR(INDEX(Movimientos!$G$5:$G$2001,MATCH(A419&amp;"ENTRADA",Movimientos!$R$5:$R$2001,0)),"-")</f>
        <v>-</v>
      </c>
      <c r="G419" s="3" t="str">
        <f>IFERROR(INDEX(Movimientos!$L$5:$L$2001,MATCH(A419&amp;"ENTRADA",Movimientos!$R$5:$R$2001,0)),"-")</f>
        <v>-</v>
      </c>
      <c r="H419" s="19" t="str">
        <f>IFERROR(IF(INDEX(Movimientos!$M$5:$M$2001,MATCH(A419&amp;"ENTRADA",Movimientos!$R$5:$R$2001,0))=0,"S/D",INDEX(Movimientos!$M$5:$M$2001,MATCH(A419&amp;"ENTRADA",Movimientos!$R$5:$R$2001,0))),"S/D")</f>
        <v>S/D</v>
      </c>
      <c r="I419" s="16" t="str">
        <f t="shared" ca="1" si="14"/>
        <v>S/D</v>
      </c>
      <c r="J419" s="6">
        <f>IF(A419="","",SUMIFS(Movimientos!$K:$K,Movimientos!$H:$H,A419))</f>
        <v>0</v>
      </c>
      <c r="K419" s="14" t="str">
        <f t="shared" ca="1" si="15"/>
        <v>OK</v>
      </c>
    </row>
    <row r="420" spans="1:11">
      <c r="A420" s="18" t="s">
        <v>2481</v>
      </c>
      <c r="B420" s="3" t="str">
        <f>IFERROR(INDEX(Movimientos!$C$5:$C$2001,MATCH(A420&amp;"ENTRADA",Movimientos!$R$5:$R$2001,0)),"-")</f>
        <v>-</v>
      </c>
      <c r="C420" s="3" t="str">
        <f>IFERROR(INDEX(Movimientos!$D$5:$D$2001,MATCH(A420&amp;"ENTRADA",Movimientos!$R$5:$R$2001,0)),"-")</f>
        <v>-</v>
      </c>
      <c r="D420" s="3" t="str">
        <f>IFERROR(INDEX(Movimientos!$E$5:$E$2001,MATCH(A420&amp;"ENTRADA",Movimientos!$R$5:$R$2001,0)),"-")</f>
        <v>-</v>
      </c>
      <c r="E420" s="3" t="str">
        <f>IFERROR(INDEX(Movimientos!$F$5:$F$2001,MATCH(A420&amp;"ENTRADA",Movimientos!$R$5:$R$2001,0)),"-")</f>
        <v>-</v>
      </c>
      <c r="F420" s="3" t="str">
        <f>IFERROR(INDEX(Movimientos!$G$5:$G$2001,MATCH(A420&amp;"ENTRADA",Movimientos!$R$5:$R$2001,0)),"-")</f>
        <v>-</v>
      </c>
      <c r="G420" s="3" t="str">
        <f>IFERROR(INDEX(Movimientos!$L$5:$L$2001,MATCH(A420&amp;"ENTRADA",Movimientos!$R$5:$R$2001,0)),"-")</f>
        <v>-</v>
      </c>
      <c r="H420" s="19" t="str">
        <f>IFERROR(IF(INDEX(Movimientos!$M$5:$M$2001,MATCH(A420&amp;"ENTRADA",Movimientos!$R$5:$R$2001,0))=0,"S/D",INDEX(Movimientos!$M$5:$M$2001,MATCH(A420&amp;"ENTRADA",Movimientos!$R$5:$R$2001,0))),"S/D")</f>
        <v>S/D</v>
      </c>
      <c r="I420" s="16" t="str">
        <f t="shared" ca="1" si="14"/>
        <v>S/D</v>
      </c>
      <c r="J420" s="6">
        <f>IF(A420="","",SUMIFS(Movimientos!$K:$K,Movimientos!$H:$H,A420))</f>
        <v>0</v>
      </c>
      <c r="K420" s="14" t="str">
        <f t="shared" ca="1" si="15"/>
        <v>OK</v>
      </c>
    </row>
    <row r="421" spans="1:11">
      <c r="A421" s="18" t="s">
        <v>2482</v>
      </c>
      <c r="B421" s="3" t="str">
        <f>IFERROR(INDEX(Movimientos!$C$5:$C$2001,MATCH(A421&amp;"ENTRADA",Movimientos!$R$5:$R$2001,0)),"-")</f>
        <v>-</v>
      </c>
      <c r="C421" s="3" t="str">
        <f>IFERROR(INDEX(Movimientos!$D$5:$D$2001,MATCH(A421&amp;"ENTRADA",Movimientos!$R$5:$R$2001,0)),"-")</f>
        <v>-</v>
      </c>
      <c r="D421" s="3" t="str">
        <f>IFERROR(INDEX(Movimientos!$E$5:$E$2001,MATCH(A421&amp;"ENTRADA",Movimientos!$R$5:$R$2001,0)),"-")</f>
        <v>-</v>
      </c>
      <c r="E421" s="3" t="str">
        <f>IFERROR(INDEX(Movimientos!$F$5:$F$2001,MATCH(A421&amp;"ENTRADA",Movimientos!$R$5:$R$2001,0)),"-")</f>
        <v>-</v>
      </c>
      <c r="F421" s="3" t="str">
        <f>IFERROR(INDEX(Movimientos!$G$5:$G$2001,MATCH(A421&amp;"ENTRADA",Movimientos!$R$5:$R$2001,0)),"-")</f>
        <v>-</v>
      </c>
      <c r="G421" s="3" t="str">
        <f>IFERROR(INDEX(Movimientos!$L$5:$L$2001,MATCH(A421&amp;"ENTRADA",Movimientos!$R$5:$R$2001,0)),"-")</f>
        <v>-</v>
      </c>
      <c r="H421" s="19" t="str">
        <f>IFERROR(IF(INDEX(Movimientos!$M$5:$M$2001,MATCH(A421&amp;"ENTRADA",Movimientos!$R$5:$R$2001,0))=0,"S/D",INDEX(Movimientos!$M$5:$M$2001,MATCH(A421&amp;"ENTRADA",Movimientos!$R$5:$R$2001,0))),"S/D")</f>
        <v>S/D</v>
      </c>
      <c r="I421" s="16" t="str">
        <f t="shared" ca="1" si="14"/>
        <v>S/D</v>
      </c>
      <c r="J421" s="6">
        <f>IF(A421="","",SUMIFS(Movimientos!$K:$K,Movimientos!$H:$H,A421))</f>
        <v>0</v>
      </c>
      <c r="K421" s="14" t="str">
        <f t="shared" ca="1" si="15"/>
        <v>OK</v>
      </c>
    </row>
    <row r="422" spans="1:11">
      <c r="A422" s="18" t="s">
        <v>2483</v>
      </c>
      <c r="B422" s="3" t="str">
        <f>IFERROR(INDEX(Movimientos!$C$5:$C$2001,MATCH(A422&amp;"ENTRADA",Movimientos!$R$5:$R$2001,0)),"-")</f>
        <v>-</v>
      </c>
      <c r="C422" s="3" t="str">
        <f>IFERROR(INDEX(Movimientos!$D$5:$D$2001,MATCH(A422&amp;"ENTRADA",Movimientos!$R$5:$R$2001,0)),"-")</f>
        <v>-</v>
      </c>
      <c r="D422" s="3" t="str">
        <f>IFERROR(INDEX(Movimientos!$E$5:$E$2001,MATCH(A422&amp;"ENTRADA",Movimientos!$R$5:$R$2001,0)),"-")</f>
        <v>-</v>
      </c>
      <c r="E422" s="3" t="str">
        <f>IFERROR(INDEX(Movimientos!$F$5:$F$2001,MATCH(A422&amp;"ENTRADA",Movimientos!$R$5:$R$2001,0)),"-")</f>
        <v>-</v>
      </c>
      <c r="F422" s="3" t="str">
        <f>IFERROR(INDEX(Movimientos!$G$5:$G$2001,MATCH(A422&amp;"ENTRADA",Movimientos!$R$5:$R$2001,0)),"-")</f>
        <v>-</v>
      </c>
      <c r="G422" s="3" t="str">
        <f>IFERROR(INDEX(Movimientos!$L$5:$L$2001,MATCH(A422&amp;"ENTRADA",Movimientos!$R$5:$R$2001,0)),"-")</f>
        <v>-</v>
      </c>
      <c r="H422" s="19" t="str">
        <f>IFERROR(IF(INDEX(Movimientos!$M$5:$M$2001,MATCH(A422&amp;"ENTRADA",Movimientos!$R$5:$R$2001,0))=0,"S/D",INDEX(Movimientos!$M$5:$M$2001,MATCH(A422&amp;"ENTRADA",Movimientos!$R$5:$R$2001,0))),"S/D")</f>
        <v>S/D</v>
      </c>
      <c r="I422" s="16" t="str">
        <f t="shared" ca="1" si="14"/>
        <v>S/D</v>
      </c>
      <c r="J422" s="6">
        <f>IF(A422="","",SUMIFS(Movimientos!$K:$K,Movimientos!$H:$H,A422))</f>
        <v>0</v>
      </c>
      <c r="K422" s="14" t="str">
        <f t="shared" ca="1" si="15"/>
        <v>OK</v>
      </c>
    </row>
    <row r="423" spans="1:11">
      <c r="A423" s="18" t="s">
        <v>2484</v>
      </c>
      <c r="B423" s="3" t="str">
        <f>IFERROR(INDEX(Movimientos!$C$5:$C$2001,MATCH(A423&amp;"ENTRADA",Movimientos!$R$5:$R$2001,0)),"-")</f>
        <v>-</v>
      </c>
      <c r="C423" s="3" t="str">
        <f>IFERROR(INDEX(Movimientos!$D$5:$D$2001,MATCH(A423&amp;"ENTRADA",Movimientos!$R$5:$R$2001,0)),"-")</f>
        <v>-</v>
      </c>
      <c r="D423" s="3" t="str">
        <f>IFERROR(INDEX(Movimientos!$E$5:$E$2001,MATCH(A423&amp;"ENTRADA",Movimientos!$R$5:$R$2001,0)),"-")</f>
        <v>-</v>
      </c>
      <c r="E423" s="3" t="str">
        <f>IFERROR(INDEX(Movimientos!$F$5:$F$2001,MATCH(A423&amp;"ENTRADA",Movimientos!$R$5:$R$2001,0)),"-")</f>
        <v>-</v>
      </c>
      <c r="F423" s="3" t="str">
        <f>IFERROR(INDEX(Movimientos!$G$5:$G$2001,MATCH(A423&amp;"ENTRADA",Movimientos!$R$5:$R$2001,0)),"-")</f>
        <v>-</v>
      </c>
      <c r="G423" s="3" t="str">
        <f>IFERROR(INDEX(Movimientos!$L$5:$L$2001,MATCH(A423&amp;"ENTRADA",Movimientos!$R$5:$R$2001,0)),"-")</f>
        <v>-</v>
      </c>
      <c r="H423" s="19" t="str">
        <f>IFERROR(IF(INDEX(Movimientos!$M$5:$M$2001,MATCH(A423&amp;"ENTRADA",Movimientos!$R$5:$R$2001,0))=0,"S/D",INDEX(Movimientos!$M$5:$M$2001,MATCH(A423&amp;"ENTRADA",Movimientos!$R$5:$R$2001,0))),"S/D")</f>
        <v>S/D</v>
      </c>
      <c r="I423" s="16" t="str">
        <f t="shared" ca="1" si="14"/>
        <v>S/D</v>
      </c>
      <c r="J423" s="6">
        <f>IF(A423="","",SUMIFS(Movimientos!$K:$K,Movimientos!$H:$H,A423))</f>
        <v>0</v>
      </c>
      <c r="K423" s="14" t="str">
        <f t="shared" ca="1" si="15"/>
        <v>OK</v>
      </c>
    </row>
    <row r="424" spans="1:11">
      <c r="A424" s="18" t="s">
        <v>2485</v>
      </c>
      <c r="B424" s="3" t="str">
        <f>IFERROR(INDEX(Movimientos!$C$5:$C$2001,MATCH(A424&amp;"ENTRADA",Movimientos!$R$5:$R$2001,0)),"-")</f>
        <v>-</v>
      </c>
      <c r="C424" s="3" t="str">
        <f>IFERROR(INDEX(Movimientos!$D$5:$D$2001,MATCH(A424&amp;"ENTRADA",Movimientos!$R$5:$R$2001,0)),"-")</f>
        <v>-</v>
      </c>
      <c r="D424" s="3" t="str">
        <f>IFERROR(INDEX(Movimientos!$E$5:$E$2001,MATCH(A424&amp;"ENTRADA",Movimientos!$R$5:$R$2001,0)),"-")</f>
        <v>-</v>
      </c>
      <c r="E424" s="3" t="str">
        <f>IFERROR(INDEX(Movimientos!$F$5:$F$2001,MATCH(A424&amp;"ENTRADA",Movimientos!$R$5:$R$2001,0)),"-")</f>
        <v>-</v>
      </c>
      <c r="F424" s="3" t="str">
        <f>IFERROR(INDEX(Movimientos!$G$5:$G$2001,MATCH(A424&amp;"ENTRADA",Movimientos!$R$5:$R$2001,0)),"-")</f>
        <v>-</v>
      </c>
      <c r="G424" s="3" t="str">
        <f>IFERROR(INDEX(Movimientos!$L$5:$L$2001,MATCH(A424&amp;"ENTRADA",Movimientos!$R$5:$R$2001,0)),"-")</f>
        <v>-</v>
      </c>
      <c r="H424" s="19" t="str">
        <f>IFERROR(IF(INDEX(Movimientos!$M$5:$M$2001,MATCH(A424&amp;"ENTRADA",Movimientos!$R$5:$R$2001,0))=0,"S/D",INDEX(Movimientos!$M$5:$M$2001,MATCH(A424&amp;"ENTRADA",Movimientos!$R$5:$R$2001,0))),"S/D")</f>
        <v>S/D</v>
      </c>
      <c r="I424" s="16" t="str">
        <f t="shared" ca="1" si="14"/>
        <v>S/D</v>
      </c>
      <c r="J424" s="6">
        <f>IF(A424="","",SUMIFS(Movimientos!$K:$K,Movimientos!$H:$H,A424))</f>
        <v>0</v>
      </c>
      <c r="K424" s="14" t="str">
        <f t="shared" ca="1" si="15"/>
        <v>OK</v>
      </c>
    </row>
    <row r="425" spans="1:11">
      <c r="A425" s="18" t="s">
        <v>2486</v>
      </c>
      <c r="B425" s="3" t="str">
        <f>IFERROR(INDEX(Movimientos!$C$5:$C$2001,MATCH(A425&amp;"ENTRADA",Movimientos!$R$5:$R$2001,0)),"-")</f>
        <v>-</v>
      </c>
      <c r="C425" s="3" t="str">
        <f>IFERROR(INDEX(Movimientos!$D$5:$D$2001,MATCH(A425&amp;"ENTRADA",Movimientos!$R$5:$R$2001,0)),"-")</f>
        <v>-</v>
      </c>
      <c r="D425" s="3" t="str">
        <f>IFERROR(INDEX(Movimientos!$E$5:$E$2001,MATCH(A425&amp;"ENTRADA",Movimientos!$R$5:$R$2001,0)),"-")</f>
        <v>-</v>
      </c>
      <c r="E425" s="3" t="str">
        <f>IFERROR(INDEX(Movimientos!$F$5:$F$2001,MATCH(A425&amp;"ENTRADA",Movimientos!$R$5:$R$2001,0)),"-")</f>
        <v>-</v>
      </c>
      <c r="F425" s="3" t="str">
        <f>IFERROR(INDEX(Movimientos!$G$5:$G$2001,MATCH(A425&amp;"ENTRADA",Movimientos!$R$5:$R$2001,0)),"-")</f>
        <v>-</v>
      </c>
      <c r="G425" s="3" t="str">
        <f>IFERROR(INDEX(Movimientos!$L$5:$L$2001,MATCH(A425&amp;"ENTRADA",Movimientos!$R$5:$R$2001,0)),"-")</f>
        <v>-</v>
      </c>
      <c r="H425" s="19" t="str">
        <f>IFERROR(IF(INDEX(Movimientos!$M$5:$M$2001,MATCH(A425&amp;"ENTRADA",Movimientos!$R$5:$R$2001,0))=0,"S/D",INDEX(Movimientos!$M$5:$M$2001,MATCH(A425&amp;"ENTRADA",Movimientos!$R$5:$R$2001,0))),"S/D")</f>
        <v>S/D</v>
      </c>
      <c r="I425" s="16" t="str">
        <f t="shared" ca="1" si="14"/>
        <v>S/D</v>
      </c>
      <c r="J425" s="6">
        <f>IF(A425="","",SUMIFS(Movimientos!$K:$K,Movimientos!$H:$H,A425))</f>
        <v>0</v>
      </c>
      <c r="K425" s="14" t="str">
        <f t="shared" ca="1" si="15"/>
        <v>OK</v>
      </c>
    </row>
    <row r="426" spans="1:11">
      <c r="A426" s="18" t="s">
        <v>2487</v>
      </c>
      <c r="B426" s="3" t="str">
        <f>IFERROR(INDEX(Movimientos!$C$5:$C$2001,MATCH(A426&amp;"ENTRADA",Movimientos!$R$5:$R$2001,0)),"-")</f>
        <v>-</v>
      </c>
      <c r="C426" s="3" t="str">
        <f>IFERROR(INDEX(Movimientos!$D$5:$D$2001,MATCH(A426&amp;"ENTRADA",Movimientos!$R$5:$R$2001,0)),"-")</f>
        <v>-</v>
      </c>
      <c r="D426" s="3" t="str">
        <f>IFERROR(INDEX(Movimientos!$E$5:$E$2001,MATCH(A426&amp;"ENTRADA",Movimientos!$R$5:$R$2001,0)),"-")</f>
        <v>-</v>
      </c>
      <c r="E426" s="3" t="str">
        <f>IFERROR(INDEX(Movimientos!$F$5:$F$2001,MATCH(A426&amp;"ENTRADA",Movimientos!$R$5:$R$2001,0)),"-")</f>
        <v>-</v>
      </c>
      <c r="F426" s="3" t="str">
        <f>IFERROR(INDEX(Movimientos!$G$5:$G$2001,MATCH(A426&amp;"ENTRADA",Movimientos!$R$5:$R$2001,0)),"-")</f>
        <v>-</v>
      </c>
      <c r="G426" s="3" t="str">
        <f>IFERROR(INDEX(Movimientos!$L$5:$L$2001,MATCH(A426&amp;"ENTRADA",Movimientos!$R$5:$R$2001,0)),"-")</f>
        <v>-</v>
      </c>
      <c r="H426" s="19" t="str">
        <f>IFERROR(IF(INDEX(Movimientos!$M$5:$M$2001,MATCH(A426&amp;"ENTRADA",Movimientos!$R$5:$R$2001,0))=0,"S/D",INDEX(Movimientos!$M$5:$M$2001,MATCH(A426&amp;"ENTRADA",Movimientos!$R$5:$R$2001,0))),"S/D")</f>
        <v>S/D</v>
      </c>
      <c r="I426" s="16" t="str">
        <f t="shared" ca="1" si="14"/>
        <v>S/D</v>
      </c>
      <c r="J426" s="6">
        <f>IF(A426="","",SUMIFS(Movimientos!$K:$K,Movimientos!$H:$H,A426))</f>
        <v>0</v>
      </c>
      <c r="K426" s="14" t="str">
        <f t="shared" ca="1" si="15"/>
        <v>OK</v>
      </c>
    </row>
    <row r="427" spans="1:11">
      <c r="A427" s="18" t="s">
        <v>2488</v>
      </c>
      <c r="B427" s="3" t="str">
        <f>IFERROR(INDEX(Movimientos!$C$5:$C$2001,MATCH(A427&amp;"ENTRADA",Movimientos!$R$5:$R$2001,0)),"-")</f>
        <v>-</v>
      </c>
      <c r="C427" s="3" t="str">
        <f>IFERROR(INDEX(Movimientos!$D$5:$D$2001,MATCH(A427&amp;"ENTRADA",Movimientos!$R$5:$R$2001,0)),"-")</f>
        <v>-</v>
      </c>
      <c r="D427" s="3" t="str">
        <f>IFERROR(INDEX(Movimientos!$E$5:$E$2001,MATCH(A427&amp;"ENTRADA",Movimientos!$R$5:$R$2001,0)),"-")</f>
        <v>-</v>
      </c>
      <c r="E427" s="3" t="str">
        <f>IFERROR(INDEX(Movimientos!$F$5:$F$2001,MATCH(A427&amp;"ENTRADA",Movimientos!$R$5:$R$2001,0)),"-")</f>
        <v>-</v>
      </c>
      <c r="F427" s="3" t="str">
        <f>IFERROR(INDEX(Movimientos!$G$5:$G$2001,MATCH(A427&amp;"ENTRADA",Movimientos!$R$5:$R$2001,0)),"-")</f>
        <v>-</v>
      </c>
      <c r="G427" s="3" t="str">
        <f>IFERROR(INDEX(Movimientos!$L$5:$L$2001,MATCH(A427&amp;"ENTRADA",Movimientos!$R$5:$R$2001,0)),"-")</f>
        <v>-</v>
      </c>
      <c r="H427" s="19" t="str">
        <f>IFERROR(IF(INDEX(Movimientos!$M$5:$M$2001,MATCH(A427&amp;"ENTRADA",Movimientos!$R$5:$R$2001,0))=0,"S/D",INDEX(Movimientos!$M$5:$M$2001,MATCH(A427&amp;"ENTRADA",Movimientos!$R$5:$R$2001,0))),"S/D")</f>
        <v>S/D</v>
      </c>
      <c r="I427" s="16" t="str">
        <f t="shared" ca="1" si="14"/>
        <v>S/D</v>
      </c>
      <c r="J427" s="6">
        <f>IF(A427="","",SUMIFS(Movimientos!$K:$K,Movimientos!$H:$H,A427))</f>
        <v>0</v>
      </c>
      <c r="K427" s="14" t="str">
        <f t="shared" ca="1" si="15"/>
        <v>OK</v>
      </c>
    </row>
    <row r="428" spans="1:11">
      <c r="A428" s="18" t="s">
        <v>2489</v>
      </c>
      <c r="B428" s="3" t="str">
        <f>IFERROR(INDEX(Movimientos!$C$5:$C$2001,MATCH(A428&amp;"ENTRADA",Movimientos!$R$5:$R$2001,0)),"-")</f>
        <v>-</v>
      </c>
      <c r="C428" s="3" t="str">
        <f>IFERROR(INDEX(Movimientos!$D$5:$D$2001,MATCH(A428&amp;"ENTRADA",Movimientos!$R$5:$R$2001,0)),"-")</f>
        <v>-</v>
      </c>
      <c r="D428" s="3" t="str">
        <f>IFERROR(INDEX(Movimientos!$E$5:$E$2001,MATCH(A428&amp;"ENTRADA",Movimientos!$R$5:$R$2001,0)),"-")</f>
        <v>-</v>
      </c>
      <c r="E428" s="3" t="str">
        <f>IFERROR(INDEX(Movimientos!$F$5:$F$2001,MATCH(A428&amp;"ENTRADA",Movimientos!$R$5:$R$2001,0)),"-")</f>
        <v>-</v>
      </c>
      <c r="F428" s="3" t="str">
        <f>IFERROR(INDEX(Movimientos!$G$5:$G$2001,MATCH(A428&amp;"ENTRADA",Movimientos!$R$5:$R$2001,0)),"-")</f>
        <v>-</v>
      </c>
      <c r="G428" s="3" t="str">
        <f>IFERROR(INDEX(Movimientos!$L$5:$L$2001,MATCH(A428&amp;"ENTRADA",Movimientos!$R$5:$R$2001,0)),"-")</f>
        <v>-</v>
      </c>
      <c r="H428" s="19" t="str">
        <f>IFERROR(IF(INDEX(Movimientos!$M$5:$M$2001,MATCH(A428&amp;"ENTRADA",Movimientos!$R$5:$R$2001,0))=0,"S/D",INDEX(Movimientos!$M$5:$M$2001,MATCH(A428&amp;"ENTRADA",Movimientos!$R$5:$R$2001,0))),"S/D")</f>
        <v>S/D</v>
      </c>
      <c r="I428" s="16" t="str">
        <f t="shared" ca="1" si="14"/>
        <v>S/D</v>
      </c>
      <c r="J428" s="6">
        <f>IF(A428="","",SUMIFS(Movimientos!$K:$K,Movimientos!$H:$H,A428))</f>
        <v>0</v>
      </c>
      <c r="K428" s="14" t="str">
        <f t="shared" ca="1" si="15"/>
        <v>OK</v>
      </c>
    </row>
    <row r="429" spans="1:11">
      <c r="A429" s="18" t="s">
        <v>2490</v>
      </c>
      <c r="B429" s="3" t="str">
        <f>IFERROR(INDEX(Movimientos!$C$5:$C$2001,MATCH(A429&amp;"ENTRADA",Movimientos!$R$5:$R$2001,0)),"-")</f>
        <v>-</v>
      </c>
      <c r="C429" s="3" t="str">
        <f>IFERROR(INDEX(Movimientos!$D$5:$D$2001,MATCH(A429&amp;"ENTRADA",Movimientos!$R$5:$R$2001,0)),"-")</f>
        <v>-</v>
      </c>
      <c r="D429" s="3" t="str">
        <f>IFERROR(INDEX(Movimientos!$E$5:$E$2001,MATCH(A429&amp;"ENTRADA",Movimientos!$R$5:$R$2001,0)),"-")</f>
        <v>-</v>
      </c>
      <c r="E429" s="3" t="str">
        <f>IFERROR(INDEX(Movimientos!$F$5:$F$2001,MATCH(A429&amp;"ENTRADA",Movimientos!$R$5:$R$2001,0)),"-")</f>
        <v>-</v>
      </c>
      <c r="F429" s="3" t="str">
        <f>IFERROR(INDEX(Movimientos!$G$5:$G$2001,MATCH(A429&amp;"ENTRADA",Movimientos!$R$5:$R$2001,0)),"-")</f>
        <v>-</v>
      </c>
      <c r="G429" s="3" t="str">
        <f>IFERROR(INDEX(Movimientos!$L$5:$L$2001,MATCH(A429&amp;"ENTRADA",Movimientos!$R$5:$R$2001,0)),"-")</f>
        <v>-</v>
      </c>
      <c r="H429" s="19" t="str">
        <f>IFERROR(IF(INDEX(Movimientos!$M$5:$M$2001,MATCH(A429&amp;"ENTRADA",Movimientos!$R$5:$R$2001,0))=0,"S/D",INDEX(Movimientos!$M$5:$M$2001,MATCH(A429&amp;"ENTRADA",Movimientos!$R$5:$R$2001,0))),"S/D")</f>
        <v>S/D</v>
      </c>
      <c r="I429" s="16" t="str">
        <f t="shared" ca="1" si="14"/>
        <v>S/D</v>
      </c>
      <c r="J429" s="6">
        <f>IF(A429="","",SUMIFS(Movimientos!$K:$K,Movimientos!$H:$H,A429))</f>
        <v>0</v>
      </c>
      <c r="K429" s="14" t="str">
        <f t="shared" ca="1" si="15"/>
        <v>OK</v>
      </c>
    </row>
    <row r="430" spans="1:11">
      <c r="A430" s="18" t="s">
        <v>2491</v>
      </c>
      <c r="B430" s="3" t="str">
        <f>IFERROR(INDEX(Movimientos!$C$5:$C$2001,MATCH(A430&amp;"ENTRADA",Movimientos!$R$5:$R$2001,0)),"-")</f>
        <v>-</v>
      </c>
      <c r="C430" s="3" t="str">
        <f>IFERROR(INDEX(Movimientos!$D$5:$D$2001,MATCH(A430&amp;"ENTRADA",Movimientos!$R$5:$R$2001,0)),"-")</f>
        <v>-</v>
      </c>
      <c r="D430" s="3" t="str">
        <f>IFERROR(INDEX(Movimientos!$E$5:$E$2001,MATCH(A430&amp;"ENTRADA",Movimientos!$R$5:$R$2001,0)),"-")</f>
        <v>-</v>
      </c>
      <c r="E430" s="3" t="str">
        <f>IFERROR(INDEX(Movimientos!$F$5:$F$2001,MATCH(A430&amp;"ENTRADA",Movimientos!$R$5:$R$2001,0)),"-")</f>
        <v>-</v>
      </c>
      <c r="F430" s="3" t="str">
        <f>IFERROR(INDEX(Movimientos!$G$5:$G$2001,MATCH(A430&amp;"ENTRADA",Movimientos!$R$5:$R$2001,0)),"-")</f>
        <v>-</v>
      </c>
      <c r="G430" s="3" t="str">
        <f>IFERROR(INDEX(Movimientos!$L$5:$L$2001,MATCH(A430&amp;"ENTRADA",Movimientos!$R$5:$R$2001,0)),"-")</f>
        <v>-</v>
      </c>
      <c r="H430" s="19" t="str">
        <f>IFERROR(IF(INDEX(Movimientos!$M$5:$M$2001,MATCH(A430&amp;"ENTRADA",Movimientos!$R$5:$R$2001,0))=0,"S/D",INDEX(Movimientos!$M$5:$M$2001,MATCH(A430&amp;"ENTRADA",Movimientos!$R$5:$R$2001,0))),"S/D")</f>
        <v>S/D</v>
      </c>
      <c r="I430" s="16" t="str">
        <f t="shared" ca="1" si="14"/>
        <v>S/D</v>
      </c>
      <c r="J430" s="6">
        <f>IF(A430="","",SUMIFS(Movimientos!$K:$K,Movimientos!$H:$H,A430))</f>
        <v>0</v>
      </c>
      <c r="K430" s="14" t="str">
        <f t="shared" ca="1" si="15"/>
        <v>OK</v>
      </c>
    </row>
    <row r="431" spans="1:11">
      <c r="A431" s="18" t="s">
        <v>2492</v>
      </c>
      <c r="B431" s="3" t="str">
        <f>IFERROR(INDEX(Movimientos!$C$5:$C$2001,MATCH(A431&amp;"ENTRADA",Movimientos!$R$5:$R$2001,0)),"-")</f>
        <v>-</v>
      </c>
      <c r="C431" s="3" t="str">
        <f>IFERROR(INDEX(Movimientos!$D$5:$D$2001,MATCH(A431&amp;"ENTRADA",Movimientos!$R$5:$R$2001,0)),"-")</f>
        <v>-</v>
      </c>
      <c r="D431" s="3" t="str">
        <f>IFERROR(INDEX(Movimientos!$E$5:$E$2001,MATCH(A431&amp;"ENTRADA",Movimientos!$R$5:$R$2001,0)),"-")</f>
        <v>-</v>
      </c>
      <c r="E431" s="3" t="str">
        <f>IFERROR(INDEX(Movimientos!$F$5:$F$2001,MATCH(A431&amp;"ENTRADA",Movimientos!$R$5:$R$2001,0)),"-")</f>
        <v>-</v>
      </c>
      <c r="F431" s="3" t="str">
        <f>IFERROR(INDEX(Movimientos!$G$5:$G$2001,MATCH(A431&amp;"ENTRADA",Movimientos!$R$5:$R$2001,0)),"-")</f>
        <v>-</v>
      </c>
      <c r="G431" s="3" t="str">
        <f>IFERROR(INDEX(Movimientos!$L$5:$L$2001,MATCH(A431&amp;"ENTRADA",Movimientos!$R$5:$R$2001,0)),"-")</f>
        <v>-</v>
      </c>
      <c r="H431" s="19" t="str">
        <f>IFERROR(IF(INDEX(Movimientos!$M$5:$M$2001,MATCH(A431&amp;"ENTRADA",Movimientos!$R$5:$R$2001,0))=0,"S/D",INDEX(Movimientos!$M$5:$M$2001,MATCH(A431&amp;"ENTRADA",Movimientos!$R$5:$R$2001,0))),"S/D")</f>
        <v>S/D</v>
      </c>
      <c r="I431" s="16" t="str">
        <f t="shared" ca="1" si="14"/>
        <v>S/D</v>
      </c>
      <c r="J431" s="6">
        <f>IF(A431="","",SUMIFS(Movimientos!$K:$K,Movimientos!$H:$H,A431))</f>
        <v>0</v>
      </c>
      <c r="K431" s="14" t="str">
        <f t="shared" ca="1" si="15"/>
        <v>OK</v>
      </c>
    </row>
    <row r="432" spans="1:11">
      <c r="A432" s="18" t="s">
        <v>2493</v>
      </c>
      <c r="B432" s="3" t="str">
        <f>IFERROR(INDEX(Movimientos!$C$5:$C$2001,MATCH(A432&amp;"ENTRADA",Movimientos!$R$5:$R$2001,0)),"-")</f>
        <v>-</v>
      </c>
      <c r="C432" s="3" t="str">
        <f>IFERROR(INDEX(Movimientos!$D$5:$D$2001,MATCH(A432&amp;"ENTRADA",Movimientos!$R$5:$R$2001,0)),"-")</f>
        <v>-</v>
      </c>
      <c r="D432" s="3" t="str">
        <f>IFERROR(INDEX(Movimientos!$E$5:$E$2001,MATCH(A432&amp;"ENTRADA",Movimientos!$R$5:$R$2001,0)),"-")</f>
        <v>-</v>
      </c>
      <c r="E432" s="3" t="str">
        <f>IFERROR(INDEX(Movimientos!$F$5:$F$2001,MATCH(A432&amp;"ENTRADA",Movimientos!$R$5:$R$2001,0)),"-")</f>
        <v>-</v>
      </c>
      <c r="F432" s="3" t="str">
        <f>IFERROR(INDEX(Movimientos!$G$5:$G$2001,MATCH(A432&amp;"ENTRADA",Movimientos!$R$5:$R$2001,0)),"-")</f>
        <v>-</v>
      </c>
      <c r="G432" s="3" t="str">
        <f>IFERROR(INDEX(Movimientos!$L$5:$L$2001,MATCH(A432&amp;"ENTRADA",Movimientos!$R$5:$R$2001,0)),"-")</f>
        <v>-</v>
      </c>
      <c r="H432" s="19" t="str">
        <f>IFERROR(IF(INDEX(Movimientos!$M$5:$M$2001,MATCH(A432&amp;"ENTRADA",Movimientos!$R$5:$R$2001,0))=0,"S/D",INDEX(Movimientos!$M$5:$M$2001,MATCH(A432&amp;"ENTRADA",Movimientos!$R$5:$R$2001,0))),"S/D")</f>
        <v>S/D</v>
      </c>
      <c r="I432" s="16" t="str">
        <f t="shared" ca="1" si="14"/>
        <v>S/D</v>
      </c>
      <c r="J432" s="6">
        <f>IF(A432="","",SUMIFS(Movimientos!$K:$K,Movimientos!$H:$H,A432))</f>
        <v>0</v>
      </c>
      <c r="K432" s="14" t="str">
        <f t="shared" ca="1" si="15"/>
        <v>OK</v>
      </c>
    </row>
    <row r="433" spans="1:11">
      <c r="A433" s="18" t="s">
        <v>2494</v>
      </c>
      <c r="B433" s="3" t="str">
        <f>IFERROR(INDEX(Movimientos!$C$5:$C$2001,MATCH(A433&amp;"ENTRADA",Movimientos!$R$5:$R$2001,0)),"-")</f>
        <v>-</v>
      </c>
      <c r="C433" s="3" t="str">
        <f>IFERROR(INDEX(Movimientos!$D$5:$D$2001,MATCH(A433&amp;"ENTRADA",Movimientos!$R$5:$R$2001,0)),"-")</f>
        <v>-</v>
      </c>
      <c r="D433" s="3" t="str">
        <f>IFERROR(INDEX(Movimientos!$E$5:$E$2001,MATCH(A433&amp;"ENTRADA",Movimientos!$R$5:$R$2001,0)),"-")</f>
        <v>-</v>
      </c>
      <c r="E433" s="3" t="str">
        <f>IFERROR(INDEX(Movimientos!$F$5:$F$2001,MATCH(A433&amp;"ENTRADA",Movimientos!$R$5:$R$2001,0)),"-")</f>
        <v>-</v>
      </c>
      <c r="F433" s="3" t="str">
        <f>IFERROR(INDEX(Movimientos!$G$5:$G$2001,MATCH(A433&amp;"ENTRADA",Movimientos!$R$5:$R$2001,0)),"-")</f>
        <v>-</v>
      </c>
      <c r="G433" s="3" t="str">
        <f>IFERROR(INDEX(Movimientos!$L$5:$L$2001,MATCH(A433&amp;"ENTRADA",Movimientos!$R$5:$R$2001,0)),"-")</f>
        <v>-</v>
      </c>
      <c r="H433" s="19" t="str">
        <f>IFERROR(IF(INDEX(Movimientos!$M$5:$M$2001,MATCH(A433&amp;"ENTRADA",Movimientos!$R$5:$R$2001,0))=0,"S/D",INDEX(Movimientos!$M$5:$M$2001,MATCH(A433&amp;"ENTRADA",Movimientos!$R$5:$R$2001,0))),"S/D")</f>
        <v>S/D</v>
      </c>
      <c r="I433" s="16" t="str">
        <f t="shared" ca="1" si="14"/>
        <v>S/D</v>
      </c>
      <c r="J433" s="6">
        <f>IF(A433="","",SUMIFS(Movimientos!$K:$K,Movimientos!$H:$H,A433))</f>
        <v>0</v>
      </c>
      <c r="K433" s="14" t="str">
        <f t="shared" ca="1" si="15"/>
        <v>OK</v>
      </c>
    </row>
    <row r="434" spans="1:11">
      <c r="A434" s="18" t="s">
        <v>2495</v>
      </c>
      <c r="B434" s="3" t="str">
        <f>IFERROR(INDEX(Movimientos!$C$5:$C$2001,MATCH(A434&amp;"ENTRADA",Movimientos!$R$5:$R$2001,0)),"-")</f>
        <v>-</v>
      </c>
      <c r="C434" s="3" t="str">
        <f>IFERROR(INDEX(Movimientos!$D$5:$D$2001,MATCH(A434&amp;"ENTRADA",Movimientos!$R$5:$R$2001,0)),"-")</f>
        <v>-</v>
      </c>
      <c r="D434" s="3" t="str">
        <f>IFERROR(INDEX(Movimientos!$E$5:$E$2001,MATCH(A434&amp;"ENTRADA",Movimientos!$R$5:$R$2001,0)),"-")</f>
        <v>-</v>
      </c>
      <c r="E434" s="3" t="str">
        <f>IFERROR(INDEX(Movimientos!$F$5:$F$2001,MATCH(A434&amp;"ENTRADA",Movimientos!$R$5:$R$2001,0)),"-")</f>
        <v>-</v>
      </c>
      <c r="F434" s="3" t="str">
        <f>IFERROR(INDEX(Movimientos!$G$5:$G$2001,MATCH(A434&amp;"ENTRADA",Movimientos!$R$5:$R$2001,0)),"-")</f>
        <v>-</v>
      </c>
      <c r="G434" s="3" t="str">
        <f>IFERROR(INDEX(Movimientos!$L$5:$L$2001,MATCH(A434&amp;"ENTRADA",Movimientos!$R$5:$R$2001,0)),"-")</f>
        <v>-</v>
      </c>
      <c r="H434" s="19" t="str">
        <f>IFERROR(IF(INDEX(Movimientos!$M$5:$M$2001,MATCH(A434&amp;"ENTRADA",Movimientos!$R$5:$R$2001,0))=0,"S/D",INDEX(Movimientos!$M$5:$M$2001,MATCH(A434&amp;"ENTRADA",Movimientos!$R$5:$R$2001,0))),"S/D")</f>
        <v>S/D</v>
      </c>
      <c r="I434" s="16" t="str">
        <f t="shared" ca="1" si="14"/>
        <v>S/D</v>
      </c>
      <c r="J434" s="6">
        <f>IF(A434="","",SUMIFS(Movimientos!$K:$K,Movimientos!$H:$H,A434))</f>
        <v>0</v>
      </c>
      <c r="K434" s="14" t="str">
        <f t="shared" ca="1" si="15"/>
        <v>OK</v>
      </c>
    </row>
    <row r="435" spans="1:11">
      <c r="A435" s="18" t="s">
        <v>2496</v>
      </c>
      <c r="B435" s="3" t="str">
        <f>IFERROR(INDEX(Movimientos!$C$5:$C$2001,MATCH(A435&amp;"ENTRADA",Movimientos!$R$5:$R$2001,0)),"-")</f>
        <v>-</v>
      </c>
      <c r="C435" s="3" t="str">
        <f>IFERROR(INDEX(Movimientos!$D$5:$D$2001,MATCH(A435&amp;"ENTRADA",Movimientos!$R$5:$R$2001,0)),"-")</f>
        <v>-</v>
      </c>
      <c r="D435" s="3" t="str">
        <f>IFERROR(INDEX(Movimientos!$E$5:$E$2001,MATCH(A435&amp;"ENTRADA",Movimientos!$R$5:$R$2001,0)),"-")</f>
        <v>-</v>
      </c>
      <c r="E435" s="3" t="str">
        <f>IFERROR(INDEX(Movimientos!$F$5:$F$2001,MATCH(A435&amp;"ENTRADA",Movimientos!$R$5:$R$2001,0)),"-")</f>
        <v>-</v>
      </c>
      <c r="F435" s="3" t="str">
        <f>IFERROR(INDEX(Movimientos!$G$5:$G$2001,MATCH(A435&amp;"ENTRADA",Movimientos!$R$5:$R$2001,0)),"-")</f>
        <v>-</v>
      </c>
      <c r="G435" s="3" t="str">
        <f>IFERROR(INDEX(Movimientos!$L$5:$L$2001,MATCH(A435&amp;"ENTRADA",Movimientos!$R$5:$R$2001,0)),"-")</f>
        <v>-</v>
      </c>
      <c r="H435" s="19" t="str">
        <f>IFERROR(IF(INDEX(Movimientos!$M$5:$M$2001,MATCH(A435&amp;"ENTRADA",Movimientos!$R$5:$R$2001,0))=0,"S/D",INDEX(Movimientos!$M$5:$M$2001,MATCH(A435&amp;"ENTRADA",Movimientos!$R$5:$R$2001,0))),"S/D")</f>
        <v>S/D</v>
      </c>
      <c r="I435" s="16" t="str">
        <f t="shared" ca="1" si="14"/>
        <v>S/D</v>
      </c>
      <c r="J435" s="6">
        <f>IF(A435="","",SUMIFS(Movimientos!$K:$K,Movimientos!$H:$H,A435))</f>
        <v>0</v>
      </c>
      <c r="K435" s="14" t="str">
        <f t="shared" ca="1" si="15"/>
        <v>OK</v>
      </c>
    </row>
    <row r="436" spans="1:11">
      <c r="A436" s="18" t="s">
        <v>2497</v>
      </c>
      <c r="B436" s="3" t="str">
        <f>IFERROR(INDEX(Movimientos!$C$5:$C$2001,MATCH(A436&amp;"ENTRADA",Movimientos!$R$5:$R$2001,0)),"-")</f>
        <v>-</v>
      </c>
      <c r="C436" s="3" t="str">
        <f>IFERROR(INDEX(Movimientos!$D$5:$D$2001,MATCH(A436&amp;"ENTRADA",Movimientos!$R$5:$R$2001,0)),"-")</f>
        <v>-</v>
      </c>
      <c r="D436" s="3" t="str">
        <f>IFERROR(INDEX(Movimientos!$E$5:$E$2001,MATCH(A436&amp;"ENTRADA",Movimientos!$R$5:$R$2001,0)),"-")</f>
        <v>-</v>
      </c>
      <c r="E436" s="3" t="str">
        <f>IFERROR(INDEX(Movimientos!$F$5:$F$2001,MATCH(A436&amp;"ENTRADA",Movimientos!$R$5:$R$2001,0)),"-")</f>
        <v>-</v>
      </c>
      <c r="F436" s="3" t="str">
        <f>IFERROR(INDEX(Movimientos!$G$5:$G$2001,MATCH(A436&amp;"ENTRADA",Movimientos!$R$5:$R$2001,0)),"-")</f>
        <v>-</v>
      </c>
      <c r="G436" s="3" t="str">
        <f>IFERROR(INDEX(Movimientos!$L$5:$L$2001,MATCH(A436&amp;"ENTRADA",Movimientos!$R$5:$R$2001,0)),"-")</f>
        <v>-</v>
      </c>
      <c r="H436" s="19" t="str">
        <f>IFERROR(IF(INDEX(Movimientos!$M$5:$M$2001,MATCH(A436&amp;"ENTRADA",Movimientos!$R$5:$R$2001,0))=0,"S/D",INDEX(Movimientos!$M$5:$M$2001,MATCH(A436&amp;"ENTRADA",Movimientos!$R$5:$R$2001,0))),"S/D")</f>
        <v>S/D</v>
      </c>
      <c r="I436" s="16" t="str">
        <f t="shared" ca="1" si="14"/>
        <v>S/D</v>
      </c>
      <c r="J436" s="6">
        <f>IF(A436="","",SUMIFS(Movimientos!$K:$K,Movimientos!$H:$H,A436))</f>
        <v>0</v>
      </c>
      <c r="K436" s="14" t="str">
        <f t="shared" ca="1" si="15"/>
        <v>OK</v>
      </c>
    </row>
    <row r="437" spans="1:11">
      <c r="A437" s="18" t="s">
        <v>2498</v>
      </c>
      <c r="B437" s="3" t="str">
        <f>IFERROR(INDEX(Movimientos!$C$5:$C$2001,MATCH(A437&amp;"ENTRADA",Movimientos!$R$5:$R$2001,0)),"-")</f>
        <v>-</v>
      </c>
      <c r="C437" s="3" t="str">
        <f>IFERROR(INDEX(Movimientos!$D$5:$D$2001,MATCH(A437&amp;"ENTRADA",Movimientos!$R$5:$R$2001,0)),"-")</f>
        <v>-</v>
      </c>
      <c r="D437" s="3" t="str">
        <f>IFERROR(INDEX(Movimientos!$E$5:$E$2001,MATCH(A437&amp;"ENTRADA",Movimientos!$R$5:$R$2001,0)),"-")</f>
        <v>-</v>
      </c>
      <c r="E437" s="3" t="str">
        <f>IFERROR(INDEX(Movimientos!$F$5:$F$2001,MATCH(A437&amp;"ENTRADA",Movimientos!$R$5:$R$2001,0)),"-")</f>
        <v>-</v>
      </c>
      <c r="F437" s="3" t="str">
        <f>IFERROR(INDEX(Movimientos!$G$5:$G$2001,MATCH(A437&amp;"ENTRADA",Movimientos!$R$5:$R$2001,0)),"-")</f>
        <v>-</v>
      </c>
      <c r="G437" s="3" t="str">
        <f>IFERROR(INDEX(Movimientos!$L$5:$L$2001,MATCH(A437&amp;"ENTRADA",Movimientos!$R$5:$R$2001,0)),"-")</f>
        <v>-</v>
      </c>
      <c r="H437" s="19" t="str">
        <f>IFERROR(IF(INDEX(Movimientos!$M$5:$M$2001,MATCH(A437&amp;"ENTRADA",Movimientos!$R$5:$R$2001,0))=0,"S/D",INDEX(Movimientos!$M$5:$M$2001,MATCH(A437&amp;"ENTRADA",Movimientos!$R$5:$R$2001,0))),"S/D")</f>
        <v>S/D</v>
      </c>
      <c r="I437" s="16" t="str">
        <f t="shared" ca="1" si="14"/>
        <v>S/D</v>
      </c>
      <c r="J437" s="6">
        <f>IF(A437="","",SUMIFS(Movimientos!$K:$K,Movimientos!$H:$H,A437))</f>
        <v>0</v>
      </c>
      <c r="K437" s="14" t="str">
        <f t="shared" ca="1" si="15"/>
        <v>OK</v>
      </c>
    </row>
    <row r="438" spans="1:11">
      <c r="A438" s="18" t="s">
        <v>2499</v>
      </c>
      <c r="B438" s="3" t="str">
        <f>IFERROR(INDEX(Movimientos!$C$5:$C$2001,MATCH(A438&amp;"ENTRADA",Movimientos!$R$5:$R$2001,0)),"-")</f>
        <v>-</v>
      </c>
      <c r="C438" s="3" t="str">
        <f>IFERROR(INDEX(Movimientos!$D$5:$D$2001,MATCH(A438&amp;"ENTRADA",Movimientos!$R$5:$R$2001,0)),"-")</f>
        <v>-</v>
      </c>
      <c r="D438" s="3" t="str">
        <f>IFERROR(INDEX(Movimientos!$E$5:$E$2001,MATCH(A438&amp;"ENTRADA",Movimientos!$R$5:$R$2001,0)),"-")</f>
        <v>-</v>
      </c>
      <c r="E438" s="3" t="str">
        <f>IFERROR(INDEX(Movimientos!$F$5:$F$2001,MATCH(A438&amp;"ENTRADA",Movimientos!$R$5:$R$2001,0)),"-")</f>
        <v>-</v>
      </c>
      <c r="F438" s="3" t="str">
        <f>IFERROR(INDEX(Movimientos!$G$5:$G$2001,MATCH(A438&amp;"ENTRADA",Movimientos!$R$5:$R$2001,0)),"-")</f>
        <v>-</v>
      </c>
      <c r="G438" s="3" t="str">
        <f>IFERROR(INDEX(Movimientos!$L$5:$L$2001,MATCH(A438&amp;"ENTRADA",Movimientos!$R$5:$R$2001,0)),"-")</f>
        <v>-</v>
      </c>
      <c r="H438" s="19" t="str">
        <f>IFERROR(IF(INDEX(Movimientos!$M$5:$M$2001,MATCH(A438&amp;"ENTRADA",Movimientos!$R$5:$R$2001,0))=0,"S/D",INDEX(Movimientos!$M$5:$M$2001,MATCH(A438&amp;"ENTRADA",Movimientos!$R$5:$R$2001,0))),"S/D")</f>
        <v>S/D</v>
      </c>
      <c r="I438" s="16" t="str">
        <f t="shared" ca="1" si="14"/>
        <v>S/D</v>
      </c>
      <c r="J438" s="6">
        <f>IF(A438="","",SUMIFS(Movimientos!$K:$K,Movimientos!$H:$H,A438))</f>
        <v>0</v>
      </c>
      <c r="K438" s="14" t="str">
        <f t="shared" ca="1" si="15"/>
        <v>OK</v>
      </c>
    </row>
    <row r="439" spans="1:11">
      <c r="A439" s="18" t="s">
        <v>2500</v>
      </c>
      <c r="B439" s="3" t="str">
        <f>IFERROR(INDEX(Movimientos!$C$5:$C$2001,MATCH(A439&amp;"ENTRADA",Movimientos!$R$5:$R$2001,0)),"-")</f>
        <v>-</v>
      </c>
      <c r="C439" s="3" t="str">
        <f>IFERROR(INDEX(Movimientos!$D$5:$D$2001,MATCH(A439&amp;"ENTRADA",Movimientos!$R$5:$R$2001,0)),"-")</f>
        <v>-</v>
      </c>
      <c r="D439" s="3" t="str">
        <f>IFERROR(INDEX(Movimientos!$E$5:$E$2001,MATCH(A439&amp;"ENTRADA",Movimientos!$R$5:$R$2001,0)),"-")</f>
        <v>-</v>
      </c>
      <c r="E439" s="3" t="str">
        <f>IFERROR(INDEX(Movimientos!$F$5:$F$2001,MATCH(A439&amp;"ENTRADA",Movimientos!$R$5:$R$2001,0)),"-")</f>
        <v>-</v>
      </c>
      <c r="F439" s="3" t="str">
        <f>IFERROR(INDEX(Movimientos!$G$5:$G$2001,MATCH(A439&amp;"ENTRADA",Movimientos!$R$5:$R$2001,0)),"-")</f>
        <v>-</v>
      </c>
      <c r="G439" s="3" t="str">
        <f>IFERROR(INDEX(Movimientos!$L$5:$L$2001,MATCH(A439&amp;"ENTRADA",Movimientos!$R$5:$R$2001,0)),"-")</f>
        <v>-</v>
      </c>
      <c r="H439" s="19" t="str">
        <f>IFERROR(IF(INDEX(Movimientos!$M$5:$M$2001,MATCH(A439&amp;"ENTRADA",Movimientos!$R$5:$R$2001,0))=0,"S/D",INDEX(Movimientos!$M$5:$M$2001,MATCH(A439&amp;"ENTRADA",Movimientos!$R$5:$R$2001,0))),"S/D")</f>
        <v>S/D</v>
      </c>
      <c r="I439" s="16" t="str">
        <f t="shared" ca="1" si="14"/>
        <v>S/D</v>
      </c>
      <c r="J439" s="6">
        <f>IF(A439="","",SUMIFS(Movimientos!$K:$K,Movimientos!$H:$H,A439))</f>
        <v>0</v>
      </c>
      <c r="K439" s="14" t="str">
        <f t="shared" ca="1" si="15"/>
        <v>OK</v>
      </c>
    </row>
    <row r="440" spans="1:11">
      <c r="A440" s="18" t="s">
        <v>2501</v>
      </c>
      <c r="B440" s="3" t="str">
        <f>IFERROR(INDEX(Movimientos!$C$5:$C$2001,MATCH(A440&amp;"ENTRADA",Movimientos!$R$5:$R$2001,0)),"-")</f>
        <v>-</v>
      </c>
      <c r="C440" s="3" t="str">
        <f>IFERROR(INDEX(Movimientos!$D$5:$D$2001,MATCH(A440&amp;"ENTRADA",Movimientos!$R$5:$R$2001,0)),"-")</f>
        <v>-</v>
      </c>
      <c r="D440" s="3" t="str">
        <f>IFERROR(INDEX(Movimientos!$E$5:$E$2001,MATCH(A440&amp;"ENTRADA",Movimientos!$R$5:$R$2001,0)),"-")</f>
        <v>-</v>
      </c>
      <c r="E440" s="3" t="str">
        <f>IFERROR(INDEX(Movimientos!$F$5:$F$2001,MATCH(A440&amp;"ENTRADA",Movimientos!$R$5:$R$2001,0)),"-")</f>
        <v>-</v>
      </c>
      <c r="F440" s="3" t="str">
        <f>IFERROR(INDEX(Movimientos!$G$5:$G$2001,MATCH(A440&amp;"ENTRADA",Movimientos!$R$5:$R$2001,0)),"-")</f>
        <v>-</v>
      </c>
      <c r="G440" s="3" t="str">
        <f>IFERROR(INDEX(Movimientos!$L$5:$L$2001,MATCH(A440&amp;"ENTRADA",Movimientos!$R$5:$R$2001,0)),"-")</f>
        <v>-</v>
      </c>
      <c r="H440" s="19" t="str">
        <f>IFERROR(IF(INDEX(Movimientos!$M$5:$M$2001,MATCH(A440&amp;"ENTRADA",Movimientos!$R$5:$R$2001,0))=0,"S/D",INDEX(Movimientos!$M$5:$M$2001,MATCH(A440&amp;"ENTRADA",Movimientos!$R$5:$R$2001,0))),"S/D")</f>
        <v>S/D</v>
      </c>
      <c r="I440" s="16" t="str">
        <f t="shared" ca="1" si="14"/>
        <v>S/D</v>
      </c>
      <c r="J440" s="6">
        <f>IF(A440="","",SUMIFS(Movimientos!$K:$K,Movimientos!$H:$H,A440))</f>
        <v>0</v>
      </c>
      <c r="K440" s="14" t="str">
        <f t="shared" ca="1" si="15"/>
        <v>OK</v>
      </c>
    </row>
    <row r="441" spans="1:11">
      <c r="A441" s="18" t="s">
        <v>2502</v>
      </c>
      <c r="B441" s="3" t="str">
        <f>IFERROR(INDEX(Movimientos!$C$5:$C$2001,MATCH(A441&amp;"ENTRADA",Movimientos!$R$5:$R$2001,0)),"-")</f>
        <v>-</v>
      </c>
      <c r="C441" s="3" t="str">
        <f>IFERROR(INDEX(Movimientos!$D$5:$D$2001,MATCH(A441&amp;"ENTRADA",Movimientos!$R$5:$R$2001,0)),"-")</f>
        <v>-</v>
      </c>
      <c r="D441" s="3" t="str">
        <f>IFERROR(INDEX(Movimientos!$E$5:$E$2001,MATCH(A441&amp;"ENTRADA",Movimientos!$R$5:$R$2001,0)),"-")</f>
        <v>-</v>
      </c>
      <c r="E441" s="3" t="str">
        <f>IFERROR(INDEX(Movimientos!$F$5:$F$2001,MATCH(A441&amp;"ENTRADA",Movimientos!$R$5:$R$2001,0)),"-")</f>
        <v>-</v>
      </c>
      <c r="F441" s="3" t="str">
        <f>IFERROR(INDEX(Movimientos!$G$5:$G$2001,MATCH(A441&amp;"ENTRADA",Movimientos!$R$5:$R$2001,0)),"-")</f>
        <v>-</v>
      </c>
      <c r="G441" s="3" t="str">
        <f>IFERROR(INDEX(Movimientos!$L$5:$L$2001,MATCH(A441&amp;"ENTRADA",Movimientos!$R$5:$R$2001,0)),"-")</f>
        <v>-</v>
      </c>
      <c r="H441" s="19" t="str">
        <f>IFERROR(IF(INDEX(Movimientos!$M$5:$M$2001,MATCH(A441&amp;"ENTRADA",Movimientos!$R$5:$R$2001,0))=0,"S/D",INDEX(Movimientos!$M$5:$M$2001,MATCH(A441&amp;"ENTRADA",Movimientos!$R$5:$R$2001,0))),"S/D")</f>
        <v>S/D</v>
      </c>
      <c r="I441" s="16" t="str">
        <f t="shared" ca="1" si="14"/>
        <v>S/D</v>
      </c>
      <c r="J441" s="6">
        <f>IF(A441="","",SUMIFS(Movimientos!$K:$K,Movimientos!$H:$H,A441))</f>
        <v>0</v>
      </c>
      <c r="K441" s="14" t="str">
        <f t="shared" ca="1" si="15"/>
        <v>OK</v>
      </c>
    </row>
    <row r="442" spans="1:11">
      <c r="A442" s="18" t="s">
        <v>2503</v>
      </c>
      <c r="B442" s="3" t="str">
        <f>IFERROR(INDEX(Movimientos!$C$5:$C$2001,MATCH(A442&amp;"ENTRADA",Movimientos!$R$5:$R$2001,0)),"-")</f>
        <v>-</v>
      </c>
      <c r="C442" s="3" t="str">
        <f>IFERROR(INDEX(Movimientos!$D$5:$D$2001,MATCH(A442&amp;"ENTRADA",Movimientos!$R$5:$R$2001,0)),"-")</f>
        <v>-</v>
      </c>
      <c r="D442" s="3" t="str">
        <f>IFERROR(INDEX(Movimientos!$E$5:$E$2001,MATCH(A442&amp;"ENTRADA",Movimientos!$R$5:$R$2001,0)),"-")</f>
        <v>-</v>
      </c>
      <c r="E442" s="3" t="str">
        <f>IFERROR(INDEX(Movimientos!$F$5:$F$2001,MATCH(A442&amp;"ENTRADA",Movimientos!$R$5:$R$2001,0)),"-")</f>
        <v>-</v>
      </c>
      <c r="F442" s="3" t="str">
        <f>IFERROR(INDEX(Movimientos!$G$5:$G$2001,MATCH(A442&amp;"ENTRADA",Movimientos!$R$5:$R$2001,0)),"-")</f>
        <v>-</v>
      </c>
      <c r="G442" s="3" t="str">
        <f>IFERROR(INDEX(Movimientos!$L$5:$L$2001,MATCH(A442&amp;"ENTRADA",Movimientos!$R$5:$R$2001,0)),"-")</f>
        <v>-</v>
      </c>
      <c r="H442" s="19" t="str">
        <f>IFERROR(IF(INDEX(Movimientos!$M$5:$M$2001,MATCH(A442&amp;"ENTRADA",Movimientos!$R$5:$R$2001,0))=0,"S/D",INDEX(Movimientos!$M$5:$M$2001,MATCH(A442&amp;"ENTRADA",Movimientos!$R$5:$R$2001,0))),"S/D")</f>
        <v>S/D</v>
      </c>
      <c r="I442" s="16" t="str">
        <f t="shared" ca="1" si="14"/>
        <v>S/D</v>
      </c>
      <c r="J442" s="6">
        <f>IF(A442="","",SUMIFS(Movimientos!$K:$K,Movimientos!$H:$H,A442))</f>
        <v>0</v>
      </c>
      <c r="K442" s="14" t="str">
        <f t="shared" ca="1" si="15"/>
        <v>OK</v>
      </c>
    </row>
    <row r="443" spans="1:11">
      <c r="A443" s="18" t="s">
        <v>2504</v>
      </c>
      <c r="B443" s="3" t="str">
        <f>IFERROR(INDEX(Movimientos!$C$5:$C$2001,MATCH(A443&amp;"ENTRADA",Movimientos!$R$5:$R$2001,0)),"-")</f>
        <v>-</v>
      </c>
      <c r="C443" s="3" t="str">
        <f>IFERROR(INDEX(Movimientos!$D$5:$D$2001,MATCH(A443&amp;"ENTRADA",Movimientos!$R$5:$R$2001,0)),"-")</f>
        <v>-</v>
      </c>
      <c r="D443" s="3" t="str">
        <f>IFERROR(INDEX(Movimientos!$E$5:$E$2001,MATCH(A443&amp;"ENTRADA",Movimientos!$R$5:$R$2001,0)),"-")</f>
        <v>-</v>
      </c>
      <c r="E443" s="3" t="str">
        <f>IFERROR(INDEX(Movimientos!$F$5:$F$2001,MATCH(A443&amp;"ENTRADA",Movimientos!$R$5:$R$2001,0)),"-")</f>
        <v>-</v>
      </c>
      <c r="F443" s="3" t="str">
        <f>IFERROR(INDEX(Movimientos!$G$5:$G$2001,MATCH(A443&amp;"ENTRADA",Movimientos!$R$5:$R$2001,0)),"-")</f>
        <v>-</v>
      </c>
      <c r="G443" s="3" t="str">
        <f>IFERROR(INDEX(Movimientos!$L$5:$L$2001,MATCH(A443&amp;"ENTRADA",Movimientos!$R$5:$R$2001,0)),"-")</f>
        <v>-</v>
      </c>
      <c r="H443" s="19" t="str">
        <f>IFERROR(IF(INDEX(Movimientos!$M$5:$M$2001,MATCH(A443&amp;"ENTRADA",Movimientos!$R$5:$R$2001,0))=0,"S/D",INDEX(Movimientos!$M$5:$M$2001,MATCH(A443&amp;"ENTRADA",Movimientos!$R$5:$R$2001,0))),"S/D")</f>
        <v>S/D</v>
      </c>
      <c r="I443" s="16" t="str">
        <f t="shared" ca="1" si="14"/>
        <v>S/D</v>
      </c>
      <c r="J443" s="6">
        <f>IF(A443="","",SUMIFS(Movimientos!$K:$K,Movimientos!$H:$H,A443))</f>
        <v>0</v>
      </c>
      <c r="K443" s="14" t="str">
        <f t="shared" ca="1" si="15"/>
        <v>OK</v>
      </c>
    </row>
    <row r="444" spans="1:11">
      <c r="A444" s="18" t="s">
        <v>2505</v>
      </c>
      <c r="B444" s="3" t="str">
        <f>IFERROR(INDEX(Movimientos!$C$5:$C$2001,MATCH(A444&amp;"ENTRADA",Movimientos!$R$5:$R$2001,0)),"-")</f>
        <v>-</v>
      </c>
      <c r="C444" s="3" t="str">
        <f>IFERROR(INDEX(Movimientos!$D$5:$D$2001,MATCH(A444&amp;"ENTRADA",Movimientos!$R$5:$R$2001,0)),"-")</f>
        <v>-</v>
      </c>
      <c r="D444" s="3" t="str">
        <f>IFERROR(INDEX(Movimientos!$E$5:$E$2001,MATCH(A444&amp;"ENTRADA",Movimientos!$R$5:$R$2001,0)),"-")</f>
        <v>-</v>
      </c>
      <c r="E444" s="3" t="str">
        <f>IFERROR(INDEX(Movimientos!$F$5:$F$2001,MATCH(A444&amp;"ENTRADA",Movimientos!$R$5:$R$2001,0)),"-")</f>
        <v>-</v>
      </c>
      <c r="F444" s="3" t="str">
        <f>IFERROR(INDEX(Movimientos!$G$5:$G$2001,MATCH(A444&amp;"ENTRADA",Movimientos!$R$5:$R$2001,0)),"-")</f>
        <v>-</v>
      </c>
      <c r="G444" s="3" t="str">
        <f>IFERROR(INDEX(Movimientos!$L$5:$L$2001,MATCH(A444&amp;"ENTRADA",Movimientos!$R$5:$R$2001,0)),"-")</f>
        <v>-</v>
      </c>
      <c r="H444" s="19" t="str">
        <f>IFERROR(IF(INDEX(Movimientos!$M$5:$M$2001,MATCH(A444&amp;"ENTRADA",Movimientos!$R$5:$R$2001,0))=0,"S/D",INDEX(Movimientos!$M$5:$M$2001,MATCH(A444&amp;"ENTRADA",Movimientos!$R$5:$R$2001,0))),"S/D")</f>
        <v>S/D</v>
      </c>
      <c r="I444" s="16" t="str">
        <f t="shared" ca="1" si="14"/>
        <v>S/D</v>
      </c>
      <c r="J444" s="6">
        <f>IF(A444="","",SUMIFS(Movimientos!$K:$K,Movimientos!$H:$H,A444))</f>
        <v>0</v>
      </c>
      <c r="K444" s="14" t="str">
        <f t="shared" ca="1" si="15"/>
        <v>OK</v>
      </c>
    </row>
    <row r="445" spans="1:11">
      <c r="A445" s="18" t="s">
        <v>2506</v>
      </c>
      <c r="B445" s="3" t="str">
        <f>IFERROR(INDEX(Movimientos!$C$5:$C$2001,MATCH(A445&amp;"ENTRADA",Movimientos!$R$5:$R$2001,0)),"-")</f>
        <v>-</v>
      </c>
      <c r="C445" s="3" t="str">
        <f>IFERROR(INDEX(Movimientos!$D$5:$D$2001,MATCH(A445&amp;"ENTRADA",Movimientos!$R$5:$R$2001,0)),"-")</f>
        <v>-</v>
      </c>
      <c r="D445" s="3" t="str">
        <f>IFERROR(INDEX(Movimientos!$E$5:$E$2001,MATCH(A445&amp;"ENTRADA",Movimientos!$R$5:$R$2001,0)),"-")</f>
        <v>-</v>
      </c>
      <c r="E445" s="3" t="str">
        <f>IFERROR(INDEX(Movimientos!$F$5:$F$2001,MATCH(A445&amp;"ENTRADA",Movimientos!$R$5:$R$2001,0)),"-")</f>
        <v>-</v>
      </c>
      <c r="F445" s="3" t="str">
        <f>IFERROR(INDEX(Movimientos!$G$5:$G$2001,MATCH(A445&amp;"ENTRADA",Movimientos!$R$5:$R$2001,0)),"-")</f>
        <v>-</v>
      </c>
      <c r="G445" s="3" t="str">
        <f>IFERROR(INDEX(Movimientos!$L$5:$L$2001,MATCH(A445&amp;"ENTRADA",Movimientos!$R$5:$R$2001,0)),"-")</f>
        <v>-</v>
      </c>
      <c r="H445" s="19" t="str">
        <f>IFERROR(IF(INDEX(Movimientos!$M$5:$M$2001,MATCH(A445&amp;"ENTRADA",Movimientos!$R$5:$R$2001,0))=0,"S/D",INDEX(Movimientos!$M$5:$M$2001,MATCH(A445&amp;"ENTRADA",Movimientos!$R$5:$R$2001,0))),"S/D")</f>
        <v>S/D</v>
      </c>
      <c r="I445" s="16" t="str">
        <f t="shared" ca="1" si="14"/>
        <v>S/D</v>
      </c>
      <c r="J445" s="6">
        <f>IF(A445="","",SUMIFS(Movimientos!$K:$K,Movimientos!$H:$H,A445))</f>
        <v>0</v>
      </c>
      <c r="K445" s="14" t="str">
        <f t="shared" ca="1" si="15"/>
        <v>OK</v>
      </c>
    </row>
    <row r="446" spans="1:11">
      <c r="A446" s="18" t="s">
        <v>2507</v>
      </c>
      <c r="B446" s="3" t="str">
        <f>IFERROR(INDEX(Movimientos!$C$5:$C$2001,MATCH(A446&amp;"ENTRADA",Movimientos!$R$5:$R$2001,0)),"-")</f>
        <v>-</v>
      </c>
      <c r="C446" s="3" t="str">
        <f>IFERROR(INDEX(Movimientos!$D$5:$D$2001,MATCH(A446&amp;"ENTRADA",Movimientos!$R$5:$R$2001,0)),"-")</f>
        <v>-</v>
      </c>
      <c r="D446" s="3" t="str">
        <f>IFERROR(INDEX(Movimientos!$E$5:$E$2001,MATCH(A446&amp;"ENTRADA",Movimientos!$R$5:$R$2001,0)),"-")</f>
        <v>-</v>
      </c>
      <c r="E446" s="3" t="str">
        <f>IFERROR(INDEX(Movimientos!$F$5:$F$2001,MATCH(A446&amp;"ENTRADA",Movimientos!$R$5:$R$2001,0)),"-")</f>
        <v>-</v>
      </c>
      <c r="F446" s="3" t="str">
        <f>IFERROR(INDEX(Movimientos!$G$5:$G$2001,MATCH(A446&amp;"ENTRADA",Movimientos!$R$5:$R$2001,0)),"-")</f>
        <v>-</v>
      </c>
      <c r="G446" s="3" t="str">
        <f>IFERROR(INDEX(Movimientos!$L$5:$L$2001,MATCH(A446&amp;"ENTRADA",Movimientos!$R$5:$R$2001,0)),"-")</f>
        <v>-</v>
      </c>
      <c r="H446" s="19" t="str">
        <f>IFERROR(IF(INDEX(Movimientos!$M$5:$M$2001,MATCH(A446&amp;"ENTRADA",Movimientos!$R$5:$R$2001,0))=0,"S/D",INDEX(Movimientos!$M$5:$M$2001,MATCH(A446&amp;"ENTRADA",Movimientos!$R$5:$R$2001,0))),"S/D")</f>
        <v>S/D</v>
      </c>
      <c r="I446" s="16" t="str">
        <f t="shared" ca="1" si="14"/>
        <v>S/D</v>
      </c>
      <c r="J446" s="6">
        <f>IF(A446="","",SUMIFS(Movimientos!$K:$K,Movimientos!$H:$H,A446))</f>
        <v>0</v>
      </c>
      <c r="K446" s="14" t="str">
        <f t="shared" ca="1" si="15"/>
        <v>OK</v>
      </c>
    </row>
    <row r="447" spans="1:11">
      <c r="A447" s="18" t="s">
        <v>2508</v>
      </c>
      <c r="B447" s="3" t="str">
        <f>IFERROR(INDEX(Movimientos!$C$5:$C$2001,MATCH(A447&amp;"ENTRADA",Movimientos!$R$5:$R$2001,0)),"-")</f>
        <v>-</v>
      </c>
      <c r="C447" s="3" t="str">
        <f>IFERROR(INDEX(Movimientos!$D$5:$D$2001,MATCH(A447&amp;"ENTRADA",Movimientos!$R$5:$R$2001,0)),"-")</f>
        <v>-</v>
      </c>
      <c r="D447" s="3" t="str">
        <f>IFERROR(INDEX(Movimientos!$E$5:$E$2001,MATCH(A447&amp;"ENTRADA",Movimientos!$R$5:$R$2001,0)),"-")</f>
        <v>-</v>
      </c>
      <c r="E447" s="3" t="str">
        <f>IFERROR(INDEX(Movimientos!$F$5:$F$2001,MATCH(A447&amp;"ENTRADA",Movimientos!$R$5:$R$2001,0)),"-")</f>
        <v>-</v>
      </c>
      <c r="F447" s="3" t="str">
        <f>IFERROR(INDEX(Movimientos!$G$5:$G$2001,MATCH(A447&amp;"ENTRADA",Movimientos!$R$5:$R$2001,0)),"-")</f>
        <v>-</v>
      </c>
      <c r="G447" s="3" t="str">
        <f>IFERROR(INDEX(Movimientos!$L$5:$L$2001,MATCH(A447&amp;"ENTRADA",Movimientos!$R$5:$R$2001,0)),"-")</f>
        <v>-</v>
      </c>
      <c r="H447" s="19" t="str">
        <f>IFERROR(IF(INDEX(Movimientos!$M$5:$M$2001,MATCH(A447&amp;"ENTRADA",Movimientos!$R$5:$R$2001,0))=0,"S/D",INDEX(Movimientos!$M$5:$M$2001,MATCH(A447&amp;"ENTRADA",Movimientos!$R$5:$R$2001,0))),"S/D")</f>
        <v>S/D</v>
      </c>
      <c r="I447" s="16" t="str">
        <f t="shared" ca="1" si="14"/>
        <v>S/D</v>
      </c>
      <c r="J447" s="6">
        <f>IF(A447="","",SUMIFS(Movimientos!$K:$K,Movimientos!$H:$H,A447))</f>
        <v>0</v>
      </c>
      <c r="K447" s="14" t="str">
        <f t="shared" ca="1" si="15"/>
        <v>OK</v>
      </c>
    </row>
    <row r="448" spans="1:11">
      <c r="A448" s="18" t="s">
        <v>2509</v>
      </c>
      <c r="B448" s="3" t="str">
        <f>IFERROR(INDEX(Movimientos!$C$5:$C$2001,MATCH(A448&amp;"ENTRADA",Movimientos!$R$5:$R$2001,0)),"-")</f>
        <v>-</v>
      </c>
      <c r="C448" s="3" t="str">
        <f>IFERROR(INDEX(Movimientos!$D$5:$D$2001,MATCH(A448&amp;"ENTRADA",Movimientos!$R$5:$R$2001,0)),"-")</f>
        <v>-</v>
      </c>
      <c r="D448" s="3" t="str">
        <f>IFERROR(INDEX(Movimientos!$E$5:$E$2001,MATCH(A448&amp;"ENTRADA",Movimientos!$R$5:$R$2001,0)),"-")</f>
        <v>-</v>
      </c>
      <c r="E448" s="3" t="str">
        <f>IFERROR(INDEX(Movimientos!$F$5:$F$2001,MATCH(A448&amp;"ENTRADA",Movimientos!$R$5:$R$2001,0)),"-")</f>
        <v>-</v>
      </c>
      <c r="F448" s="3" t="str">
        <f>IFERROR(INDEX(Movimientos!$G$5:$G$2001,MATCH(A448&amp;"ENTRADA",Movimientos!$R$5:$R$2001,0)),"-")</f>
        <v>-</v>
      </c>
      <c r="G448" s="3" t="str">
        <f>IFERROR(INDEX(Movimientos!$L$5:$L$2001,MATCH(A448&amp;"ENTRADA",Movimientos!$R$5:$R$2001,0)),"-")</f>
        <v>-</v>
      </c>
      <c r="H448" s="19" t="str">
        <f>IFERROR(IF(INDEX(Movimientos!$M$5:$M$2001,MATCH(A448&amp;"ENTRADA",Movimientos!$R$5:$R$2001,0))=0,"S/D",INDEX(Movimientos!$M$5:$M$2001,MATCH(A448&amp;"ENTRADA",Movimientos!$R$5:$R$2001,0))),"S/D")</f>
        <v>S/D</v>
      </c>
      <c r="I448" s="16" t="str">
        <f t="shared" ca="1" si="14"/>
        <v>S/D</v>
      </c>
      <c r="J448" s="6">
        <f>IF(A448="","",SUMIFS(Movimientos!$K:$K,Movimientos!$H:$H,A448))</f>
        <v>0</v>
      </c>
      <c r="K448" s="14" t="str">
        <f t="shared" ca="1" si="15"/>
        <v>OK</v>
      </c>
    </row>
    <row r="449" spans="1:11">
      <c r="A449" s="18" t="s">
        <v>2510</v>
      </c>
      <c r="B449" s="3" t="str">
        <f>IFERROR(INDEX(Movimientos!$C$5:$C$2001,MATCH(A449&amp;"ENTRADA",Movimientos!$R$5:$R$2001,0)),"-")</f>
        <v>-</v>
      </c>
      <c r="C449" s="3" t="str">
        <f>IFERROR(INDEX(Movimientos!$D$5:$D$2001,MATCH(A449&amp;"ENTRADA",Movimientos!$R$5:$R$2001,0)),"-")</f>
        <v>-</v>
      </c>
      <c r="D449" s="3" t="str">
        <f>IFERROR(INDEX(Movimientos!$E$5:$E$2001,MATCH(A449&amp;"ENTRADA",Movimientos!$R$5:$R$2001,0)),"-")</f>
        <v>-</v>
      </c>
      <c r="E449" s="3" t="str">
        <f>IFERROR(INDEX(Movimientos!$F$5:$F$2001,MATCH(A449&amp;"ENTRADA",Movimientos!$R$5:$R$2001,0)),"-")</f>
        <v>-</v>
      </c>
      <c r="F449" s="3" t="str">
        <f>IFERROR(INDEX(Movimientos!$G$5:$G$2001,MATCH(A449&amp;"ENTRADA",Movimientos!$R$5:$R$2001,0)),"-")</f>
        <v>-</v>
      </c>
      <c r="G449" s="3" t="str">
        <f>IFERROR(INDEX(Movimientos!$L$5:$L$2001,MATCH(A449&amp;"ENTRADA",Movimientos!$R$5:$R$2001,0)),"-")</f>
        <v>-</v>
      </c>
      <c r="H449" s="19" t="str">
        <f>IFERROR(IF(INDEX(Movimientos!$M$5:$M$2001,MATCH(A449&amp;"ENTRADA",Movimientos!$R$5:$R$2001,0))=0,"S/D",INDEX(Movimientos!$M$5:$M$2001,MATCH(A449&amp;"ENTRADA",Movimientos!$R$5:$R$2001,0))),"S/D")</f>
        <v>S/D</v>
      </c>
      <c r="I449" s="16" t="str">
        <f t="shared" ca="1" si="14"/>
        <v>S/D</v>
      </c>
      <c r="J449" s="6">
        <f>IF(A449="","",SUMIFS(Movimientos!$K:$K,Movimientos!$H:$H,A449))</f>
        <v>0</v>
      </c>
      <c r="K449" s="14" t="str">
        <f t="shared" ca="1" si="15"/>
        <v>OK</v>
      </c>
    </row>
    <row r="450" spans="1:11">
      <c r="A450" s="18" t="s">
        <v>2511</v>
      </c>
      <c r="B450" s="3" t="str">
        <f>IFERROR(INDEX(Movimientos!$C$5:$C$2001,MATCH(A450&amp;"ENTRADA",Movimientos!$R$5:$R$2001,0)),"-")</f>
        <v>-</v>
      </c>
      <c r="C450" s="3" t="str">
        <f>IFERROR(INDEX(Movimientos!$D$5:$D$2001,MATCH(A450&amp;"ENTRADA",Movimientos!$R$5:$R$2001,0)),"-")</f>
        <v>-</v>
      </c>
      <c r="D450" s="3" t="str">
        <f>IFERROR(INDEX(Movimientos!$E$5:$E$2001,MATCH(A450&amp;"ENTRADA",Movimientos!$R$5:$R$2001,0)),"-")</f>
        <v>-</v>
      </c>
      <c r="E450" s="3" t="str">
        <f>IFERROR(INDEX(Movimientos!$F$5:$F$2001,MATCH(A450&amp;"ENTRADA",Movimientos!$R$5:$R$2001,0)),"-")</f>
        <v>-</v>
      </c>
      <c r="F450" s="3" t="str">
        <f>IFERROR(INDEX(Movimientos!$G$5:$G$2001,MATCH(A450&amp;"ENTRADA",Movimientos!$R$5:$R$2001,0)),"-")</f>
        <v>-</v>
      </c>
      <c r="G450" s="3" t="str">
        <f>IFERROR(INDEX(Movimientos!$L$5:$L$2001,MATCH(A450&amp;"ENTRADA",Movimientos!$R$5:$R$2001,0)),"-")</f>
        <v>-</v>
      </c>
      <c r="H450" s="19" t="str">
        <f>IFERROR(IF(INDEX(Movimientos!$M$5:$M$2001,MATCH(A450&amp;"ENTRADA",Movimientos!$R$5:$R$2001,0))=0,"S/D",INDEX(Movimientos!$M$5:$M$2001,MATCH(A450&amp;"ENTRADA",Movimientos!$R$5:$R$2001,0))),"S/D")</f>
        <v>S/D</v>
      </c>
      <c r="I450" s="16" t="str">
        <f t="shared" ca="1" si="14"/>
        <v>S/D</v>
      </c>
      <c r="J450" s="6">
        <f>IF(A450="","",SUMIFS(Movimientos!$K:$K,Movimientos!$H:$H,A450))</f>
        <v>0</v>
      </c>
      <c r="K450" s="14" t="str">
        <f t="shared" ca="1" si="15"/>
        <v>OK</v>
      </c>
    </row>
    <row r="451" spans="1:11">
      <c r="A451" s="18" t="s">
        <v>2512</v>
      </c>
      <c r="B451" s="3" t="str">
        <f>IFERROR(INDEX(Movimientos!$C$5:$C$2001,MATCH(A451&amp;"ENTRADA",Movimientos!$R$5:$R$2001,0)),"-")</f>
        <v>-</v>
      </c>
      <c r="C451" s="3" t="str">
        <f>IFERROR(INDEX(Movimientos!$D$5:$D$2001,MATCH(A451&amp;"ENTRADA",Movimientos!$R$5:$R$2001,0)),"-")</f>
        <v>-</v>
      </c>
      <c r="D451" s="3" t="str">
        <f>IFERROR(INDEX(Movimientos!$E$5:$E$2001,MATCH(A451&amp;"ENTRADA",Movimientos!$R$5:$R$2001,0)),"-")</f>
        <v>-</v>
      </c>
      <c r="E451" s="3" t="str">
        <f>IFERROR(INDEX(Movimientos!$F$5:$F$2001,MATCH(A451&amp;"ENTRADA",Movimientos!$R$5:$R$2001,0)),"-")</f>
        <v>-</v>
      </c>
      <c r="F451" s="3" t="str">
        <f>IFERROR(INDEX(Movimientos!$G$5:$G$2001,MATCH(A451&amp;"ENTRADA",Movimientos!$R$5:$R$2001,0)),"-")</f>
        <v>-</v>
      </c>
      <c r="G451" s="3" t="str">
        <f>IFERROR(INDEX(Movimientos!$L$5:$L$2001,MATCH(A451&amp;"ENTRADA",Movimientos!$R$5:$R$2001,0)),"-")</f>
        <v>-</v>
      </c>
      <c r="H451" s="19" t="str">
        <f>IFERROR(IF(INDEX(Movimientos!$M$5:$M$2001,MATCH(A451&amp;"ENTRADA",Movimientos!$R$5:$R$2001,0))=0,"S/D",INDEX(Movimientos!$M$5:$M$2001,MATCH(A451&amp;"ENTRADA",Movimientos!$R$5:$R$2001,0))),"S/D")</f>
        <v>S/D</v>
      </c>
      <c r="I451" s="16" t="str">
        <f t="shared" ca="1" si="14"/>
        <v>S/D</v>
      </c>
      <c r="J451" s="6">
        <f>IF(A451="","",SUMIFS(Movimientos!$K:$K,Movimientos!$H:$H,A451))</f>
        <v>0</v>
      </c>
      <c r="K451" s="14" t="str">
        <f t="shared" ca="1" si="15"/>
        <v>OK</v>
      </c>
    </row>
    <row r="452" spans="1:11">
      <c r="A452" s="18" t="s">
        <v>2513</v>
      </c>
      <c r="B452" s="3" t="str">
        <f>IFERROR(INDEX(Movimientos!$C$5:$C$2001,MATCH(A452&amp;"ENTRADA",Movimientos!$R$5:$R$2001,0)),"-")</f>
        <v>-</v>
      </c>
      <c r="C452" s="3" t="str">
        <f>IFERROR(INDEX(Movimientos!$D$5:$D$2001,MATCH(A452&amp;"ENTRADA",Movimientos!$R$5:$R$2001,0)),"-")</f>
        <v>-</v>
      </c>
      <c r="D452" s="3" t="str">
        <f>IFERROR(INDEX(Movimientos!$E$5:$E$2001,MATCH(A452&amp;"ENTRADA",Movimientos!$R$5:$R$2001,0)),"-")</f>
        <v>-</v>
      </c>
      <c r="E452" s="3" t="str">
        <f>IFERROR(INDEX(Movimientos!$F$5:$F$2001,MATCH(A452&amp;"ENTRADA",Movimientos!$R$5:$R$2001,0)),"-")</f>
        <v>-</v>
      </c>
      <c r="F452" s="3" t="str">
        <f>IFERROR(INDEX(Movimientos!$G$5:$G$2001,MATCH(A452&amp;"ENTRADA",Movimientos!$R$5:$R$2001,0)),"-")</f>
        <v>-</v>
      </c>
      <c r="G452" s="3" t="str">
        <f>IFERROR(INDEX(Movimientos!$L$5:$L$2001,MATCH(A452&amp;"ENTRADA",Movimientos!$R$5:$R$2001,0)),"-")</f>
        <v>-</v>
      </c>
      <c r="H452" s="19" t="str">
        <f>IFERROR(IF(INDEX(Movimientos!$M$5:$M$2001,MATCH(A452&amp;"ENTRADA",Movimientos!$R$5:$R$2001,0))=0,"S/D",INDEX(Movimientos!$M$5:$M$2001,MATCH(A452&amp;"ENTRADA",Movimientos!$R$5:$R$2001,0))),"S/D")</f>
        <v>S/D</v>
      </c>
      <c r="I452" s="16" t="str">
        <f t="shared" ca="1" si="14"/>
        <v>S/D</v>
      </c>
      <c r="J452" s="6">
        <f>IF(A452="","",SUMIFS(Movimientos!$K:$K,Movimientos!$H:$H,A452))</f>
        <v>0</v>
      </c>
      <c r="K452" s="14" t="str">
        <f t="shared" ca="1" si="15"/>
        <v>OK</v>
      </c>
    </row>
    <row r="453" spans="1:11">
      <c r="A453" s="18" t="s">
        <v>2514</v>
      </c>
      <c r="B453" s="3" t="str">
        <f>IFERROR(INDEX(Movimientos!$C$5:$C$2001,MATCH(A453&amp;"ENTRADA",Movimientos!$R$5:$R$2001,0)),"-")</f>
        <v>-</v>
      </c>
      <c r="C453" s="3" t="str">
        <f>IFERROR(INDEX(Movimientos!$D$5:$D$2001,MATCH(A453&amp;"ENTRADA",Movimientos!$R$5:$R$2001,0)),"-")</f>
        <v>-</v>
      </c>
      <c r="D453" s="3" t="str">
        <f>IFERROR(INDEX(Movimientos!$E$5:$E$2001,MATCH(A453&amp;"ENTRADA",Movimientos!$R$5:$R$2001,0)),"-")</f>
        <v>-</v>
      </c>
      <c r="E453" s="3" t="str">
        <f>IFERROR(INDEX(Movimientos!$F$5:$F$2001,MATCH(A453&amp;"ENTRADA",Movimientos!$R$5:$R$2001,0)),"-")</f>
        <v>-</v>
      </c>
      <c r="F453" s="3" t="str">
        <f>IFERROR(INDEX(Movimientos!$G$5:$G$2001,MATCH(A453&amp;"ENTRADA",Movimientos!$R$5:$R$2001,0)),"-")</f>
        <v>-</v>
      </c>
      <c r="G453" s="3" t="str">
        <f>IFERROR(INDEX(Movimientos!$L$5:$L$2001,MATCH(A453&amp;"ENTRADA",Movimientos!$R$5:$R$2001,0)),"-")</f>
        <v>-</v>
      </c>
      <c r="H453" s="19" t="str">
        <f>IFERROR(IF(INDEX(Movimientos!$M$5:$M$2001,MATCH(A453&amp;"ENTRADA",Movimientos!$R$5:$R$2001,0))=0,"S/D",INDEX(Movimientos!$M$5:$M$2001,MATCH(A453&amp;"ENTRADA",Movimientos!$R$5:$R$2001,0))),"S/D")</f>
        <v>S/D</v>
      </c>
      <c r="I453" s="16" t="str">
        <f t="shared" ca="1" si="14"/>
        <v>S/D</v>
      </c>
      <c r="J453" s="6">
        <f>IF(A453="","",SUMIFS(Movimientos!$K:$K,Movimientos!$H:$H,A453))</f>
        <v>0</v>
      </c>
      <c r="K453" s="14" t="str">
        <f t="shared" ca="1" si="15"/>
        <v>OK</v>
      </c>
    </row>
    <row r="454" spans="1:11">
      <c r="A454" s="18" t="s">
        <v>2515</v>
      </c>
      <c r="B454" s="3" t="str">
        <f>IFERROR(INDEX(Movimientos!$C$5:$C$2001,MATCH(A454&amp;"ENTRADA",Movimientos!$R$5:$R$2001,0)),"-")</f>
        <v>-</v>
      </c>
      <c r="C454" s="3" t="str">
        <f>IFERROR(INDEX(Movimientos!$D$5:$D$2001,MATCH(A454&amp;"ENTRADA",Movimientos!$R$5:$R$2001,0)),"-")</f>
        <v>-</v>
      </c>
      <c r="D454" s="3" t="str">
        <f>IFERROR(INDEX(Movimientos!$E$5:$E$2001,MATCH(A454&amp;"ENTRADA",Movimientos!$R$5:$R$2001,0)),"-")</f>
        <v>-</v>
      </c>
      <c r="E454" s="3" t="str">
        <f>IFERROR(INDEX(Movimientos!$F$5:$F$2001,MATCH(A454&amp;"ENTRADA",Movimientos!$R$5:$R$2001,0)),"-")</f>
        <v>-</v>
      </c>
      <c r="F454" s="3" t="str">
        <f>IFERROR(INDEX(Movimientos!$G$5:$G$2001,MATCH(A454&amp;"ENTRADA",Movimientos!$R$5:$R$2001,0)),"-")</f>
        <v>-</v>
      </c>
      <c r="G454" s="3" t="str">
        <f>IFERROR(INDEX(Movimientos!$L$5:$L$2001,MATCH(A454&amp;"ENTRADA",Movimientos!$R$5:$R$2001,0)),"-")</f>
        <v>-</v>
      </c>
      <c r="H454" s="19" t="str">
        <f>IFERROR(IF(INDEX(Movimientos!$M$5:$M$2001,MATCH(A454&amp;"ENTRADA",Movimientos!$R$5:$R$2001,0))=0,"S/D",INDEX(Movimientos!$M$5:$M$2001,MATCH(A454&amp;"ENTRADA",Movimientos!$R$5:$R$2001,0))),"S/D")</f>
        <v>S/D</v>
      </c>
      <c r="I454" s="16" t="str">
        <f t="shared" ca="1" si="14"/>
        <v>S/D</v>
      </c>
      <c r="J454" s="6">
        <f>IF(A454="","",SUMIFS(Movimientos!$K:$K,Movimientos!$H:$H,A454))</f>
        <v>0</v>
      </c>
      <c r="K454" s="14" t="str">
        <f t="shared" ca="1" si="15"/>
        <v>OK</v>
      </c>
    </row>
    <row r="455" spans="1:11">
      <c r="A455" s="18" t="s">
        <v>2516</v>
      </c>
      <c r="B455" s="3" t="str">
        <f>IFERROR(INDEX(Movimientos!$C$5:$C$2001,MATCH(A455&amp;"ENTRADA",Movimientos!$R$5:$R$2001,0)),"-")</f>
        <v>-</v>
      </c>
      <c r="C455" s="3" t="str">
        <f>IFERROR(INDEX(Movimientos!$D$5:$D$2001,MATCH(A455&amp;"ENTRADA",Movimientos!$R$5:$R$2001,0)),"-")</f>
        <v>-</v>
      </c>
      <c r="D455" s="3" t="str">
        <f>IFERROR(INDEX(Movimientos!$E$5:$E$2001,MATCH(A455&amp;"ENTRADA",Movimientos!$R$5:$R$2001,0)),"-")</f>
        <v>-</v>
      </c>
      <c r="E455" s="3" t="str">
        <f>IFERROR(INDEX(Movimientos!$F$5:$F$2001,MATCH(A455&amp;"ENTRADA",Movimientos!$R$5:$R$2001,0)),"-")</f>
        <v>-</v>
      </c>
      <c r="F455" s="3" t="str">
        <f>IFERROR(INDEX(Movimientos!$G$5:$G$2001,MATCH(A455&amp;"ENTRADA",Movimientos!$R$5:$R$2001,0)),"-")</f>
        <v>-</v>
      </c>
      <c r="G455" s="3" t="str">
        <f>IFERROR(INDEX(Movimientos!$L$5:$L$2001,MATCH(A455&amp;"ENTRADA",Movimientos!$R$5:$R$2001,0)),"-")</f>
        <v>-</v>
      </c>
      <c r="H455" s="19" t="str">
        <f>IFERROR(IF(INDEX(Movimientos!$M$5:$M$2001,MATCH(A455&amp;"ENTRADA",Movimientos!$R$5:$R$2001,0))=0,"S/D",INDEX(Movimientos!$M$5:$M$2001,MATCH(A455&amp;"ENTRADA",Movimientos!$R$5:$R$2001,0))),"S/D")</f>
        <v>S/D</v>
      </c>
      <c r="I455" s="16" t="str">
        <f t="shared" ca="1" si="14"/>
        <v>S/D</v>
      </c>
      <c r="J455" s="6">
        <f>IF(A455="","",SUMIFS(Movimientos!$K:$K,Movimientos!$H:$H,A455))</f>
        <v>0</v>
      </c>
      <c r="K455" s="14" t="str">
        <f t="shared" ca="1" si="15"/>
        <v>OK</v>
      </c>
    </row>
    <row r="456" spans="1:11">
      <c r="A456" s="18" t="s">
        <v>2517</v>
      </c>
      <c r="B456" s="3" t="str">
        <f>IFERROR(INDEX(Movimientos!$C$5:$C$2001,MATCH(A456&amp;"ENTRADA",Movimientos!$R$5:$R$2001,0)),"-")</f>
        <v>-</v>
      </c>
      <c r="C456" s="3" t="str">
        <f>IFERROR(INDEX(Movimientos!$D$5:$D$2001,MATCH(A456&amp;"ENTRADA",Movimientos!$R$5:$R$2001,0)),"-")</f>
        <v>-</v>
      </c>
      <c r="D456" s="3" t="str">
        <f>IFERROR(INDEX(Movimientos!$E$5:$E$2001,MATCH(A456&amp;"ENTRADA",Movimientos!$R$5:$R$2001,0)),"-")</f>
        <v>-</v>
      </c>
      <c r="E456" s="3" t="str">
        <f>IFERROR(INDEX(Movimientos!$F$5:$F$2001,MATCH(A456&amp;"ENTRADA",Movimientos!$R$5:$R$2001,0)),"-")</f>
        <v>-</v>
      </c>
      <c r="F456" s="3" t="str">
        <f>IFERROR(INDEX(Movimientos!$G$5:$G$2001,MATCH(A456&amp;"ENTRADA",Movimientos!$R$5:$R$2001,0)),"-")</f>
        <v>-</v>
      </c>
      <c r="G456" s="3" t="str">
        <f>IFERROR(INDEX(Movimientos!$L$5:$L$2001,MATCH(A456&amp;"ENTRADA",Movimientos!$R$5:$R$2001,0)),"-")</f>
        <v>-</v>
      </c>
      <c r="H456" s="19" t="str">
        <f>IFERROR(IF(INDEX(Movimientos!$M$5:$M$2001,MATCH(A456&amp;"ENTRADA",Movimientos!$R$5:$R$2001,0))=0,"S/D",INDEX(Movimientos!$M$5:$M$2001,MATCH(A456&amp;"ENTRADA",Movimientos!$R$5:$R$2001,0))),"S/D")</f>
        <v>S/D</v>
      </c>
      <c r="I456" s="16" t="str">
        <f t="shared" ca="1" si="14"/>
        <v>S/D</v>
      </c>
      <c r="J456" s="6">
        <f>IF(A456="","",SUMIFS(Movimientos!$K:$K,Movimientos!$H:$H,A456))</f>
        <v>0</v>
      </c>
      <c r="K456" s="14" t="str">
        <f t="shared" ca="1" si="15"/>
        <v>OK</v>
      </c>
    </row>
    <row r="457" spans="1:11">
      <c r="A457" s="18" t="s">
        <v>2518</v>
      </c>
      <c r="B457" s="3" t="str">
        <f>IFERROR(INDEX(Movimientos!$C$5:$C$2001,MATCH(A457&amp;"ENTRADA",Movimientos!$R$5:$R$2001,0)),"-")</f>
        <v>-</v>
      </c>
      <c r="C457" s="3" t="str">
        <f>IFERROR(INDEX(Movimientos!$D$5:$D$2001,MATCH(A457&amp;"ENTRADA",Movimientos!$R$5:$R$2001,0)),"-")</f>
        <v>-</v>
      </c>
      <c r="D457" s="3" t="str">
        <f>IFERROR(INDEX(Movimientos!$E$5:$E$2001,MATCH(A457&amp;"ENTRADA",Movimientos!$R$5:$R$2001,0)),"-")</f>
        <v>-</v>
      </c>
      <c r="E457" s="3" t="str">
        <f>IFERROR(INDEX(Movimientos!$F$5:$F$2001,MATCH(A457&amp;"ENTRADA",Movimientos!$R$5:$R$2001,0)),"-")</f>
        <v>-</v>
      </c>
      <c r="F457" s="3" t="str">
        <f>IFERROR(INDEX(Movimientos!$G$5:$G$2001,MATCH(A457&amp;"ENTRADA",Movimientos!$R$5:$R$2001,0)),"-")</f>
        <v>-</v>
      </c>
      <c r="G457" s="3" t="str">
        <f>IFERROR(INDEX(Movimientos!$L$5:$L$2001,MATCH(A457&amp;"ENTRADA",Movimientos!$R$5:$R$2001,0)),"-")</f>
        <v>-</v>
      </c>
      <c r="H457" s="19" t="str">
        <f>IFERROR(IF(INDEX(Movimientos!$M$5:$M$2001,MATCH(A457&amp;"ENTRADA",Movimientos!$R$5:$R$2001,0))=0,"S/D",INDEX(Movimientos!$M$5:$M$2001,MATCH(A457&amp;"ENTRADA",Movimientos!$R$5:$R$2001,0))),"S/D")</f>
        <v>S/D</v>
      </c>
      <c r="I457" s="16" t="str">
        <f t="shared" ca="1" si="14"/>
        <v>S/D</v>
      </c>
      <c r="J457" s="6">
        <f>IF(A457="","",SUMIFS(Movimientos!$K:$K,Movimientos!$H:$H,A457))</f>
        <v>0</v>
      </c>
      <c r="K457" s="14" t="str">
        <f t="shared" ca="1" si="15"/>
        <v>OK</v>
      </c>
    </row>
    <row r="458" spans="1:11">
      <c r="A458" s="18" t="s">
        <v>2519</v>
      </c>
      <c r="B458" s="3" t="str">
        <f>IFERROR(INDEX(Movimientos!$C$5:$C$2001,MATCH(A458&amp;"ENTRADA",Movimientos!$R$5:$R$2001,0)),"-")</f>
        <v>-</v>
      </c>
      <c r="C458" s="3" t="str">
        <f>IFERROR(INDEX(Movimientos!$D$5:$D$2001,MATCH(A458&amp;"ENTRADA",Movimientos!$R$5:$R$2001,0)),"-")</f>
        <v>-</v>
      </c>
      <c r="D458" s="3" t="str">
        <f>IFERROR(INDEX(Movimientos!$E$5:$E$2001,MATCH(A458&amp;"ENTRADA",Movimientos!$R$5:$R$2001,0)),"-")</f>
        <v>-</v>
      </c>
      <c r="E458" s="3" t="str">
        <f>IFERROR(INDEX(Movimientos!$F$5:$F$2001,MATCH(A458&amp;"ENTRADA",Movimientos!$R$5:$R$2001,0)),"-")</f>
        <v>-</v>
      </c>
      <c r="F458" s="3" t="str">
        <f>IFERROR(INDEX(Movimientos!$G$5:$G$2001,MATCH(A458&amp;"ENTRADA",Movimientos!$R$5:$R$2001,0)),"-")</f>
        <v>-</v>
      </c>
      <c r="G458" s="3" t="str">
        <f>IFERROR(INDEX(Movimientos!$L$5:$L$2001,MATCH(A458&amp;"ENTRADA",Movimientos!$R$5:$R$2001,0)),"-")</f>
        <v>-</v>
      </c>
      <c r="H458" s="19" t="str">
        <f>IFERROR(IF(INDEX(Movimientos!$M$5:$M$2001,MATCH(A458&amp;"ENTRADA",Movimientos!$R$5:$R$2001,0))=0,"S/D",INDEX(Movimientos!$M$5:$M$2001,MATCH(A458&amp;"ENTRADA",Movimientos!$R$5:$R$2001,0))),"S/D")</f>
        <v>S/D</v>
      </c>
      <c r="I458" s="16" t="str">
        <f t="shared" ca="1" si="14"/>
        <v>S/D</v>
      </c>
      <c r="J458" s="6">
        <f>IF(A458="","",SUMIFS(Movimientos!$K:$K,Movimientos!$H:$H,A458))</f>
        <v>0</v>
      </c>
      <c r="K458" s="14" t="str">
        <f t="shared" ca="1" si="15"/>
        <v>OK</v>
      </c>
    </row>
    <row r="459" spans="1:11">
      <c r="A459" s="18" t="s">
        <v>2520</v>
      </c>
      <c r="B459" s="3" t="str">
        <f>IFERROR(INDEX(Movimientos!$C$5:$C$2001,MATCH(A459&amp;"ENTRADA",Movimientos!$R$5:$R$2001,0)),"-")</f>
        <v>-</v>
      </c>
      <c r="C459" s="3" t="str">
        <f>IFERROR(INDEX(Movimientos!$D$5:$D$2001,MATCH(A459&amp;"ENTRADA",Movimientos!$R$5:$R$2001,0)),"-")</f>
        <v>-</v>
      </c>
      <c r="D459" s="3" t="str">
        <f>IFERROR(INDEX(Movimientos!$E$5:$E$2001,MATCH(A459&amp;"ENTRADA",Movimientos!$R$5:$R$2001,0)),"-")</f>
        <v>-</v>
      </c>
      <c r="E459" s="3" t="str">
        <f>IFERROR(INDEX(Movimientos!$F$5:$F$2001,MATCH(A459&amp;"ENTRADA",Movimientos!$R$5:$R$2001,0)),"-")</f>
        <v>-</v>
      </c>
      <c r="F459" s="3" t="str">
        <f>IFERROR(INDEX(Movimientos!$G$5:$G$2001,MATCH(A459&amp;"ENTRADA",Movimientos!$R$5:$R$2001,0)),"-")</f>
        <v>-</v>
      </c>
      <c r="G459" s="3" t="str">
        <f>IFERROR(INDEX(Movimientos!$L$5:$L$2001,MATCH(A459&amp;"ENTRADA",Movimientos!$R$5:$R$2001,0)),"-")</f>
        <v>-</v>
      </c>
      <c r="H459" s="19" t="str">
        <f>IFERROR(IF(INDEX(Movimientos!$M$5:$M$2001,MATCH(A459&amp;"ENTRADA",Movimientos!$R$5:$R$2001,0))=0,"S/D",INDEX(Movimientos!$M$5:$M$2001,MATCH(A459&amp;"ENTRADA",Movimientos!$R$5:$R$2001,0))),"S/D")</f>
        <v>S/D</v>
      </c>
      <c r="I459" s="16" t="str">
        <f t="shared" ref="I459:I522" ca="1" si="16">IF(OR(A459="",H459="S/D"),"S/D",H459-TODAY())</f>
        <v>S/D</v>
      </c>
      <c r="J459" s="6">
        <f>IF(A459="","",SUMIFS(Movimientos!$K:$K,Movimientos!$H:$H,A459))</f>
        <v>0</v>
      </c>
      <c r="K459" s="14" t="str">
        <f t="shared" ref="K459:K522" ca="1" si="17">IF(A459="","",IF(H459="S/D","OK",IF(H459&lt;TODAY(),"VENCIDO",IF(J459&lt;=0,"SIN STOCK",IF(I459&gt;=180,"OK","PRÓXIMO A VENCER")))))</f>
        <v>OK</v>
      </c>
    </row>
    <row r="460" spans="1:11">
      <c r="A460" s="18" t="s">
        <v>2521</v>
      </c>
      <c r="B460" s="3" t="str">
        <f>IFERROR(INDEX(Movimientos!$C$5:$C$2001,MATCH(A460&amp;"ENTRADA",Movimientos!$R$5:$R$2001,0)),"-")</f>
        <v>-</v>
      </c>
      <c r="C460" s="3" t="str">
        <f>IFERROR(INDEX(Movimientos!$D$5:$D$2001,MATCH(A460&amp;"ENTRADA",Movimientos!$R$5:$R$2001,0)),"-")</f>
        <v>-</v>
      </c>
      <c r="D460" s="3" t="str">
        <f>IFERROR(INDEX(Movimientos!$E$5:$E$2001,MATCH(A460&amp;"ENTRADA",Movimientos!$R$5:$R$2001,0)),"-")</f>
        <v>-</v>
      </c>
      <c r="E460" s="3" t="str">
        <f>IFERROR(INDEX(Movimientos!$F$5:$F$2001,MATCH(A460&amp;"ENTRADA",Movimientos!$R$5:$R$2001,0)),"-")</f>
        <v>-</v>
      </c>
      <c r="F460" s="3" t="str">
        <f>IFERROR(INDEX(Movimientos!$G$5:$G$2001,MATCH(A460&amp;"ENTRADA",Movimientos!$R$5:$R$2001,0)),"-")</f>
        <v>-</v>
      </c>
      <c r="G460" s="3" t="str">
        <f>IFERROR(INDEX(Movimientos!$L$5:$L$2001,MATCH(A460&amp;"ENTRADA",Movimientos!$R$5:$R$2001,0)),"-")</f>
        <v>-</v>
      </c>
      <c r="H460" s="19" t="str">
        <f>IFERROR(IF(INDEX(Movimientos!$M$5:$M$2001,MATCH(A460&amp;"ENTRADA",Movimientos!$R$5:$R$2001,0))=0,"S/D",INDEX(Movimientos!$M$5:$M$2001,MATCH(A460&amp;"ENTRADA",Movimientos!$R$5:$R$2001,0))),"S/D")</f>
        <v>S/D</v>
      </c>
      <c r="I460" s="16" t="str">
        <f t="shared" ca="1" si="16"/>
        <v>S/D</v>
      </c>
      <c r="J460" s="6">
        <f>IF(A460="","",SUMIFS(Movimientos!$K:$K,Movimientos!$H:$H,A460))</f>
        <v>0</v>
      </c>
      <c r="K460" s="14" t="str">
        <f t="shared" ca="1" si="17"/>
        <v>OK</v>
      </c>
    </row>
    <row r="461" spans="1:11">
      <c r="A461" s="18" t="s">
        <v>2522</v>
      </c>
      <c r="B461" s="3" t="str">
        <f>IFERROR(INDEX(Movimientos!$C$5:$C$2001,MATCH(A461&amp;"ENTRADA",Movimientos!$R$5:$R$2001,0)),"-")</f>
        <v>-</v>
      </c>
      <c r="C461" s="3" t="str">
        <f>IFERROR(INDEX(Movimientos!$D$5:$D$2001,MATCH(A461&amp;"ENTRADA",Movimientos!$R$5:$R$2001,0)),"-")</f>
        <v>-</v>
      </c>
      <c r="D461" s="3" t="str">
        <f>IFERROR(INDEX(Movimientos!$E$5:$E$2001,MATCH(A461&amp;"ENTRADA",Movimientos!$R$5:$R$2001,0)),"-")</f>
        <v>-</v>
      </c>
      <c r="E461" s="3" t="str">
        <f>IFERROR(INDEX(Movimientos!$F$5:$F$2001,MATCH(A461&amp;"ENTRADA",Movimientos!$R$5:$R$2001,0)),"-")</f>
        <v>-</v>
      </c>
      <c r="F461" s="3" t="str">
        <f>IFERROR(INDEX(Movimientos!$G$5:$G$2001,MATCH(A461&amp;"ENTRADA",Movimientos!$R$5:$R$2001,0)),"-")</f>
        <v>-</v>
      </c>
      <c r="G461" s="3" t="str">
        <f>IFERROR(INDEX(Movimientos!$L$5:$L$2001,MATCH(A461&amp;"ENTRADA",Movimientos!$R$5:$R$2001,0)),"-")</f>
        <v>-</v>
      </c>
      <c r="H461" s="19" t="str">
        <f>IFERROR(IF(INDEX(Movimientos!$M$5:$M$2001,MATCH(A461&amp;"ENTRADA",Movimientos!$R$5:$R$2001,0))=0,"S/D",INDEX(Movimientos!$M$5:$M$2001,MATCH(A461&amp;"ENTRADA",Movimientos!$R$5:$R$2001,0))),"S/D")</f>
        <v>S/D</v>
      </c>
      <c r="I461" s="16" t="str">
        <f t="shared" ca="1" si="16"/>
        <v>S/D</v>
      </c>
      <c r="J461" s="6">
        <f>IF(A461="","",SUMIFS(Movimientos!$K:$K,Movimientos!$H:$H,A461))</f>
        <v>0</v>
      </c>
      <c r="K461" s="14" t="str">
        <f t="shared" ca="1" si="17"/>
        <v>OK</v>
      </c>
    </row>
    <row r="462" spans="1:11">
      <c r="A462" s="18" t="s">
        <v>2523</v>
      </c>
      <c r="B462" s="3" t="str">
        <f>IFERROR(INDEX(Movimientos!$C$5:$C$2001,MATCH(A462&amp;"ENTRADA",Movimientos!$R$5:$R$2001,0)),"-")</f>
        <v>-</v>
      </c>
      <c r="C462" s="3" t="str">
        <f>IFERROR(INDEX(Movimientos!$D$5:$D$2001,MATCH(A462&amp;"ENTRADA",Movimientos!$R$5:$R$2001,0)),"-")</f>
        <v>-</v>
      </c>
      <c r="D462" s="3" t="str">
        <f>IFERROR(INDEX(Movimientos!$E$5:$E$2001,MATCH(A462&amp;"ENTRADA",Movimientos!$R$5:$R$2001,0)),"-")</f>
        <v>-</v>
      </c>
      <c r="E462" s="3" t="str">
        <f>IFERROR(INDEX(Movimientos!$F$5:$F$2001,MATCH(A462&amp;"ENTRADA",Movimientos!$R$5:$R$2001,0)),"-")</f>
        <v>-</v>
      </c>
      <c r="F462" s="3" t="str">
        <f>IFERROR(INDEX(Movimientos!$G$5:$G$2001,MATCH(A462&amp;"ENTRADA",Movimientos!$R$5:$R$2001,0)),"-")</f>
        <v>-</v>
      </c>
      <c r="G462" s="3" t="str">
        <f>IFERROR(INDEX(Movimientos!$L$5:$L$2001,MATCH(A462&amp;"ENTRADA",Movimientos!$R$5:$R$2001,0)),"-")</f>
        <v>-</v>
      </c>
      <c r="H462" s="19" t="str">
        <f>IFERROR(IF(INDEX(Movimientos!$M$5:$M$2001,MATCH(A462&amp;"ENTRADA",Movimientos!$R$5:$R$2001,0))=0,"S/D",INDEX(Movimientos!$M$5:$M$2001,MATCH(A462&amp;"ENTRADA",Movimientos!$R$5:$R$2001,0))),"S/D")</f>
        <v>S/D</v>
      </c>
      <c r="I462" s="16" t="str">
        <f t="shared" ca="1" si="16"/>
        <v>S/D</v>
      </c>
      <c r="J462" s="6">
        <f>IF(A462="","",SUMIFS(Movimientos!$K:$K,Movimientos!$H:$H,A462))</f>
        <v>0</v>
      </c>
      <c r="K462" s="14" t="str">
        <f t="shared" ca="1" si="17"/>
        <v>OK</v>
      </c>
    </row>
    <row r="463" spans="1:11">
      <c r="A463" s="18" t="s">
        <v>2524</v>
      </c>
      <c r="B463" s="3" t="str">
        <f>IFERROR(INDEX(Movimientos!$C$5:$C$2001,MATCH(A463&amp;"ENTRADA",Movimientos!$R$5:$R$2001,0)),"-")</f>
        <v>-</v>
      </c>
      <c r="C463" s="3" t="str">
        <f>IFERROR(INDEX(Movimientos!$D$5:$D$2001,MATCH(A463&amp;"ENTRADA",Movimientos!$R$5:$R$2001,0)),"-")</f>
        <v>-</v>
      </c>
      <c r="D463" s="3" t="str">
        <f>IFERROR(INDEX(Movimientos!$E$5:$E$2001,MATCH(A463&amp;"ENTRADA",Movimientos!$R$5:$R$2001,0)),"-")</f>
        <v>-</v>
      </c>
      <c r="E463" s="3" t="str">
        <f>IFERROR(INDEX(Movimientos!$F$5:$F$2001,MATCH(A463&amp;"ENTRADA",Movimientos!$R$5:$R$2001,0)),"-")</f>
        <v>-</v>
      </c>
      <c r="F463" s="3" t="str">
        <f>IFERROR(INDEX(Movimientos!$G$5:$G$2001,MATCH(A463&amp;"ENTRADA",Movimientos!$R$5:$R$2001,0)),"-")</f>
        <v>-</v>
      </c>
      <c r="G463" s="3" t="str">
        <f>IFERROR(INDEX(Movimientos!$L$5:$L$2001,MATCH(A463&amp;"ENTRADA",Movimientos!$R$5:$R$2001,0)),"-")</f>
        <v>-</v>
      </c>
      <c r="H463" s="19" t="str">
        <f>IFERROR(IF(INDEX(Movimientos!$M$5:$M$2001,MATCH(A463&amp;"ENTRADA",Movimientos!$R$5:$R$2001,0))=0,"S/D",INDEX(Movimientos!$M$5:$M$2001,MATCH(A463&amp;"ENTRADA",Movimientos!$R$5:$R$2001,0))),"S/D")</f>
        <v>S/D</v>
      </c>
      <c r="I463" s="16" t="str">
        <f t="shared" ca="1" si="16"/>
        <v>S/D</v>
      </c>
      <c r="J463" s="6">
        <f>IF(A463="","",SUMIFS(Movimientos!$K:$K,Movimientos!$H:$H,A463))</f>
        <v>0</v>
      </c>
      <c r="K463" s="14" t="str">
        <f t="shared" ca="1" si="17"/>
        <v>OK</v>
      </c>
    </row>
    <row r="464" spans="1:11">
      <c r="A464" s="18" t="s">
        <v>2525</v>
      </c>
      <c r="B464" s="3" t="str">
        <f>IFERROR(INDEX(Movimientos!$C$5:$C$2001,MATCH(A464&amp;"ENTRADA",Movimientos!$R$5:$R$2001,0)),"-")</f>
        <v>-</v>
      </c>
      <c r="C464" s="3" t="str">
        <f>IFERROR(INDEX(Movimientos!$D$5:$D$2001,MATCH(A464&amp;"ENTRADA",Movimientos!$R$5:$R$2001,0)),"-")</f>
        <v>-</v>
      </c>
      <c r="D464" s="3" t="str">
        <f>IFERROR(INDEX(Movimientos!$E$5:$E$2001,MATCH(A464&amp;"ENTRADA",Movimientos!$R$5:$R$2001,0)),"-")</f>
        <v>-</v>
      </c>
      <c r="E464" s="3" t="str">
        <f>IFERROR(INDEX(Movimientos!$F$5:$F$2001,MATCH(A464&amp;"ENTRADA",Movimientos!$R$5:$R$2001,0)),"-")</f>
        <v>-</v>
      </c>
      <c r="F464" s="3" t="str">
        <f>IFERROR(INDEX(Movimientos!$G$5:$G$2001,MATCH(A464&amp;"ENTRADA",Movimientos!$R$5:$R$2001,0)),"-")</f>
        <v>-</v>
      </c>
      <c r="G464" s="3" t="str">
        <f>IFERROR(INDEX(Movimientos!$L$5:$L$2001,MATCH(A464&amp;"ENTRADA",Movimientos!$R$5:$R$2001,0)),"-")</f>
        <v>-</v>
      </c>
      <c r="H464" s="19" t="str">
        <f>IFERROR(IF(INDEX(Movimientos!$M$5:$M$2001,MATCH(A464&amp;"ENTRADA",Movimientos!$R$5:$R$2001,0))=0,"S/D",INDEX(Movimientos!$M$5:$M$2001,MATCH(A464&amp;"ENTRADA",Movimientos!$R$5:$R$2001,0))),"S/D")</f>
        <v>S/D</v>
      </c>
      <c r="I464" s="16" t="str">
        <f t="shared" ca="1" si="16"/>
        <v>S/D</v>
      </c>
      <c r="J464" s="6">
        <f>IF(A464="","",SUMIFS(Movimientos!$K:$K,Movimientos!$H:$H,A464))</f>
        <v>0</v>
      </c>
      <c r="K464" s="14" t="str">
        <f t="shared" ca="1" si="17"/>
        <v>OK</v>
      </c>
    </row>
    <row r="465" spans="1:11">
      <c r="A465" s="18" t="s">
        <v>2526</v>
      </c>
      <c r="B465" s="3" t="str">
        <f>IFERROR(INDEX(Movimientos!$C$5:$C$2001,MATCH(A465&amp;"ENTRADA",Movimientos!$R$5:$R$2001,0)),"-")</f>
        <v>-</v>
      </c>
      <c r="C465" s="3" t="str">
        <f>IFERROR(INDEX(Movimientos!$D$5:$D$2001,MATCH(A465&amp;"ENTRADA",Movimientos!$R$5:$R$2001,0)),"-")</f>
        <v>-</v>
      </c>
      <c r="D465" s="3" t="str">
        <f>IFERROR(INDEX(Movimientos!$E$5:$E$2001,MATCH(A465&amp;"ENTRADA",Movimientos!$R$5:$R$2001,0)),"-")</f>
        <v>-</v>
      </c>
      <c r="E465" s="3" t="str">
        <f>IFERROR(INDEX(Movimientos!$F$5:$F$2001,MATCH(A465&amp;"ENTRADA",Movimientos!$R$5:$R$2001,0)),"-")</f>
        <v>-</v>
      </c>
      <c r="F465" s="3" t="str">
        <f>IFERROR(INDEX(Movimientos!$G$5:$G$2001,MATCH(A465&amp;"ENTRADA",Movimientos!$R$5:$R$2001,0)),"-")</f>
        <v>-</v>
      </c>
      <c r="G465" s="3" t="str">
        <f>IFERROR(INDEX(Movimientos!$L$5:$L$2001,MATCH(A465&amp;"ENTRADA",Movimientos!$R$5:$R$2001,0)),"-")</f>
        <v>-</v>
      </c>
      <c r="H465" s="19" t="str">
        <f>IFERROR(IF(INDEX(Movimientos!$M$5:$M$2001,MATCH(A465&amp;"ENTRADA",Movimientos!$R$5:$R$2001,0))=0,"S/D",INDEX(Movimientos!$M$5:$M$2001,MATCH(A465&amp;"ENTRADA",Movimientos!$R$5:$R$2001,0))),"S/D")</f>
        <v>S/D</v>
      </c>
      <c r="I465" s="16" t="str">
        <f t="shared" ca="1" si="16"/>
        <v>S/D</v>
      </c>
      <c r="J465" s="6">
        <f>IF(A465="","",SUMIFS(Movimientos!$K:$K,Movimientos!$H:$H,A465))</f>
        <v>0</v>
      </c>
      <c r="K465" s="14" t="str">
        <f t="shared" ca="1" si="17"/>
        <v>OK</v>
      </c>
    </row>
    <row r="466" spans="1:11">
      <c r="A466" s="18" t="s">
        <v>2527</v>
      </c>
      <c r="B466" s="3" t="str">
        <f>IFERROR(INDEX(Movimientos!$C$5:$C$2001,MATCH(A466&amp;"ENTRADA",Movimientos!$R$5:$R$2001,0)),"-")</f>
        <v>-</v>
      </c>
      <c r="C466" s="3" t="str">
        <f>IFERROR(INDEX(Movimientos!$D$5:$D$2001,MATCH(A466&amp;"ENTRADA",Movimientos!$R$5:$R$2001,0)),"-")</f>
        <v>-</v>
      </c>
      <c r="D466" s="3" t="str">
        <f>IFERROR(INDEX(Movimientos!$E$5:$E$2001,MATCH(A466&amp;"ENTRADA",Movimientos!$R$5:$R$2001,0)),"-")</f>
        <v>-</v>
      </c>
      <c r="E466" s="3" t="str">
        <f>IFERROR(INDEX(Movimientos!$F$5:$F$2001,MATCH(A466&amp;"ENTRADA",Movimientos!$R$5:$R$2001,0)),"-")</f>
        <v>-</v>
      </c>
      <c r="F466" s="3" t="str">
        <f>IFERROR(INDEX(Movimientos!$G$5:$G$2001,MATCH(A466&amp;"ENTRADA",Movimientos!$R$5:$R$2001,0)),"-")</f>
        <v>-</v>
      </c>
      <c r="G466" s="3" t="str">
        <f>IFERROR(INDEX(Movimientos!$L$5:$L$2001,MATCH(A466&amp;"ENTRADA",Movimientos!$R$5:$R$2001,0)),"-")</f>
        <v>-</v>
      </c>
      <c r="H466" s="19" t="str">
        <f>IFERROR(IF(INDEX(Movimientos!$M$5:$M$2001,MATCH(A466&amp;"ENTRADA",Movimientos!$R$5:$R$2001,0))=0,"S/D",INDEX(Movimientos!$M$5:$M$2001,MATCH(A466&amp;"ENTRADA",Movimientos!$R$5:$R$2001,0))),"S/D")</f>
        <v>S/D</v>
      </c>
      <c r="I466" s="16" t="str">
        <f t="shared" ca="1" si="16"/>
        <v>S/D</v>
      </c>
      <c r="J466" s="6">
        <f>IF(A466="","",SUMIFS(Movimientos!$K:$K,Movimientos!$H:$H,A466))</f>
        <v>0</v>
      </c>
      <c r="K466" s="14" t="str">
        <f t="shared" ca="1" si="17"/>
        <v>OK</v>
      </c>
    </row>
    <row r="467" spans="1:11">
      <c r="A467" s="18" t="s">
        <v>2528</v>
      </c>
      <c r="B467" s="3" t="str">
        <f>IFERROR(INDEX(Movimientos!$C$5:$C$2001,MATCH(A467&amp;"ENTRADA",Movimientos!$R$5:$R$2001,0)),"-")</f>
        <v>-</v>
      </c>
      <c r="C467" s="3" t="str">
        <f>IFERROR(INDEX(Movimientos!$D$5:$D$2001,MATCH(A467&amp;"ENTRADA",Movimientos!$R$5:$R$2001,0)),"-")</f>
        <v>-</v>
      </c>
      <c r="D467" s="3" t="str">
        <f>IFERROR(INDEX(Movimientos!$E$5:$E$2001,MATCH(A467&amp;"ENTRADA",Movimientos!$R$5:$R$2001,0)),"-")</f>
        <v>-</v>
      </c>
      <c r="E467" s="3" t="str">
        <f>IFERROR(INDEX(Movimientos!$F$5:$F$2001,MATCH(A467&amp;"ENTRADA",Movimientos!$R$5:$R$2001,0)),"-")</f>
        <v>-</v>
      </c>
      <c r="F467" s="3" t="str">
        <f>IFERROR(INDEX(Movimientos!$G$5:$G$2001,MATCH(A467&amp;"ENTRADA",Movimientos!$R$5:$R$2001,0)),"-")</f>
        <v>-</v>
      </c>
      <c r="G467" s="3" t="str">
        <f>IFERROR(INDEX(Movimientos!$L$5:$L$2001,MATCH(A467&amp;"ENTRADA",Movimientos!$R$5:$R$2001,0)),"-")</f>
        <v>-</v>
      </c>
      <c r="H467" s="19" t="str">
        <f>IFERROR(IF(INDEX(Movimientos!$M$5:$M$2001,MATCH(A467&amp;"ENTRADA",Movimientos!$R$5:$R$2001,0))=0,"S/D",INDEX(Movimientos!$M$5:$M$2001,MATCH(A467&amp;"ENTRADA",Movimientos!$R$5:$R$2001,0))),"S/D")</f>
        <v>S/D</v>
      </c>
      <c r="I467" s="16" t="str">
        <f t="shared" ca="1" si="16"/>
        <v>S/D</v>
      </c>
      <c r="J467" s="6">
        <f>IF(A467="","",SUMIFS(Movimientos!$K:$K,Movimientos!$H:$H,A467))</f>
        <v>0</v>
      </c>
      <c r="K467" s="14" t="str">
        <f t="shared" ca="1" si="17"/>
        <v>OK</v>
      </c>
    </row>
    <row r="468" spans="1:11">
      <c r="A468" s="18" t="s">
        <v>2529</v>
      </c>
      <c r="B468" s="3" t="str">
        <f>IFERROR(INDEX(Movimientos!$C$5:$C$2001,MATCH(A468&amp;"ENTRADA",Movimientos!$R$5:$R$2001,0)),"-")</f>
        <v>-</v>
      </c>
      <c r="C468" s="3" t="str">
        <f>IFERROR(INDEX(Movimientos!$D$5:$D$2001,MATCH(A468&amp;"ENTRADA",Movimientos!$R$5:$R$2001,0)),"-")</f>
        <v>-</v>
      </c>
      <c r="D468" s="3" t="str">
        <f>IFERROR(INDEX(Movimientos!$E$5:$E$2001,MATCH(A468&amp;"ENTRADA",Movimientos!$R$5:$R$2001,0)),"-")</f>
        <v>-</v>
      </c>
      <c r="E468" s="3" t="str">
        <f>IFERROR(INDEX(Movimientos!$F$5:$F$2001,MATCH(A468&amp;"ENTRADA",Movimientos!$R$5:$R$2001,0)),"-")</f>
        <v>-</v>
      </c>
      <c r="F468" s="3" t="str">
        <f>IFERROR(INDEX(Movimientos!$G$5:$G$2001,MATCH(A468&amp;"ENTRADA",Movimientos!$R$5:$R$2001,0)),"-")</f>
        <v>-</v>
      </c>
      <c r="G468" s="3" t="str">
        <f>IFERROR(INDEX(Movimientos!$L$5:$L$2001,MATCH(A468&amp;"ENTRADA",Movimientos!$R$5:$R$2001,0)),"-")</f>
        <v>-</v>
      </c>
      <c r="H468" s="19" t="str">
        <f>IFERROR(IF(INDEX(Movimientos!$M$5:$M$2001,MATCH(A468&amp;"ENTRADA",Movimientos!$R$5:$R$2001,0))=0,"S/D",INDEX(Movimientos!$M$5:$M$2001,MATCH(A468&amp;"ENTRADA",Movimientos!$R$5:$R$2001,0))),"S/D")</f>
        <v>S/D</v>
      </c>
      <c r="I468" s="16" t="str">
        <f t="shared" ca="1" si="16"/>
        <v>S/D</v>
      </c>
      <c r="J468" s="6">
        <f>IF(A468="","",SUMIFS(Movimientos!$K:$K,Movimientos!$H:$H,A468))</f>
        <v>0</v>
      </c>
      <c r="K468" s="14" t="str">
        <f t="shared" ca="1" si="17"/>
        <v>OK</v>
      </c>
    </row>
    <row r="469" spans="1:11">
      <c r="A469" s="18" t="s">
        <v>2530</v>
      </c>
      <c r="B469" s="3" t="str">
        <f>IFERROR(INDEX(Movimientos!$C$5:$C$2001,MATCH(A469&amp;"ENTRADA",Movimientos!$R$5:$R$2001,0)),"-")</f>
        <v>-</v>
      </c>
      <c r="C469" s="3" t="str">
        <f>IFERROR(INDEX(Movimientos!$D$5:$D$2001,MATCH(A469&amp;"ENTRADA",Movimientos!$R$5:$R$2001,0)),"-")</f>
        <v>-</v>
      </c>
      <c r="D469" s="3" t="str">
        <f>IFERROR(INDEX(Movimientos!$E$5:$E$2001,MATCH(A469&amp;"ENTRADA",Movimientos!$R$5:$R$2001,0)),"-")</f>
        <v>-</v>
      </c>
      <c r="E469" s="3" t="str">
        <f>IFERROR(INDEX(Movimientos!$F$5:$F$2001,MATCH(A469&amp;"ENTRADA",Movimientos!$R$5:$R$2001,0)),"-")</f>
        <v>-</v>
      </c>
      <c r="F469" s="3" t="str">
        <f>IFERROR(INDEX(Movimientos!$G$5:$G$2001,MATCH(A469&amp;"ENTRADA",Movimientos!$R$5:$R$2001,0)),"-")</f>
        <v>-</v>
      </c>
      <c r="G469" s="3" t="str">
        <f>IFERROR(INDEX(Movimientos!$L$5:$L$2001,MATCH(A469&amp;"ENTRADA",Movimientos!$R$5:$R$2001,0)),"-")</f>
        <v>-</v>
      </c>
      <c r="H469" s="19" t="str">
        <f>IFERROR(IF(INDEX(Movimientos!$M$5:$M$2001,MATCH(A469&amp;"ENTRADA",Movimientos!$R$5:$R$2001,0))=0,"S/D",INDEX(Movimientos!$M$5:$M$2001,MATCH(A469&amp;"ENTRADA",Movimientos!$R$5:$R$2001,0))),"S/D")</f>
        <v>S/D</v>
      </c>
      <c r="I469" s="16" t="str">
        <f t="shared" ca="1" si="16"/>
        <v>S/D</v>
      </c>
      <c r="J469" s="6">
        <f>IF(A469="","",SUMIFS(Movimientos!$K:$K,Movimientos!$H:$H,A469))</f>
        <v>0</v>
      </c>
      <c r="K469" s="14" t="str">
        <f t="shared" ca="1" si="17"/>
        <v>OK</v>
      </c>
    </row>
    <row r="470" spans="1:11">
      <c r="A470" s="18" t="s">
        <v>2531</v>
      </c>
      <c r="B470" s="3" t="str">
        <f>IFERROR(INDEX(Movimientos!$C$5:$C$2001,MATCH(A470&amp;"ENTRADA",Movimientos!$R$5:$R$2001,0)),"-")</f>
        <v>-</v>
      </c>
      <c r="C470" s="3" t="str">
        <f>IFERROR(INDEX(Movimientos!$D$5:$D$2001,MATCH(A470&amp;"ENTRADA",Movimientos!$R$5:$R$2001,0)),"-")</f>
        <v>-</v>
      </c>
      <c r="D470" s="3" t="str">
        <f>IFERROR(INDEX(Movimientos!$E$5:$E$2001,MATCH(A470&amp;"ENTRADA",Movimientos!$R$5:$R$2001,0)),"-")</f>
        <v>-</v>
      </c>
      <c r="E470" s="3" t="str">
        <f>IFERROR(INDEX(Movimientos!$F$5:$F$2001,MATCH(A470&amp;"ENTRADA",Movimientos!$R$5:$R$2001,0)),"-")</f>
        <v>-</v>
      </c>
      <c r="F470" s="3" t="str">
        <f>IFERROR(INDEX(Movimientos!$G$5:$G$2001,MATCH(A470&amp;"ENTRADA",Movimientos!$R$5:$R$2001,0)),"-")</f>
        <v>-</v>
      </c>
      <c r="G470" s="3" t="str">
        <f>IFERROR(INDEX(Movimientos!$L$5:$L$2001,MATCH(A470&amp;"ENTRADA",Movimientos!$R$5:$R$2001,0)),"-")</f>
        <v>-</v>
      </c>
      <c r="H470" s="19" t="str">
        <f>IFERROR(IF(INDEX(Movimientos!$M$5:$M$2001,MATCH(A470&amp;"ENTRADA",Movimientos!$R$5:$R$2001,0))=0,"S/D",INDEX(Movimientos!$M$5:$M$2001,MATCH(A470&amp;"ENTRADA",Movimientos!$R$5:$R$2001,0))),"S/D")</f>
        <v>S/D</v>
      </c>
      <c r="I470" s="16" t="str">
        <f t="shared" ca="1" si="16"/>
        <v>S/D</v>
      </c>
      <c r="J470" s="6">
        <f>IF(A470="","",SUMIFS(Movimientos!$K:$K,Movimientos!$H:$H,A470))</f>
        <v>0</v>
      </c>
      <c r="K470" s="14" t="str">
        <f t="shared" ca="1" si="17"/>
        <v>OK</v>
      </c>
    </row>
    <row r="471" spans="1:11">
      <c r="A471" s="18" t="s">
        <v>2532</v>
      </c>
      <c r="B471" s="3" t="str">
        <f>IFERROR(INDEX(Movimientos!$C$5:$C$2001,MATCH(A471&amp;"ENTRADA",Movimientos!$R$5:$R$2001,0)),"-")</f>
        <v>-</v>
      </c>
      <c r="C471" s="3" t="str">
        <f>IFERROR(INDEX(Movimientos!$D$5:$D$2001,MATCH(A471&amp;"ENTRADA",Movimientos!$R$5:$R$2001,0)),"-")</f>
        <v>-</v>
      </c>
      <c r="D471" s="3" t="str">
        <f>IFERROR(INDEX(Movimientos!$E$5:$E$2001,MATCH(A471&amp;"ENTRADA",Movimientos!$R$5:$R$2001,0)),"-")</f>
        <v>-</v>
      </c>
      <c r="E471" s="3" t="str">
        <f>IFERROR(INDEX(Movimientos!$F$5:$F$2001,MATCH(A471&amp;"ENTRADA",Movimientos!$R$5:$R$2001,0)),"-")</f>
        <v>-</v>
      </c>
      <c r="F471" s="3" t="str">
        <f>IFERROR(INDEX(Movimientos!$G$5:$G$2001,MATCH(A471&amp;"ENTRADA",Movimientos!$R$5:$R$2001,0)),"-")</f>
        <v>-</v>
      </c>
      <c r="G471" s="3" t="str">
        <f>IFERROR(INDEX(Movimientos!$L$5:$L$2001,MATCH(A471&amp;"ENTRADA",Movimientos!$R$5:$R$2001,0)),"-")</f>
        <v>-</v>
      </c>
      <c r="H471" s="19" t="str">
        <f>IFERROR(IF(INDEX(Movimientos!$M$5:$M$2001,MATCH(A471&amp;"ENTRADA",Movimientos!$R$5:$R$2001,0))=0,"S/D",INDEX(Movimientos!$M$5:$M$2001,MATCH(A471&amp;"ENTRADA",Movimientos!$R$5:$R$2001,0))),"S/D")</f>
        <v>S/D</v>
      </c>
      <c r="I471" s="16" t="str">
        <f t="shared" ca="1" si="16"/>
        <v>S/D</v>
      </c>
      <c r="J471" s="6">
        <f>IF(A471="","",SUMIFS(Movimientos!$K:$K,Movimientos!$H:$H,A471))</f>
        <v>0</v>
      </c>
      <c r="K471" s="14" t="str">
        <f t="shared" ca="1" si="17"/>
        <v>OK</v>
      </c>
    </row>
    <row r="472" spans="1:11">
      <c r="A472" s="18" t="s">
        <v>2533</v>
      </c>
      <c r="B472" s="3" t="str">
        <f>IFERROR(INDEX(Movimientos!$C$5:$C$2001,MATCH(A472&amp;"ENTRADA",Movimientos!$R$5:$R$2001,0)),"-")</f>
        <v>-</v>
      </c>
      <c r="C472" s="3" t="str">
        <f>IFERROR(INDEX(Movimientos!$D$5:$D$2001,MATCH(A472&amp;"ENTRADA",Movimientos!$R$5:$R$2001,0)),"-")</f>
        <v>-</v>
      </c>
      <c r="D472" s="3" t="str">
        <f>IFERROR(INDEX(Movimientos!$E$5:$E$2001,MATCH(A472&amp;"ENTRADA",Movimientos!$R$5:$R$2001,0)),"-")</f>
        <v>-</v>
      </c>
      <c r="E472" s="3" t="str">
        <f>IFERROR(INDEX(Movimientos!$F$5:$F$2001,MATCH(A472&amp;"ENTRADA",Movimientos!$R$5:$R$2001,0)),"-")</f>
        <v>-</v>
      </c>
      <c r="F472" s="3" t="str">
        <f>IFERROR(INDEX(Movimientos!$G$5:$G$2001,MATCH(A472&amp;"ENTRADA",Movimientos!$R$5:$R$2001,0)),"-")</f>
        <v>-</v>
      </c>
      <c r="G472" s="3" t="str">
        <f>IFERROR(INDEX(Movimientos!$L$5:$L$2001,MATCH(A472&amp;"ENTRADA",Movimientos!$R$5:$R$2001,0)),"-")</f>
        <v>-</v>
      </c>
      <c r="H472" s="19" t="str">
        <f>IFERROR(IF(INDEX(Movimientos!$M$5:$M$2001,MATCH(A472&amp;"ENTRADA",Movimientos!$R$5:$R$2001,0))=0,"S/D",INDEX(Movimientos!$M$5:$M$2001,MATCH(A472&amp;"ENTRADA",Movimientos!$R$5:$R$2001,0))),"S/D")</f>
        <v>S/D</v>
      </c>
      <c r="I472" s="16" t="str">
        <f t="shared" ca="1" si="16"/>
        <v>S/D</v>
      </c>
      <c r="J472" s="6">
        <f>IF(A472="","",SUMIFS(Movimientos!$K:$K,Movimientos!$H:$H,A472))</f>
        <v>0</v>
      </c>
      <c r="K472" s="14" t="str">
        <f t="shared" ca="1" si="17"/>
        <v>OK</v>
      </c>
    </row>
    <row r="473" spans="1:11">
      <c r="A473" s="18" t="s">
        <v>2534</v>
      </c>
      <c r="B473" s="3" t="str">
        <f>IFERROR(INDEX(Movimientos!$C$5:$C$2001,MATCH(A473&amp;"ENTRADA",Movimientos!$R$5:$R$2001,0)),"-")</f>
        <v>-</v>
      </c>
      <c r="C473" s="3" t="str">
        <f>IFERROR(INDEX(Movimientos!$D$5:$D$2001,MATCH(A473&amp;"ENTRADA",Movimientos!$R$5:$R$2001,0)),"-")</f>
        <v>-</v>
      </c>
      <c r="D473" s="3" t="str">
        <f>IFERROR(INDEX(Movimientos!$E$5:$E$2001,MATCH(A473&amp;"ENTRADA",Movimientos!$R$5:$R$2001,0)),"-")</f>
        <v>-</v>
      </c>
      <c r="E473" s="3" t="str">
        <f>IFERROR(INDEX(Movimientos!$F$5:$F$2001,MATCH(A473&amp;"ENTRADA",Movimientos!$R$5:$R$2001,0)),"-")</f>
        <v>-</v>
      </c>
      <c r="F473" s="3" t="str">
        <f>IFERROR(INDEX(Movimientos!$G$5:$G$2001,MATCH(A473&amp;"ENTRADA",Movimientos!$R$5:$R$2001,0)),"-")</f>
        <v>-</v>
      </c>
      <c r="G473" s="3" t="str">
        <f>IFERROR(INDEX(Movimientos!$L$5:$L$2001,MATCH(A473&amp;"ENTRADA",Movimientos!$R$5:$R$2001,0)),"-")</f>
        <v>-</v>
      </c>
      <c r="H473" s="19" t="str">
        <f>IFERROR(IF(INDEX(Movimientos!$M$5:$M$2001,MATCH(A473&amp;"ENTRADA",Movimientos!$R$5:$R$2001,0))=0,"S/D",INDEX(Movimientos!$M$5:$M$2001,MATCH(A473&amp;"ENTRADA",Movimientos!$R$5:$R$2001,0))),"S/D")</f>
        <v>S/D</v>
      </c>
      <c r="I473" s="16" t="str">
        <f t="shared" ca="1" si="16"/>
        <v>S/D</v>
      </c>
      <c r="J473" s="6">
        <f>IF(A473="","",SUMIFS(Movimientos!$K:$K,Movimientos!$H:$H,A473))</f>
        <v>0</v>
      </c>
      <c r="K473" s="14" t="str">
        <f t="shared" ca="1" si="17"/>
        <v>OK</v>
      </c>
    </row>
    <row r="474" spans="1:11">
      <c r="A474" s="18" t="s">
        <v>2535</v>
      </c>
      <c r="B474" s="3" t="str">
        <f>IFERROR(INDEX(Movimientos!$C$5:$C$2001,MATCH(A474&amp;"ENTRADA",Movimientos!$R$5:$R$2001,0)),"-")</f>
        <v>-</v>
      </c>
      <c r="C474" s="3" t="str">
        <f>IFERROR(INDEX(Movimientos!$D$5:$D$2001,MATCH(A474&amp;"ENTRADA",Movimientos!$R$5:$R$2001,0)),"-")</f>
        <v>-</v>
      </c>
      <c r="D474" s="3" t="str">
        <f>IFERROR(INDEX(Movimientos!$E$5:$E$2001,MATCH(A474&amp;"ENTRADA",Movimientos!$R$5:$R$2001,0)),"-")</f>
        <v>-</v>
      </c>
      <c r="E474" s="3" t="str">
        <f>IFERROR(INDEX(Movimientos!$F$5:$F$2001,MATCH(A474&amp;"ENTRADA",Movimientos!$R$5:$R$2001,0)),"-")</f>
        <v>-</v>
      </c>
      <c r="F474" s="3" t="str">
        <f>IFERROR(INDEX(Movimientos!$G$5:$G$2001,MATCH(A474&amp;"ENTRADA",Movimientos!$R$5:$R$2001,0)),"-")</f>
        <v>-</v>
      </c>
      <c r="G474" s="3" t="str">
        <f>IFERROR(INDEX(Movimientos!$L$5:$L$2001,MATCH(A474&amp;"ENTRADA",Movimientos!$R$5:$R$2001,0)),"-")</f>
        <v>-</v>
      </c>
      <c r="H474" s="19" t="str">
        <f>IFERROR(IF(INDEX(Movimientos!$M$5:$M$2001,MATCH(A474&amp;"ENTRADA",Movimientos!$R$5:$R$2001,0))=0,"S/D",INDEX(Movimientos!$M$5:$M$2001,MATCH(A474&amp;"ENTRADA",Movimientos!$R$5:$R$2001,0))),"S/D")</f>
        <v>S/D</v>
      </c>
      <c r="I474" s="16" t="str">
        <f t="shared" ca="1" si="16"/>
        <v>S/D</v>
      </c>
      <c r="J474" s="6">
        <f>IF(A474="","",SUMIFS(Movimientos!$K:$K,Movimientos!$H:$H,A474))</f>
        <v>0</v>
      </c>
      <c r="K474" s="14" t="str">
        <f t="shared" ca="1" si="17"/>
        <v>OK</v>
      </c>
    </row>
    <row r="475" spans="1:11">
      <c r="A475" s="18" t="s">
        <v>2536</v>
      </c>
      <c r="B475" s="3" t="str">
        <f>IFERROR(INDEX(Movimientos!$C$5:$C$2001,MATCH(A475&amp;"ENTRADA",Movimientos!$R$5:$R$2001,0)),"-")</f>
        <v>-</v>
      </c>
      <c r="C475" s="3" t="str">
        <f>IFERROR(INDEX(Movimientos!$D$5:$D$2001,MATCH(A475&amp;"ENTRADA",Movimientos!$R$5:$R$2001,0)),"-")</f>
        <v>-</v>
      </c>
      <c r="D475" s="3" t="str">
        <f>IFERROR(INDEX(Movimientos!$E$5:$E$2001,MATCH(A475&amp;"ENTRADA",Movimientos!$R$5:$R$2001,0)),"-")</f>
        <v>-</v>
      </c>
      <c r="E475" s="3" t="str">
        <f>IFERROR(INDEX(Movimientos!$F$5:$F$2001,MATCH(A475&amp;"ENTRADA",Movimientos!$R$5:$R$2001,0)),"-")</f>
        <v>-</v>
      </c>
      <c r="F475" s="3" t="str">
        <f>IFERROR(INDEX(Movimientos!$G$5:$G$2001,MATCH(A475&amp;"ENTRADA",Movimientos!$R$5:$R$2001,0)),"-")</f>
        <v>-</v>
      </c>
      <c r="G475" s="3" t="str">
        <f>IFERROR(INDEX(Movimientos!$L$5:$L$2001,MATCH(A475&amp;"ENTRADA",Movimientos!$R$5:$R$2001,0)),"-")</f>
        <v>-</v>
      </c>
      <c r="H475" s="19" t="str">
        <f>IFERROR(IF(INDEX(Movimientos!$M$5:$M$2001,MATCH(A475&amp;"ENTRADA",Movimientos!$R$5:$R$2001,0))=0,"S/D",INDEX(Movimientos!$M$5:$M$2001,MATCH(A475&amp;"ENTRADA",Movimientos!$R$5:$R$2001,0))),"S/D")</f>
        <v>S/D</v>
      </c>
      <c r="I475" s="16" t="str">
        <f t="shared" ca="1" si="16"/>
        <v>S/D</v>
      </c>
      <c r="J475" s="6">
        <f>IF(A475="","",SUMIFS(Movimientos!$K:$K,Movimientos!$H:$H,A475))</f>
        <v>0</v>
      </c>
      <c r="K475" s="14" t="str">
        <f t="shared" ca="1" si="17"/>
        <v>OK</v>
      </c>
    </row>
    <row r="476" spans="1:11">
      <c r="A476" s="18" t="s">
        <v>2537</v>
      </c>
      <c r="B476" s="3" t="str">
        <f>IFERROR(INDEX(Movimientos!$C$5:$C$2001,MATCH(A476&amp;"ENTRADA",Movimientos!$R$5:$R$2001,0)),"-")</f>
        <v>-</v>
      </c>
      <c r="C476" s="3" t="str">
        <f>IFERROR(INDEX(Movimientos!$D$5:$D$2001,MATCH(A476&amp;"ENTRADA",Movimientos!$R$5:$R$2001,0)),"-")</f>
        <v>-</v>
      </c>
      <c r="D476" s="3" t="str">
        <f>IFERROR(INDEX(Movimientos!$E$5:$E$2001,MATCH(A476&amp;"ENTRADA",Movimientos!$R$5:$R$2001,0)),"-")</f>
        <v>-</v>
      </c>
      <c r="E476" s="3" t="str">
        <f>IFERROR(INDEX(Movimientos!$F$5:$F$2001,MATCH(A476&amp;"ENTRADA",Movimientos!$R$5:$R$2001,0)),"-")</f>
        <v>-</v>
      </c>
      <c r="F476" s="3" t="str">
        <f>IFERROR(INDEX(Movimientos!$G$5:$G$2001,MATCH(A476&amp;"ENTRADA",Movimientos!$R$5:$R$2001,0)),"-")</f>
        <v>-</v>
      </c>
      <c r="G476" s="3" t="str">
        <f>IFERROR(INDEX(Movimientos!$L$5:$L$2001,MATCH(A476&amp;"ENTRADA",Movimientos!$R$5:$R$2001,0)),"-")</f>
        <v>-</v>
      </c>
      <c r="H476" s="19" t="str">
        <f>IFERROR(IF(INDEX(Movimientos!$M$5:$M$2001,MATCH(A476&amp;"ENTRADA",Movimientos!$R$5:$R$2001,0))=0,"S/D",INDEX(Movimientos!$M$5:$M$2001,MATCH(A476&amp;"ENTRADA",Movimientos!$R$5:$R$2001,0))),"S/D")</f>
        <v>S/D</v>
      </c>
      <c r="I476" s="16" t="str">
        <f t="shared" ca="1" si="16"/>
        <v>S/D</v>
      </c>
      <c r="J476" s="6">
        <f>IF(A476="","",SUMIFS(Movimientos!$K:$K,Movimientos!$H:$H,A476))</f>
        <v>0</v>
      </c>
      <c r="K476" s="14" t="str">
        <f t="shared" ca="1" si="17"/>
        <v>OK</v>
      </c>
    </row>
    <row r="477" spans="1:11">
      <c r="A477" s="18" t="s">
        <v>2538</v>
      </c>
      <c r="B477" s="3" t="str">
        <f>IFERROR(INDEX(Movimientos!$C$5:$C$2001,MATCH(A477&amp;"ENTRADA",Movimientos!$R$5:$R$2001,0)),"-")</f>
        <v>-</v>
      </c>
      <c r="C477" s="3" t="str">
        <f>IFERROR(INDEX(Movimientos!$D$5:$D$2001,MATCH(A477&amp;"ENTRADA",Movimientos!$R$5:$R$2001,0)),"-")</f>
        <v>-</v>
      </c>
      <c r="D477" s="3" t="str">
        <f>IFERROR(INDEX(Movimientos!$E$5:$E$2001,MATCH(A477&amp;"ENTRADA",Movimientos!$R$5:$R$2001,0)),"-")</f>
        <v>-</v>
      </c>
      <c r="E477" s="3" t="str">
        <f>IFERROR(INDEX(Movimientos!$F$5:$F$2001,MATCH(A477&amp;"ENTRADA",Movimientos!$R$5:$R$2001,0)),"-")</f>
        <v>-</v>
      </c>
      <c r="F477" s="3" t="str">
        <f>IFERROR(INDEX(Movimientos!$G$5:$G$2001,MATCH(A477&amp;"ENTRADA",Movimientos!$R$5:$R$2001,0)),"-")</f>
        <v>-</v>
      </c>
      <c r="G477" s="3" t="str">
        <f>IFERROR(INDEX(Movimientos!$L$5:$L$2001,MATCH(A477&amp;"ENTRADA",Movimientos!$R$5:$R$2001,0)),"-")</f>
        <v>-</v>
      </c>
      <c r="H477" s="19" t="str">
        <f>IFERROR(IF(INDEX(Movimientos!$M$5:$M$2001,MATCH(A477&amp;"ENTRADA",Movimientos!$R$5:$R$2001,0))=0,"S/D",INDEX(Movimientos!$M$5:$M$2001,MATCH(A477&amp;"ENTRADA",Movimientos!$R$5:$R$2001,0))),"S/D")</f>
        <v>S/D</v>
      </c>
      <c r="I477" s="16" t="str">
        <f t="shared" ca="1" si="16"/>
        <v>S/D</v>
      </c>
      <c r="J477" s="6">
        <f>IF(A477="","",SUMIFS(Movimientos!$K:$K,Movimientos!$H:$H,A477))</f>
        <v>0</v>
      </c>
      <c r="K477" s="14" t="str">
        <f t="shared" ca="1" si="17"/>
        <v>OK</v>
      </c>
    </row>
    <row r="478" spans="1:11">
      <c r="A478" s="18" t="s">
        <v>2539</v>
      </c>
      <c r="B478" s="3" t="str">
        <f>IFERROR(INDEX(Movimientos!$C$5:$C$2001,MATCH(A478&amp;"ENTRADA",Movimientos!$R$5:$R$2001,0)),"-")</f>
        <v>-</v>
      </c>
      <c r="C478" s="3" t="str">
        <f>IFERROR(INDEX(Movimientos!$D$5:$D$2001,MATCH(A478&amp;"ENTRADA",Movimientos!$R$5:$R$2001,0)),"-")</f>
        <v>-</v>
      </c>
      <c r="D478" s="3" t="str">
        <f>IFERROR(INDEX(Movimientos!$E$5:$E$2001,MATCH(A478&amp;"ENTRADA",Movimientos!$R$5:$R$2001,0)),"-")</f>
        <v>-</v>
      </c>
      <c r="E478" s="3" t="str">
        <f>IFERROR(INDEX(Movimientos!$F$5:$F$2001,MATCH(A478&amp;"ENTRADA",Movimientos!$R$5:$R$2001,0)),"-")</f>
        <v>-</v>
      </c>
      <c r="F478" s="3" t="str">
        <f>IFERROR(INDEX(Movimientos!$G$5:$G$2001,MATCH(A478&amp;"ENTRADA",Movimientos!$R$5:$R$2001,0)),"-")</f>
        <v>-</v>
      </c>
      <c r="G478" s="3" t="str">
        <f>IFERROR(INDEX(Movimientos!$L$5:$L$2001,MATCH(A478&amp;"ENTRADA",Movimientos!$R$5:$R$2001,0)),"-")</f>
        <v>-</v>
      </c>
      <c r="H478" s="19" t="str">
        <f>IFERROR(IF(INDEX(Movimientos!$M$5:$M$2001,MATCH(A478&amp;"ENTRADA",Movimientos!$R$5:$R$2001,0))=0,"S/D",INDEX(Movimientos!$M$5:$M$2001,MATCH(A478&amp;"ENTRADA",Movimientos!$R$5:$R$2001,0))),"S/D")</f>
        <v>S/D</v>
      </c>
      <c r="I478" s="16" t="str">
        <f t="shared" ca="1" si="16"/>
        <v>S/D</v>
      </c>
      <c r="J478" s="6">
        <f>IF(A478="","",SUMIFS(Movimientos!$K:$K,Movimientos!$H:$H,A478))</f>
        <v>0</v>
      </c>
      <c r="K478" s="14" t="str">
        <f t="shared" ca="1" si="17"/>
        <v>OK</v>
      </c>
    </row>
    <row r="479" spans="1:11">
      <c r="A479" s="18" t="s">
        <v>2540</v>
      </c>
      <c r="B479" s="3" t="str">
        <f>IFERROR(INDEX(Movimientos!$C$5:$C$2001,MATCH(A479&amp;"ENTRADA",Movimientos!$R$5:$R$2001,0)),"-")</f>
        <v>-</v>
      </c>
      <c r="C479" s="3" t="str">
        <f>IFERROR(INDEX(Movimientos!$D$5:$D$2001,MATCH(A479&amp;"ENTRADA",Movimientos!$R$5:$R$2001,0)),"-")</f>
        <v>-</v>
      </c>
      <c r="D479" s="3" t="str">
        <f>IFERROR(INDEX(Movimientos!$E$5:$E$2001,MATCH(A479&amp;"ENTRADA",Movimientos!$R$5:$R$2001,0)),"-")</f>
        <v>-</v>
      </c>
      <c r="E479" s="3" t="str">
        <f>IFERROR(INDEX(Movimientos!$F$5:$F$2001,MATCH(A479&amp;"ENTRADA",Movimientos!$R$5:$R$2001,0)),"-")</f>
        <v>-</v>
      </c>
      <c r="F479" s="3" t="str">
        <f>IFERROR(INDEX(Movimientos!$G$5:$G$2001,MATCH(A479&amp;"ENTRADA",Movimientos!$R$5:$R$2001,0)),"-")</f>
        <v>-</v>
      </c>
      <c r="G479" s="3" t="str">
        <f>IFERROR(INDEX(Movimientos!$L$5:$L$2001,MATCH(A479&amp;"ENTRADA",Movimientos!$R$5:$R$2001,0)),"-")</f>
        <v>-</v>
      </c>
      <c r="H479" s="19" t="str">
        <f>IFERROR(IF(INDEX(Movimientos!$M$5:$M$2001,MATCH(A479&amp;"ENTRADA",Movimientos!$R$5:$R$2001,0))=0,"S/D",INDEX(Movimientos!$M$5:$M$2001,MATCH(A479&amp;"ENTRADA",Movimientos!$R$5:$R$2001,0))),"S/D")</f>
        <v>S/D</v>
      </c>
      <c r="I479" s="16" t="str">
        <f t="shared" ca="1" si="16"/>
        <v>S/D</v>
      </c>
      <c r="J479" s="6">
        <f>IF(A479="","",SUMIFS(Movimientos!$K:$K,Movimientos!$H:$H,A479))</f>
        <v>0</v>
      </c>
      <c r="K479" s="14" t="str">
        <f t="shared" ca="1" si="17"/>
        <v>OK</v>
      </c>
    </row>
    <row r="480" spans="1:11">
      <c r="A480" s="18" t="s">
        <v>2541</v>
      </c>
      <c r="B480" s="3" t="str">
        <f>IFERROR(INDEX(Movimientos!$C$5:$C$2001,MATCH(A480&amp;"ENTRADA",Movimientos!$R$5:$R$2001,0)),"-")</f>
        <v>-</v>
      </c>
      <c r="C480" s="3" t="str">
        <f>IFERROR(INDEX(Movimientos!$D$5:$D$2001,MATCH(A480&amp;"ENTRADA",Movimientos!$R$5:$R$2001,0)),"-")</f>
        <v>-</v>
      </c>
      <c r="D480" s="3" t="str">
        <f>IFERROR(INDEX(Movimientos!$E$5:$E$2001,MATCH(A480&amp;"ENTRADA",Movimientos!$R$5:$R$2001,0)),"-")</f>
        <v>-</v>
      </c>
      <c r="E480" s="3" t="str">
        <f>IFERROR(INDEX(Movimientos!$F$5:$F$2001,MATCH(A480&amp;"ENTRADA",Movimientos!$R$5:$R$2001,0)),"-")</f>
        <v>-</v>
      </c>
      <c r="F480" s="3" t="str">
        <f>IFERROR(INDEX(Movimientos!$G$5:$G$2001,MATCH(A480&amp;"ENTRADA",Movimientos!$R$5:$R$2001,0)),"-")</f>
        <v>-</v>
      </c>
      <c r="G480" s="3" t="str">
        <f>IFERROR(INDEX(Movimientos!$L$5:$L$2001,MATCH(A480&amp;"ENTRADA",Movimientos!$R$5:$R$2001,0)),"-")</f>
        <v>-</v>
      </c>
      <c r="H480" s="19" t="str">
        <f>IFERROR(IF(INDEX(Movimientos!$M$5:$M$2001,MATCH(A480&amp;"ENTRADA",Movimientos!$R$5:$R$2001,0))=0,"S/D",INDEX(Movimientos!$M$5:$M$2001,MATCH(A480&amp;"ENTRADA",Movimientos!$R$5:$R$2001,0))),"S/D")</f>
        <v>S/D</v>
      </c>
      <c r="I480" s="16" t="str">
        <f t="shared" ca="1" si="16"/>
        <v>S/D</v>
      </c>
      <c r="J480" s="6">
        <f>IF(A480="","",SUMIFS(Movimientos!$K:$K,Movimientos!$H:$H,A480))</f>
        <v>0</v>
      </c>
      <c r="K480" s="14" t="str">
        <f t="shared" ca="1" si="17"/>
        <v>OK</v>
      </c>
    </row>
    <row r="481" spans="1:11">
      <c r="A481" s="18" t="s">
        <v>2542</v>
      </c>
      <c r="B481" s="3" t="str">
        <f>IFERROR(INDEX(Movimientos!$C$5:$C$2001,MATCH(A481&amp;"ENTRADA",Movimientos!$R$5:$R$2001,0)),"-")</f>
        <v>-</v>
      </c>
      <c r="C481" s="3" t="str">
        <f>IFERROR(INDEX(Movimientos!$D$5:$D$2001,MATCH(A481&amp;"ENTRADA",Movimientos!$R$5:$R$2001,0)),"-")</f>
        <v>-</v>
      </c>
      <c r="D481" s="3" t="str">
        <f>IFERROR(INDEX(Movimientos!$E$5:$E$2001,MATCH(A481&amp;"ENTRADA",Movimientos!$R$5:$R$2001,0)),"-")</f>
        <v>-</v>
      </c>
      <c r="E481" s="3" t="str">
        <f>IFERROR(INDEX(Movimientos!$F$5:$F$2001,MATCH(A481&amp;"ENTRADA",Movimientos!$R$5:$R$2001,0)),"-")</f>
        <v>-</v>
      </c>
      <c r="F481" s="3" t="str">
        <f>IFERROR(INDEX(Movimientos!$G$5:$G$2001,MATCH(A481&amp;"ENTRADA",Movimientos!$R$5:$R$2001,0)),"-")</f>
        <v>-</v>
      </c>
      <c r="G481" s="3" t="str">
        <f>IFERROR(INDEX(Movimientos!$L$5:$L$2001,MATCH(A481&amp;"ENTRADA",Movimientos!$R$5:$R$2001,0)),"-")</f>
        <v>-</v>
      </c>
      <c r="H481" s="19" t="str">
        <f>IFERROR(IF(INDEX(Movimientos!$M$5:$M$2001,MATCH(A481&amp;"ENTRADA",Movimientos!$R$5:$R$2001,0))=0,"S/D",INDEX(Movimientos!$M$5:$M$2001,MATCH(A481&amp;"ENTRADA",Movimientos!$R$5:$R$2001,0))),"S/D")</f>
        <v>S/D</v>
      </c>
      <c r="I481" s="16" t="str">
        <f t="shared" ca="1" si="16"/>
        <v>S/D</v>
      </c>
      <c r="J481" s="6">
        <f>IF(A481="","",SUMIFS(Movimientos!$K:$K,Movimientos!$H:$H,A481))</f>
        <v>0</v>
      </c>
      <c r="K481" s="14" t="str">
        <f t="shared" ca="1" si="17"/>
        <v>OK</v>
      </c>
    </row>
    <row r="482" spans="1:11">
      <c r="A482" s="18" t="s">
        <v>2543</v>
      </c>
      <c r="B482" s="3" t="str">
        <f>IFERROR(INDEX(Movimientos!$C$5:$C$2001,MATCH(A482&amp;"ENTRADA",Movimientos!$R$5:$R$2001,0)),"-")</f>
        <v>-</v>
      </c>
      <c r="C482" s="3" t="str">
        <f>IFERROR(INDEX(Movimientos!$D$5:$D$2001,MATCH(A482&amp;"ENTRADA",Movimientos!$R$5:$R$2001,0)),"-")</f>
        <v>-</v>
      </c>
      <c r="D482" s="3" t="str">
        <f>IFERROR(INDEX(Movimientos!$E$5:$E$2001,MATCH(A482&amp;"ENTRADA",Movimientos!$R$5:$R$2001,0)),"-")</f>
        <v>-</v>
      </c>
      <c r="E482" s="3" t="str">
        <f>IFERROR(INDEX(Movimientos!$F$5:$F$2001,MATCH(A482&amp;"ENTRADA",Movimientos!$R$5:$R$2001,0)),"-")</f>
        <v>-</v>
      </c>
      <c r="F482" s="3" t="str">
        <f>IFERROR(INDEX(Movimientos!$G$5:$G$2001,MATCH(A482&amp;"ENTRADA",Movimientos!$R$5:$R$2001,0)),"-")</f>
        <v>-</v>
      </c>
      <c r="G482" s="3" t="str">
        <f>IFERROR(INDEX(Movimientos!$L$5:$L$2001,MATCH(A482&amp;"ENTRADA",Movimientos!$R$5:$R$2001,0)),"-")</f>
        <v>-</v>
      </c>
      <c r="H482" s="19" t="str">
        <f>IFERROR(IF(INDEX(Movimientos!$M$5:$M$2001,MATCH(A482&amp;"ENTRADA",Movimientos!$R$5:$R$2001,0))=0,"S/D",INDEX(Movimientos!$M$5:$M$2001,MATCH(A482&amp;"ENTRADA",Movimientos!$R$5:$R$2001,0))),"S/D")</f>
        <v>S/D</v>
      </c>
      <c r="I482" s="16" t="str">
        <f t="shared" ca="1" si="16"/>
        <v>S/D</v>
      </c>
      <c r="J482" s="6">
        <f>IF(A482="","",SUMIFS(Movimientos!$K:$K,Movimientos!$H:$H,A482))</f>
        <v>0</v>
      </c>
      <c r="K482" s="14" t="str">
        <f t="shared" ca="1" si="17"/>
        <v>OK</v>
      </c>
    </row>
    <row r="483" spans="1:11">
      <c r="A483" s="18" t="s">
        <v>2544</v>
      </c>
      <c r="B483" s="3" t="str">
        <f>IFERROR(INDEX(Movimientos!$C$5:$C$2001,MATCH(A483&amp;"ENTRADA",Movimientos!$R$5:$R$2001,0)),"-")</f>
        <v>-</v>
      </c>
      <c r="C483" s="3" t="str">
        <f>IFERROR(INDEX(Movimientos!$D$5:$D$2001,MATCH(A483&amp;"ENTRADA",Movimientos!$R$5:$R$2001,0)),"-")</f>
        <v>-</v>
      </c>
      <c r="D483" s="3" t="str">
        <f>IFERROR(INDEX(Movimientos!$E$5:$E$2001,MATCH(A483&amp;"ENTRADA",Movimientos!$R$5:$R$2001,0)),"-")</f>
        <v>-</v>
      </c>
      <c r="E483" s="3" t="str">
        <f>IFERROR(INDEX(Movimientos!$F$5:$F$2001,MATCH(A483&amp;"ENTRADA",Movimientos!$R$5:$R$2001,0)),"-")</f>
        <v>-</v>
      </c>
      <c r="F483" s="3" t="str">
        <f>IFERROR(INDEX(Movimientos!$G$5:$G$2001,MATCH(A483&amp;"ENTRADA",Movimientos!$R$5:$R$2001,0)),"-")</f>
        <v>-</v>
      </c>
      <c r="G483" s="3" t="str">
        <f>IFERROR(INDEX(Movimientos!$L$5:$L$2001,MATCH(A483&amp;"ENTRADA",Movimientos!$R$5:$R$2001,0)),"-")</f>
        <v>-</v>
      </c>
      <c r="H483" s="19" t="str">
        <f>IFERROR(IF(INDEX(Movimientos!$M$5:$M$2001,MATCH(A483&amp;"ENTRADA",Movimientos!$R$5:$R$2001,0))=0,"S/D",INDEX(Movimientos!$M$5:$M$2001,MATCH(A483&amp;"ENTRADA",Movimientos!$R$5:$R$2001,0))),"S/D")</f>
        <v>S/D</v>
      </c>
      <c r="I483" s="16" t="str">
        <f t="shared" ca="1" si="16"/>
        <v>S/D</v>
      </c>
      <c r="J483" s="6">
        <f>IF(A483="","",SUMIFS(Movimientos!$K:$K,Movimientos!$H:$H,A483))</f>
        <v>0</v>
      </c>
      <c r="K483" s="14" t="str">
        <f t="shared" ca="1" si="17"/>
        <v>OK</v>
      </c>
    </row>
    <row r="484" spans="1:11">
      <c r="A484" s="18" t="s">
        <v>2545</v>
      </c>
      <c r="B484" s="3" t="str">
        <f>IFERROR(INDEX(Movimientos!$C$5:$C$2001,MATCH(A484&amp;"ENTRADA",Movimientos!$R$5:$R$2001,0)),"-")</f>
        <v>-</v>
      </c>
      <c r="C484" s="3" t="str">
        <f>IFERROR(INDEX(Movimientos!$D$5:$D$2001,MATCH(A484&amp;"ENTRADA",Movimientos!$R$5:$R$2001,0)),"-")</f>
        <v>-</v>
      </c>
      <c r="D484" s="3" t="str">
        <f>IFERROR(INDEX(Movimientos!$E$5:$E$2001,MATCH(A484&amp;"ENTRADA",Movimientos!$R$5:$R$2001,0)),"-")</f>
        <v>-</v>
      </c>
      <c r="E484" s="3" t="str">
        <f>IFERROR(INDEX(Movimientos!$F$5:$F$2001,MATCH(A484&amp;"ENTRADA",Movimientos!$R$5:$R$2001,0)),"-")</f>
        <v>-</v>
      </c>
      <c r="F484" s="3" t="str">
        <f>IFERROR(INDEX(Movimientos!$G$5:$G$2001,MATCH(A484&amp;"ENTRADA",Movimientos!$R$5:$R$2001,0)),"-")</f>
        <v>-</v>
      </c>
      <c r="G484" s="3" t="str">
        <f>IFERROR(INDEX(Movimientos!$L$5:$L$2001,MATCH(A484&amp;"ENTRADA",Movimientos!$R$5:$R$2001,0)),"-")</f>
        <v>-</v>
      </c>
      <c r="H484" s="19" t="str">
        <f>IFERROR(IF(INDEX(Movimientos!$M$5:$M$2001,MATCH(A484&amp;"ENTRADA",Movimientos!$R$5:$R$2001,0))=0,"S/D",INDEX(Movimientos!$M$5:$M$2001,MATCH(A484&amp;"ENTRADA",Movimientos!$R$5:$R$2001,0))),"S/D")</f>
        <v>S/D</v>
      </c>
      <c r="I484" s="16" t="str">
        <f t="shared" ca="1" si="16"/>
        <v>S/D</v>
      </c>
      <c r="J484" s="6">
        <f>IF(A484="","",SUMIFS(Movimientos!$K:$K,Movimientos!$H:$H,A484))</f>
        <v>0</v>
      </c>
      <c r="K484" s="14" t="str">
        <f t="shared" ca="1" si="17"/>
        <v>OK</v>
      </c>
    </row>
    <row r="485" spans="1:11">
      <c r="A485" s="18" t="s">
        <v>2546</v>
      </c>
      <c r="B485" s="3" t="str">
        <f>IFERROR(INDEX(Movimientos!$C$5:$C$2001,MATCH(A485&amp;"ENTRADA",Movimientos!$R$5:$R$2001,0)),"-")</f>
        <v>-</v>
      </c>
      <c r="C485" s="3" t="str">
        <f>IFERROR(INDEX(Movimientos!$D$5:$D$2001,MATCH(A485&amp;"ENTRADA",Movimientos!$R$5:$R$2001,0)),"-")</f>
        <v>-</v>
      </c>
      <c r="D485" s="3" t="str">
        <f>IFERROR(INDEX(Movimientos!$E$5:$E$2001,MATCH(A485&amp;"ENTRADA",Movimientos!$R$5:$R$2001,0)),"-")</f>
        <v>-</v>
      </c>
      <c r="E485" s="3" t="str">
        <f>IFERROR(INDEX(Movimientos!$F$5:$F$2001,MATCH(A485&amp;"ENTRADA",Movimientos!$R$5:$R$2001,0)),"-")</f>
        <v>-</v>
      </c>
      <c r="F485" s="3" t="str">
        <f>IFERROR(INDEX(Movimientos!$G$5:$G$2001,MATCH(A485&amp;"ENTRADA",Movimientos!$R$5:$R$2001,0)),"-")</f>
        <v>-</v>
      </c>
      <c r="G485" s="3" t="str">
        <f>IFERROR(INDEX(Movimientos!$L$5:$L$2001,MATCH(A485&amp;"ENTRADA",Movimientos!$R$5:$R$2001,0)),"-")</f>
        <v>-</v>
      </c>
      <c r="H485" s="19" t="str">
        <f>IFERROR(IF(INDEX(Movimientos!$M$5:$M$2001,MATCH(A485&amp;"ENTRADA",Movimientos!$R$5:$R$2001,0))=0,"S/D",INDEX(Movimientos!$M$5:$M$2001,MATCH(A485&amp;"ENTRADA",Movimientos!$R$5:$R$2001,0))),"S/D")</f>
        <v>S/D</v>
      </c>
      <c r="I485" s="16" t="str">
        <f t="shared" ca="1" si="16"/>
        <v>S/D</v>
      </c>
      <c r="J485" s="6">
        <f>IF(A485="","",SUMIFS(Movimientos!$K:$K,Movimientos!$H:$H,A485))</f>
        <v>0</v>
      </c>
      <c r="K485" s="14" t="str">
        <f t="shared" ca="1" si="17"/>
        <v>OK</v>
      </c>
    </row>
    <row r="486" spans="1:11">
      <c r="A486" s="18" t="s">
        <v>2547</v>
      </c>
      <c r="B486" s="3" t="str">
        <f>IFERROR(INDEX(Movimientos!$C$5:$C$2001,MATCH(A486&amp;"ENTRADA",Movimientos!$R$5:$R$2001,0)),"-")</f>
        <v>-</v>
      </c>
      <c r="C486" s="3" t="str">
        <f>IFERROR(INDEX(Movimientos!$D$5:$D$2001,MATCH(A486&amp;"ENTRADA",Movimientos!$R$5:$R$2001,0)),"-")</f>
        <v>-</v>
      </c>
      <c r="D486" s="3" t="str">
        <f>IFERROR(INDEX(Movimientos!$E$5:$E$2001,MATCH(A486&amp;"ENTRADA",Movimientos!$R$5:$R$2001,0)),"-")</f>
        <v>-</v>
      </c>
      <c r="E486" s="3" t="str">
        <f>IFERROR(INDEX(Movimientos!$F$5:$F$2001,MATCH(A486&amp;"ENTRADA",Movimientos!$R$5:$R$2001,0)),"-")</f>
        <v>-</v>
      </c>
      <c r="F486" s="3" t="str">
        <f>IFERROR(INDEX(Movimientos!$G$5:$G$2001,MATCH(A486&amp;"ENTRADA",Movimientos!$R$5:$R$2001,0)),"-")</f>
        <v>-</v>
      </c>
      <c r="G486" s="3" t="str">
        <f>IFERROR(INDEX(Movimientos!$L$5:$L$2001,MATCH(A486&amp;"ENTRADA",Movimientos!$R$5:$R$2001,0)),"-")</f>
        <v>-</v>
      </c>
      <c r="H486" s="19" t="str">
        <f>IFERROR(IF(INDEX(Movimientos!$M$5:$M$2001,MATCH(A486&amp;"ENTRADA",Movimientos!$R$5:$R$2001,0))=0,"S/D",INDEX(Movimientos!$M$5:$M$2001,MATCH(A486&amp;"ENTRADA",Movimientos!$R$5:$R$2001,0))),"S/D")</f>
        <v>S/D</v>
      </c>
      <c r="I486" s="16" t="str">
        <f t="shared" ca="1" si="16"/>
        <v>S/D</v>
      </c>
      <c r="J486" s="6">
        <f>IF(A486="","",SUMIFS(Movimientos!$K:$K,Movimientos!$H:$H,A486))</f>
        <v>0</v>
      </c>
      <c r="K486" s="14" t="str">
        <f t="shared" ca="1" si="17"/>
        <v>OK</v>
      </c>
    </row>
    <row r="487" spans="1:11">
      <c r="A487" s="18" t="s">
        <v>2548</v>
      </c>
      <c r="B487" s="3" t="str">
        <f>IFERROR(INDEX(Movimientos!$C$5:$C$2001,MATCH(A487&amp;"ENTRADA",Movimientos!$R$5:$R$2001,0)),"-")</f>
        <v>-</v>
      </c>
      <c r="C487" s="3" t="str">
        <f>IFERROR(INDEX(Movimientos!$D$5:$D$2001,MATCH(A487&amp;"ENTRADA",Movimientos!$R$5:$R$2001,0)),"-")</f>
        <v>-</v>
      </c>
      <c r="D487" s="3" t="str">
        <f>IFERROR(INDEX(Movimientos!$E$5:$E$2001,MATCH(A487&amp;"ENTRADA",Movimientos!$R$5:$R$2001,0)),"-")</f>
        <v>-</v>
      </c>
      <c r="E487" s="3" t="str">
        <f>IFERROR(INDEX(Movimientos!$F$5:$F$2001,MATCH(A487&amp;"ENTRADA",Movimientos!$R$5:$R$2001,0)),"-")</f>
        <v>-</v>
      </c>
      <c r="F487" s="3" t="str">
        <f>IFERROR(INDEX(Movimientos!$G$5:$G$2001,MATCH(A487&amp;"ENTRADA",Movimientos!$R$5:$R$2001,0)),"-")</f>
        <v>-</v>
      </c>
      <c r="G487" s="3" t="str">
        <f>IFERROR(INDEX(Movimientos!$L$5:$L$2001,MATCH(A487&amp;"ENTRADA",Movimientos!$R$5:$R$2001,0)),"-")</f>
        <v>-</v>
      </c>
      <c r="H487" s="19" t="str">
        <f>IFERROR(IF(INDEX(Movimientos!$M$5:$M$2001,MATCH(A487&amp;"ENTRADA",Movimientos!$R$5:$R$2001,0))=0,"S/D",INDEX(Movimientos!$M$5:$M$2001,MATCH(A487&amp;"ENTRADA",Movimientos!$R$5:$R$2001,0))),"S/D")</f>
        <v>S/D</v>
      </c>
      <c r="I487" s="16" t="str">
        <f t="shared" ca="1" si="16"/>
        <v>S/D</v>
      </c>
      <c r="J487" s="6">
        <f>IF(A487="","",SUMIFS(Movimientos!$K:$K,Movimientos!$H:$H,A487))</f>
        <v>0</v>
      </c>
      <c r="K487" s="14" t="str">
        <f t="shared" ca="1" si="17"/>
        <v>OK</v>
      </c>
    </row>
    <row r="488" spans="1:11">
      <c r="A488" s="18" t="s">
        <v>2549</v>
      </c>
      <c r="B488" s="3" t="str">
        <f>IFERROR(INDEX(Movimientos!$C$5:$C$2001,MATCH(A488&amp;"ENTRADA",Movimientos!$R$5:$R$2001,0)),"-")</f>
        <v>-</v>
      </c>
      <c r="C488" s="3" t="str">
        <f>IFERROR(INDEX(Movimientos!$D$5:$D$2001,MATCH(A488&amp;"ENTRADA",Movimientos!$R$5:$R$2001,0)),"-")</f>
        <v>-</v>
      </c>
      <c r="D488" s="3" t="str">
        <f>IFERROR(INDEX(Movimientos!$E$5:$E$2001,MATCH(A488&amp;"ENTRADA",Movimientos!$R$5:$R$2001,0)),"-")</f>
        <v>-</v>
      </c>
      <c r="E488" s="3" t="str">
        <f>IFERROR(INDEX(Movimientos!$F$5:$F$2001,MATCH(A488&amp;"ENTRADA",Movimientos!$R$5:$R$2001,0)),"-")</f>
        <v>-</v>
      </c>
      <c r="F488" s="3" t="str">
        <f>IFERROR(INDEX(Movimientos!$G$5:$G$2001,MATCH(A488&amp;"ENTRADA",Movimientos!$R$5:$R$2001,0)),"-")</f>
        <v>-</v>
      </c>
      <c r="G488" s="3" t="str">
        <f>IFERROR(INDEX(Movimientos!$L$5:$L$2001,MATCH(A488&amp;"ENTRADA",Movimientos!$R$5:$R$2001,0)),"-")</f>
        <v>-</v>
      </c>
      <c r="H488" s="19" t="str">
        <f>IFERROR(IF(INDEX(Movimientos!$M$5:$M$2001,MATCH(A488&amp;"ENTRADA",Movimientos!$R$5:$R$2001,0))=0,"S/D",INDEX(Movimientos!$M$5:$M$2001,MATCH(A488&amp;"ENTRADA",Movimientos!$R$5:$R$2001,0))),"S/D")</f>
        <v>S/D</v>
      </c>
      <c r="I488" s="16" t="str">
        <f t="shared" ca="1" si="16"/>
        <v>S/D</v>
      </c>
      <c r="J488" s="6">
        <f>IF(A488="","",SUMIFS(Movimientos!$K:$K,Movimientos!$H:$H,A488))</f>
        <v>0</v>
      </c>
      <c r="K488" s="14" t="str">
        <f t="shared" ca="1" si="17"/>
        <v>OK</v>
      </c>
    </row>
    <row r="489" spans="1:11">
      <c r="A489" s="18" t="s">
        <v>2550</v>
      </c>
      <c r="B489" s="3" t="str">
        <f>IFERROR(INDEX(Movimientos!$C$5:$C$2001,MATCH(A489&amp;"ENTRADA",Movimientos!$R$5:$R$2001,0)),"-")</f>
        <v>-</v>
      </c>
      <c r="C489" s="3" t="str">
        <f>IFERROR(INDEX(Movimientos!$D$5:$D$2001,MATCH(A489&amp;"ENTRADA",Movimientos!$R$5:$R$2001,0)),"-")</f>
        <v>-</v>
      </c>
      <c r="D489" s="3" t="str">
        <f>IFERROR(INDEX(Movimientos!$E$5:$E$2001,MATCH(A489&amp;"ENTRADA",Movimientos!$R$5:$R$2001,0)),"-")</f>
        <v>-</v>
      </c>
      <c r="E489" s="3" t="str">
        <f>IFERROR(INDEX(Movimientos!$F$5:$F$2001,MATCH(A489&amp;"ENTRADA",Movimientos!$R$5:$R$2001,0)),"-")</f>
        <v>-</v>
      </c>
      <c r="F489" s="3" t="str">
        <f>IFERROR(INDEX(Movimientos!$G$5:$G$2001,MATCH(A489&amp;"ENTRADA",Movimientos!$R$5:$R$2001,0)),"-")</f>
        <v>-</v>
      </c>
      <c r="G489" s="3" t="str">
        <f>IFERROR(INDEX(Movimientos!$L$5:$L$2001,MATCH(A489&amp;"ENTRADA",Movimientos!$R$5:$R$2001,0)),"-")</f>
        <v>-</v>
      </c>
      <c r="H489" s="19" t="str">
        <f>IFERROR(IF(INDEX(Movimientos!$M$5:$M$2001,MATCH(A489&amp;"ENTRADA",Movimientos!$R$5:$R$2001,0))=0,"S/D",INDEX(Movimientos!$M$5:$M$2001,MATCH(A489&amp;"ENTRADA",Movimientos!$R$5:$R$2001,0))),"S/D")</f>
        <v>S/D</v>
      </c>
      <c r="I489" s="16" t="str">
        <f t="shared" ca="1" si="16"/>
        <v>S/D</v>
      </c>
      <c r="J489" s="6">
        <f>IF(A489="","",SUMIFS(Movimientos!$K:$K,Movimientos!$H:$H,A489))</f>
        <v>0</v>
      </c>
      <c r="K489" s="14" t="str">
        <f t="shared" ca="1" si="17"/>
        <v>OK</v>
      </c>
    </row>
    <row r="490" spans="1:11">
      <c r="A490" s="18" t="s">
        <v>2551</v>
      </c>
      <c r="B490" s="3" t="str">
        <f>IFERROR(INDEX(Movimientos!$C$5:$C$2001,MATCH(A490&amp;"ENTRADA",Movimientos!$R$5:$R$2001,0)),"-")</f>
        <v>-</v>
      </c>
      <c r="C490" s="3" t="str">
        <f>IFERROR(INDEX(Movimientos!$D$5:$D$2001,MATCH(A490&amp;"ENTRADA",Movimientos!$R$5:$R$2001,0)),"-")</f>
        <v>-</v>
      </c>
      <c r="D490" s="3" t="str">
        <f>IFERROR(INDEX(Movimientos!$E$5:$E$2001,MATCH(A490&amp;"ENTRADA",Movimientos!$R$5:$R$2001,0)),"-")</f>
        <v>-</v>
      </c>
      <c r="E490" s="3" t="str">
        <f>IFERROR(INDEX(Movimientos!$F$5:$F$2001,MATCH(A490&amp;"ENTRADA",Movimientos!$R$5:$R$2001,0)),"-")</f>
        <v>-</v>
      </c>
      <c r="F490" s="3" t="str">
        <f>IFERROR(INDEX(Movimientos!$G$5:$G$2001,MATCH(A490&amp;"ENTRADA",Movimientos!$R$5:$R$2001,0)),"-")</f>
        <v>-</v>
      </c>
      <c r="G490" s="3" t="str">
        <f>IFERROR(INDEX(Movimientos!$L$5:$L$2001,MATCH(A490&amp;"ENTRADA",Movimientos!$R$5:$R$2001,0)),"-")</f>
        <v>-</v>
      </c>
      <c r="H490" s="19" t="str">
        <f>IFERROR(IF(INDEX(Movimientos!$M$5:$M$2001,MATCH(A490&amp;"ENTRADA",Movimientos!$R$5:$R$2001,0))=0,"S/D",INDEX(Movimientos!$M$5:$M$2001,MATCH(A490&amp;"ENTRADA",Movimientos!$R$5:$R$2001,0))),"S/D")</f>
        <v>S/D</v>
      </c>
      <c r="I490" s="16" t="str">
        <f t="shared" ca="1" si="16"/>
        <v>S/D</v>
      </c>
      <c r="J490" s="6">
        <f>IF(A490="","",SUMIFS(Movimientos!$K:$K,Movimientos!$H:$H,A490))</f>
        <v>0</v>
      </c>
      <c r="K490" s="14" t="str">
        <f t="shared" ca="1" si="17"/>
        <v>OK</v>
      </c>
    </row>
    <row r="491" spans="1:11">
      <c r="A491" s="18" t="s">
        <v>2552</v>
      </c>
      <c r="B491" s="3" t="str">
        <f>IFERROR(INDEX(Movimientos!$C$5:$C$2001,MATCH(A491&amp;"ENTRADA",Movimientos!$R$5:$R$2001,0)),"-")</f>
        <v>-</v>
      </c>
      <c r="C491" s="3" t="str">
        <f>IFERROR(INDEX(Movimientos!$D$5:$D$2001,MATCH(A491&amp;"ENTRADA",Movimientos!$R$5:$R$2001,0)),"-")</f>
        <v>-</v>
      </c>
      <c r="D491" s="3" t="str">
        <f>IFERROR(INDEX(Movimientos!$E$5:$E$2001,MATCH(A491&amp;"ENTRADA",Movimientos!$R$5:$R$2001,0)),"-")</f>
        <v>-</v>
      </c>
      <c r="E491" s="3" t="str">
        <f>IFERROR(INDEX(Movimientos!$F$5:$F$2001,MATCH(A491&amp;"ENTRADA",Movimientos!$R$5:$R$2001,0)),"-")</f>
        <v>-</v>
      </c>
      <c r="F491" s="3" t="str">
        <f>IFERROR(INDEX(Movimientos!$G$5:$G$2001,MATCH(A491&amp;"ENTRADA",Movimientos!$R$5:$R$2001,0)),"-")</f>
        <v>-</v>
      </c>
      <c r="G491" s="3" t="str">
        <f>IFERROR(INDEX(Movimientos!$L$5:$L$2001,MATCH(A491&amp;"ENTRADA",Movimientos!$R$5:$R$2001,0)),"-")</f>
        <v>-</v>
      </c>
      <c r="H491" s="19" t="str">
        <f>IFERROR(IF(INDEX(Movimientos!$M$5:$M$2001,MATCH(A491&amp;"ENTRADA",Movimientos!$R$5:$R$2001,0))=0,"S/D",INDEX(Movimientos!$M$5:$M$2001,MATCH(A491&amp;"ENTRADA",Movimientos!$R$5:$R$2001,0))),"S/D")</f>
        <v>S/D</v>
      </c>
      <c r="I491" s="16" t="str">
        <f t="shared" ca="1" si="16"/>
        <v>S/D</v>
      </c>
      <c r="J491" s="6">
        <f>IF(A491="","",SUMIFS(Movimientos!$K:$K,Movimientos!$H:$H,A491))</f>
        <v>0</v>
      </c>
      <c r="K491" s="14" t="str">
        <f t="shared" ca="1" si="17"/>
        <v>OK</v>
      </c>
    </row>
    <row r="492" spans="1:11">
      <c r="A492" s="18" t="s">
        <v>2553</v>
      </c>
      <c r="B492" s="3" t="str">
        <f>IFERROR(INDEX(Movimientos!$C$5:$C$2001,MATCH(A492&amp;"ENTRADA",Movimientos!$R$5:$R$2001,0)),"-")</f>
        <v>-</v>
      </c>
      <c r="C492" s="3" t="str">
        <f>IFERROR(INDEX(Movimientos!$D$5:$D$2001,MATCH(A492&amp;"ENTRADA",Movimientos!$R$5:$R$2001,0)),"-")</f>
        <v>-</v>
      </c>
      <c r="D492" s="3" t="str">
        <f>IFERROR(INDEX(Movimientos!$E$5:$E$2001,MATCH(A492&amp;"ENTRADA",Movimientos!$R$5:$R$2001,0)),"-")</f>
        <v>-</v>
      </c>
      <c r="E492" s="3" t="str">
        <f>IFERROR(INDEX(Movimientos!$F$5:$F$2001,MATCH(A492&amp;"ENTRADA",Movimientos!$R$5:$R$2001,0)),"-")</f>
        <v>-</v>
      </c>
      <c r="F492" s="3" t="str">
        <f>IFERROR(INDEX(Movimientos!$G$5:$G$2001,MATCH(A492&amp;"ENTRADA",Movimientos!$R$5:$R$2001,0)),"-")</f>
        <v>-</v>
      </c>
      <c r="G492" s="3" t="str">
        <f>IFERROR(INDEX(Movimientos!$L$5:$L$2001,MATCH(A492&amp;"ENTRADA",Movimientos!$R$5:$R$2001,0)),"-")</f>
        <v>-</v>
      </c>
      <c r="H492" s="19" t="str">
        <f>IFERROR(IF(INDEX(Movimientos!$M$5:$M$2001,MATCH(A492&amp;"ENTRADA",Movimientos!$R$5:$R$2001,0))=0,"S/D",INDEX(Movimientos!$M$5:$M$2001,MATCH(A492&amp;"ENTRADA",Movimientos!$R$5:$R$2001,0))),"S/D")</f>
        <v>S/D</v>
      </c>
      <c r="I492" s="16" t="str">
        <f t="shared" ca="1" si="16"/>
        <v>S/D</v>
      </c>
      <c r="J492" s="6">
        <f>IF(A492="","",SUMIFS(Movimientos!$K:$K,Movimientos!$H:$H,A492))</f>
        <v>0</v>
      </c>
      <c r="K492" s="14" t="str">
        <f t="shared" ca="1" si="17"/>
        <v>OK</v>
      </c>
    </row>
    <row r="493" spans="1:11">
      <c r="A493" s="18" t="s">
        <v>2554</v>
      </c>
      <c r="B493" s="3" t="str">
        <f>IFERROR(INDEX(Movimientos!$C$5:$C$2001,MATCH(A493&amp;"ENTRADA",Movimientos!$R$5:$R$2001,0)),"-")</f>
        <v>-</v>
      </c>
      <c r="C493" s="3" t="str">
        <f>IFERROR(INDEX(Movimientos!$D$5:$D$2001,MATCH(A493&amp;"ENTRADA",Movimientos!$R$5:$R$2001,0)),"-")</f>
        <v>-</v>
      </c>
      <c r="D493" s="3" t="str">
        <f>IFERROR(INDEX(Movimientos!$E$5:$E$2001,MATCH(A493&amp;"ENTRADA",Movimientos!$R$5:$R$2001,0)),"-")</f>
        <v>-</v>
      </c>
      <c r="E493" s="3" t="str">
        <f>IFERROR(INDEX(Movimientos!$F$5:$F$2001,MATCH(A493&amp;"ENTRADA",Movimientos!$R$5:$R$2001,0)),"-")</f>
        <v>-</v>
      </c>
      <c r="F493" s="3" t="str">
        <f>IFERROR(INDEX(Movimientos!$G$5:$G$2001,MATCH(A493&amp;"ENTRADA",Movimientos!$R$5:$R$2001,0)),"-")</f>
        <v>-</v>
      </c>
      <c r="G493" s="3" t="str">
        <f>IFERROR(INDEX(Movimientos!$L$5:$L$2001,MATCH(A493&amp;"ENTRADA",Movimientos!$R$5:$R$2001,0)),"-")</f>
        <v>-</v>
      </c>
      <c r="H493" s="19" t="str">
        <f>IFERROR(IF(INDEX(Movimientos!$M$5:$M$2001,MATCH(A493&amp;"ENTRADA",Movimientos!$R$5:$R$2001,0))=0,"S/D",INDEX(Movimientos!$M$5:$M$2001,MATCH(A493&amp;"ENTRADA",Movimientos!$R$5:$R$2001,0))),"S/D")</f>
        <v>S/D</v>
      </c>
      <c r="I493" s="16" t="str">
        <f t="shared" ca="1" si="16"/>
        <v>S/D</v>
      </c>
      <c r="J493" s="6">
        <f>IF(A493="","",SUMIFS(Movimientos!$K:$K,Movimientos!$H:$H,A493))</f>
        <v>0</v>
      </c>
      <c r="K493" s="14" t="str">
        <f t="shared" ca="1" si="17"/>
        <v>OK</v>
      </c>
    </row>
    <row r="494" spans="1:11">
      <c r="A494" s="18" t="s">
        <v>2555</v>
      </c>
      <c r="B494" s="3" t="str">
        <f>IFERROR(INDEX(Movimientos!$C$5:$C$2001,MATCH(A494&amp;"ENTRADA",Movimientos!$R$5:$R$2001,0)),"-")</f>
        <v>-</v>
      </c>
      <c r="C494" s="3" t="str">
        <f>IFERROR(INDEX(Movimientos!$D$5:$D$2001,MATCH(A494&amp;"ENTRADA",Movimientos!$R$5:$R$2001,0)),"-")</f>
        <v>-</v>
      </c>
      <c r="D494" s="3" t="str">
        <f>IFERROR(INDEX(Movimientos!$E$5:$E$2001,MATCH(A494&amp;"ENTRADA",Movimientos!$R$5:$R$2001,0)),"-")</f>
        <v>-</v>
      </c>
      <c r="E494" s="3" t="str">
        <f>IFERROR(INDEX(Movimientos!$F$5:$F$2001,MATCH(A494&amp;"ENTRADA",Movimientos!$R$5:$R$2001,0)),"-")</f>
        <v>-</v>
      </c>
      <c r="F494" s="3" t="str">
        <f>IFERROR(INDEX(Movimientos!$G$5:$G$2001,MATCH(A494&amp;"ENTRADA",Movimientos!$R$5:$R$2001,0)),"-")</f>
        <v>-</v>
      </c>
      <c r="G494" s="3" t="str">
        <f>IFERROR(INDEX(Movimientos!$L$5:$L$2001,MATCH(A494&amp;"ENTRADA",Movimientos!$R$5:$R$2001,0)),"-")</f>
        <v>-</v>
      </c>
      <c r="H494" s="19" t="str">
        <f>IFERROR(IF(INDEX(Movimientos!$M$5:$M$2001,MATCH(A494&amp;"ENTRADA",Movimientos!$R$5:$R$2001,0))=0,"S/D",INDEX(Movimientos!$M$5:$M$2001,MATCH(A494&amp;"ENTRADA",Movimientos!$R$5:$R$2001,0))),"S/D")</f>
        <v>S/D</v>
      </c>
      <c r="I494" s="16" t="str">
        <f t="shared" ca="1" si="16"/>
        <v>S/D</v>
      </c>
      <c r="J494" s="6">
        <f>IF(A494="","",SUMIFS(Movimientos!$K:$K,Movimientos!$H:$H,A494))</f>
        <v>0</v>
      </c>
      <c r="K494" s="14" t="str">
        <f t="shared" ca="1" si="17"/>
        <v>OK</v>
      </c>
    </row>
    <row r="495" spans="1:11">
      <c r="A495" s="18" t="s">
        <v>2556</v>
      </c>
      <c r="B495" s="3" t="str">
        <f>IFERROR(INDEX(Movimientos!$C$5:$C$2001,MATCH(A495&amp;"ENTRADA",Movimientos!$R$5:$R$2001,0)),"-")</f>
        <v>-</v>
      </c>
      <c r="C495" s="3" t="str">
        <f>IFERROR(INDEX(Movimientos!$D$5:$D$2001,MATCH(A495&amp;"ENTRADA",Movimientos!$R$5:$R$2001,0)),"-")</f>
        <v>-</v>
      </c>
      <c r="D495" s="3" t="str">
        <f>IFERROR(INDEX(Movimientos!$E$5:$E$2001,MATCH(A495&amp;"ENTRADA",Movimientos!$R$5:$R$2001,0)),"-")</f>
        <v>-</v>
      </c>
      <c r="E495" s="3" t="str">
        <f>IFERROR(INDEX(Movimientos!$F$5:$F$2001,MATCH(A495&amp;"ENTRADA",Movimientos!$R$5:$R$2001,0)),"-")</f>
        <v>-</v>
      </c>
      <c r="F495" s="3" t="str">
        <f>IFERROR(INDEX(Movimientos!$G$5:$G$2001,MATCH(A495&amp;"ENTRADA",Movimientos!$R$5:$R$2001,0)),"-")</f>
        <v>-</v>
      </c>
      <c r="G495" s="3" t="str">
        <f>IFERROR(INDEX(Movimientos!$L$5:$L$2001,MATCH(A495&amp;"ENTRADA",Movimientos!$R$5:$R$2001,0)),"-")</f>
        <v>-</v>
      </c>
      <c r="H495" s="19" t="str">
        <f>IFERROR(IF(INDEX(Movimientos!$M$5:$M$2001,MATCH(A495&amp;"ENTRADA",Movimientos!$R$5:$R$2001,0))=0,"S/D",INDEX(Movimientos!$M$5:$M$2001,MATCH(A495&amp;"ENTRADA",Movimientos!$R$5:$R$2001,0))),"S/D")</f>
        <v>S/D</v>
      </c>
      <c r="I495" s="16" t="str">
        <f t="shared" ca="1" si="16"/>
        <v>S/D</v>
      </c>
      <c r="J495" s="6">
        <f>IF(A495="","",SUMIFS(Movimientos!$K:$K,Movimientos!$H:$H,A495))</f>
        <v>0</v>
      </c>
      <c r="K495" s="14" t="str">
        <f t="shared" ca="1" si="17"/>
        <v>OK</v>
      </c>
    </row>
    <row r="496" spans="1:11">
      <c r="A496" s="18" t="s">
        <v>2557</v>
      </c>
      <c r="B496" s="3" t="str">
        <f>IFERROR(INDEX(Movimientos!$C$5:$C$2001,MATCH(A496&amp;"ENTRADA",Movimientos!$R$5:$R$2001,0)),"-")</f>
        <v>-</v>
      </c>
      <c r="C496" s="3" t="str">
        <f>IFERROR(INDEX(Movimientos!$D$5:$D$2001,MATCH(A496&amp;"ENTRADA",Movimientos!$R$5:$R$2001,0)),"-")</f>
        <v>-</v>
      </c>
      <c r="D496" s="3" t="str">
        <f>IFERROR(INDEX(Movimientos!$E$5:$E$2001,MATCH(A496&amp;"ENTRADA",Movimientos!$R$5:$R$2001,0)),"-")</f>
        <v>-</v>
      </c>
      <c r="E496" s="3" t="str">
        <f>IFERROR(INDEX(Movimientos!$F$5:$F$2001,MATCH(A496&amp;"ENTRADA",Movimientos!$R$5:$R$2001,0)),"-")</f>
        <v>-</v>
      </c>
      <c r="F496" s="3" t="str">
        <f>IFERROR(INDEX(Movimientos!$G$5:$G$2001,MATCH(A496&amp;"ENTRADA",Movimientos!$R$5:$R$2001,0)),"-")</f>
        <v>-</v>
      </c>
      <c r="G496" s="3" t="str">
        <f>IFERROR(INDEX(Movimientos!$L$5:$L$2001,MATCH(A496&amp;"ENTRADA",Movimientos!$R$5:$R$2001,0)),"-")</f>
        <v>-</v>
      </c>
      <c r="H496" s="19" t="str">
        <f>IFERROR(IF(INDEX(Movimientos!$M$5:$M$2001,MATCH(A496&amp;"ENTRADA",Movimientos!$R$5:$R$2001,0))=0,"S/D",INDEX(Movimientos!$M$5:$M$2001,MATCH(A496&amp;"ENTRADA",Movimientos!$R$5:$R$2001,0))),"S/D")</f>
        <v>S/D</v>
      </c>
      <c r="I496" s="16" t="str">
        <f t="shared" ca="1" si="16"/>
        <v>S/D</v>
      </c>
      <c r="J496" s="6">
        <f>IF(A496="","",SUMIFS(Movimientos!$K:$K,Movimientos!$H:$H,A496))</f>
        <v>0</v>
      </c>
      <c r="K496" s="14" t="str">
        <f t="shared" ca="1" si="17"/>
        <v>OK</v>
      </c>
    </row>
    <row r="497" spans="1:11">
      <c r="A497" s="18" t="s">
        <v>2558</v>
      </c>
      <c r="B497" s="3" t="str">
        <f>IFERROR(INDEX(Movimientos!$C$5:$C$2001,MATCH(A497&amp;"ENTRADA",Movimientos!$R$5:$R$2001,0)),"-")</f>
        <v>-</v>
      </c>
      <c r="C497" s="3" t="str">
        <f>IFERROR(INDEX(Movimientos!$D$5:$D$2001,MATCH(A497&amp;"ENTRADA",Movimientos!$R$5:$R$2001,0)),"-")</f>
        <v>-</v>
      </c>
      <c r="D497" s="3" t="str">
        <f>IFERROR(INDEX(Movimientos!$E$5:$E$2001,MATCH(A497&amp;"ENTRADA",Movimientos!$R$5:$R$2001,0)),"-")</f>
        <v>-</v>
      </c>
      <c r="E497" s="3" t="str">
        <f>IFERROR(INDEX(Movimientos!$F$5:$F$2001,MATCH(A497&amp;"ENTRADA",Movimientos!$R$5:$R$2001,0)),"-")</f>
        <v>-</v>
      </c>
      <c r="F497" s="3" t="str">
        <f>IFERROR(INDEX(Movimientos!$G$5:$G$2001,MATCH(A497&amp;"ENTRADA",Movimientos!$R$5:$R$2001,0)),"-")</f>
        <v>-</v>
      </c>
      <c r="G497" s="3" t="str">
        <f>IFERROR(INDEX(Movimientos!$L$5:$L$2001,MATCH(A497&amp;"ENTRADA",Movimientos!$R$5:$R$2001,0)),"-")</f>
        <v>-</v>
      </c>
      <c r="H497" s="19" t="str">
        <f>IFERROR(IF(INDEX(Movimientos!$M$5:$M$2001,MATCH(A497&amp;"ENTRADA",Movimientos!$R$5:$R$2001,0))=0,"S/D",INDEX(Movimientos!$M$5:$M$2001,MATCH(A497&amp;"ENTRADA",Movimientos!$R$5:$R$2001,0))),"S/D")</f>
        <v>S/D</v>
      </c>
      <c r="I497" s="16" t="str">
        <f t="shared" ca="1" si="16"/>
        <v>S/D</v>
      </c>
      <c r="J497" s="6">
        <f>IF(A497="","",SUMIFS(Movimientos!$K:$K,Movimientos!$H:$H,A497))</f>
        <v>0</v>
      </c>
      <c r="K497" s="14" t="str">
        <f t="shared" ca="1" si="17"/>
        <v>OK</v>
      </c>
    </row>
    <row r="498" spans="1:11">
      <c r="A498" s="18" t="s">
        <v>2559</v>
      </c>
      <c r="B498" s="3" t="str">
        <f>IFERROR(INDEX(Movimientos!$C$5:$C$2001,MATCH(A498&amp;"ENTRADA",Movimientos!$R$5:$R$2001,0)),"-")</f>
        <v>-</v>
      </c>
      <c r="C498" s="3" t="str">
        <f>IFERROR(INDEX(Movimientos!$D$5:$D$2001,MATCH(A498&amp;"ENTRADA",Movimientos!$R$5:$R$2001,0)),"-")</f>
        <v>-</v>
      </c>
      <c r="D498" s="3" t="str">
        <f>IFERROR(INDEX(Movimientos!$E$5:$E$2001,MATCH(A498&amp;"ENTRADA",Movimientos!$R$5:$R$2001,0)),"-")</f>
        <v>-</v>
      </c>
      <c r="E498" s="3" t="str">
        <f>IFERROR(INDEX(Movimientos!$F$5:$F$2001,MATCH(A498&amp;"ENTRADA",Movimientos!$R$5:$R$2001,0)),"-")</f>
        <v>-</v>
      </c>
      <c r="F498" s="3" t="str">
        <f>IFERROR(INDEX(Movimientos!$G$5:$G$2001,MATCH(A498&amp;"ENTRADA",Movimientos!$R$5:$R$2001,0)),"-")</f>
        <v>-</v>
      </c>
      <c r="G498" s="3" t="str">
        <f>IFERROR(INDEX(Movimientos!$L$5:$L$2001,MATCH(A498&amp;"ENTRADA",Movimientos!$R$5:$R$2001,0)),"-")</f>
        <v>-</v>
      </c>
      <c r="H498" s="19" t="str">
        <f>IFERROR(IF(INDEX(Movimientos!$M$5:$M$2001,MATCH(A498&amp;"ENTRADA",Movimientos!$R$5:$R$2001,0))=0,"S/D",INDEX(Movimientos!$M$5:$M$2001,MATCH(A498&amp;"ENTRADA",Movimientos!$R$5:$R$2001,0))),"S/D")</f>
        <v>S/D</v>
      </c>
      <c r="I498" s="16" t="str">
        <f t="shared" ca="1" si="16"/>
        <v>S/D</v>
      </c>
      <c r="J498" s="6">
        <f>IF(A498="","",SUMIFS(Movimientos!$K:$K,Movimientos!$H:$H,A498))</f>
        <v>0</v>
      </c>
      <c r="K498" s="14" t="str">
        <f t="shared" ca="1" si="17"/>
        <v>OK</v>
      </c>
    </row>
    <row r="499" spans="1:11">
      <c r="A499" s="18" t="s">
        <v>2560</v>
      </c>
      <c r="B499" s="3" t="str">
        <f>IFERROR(INDEX(Movimientos!$C$5:$C$2001,MATCH(A499&amp;"ENTRADA",Movimientos!$R$5:$R$2001,0)),"-")</f>
        <v>-</v>
      </c>
      <c r="C499" s="3" t="str">
        <f>IFERROR(INDEX(Movimientos!$D$5:$D$2001,MATCH(A499&amp;"ENTRADA",Movimientos!$R$5:$R$2001,0)),"-")</f>
        <v>-</v>
      </c>
      <c r="D499" s="3" t="str">
        <f>IFERROR(INDEX(Movimientos!$E$5:$E$2001,MATCH(A499&amp;"ENTRADA",Movimientos!$R$5:$R$2001,0)),"-")</f>
        <v>-</v>
      </c>
      <c r="E499" s="3" t="str">
        <f>IFERROR(INDEX(Movimientos!$F$5:$F$2001,MATCH(A499&amp;"ENTRADA",Movimientos!$R$5:$R$2001,0)),"-")</f>
        <v>-</v>
      </c>
      <c r="F499" s="3" t="str">
        <f>IFERROR(INDEX(Movimientos!$G$5:$G$2001,MATCH(A499&amp;"ENTRADA",Movimientos!$R$5:$R$2001,0)),"-")</f>
        <v>-</v>
      </c>
      <c r="G499" s="3" t="str">
        <f>IFERROR(INDEX(Movimientos!$L$5:$L$2001,MATCH(A499&amp;"ENTRADA",Movimientos!$R$5:$R$2001,0)),"-")</f>
        <v>-</v>
      </c>
      <c r="H499" s="19" t="str">
        <f>IFERROR(IF(INDEX(Movimientos!$M$5:$M$2001,MATCH(A499&amp;"ENTRADA",Movimientos!$R$5:$R$2001,0))=0,"S/D",INDEX(Movimientos!$M$5:$M$2001,MATCH(A499&amp;"ENTRADA",Movimientos!$R$5:$R$2001,0))),"S/D")</f>
        <v>S/D</v>
      </c>
      <c r="I499" s="16" t="str">
        <f t="shared" ca="1" si="16"/>
        <v>S/D</v>
      </c>
      <c r="J499" s="6">
        <f>IF(A499="","",SUMIFS(Movimientos!$K:$K,Movimientos!$H:$H,A499))</f>
        <v>0</v>
      </c>
      <c r="K499" s="14" t="str">
        <f t="shared" ca="1" si="17"/>
        <v>OK</v>
      </c>
    </row>
    <row r="500" spans="1:11">
      <c r="A500" s="18" t="s">
        <v>2561</v>
      </c>
      <c r="B500" s="3" t="str">
        <f>IFERROR(INDEX(Movimientos!$C$5:$C$2001,MATCH(A500&amp;"ENTRADA",Movimientos!$R$5:$R$2001,0)),"-")</f>
        <v>-</v>
      </c>
      <c r="C500" s="3" t="str">
        <f>IFERROR(INDEX(Movimientos!$D$5:$D$2001,MATCH(A500&amp;"ENTRADA",Movimientos!$R$5:$R$2001,0)),"-")</f>
        <v>-</v>
      </c>
      <c r="D500" s="3" t="str">
        <f>IFERROR(INDEX(Movimientos!$E$5:$E$2001,MATCH(A500&amp;"ENTRADA",Movimientos!$R$5:$R$2001,0)),"-")</f>
        <v>-</v>
      </c>
      <c r="E500" s="3" t="str">
        <f>IFERROR(INDEX(Movimientos!$F$5:$F$2001,MATCH(A500&amp;"ENTRADA",Movimientos!$R$5:$R$2001,0)),"-")</f>
        <v>-</v>
      </c>
      <c r="F500" s="3" t="str">
        <f>IFERROR(INDEX(Movimientos!$G$5:$G$2001,MATCH(A500&amp;"ENTRADA",Movimientos!$R$5:$R$2001,0)),"-")</f>
        <v>-</v>
      </c>
      <c r="G500" s="3" t="str">
        <f>IFERROR(INDEX(Movimientos!$L$5:$L$2001,MATCH(A500&amp;"ENTRADA",Movimientos!$R$5:$R$2001,0)),"-")</f>
        <v>-</v>
      </c>
      <c r="H500" s="19" t="str">
        <f>IFERROR(IF(INDEX(Movimientos!$M$5:$M$2001,MATCH(A500&amp;"ENTRADA",Movimientos!$R$5:$R$2001,0))=0,"S/D",INDEX(Movimientos!$M$5:$M$2001,MATCH(A500&amp;"ENTRADA",Movimientos!$R$5:$R$2001,0))),"S/D")</f>
        <v>S/D</v>
      </c>
      <c r="I500" s="16" t="str">
        <f t="shared" ca="1" si="16"/>
        <v>S/D</v>
      </c>
      <c r="J500" s="6">
        <f>IF(A500="","",SUMIFS(Movimientos!$K:$K,Movimientos!$H:$H,A500))</f>
        <v>0</v>
      </c>
      <c r="K500" s="14" t="str">
        <f t="shared" ca="1" si="17"/>
        <v>OK</v>
      </c>
    </row>
    <row r="501" spans="1:11">
      <c r="A501" s="18" t="s">
        <v>2562</v>
      </c>
      <c r="B501" s="3" t="str">
        <f>IFERROR(INDEX(Movimientos!$C$5:$C$2001,MATCH(A501&amp;"ENTRADA",Movimientos!$R$5:$R$2001,0)),"-")</f>
        <v>-</v>
      </c>
      <c r="C501" s="3" t="str">
        <f>IFERROR(INDEX(Movimientos!$D$5:$D$2001,MATCH(A501&amp;"ENTRADA",Movimientos!$R$5:$R$2001,0)),"-")</f>
        <v>-</v>
      </c>
      <c r="D501" s="3" t="str">
        <f>IFERROR(INDEX(Movimientos!$E$5:$E$2001,MATCH(A501&amp;"ENTRADA",Movimientos!$R$5:$R$2001,0)),"-")</f>
        <v>-</v>
      </c>
      <c r="E501" s="3" t="str">
        <f>IFERROR(INDEX(Movimientos!$F$5:$F$2001,MATCH(A501&amp;"ENTRADA",Movimientos!$R$5:$R$2001,0)),"-")</f>
        <v>-</v>
      </c>
      <c r="F501" s="3" t="str">
        <f>IFERROR(INDEX(Movimientos!$G$5:$G$2001,MATCH(A501&amp;"ENTRADA",Movimientos!$R$5:$R$2001,0)),"-")</f>
        <v>-</v>
      </c>
      <c r="G501" s="3" t="str">
        <f>IFERROR(INDEX(Movimientos!$L$5:$L$2001,MATCH(A501&amp;"ENTRADA",Movimientos!$R$5:$R$2001,0)),"-")</f>
        <v>-</v>
      </c>
      <c r="H501" s="19" t="str">
        <f>IFERROR(IF(INDEX(Movimientos!$M$5:$M$2001,MATCH(A501&amp;"ENTRADA",Movimientos!$R$5:$R$2001,0))=0,"S/D",INDEX(Movimientos!$M$5:$M$2001,MATCH(A501&amp;"ENTRADA",Movimientos!$R$5:$R$2001,0))),"S/D")</f>
        <v>S/D</v>
      </c>
      <c r="I501" s="16" t="str">
        <f t="shared" ca="1" si="16"/>
        <v>S/D</v>
      </c>
      <c r="J501" s="6">
        <f>IF(A501="","",SUMIFS(Movimientos!$K:$K,Movimientos!$H:$H,A501))</f>
        <v>0</v>
      </c>
      <c r="K501" s="14" t="str">
        <f t="shared" ca="1" si="17"/>
        <v>OK</v>
      </c>
    </row>
    <row r="502" spans="1:11">
      <c r="A502" s="18" t="s">
        <v>2563</v>
      </c>
      <c r="B502" s="3" t="str">
        <f>IFERROR(INDEX(Movimientos!$C$5:$C$2001,MATCH(A502&amp;"ENTRADA",Movimientos!$R$5:$R$2001,0)),"-")</f>
        <v>-</v>
      </c>
      <c r="C502" s="3" t="str">
        <f>IFERROR(INDEX(Movimientos!$D$5:$D$2001,MATCH(A502&amp;"ENTRADA",Movimientos!$R$5:$R$2001,0)),"-")</f>
        <v>-</v>
      </c>
      <c r="D502" s="3" t="str">
        <f>IFERROR(INDEX(Movimientos!$E$5:$E$2001,MATCH(A502&amp;"ENTRADA",Movimientos!$R$5:$R$2001,0)),"-")</f>
        <v>-</v>
      </c>
      <c r="E502" s="3" t="str">
        <f>IFERROR(INDEX(Movimientos!$F$5:$F$2001,MATCH(A502&amp;"ENTRADA",Movimientos!$R$5:$R$2001,0)),"-")</f>
        <v>-</v>
      </c>
      <c r="F502" s="3" t="str">
        <f>IFERROR(INDEX(Movimientos!$G$5:$G$2001,MATCH(A502&amp;"ENTRADA",Movimientos!$R$5:$R$2001,0)),"-")</f>
        <v>-</v>
      </c>
      <c r="G502" s="3" t="str">
        <f>IFERROR(INDEX(Movimientos!$L$5:$L$2001,MATCH(A502&amp;"ENTRADA",Movimientos!$R$5:$R$2001,0)),"-")</f>
        <v>-</v>
      </c>
      <c r="H502" s="19" t="str">
        <f>IFERROR(IF(INDEX(Movimientos!$M$5:$M$2001,MATCH(A502&amp;"ENTRADA",Movimientos!$R$5:$R$2001,0))=0,"S/D",INDEX(Movimientos!$M$5:$M$2001,MATCH(A502&amp;"ENTRADA",Movimientos!$R$5:$R$2001,0))),"S/D")</f>
        <v>S/D</v>
      </c>
      <c r="I502" s="16" t="str">
        <f t="shared" ca="1" si="16"/>
        <v>S/D</v>
      </c>
      <c r="J502" s="6">
        <f>IF(A502="","",SUMIFS(Movimientos!$K:$K,Movimientos!$H:$H,A502))</f>
        <v>0</v>
      </c>
      <c r="K502" s="14" t="str">
        <f t="shared" ca="1" si="17"/>
        <v>OK</v>
      </c>
    </row>
    <row r="503" spans="1:11">
      <c r="A503" s="18" t="s">
        <v>2564</v>
      </c>
      <c r="B503" s="3" t="str">
        <f>IFERROR(INDEX(Movimientos!$C$5:$C$2001,MATCH(A503&amp;"ENTRADA",Movimientos!$R$5:$R$2001,0)),"-")</f>
        <v>-</v>
      </c>
      <c r="C503" s="3" t="str">
        <f>IFERROR(INDEX(Movimientos!$D$5:$D$2001,MATCH(A503&amp;"ENTRADA",Movimientos!$R$5:$R$2001,0)),"-")</f>
        <v>-</v>
      </c>
      <c r="D503" s="3" t="str">
        <f>IFERROR(INDEX(Movimientos!$E$5:$E$2001,MATCH(A503&amp;"ENTRADA",Movimientos!$R$5:$R$2001,0)),"-")</f>
        <v>-</v>
      </c>
      <c r="E503" s="3" t="str">
        <f>IFERROR(INDEX(Movimientos!$F$5:$F$2001,MATCH(A503&amp;"ENTRADA",Movimientos!$R$5:$R$2001,0)),"-")</f>
        <v>-</v>
      </c>
      <c r="F503" s="3" t="str">
        <f>IFERROR(INDEX(Movimientos!$G$5:$G$2001,MATCH(A503&amp;"ENTRADA",Movimientos!$R$5:$R$2001,0)),"-")</f>
        <v>-</v>
      </c>
      <c r="G503" s="3" t="str">
        <f>IFERROR(INDEX(Movimientos!$L$5:$L$2001,MATCH(A503&amp;"ENTRADA",Movimientos!$R$5:$R$2001,0)),"-")</f>
        <v>-</v>
      </c>
      <c r="H503" s="19" t="str">
        <f>IFERROR(IF(INDEX(Movimientos!$M$5:$M$2001,MATCH(A503&amp;"ENTRADA",Movimientos!$R$5:$R$2001,0))=0,"S/D",INDEX(Movimientos!$M$5:$M$2001,MATCH(A503&amp;"ENTRADA",Movimientos!$R$5:$R$2001,0))),"S/D")</f>
        <v>S/D</v>
      </c>
      <c r="I503" s="16" t="str">
        <f t="shared" ca="1" si="16"/>
        <v>S/D</v>
      </c>
      <c r="J503" s="6">
        <f>IF(A503="","",SUMIFS(Movimientos!$K:$K,Movimientos!$H:$H,A503))</f>
        <v>0</v>
      </c>
      <c r="K503" s="14" t="str">
        <f t="shared" ca="1" si="17"/>
        <v>OK</v>
      </c>
    </row>
    <row r="504" spans="1:11">
      <c r="A504" s="18" t="s">
        <v>2565</v>
      </c>
      <c r="B504" s="3" t="str">
        <f>IFERROR(INDEX(Movimientos!$C$5:$C$2001,MATCH(A504&amp;"ENTRADA",Movimientos!$R$5:$R$2001,0)),"-")</f>
        <v>-</v>
      </c>
      <c r="C504" s="3" t="str">
        <f>IFERROR(INDEX(Movimientos!$D$5:$D$2001,MATCH(A504&amp;"ENTRADA",Movimientos!$R$5:$R$2001,0)),"-")</f>
        <v>-</v>
      </c>
      <c r="D504" s="3" t="str">
        <f>IFERROR(INDEX(Movimientos!$E$5:$E$2001,MATCH(A504&amp;"ENTRADA",Movimientos!$R$5:$R$2001,0)),"-")</f>
        <v>-</v>
      </c>
      <c r="E504" s="3" t="str">
        <f>IFERROR(INDEX(Movimientos!$F$5:$F$2001,MATCH(A504&amp;"ENTRADA",Movimientos!$R$5:$R$2001,0)),"-")</f>
        <v>-</v>
      </c>
      <c r="F504" s="3" t="str">
        <f>IFERROR(INDEX(Movimientos!$G$5:$G$2001,MATCH(A504&amp;"ENTRADA",Movimientos!$R$5:$R$2001,0)),"-")</f>
        <v>-</v>
      </c>
      <c r="G504" s="3" t="str">
        <f>IFERROR(INDEX(Movimientos!$L$5:$L$2001,MATCH(A504&amp;"ENTRADA",Movimientos!$R$5:$R$2001,0)),"-")</f>
        <v>-</v>
      </c>
      <c r="H504" s="19" t="str">
        <f>IFERROR(IF(INDEX(Movimientos!$M$5:$M$2001,MATCH(A504&amp;"ENTRADA",Movimientos!$R$5:$R$2001,0))=0,"S/D",INDEX(Movimientos!$M$5:$M$2001,MATCH(A504&amp;"ENTRADA",Movimientos!$R$5:$R$2001,0))),"S/D")</f>
        <v>S/D</v>
      </c>
      <c r="I504" s="16" t="str">
        <f t="shared" ca="1" si="16"/>
        <v>S/D</v>
      </c>
      <c r="J504" s="6">
        <f>IF(A504="","",SUMIFS(Movimientos!$K:$K,Movimientos!$H:$H,A504))</f>
        <v>0</v>
      </c>
      <c r="K504" s="14" t="str">
        <f t="shared" ca="1" si="17"/>
        <v>OK</v>
      </c>
    </row>
    <row r="505" spans="1:11">
      <c r="A505" s="18" t="s">
        <v>2566</v>
      </c>
      <c r="B505" s="3" t="str">
        <f>IFERROR(INDEX(Movimientos!$C$5:$C$2001,MATCH(A505&amp;"ENTRADA",Movimientos!$R$5:$R$2001,0)),"-")</f>
        <v>-</v>
      </c>
      <c r="C505" s="3" t="str">
        <f>IFERROR(INDEX(Movimientos!$D$5:$D$2001,MATCH(A505&amp;"ENTRADA",Movimientos!$R$5:$R$2001,0)),"-")</f>
        <v>-</v>
      </c>
      <c r="D505" s="3" t="str">
        <f>IFERROR(INDEX(Movimientos!$E$5:$E$2001,MATCH(A505&amp;"ENTRADA",Movimientos!$R$5:$R$2001,0)),"-")</f>
        <v>-</v>
      </c>
      <c r="E505" s="3" t="str">
        <f>IFERROR(INDEX(Movimientos!$F$5:$F$2001,MATCH(A505&amp;"ENTRADA",Movimientos!$R$5:$R$2001,0)),"-")</f>
        <v>-</v>
      </c>
      <c r="F505" s="3" t="str">
        <f>IFERROR(INDEX(Movimientos!$G$5:$G$2001,MATCH(A505&amp;"ENTRADA",Movimientos!$R$5:$R$2001,0)),"-")</f>
        <v>-</v>
      </c>
      <c r="G505" s="3" t="str">
        <f>IFERROR(INDEX(Movimientos!$L$5:$L$2001,MATCH(A505&amp;"ENTRADA",Movimientos!$R$5:$R$2001,0)),"-")</f>
        <v>-</v>
      </c>
      <c r="H505" s="19" t="str">
        <f>IFERROR(IF(INDEX(Movimientos!$M$5:$M$2001,MATCH(A505&amp;"ENTRADA",Movimientos!$R$5:$R$2001,0))=0,"S/D",INDEX(Movimientos!$M$5:$M$2001,MATCH(A505&amp;"ENTRADA",Movimientos!$R$5:$R$2001,0))),"S/D")</f>
        <v>S/D</v>
      </c>
      <c r="I505" s="16" t="str">
        <f t="shared" ca="1" si="16"/>
        <v>S/D</v>
      </c>
      <c r="J505" s="6">
        <f>IF(A505="","",SUMIFS(Movimientos!$K:$K,Movimientos!$H:$H,A505))</f>
        <v>0</v>
      </c>
      <c r="K505" s="14" t="str">
        <f t="shared" ca="1" si="17"/>
        <v>OK</v>
      </c>
    </row>
    <row r="506" spans="1:11">
      <c r="A506" s="18" t="s">
        <v>2567</v>
      </c>
      <c r="B506" s="3" t="str">
        <f>IFERROR(INDEX(Movimientos!$C$5:$C$2001,MATCH(A506&amp;"ENTRADA",Movimientos!$R$5:$R$2001,0)),"-")</f>
        <v>-</v>
      </c>
      <c r="C506" s="3" t="str">
        <f>IFERROR(INDEX(Movimientos!$D$5:$D$2001,MATCH(A506&amp;"ENTRADA",Movimientos!$R$5:$R$2001,0)),"-")</f>
        <v>-</v>
      </c>
      <c r="D506" s="3" t="str">
        <f>IFERROR(INDEX(Movimientos!$E$5:$E$2001,MATCH(A506&amp;"ENTRADA",Movimientos!$R$5:$R$2001,0)),"-")</f>
        <v>-</v>
      </c>
      <c r="E506" s="3" t="str">
        <f>IFERROR(INDEX(Movimientos!$F$5:$F$2001,MATCH(A506&amp;"ENTRADA",Movimientos!$R$5:$R$2001,0)),"-")</f>
        <v>-</v>
      </c>
      <c r="F506" s="3" t="str">
        <f>IFERROR(INDEX(Movimientos!$G$5:$G$2001,MATCH(A506&amp;"ENTRADA",Movimientos!$R$5:$R$2001,0)),"-")</f>
        <v>-</v>
      </c>
      <c r="G506" s="3" t="str">
        <f>IFERROR(INDEX(Movimientos!$L$5:$L$2001,MATCH(A506&amp;"ENTRADA",Movimientos!$R$5:$R$2001,0)),"-")</f>
        <v>-</v>
      </c>
      <c r="H506" s="19" t="str">
        <f>IFERROR(IF(INDEX(Movimientos!$M$5:$M$2001,MATCH(A506&amp;"ENTRADA",Movimientos!$R$5:$R$2001,0))=0,"S/D",INDEX(Movimientos!$M$5:$M$2001,MATCH(A506&amp;"ENTRADA",Movimientos!$R$5:$R$2001,0))),"S/D")</f>
        <v>S/D</v>
      </c>
      <c r="I506" s="16" t="str">
        <f t="shared" ca="1" si="16"/>
        <v>S/D</v>
      </c>
      <c r="J506" s="6">
        <f>IF(A506="","",SUMIFS(Movimientos!$K:$K,Movimientos!$H:$H,A506))</f>
        <v>0</v>
      </c>
      <c r="K506" s="14" t="str">
        <f t="shared" ca="1" si="17"/>
        <v>OK</v>
      </c>
    </row>
    <row r="507" spans="1:11">
      <c r="A507" s="18" t="s">
        <v>2568</v>
      </c>
      <c r="B507" s="3" t="str">
        <f>IFERROR(INDEX(Movimientos!$C$5:$C$2001,MATCH(A507&amp;"ENTRADA",Movimientos!$R$5:$R$2001,0)),"-")</f>
        <v>-</v>
      </c>
      <c r="C507" s="3" t="str">
        <f>IFERROR(INDEX(Movimientos!$D$5:$D$2001,MATCH(A507&amp;"ENTRADA",Movimientos!$R$5:$R$2001,0)),"-")</f>
        <v>-</v>
      </c>
      <c r="D507" s="3" t="str">
        <f>IFERROR(INDEX(Movimientos!$E$5:$E$2001,MATCH(A507&amp;"ENTRADA",Movimientos!$R$5:$R$2001,0)),"-")</f>
        <v>-</v>
      </c>
      <c r="E507" s="3" t="str">
        <f>IFERROR(INDEX(Movimientos!$F$5:$F$2001,MATCH(A507&amp;"ENTRADA",Movimientos!$R$5:$R$2001,0)),"-")</f>
        <v>-</v>
      </c>
      <c r="F507" s="3" t="str">
        <f>IFERROR(INDEX(Movimientos!$G$5:$G$2001,MATCH(A507&amp;"ENTRADA",Movimientos!$R$5:$R$2001,0)),"-")</f>
        <v>-</v>
      </c>
      <c r="G507" s="3" t="str">
        <f>IFERROR(INDEX(Movimientos!$L$5:$L$2001,MATCH(A507&amp;"ENTRADA",Movimientos!$R$5:$R$2001,0)),"-")</f>
        <v>-</v>
      </c>
      <c r="H507" s="19" t="str">
        <f>IFERROR(IF(INDEX(Movimientos!$M$5:$M$2001,MATCH(A507&amp;"ENTRADA",Movimientos!$R$5:$R$2001,0))=0,"S/D",INDEX(Movimientos!$M$5:$M$2001,MATCH(A507&amp;"ENTRADA",Movimientos!$R$5:$R$2001,0))),"S/D")</f>
        <v>S/D</v>
      </c>
      <c r="I507" s="16" t="str">
        <f t="shared" ca="1" si="16"/>
        <v>S/D</v>
      </c>
      <c r="J507" s="6">
        <f>IF(A507="","",SUMIFS(Movimientos!$K:$K,Movimientos!$H:$H,A507))</f>
        <v>0</v>
      </c>
      <c r="K507" s="14" t="str">
        <f t="shared" ca="1" si="17"/>
        <v>OK</v>
      </c>
    </row>
    <row r="508" spans="1:11">
      <c r="A508" s="18" t="s">
        <v>2569</v>
      </c>
      <c r="B508" s="3" t="str">
        <f>IFERROR(INDEX(Movimientos!$C$5:$C$2001,MATCH(A508&amp;"ENTRADA",Movimientos!$R$5:$R$2001,0)),"-")</f>
        <v>-</v>
      </c>
      <c r="C508" s="3" t="str">
        <f>IFERROR(INDEX(Movimientos!$D$5:$D$2001,MATCH(A508&amp;"ENTRADA",Movimientos!$R$5:$R$2001,0)),"-")</f>
        <v>-</v>
      </c>
      <c r="D508" s="3" t="str">
        <f>IFERROR(INDEX(Movimientos!$E$5:$E$2001,MATCH(A508&amp;"ENTRADA",Movimientos!$R$5:$R$2001,0)),"-")</f>
        <v>-</v>
      </c>
      <c r="E508" s="3" t="str">
        <f>IFERROR(INDEX(Movimientos!$F$5:$F$2001,MATCH(A508&amp;"ENTRADA",Movimientos!$R$5:$R$2001,0)),"-")</f>
        <v>-</v>
      </c>
      <c r="F508" s="3" t="str">
        <f>IFERROR(INDEX(Movimientos!$G$5:$G$2001,MATCH(A508&amp;"ENTRADA",Movimientos!$R$5:$R$2001,0)),"-")</f>
        <v>-</v>
      </c>
      <c r="G508" s="3" t="str">
        <f>IFERROR(INDEX(Movimientos!$L$5:$L$2001,MATCH(A508&amp;"ENTRADA",Movimientos!$R$5:$R$2001,0)),"-")</f>
        <v>-</v>
      </c>
      <c r="H508" s="19" t="str">
        <f>IFERROR(IF(INDEX(Movimientos!$M$5:$M$2001,MATCH(A508&amp;"ENTRADA",Movimientos!$R$5:$R$2001,0))=0,"S/D",INDEX(Movimientos!$M$5:$M$2001,MATCH(A508&amp;"ENTRADA",Movimientos!$R$5:$R$2001,0))),"S/D")</f>
        <v>S/D</v>
      </c>
      <c r="I508" s="16" t="str">
        <f t="shared" ca="1" si="16"/>
        <v>S/D</v>
      </c>
      <c r="J508" s="6">
        <f>IF(A508="","",SUMIFS(Movimientos!$K:$K,Movimientos!$H:$H,A508))</f>
        <v>0</v>
      </c>
      <c r="K508" s="14" t="str">
        <f t="shared" ca="1" si="17"/>
        <v>OK</v>
      </c>
    </row>
    <row r="509" spans="1:11">
      <c r="A509" s="18" t="s">
        <v>2570</v>
      </c>
      <c r="B509" s="3" t="str">
        <f>IFERROR(INDEX(Movimientos!$C$5:$C$2001,MATCH(A509&amp;"ENTRADA",Movimientos!$R$5:$R$2001,0)),"-")</f>
        <v>-</v>
      </c>
      <c r="C509" s="3" t="str">
        <f>IFERROR(INDEX(Movimientos!$D$5:$D$2001,MATCH(A509&amp;"ENTRADA",Movimientos!$R$5:$R$2001,0)),"-")</f>
        <v>-</v>
      </c>
      <c r="D509" s="3" t="str">
        <f>IFERROR(INDEX(Movimientos!$E$5:$E$2001,MATCH(A509&amp;"ENTRADA",Movimientos!$R$5:$R$2001,0)),"-")</f>
        <v>-</v>
      </c>
      <c r="E509" s="3" t="str">
        <f>IFERROR(INDEX(Movimientos!$F$5:$F$2001,MATCH(A509&amp;"ENTRADA",Movimientos!$R$5:$R$2001,0)),"-")</f>
        <v>-</v>
      </c>
      <c r="F509" s="3" t="str">
        <f>IFERROR(INDEX(Movimientos!$G$5:$G$2001,MATCH(A509&amp;"ENTRADA",Movimientos!$R$5:$R$2001,0)),"-")</f>
        <v>-</v>
      </c>
      <c r="G509" s="3" t="str">
        <f>IFERROR(INDEX(Movimientos!$L$5:$L$2001,MATCH(A509&amp;"ENTRADA",Movimientos!$R$5:$R$2001,0)),"-")</f>
        <v>-</v>
      </c>
      <c r="H509" s="19" t="str">
        <f>IFERROR(IF(INDEX(Movimientos!$M$5:$M$2001,MATCH(A509&amp;"ENTRADA",Movimientos!$R$5:$R$2001,0))=0,"S/D",INDEX(Movimientos!$M$5:$M$2001,MATCH(A509&amp;"ENTRADA",Movimientos!$R$5:$R$2001,0))),"S/D")</f>
        <v>S/D</v>
      </c>
      <c r="I509" s="16" t="str">
        <f t="shared" ca="1" si="16"/>
        <v>S/D</v>
      </c>
      <c r="J509" s="6">
        <f>IF(A509="","",SUMIFS(Movimientos!$K:$K,Movimientos!$H:$H,A509))</f>
        <v>0</v>
      </c>
      <c r="K509" s="14" t="str">
        <f t="shared" ca="1" si="17"/>
        <v>OK</v>
      </c>
    </row>
    <row r="510" spans="1:11">
      <c r="A510" s="18" t="s">
        <v>2571</v>
      </c>
      <c r="B510" s="3" t="str">
        <f>IFERROR(INDEX(Movimientos!$C$5:$C$2001,MATCH(A510&amp;"ENTRADA",Movimientos!$R$5:$R$2001,0)),"-")</f>
        <v>-</v>
      </c>
      <c r="C510" s="3" t="str">
        <f>IFERROR(INDEX(Movimientos!$D$5:$D$2001,MATCH(A510&amp;"ENTRADA",Movimientos!$R$5:$R$2001,0)),"-")</f>
        <v>-</v>
      </c>
      <c r="D510" s="3" t="str">
        <f>IFERROR(INDEX(Movimientos!$E$5:$E$2001,MATCH(A510&amp;"ENTRADA",Movimientos!$R$5:$R$2001,0)),"-")</f>
        <v>-</v>
      </c>
      <c r="E510" s="3" t="str">
        <f>IFERROR(INDEX(Movimientos!$F$5:$F$2001,MATCH(A510&amp;"ENTRADA",Movimientos!$R$5:$R$2001,0)),"-")</f>
        <v>-</v>
      </c>
      <c r="F510" s="3" t="str">
        <f>IFERROR(INDEX(Movimientos!$G$5:$G$2001,MATCH(A510&amp;"ENTRADA",Movimientos!$R$5:$R$2001,0)),"-")</f>
        <v>-</v>
      </c>
      <c r="G510" s="3" t="str">
        <f>IFERROR(INDEX(Movimientos!$L$5:$L$2001,MATCH(A510&amp;"ENTRADA",Movimientos!$R$5:$R$2001,0)),"-")</f>
        <v>-</v>
      </c>
      <c r="H510" s="19" t="str">
        <f>IFERROR(IF(INDEX(Movimientos!$M$5:$M$2001,MATCH(A510&amp;"ENTRADA",Movimientos!$R$5:$R$2001,0))=0,"S/D",INDEX(Movimientos!$M$5:$M$2001,MATCH(A510&amp;"ENTRADA",Movimientos!$R$5:$R$2001,0))),"S/D")</f>
        <v>S/D</v>
      </c>
      <c r="I510" s="16" t="str">
        <f t="shared" ca="1" si="16"/>
        <v>S/D</v>
      </c>
      <c r="J510" s="6">
        <f>IF(A510="","",SUMIFS(Movimientos!$K:$K,Movimientos!$H:$H,A510))</f>
        <v>0</v>
      </c>
      <c r="K510" s="14" t="str">
        <f t="shared" ca="1" si="17"/>
        <v>OK</v>
      </c>
    </row>
    <row r="511" spans="1:11">
      <c r="A511" s="18" t="s">
        <v>2572</v>
      </c>
      <c r="B511" s="3" t="str">
        <f>IFERROR(INDEX(Movimientos!$C$5:$C$2001,MATCH(A511&amp;"ENTRADA",Movimientos!$R$5:$R$2001,0)),"-")</f>
        <v>-</v>
      </c>
      <c r="C511" s="3" t="str">
        <f>IFERROR(INDEX(Movimientos!$D$5:$D$2001,MATCH(A511&amp;"ENTRADA",Movimientos!$R$5:$R$2001,0)),"-")</f>
        <v>-</v>
      </c>
      <c r="D511" s="3" t="str">
        <f>IFERROR(INDEX(Movimientos!$E$5:$E$2001,MATCH(A511&amp;"ENTRADA",Movimientos!$R$5:$R$2001,0)),"-")</f>
        <v>-</v>
      </c>
      <c r="E511" s="3" t="str">
        <f>IFERROR(INDEX(Movimientos!$F$5:$F$2001,MATCH(A511&amp;"ENTRADA",Movimientos!$R$5:$R$2001,0)),"-")</f>
        <v>-</v>
      </c>
      <c r="F511" s="3" t="str">
        <f>IFERROR(INDEX(Movimientos!$G$5:$G$2001,MATCH(A511&amp;"ENTRADA",Movimientos!$R$5:$R$2001,0)),"-")</f>
        <v>-</v>
      </c>
      <c r="G511" s="3" t="str">
        <f>IFERROR(INDEX(Movimientos!$L$5:$L$2001,MATCH(A511&amp;"ENTRADA",Movimientos!$R$5:$R$2001,0)),"-")</f>
        <v>-</v>
      </c>
      <c r="H511" s="19" t="str">
        <f>IFERROR(IF(INDEX(Movimientos!$M$5:$M$2001,MATCH(A511&amp;"ENTRADA",Movimientos!$R$5:$R$2001,0))=0,"S/D",INDEX(Movimientos!$M$5:$M$2001,MATCH(A511&amp;"ENTRADA",Movimientos!$R$5:$R$2001,0))),"S/D")</f>
        <v>S/D</v>
      </c>
      <c r="I511" s="16" t="str">
        <f t="shared" ca="1" si="16"/>
        <v>S/D</v>
      </c>
      <c r="J511" s="6">
        <f>IF(A511="","",SUMIFS(Movimientos!$K:$K,Movimientos!$H:$H,A511))</f>
        <v>0</v>
      </c>
      <c r="K511" s="14" t="str">
        <f t="shared" ca="1" si="17"/>
        <v>OK</v>
      </c>
    </row>
    <row r="512" spans="1:11">
      <c r="A512" s="18" t="s">
        <v>2573</v>
      </c>
      <c r="B512" s="3" t="str">
        <f>IFERROR(INDEX(Movimientos!$C$5:$C$2001,MATCH(A512&amp;"ENTRADA",Movimientos!$R$5:$R$2001,0)),"-")</f>
        <v>-</v>
      </c>
      <c r="C512" s="3" t="str">
        <f>IFERROR(INDEX(Movimientos!$D$5:$D$2001,MATCH(A512&amp;"ENTRADA",Movimientos!$R$5:$R$2001,0)),"-")</f>
        <v>-</v>
      </c>
      <c r="D512" s="3" t="str">
        <f>IFERROR(INDEX(Movimientos!$E$5:$E$2001,MATCH(A512&amp;"ENTRADA",Movimientos!$R$5:$R$2001,0)),"-")</f>
        <v>-</v>
      </c>
      <c r="E512" s="3" t="str">
        <f>IFERROR(INDEX(Movimientos!$F$5:$F$2001,MATCH(A512&amp;"ENTRADA",Movimientos!$R$5:$R$2001,0)),"-")</f>
        <v>-</v>
      </c>
      <c r="F512" s="3" t="str">
        <f>IFERROR(INDEX(Movimientos!$G$5:$G$2001,MATCH(A512&amp;"ENTRADA",Movimientos!$R$5:$R$2001,0)),"-")</f>
        <v>-</v>
      </c>
      <c r="G512" s="3" t="str">
        <f>IFERROR(INDEX(Movimientos!$L$5:$L$2001,MATCH(A512&amp;"ENTRADA",Movimientos!$R$5:$R$2001,0)),"-")</f>
        <v>-</v>
      </c>
      <c r="H512" s="19" t="str">
        <f>IFERROR(IF(INDEX(Movimientos!$M$5:$M$2001,MATCH(A512&amp;"ENTRADA",Movimientos!$R$5:$R$2001,0))=0,"S/D",INDEX(Movimientos!$M$5:$M$2001,MATCH(A512&amp;"ENTRADA",Movimientos!$R$5:$R$2001,0))),"S/D")</f>
        <v>S/D</v>
      </c>
      <c r="I512" s="16" t="str">
        <f t="shared" ca="1" si="16"/>
        <v>S/D</v>
      </c>
      <c r="J512" s="6">
        <f>IF(A512="","",SUMIFS(Movimientos!$K:$K,Movimientos!$H:$H,A512))</f>
        <v>0</v>
      </c>
      <c r="K512" s="14" t="str">
        <f t="shared" ca="1" si="17"/>
        <v>OK</v>
      </c>
    </row>
    <row r="513" spans="1:11">
      <c r="A513" s="18" t="s">
        <v>2574</v>
      </c>
      <c r="B513" s="3" t="str">
        <f>IFERROR(INDEX(Movimientos!$C$5:$C$2001,MATCH(A513&amp;"ENTRADA",Movimientos!$R$5:$R$2001,0)),"-")</f>
        <v>-</v>
      </c>
      <c r="C513" s="3" t="str">
        <f>IFERROR(INDEX(Movimientos!$D$5:$D$2001,MATCH(A513&amp;"ENTRADA",Movimientos!$R$5:$R$2001,0)),"-")</f>
        <v>-</v>
      </c>
      <c r="D513" s="3" t="str">
        <f>IFERROR(INDEX(Movimientos!$E$5:$E$2001,MATCH(A513&amp;"ENTRADA",Movimientos!$R$5:$R$2001,0)),"-")</f>
        <v>-</v>
      </c>
      <c r="E513" s="3" t="str">
        <f>IFERROR(INDEX(Movimientos!$F$5:$F$2001,MATCH(A513&amp;"ENTRADA",Movimientos!$R$5:$R$2001,0)),"-")</f>
        <v>-</v>
      </c>
      <c r="F513" s="3" t="str">
        <f>IFERROR(INDEX(Movimientos!$G$5:$G$2001,MATCH(A513&amp;"ENTRADA",Movimientos!$R$5:$R$2001,0)),"-")</f>
        <v>-</v>
      </c>
      <c r="G513" s="3" t="str">
        <f>IFERROR(INDEX(Movimientos!$L$5:$L$2001,MATCH(A513&amp;"ENTRADA",Movimientos!$R$5:$R$2001,0)),"-")</f>
        <v>-</v>
      </c>
      <c r="H513" s="19" t="str">
        <f>IFERROR(IF(INDEX(Movimientos!$M$5:$M$2001,MATCH(A513&amp;"ENTRADA",Movimientos!$R$5:$R$2001,0))=0,"S/D",INDEX(Movimientos!$M$5:$M$2001,MATCH(A513&amp;"ENTRADA",Movimientos!$R$5:$R$2001,0))),"S/D")</f>
        <v>S/D</v>
      </c>
      <c r="I513" s="16" t="str">
        <f t="shared" ca="1" si="16"/>
        <v>S/D</v>
      </c>
      <c r="J513" s="6">
        <f>IF(A513="","",SUMIFS(Movimientos!$K:$K,Movimientos!$H:$H,A513))</f>
        <v>0</v>
      </c>
      <c r="K513" s="14" t="str">
        <f t="shared" ca="1" si="17"/>
        <v>OK</v>
      </c>
    </row>
    <row r="514" spans="1:11">
      <c r="A514" s="18" t="s">
        <v>2575</v>
      </c>
      <c r="B514" s="3" t="str">
        <f>IFERROR(INDEX(Movimientos!$C$5:$C$2001,MATCH(A514&amp;"ENTRADA",Movimientos!$R$5:$R$2001,0)),"-")</f>
        <v>-</v>
      </c>
      <c r="C514" s="3" t="str">
        <f>IFERROR(INDEX(Movimientos!$D$5:$D$2001,MATCH(A514&amp;"ENTRADA",Movimientos!$R$5:$R$2001,0)),"-")</f>
        <v>-</v>
      </c>
      <c r="D514" s="3" t="str">
        <f>IFERROR(INDEX(Movimientos!$E$5:$E$2001,MATCH(A514&amp;"ENTRADA",Movimientos!$R$5:$R$2001,0)),"-")</f>
        <v>-</v>
      </c>
      <c r="E514" s="3" t="str">
        <f>IFERROR(INDEX(Movimientos!$F$5:$F$2001,MATCH(A514&amp;"ENTRADA",Movimientos!$R$5:$R$2001,0)),"-")</f>
        <v>-</v>
      </c>
      <c r="F514" s="3" t="str">
        <f>IFERROR(INDEX(Movimientos!$G$5:$G$2001,MATCH(A514&amp;"ENTRADA",Movimientos!$R$5:$R$2001,0)),"-")</f>
        <v>-</v>
      </c>
      <c r="G514" s="3" t="str">
        <f>IFERROR(INDEX(Movimientos!$L$5:$L$2001,MATCH(A514&amp;"ENTRADA",Movimientos!$R$5:$R$2001,0)),"-")</f>
        <v>-</v>
      </c>
      <c r="H514" s="19" t="str">
        <f>IFERROR(IF(INDEX(Movimientos!$M$5:$M$2001,MATCH(A514&amp;"ENTRADA",Movimientos!$R$5:$R$2001,0))=0,"S/D",INDEX(Movimientos!$M$5:$M$2001,MATCH(A514&amp;"ENTRADA",Movimientos!$R$5:$R$2001,0))),"S/D")</f>
        <v>S/D</v>
      </c>
      <c r="I514" s="16" t="str">
        <f t="shared" ca="1" si="16"/>
        <v>S/D</v>
      </c>
      <c r="J514" s="6">
        <f>IF(A514="","",SUMIFS(Movimientos!$K:$K,Movimientos!$H:$H,A514))</f>
        <v>0</v>
      </c>
      <c r="K514" s="14" t="str">
        <f t="shared" ca="1" si="17"/>
        <v>OK</v>
      </c>
    </row>
    <row r="515" spans="1:11">
      <c r="A515" s="18" t="s">
        <v>2576</v>
      </c>
      <c r="B515" s="3" t="str">
        <f>IFERROR(INDEX(Movimientos!$C$5:$C$2001,MATCH(A515&amp;"ENTRADA",Movimientos!$R$5:$R$2001,0)),"-")</f>
        <v>-</v>
      </c>
      <c r="C515" s="3" t="str">
        <f>IFERROR(INDEX(Movimientos!$D$5:$D$2001,MATCH(A515&amp;"ENTRADA",Movimientos!$R$5:$R$2001,0)),"-")</f>
        <v>-</v>
      </c>
      <c r="D515" s="3" t="str">
        <f>IFERROR(INDEX(Movimientos!$E$5:$E$2001,MATCH(A515&amp;"ENTRADA",Movimientos!$R$5:$R$2001,0)),"-")</f>
        <v>-</v>
      </c>
      <c r="E515" s="3" t="str">
        <f>IFERROR(INDEX(Movimientos!$F$5:$F$2001,MATCH(A515&amp;"ENTRADA",Movimientos!$R$5:$R$2001,0)),"-")</f>
        <v>-</v>
      </c>
      <c r="F515" s="3" t="str">
        <f>IFERROR(INDEX(Movimientos!$G$5:$G$2001,MATCH(A515&amp;"ENTRADA",Movimientos!$R$5:$R$2001,0)),"-")</f>
        <v>-</v>
      </c>
      <c r="G515" s="3" t="str">
        <f>IFERROR(INDEX(Movimientos!$L$5:$L$2001,MATCH(A515&amp;"ENTRADA",Movimientos!$R$5:$R$2001,0)),"-")</f>
        <v>-</v>
      </c>
      <c r="H515" s="19" t="str">
        <f>IFERROR(IF(INDEX(Movimientos!$M$5:$M$2001,MATCH(A515&amp;"ENTRADA",Movimientos!$R$5:$R$2001,0))=0,"S/D",INDEX(Movimientos!$M$5:$M$2001,MATCH(A515&amp;"ENTRADA",Movimientos!$R$5:$R$2001,0))),"S/D")</f>
        <v>S/D</v>
      </c>
      <c r="I515" s="16" t="str">
        <f t="shared" ca="1" si="16"/>
        <v>S/D</v>
      </c>
      <c r="J515" s="6">
        <f>IF(A515="","",SUMIFS(Movimientos!$K:$K,Movimientos!$H:$H,A515))</f>
        <v>0</v>
      </c>
      <c r="K515" s="14" t="str">
        <f t="shared" ca="1" si="17"/>
        <v>OK</v>
      </c>
    </row>
    <row r="516" spans="1:11">
      <c r="A516" s="18" t="s">
        <v>2577</v>
      </c>
      <c r="B516" s="3" t="str">
        <f>IFERROR(INDEX(Movimientos!$C$5:$C$2001,MATCH(A516&amp;"ENTRADA",Movimientos!$R$5:$R$2001,0)),"-")</f>
        <v>-</v>
      </c>
      <c r="C516" s="3" t="str">
        <f>IFERROR(INDEX(Movimientos!$D$5:$D$2001,MATCH(A516&amp;"ENTRADA",Movimientos!$R$5:$R$2001,0)),"-")</f>
        <v>-</v>
      </c>
      <c r="D516" s="3" t="str">
        <f>IFERROR(INDEX(Movimientos!$E$5:$E$2001,MATCH(A516&amp;"ENTRADA",Movimientos!$R$5:$R$2001,0)),"-")</f>
        <v>-</v>
      </c>
      <c r="E516" s="3" t="str">
        <f>IFERROR(INDEX(Movimientos!$F$5:$F$2001,MATCH(A516&amp;"ENTRADA",Movimientos!$R$5:$R$2001,0)),"-")</f>
        <v>-</v>
      </c>
      <c r="F516" s="3" t="str">
        <f>IFERROR(INDEX(Movimientos!$G$5:$G$2001,MATCH(A516&amp;"ENTRADA",Movimientos!$R$5:$R$2001,0)),"-")</f>
        <v>-</v>
      </c>
      <c r="G516" s="3" t="str">
        <f>IFERROR(INDEX(Movimientos!$L$5:$L$2001,MATCH(A516&amp;"ENTRADA",Movimientos!$R$5:$R$2001,0)),"-")</f>
        <v>-</v>
      </c>
      <c r="H516" s="19" t="str">
        <f>IFERROR(IF(INDEX(Movimientos!$M$5:$M$2001,MATCH(A516&amp;"ENTRADA",Movimientos!$R$5:$R$2001,0))=0,"S/D",INDEX(Movimientos!$M$5:$M$2001,MATCH(A516&amp;"ENTRADA",Movimientos!$R$5:$R$2001,0))),"S/D")</f>
        <v>S/D</v>
      </c>
      <c r="I516" s="16" t="str">
        <f t="shared" ca="1" si="16"/>
        <v>S/D</v>
      </c>
      <c r="J516" s="6">
        <f>IF(A516="","",SUMIFS(Movimientos!$K:$K,Movimientos!$H:$H,A516))</f>
        <v>0</v>
      </c>
      <c r="K516" s="14" t="str">
        <f t="shared" ca="1" si="17"/>
        <v>OK</v>
      </c>
    </row>
    <row r="517" spans="1:11">
      <c r="A517" s="18" t="s">
        <v>2578</v>
      </c>
      <c r="B517" s="3" t="str">
        <f>IFERROR(INDEX(Movimientos!$C$5:$C$2001,MATCH(A517&amp;"ENTRADA",Movimientos!$R$5:$R$2001,0)),"-")</f>
        <v>-</v>
      </c>
      <c r="C517" s="3" t="str">
        <f>IFERROR(INDEX(Movimientos!$D$5:$D$2001,MATCH(A517&amp;"ENTRADA",Movimientos!$R$5:$R$2001,0)),"-")</f>
        <v>-</v>
      </c>
      <c r="D517" s="3" t="str">
        <f>IFERROR(INDEX(Movimientos!$E$5:$E$2001,MATCH(A517&amp;"ENTRADA",Movimientos!$R$5:$R$2001,0)),"-")</f>
        <v>-</v>
      </c>
      <c r="E517" s="3" t="str">
        <f>IFERROR(INDEX(Movimientos!$F$5:$F$2001,MATCH(A517&amp;"ENTRADA",Movimientos!$R$5:$R$2001,0)),"-")</f>
        <v>-</v>
      </c>
      <c r="F517" s="3" t="str">
        <f>IFERROR(INDEX(Movimientos!$G$5:$G$2001,MATCH(A517&amp;"ENTRADA",Movimientos!$R$5:$R$2001,0)),"-")</f>
        <v>-</v>
      </c>
      <c r="G517" s="3" t="str">
        <f>IFERROR(INDEX(Movimientos!$L$5:$L$2001,MATCH(A517&amp;"ENTRADA",Movimientos!$R$5:$R$2001,0)),"-")</f>
        <v>-</v>
      </c>
      <c r="H517" s="19" t="str">
        <f>IFERROR(IF(INDEX(Movimientos!$M$5:$M$2001,MATCH(A517&amp;"ENTRADA",Movimientos!$R$5:$R$2001,0))=0,"S/D",INDEX(Movimientos!$M$5:$M$2001,MATCH(A517&amp;"ENTRADA",Movimientos!$R$5:$R$2001,0))),"S/D")</f>
        <v>S/D</v>
      </c>
      <c r="I517" s="16" t="str">
        <f t="shared" ca="1" si="16"/>
        <v>S/D</v>
      </c>
      <c r="J517" s="6">
        <f>IF(A517="","",SUMIFS(Movimientos!$K:$K,Movimientos!$H:$H,A517))</f>
        <v>0</v>
      </c>
      <c r="K517" s="14" t="str">
        <f t="shared" ca="1" si="17"/>
        <v>OK</v>
      </c>
    </row>
    <row r="518" spans="1:11">
      <c r="A518" s="18" t="s">
        <v>2579</v>
      </c>
      <c r="B518" s="3" t="str">
        <f>IFERROR(INDEX(Movimientos!$C$5:$C$2001,MATCH(A518&amp;"ENTRADA",Movimientos!$R$5:$R$2001,0)),"-")</f>
        <v>-</v>
      </c>
      <c r="C518" s="3" t="str">
        <f>IFERROR(INDEX(Movimientos!$D$5:$D$2001,MATCH(A518&amp;"ENTRADA",Movimientos!$R$5:$R$2001,0)),"-")</f>
        <v>-</v>
      </c>
      <c r="D518" s="3" t="str">
        <f>IFERROR(INDEX(Movimientos!$E$5:$E$2001,MATCH(A518&amp;"ENTRADA",Movimientos!$R$5:$R$2001,0)),"-")</f>
        <v>-</v>
      </c>
      <c r="E518" s="3" t="str">
        <f>IFERROR(INDEX(Movimientos!$F$5:$F$2001,MATCH(A518&amp;"ENTRADA",Movimientos!$R$5:$R$2001,0)),"-")</f>
        <v>-</v>
      </c>
      <c r="F518" s="3" t="str">
        <f>IFERROR(INDEX(Movimientos!$G$5:$G$2001,MATCH(A518&amp;"ENTRADA",Movimientos!$R$5:$R$2001,0)),"-")</f>
        <v>-</v>
      </c>
      <c r="G518" s="3" t="str">
        <f>IFERROR(INDEX(Movimientos!$L$5:$L$2001,MATCH(A518&amp;"ENTRADA",Movimientos!$R$5:$R$2001,0)),"-")</f>
        <v>-</v>
      </c>
      <c r="H518" s="19" t="str">
        <f>IFERROR(IF(INDEX(Movimientos!$M$5:$M$2001,MATCH(A518&amp;"ENTRADA",Movimientos!$R$5:$R$2001,0))=0,"S/D",INDEX(Movimientos!$M$5:$M$2001,MATCH(A518&amp;"ENTRADA",Movimientos!$R$5:$R$2001,0))),"S/D")</f>
        <v>S/D</v>
      </c>
      <c r="I518" s="16" t="str">
        <f t="shared" ca="1" si="16"/>
        <v>S/D</v>
      </c>
      <c r="J518" s="6">
        <f>IF(A518="","",SUMIFS(Movimientos!$K:$K,Movimientos!$H:$H,A518))</f>
        <v>0</v>
      </c>
      <c r="K518" s="14" t="str">
        <f t="shared" ca="1" si="17"/>
        <v>OK</v>
      </c>
    </row>
    <row r="519" spans="1:11">
      <c r="A519" s="18" t="s">
        <v>2580</v>
      </c>
      <c r="B519" s="3" t="str">
        <f>IFERROR(INDEX(Movimientos!$C$5:$C$2001,MATCH(A519&amp;"ENTRADA",Movimientos!$R$5:$R$2001,0)),"-")</f>
        <v>-</v>
      </c>
      <c r="C519" s="3" t="str">
        <f>IFERROR(INDEX(Movimientos!$D$5:$D$2001,MATCH(A519&amp;"ENTRADA",Movimientos!$R$5:$R$2001,0)),"-")</f>
        <v>-</v>
      </c>
      <c r="D519" s="3" t="str">
        <f>IFERROR(INDEX(Movimientos!$E$5:$E$2001,MATCH(A519&amp;"ENTRADA",Movimientos!$R$5:$R$2001,0)),"-")</f>
        <v>-</v>
      </c>
      <c r="E519" s="3" t="str">
        <f>IFERROR(INDEX(Movimientos!$F$5:$F$2001,MATCH(A519&amp;"ENTRADA",Movimientos!$R$5:$R$2001,0)),"-")</f>
        <v>-</v>
      </c>
      <c r="F519" s="3" t="str">
        <f>IFERROR(INDEX(Movimientos!$G$5:$G$2001,MATCH(A519&amp;"ENTRADA",Movimientos!$R$5:$R$2001,0)),"-")</f>
        <v>-</v>
      </c>
      <c r="G519" s="3" t="str">
        <f>IFERROR(INDEX(Movimientos!$L$5:$L$2001,MATCH(A519&amp;"ENTRADA",Movimientos!$R$5:$R$2001,0)),"-")</f>
        <v>-</v>
      </c>
      <c r="H519" s="19" t="str">
        <f>IFERROR(IF(INDEX(Movimientos!$M$5:$M$2001,MATCH(A519&amp;"ENTRADA",Movimientos!$R$5:$R$2001,0))=0,"S/D",INDEX(Movimientos!$M$5:$M$2001,MATCH(A519&amp;"ENTRADA",Movimientos!$R$5:$R$2001,0))),"S/D")</f>
        <v>S/D</v>
      </c>
      <c r="I519" s="16" t="str">
        <f t="shared" ca="1" si="16"/>
        <v>S/D</v>
      </c>
      <c r="J519" s="6">
        <f>IF(A519="","",SUMIFS(Movimientos!$K:$K,Movimientos!$H:$H,A519))</f>
        <v>0</v>
      </c>
      <c r="K519" s="14" t="str">
        <f t="shared" ca="1" si="17"/>
        <v>OK</v>
      </c>
    </row>
    <row r="520" spans="1:11">
      <c r="A520" s="18" t="s">
        <v>2581</v>
      </c>
      <c r="B520" s="3" t="str">
        <f>IFERROR(INDEX(Movimientos!$C$5:$C$2001,MATCH(A520&amp;"ENTRADA",Movimientos!$R$5:$R$2001,0)),"-")</f>
        <v>-</v>
      </c>
      <c r="C520" s="3" t="str">
        <f>IFERROR(INDEX(Movimientos!$D$5:$D$2001,MATCH(A520&amp;"ENTRADA",Movimientos!$R$5:$R$2001,0)),"-")</f>
        <v>-</v>
      </c>
      <c r="D520" s="3" t="str">
        <f>IFERROR(INDEX(Movimientos!$E$5:$E$2001,MATCH(A520&amp;"ENTRADA",Movimientos!$R$5:$R$2001,0)),"-")</f>
        <v>-</v>
      </c>
      <c r="E520" s="3" t="str">
        <f>IFERROR(INDEX(Movimientos!$F$5:$F$2001,MATCH(A520&amp;"ENTRADA",Movimientos!$R$5:$R$2001,0)),"-")</f>
        <v>-</v>
      </c>
      <c r="F520" s="3" t="str">
        <f>IFERROR(INDEX(Movimientos!$G$5:$G$2001,MATCH(A520&amp;"ENTRADA",Movimientos!$R$5:$R$2001,0)),"-")</f>
        <v>-</v>
      </c>
      <c r="G520" s="3" t="str">
        <f>IFERROR(INDEX(Movimientos!$L$5:$L$2001,MATCH(A520&amp;"ENTRADA",Movimientos!$R$5:$R$2001,0)),"-")</f>
        <v>-</v>
      </c>
      <c r="H520" s="19" t="str">
        <f>IFERROR(IF(INDEX(Movimientos!$M$5:$M$2001,MATCH(A520&amp;"ENTRADA",Movimientos!$R$5:$R$2001,0))=0,"S/D",INDEX(Movimientos!$M$5:$M$2001,MATCH(A520&amp;"ENTRADA",Movimientos!$R$5:$R$2001,0))),"S/D")</f>
        <v>S/D</v>
      </c>
      <c r="I520" s="16" t="str">
        <f t="shared" ca="1" si="16"/>
        <v>S/D</v>
      </c>
      <c r="J520" s="6">
        <f>IF(A520="","",SUMIFS(Movimientos!$K:$K,Movimientos!$H:$H,A520))</f>
        <v>0</v>
      </c>
      <c r="K520" s="14" t="str">
        <f t="shared" ca="1" si="17"/>
        <v>OK</v>
      </c>
    </row>
    <row r="521" spans="1:11">
      <c r="A521" s="18" t="s">
        <v>2582</v>
      </c>
      <c r="B521" s="3" t="str">
        <f>IFERROR(INDEX(Movimientos!$C$5:$C$2001,MATCH(A521&amp;"ENTRADA",Movimientos!$R$5:$R$2001,0)),"-")</f>
        <v>-</v>
      </c>
      <c r="C521" s="3" t="str">
        <f>IFERROR(INDEX(Movimientos!$D$5:$D$2001,MATCH(A521&amp;"ENTRADA",Movimientos!$R$5:$R$2001,0)),"-")</f>
        <v>-</v>
      </c>
      <c r="D521" s="3" t="str">
        <f>IFERROR(INDEX(Movimientos!$E$5:$E$2001,MATCH(A521&amp;"ENTRADA",Movimientos!$R$5:$R$2001,0)),"-")</f>
        <v>-</v>
      </c>
      <c r="E521" s="3" t="str">
        <f>IFERROR(INDEX(Movimientos!$F$5:$F$2001,MATCH(A521&amp;"ENTRADA",Movimientos!$R$5:$R$2001,0)),"-")</f>
        <v>-</v>
      </c>
      <c r="F521" s="3" t="str">
        <f>IFERROR(INDEX(Movimientos!$G$5:$G$2001,MATCH(A521&amp;"ENTRADA",Movimientos!$R$5:$R$2001,0)),"-")</f>
        <v>-</v>
      </c>
      <c r="G521" s="3" t="str">
        <f>IFERROR(INDEX(Movimientos!$L$5:$L$2001,MATCH(A521&amp;"ENTRADA",Movimientos!$R$5:$R$2001,0)),"-")</f>
        <v>-</v>
      </c>
      <c r="H521" s="19" t="str">
        <f>IFERROR(IF(INDEX(Movimientos!$M$5:$M$2001,MATCH(A521&amp;"ENTRADA",Movimientos!$R$5:$R$2001,0))=0,"S/D",INDEX(Movimientos!$M$5:$M$2001,MATCH(A521&amp;"ENTRADA",Movimientos!$R$5:$R$2001,0))),"S/D")</f>
        <v>S/D</v>
      </c>
      <c r="I521" s="16" t="str">
        <f t="shared" ca="1" si="16"/>
        <v>S/D</v>
      </c>
      <c r="J521" s="6">
        <f>IF(A521="","",SUMIFS(Movimientos!$K:$K,Movimientos!$H:$H,A521))</f>
        <v>0</v>
      </c>
      <c r="K521" s="14" t="str">
        <f t="shared" ca="1" si="17"/>
        <v>OK</v>
      </c>
    </row>
    <row r="522" spans="1:11">
      <c r="A522" s="18" t="s">
        <v>2583</v>
      </c>
      <c r="B522" s="3" t="str">
        <f>IFERROR(INDEX(Movimientos!$C$5:$C$2001,MATCH(A522&amp;"ENTRADA",Movimientos!$R$5:$R$2001,0)),"-")</f>
        <v>-</v>
      </c>
      <c r="C522" s="3" t="str">
        <f>IFERROR(INDEX(Movimientos!$D$5:$D$2001,MATCH(A522&amp;"ENTRADA",Movimientos!$R$5:$R$2001,0)),"-")</f>
        <v>-</v>
      </c>
      <c r="D522" s="3" t="str">
        <f>IFERROR(INDEX(Movimientos!$E$5:$E$2001,MATCH(A522&amp;"ENTRADA",Movimientos!$R$5:$R$2001,0)),"-")</f>
        <v>-</v>
      </c>
      <c r="E522" s="3" t="str">
        <f>IFERROR(INDEX(Movimientos!$F$5:$F$2001,MATCH(A522&amp;"ENTRADA",Movimientos!$R$5:$R$2001,0)),"-")</f>
        <v>-</v>
      </c>
      <c r="F522" s="3" t="str">
        <f>IFERROR(INDEX(Movimientos!$G$5:$G$2001,MATCH(A522&amp;"ENTRADA",Movimientos!$R$5:$R$2001,0)),"-")</f>
        <v>-</v>
      </c>
      <c r="G522" s="3" t="str">
        <f>IFERROR(INDEX(Movimientos!$L$5:$L$2001,MATCH(A522&amp;"ENTRADA",Movimientos!$R$5:$R$2001,0)),"-")</f>
        <v>-</v>
      </c>
      <c r="H522" s="19" t="str">
        <f>IFERROR(IF(INDEX(Movimientos!$M$5:$M$2001,MATCH(A522&amp;"ENTRADA",Movimientos!$R$5:$R$2001,0))=0,"S/D",INDEX(Movimientos!$M$5:$M$2001,MATCH(A522&amp;"ENTRADA",Movimientos!$R$5:$R$2001,0))),"S/D")</f>
        <v>S/D</v>
      </c>
      <c r="I522" s="16" t="str">
        <f t="shared" ca="1" si="16"/>
        <v>S/D</v>
      </c>
      <c r="J522" s="6">
        <f>IF(A522="","",SUMIFS(Movimientos!$K:$K,Movimientos!$H:$H,A522))</f>
        <v>0</v>
      </c>
      <c r="K522" s="14" t="str">
        <f t="shared" ca="1" si="17"/>
        <v>OK</v>
      </c>
    </row>
    <row r="523" spans="1:11">
      <c r="A523" s="18" t="s">
        <v>2584</v>
      </c>
      <c r="B523" s="3" t="str">
        <f>IFERROR(INDEX(Movimientos!$C$5:$C$2001,MATCH(A523&amp;"ENTRADA",Movimientos!$R$5:$R$2001,0)),"-")</f>
        <v>-</v>
      </c>
      <c r="C523" s="3" t="str">
        <f>IFERROR(INDEX(Movimientos!$D$5:$D$2001,MATCH(A523&amp;"ENTRADA",Movimientos!$R$5:$R$2001,0)),"-")</f>
        <v>-</v>
      </c>
      <c r="D523" s="3" t="str">
        <f>IFERROR(INDEX(Movimientos!$E$5:$E$2001,MATCH(A523&amp;"ENTRADA",Movimientos!$R$5:$R$2001,0)),"-")</f>
        <v>-</v>
      </c>
      <c r="E523" s="3" t="str">
        <f>IFERROR(INDEX(Movimientos!$F$5:$F$2001,MATCH(A523&amp;"ENTRADA",Movimientos!$R$5:$R$2001,0)),"-")</f>
        <v>-</v>
      </c>
      <c r="F523" s="3" t="str">
        <f>IFERROR(INDEX(Movimientos!$G$5:$G$2001,MATCH(A523&amp;"ENTRADA",Movimientos!$R$5:$R$2001,0)),"-")</f>
        <v>-</v>
      </c>
      <c r="G523" s="3" t="str">
        <f>IFERROR(INDEX(Movimientos!$L$5:$L$2001,MATCH(A523&amp;"ENTRADA",Movimientos!$R$5:$R$2001,0)),"-")</f>
        <v>-</v>
      </c>
      <c r="H523" s="19" t="str">
        <f>IFERROR(IF(INDEX(Movimientos!$M$5:$M$2001,MATCH(A523&amp;"ENTRADA",Movimientos!$R$5:$R$2001,0))=0,"S/D",INDEX(Movimientos!$M$5:$M$2001,MATCH(A523&amp;"ENTRADA",Movimientos!$R$5:$R$2001,0))),"S/D")</f>
        <v>S/D</v>
      </c>
      <c r="I523" s="16" t="str">
        <f t="shared" ref="I523:I586" ca="1" si="18">IF(OR(A523="",H523="S/D"),"S/D",H523-TODAY())</f>
        <v>S/D</v>
      </c>
      <c r="J523" s="6">
        <f>IF(A523="","",SUMIFS(Movimientos!$K:$K,Movimientos!$H:$H,A523))</f>
        <v>0</v>
      </c>
      <c r="K523" s="14" t="str">
        <f t="shared" ref="K523:K586" ca="1" si="19">IF(A523="","",IF(H523="S/D","OK",IF(H523&lt;TODAY(),"VENCIDO",IF(J523&lt;=0,"SIN STOCK",IF(I523&gt;=180,"OK","PRÓXIMO A VENCER")))))</f>
        <v>OK</v>
      </c>
    </row>
    <row r="524" spans="1:11">
      <c r="A524" s="18" t="s">
        <v>2585</v>
      </c>
      <c r="B524" s="3" t="str">
        <f>IFERROR(INDEX(Movimientos!$C$5:$C$2001,MATCH(A524&amp;"ENTRADA",Movimientos!$R$5:$R$2001,0)),"-")</f>
        <v>-</v>
      </c>
      <c r="C524" s="3" t="str">
        <f>IFERROR(INDEX(Movimientos!$D$5:$D$2001,MATCH(A524&amp;"ENTRADA",Movimientos!$R$5:$R$2001,0)),"-")</f>
        <v>-</v>
      </c>
      <c r="D524" s="3" t="str">
        <f>IFERROR(INDEX(Movimientos!$E$5:$E$2001,MATCH(A524&amp;"ENTRADA",Movimientos!$R$5:$R$2001,0)),"-")</f>
        <v>-</v>
      </c>
      <c r="E524" s="3" t="str">
        <f>IFERROR(INDEX(Movimientos!$F$5:$F$2001,MATCH(A524&amp;"ENTRADA",Movimientos!$R$5:$R$2001,0)),"-")</f>
        <v>-</v>
      </c>
      <c r="F524" s="3" t="str">
        <f>IFERROR(INDEX(Movimientos!$G$5:$G$2001,MATCH(A524&amp;"ENTRADA",Movimientos!$R$5:$R$2001,0)),"-")</f>
        <v>-</v>
      </c>
      <c r="G524" s="3" t="str">
        <f>IFERROR(INDEX(Movimientos!$L$5:$L$2001,MATCH(A524&amp;"ENTRADA",Movimientos!$R$5:$R$2001,0)),"-")</f>
        <v>-</v>
      </c>
      <c r="H524" s="19" t="str">
        <f>IFERROR(IF(INDEX(Movimientos!$M$5:$M$2001,MATCH(A524&amp;"ENTRADA",Movimientos!$R$5:$R$2001,0))=0,"S/D",INDEX(Movimientos!$M$5:$M$2001,MATCH(A524&amp;"ENTRADA",Movimientos!$R$5:$R$2001,0))),"S/D")</f>
        <v>S/D</v>
      </c>
      <c r="I524" s="16" t="str">
        <f t="shared" ca="1" si="18"/>
        <v>S/D</v>
      </c>
      <c r="J524" s="6">
        <f>IF(A524="","",SUMIFS(Movimientos!$K:$K,Movimientos!$H:$H,A524))</f>
        <v>0</v>
      </c>
      <c r="K524" s="14" t="str">
        <f t="shared" ca="1" si="19"/>
        <v>OK</v>
      </c>
    </row>
    <row r="525" spans="1:11">
      <c r="A525" s="18" t="s">
        <v>2586</v>
      </c>
      <c r="B525" s="3" t="str">
        <f>IFERROR(INDEX(Movimientos!$C$5:$C$2001,MATCH(A525&amp;"ENTRADA",Movimientos!$R$5:$R$2001,0)),"-")</f>
        <v>-</v>
      </c>
      <c r="C525" s="3" t="str">
        <f>IFERROR(INDEX(Movimientos!$D$5:$D$2001,MATCH(A525&amp;"ENTRADA",Movimientos!$R$5:$R$2001,0)),"-")</f>
        <v>-</v>
      </c>
      <c r="D525" s="3" t="str">
        <f>IFERROR(INDEX(Movimientos!$E$5:$E$2001,MATCH(A525&amp;"ENTRADA",Movimientos!$R$5:$R$2001,0)),"-")</f>
        <v>-</v>
      </c>
      <c r="E525" s="3" t="str">
        <f>IFERROR(INDEX(Movimientos!$F$5:$F$2001,MATCH(A525&amp;"ENTRADA",Movimientos!$R$5:$R$2001,0)),"-")</f>
        <v>-</v>
      </c>
      <c r="F525" s="3" t="str">
        <f>IFERROR(INDEX(Movimientos!$G$5:$G$2001,MATCH(A525&amp;"ENTRADA",Movimientos!$R$5:$R$2001,0)),"-")</f>
        <v>-</v>
      </c>
      <c r="G525" s="3" t="str">
        <f>IFERROR(INDEX(Movimientos!$L$5:$L$2001,MATCH(A525&amp;"ENTRADA",Movimientos!$R$5:$R$2001,0)),"-")</f>
        <v>-</v>
      </c>
      <c r="H525" s="19" t="str">
        <f>IFERROR(IF(INDEX(Movimientos!$M$5:$M$2001,MATCH(A525&amp;"ENTRADA",Movimientos!$R$5:$R$2001,0))=0,"S/D",INDEX(Movimientos!$M$5:$M$2001,MATCH(A525&amp;"ENTRADA",Movimientos!$R$5:$R$2001,0))),"S/D")</f>
        <v>S/D</v>
      </c>
      <c r="I525" s="16" t="str">
        <f t="shared" ca="1" si="18"/>
        <v>S/D</v>
      </c>
      <c r="J525" s="6">
        <f>IF(A525="","",SUMIFS(Movimientos!$K:$K,Movimientos!$H:$H,A525))</f>
        <v>0</v>
      </c>
      <c r="K525" s="14" t="str">
        <f t="shared" ca="1" si="19"/>
        <v>OK</v>
      </c>
    </row>
    <row r="526" spans="1:11">
      <c r="A526" s="18" t="s">
        <v>2587</v>
      </c>
      <c r="B526" s="3" t="str">
        <f>IFERROR(INDEX(Movimientos!$C$5:$C$2001,MATCH(A526&amp;"ENTRADA",Movimientos!$R$5:$R$2001,0)),"-")</f>
        <v>-</v>
      </c>
      <c r="C526" s="3" t="str">
        <f>IFERROR(INDEX(Movimientos!$D$5:$D$2001,MATCH(A526&amp;"ENTRADA",Movimientos!$R$5:$R$2001,0)),"-")</f>
        <v>-</v>
      </c>
      <c r="D526" s="3" t="str">
        <f>IFERROR(INDEX(Movimientos!$E$5:$E$2001,MATCH(A526&amp;"ENTRADA",Movimientos!$R$5:$R$2001,0)),"-")</f>
        <v>-</v>
      </c>
      <c r="E526" s="3" t="str">
        <f>IFERROR(INDEX(Movimientos!$F$5:$F$2001,MATCH(A526&amp;"ENTRADA",Movimientos!$R$5:$R$2001,0)),"-")</f>
        <v>-</v>
      </c>
      <c r="F526" s="3" t="str">
        <f>IFERROR(INDEX(Movimientos!$G$5:$G$2001,MATCH(A526&amp;"ENTRADA",Movimientos!$R$5:$R$2001,0)),"-")</f>
        <v>-</v>
      </c>
      <c r="G526" s="3" t="str">
        <f>IFERROR(INDEX(Movimientos!$L$5:$L$2001,MATCH(A526&amp;"ENTRADA",Movimientos!$R$5:$R$2001,0)),"-")</f>
        <v>-</v>
      </c>
      <c r="H526" s="19" t="str">
        <f>IFERROR(IF(INDEX(Movimientos!$M$5:$M$2001,MATCH(A526&amp;"ENTRADA",Movimientos!$R$5:$R$2001,0))=0,"S/D",INDEX(Movimientos!$M$5:$M$2001,MATCH(A526&amp;"ENTRADA",Movimientos!$R$5:$R$2001,0))),"S/D")</f>
        <v>S/D</v>
      </c>
      <c r="I526" s="16" t="str">
        <f t="shared" ca="1" si="18"/>
        <v>S/D</v>
      </c>
      <c r="J526" s="6">
        <f>IF(A526="","",SUMIFS(Movimientos!$K:$K,Movimientos!$H:$H,A526))</f>
        <v>0</v>
      </c>
      <c r="K526" s="14" t="str">
        <f t="shared" ca="1" si="19"/>
        <v>OK</v>
      </c>
    </row>
    <row r="527" spans="1:11">
      <c r="A527" s="18" t="s">
        <v>2588</v>
      </c>
      <c r="B527" s="3" t="str">
        <f>IFERROR(INDEX(Movimientos!$C$5:$C$2001,MATCH(A527&amp;"ENTRADA",Movimientos!$R$5:$R$2001,0)),"-")</f>
        <v>-</v>
      </c>
      <c r="C527" s="3" t="str">
        <f>IFERROR(INDEX(Movimientos!$D$5:$D$2001,MATCH(A527&amp;"ENTRADA",Movimientos!$R$5:$R$2001,0)),"-")</f>
        <v>-</v>
      </c>
      <c r="D527" s="3" t="str">
        <f>IFERROR(INDEX(Movimientos!$E$5:$E$2001,MATCH(A527&amp;"ENTRADA",Movimientos!$R$5:$R$2001,0)),"-")</f>
        <v>-</v>
      </c>
      <c r="E527" s="3" t="str">
        <f>IFERROR(INDEX(Movimientos!$F$5:$F$2001,MATCH(A527&amp;"ENTRADA",Movimientos!$R$5:$R$2001,0)),"-")</f>
        <v>-</v>
      </c>
      <c r="F527" s="3" t="str">
        <f>IFERROR(INDEX(Movimientos!$G$5:$G$2001,MATCH(A527&amp;"ENTRADA",Movimientos!$R$5:$R$2001,0)),"-")</f>
        <v>-</v>
      </c>
      <c r="G527" s="3" t="str">
        <f>IFERROR(INDEX(Movimientos!$L$5:$L$2001,MATCH(A527&amp;"ENTRADA",Movimientos!$R$5:$R$2001,0)),"-")</f>
        <v>-</v>
      </c>
      <c r="H527" s="19" t="str">
        <f>IFERROR(IF(INDEX(Movimientos!$M$5:$M$2001,MATCH(A527&amp;"ENTRADA",Movimientos!$R$5:$R$2001,0))=0,"S/D",INDEX(Movimientos!$M$5:$M$2001,MATCH(A527&amp;"ENTRADA",Movimientos!$R$5:$R$2001,0))),"S/D")</f>
        <v>S/D</v>
      </c>
      <c r="I527" s="16" t="str">
        <f t="shared" ca="1" si="18"/>
        <v>S/D</v>
      </c>
      <c r="J527" s="6">
        <f>IF(A527="","",SUMIFS(Movimientos!$K:$K,Movimientos!$H:$H,A527))</f>
        <v>0</v>
      </c>
      <c r="K527" s="14" t="str">
        <f t="shared" ca="1" si="19"/>
        <v>OK</v>
      </c>
    </row>
    <row r="528" spans="1:11">
      <c r="A528" s="18" t="s">
        <v>2589</v>
      </c>
      <c r="B528" s="3" t="str">
        <f>IFERROR(INDEX(Movimientos!$C$5:$C$2001,MATCH(A528&amp;"ENTRADA",Movimientos!$R$5:$R$2001,0)),"-")</f>
        <v>-</v>
      </c>
      <c r="C528" s="3" t="str">
        <f>IFERROR(INDEX(Movimientos!$D$5:$D$2001,MATCH(A528&amp;"ENTRADA",Movimientos!$R$5:$R$2001,0)),"-")</f>
        <v>-</v>
      </c>
      <c r="D528" s="3" t="str">
        <f>IFERROR(INDEX(Movimientos!$E$5:$E$2001,MATCH(A528&amp;"ENTRADA",Movimientos!$R$5:$R$2001,0)),"-")</f>
        <v>-</v>
      </c>
      <c r="E528" s="3" t="str">
        <f>IFERROR(INDEX(Movimientos!$F$5:$F$2001,MATCH(A528&amp;"ENTRADA",Movimientos!$R$5:$R$2001,0)),"-")</f>
        <v>-</v>
      </c>
      <c r="F528" s="3" t="str">
        <f>IFERROR(INDEX(Movimientos!$G$5:$G$2001,MATCH(A528&amp;"ENTRADA",Movimientos!$R$5:$R$2001,0)),"-")</f>
        <v>-</v>
      </c>
      <c r="G528" s="3" t="str">
        <f>IFERROR(INDEX(Movimientos!$L$5:$L$2001,MATCH(A528&amp;"ENTRADA",Movimientos!$R$5:$R$2001,0)),"-")</f>
        <v>-</v>
      </c>
      <c r="H528" s="19" t="str">
        <f>IFERROR(IF(INDEX(Movimientos!$M$5:$M$2001,MATCH(A528&amp;"ENTRADA",Movimientos!$R$5:$R$2001,0))=0,"S/D",INDEX(Movimientos!$M$5:$M$2001,MATCH(A528&amp;"ENTRADA",Movimientos!$R$5:$R$2001,0))),"S/D")</f>
        <v>S/D</v>
      </c>
      <c r="I528" s="16" t="str">
        <f t="shared" ca="1" si="18"/>
        <v>S/D</v>
      </c>
      <c r="J528" s="6">
        <f>IF(A528="","",SUMIFS(Movimientos!$K:$K,Movimientos!$H:$H,A528))</f>
        <v>0</v>
      </c>
      <c r="K528" s="14" t="str">
        <f t="shared" ca="1" si="19"/>
        <v>OK</v>
      </c>
    </row>
    <row r="529" spans="1:11">
      <c r="A529" s="18" t="s">
        <v>2590</v>
      </c>
      <c r="B529" s="3" t="str">
        <f>IFERROR(INDEX(Movimientos!$C$5:$C$2001,MATCH(A529&amp;"ENTRADA",Movimientos!$R$5:$R$2001,0)),"-")</f>
        <v>-</v>
      </c>
      <c r="C529" s="3" t="str">
        <f>IFERROR(INDEX(Movimientos!$D$5:$D$2001,MATCH(A529&amp;"ENTRADA",Movimientos!$R$5:$R$2001,0)),"-")</f>
        <v>-</v>
      </c>
      <c r="D529" s="3" t="str">
        <f>IFERROR(INDEX(Movimientos!$E$5:$E$2001,MATCH(A529&amp;"ENTRADA",Movimientos!$R$5:$R$2001,0)),"-")</f>
        <v>-</v>
      </c>
      <c r="E529" s="3" t="str">
        <f>IFERROR(INDEX(Movimientos!$F$5:$F$2001,MATCH(A529&amp;"ENTRADA",Movimientos!$R$5:$R$2001,0)),"-")</f>
        <v>-</v>
      </c>
      <c r="F529" s="3" t="str">
        <f>IFERROR(INDEX(Movimientos!$G$5:$G$2001,MATCH(A529&amp;"ENTRADA",Movimientos!$R$5:$R$2001,0)),"-")</f>
        <v>-</v>
      </c>
      <c r="G529" s="3" t="str">
        <f>IFERROR(INDEX(Movimientos!$L$5:$L$2001,MATCH(A529&amp;"ENTRADA",Movimientos!$R$5:$R$2001,0)),"-")</f>
        <v>-</v>
      </c>
      <c r="H529" s="19" t="str">
        <f>IFERROR(IF(INDEX(Movimientos!$M$5:$M$2001,MATCH(A529&amp;"ENTRADA",Movimientos!$R$5:$R$2001,0))=0,"S/D",INDEX(Movimientos!$M$5:$M$2001,MATCH(A529&amp;"ENTRADA",Movimientos!$R$5:$R$2001,0))),"S/D")</f>
        <v>S/D</v>
      </c>
      <c r="I529" s="16" t="str">
        <f t="shared" ca="1" si="18"/>
        <v>S/D</v>
      </c>
      <c r="J529" s="6">
        <f>IF(A529="","",SUMIFS(Movimientos!$K:$K,Movimientos!$H:$H,A529))</f>
        <v>0</v>
      </c>
      <c r="K529" s="14" t="str">
        <f t="shared" ca="1" si="19"/>
        <v>OK</v>
      </c>
    </row>
    <row r="530" spans="1:11">
      <c r="A530" s="18" t="s">
        <v>2591</v>
      </c>
      <c r="B530" s="3" t="str">
        <f>IFERROR(INDEX(Movimientos!$C$5:$C$2001,MATCH(A530&amp;"ENTRADA",Movimientos!$R$5:$R$2001,0)),"-")</f>
        <v>-</v>
      </c>
      <c r="C530" s="3" t="str">
        <f>IFERROR(INDEX(Movimientos!$D$5:$D$2001,MATCH(A530&amp;"ENTRADA",Movimientos!$R$5:$R$2001,0)),"-")</f>
        <v>-</v>
      </c>
      <c r="D530" s="3" t="str">
        <f>IFERROR(INDEX(Movimientos!$E$5:$E$2001,MATCH(A530&amp;"ENTRADA",Movimientos!$R$5:$R$2001,0)),"-")</f>
        <v>-</v>
      </c>
      <c r="E530" s="3" t="str">
        <f>IFERROR(INDEX(Movimientos!$F$5:$F$2001,MATCH(A530&amp;"ENTRADA",Movimientos!$R$5:$R$2001,0)),"-")</f>
        <v>-</v>
      </c>
      <c r="F530" s="3" t="str">
        <f>IFERROR(INDEX(Movimientos!$G$5:$G$2001,MATCH(A530&amp;"ENTRADA",Movimientos!$R$5:$R$2001,0)),"-")</f>
        <v>-</v>
      </c>
      <c r="G530" s="3" t="str">
        <f>IFERROR(INDEX(Movimientos!$L$5:$L$2001,MATCH(A530&amp;"ENTRADA",Movimientos!$R$5:$R$2001,0)),"-")</f>
        <v>-</v>
      </c>
      <c r="H530" s="19" t="str">
        <f>IFERROR(IF(INDEX(Movimientos!$M$5:$M$2001,MATCH(A530&amp;"ENTRADA",Movimientos!$R$5:$R$2001,0))=0,"S/D",INDEX(Movimientos!$M$5:$M$2001,MATCH(A530&amp;"ENTRADA",Movimientos!$R$5:$R$2001,0))),"S/D")</f>
        <v>S/D</v>
      </c>
      <c r="I530" s="16" t="str">
        <f t="shared" ca="1" si="18"/>
        <v>S/D</v>
      </c>
      <c r="J530" s="6">
        <f>IF(A530="","",SUMIFS(Movimientos!$K:$K,Movimientos!$H:$H,A530))</f>
        <v>0</v>
      </c>
      <c r="K530" s="14" t="str">
        <f t="shared" ca="1" si="19"/>
        <v>OK</v>
      </c>
    </row>
    <row r="531" spans="1:11">
      <c r="A531" s="18" t="s">
        <v>2592</v>
      </c>
      <c r="B531" s="3" t="str">
        <f>IFERROR(INDEX(Movimientos!$C$5:$C$2001,MATCH(A531&amp;"ENTRADA",Movimientos!$R$5:$R$2001,0)),"-")</f>
        <v>-</v>
      </c>
      <c r="C531" s="3" t="str">
        <f>IFERROR(INDEX(Movimientos!$D$5:$D$2001,MATCH(A531&amp;"ENTRADA",Movimientos!$R$5:$R$2001,0)),"-")</f>
        <v>-</v>
      </c>
      <c r="D531" s="3" t="str">
        <f>IFERROR(INDEX(Movimientos!$E$5:$E$2001,MATCH(A531&amp;"ENTRADA",Movimientos!$R$5:$R$2001,0)),"-")</f>
        <v>-</v>
      </c>
      <c r="E531" s="3" t="str">
        <f>IFERROR(INDEX(Movimientos!$F$5:$F$2001,MATCH(A531&amp;"ENTRADA",Movimientos!$R$5:$R$2001,0)),"-")</f>
        <v>-</v>
      </c>
      <c r="F531" s="3" t="str">
        <f>IFERROR(INDEX(Movimientos!$G$5:$G$2001,MATCH(A531&amp;"ENTRADA",Movimientos!$R$5:$R$2001,0)),"-")</f>
        <v>-</v>
      </c>
      <c r="G531" s="3" t="str">
        <f>IFERROR(INDEX(Movimientos!$L$5:$L$2001,MATCH(A531&amp;"ENTRADA",Movimientos!$R$5:$R$2001,0)),"-")</f>
        <v>-</v>
      </c>
      <c r="H531" s="19" t="str">
        <f>IFERROR(IF(INDEX(Movimientos!$M$5:$M$2001,MATCH(A531&amp;"ENTRADA",Movimientos!$R$5:$R$2001,0))=0,"S/D",INDEX(Movimientos!$M$5:$M$2001,MATCH(A531&amp;"ENTRADA",Movimientos!$R$5:$R$2001,0))),"S/D")</f>
        <v>S/D</v>
      </c>
      <c r="I531" s="16" t="str">
        <f t="shared" ca="1" si="18"/>
        <v>S/D</v>
      </c>
      <c r="J531" s="6">
        <f>IF(A531="","",SUMIFS(Movimientos!$K:$K,Movimientos!$H:$H,A531))</f>
        <v>0</v>
      </c>
      <c r="K531" s="14" t="str">
        <f t="shared" ca="1" si="19"/>
        <v>OK</v>
      </c>
    </row>
    <row r="532" spans="1:11">
      <c r="A532" s="18" t="s">
        <v>2593</v>
      </c>
      <c r="B532" s="3" t="str">
        <f>IFERROR(INDEX(Movimientos!$C$5:$C$2001,MATCH(A532&amp;"ENTRADA",Movimientos!$R$5:$R$2001,0)),"-")</f>
        <v>-</v>
      </c>
      <c r="C532" s="3" t="str">
        <f>IFERROR(INDEX(Movimientos!$D$5:$D$2001,MATCH(A532&amp;"ENTRADA",Movimientos!$R$5:$R$2001,0)),"-")</f>
        <v>-</v>
      </c>
      <c r="D532" s="3" t="str">
        <f>IFERROR(INDEX(Movimientos!$E$5:$E$2001,MATCH(A532&amp;"ENTRADA",Movimientos!$R$5:$R$2001,0)),"-")</f>
        <v>-</v>
      </c>
      <c r="E532" s="3" t="str">
        <f>IFERROR(INDEX(Movimientos!$F$5:$F$2001,MATCH(A532&amp;"ENTRADA",Movimientos!$R$5:$R$2001,0)),"-")</f>
        <v>-</v>
      </c>
      <c r="F532" s="3" t="str">
        <f>IFERROR(INDEX(Movimientos!$G$5:$G$2001,MATCH(A532&amp;"ENTRADA",Movimientos!$R$5:$R$2001,0)),"-")</f>
        <v>-</v>
      </c>
      <c r="G532" s="3" t="str">
        <f>IFERROR(INDEX(Movimientos!$L$5:$L$2001,MATCH(A532&amp;"ENTRADA",Movimientos!$R$5:$R$2001,0)),"-")</f>
        <v>-</v>
      </c>
      <c r="H532" s="19" t="str">
        <f>IFERROR(IF(INDEX(Movimientos!$M$5:$M$2001,MATCH(A532&amp;"ENTRADA",Movimientos!$R$5:$R$2001,0))=0,"S/D",INDEX(Movimientos!$M$5:$M$2001,MATCH(A532&amp;"ENTRADA",Movimientos!$R$5:$R$2001,0))),"S/D")</f>
        <v>S/D</v>
      </c>
      <c r="I532" s="16" t="str">
        <f t="shared" ca="1" si="18"/>
        <v>S/D</v>
      </c>
      <c r="J532" s="6">
        <f>IF(A532="","",SUMIFS(Movimientos!$K:$K,Movimientos!$H:$H,A532))</f>
        <v>0</v>
      </c>
      <c r="K532" s="14" t="str">
        <f t="shared" ca="1" si="19"/>
        <v>OK</v>
      </c>
    </row>
    <row r="533" spans="1:11">
      <c r="A533" s="18" t="s">
        <v>2594</v>
      </c>
      <c r="B533" s="3" t="str">
        <f>IFERROR(INDEX(Movimientos!$C$5:$C$2001,MATCH(A533&amp;"ENTRADA",Movimientos!$R$5:$R$2001,0)),"-")</f>
        <v>-</v>
      </c>
      <c r="C533" s="3" t="str">
        <f>IFERROR(INDEX(Movimientos!$D$5:$D$2001,MATCH(A533&amp;"ENTRADA",Movimientos!$R$5:$R$2001,0)),"-")</f>
        <v>-</v>
      </c>
      <c r="D533" s="3" t="str">
        <f>IFERROR(INDEX(Movimientos!$E$5:$E$2001,MATCH(A533&amp;"ENTRADA",Movimientos!$R$5:$R$2001,0)),"-")</f>
        <v>-</v>
      </c>
      <c r="E533" s="3" t="str">
        <f>IFERROR(INDEX(Movimientos!$F$5:$F$2001,MATCH(A533&amp;"ENTRADA",Movimientos!$R$5:$R$2001,0)),"-")</f>
        <v>-</v>
      </c>
      <c r="F533" s="3" t="str">
        <f>IFERROR(INDEX(Movimientos!$G$5:$G$2001,MATCH(A533&amp;"ENTRADA",Movimientos!$R$5:$R$2001,0)),"-")</f>
        <v>-</v>
      </c>
      <c r="G533" s="3" t="str">
        <f>IFERROR(INDEX(Movimientos!$L$5:$L$2001,MATCH(A533&amp;"ENTRADA",Movimientos!$R$5:$R$2001,0)),"-")</f>
        <v>-</v>
      </c>
      <c r="H533" s="19" t="str">
        <f>IFERROR(IF(INDEX(Movimientos!$M$5:$M$2001,MATCH(A533&amp;"ENTRADA",Movimientos!$R$5:$R$2001,0))=0,"S/D",INDEX(Movimientos!$M$5:$M$2001,MATCH(A533&amp;"ENTRADA",Movimientos!$R$5:$R$2001,0))),"S/D")</f>
        <v>S/D</v>
      </c>
      <c r="I533" s="16" t="str">
        <f t="shared" ca="1" si="18"/>
        <v>S/D</v>
      </c>
      <c r="J533" s="6">
        <f>IF(A533="","",SUMIFS(Movimientos!$K:$K,Movimientos!$H:$H,A533))</f>
        <v>0</v>
      </c>
      <c r="K533" s="14" t="str">
        <f t="shared" ca="1" si="19"/>
        <v>OK</v>
      </c>
    </row>
    <row r="534" spans="1:11">
      <c r="A534" s="18" t="s">
        <v>2595</v>
      </c>
      <c r="B534" s="3" t="str">
        <f>IFERROR(INDEX(Movimientos!$C$5:$C$2001,MATCH(A534&amp;"ENTRADA",Movimientos!$R$5:$R$2001,0)),"-")</f>
        <v>-</v>
      </c>
      <c r="C534" s="3" t="str">
        <f>IFERROR(INDEX(Movimientos!$D$5:$D$2001,MATCH(A534&amp;"ENTRADA",Movimientos!$R$5:$R$2001,0)),"-")</f>
        <v>-</v>
      </c>
      <c r="D534" s="3" t="str">
        <f>IFERROR(INDEX(Movimientos!$E$5:$E$2001,MATCH(A534&amp;"ENTRADA",Movimientos!$R$5:$R$2001,0)),"-")</f>
        <v>-</v>
      </c>
      <c r="E534" s="3" t="str">
        <f>IFERROR(INDEX(Movimientos!$F$5:$F$2001,MATCH(A534&amp;"ENTRADA",Movimientos!$R$5:$R$2001,0)),"-")</f>
        <v>-</v>
      </c>
      <c r="F534" s="3" t="str">
        <f>IFERROR(INDEX(Movimientos!$G$5:$G$2001,MATCH(A534&amp;"ENTRADA",Movimientos!$R$5:$R$2001,0)),"-")</f>
        <v>-</v>
      </c>
      <c r="G534" s="3" t="str">
        <f>IFERROR(INDEX(Movimientos!$L$5:$L$2001,MATCH(A534&amp;"ENTRADA",Movimientos!$R$5:$R$2001,0)),"-")</f>
        <v>-</v>
      </c>
      <c r="H534" s="19" t="str">
        <f>IFERROR(IF(INDEX(Movimientos!$M$5:$M$2001,MATCH(A534&amp;"ENTRADA",Movimientos!$R$5:$R$2001,0))=0,"S/D",INDEX(Movimientos!$M$5:$M$2001,MATCH(A534&amp;"ENTRADA",Movimientos!$R$5:$R$2001,0))),"S/D")</f>
        <v>S/D</v>
      </c>
      <c r="I534" s="16" t="str">
        <f t="shared" ca="1" si="18"/>
        <v>S/D</v>
      </c>
      <c r="J534" s="6">
        <f>IF(A534="","",SUMIFS(Movimientos!$K:$K,Movimientos!$H:$H,A534))</f>
        <v>0</v>
      </c>
      <c r="K534" s="14" t="str">
        <f t="shared" ca="1" si="19"/>
        <v>OK</v>
      </c>
    </row>
    <row r="535" spans="1:11">
      <c r="A535" s="18" t="s">
        <v>2596</v>
      </c>
      <c r="B535" s="3" t="str">
        <f>IFERROR(INDEX(Movimientos!$C$5:$C$2001,MATCH(A535&amp;"ENTRADA",Movimientos!$R$5:$R$2001,0)),"-")</f>
        <v>-</v>
      </c>
      <c r="C535" s="3" t="str">
        <f>IFERROR(INDEX(Movimientos!$D$5:$D$2001,MATCH(A535&amp;"ENTRADA",Movimientos!$R$5:$R$2001,0)),"-")</f>
        <v>-</v>
      </c>
      <c r="D535" s="3" t="str">
        <f>IFERROR(INDEX(Movimientos!$E$5:$E$2001,MATCH(A535&amp;"ENTRADA",Movimientos!$R$5:$R$2001,0)),"-")</f>
        <v>-</v>
      </c>
      <c r="E535" s="3" t="str">
        <f>IFERROR(INDEX(Movimientos!$F$5:$F$2001,MATCH(A535&amp;"ENTRADA",Movimientos!$R$5:$R$2001,0)),"-")</f>
        <v>-</v>
      </c>
      <c r="F535" s="3" t="str">
        <f>IFERROR(INDEX(Movimientos!$G$5:$G$2001,MATCH(A535&amp;"ENTRADA",Movimientos!$R$5:$R$2001,0)),"-")</f>
        <v>-</v>
      </c>
      <c r="G535" s="3" t="str">
        <f>IFERROR(INDEX(Movimientos!$L$5:$L$2001,MATCH(A535&amp;"ENTRADA",Movimientos!$R$5:$R$2001,0)),"-")</f>
        <v>-</v>
      </c>
      <c r="H535" s="19" t="str">
        <f>IFERROR(IF(INDEX(Movimientos!$M$5:$M$2001,MATCH(A535&amp;"ENTRADA",Movimientos!$R$5:$R$2001,0))=0,"S/D",INDEX(Movimientos!$M$5:$M$2001,MATCH(A535&amp;"ENTRADA",Movimientos!$R$5:$R$2001,0))),"S/D")</f>
        <v>S/D</v>
      </c>
      <c r="I535" s="16" t="str">
        <f t="shared" ca="1" si="18"/>
        <v>S/D</v>
      </c>
      <c r="J535" s="6">
        <f>IF(A535="","",SUMIFS(Movimientos!$K:$K,Movimientos!$H:$H,A535))</f>
        <v>0</v>
      </c>
      <c r="K535" s="14" t="str">
        <f t="shared" ca="1" si="19"/>
        <v>OK</v>
      </c>
    </row>
    <row r="536" spans="1:11">
      <c r="A536" s="18" t="s">
        <v>2597</v>
      </c>
      <c r="B536" s="3" t="str">
        <f>IFERROR(INDEX(Movimientos!$C$5:$C$2001,MATCH(A536&amp;"ENTRADA",Movimientos!$R$5:$R$2001,0)),"-")</f>
        <v>-</v>
      </c>
      <c r="C536" s="3" t="str">
        <f>IFERROR(INDEX(Movimientos!$D$5:$D$2001,MATCH(A536&amp;"ENTRADA",Movimientos!$R$5:$R$2001,0)),"-")</f>
        <v>-</v>
      </c>
      <c r="D536" s="3" t="str">
        <f>IFERROR(INDEX(Movimientos!$E$5:$E$2001,MATCH(A536&amp;"ENTRADA",Movimientos!$R$5:$R$2001,0)),"-")</f>
        <v>-</v>
      </c>
      <c r="E536" s="3" t="str">
        <f>IFERROR(INDEX(Movimientos!$F$5:$F$2001,MATCH(A536&amp;"ENTRADA",Movimientos!$R$5:$R$2001,0)),"-")</f>
        <v>-</v>
      </c>
      <c r="F536" s="3" t="str">
        <f>IFERROR(INDEX(Movimientos!$G$5:$G$2001,MATCH(A536&amp;"ENTRADA",Movimientos!$R$5:$R$2001,0)),"-")</f>
        <v>-</v>
      </c>
      <c r="G536" s="3" t="str">
        <f>IFERROR(INDEX(Movimientos!$L$5:$L$2001,MATCH(A536&amp;"ENTRADA",Movimientos!$R$5:$R$2001,0)),"-")</f>
        <v>-</v>
      </c>
      <c r="H536" s="19" t="str">
        <f>IFERROR(IF(INDEX(Movimientos!$M$5:$M$2001,MATCH(A536&amp;"ENTRADA",Movimientos!$R$5:$R$2001,0))=0,"S/D",INDEX(Movimientos!$M$5:$M$2001,MATCH(A536&amp;"ENTRADA",Movimientos!$R$5:$R$2001,0))),"S/D")</f>
        <v>S/D</v>
      </c>
      <c r="I536" s="16" t="str">
        <f t="shared" ca="1" si="18"/>
        <v>S/D</v>
      </c>
      <c r="J536" s="6">
        <f>IF(A536="","",SUMIFS(Movimientos!$K:$K,Movimientos!$H:$H,A536))</f>
        <v>0</v>
      </c>
      <c r="K536" s="14" t="str">
        <f t="shared" ca="1" si="19"/>
        <v>OK</v>
      </c>
    </row>
    <row r="537" spans="1:11">
      <c r="A537" s="18" t="s">
        <v>2598</v>
      </c>
      <c r="B537" s="3" t="str">
        <f>IFERROR(INDEX(Movimientos!$C$5:$C$2001,MATCH(A537&amp;"ENTRADA",Movimientos!$R$5:$R$2001,0)),"-")</f>
        <v>-</v>
      </c>
      <c r="C537" s="3" t="str">
        <f>IFERROR(INDEX(Movimientos!$D$5:$D$2001,MATCH(A537&amp;"ENTRADA",Movimientos!$R$5:$R$2001,0)),"-")</f>
        <v>-</v>
      </c>
      <c r="D537" s="3" t="str">
        <f>IFERROR(INDEX(Movimientos!$E$5:$E$2001,MATCH(A537&amp;"ENTRADA",Movimientos!$R$5:$R$2001,0)),"-")</f>
        <v>-</v>
      </c>
      <c r="E537" s="3" t="str">
        <f>IFERROR(INDEX(Movimientos!$F$5:$F$2001,MATCH(A537&amp;"ENTRADA",Movimientos!$R$5:$R$2001,0)),"-")</f>
        <v>-</v>
      </c>
      <c r="F537" s="3" t="str">
        <f>IFERROR(INDEX(Movimientos!$G$5:$G$2001,MATCH(A537&amp;"ENTRADA",Movimientos!$R$5:$R$2001,0)),"-")</f>
        <v>-</v>
      </c>
      <c r="G537" s="3" t="str">
        <f>IFERROR(INDEX(Movimientos!$L$5:$L$2001,MATCH(A537&amp;"ENTRADA",Movimientos!$R$5:$R$2001,0)),"-")</f>
        <v>-</v>
      </c>
      <c r="H537" s="19" t="str">
        <f>IFERROR(IF(INDEX(Movimientos!$M$5:$M$2001,MATCH(A537&amp;"ENTRADA",Movimientos!$R$5:$R$2001,0))=0,"S/D",INDEX(Movimientos!$M$5:$M$2001,MATCH(A537&amp;"ENTRADA",Movimientos!$R$5:$R$2001,0))),"S/D")</f>
        <v>S/D</v>
      </c>
      <c r="I537" s="16" t="str">
        <f t="shared" ca="1" si="18"/>
        <v>S/D</v>
      </c>
      <c r="J537" s="6">
        <f>IF(A537="","",SUMIFS(Movimientos!$K:$K,Movimientos!$H:$H,A537))</f>
        <v>0</v>
      </c>
      <c r="K537" s="14" t="str">
        <f t="shared" ca="1" si="19"/>
        <v>OK</v>
      </c>
    </row>
    <row r="538" spans="1:11">
      <c r="A538" s="18" t="s">
        <v>2599</v>
      </c>
      <c r="B538" s="3" t="str">
        <f>IFERROR(INDEX(Movimientos!$C$5:$C$2001,MATCH(A538&amp;"ENTRADA",Movimientos!$R$5:$R$2001,0)),"-")</f>
        <v>-</v>
      </c>
      <c r="C538" s="3" t="str">
        <f>IFERROR(INDEX(Movimientos!$D$5:$D$2001,MATCH(A538&amp;"ENTRADA",Movimientos!$R$5:$R$2001,0)),"-")</f>
        <v>-</v>
      </c>
      <c r="D538" s="3" t="str">
        <f>IFERROR(INDEX(Movimientos!$E$5:$E$2001,MATCH(A538&amp;"ENTRADA",Movimientos!$R$5:$R$2001,0)),"-")</f>
        <v>-</v>
      </c>
      <c r="E538" s="3" t="str">
        <f>IFERROR(INDEX(Movimientos!$F$5:$F$2001,MATCH(A538&amp;"ENTRADA",Movimientos!$R$5:$R$2001,0)),"-")</f>
        <v>-</v>
      </c>
      <c r="F538" s="3" t="str">
        <f>IFERROR(INDEX(Movimientos!$G$5:$G$2001,MATCH(A538&amp;"ENTRADA",Movimientos!$R$5:$R$2001,0)),"-")</f>
        <v>-</v>
      </c>
      <c r="G538" s="3" t="str">
        <f>IFERROR(INDEX(Movimientos!$L$5:$L$2001,MATCH(A538&amp;"ENTRADA",Movimientos!$R$5:$R$2001,0)),"-")</f>
        <v>-</v>
      </c>
      <c r="H538" s="19" t="str">
        <f>IFERROR(IF(INDEX(Movimientos!$M$5:$M$2001,MATCH(A538&amp;"ENTRADA",Movimientos!$R$5:$R$2001,0))=0,"S/D",INDEX(Movimientos!$M$5:$M$2001,MATCH(A538&amp;"ENTRADA",Movimientos!$R$5:$R$2001,0))),"S/D")</f>
        <v>S/D</v>
      </c>
      <c r="I538" s="16" t="str">
        <f t="shared" ca="1" si="18"/>
        <v>S/D</v>
      </c>
      <c r="J538" s="6">
        <f>IF(A538="","",SUMIFS(Movimientos!$K:$K,Movimientos!$H:$H,A538))</f>
        <v>0</v>
      </c>
      <c r="K538" s="14" t="str">
        <f t="shared" ca="1" si="19"/>
        <v>OK</v>
      </c>
    </row>
    <row r="539" spans="1:11">
      <c r="A539" s="18" t="s">
        <v>2600</v>
      </c>
      <c r="B539" s="3" t="str">
        <f>IFERROR(INDEX(Movimientos!$C$5:$C$2001,MATCH(A539&amp;"ENTRADA",Movimientos!$R$5:$R$2001,0)),"-")</f>
        <v>-</v>
      </c>
      <c r="C539" s="3" t="str">
        <f>IFERROR(INDEX(Movimientos!$D$5:$D$2001,MATCH(A539&amp;"ENTRADA",Movimientos!$R$5:$R$2001,0)),"-")</f>
        <v>-</v>
      </c>
      <c r="D539" s="3" t="str">
        <f>IFERROR(INDEX(Movimientos!$E$5:$E$2001,MATCH(A539&amp;"ENTRADA",Movimientos!$R$5:$R$2001,0)),"-")</f>
        <v>-</v>
      </c>
      <c r="E539" s="3" t="str">
        <f>IFERROR(INDEX(Movimientos!$F$5:$F$2001,MATCH(A539&amp;"ENTRADA",Movimientos!$R$5:$R$2001,0)),"-")</f>
        <v>-</v>
      </c>
      <c r="F539" s="3" t="str">
        <f>IFERROR(INDEX(Movimientos!$G$5:$G$2001,MATCH(A539&amp;"ENTRADA",Movimientos!$R$5:$R$2001,0)),"-")</f>
        <v>-</v>
      </c>
      <c r="G539" s="3" t="str">
        <f>IFERROR(INDEX(Movimientos!$L$5:$L$2001,MATCH(A539&amp;"ENTRADA",Movimientos!$R$5:$R$2001,0)),"-")</f>
        <v>-</v>
      </c>
      <c r="H539" s="19" t="str">
        <f>IFERROR(IF(INDEX(Movimientos!$M$5:$M$2001,MATCH(A539&amp;"ENTRADA",Movimientos!$R$5:$R$2001,0))=0,"S/D",INDEX(Movimientos!$M$5:$M$2001,MATCH(A539&amp;"ENTRADA",Movimientos!$R$5:$R$2001,0))),"S/D")</f>
        <v>S/D</v>
      </c>
      <c r="I539" s="16" t="str">
        <f t="shared" ca="1" si="18"/>
        <v>S/D</v>
      </c>
      <c r="J539" s="6">
        <f>IF(A539="","",SUMIFS(Movimientos!$K:$K,Movimientos!$H:$H,A539))</f>
        <v>0</v>
      </c>
      <c r="K539" s="14" t="str">
        <f t="shared" ca="1" si="19"/>
        <v>OK</v>
      </c>
    </row>
    <row r="540" spans="1:11">
      <c r="A540" s="18" t="s">
        <v>2601</v>
      </c>
      <c r="B540" s="3" t="str">
        <f>IFERROR(INDEX(Movimientos!$C$5:$C$2001,MATCH(A540&amp;"ENTRADA",Movimientos!$R$5:$R$2001,0)),"-")</f>
        <v>-</v>
      </c>
      <c r="C540" s="3" t="str">
        <f>IFERROR(INDEX(Movimientos!$D$5:$D$2001,MATCH(A540&amp;"ENTRADA",Movimientos!$R$5:$R$2001,0)),"-")</f>
        <v>-</v>
      </c>
      <c r="D540" s="3" t="str">
        <f>IFERROR(INDEX(Movimientos!$E$5:$E$2001,MATCH(A540&amp;"ENTRADA",Movimientos!$R$5:$R$2001,0)),"-")</f>
        <v>-</v>
      </c>
      <c r="E540" s="3" t="str">
        <f>IFERROR(INDEX(Movimientos!$F$5:$F$2001,MATCH(A540&amp;"ENTRADA",Movimientos!$R$5:$R$2001,0)),"-")</f>
        <v>-</v>
      </c>
      <c r="F540" s="3" t="str">
        <f>IFERROR(INDEX(Movimientos!$G$5:$G$2001,MATCH(A540&amp;"ENTRADA",Movimientos!$R$5:$R$2001,0)),"-")</f>
        <v>-</v>
      </c>
      <c r="G540" s="3" t="str">
        <f>IFERROR(INDEX(Movimientos!$L$5:$L$2001,MATCH(A540&amp;"ENTRADA",Movimientos!$R$5:$R$2001,0)),"-")</f>
        <v>-</v>
      </c>
      <c r="H540" s="19" t="str">
        <f>IFERROR(IF(INDEX(Movimientos!$M$5:$M$2001,MATCH(A540&amp;"ENTRADA",Movimientos!$R$5:$R$2001,0))=0,"S/D",INDEX(Movimientos!$M$5:$M$2001,MATCH(A540&amp;"ENTRADA",Movimientos!$R$5:$R$2001,0))),"S/D")</f>
        <v>S/D</v>
      </c>
      <c r="I540" s="16" t="str">
        <f t="shared" ca="1" si="18"/>
        <v>S/D</v>
      </c>
      <c r="J540" s="6">
        <f>IF(A540="","",SUMIFS(Movimientos!$K:$K,Movimientos!$H:$H,A540))</f>
        <v>0</v>
      </c>
      <c r="K540" s="14" t="str">
        <f t="shared" ca="1" si="19"/>
        <v>OK</v>
      </c>
    </row>
    <row r="541" spans="1:11">
      <c r="A541" s="18" t="s">
        <v>2602</v>
      </c>
      <c r="B541" s="3" t="str">
        <f>IFERROR(INDEX(Movimientos!$C$5:$C$2001,MATCH(A541&amp;"ENTRADA",Movimientos!$R$5:$R$2001,0)),"-")</f>
        <v>-</v>
      </c>
      <c r="C541" s="3" t="str">
        <f>IFERROR(INDEX(Movimientos!$D$5:$D$2001,MATCH(A541&amp;"ENTRADA",Movimientos!$R$5:$R$2001,0)),"-")</f>
        <v>-</v>
      </c>
      <c r="D541" s="3" t="str">
        <f>IFERROR(INDEX(Movimientos!$E$5:$E$2001,MATCH(A541&amp;"ENTRADA",Movimientos!$R$5:$R$2001,0)),"-")</f>
        <v>-</v>
      </c>
      <c r="E541" s="3" t="str">
        <f>IFERROR(INDEX(Movimientos!$F$5:$F$2001,MATCH(A541&amp;"ENTRADA",Movimientos!$R$5:$R$2001,0)),"-")</f>
        <v>-</v>
      </c>
      <c r="F541" s="3" t="str">
        <f>IFERROR(INDEX(Movimientos!$G$5:$G$2001,MATCH(A541&amp;"ENTRADA",Movimientos!$R$5:$R$2001,0)),"-")</f>
        <v>-</v>
      </c>
      <c r="G541" s="3" t="str">
        <f>IFERROR(INDEX(Movimientos!$L$5:$L$2001,MATCH(A541&amp;"ENTRADA",Movimientos!$R$5:$R$2001,0)),"-")</f>
        <v>-</v>
      </c>
      <c r="H541" s="19" t="str">
        <f>IFERROR(IF(INDEX(Movimientos!$M$5:$M$2001,MATCH(A541&amp;"ENTRADA",Movimientos!$R$5:$R$2001,0))=0,"S/D",INDEX(Movimientos!$M$5:$M$2001,MATCH(A541&amp;"ENTRADA",Movimientos!$R$5:$R$2001,0))),"S/D")</f>
        <v>S/D</v>
      </c>
      <c r="I541" s="16" t="str">
        <f t="shared" ca="1" si="18"/>
        <v>S/D</v>
      </c>
      <c r="J541" s="6">
        <f>IF(A541="","",SUMIFS(Movimientos!$K:$K,Movimientos!$H:$H,A541))</f>
        <v>0</v>
      </c>
      <c r="K541" s="14" t="str">
        <f t="shared" ca="1" si="19"/>
        <v>OK</v>
      </c>
    </row>
    <row r="542" spans="1:11">
      <c r="A542" s="18" t="s">
        <v>2603</v>
      </c>
      <c r="B542" s="3" t="str">
        <f>IFERROR(INDEX(Movimientos!$C$5:$C$2001,MATCH(A542&amp;"ENTRADA",Movimientos!$R$5:$R$2001,0)),"-")</f>
        <v>-</v>
      </c>
      <c r="C542" s="3" t="str">
        <f>IFERROR(INDEX(Movimientos!$D$5:$D$2001,MATCH(A542&amp;"ENTRADA",Movimientos!$R$5:$R$2001,0)),"-")</f>
        <v>-</v>
      </c>
      <c r="D542" s="3" t="str">
        <f>IFERROR(INDEX(Movimientos!$E$5:$E$2001,MATCH(A542&amp;"ENTRADA",Movimientos!$R$5:$R$2001,0)),"-")</f>
        <v>-</v>
      </c>
      <c r="E542" s="3" t="str">
        <f>IFERROR(INDEX(Movimientos!$F$5:$F$2001,MATCH(A542&amp;"ENTRADA",Movimientos!$R$5:$R$2001,0)),"-")</f>
        <v>-</v>
      </c>
      <c r="F542" s="3" t="str">
        <f>IFERROR(INDEX(Movimientos!$G$5:$G$2001,MATCH(A542&amp;"ENTRADA",Movimientos!$R$5:$R$2001,0)),"-")</f>
        <v>-</v>
      </c>
      <c r="G542" s="3" t="str">
        <f>IFERROR(INDEX(Movimientos!$L$5:$L$2001,MATCH(A542&amp;"ENTRADA",Movimientos!$R$5:$R$2001,0)),"-")</f>
        <v>-</v>
      </c>
      <c r="H542" s="19" t="str">
        <f>IFERROR(IF(INDEX(Movimientos!$M$5:$M$2001,MATCH(A542&amp;"ENTRADA",Movimientos!$R$5:$R$2001,0))=0,"S/D",INDEX(Movimientos!$M$5:$M$2001,MATCH(A542&amp;"ENTRADA",Movimientos!$R$5:$R$2001,0))),"S/D")</f>
        <v>S/D</v>
      </c>
      <c r="I542" s="16" t="str">
        <f t="shared" ca="1" si="18"/>
        <v>S/D</v>
      </c>
      <c r="J542" s="6">
        <f>IF(A542="","",SUMIFS(Movimientos!$K:$K,Movimientos!$H:$H,A542))</f>
        <v>0</v>
      </c>
      <c r="K542" s="14" t="str">
        <f t="shared" ca="1" si="19"/>
        <v>OK</v>
      </c>
    </row>
    <row r="543" spans="1:11">
      <c r="A543" s="18" t="s">
        <v>2604</v>
      </c>
      <c r="B543" s="3" t="str">
        <f>IFERROR(INDEX(Movimientos!$C$5:$C$2001,MATCH(A543&amp;"ENTRADA",Movimientos!$R$5:$R$2001,0)),"-")</f>
        <v>-</v>
      </c>
      <c r="C543" s="3" t="str">
        <f>IFERROR(INDEX(Movimientos!$D$5:$D$2001,MATCH(A543&amp;"ENTRADA",Movimientos!$R$5:$R$2001,0)),"-")</f>
        <v>-</v>
      </c>
      <c r="D543" s="3" t="str">
        <f>IFERROR(INDEX(Movimientos!$E$5:$E$2001,MATCH(A543&amp;"ENTRADA",Movimientos!$R$5:$R$2001,0)),"-")</f>
        <v>-</v>
      </c>
      <c r="E543" s="3" t="str">
        <f>IFERROR(INDEX(Movimientos!$F$5:$F$2001,MATCH(A543&amp;"ENTRADA",Movimientos!$R$5:$R$2001,0)),"-")</f>
        <v>-</v>
      </c>
      <c r="F543" s="3" t="str">
        <f>IFERROR(INDEX(Movimientos!$G$5:$G$2001,MATCH(A543&amp;"ENTRADA",Movimientos!$R$5:$R$2001,0)),"-")</f>
        <v>-</v>
      </c>
      <c r="G543" s="3" t="str">
        <f>IFERROR(INDEX(Movimientos!$L$5:$L$2001,MATCH(A543&amp;"ENTRADA",Movimientos!$R$5:$R$2001,0)),"-")</f>
        <v>-</v>
      </c>
      <c r="H543" s="19" t="str">
        <f>IFERROR(IF(INDEX(Movimientos!$M$5:$M$2001,MATCH(A543&amp;"ENTRADA",Movimientos!$R$5:$R$2001,0))=0,"S/D",INDEX(Movimientos!$M$5:$M$2001,MATCH(A543&amp;"ENTRADA",Movimientos!$R$5:$R$2001,0))),"S/D")</f>
        <v>S/D</v>
      </c>
      <c r="I543" s="16" t="str">
        <f t="shared" ca="1" si="18"/>
        <v>S/D</v>
      </c>
      <c r="J543" s="6">
        <f>IF(A543="","",SUMIFS(Movimientos!$K:$K,Movimientos!$H:$H,A543))</f>
        <v>0</v>
      </c>
      <c r="K543" s="14" t="str">
        <f t="shared" ca="1" si="19"/>
        <v>OK</v>
      </c>
    </row>
    <row r="544" spans="1:11">
      <c r="A544" s="18" t="s">
        <v>2605</v>
      </c>
      <c r="B544" s="3" t="str">
        <f>IFERROR(INDEX(Movimientos!$C$5:$C$2001,MATCH(A544&amp;"ENTRADA",Movimientos!$R$5:$R$2001,0)),"-")</f>
        <v>-</v>
      </c>
      <c r="C544" s="3" t="str">
        <f>IFERROR(INDEX(Movimientos!$D$5:$D$2001,MATCH(A544&amp;"ENTRADA",Movimientos!$R$5:$R$2001,0)),"-")</f>
        <v>-</v>
      </c>
      <c r="D544" s="3" t="str">
        <f>IFERROR(INDEX(Movimientos!$E$5:$E$2001,MATCH(A544&amp;"ENTRADA",Movimientos!$R$5:$R$2001,0)),"-")</f>
        <v>-</v>
      </c>
      <c r="E544" s="3" t="str">
        <f>IFERROR(INDEX(Movimientos!$F$5:$F$2001,MATCH(A544&amp;"ENTRADA",Movimientos!$R$5:$R$2001,0)),"-")</f>
        <v>-</v>
      </c>
      <c r="F544" s="3" t="str">
        <f>IFERROR(INDEX(Movimientos!$G$5:$G$2001,MATCH(A544&amp;"ENTRADA",Movimientos!$R$5:$R$2001,0)),"-")</f>
        <v>-</v>
      </c>
      <c r="G544" s="3" t="str">
        <f>IFERROR(INDEX(Movimientos!$L$5:$L$2001,MATCH(A544&amp;"ENTRADA",Movimientos!$R$5:$R$2001,0)),"-")</f>
        <v>-</v>
      </c>
      <c r="H544" s="19" t="str">
        <f>IFERROR(IF(INDEX(Movimientos!$M$5:$M$2001,MATCH(A544&amp;"ENTRADA",Movimientos!$R$5:$R$2001,0))=0,"S/D",INDEX(Movimientos!$M$5:$M$2001,MATCH(A544&amp;"ENTRADA",Movimientos!$R$5:$R$2001,0))),"S/D")</f>
        <v>S/D</v>
      </c>
      <c r="I544" s="16" t="str">
        <f t="shared" ca="1" si="18"/>
        <v>S/D</v>
      </c>
      <c r="J544" s="6">
        <f>IF(A544="","",SUMIFS(Movimientos!$K:$K,Movimientos!$H:$H,A544))</f>
        <v>0</v>
      </c>
      <c r="K544" s="14" t="str">
        <f t="shared" ca="1" si="19"/>
        <v>OK</v>
      </c>
    </row>
    <row r="545" spans="1:11">
      <c r="A545" s="18" t="s">
        <v>2606</v>
      </c>
      <c r="B545" s="3" t="str">
        <f>IFERROR(INDEX(Movimientos!$C$5:$C$2001,MATCH(A545&amp;"ENTRADA",Movimientos!$R$5:$R$2001,0)),"-")</f>
        <v>-</v>
      </c>
      <c r="C545" s="3" t="str">
        <f>IFERROR(INDEX(Movimientos!$D$5:$D$2001,MATCH(A545&amp;"ENTRADA",Movimientos!$R$5:$R$2001,0)),"-")</f>
        <v>-</v>
      </c>
      <c r="D545" s="3" t="str">
        <f>IFERROR(INDEX(Movimientos!$E$5:$E$2001,MATCH(A545&amp;"ENTRADA",Movimientos!$R$5:$R$2001,0)),"-")</f>
        <v>-</v>
      </c>
      <c r="E545" s="3" t="str">
        <f>IFERROR(INDEX(Movimientos!$F$5:$F$2001,MATCH(A545&amp;"ENTRADA",Movimientos!$R$5:$R$2001,0)),"-")</f>
        <v>-</v>
      </c>
      <c r="F545" s="3" t="str">
        <f>IFERROR(INDEX(Movimientos!$G$5:$G$2001,MATCH(A545&amp;"ENTRADA",Movimientos!$R$5:$R$2001,0)),"-")</f>
        <v>-</v>
      </c>
      <c r="G545" s="3" t="str">
        <f>IFERROR(INDEX(Movimientos!$L$5:$L$2001,MATCH(A545&amp;"ENTRADA",Movimientos!$R$5:$R$2001,0)),"-")</f>
        <v>-</v>
      </c>
      <c r="H545" s="19" t="str">
        <f>IFERROR(IF(INDEX(Movimientos!$M$5:$M$2001,MATCH(A545&amp;"ENTRADA",Movimientos!$R$5:$R$2001,0))=0,"S/D",INDEX(Movimientos!$M$5:$M$2001,MATCH(A545&amp;"ENTRADA",Movimientos!$R$5:$R$2001,0))),"S/D")</f>
        <v>S/D</v>
      </c>
      <c r="I545" s="16" t="str">
        <f t="shared" ca="1" si="18"/>
        <v>S/D</v>
      </c>
      <c r="J545" s="6">
        <f>IF(A545="","",SUMIFS(Movimientos!$K:$K,Movimientos!$H:$H,A545))</f>
        <v>0</v>
      </c>
      <c r="K545" s="14" t="str">
        <f t="shared" ca="1" si="19"/>
        <v>OK</v>
      </c>
    </row>
    <row r="546" spans="1:11">
      <c r="A546" s="18" t="s">
        <v>2607</v>
      </c>
      <c r="B546" s="3" t="str">
        <f>IFERROR(INDEX(Movimientos!$C$5:$C$2001,MATCH(A546&amp;"ENTRADA",Movimientos!$R$5:$R$2001,0)),"-")</f>
        <v>-</v>
      </c>
      <c r="C546" s="3" t="str">
        <f>IFERROR(INDEX(Movimientos!$D$5:$D$2001,MATCH(A546&amp;"ENTRADA",Movimientos!$R$5:$R$2001,0)),"-")</f>
        <v>-</v>
      </c>
      <c r="D546" s="3" t="str">
        <f>IFERROR(INDEX(Movimientos!$E$5:$E$2001,MATCH(A546&amp;"ENTRADA",Movimientos!$R$5:$R$2001,0)),"-")</f>
        <v>-</v>
      </c>
      <c r="E546" s="3" t="str">
        <f>IFERROR(INDEX(Movimientos!$F$5:$F$2001,MATCH(A546&amp;"ENTRADA",Movimientos!$R$5:$R$2001,0)),"-")</f>
        <v>-</v>
      </c>
      <c r="F546" s="3" t="str">
        <f>IFERROR(INDEX(Movimientos!$G$5:$G$2001,MATCH(A546&amp;"ENTRADA",Movimientos!$R$5:$R$2001,0)),"-")</f>
        <v>-</v>
      </c>
      <c r="G546" s="3" t="str">
        <f>IFERROR(INDEX(Movimientos!$L$5:$L$2001,MATCH(A546&amp;"ENTRADA",Movimientos!$R$5:$R$2001,0)),"-")</f>
        <v>-</v>
      </c>
      <c r="H546" s="19" t="str">
        <f>IFERROR(IF(INDEX(Movimientos!$M$5:$M$2001,MATCH(A546&amp;"ENTRADA",Movimientos!$R$5:$R$2001,0))=0,"S/D",INDEX(Movimientos!$M$5:$M$2001,MATCH(A546&amp;"ENTRADA",Movimientos!$R$5:$R$2001,0))),"S/D")</f>
        <v>S/D</v>
      </c>
      <c r="I546" s="16" t="str">
        <f t="shared" ca="1" si="18"/>
        <v>S/D</v>
      </c>
      <c r="J546" s="6">
        <f>IF(A546="","",SUMIFS(Movimientos!$K:$K,Movimientos!$H:$H,A546))</f>
        <v>0</v>
      </c>
      <c r="K546" s="14" t="str">
        <f t="shared" ca="1" si="19"/>
        <v>OK</v>
      </c>
    </row>
    <row r="547" spans="1:11">
      <c r="A547" s="18" t="s">
        <v>2608</v>
      </c>
      <c r="B547" s="3" t="str">
        <f>IFERROR(INDEX(Movimientos!$C$5:$C$2001,MATCH(A547&amp;"ENTRADA",Movimientos!$R$5:$R$2001,0)),"-")</f>
        <v>-</v>
      </c>
      <c r="C547" s="3" t="str">
        <f>IFERROR(INDEX(Movimientos!$D$5:$D$2001,MATCH(A547&amp;"ENTRADA",Movimientos!$R$5:$R$2001,0)),"-")</f>
        <v>-</v>
      </c>
      <c r="D547" s="3" t="str">
        <f>IFERROR(INDEX(Movimientos!$E$5:$E$2001,MATCH(A547&amp;"ENTRADA",Movimientos!$R$5:$R$2001,0)),"-")</f>
        <v>-</v>
      </c>
      <c r="E547" s="3" t="str">
        <f>IFERROR(INDEX(Movimientos!$F$5:$F$2001,MATCH(A547&amp;"ENTRADA",Movimientos!$R$5:$R$2001,0)),"-")</f>
        <v>-</v>
      </c>
      <c r="F547" s="3" t="str">
        <f>IFERROR(INDEX(Movimientos!$G$5:$G$2001,MATCH(A547&amp;"ENTRADA",Movimientos!$R$5:$R$2001,0)),"-")</f>
        <v>-</v>
      </c>
      <c r="G547" s="3" t="str">
        <f>IFERROR(INDEX(Movimientos!$L$5:$L$2001,MATCH(A547&amp;"ENTRADA",Movimientos!$R$5:$R$2001,0)),"-")</f>
        <v>-</v>
      </c>
      <c r="H547" s="19" t="str">
        <f>IFERROR(IF(INDEX(Movimientos!$M$5:$M$2001,MATCH(A547&amp;"ENTRADA",Movimientos!$R$5:$R$2001,0))=0,"S/D",INDEX(Movimientos!$M$5:$M$2001,MATCH(A547&amp;"ENTRADA",Movimientos!$R$5:$R$2001,0))),"S/D")</f>
        <v>S/D</v>
      </c>
      <c r="I547" s="16" t="str">
        <f t="shared" ca="1" si="18"/>
        <v>S/D</v>
      </c>
      <c r="J547" s="6">
        <f>IF(A547="","",SUMIFS(Movimientos!$K:$K,Movimientos!$H:$H,A547))</f>
        <v>0</v>
      </c>
      <c r="K547" s="14" t="str">
        <f t="shared" ca="1" si="19"/>
        <v>OK</v>
      </c>
    </row>
    <row r="548" spans="1:11">
      <c r="A548" s="18" t="s">
        <v>2609</v>
      </c>
      <c r="B548" s="3" t="str">
        <f>IFERROR(INDEX(Movimientos!$C$5:$C$2001,MATCH(A548&amp;"ENTRADA",Movimientos!$R$5:$R$2001,0)),"-")</f>
        <v>-</v>
      </c>
      <c r="C548" s="3" t="str">
        <f>IFERROR(INDEX(Movimientos!$D$5:$D$2001,MATCH(A548&amp;"ENTRADA",Movimientos!$R$5:$R$2001,0)),"-")</f>
        <v>-</v>
      </c>
      <c r="D548" s="3" t="str">
        <f>IFERROR(INDEX(Movimientos!$E$5:$E$2001,MATCH(A548&amp;"ENTRADA",Movimientos!$R$5:$R$2001,0)),"-")</f>
        <v>-</v>
      </c>
      <c r="E548" s="3" t="str">
        <f>IFERROR(INDEX(Movimientos!$F$5:$F$2001,MATCH(A548&amp;"ENTRADA",Movimientos!$R$5:$R$2001,0)),"-")</f>
        <v>-</v>
      </c>
      <c r="F548" s="3" t="str">
        <f>IFERROR(INDEX(Movimientos!$G$5:$G$2001,MATCH(A548&amp;"ENTRADA",Movimientos!$R$5:$R$2001,0)),"-")</f>
        <v>-</v>
      </c>
      <c r="G548" s="3" t="str">
        <f>IFERROR(INDEX(Movimientos!$L$5:$L$2001,MATCH(A548&amp;"ENTRADA",Movimientos!$R$5:$R$2001,0)),"-")</f>
        <v>-</v>
      </c>
      <c r="H548" s="19" t="str">
        <f>IFERROR(IF(INDEX(Movimientos!$M$5:$M$2001,MATCH(A548&amp;"ENTRADA",Movimientos!$R$5:$R$2001,0))=0,"S/D",INDEX(Movimientos!$M$5:$M$2001,MATCH(A548&amp;"ENTRADA",Movimientos!$R$5:$R$2001,0))),"S/D")</f>
        <v>S/D</v>
      </c>
      <c r="I548" s="16" t="str">
        <f t="shared" ca="1" si="18"/>
        <v>S/D</v>
      </c>
      <c r="J548" s="6">
        <f>IF(A548="","",SUMIFS(Movimientos!$K:$K,Movimientos!$H:$H,A548))</f>
        <v>0</v>
      </c>
      <c r="K548" s="14" t="str">
        <f t="shared" ca="1" si="19"/>
        <v>OK</v>
      </c>
    </row>
    <row r="549" spans="1:11">
      <c r="A549" s="18" t="s">
        <v>2610</v>
      </c>
      <c r="B549" s="3" t="str">
        <f>IFERROR(INDEX(Movimientos!$C$5:$C$2001,MATCH(A549&amp;"ENTRADA",Movimientos!$R$5:$R$2001,0)),"-")</f>
        <v>-</v>
      </c>
      <c r="C549" s="3" t="str">
        <f>IFERROR(INDEX(Movimientos!$D$5:$D$2001,MATCH(A549&amp;"ENTRADA",Movimientos!$R$5:$R$2001,0)),"-")</f>
        <v>-</v>
      </c>
      <c r="D549" s="3" t="str">
        <f>IFERROR(INDEX(Movimientos!$E$5:$E$2001,MATCH(A549&amp;"ENTRADA",Movimientos!$R$5:$R$2001,0)),"-")</f>
        <v>-</v>
      </c>
      <c r="E549" s="3" t="str">
        <f>IFERROR(INDEX(Movimientos!$F$5:$F$2001,MATCH(A549&amp;"ENTRADA",Movimientos!$R$5:$R$2001,0)),"-")</f>
        <v>-</v>
      </c>
      <c r="F549" s="3" t="str">
        <f>IFERROR(INDEX(Movimientos!$G$5:$G$2001,MATCH(A549&amp;"ENTRADA",Movimientos!$R$5:$R$2001,0)),"-")</f>
        <v>-</v>
      </c>
      <c r="G549" s="3" t="str">
        <f>IFERROR(INDEX(Movimientos!$L$5:$L$2001,MATCH(A549&amp;"ENTRADA",Movimientos!$R$5:$R$2001,0)),"-")</f>
        <v>-</v>
      </c>
      <c r="H549" s="19" t="str">
        <f>IFERROR(IF(INDEX(Movimientos!$M$5:$M$2001,MATCH(A549&amp;"ENTRADA",Movimientos!$R$5:$R$2001,0))=0,"S/D",INDEX(Movimientos!$M$5:$M$2001,MATCH(A549&amp;"ENTRADA",Movimientos!$R$5:$R$2001,0))),"S/D")</f>
        <v>S/D</v>
      </c>
      <c r="I549" s="16" t="str">
        <f t="shared" ca="1" si="18"/>
        <v>S/D</v>
      </c>
      <c r="J549" s="6">
        <f>IF(A549="","",SUMIFS(Movimientos!$K:$K,Movimientos!$H:$H,A549))</f>
        <v>0</v>
      </c>
      <c r="K549" s="14" t="str">
        <f t="shared" ca="1" si="19"/>
        <v>OK</v>
      </c>
    </row>
    <row r="550" spans="1:11">
      <c r="A550" s="18" t="s">
        <v>2611</v>
      </c>
      <c r="B550" s="3" t="str">
        <f>IFERROR(INDEX(Movimientos!$C$5:$C$2001,MATCH(A550&amp;"ENTRADA",Movimientos!$R$5:$R$2001,0)),"-")</f>
        <v>-</v>
      </c>
      <c r="C550" s="3" t="str">
        <f>IFERROR(INDEX(Movimientos!$D$5:$D$2001,MATCH(A550&amp;"ENTRADA",Movimientos!$R$5:$R$2001,0)),"-")</f>
        <v>-</v>
      </c>
      <c r="D550" s="3" t="str">
        <f>IFERROR(INDEX(Movimientos!$E$5:$E$2001,MATCH(A550&amp;"ENTRADA",Movimientos!$R$5:$R$2001,0)),"-")</f>
        <v>-</v>
      </c>
      <c r="E550" s="3" t="str">
        <f>IFERROR(INDEX(Movimientos!$F$5:$F$2001,MATCH(A550&amp;"ENTRADA",Movimientos!$R$5:$R$2001,0)),"-")</f>
        <v>-</v>
      </c>
      <c r="F550" s="3" t="str">
        <f>IFERROR(INDEX(Movimientos!$G$5:$G$2001,MATCH(A550&amp;"ENTRADA",Movimientos!$R$5:$R$2001,0)),"-")</f>
        <v>-</v>
      </c>
      <c r="G550" s="3" t="str">
        <f>IFERROR(INDEX(Movimientos!$L$5:$L$2001,MATCH(A550&amp;"ENTRADA",Movimientos!$R$5:$R$2001,0)),"-")</f>
        <v>-</v>
      </c>
      <c r="H550" s="19" t="str">
        <f>IFERROR(IF(INDEX(Movimientos!$M$5:$M$2001,MATCH(A550&amp;"ENTRADA",Movimientos!$R$5:$R$2001,0))=0,"S/D",INDEX(Movimientos!$M$5:$M$2001,MATCH(A550&amp;"ENTRADA",Movimientos!$R$5:$R$2001,0))),"S/D")</f>
        <v>S/D</v>
      </c>
      <c r="I550" s="16" t="str">
        <f t="shared" ca="1" si="18"/>
        <v>S/D</v>
      </c>
      <c r="J550" s="6">
        <f>IF(A550="","",SUMIFS(Movimientos!$K:$K,Movimientos!$H:$H,A550))</f>
        <v>0</v>
      </c>
      <c r="K550" s="14" t="str">
        <f t="shared" ca="1" si="19"/>
        <v>OK</v>
      </c>
    </row>
    <row r="551" spans="1:11">
      <c r="A551" s="18" t="s">
        <v>2612</v>
      </c>
      <c r="B551" s="3" t="str">
        <f>IFERROR(INDEX(Movimientos!$C$5:$C$2001,MATCH(A551&amp;"ENTRADA",Movimientos!$R$5:$R$2001,0)),"-")</f>
        <v>-</v>
      </c>
      <c r="C551" s="3" t="str">
        <f>IFERROR(INDEX(Movimientos!$D$5:$D$2001,MATCH(A551&amp;"ENTRADA",Movimientos!$R$5:$R$2001,0)),"-")</f>
        <v>-</v>
      </c>
      <c r="D551" s="3" t="str">
        <f>IFERROR(INDEX(Movimientos!$E$5:$E$2001,MATCH(A551&amp;"ENTRADA",Movimientos!$R$5:$R$2001,0)),"-")</f>
        <v>-</v>
      </c>
      <c r="E551" s="3" t="str">
        <f>IFERROR(INDEX(Movimientos!$F$5:$F$2001,MATCH(A551&amp;"ENTRADA",Movimientos!$R$5:$R$2001,0)),"-")</f>
        <v>-</v>
      </c>
      <c r="F551" s="3" t="str">
        <f>IFERROR(INDEX(Movimientos!$G$5:$G$2001,MATCH(A551&amp;"ENTRADA",Movimientos!$R$5:$R$2001,0)),"-")</f>
        <v>-</v>
      </c>
      <c r="G551" s="3" t="str">
        <f>IFERROR(INDEX(Movimientos!$L$5:$L$2001,MATCH(A551&amp;"ENTRADA",Movimientos!$R$5:$R$2001,0)),"-")</f>
        <v>-</v>
      </c>
      <c r="H551" s="19" t="str">
        <f>IFERROR(IF(INDEX(Movimientos!$M$5:$M$2001,MATCH(A551&amp;"ENTRADA",Movimientos!$R$5:$R$2001,0))=0,"S/D",INDEX(Movimientos!$M$5:$M$2001,MATCH(A551&amp;"ENTRADA",Movimientos!$R$5:$R$2001,0))),"S/D")</f>
        <v>S/D</v>
      </c>
      <c r="I551" s="16" t="str">
        <f t="shared" ca="1" si="18"/>
        <v>S/D</v>
      </c>
      <c r="J551" s="6">
        <f>IF(A551="","",SUMIFS(Movimientos!$K:$K,Movimientos!$H:$H,A551))</f>
        <v>0</v>
      </c>
      <c r="K551" s="14" t="str">
        <f t="shared" ca="1" si="19"/>
        <v>OK</v>
      </c>
    </row>
    <row r="552" spans="1:11">
      <c r="A552" s="18" t="s">
        <v>2613</v>
      </c>
      <c r="B552" s="3" t="str">
        <f>IFERROR(INDEX(Movimientos!$C$5:$C$2001,MATCH(A552&amp;"ENTRADA",Movimientos!$R$5:$R$2001,0)),"-")</f>
        <v>-</v>
      </c>
      <c r="C552" s="3" t="str">
        <f>IFERROR(INDEX(Movimientos!$D$5:$D$2001,MATCH(A552&amp;"ENTRADA",Movimientos!$R$5:$R$2001,0)),"-")</f>
        <v>-</v>
      </c>
      <c r="D552" s="3" t="str">
        <f>IFERROR(INDEX(Movimientos!$E$5:$E$2001,MATCH(A552&amp;"ENTRADA",Movimientos!$R$5:$R$2001,0)),"-")</f>
        <v>-</v>
      </c>
      <c r="E552" s="3" t="str">
        <f>IFERROR(INDEX(Movimientos!$F$5:$F$2001,MATCH(A552&amp;"ENTRADA",Movimientos!$R$5:$R$2001,0)),"-")</f>
        <v>-</v>
      </c>
      <c r="F552" s="3" t="str">
        <f>IFERROR(INDEX(Movimientos!$G$5:$G$2001,MATCH(A552&amp;"ENTRADA",Movimientos!$R$5:$R$2001,0)),"-")</f>
        <v>-</v>
      </c>
      <c r="G552" s="3" t="str">
        <f>IFERROR(INDEX(Movimientos!$L$5:$L$2001,MATCH(A552&amp;"ENTRADA",Movimientos!$R$5:$R$2001,0)),"-")</f>
        <v>-</v>
      </c>
      <c r="H552" s="19" t="str">
        <f>IFERROR(IF(INDEX(Movimientos!$M$5:$M$2001,MATCH(A552&amp;"ENTRADA",Movimientos!$R$5:$R$2001,0))=0,"S/D",INDEX(Movimientos!$M$5:$M$2001,MATCH(A552&amp;"ENTRADA",Movimientos!$R$5:$R$2001,0))),"S/D")</f>
        <v>S/D</v>
      </c>
      <c r="I552" s="16" t="str">
        <f t="shared" ca="1" si="18"/>
        <v>S/D</v>
      </c>
      <c r="J552" s="6">
        <f>IF(A552="","",SUMIFS(Movimientos!$K:$K,Movimientos!$H:$H,A552))</f>
        <v>0</v>
      </c>
      <c r="K552" s="14" t="str">
        <f t="shared" ca="1" si="19"/>
        <v>OK</v>
      </c>
    </row>
    <row r="553" spans="1:11">
      <c r="A553" s="18" t="s">
        <v>2614</v>
      </c>
      <c r="B553" s="3" t="str">
        <f>IFERROR(INDEX(Movimientos!$C$5:$C$2001,MATCH(A553&amp;"ENTRADA",Movimientos!$R$5:$R$2001,0)),"-")</f>
        <v>-</v>
      </c>
      <c r="C553" s="3" t="str">
        <f>IFERROR(INDEX(Movimientos!$D$5:$D$2001,MATCH(A553&amp;"ENTRADA",Movimientos!$R$5:$R$2001,0)),"-")</f>
        <v>-</v>
      </c>
      <c r="D553" s="3" t="str">
        <f>IFERROR(INDEX(Movimientos!$E$5:$E$2001,MATCH(A553&amp;"ENTRADA",Movimientos!$R$5:$R$2001,0)),"-")</f>
        <v>-</v>
      </c>
      <c r="E553" s="3" t="str">
        <f>IFERROR(INDEX(Movimientos!$F$5:$F$2001,MATCH(A553&amp;"ENTRADA",Movimientos!$R$5:$R$2001,0)),"-")</f>
        <v>-</v>
      </c>
      <c r="F553" s="3" t="str">
        <f>IFERROR(INDEX(Movimientos!$G$5:$G$2001,MATCH(A553&amp;"ENTRADA",Movimientos!$R$5:$R$2001,0)),"-")</f>
        <v>-</v>
      </c>
      <c r="G553" s="3" t="str">
        <f>IFERROR(INDEX(Movimientos!$L$5:$L$2001,MATCH(A553&amp;"ENTRADA",Movimientos!$R$5:$R$2001,0)),"-")</f>
        <v>-</v>
      </c>
      <c r="H553" s="19" t="str">
        <f>IFERROR(IF(INDEX(Movimientos!$M$5:$M$2001,MATCH(A553&amp;"ENTRADA",Movimientos!$R$5:$R$2001,0))=0,"S/D",INDEX(Movimientos!$M$5:$M$2001,MATCH(A553&amp;"ENTRADA",Movimientos!$R$5:$R$2001,0))),"S/D")</f>
        <v>S/D</v>
      </c>
      <c r="I553" s="16" t="str">
        <f t="shared" ca="1" si="18"/>
        <v>S/D</v>
      </c>
      <c r="J553" s="6">
        <f>IF(A553="","",SUMIFS(Movimientos!$K:$K,Movimientos!$H:$H,A553))</f>
        <v>0</v>
      </c>
      <c r="K553" s="14" t="str">
        <f t="shared" ca="1" si="19"/>
        <v>OK</v>
      </c>
    </row>
    <row r="554" spans="1:11">
      <c r="A554" s="18" t="s">
        <v>2615</v>
      </c>
      <c r="B554" s="3" t="str">
        <f>IFERROR(INDEX(Movimientos!$C$5:$C$2001,MATCH(A554&amp;"ENTRADA",Movimientos!$R$5:$R$2001,0)),"-")</f>
        <v>-</v>
      </c>
      <c r="C554" s="3" t="str">
        <f>IFERROR(INDEX(Movimientos!$D$5:$D$2001,MATCH(A554&amp;"ENTRADA",Movimientos!$R$5:$R$2001,0)),"-")</f>
        <v>-</v>
      </c>
      <c r="D554" s="3" t="str">
        <f>IFERROR(INDEX(Movimientos!$E$5:$E$2001,MATCH(A554&amp;"ENTRADA",Movimientos!$R$5:$R$2001,0)),"-")</f>
        <v>-</v>
      </c>
      <c r="E554" s="3" t="str">
        <f>IFERROR(INDEX(Movimientos!$F$5:$F$2001,MATCH(A554&amp;"ENTRADA",Movimientos!$R$5:$R$2001,0)),"-")</f>
        <v>-</v>
      </c>
      <c r="F554" s="3" t="str">
        <f>IFERROR(INDEX(Movimientos!$G$5:$G$2001,MATCH(A554&amp;"ENTRADA",Movimientos!$R$5:$R$2001,0)),"-")</f>
        <v>-</v>
      </c>
      <c r="G554" s="3" t="str">
        <f>IFERROR(INDEX(Movimientos!$L$5:$L$2001,MATCH(A554&amp;"ENTRADA",Movimientos!$R$5:$R$2001,0)),"-")</f>
        <v>-</v>
      </c>
      <c r="H554" s="19" t="str">
        <f>IFERROR(IF(INDEX(Movimientos!$M$5:$M$2001,MATCH(A554&amp;"ENTRADA",Movimientos!$R$5:$R$2001,0))=0,"S/D",INDEX(Movimientos!$M$5:$M$2001,MATCH(A554&amp;"ENTRADA",Movimientos!$R$5:$R$2001,0))),"S/D")</f>
        <v>S/D</v>
      </c>
      <c r="I554" s="16" t="str">
        <f t="shared" ca="1" si="18"/>
        <v>S/D</v>
      </c>
      <c r="J554" s="6">
        <f>IF(A554="","",SUMIFS(Movimientos!$K:$K,Movimientos!$H:$H,A554))</f>
        <v>0</v>
      </c>
      <c r="K554" s="14" t="str">
        <f t="shared" ca="1" si="19"/>
        <v>OK</v>
      </c>
    </row>
    <row r="555" spans="1:11">
      <c r="A555" s="18" t="s">
        <v>2616</v>
      </c>
      <c r="B555" s="3" t="str">
        <f>IFERROR(INDEX(Movimientos!$C$5:$C$2001,MATCH(A555&amp;"ENTRADA",Movimientos!$R$5:$R$2001,0)),"-")</f>
        <v>-</v>
      </c>
      <c r="C555" s="3" t="str">
        <f>IFERROR(INDEX(Movimientos!$D$5:$D$2001,MATCH(A555&amp;"ENTRADA",Movimientos!$R$5:$R$2001,0)),"-")</f>
        <v>-</v>
      </c>
      <c r="D555" s="3" t="str">
        <f>IFERROR(INDEX(Movimientos!$E$5:$E$2001,MATCH(A555&amp;"ENTRADA",Movimientos!$R$5:$R$2001,0)),"-")</f>
        <v>-</v>
      </c>
      <c r="E555" s="3" t="str">
        <f>IFERROR(INDEX(Movimientos!$F$5:$F$2001,MATCH(A555&amp;"ENTRADA",Movimientos!$R$5:$R$2001,0)),"-")</f>
        <v>-</v>
      </c>
      <c r="F555" s="3" t="str">
        <f>IFERROR(INDEX(Movimientos!$G$5:$G$2001,MATCH(A555&amp;"ENTRADA",Movimientos!$R$5:$R$2001,0)),"-")</f>
        <v>-</v>
      </c>
      <c r="G555" s="3" t="str">
        <f>IFERROR(INDEX(Movimientos!$L$5:$L$2001,MATCH(A555&amp;"ENTRADA",Movimientos!$R$5:$R$2001,0)),"-")</f>
        <v>-</v>
      </c>
      <c r="H555" s="19" t="str">
        <f>IFERROR(IF(INDEX(Movimientos!$M$5:$M$2001,MATCH(A555&amp;"ENTRADA",Movimientos!$R$5:$R$2001,0))=0,"S/D",INDEX(Movimientos!$M$5:$M$2001,MATCH(A555&amp;"ENTRADA",Movimientos!$R$5:$R$2001,0))),"S/D")</f>
        <v>S/D</v>
      </c>
      <c r="I555" s="16" t="str">
        <f t="shared" ca="1" si="18"/>
        <v>S/D</v>
      </c>
      <c r="J555" s="6">
        <f>IF(A555="","",SUMIFS(Movimientos!$K:$K,Movimientos!$H:$H,A555))</f>
        <v>0</v>
      </c>
      <c r="K555" s="14" t="str">
        <f t="shared" ca="1" si="19"/>
        <v>OK</v>
      </c>
    </row>
    <row r="556" spans="1:11">
      <c r="A556" s="18" t="s">
        <v>2617</v>
      </c>
      <c r="B556" s="3" t="str">
        <f>IFERROR(INDEX(Movimientos!$C$5:$C$2001,MATCH(A556&amp;"ENTRADA",Movimientos!$R$5:$R$2001,0)),"-")</f>
        <v>-</v>
      </c>
      <c r="C556" s="3" t="str">
        <f>IFERROR(INDEX(Movimientos!$D$5:$D$2001,MATCH(A556&amp;"ENTRADA",Movimientos!$R$5:$R$2001,0)),"-")</f>
        <v>-</v>
      </c>
      <c r="D556" s="3" t="str">
        <f>IFERROR(INDEX(Movimientos!$E$5:$E$2001,MATCH(A556&amp;"ENTRADA",Movimientos!$R$5:$R$2001,0)),"-")</f>
        <v>-</v>
      </c>
      <c r="E556" s="3" t="str">
        <f>IFERROR(INDEX(Movimientos!$F$5:$F$2001,MATCH(A556&amp;"ENTRADA",Movimientos!$R$5:$R$2001,0)),"-")</f>
        <v>-</v>
      </c>
      <c r="F556" s="3" t="str">
        <f>IFERROR(INDEX(Movimientos!$G$5:$G$2001,MATCH(A556&amp;"ENTRADA",Movimientos!$R$5:$R$2001,0)),"-")</f>
        <v>-</v>
      </c>
      <c r="G556" s="3" t="str">
        <f>IFERROR(INDEX(Movimientos!$L$5:$L$2001,MATCH(A556&amp;"ENTRADA",Movimientos!$R$5:$R$2001,0)),"-")</f>
        <v>-</v>
      </c>
      <c r="H556" s="19" t="str">
        <f>IFERROR(IF(INDEX(Movimientos!$M$5:$M$2001,MATCH(A556&amp;"ENTRADA",Movimientos!$R$5:$R$2001,0))=0,"S/D",INDEX(Movimientos!$M$5:$M$2001,MATCH(A556&amp;"ENTRADA",Movimientos!$R$5:$R$2001,0))),"S/D")</f>
        <v>S/D</v>
      </c>
      <c r="I556" s="16" t="str">
        <f t="shared" ca="1" si="18"/>
        <v>S/D</v>
      </c>
      <c r="J556" s="6">
        <f>IF(A556="","",SUMIFS(Movimientos!$K:$K,Movimientos!$H:$H,A556))</f>
        <v>0</v>
      </c>
      <c r="K556" s="14" t="str">
        <f t="shared" ca="1" si="19"/>
        <v>OK</v>
      </c>
    </row>
    <row r="557" spans="1:11">
      <c r="A557" s="18" t="s">
        <v>2618</v>
      </c>
      <c r="B557" s="3" t="str">
        <f>IFERROR(INDEX(Movimientos!$C$5:$C$2001,MATCH(A557&amp;"ENTRADA",Movimientos!$R$5:$R$2001,0)),"-")</f>
        <v>-</v>
      </c>
      <c r="C557" s="3" t="str">
        <f>IFERROR(INDEX(Movimientos!$D$5:$D$2001,MATCH(A557&amp;"ENTRADA",Movimientos!$R$5:$R$2001,0)),"-")</f>
        <v>-</v>
      </c>
      <c r="D557" s="3" t="str">
        <f>IFERROR(INDEX(Movimientos!$E$5:$E$2001,MATCH(A557&amp;"ENTRADA",Movimientos!$R$5:$R$2001,0)),"-")</f>
        <v>-</v>
      </c>
      <c r="E557" s="3" t="str">
        <f>IFERROR(INDEX(Movimientos!$F$5:$F$2001,MATCH(A557&amp;"ENTRADA",Movimientos!$R$5:$R$2001,0)),"-")</f>
        <v>-</v>
      </c>
      <c r="F557" s="3" t="str">
        <f>IFERROR(INDEX(Movimientos!$G$5:$G$2001,MATCH(A557&amp;"ENTRADA",Movimientos!$R$5:$R$2001,0)),"-")</f>
        <v>-</v>
      </c>
      <c r="G557" s="3" t="str">
        <f>IFERROR(INDEX(Movimientos!$L$5:$L$2001,MATCH(A557&amp;"ENTRADA",Movimientos!$R$5:$R$2001,0)),"-")</f>
        <v>-</v>
      </c>
      <c r="H557" s="19" t="str">
        <f>IFERROR(IF(INDEX(Movimientos!$M$5:$M$2001,MATCH(A557&amp;"ENTRADA",Movimientos!$R$5:$R$2001,0))=0,"S/D",INDEX(Movimientos!$M$5:$M$2001,MATCH(A557&amp;"ENTRADA",Movimientos!$R$5:$R$2001,0))),"S/D")</f>
        <v>S/D</v>
      </c>
      <c r="I557" s="16" t="str">
        <f t="shared" ca="1" si="18"/>
        <v>S/D</v>
      </c>
      <c r="J557" s="6">
        <f>IF(A557="","",SUMIFS(Movimientos!$K:$K,Movimientos!$H:$H,A557))</f>
        <v>0</v>
      </c>
      <c r="K557" s="14" t="str">
        <f t="shared" ca="1" si="19"/>
        <v>OK</v>
      </c>
    </row>
    <row r="558" spans="1:11">
      <c r="A558" s="18" t="s">
        <v>2619</v>
      </c>
      <c r="B558" s="3" t="str">
        <f>IFERROR(INDEX(Movimientos!$C$5:$C$2001,MATCH(A558&amp;"ENTRADA",Movimientos!$R$5:$R$2001,0)),"-")</f>
        <v>-</v>
      </c>
      <c r="C558" s="3" t="str">
        <f>IFERROR(INDEX(Movimientos!$D$5:$D$2001,MATCH(A558&amp;"ENTRADA",Movimientos!$R$5:$R$2001,0)),"-")</f>
        <v>-</v>
      </c>
      <c r="D558" s="3" t="str">
        <f>IFERROR(INDEX(Movimientos!$E$5:$E$2001,MATCH(A558&amp;"ENTRADA",Movimientos!$R$5:$R$2001,0)),"-")</f>
        <v>-</v>
      </c>
      <c r="E558" s="3" t="str">
        <f>IFERROR(INDEX(Movimientos!$F$5:$F$2001,MATCH(A558&amp;"ENTRADA",Movimientos!$R$5:$R$2001,0)),"-")</f>
        <v>-</v>
      </c>
      <c r="F558" s="3" t="str">
        <f>IFERROR(INDEX(Movimientos!$G$5:$G$2001,MATCH(A558&amp;"ENTRADA",Movimientos!$R$5:$R$2001,0)),"-")</f>
        <v>-</v>
      </c>
      <c r="G558" s="3" t="str">
        <f>IFERROR(INDEX(Movimientos!$L$5:$L$2001,MATCH(A558&amp;"ENTRADA",Movimientos!$R$5:$R$2001,0)),"-")</f>
        <v>-</v>
      </c>
      <c r="H558" s="19" t="str">
        <f>IFERROR(IF(INDEX(Movimientos!$M$5:$M$2001,MATCH(A558&amp;"ENTRADA",Movimientos!$R$5:$R$2001,0))=0,"S/D",INDEX(Movimientos!$M$5:$M$2001,MATCH(A558&amp;"ENTRADA",Movimientos!$R$5:$R$2001,0))),"S/D")</f>
        <v>S/D</v>
      </c>
      <c r="I558" s="16" t="str">
        <f t="shared" ca="1" si="18"/>
        <v>S/D</v>
      </c>
      <c r="J558" s="6">
        <f>IF(A558="","",SUMIFS(Movimientos!$K:$K,Movimientos!$H:$H,A558))</f>
        <v>0</v>
      </c>
      <c r="K558" s="14" t="str">
        <f t="shared" ca="1" si="19"/>
        <v>OK</v>
      </c>
    </row>
    <row r="559" spans="1:11">
      <c r="A559" s="18" t="s">
        <v>2620</v>
      </c>
      <c r="B559" s="3" t="str">
        <f>IFERROR(INDEX(Movimientos!$C$5:$C$2001,MATCH(A559&amp;"ENTRADA",Movimientos!$R$5:$R$2001,0)),"-")</f>
        <v>-</v>
      </c>
      <c r="C559" s="3" t="str">
        <f>IFERROR(INDEX(Movimientos!$D$5:$D$2001,MATCH(A559&amp;"ENTRADA",Movimientos!$R$5:$R$2001,0)),"-")</f>
        <v>-</v>
      </c>
      <c r="D559" s="3" t="str">
        <f>IFERROR(INDEX(Movimientos!$E$5:$E$2001,MATCH(A559&amp;"ENTRADA",Movimientos!$R$5:$R$2001,0)),"-")</f>
        <v>-</v>
      </c>
      <c r="E559" s="3" t="str">
        <f>IFERROR(INDEX(Movimientos!$F$5:$F$2001,MATCH(A559&amp;"ENTRADA",Movimientos!$R$5:$R$2001,0)),"-")</f>
        <v>-</v>
      </c>
      <c r="F559" s="3" t="str">
        <f>IFERROR(INDEX(Movimientos!$G$5:$G$2001,MATCH(A559&amp;"ENTRADA",Movimientos!$R$5:$R$2001,0)),"-")</f>
        <v>-</v>
      </c>
      <c r="G559" s="3" t="str">
        <f>IFERROR(INDEX(Movimientos!$L$5:$L$2001,MATCH(A559&amp;"ENTRADA",Movimientos!$R$5:$R$2001,0)),"-")</f>
        <v>-</v>
      </c>
      <c r="H559" s="19" t="str">
        <f>IFERROR(IF(INDEX(Movimientos!$M$5:$M$2001,MATCH(A559&amp;"ENTRADA",Movimientos!$R$5:$R$2001,0))=0,"S/D",INDEX(Movimientos!$M$5:$M$2001,MATCH(A559&amp;"ENTRADA",Movimientos!$R$5:$R$2001,0))),"S/D")</f>
        <v>S/D</v>
      </c>
      <c r="I559" s="16" t="str">
        <f t="shared" ca="1" si="18"/>
        <v>S/D</v>
      </c>
      <c r="J559" s="6">
        <f>IF(A559="","",SUMIFS(Movimientos!$K:$K,Movimientos!$H:$H,A559))</f>
        <v>0</v>
      </c>
      <c r="K559" s="14" t="str">
        <f t="shared" ca="1" si="19"/>
        <v>OK</v>
      </c>
    </row>
    <row r="560" spans="1:11">
      <c r="A560" s="18" t="s">
        <v>2621</v>
      </c>
      <c r="B560" s="3" t="str">
        <f>IFERROR(INDEX(Movimientos!$C$5:$C$2001,MATCH(A560&amp;"ENTRADA",Movimientos!$R$5:$R$2001,0)),"-")</f>
        <v>-</v>
      </c>
      <c r="C560" s="3" t="str">
        <f>IFERROR(INDEX(Movimientos!$D$5:$D$2001,MATCH(A560&amp;"ENTRADA",Movimientos!$R$5:$R$2001,0)),"-")</f>
        <v>-</v>
      </c>
      <c r="D560" s="3" t="str">
        <f>IFERROR(INDEX(Movimientos!$E$5:$E$2001,MATCH(A560&amp;"ENTRADA",Movimientos!$R$5:$R$2001,0)),"-")</f>
        <v>-</v>
      </c>
      <c r="E560" s="3" t="str">
        <f>IFERROR(INDEX(Movimientos!$F$5:$F$2001,MATCH(A560&amp;"ENTRADA",Movimientos!$R$5:$R$2001,0)),"-")</f>
        <v>-</v>
      </c>
      <c r="F560" s="3" t="str">
        <f>IFERROR(INDEX(Movimientos!$G$5:$G$2001,MATCH(A560&amp;"ENTRADA",Movimientos!$R$5:$R$2001,0)),"-")</f>
        <v>-</v>
      </c>
      <c r="G560" s="3" t="str">
        <f>IFERROR(INDEX(Movimientos!$L$5:$L$2001,MATCH(A560&amp;"ENTRADA",Movimientos!$R$5:$R$2001,0)),"-")</f>
        <v>-</v>
      </c>
      <c r="H560" s="19" t="str">
        <f>IFERROR(IF(INDEX(Movimientos!$M$5:$M$2001,MATCH(A560&amp;"ENTRADA",Movimientos!$R$5:$R$2001,0))=0,"S/D",INDEX(Movimientos!$M$5:$M$2001,MATCH(A560&amp;"ENTRADA",Movimientos!$R$5:$R$2001,0))),"S/D")</f>
        <v>S/D</v>
      </c>
      <c r="I560" s="16" t="str">
        <f t="shared" ca="1" si="18"/>
        <v>S/D</v>
      </c>
      <c r="J560" s="6">
        <f>IF(A560="","",SUMIFS(Movimientos!$K:$K,Movimientos!$H:$H,A560))</f>
        <v>0</v>
      </c>
      <c r="K560" s="14" t="str">
        <f t="shared" ca="1" si="19"/>
        <v>OK</v>
      </c>
    </row>
    <row r="561" spans="1:11">
      <c r="A561" s="18" t="s">
        <v>2622</v>
      </c>
      <c r="B561" s="3" t="str">
        <f>IFERROR(INDEX(Movimientos!$C$5:$C$2001,MATCH(A561&amp;"ENTRADA",Movimientos!$R$5:$R$2001,0)),"-")</f>
        <v>-</v>
      </c>
      <c r="C561" s="3" t="str">
        <f>IFERROR(INDEX(Movimientos!$D$5:$D$2001,MATCH(A561&amp;"ENTRADA",Movimientos!$R$5:$R$2001,0)),"-")</f>
        <v>-</v>
      </c>
      <c r="D561" s="3" t="str">
        <f>IFERROR(INDEX(Movimientos!$E$5:$E$2001,MATCH(A561&amp;"ENTRADA",Movimientos!$R$5:$R$2001,0)),"-")</f>
        <v>-</v>
      </c>
      <c r="E561" s="3" t="str">
        <f>IFERROR(INDEX(Movimientos!$F$5:$F$2001,MATCH(A561&amp;"ENTRADA",Movimientos!$R$5:$R$2001,0)),"-")</f>
        <v>-</v>
      </c>
      <c r="F561" s="3" t="str">
        <f>IFERROR(INDEX(Movimientos!$G$5:$G$2001,MATCH(A561&amp;"ENTRADA",Movimientos!$R$5:$R$2001,0)),"-")</f>
        <v>-</v>
      </c>
      <c r="G561" s="3" t="str">
        <f>IFERROR(INDEX(Movimientos!$L$5:$L$2001,MATCH(A561&amp;"ENTRADA",Movimientos!$R$5:$R$2001,0)),"-")</f>
        <v>-</v>
      </c>
      <c r="H561" s="19" t="str">
        <f>IFERROR(IF(INDEX(Movimientos!$M$5:$M$2001,MATCH(A561&amp;"ENTRADA",Movimientos!$R$5:$R$2001,0))=0,"S/D",INDEX(Movimientos!$M$5:$M$2001,MATCH(A561&amp;"ENTRADA",Movimientos!$R$5:$R$2001,0))),"S/D")</f>
        <v>S/D</v>
      </c>
      <c r="I561" s="16" t="str">
        <f t="shared" ca="1" si="18"/>
        <v>S/D</v>
      </c>
      <c r="J561" s="6">
        <f>IF(A561="","",SUMIFS(Movimientos!$K:$K,Movimientos!$H:$H,A561))</f>
        <v>0</v>
      </c>
      <c r="K561" s="14" t="str">
        <f t="shared" ca="1" si="19"/>
        <v>OK</v>
      </c>
    </row>
    <row r="562" spans="1:11">
      <c r="A562" s="18" t="s">
        <v>2623</v>
      </c>
      <c r="B562" s="3" t="str">
        <f>IFERROR(INDEX(Movimientos!$C$5:$C$2001,MATCH(A562&amp;"ENTRADA",Movimientos!$R$5:$R$2001,0)),"-")</f>
        <v>-</v>
      </c>
      <c r="C562" s="3" t="str">
        <f>IFERROR(INDEX(Movimientos!$D$5:$D$2001,MATCH(A562&amp;"ENTRADA",Movimientos!$R$5:$R$2001,0)),"-")</f>
        <v>-</v>
      </c>
      <c r="D562" s="3" t="str">
        <f>IFERROR(INDEX(Movimientos!$E$5:$E$2001,MATCH(A562&amp;"ENTRADA",Movimientos!$R$5:$R$2001,0)),"-")</f>
        <v>-</v>
      </c>
      <c r="E562" s="3" t="str">
        <f>IFERROR(INDEX(Movimientos!$F$5:$F$2001,MATCH(A562&amp;"ENTRADA",Movimientos!$R$5:$R$2001,0)),"-")</f>
        <v>-</v>
      </c>
      <c r="F562" s="3" t="str">
        <f>IFERROR(INDEX(Movimientos!$G$5:$G$2001,MATCH(A562&amp;"ENTRADA",Movimientos!$R$5:$R$2001,0)),"-")</f>
        <v>-</v>
      </c>
      <c r="G562" s="3" t="str">
        <f>IFERROR(INDEX(Movimientos!$L$5:$L$2001,MATCH(A562&amp;"ENTRADA",Movimientos!$R$5:$R$2001,0)),"-")</f>
        <v>-</v>
      </c>
      <c r="H562" s="19" t="str">
        <f>IFERROR(IF(INDEX(Movimientos!$M$5:$M$2001,MATCH(A562&amp;"ENTRADA",Movimientos!$R$5:$R$2001,0))=0,"S/D",INDEX(Movimientos!$M$5:$M$2001,MATCH(A562&amp;"ENTRADA",Movimientos!$R$5:$R$2001,0))),"S/D")</f>
        <v>S/D</v>
      </c>
      <c r="I562" s="16" t="str">
        <f t="shared" ca="1" si="18"/>
        <v>S/D</v>
      </c>
      <c r="J562" s="6">
        <f>IF(A562="","",SUMIFS(Movimientos!$K:$K,Movimientos!$H:$H,A562))</f>
        <v>0</v>
      </c>
      <c r="K562" s="14" t="str">
        <f t="shared" ca="1" si="19"/>
        <v>OK</v>
      </c>
    </row>
    <row r="563" spans="1:11">
      <c r="A563" s="18" t="s">
        <v>2624</v>
      </c>
      <c r="B563" s="3" t="str">
        <f>IFERROR(INDEX(Movimientos!$C$5:$C$2001,MATCH(A563&amp;"ENTRADA",Movimientos!$R$5:$R$2001,0)),"-")</f>
        <v>-</v>
      </c>
      <c r="C563" s="3" t="str">
        <f>IFERROR(INDEX(Movimientos!$D$5:$D$2001,MATCH(A563&amp;"ENTRADA",Movimientos!$R$5:$R$2001,0)),"-")</f>
        <v>-</v>
      </c>
      <c r="D563" s="3" t="str">
        <f>IFERROR(INDEX(Movimientos!$E$5:$E$2001,MATCH(A563&amp;"ENTRADA",Movimientos!$R$5:$R$2001,0)),"-")</f>
        <v>-</v>
      </c>
      <c r="E563" s="3" t="str">
        <f>IFERROR(INDEX(Movimientos!$F$5:$F$2001,MATCH(A563&amp;"ENTRADA",Movimientos!$R$5:$R$2001,0)),"-")</f>
        <v>-</v>
      </c>
      <c r="F563" s="3" t="str">
        <f>IFERROR(INDEX(Movimientos!$G$5:$G$2001,MATCH(A563&amp;"ENTRADA",Movimientos!$R$5:$R$2001,0)),"-")</f>
        <v>-</v>
      </c>
      <c r="G563" s="3" t="str">
        <f>IFERROR(INDEX(Movimientos!$L$5:$L$2001,MATCH(A563&amp;"ENTRADA",Movimientos!$R$5:$R$2001,0)),"-")</f>
        <v>-</v>
      </c>
      <c r="H563" s="19" t="str">
        <f>IFERROR(IF(INDEX(Movimientos!$M$5:$M$2001,MATCH(A563&amp;"ENTRADA",Movimientos!$R$5:$R$2001,0))=0,"S/D",INDEX(Movimientos!$M$5:$M$2001,MATCH(A563&amp;"ENTRADA",Movimientos!$R$5:$R$2001,0))),"S/D")</f>
        <v>S/D</v>
      </c>
      <c r="I563" s="16" t="str">
        <f t="shared" ca="1" si="18"/>
        <v>S/D</v>
      </c>
      <c r="J563" s="6">
        <f>IF(A563="","",SUMIFS(Movimientos!$K:$K,Movimientos!$H:$H,A563))</f>
        <v>0</v>
      </c>
      <c r="K563" s="14" t="str">
        <f t="shared" ca="1" si="19"/>
        <v>OK</v>
      </c>
    </row>
    <row r="564" spans="1:11">
      <c r="A564" s="18" t="s">
        <v>2625</v>
      </c>
      <c r="B564" s="3" t="str">
        <f>IFERROR(INDEX(Movimientos!$C$5:$C$2001,MATCH(A564&amp;"ENTRADA",Movimientos!$R$5:$R$2001,0)),"-")</f>
        <v>-</v>
      </c>
      <c r="C564" s="3" t="str">
        <f>IFERROR(INDEX(Movimientos!$D$5:$D$2001,MATCH(A564&amp;"ENTRADA",Movimientos!$R$5:$R$2001,0)),"-")</f>
        <v>-</v>
      </c>
      <c r="D564" s="3" t="str">
        <f>IFERROR(INDEX(Movimientos!$E$5:$E$2001,MATCH(A564&amp;"ENTRADA",Movimientos!$R$5:$R$2001,0)),"-")</f>
        <v>-</v>
      </c>
      <c r="E564" s="3" t="str">
        <f>IFERROR(INDEX(Movimientos!$F$5:$F$2001,MATCH(A564&amp;"ENTRADA",Movimientos!$R$5:$R$2001,0)),"-")</f>
        <v>-</v>
      </c>
      <c r="F564" s="3" t="str">
        <f>IFERROR(INDEX(Movimientos!$G$5:$G$2001,MATCH(A564&amp;"ENTRADA",Movimientos!$R$5:$R$2001,0)),"-")</f>
        <v>-</v>
      </c>
      <c r="G564" s="3" t="str">
        <f>IFERROR(INDEX(Movimientos!$L$5:$L$2001,MATCH(A564&amp;"ENTRADA",Movimientos!$R$5:$R$2001,0)),"-")</f>
        <v>-</v>
      </c>
      <c r="H564" s="19" t="str">
        <f>IFERROR(IF(INDEX(Movimientos!$M$5:$M$2001,MATCH(A564&amp;"ENTRADA",Movimientos!$R$5:$R$2001,0))=0,"S/D",INDEX(Movimientos!$M$5:$M$2001,MATCH(A564&amp;"ENTRADA",Movimientos!$R$5:$R$2001,0))),"S/D")</f>
        <v>S/D</v>
      </c>
      <c r="I564" s="16" t="str">
        <f t="shared" ca="1" si="18"/>
        <v>S/D</v>
      </c>
      <c r="J564" s="6">
        <f>IF(A564="","",SUMIFS(Movimientos!$K:$K,Movimientos!$H:$H,A564))</f>
        <v>0</v>
      </c>
      <c r="K564" s="14" t="str">
        <f t="shared" ca="1" si="19"/>
        <v>OK</v>
      </c>
    </row>
    <row r="565" spans="1:11">
      <c r="A565" s="18" t="s">
        <v>2626</v>
      </c>
      <c r="B565" s="3" t="str">
        <f>IFERROR(INDEX(Movimientos!$C$5:$C$2001,MATCH(A565&amp;"ENTRADA",Movimientos!$R$5:$R$2001,0)),"-")</f>
        <v>-</v>
      </c>
      <c r="C565" s="3" t="str">
        <f>IFERROR(INDEX(Movimientos!$D$5:$D$2001,MATCH(A565&amp;"ENTRADA",Movimientos!$R$5:$R$2001,0)),"-")</f>
        <v>-</v>
      </c>
      <c r="D565" s="3" t="str">
        <f>IFERROR(INDEX(Movimientos!$E$5:$E$2001,MATCH(A565&amp;"ENTRADA",Movimientos!$R$5:$R$2001,0)),"-")</f>
        <v>-</v>
      </c>
      <c r="E565" s="3" t="str">
        <f>IFERROR(INDEX(Movimientos!$F$5:$F$2001,MATCH(A565&amp;"ENTRADA",Movimientos!$R$5:$R$2001,0)),"-")</f>
        <v>-</v>
      </c>
      <c r="F565" s="3" t="str">
        <f>IFERROR(INDEX(Movimientos!$G$5:$G$2001,MATCH(A565&amp;"ENTRADA",Movimientos!$R$5:$R$2001,0)),"-")</f>
        <v>-</v>
      </c>
      <c r="G565" s="3" t="str">
        <f>IFERROR(INDEX(Movimientos!$L$5:$L$2001,MATCH(A565&amp;"ENTRADA",Movimientos!$R$5:$R$2001,0)),"-")</f>
        <v>-</v>
      </c>
      <c r="H565" s="19" t="str">
        <f>IFERROR(IF(INDEX(Movimientos!$M$5:$M$2001,MATCH(A565&amp;"ENTRADA",Movimientos!$R$5:$R$2001,0))=0,"S/D",INDEX(Movimientos!$M$5:$M$2001,MATCH(A565&amp;"ENTRADA",Movimientos!$R$5:$R$2001,0))),"S/D")</f>
        <v>S/D</v>
      </c>
      <c r="I565" s="16" t="str">
        <f t="shared" ca="1" si="18"/>
        <v>S/D</v>
      </c>
      <c r="J565" s="6">
        <f>IF(A565="","",SUMIFS(Movimientos!$K:$K,Movimientos!$H:$H,A565))</f>
        <v>0</v>
      </c>
      <c r="K565" s="14" t="str">
        <f t="shared" ca="1" si="19"/>
        <v>OK</v>
      </c>
    </row>
    <row r="566" spans="1:11">
      <c r="A566" s="18" t="s">
        <v>2627</v>
      </c>
      <c r="B566" s="3" t="str">
        <f>IFERROR(INDEX(Movimientos!$C$5:$C$2001,MATCH(A566&amp;"ENTRADA",Movimientos!$R$5:$R$2001,0)),"-")</f>
        <v>-</v>
      </c>
      <c r="C566" s="3" t="str">
        <f>IFERROR(INDEX(Movimientos!$D$5:$D$2001,MATCH(A566&amp;"ENTRADA",Movimientos!$R$5:$R$2001,0)),"-")</f>
        <v>-</v>
      </c>
      <c r="D566" s="3" t="str">
        <f>IFERROR(INDEX(Movimientos!$E$5:$E$2001,MATCH(A566&amp;"ENTRADA",Movimientos!$R$5:$R$2001,0)),"-")</f>
        <v>-</v>
      </c>
      <c r="E566" s="3" t="str">
        <f>IFERROR(INDEX(Movimientos!$F$5:$F$2001,MATCH(A566&amp;"ENTRADA",Movimientos!$R$5:$R$2001,0)),"-")</f>
        <v>-</v>
      </c>
      <c r="F566" s="3" t="str">
        <f>IFERROR(INDEX(Movimientos!$G$5:$G$2001,MATCH(A566&amp;"ENTRADA",Movimientos!$R$5:$R$2001,0)),"-")</f>
        <v>-</v>
      </c>
      <c r="G566" s="3" t="str">
        <f>IFERROR(INDEX(Movimientos!$L$5:$L$2001,MATCH(A566&amp;"ENTRADA",Movimientos!$R$5:$R$2001,0)),"-")</f>
        <v>-</v>
      </c>
      <c r="H566" s="19" t="str">
        <f>IFERROR(IF(INDEX(Movimientos!$M$5:$M$2001,MATCH(A566&amp;"ENTRADA",Movimientos!$R$5:$R$2001,0))=0,"S/D",INDEX(Movimientos!$M$5:$M$2001,MATCH(A566&amp;"ENTRADA",Movimientos!$R$5:$R$2001,0))),"S/D")</f>
        <v>S/D</v>
      </c>
      <c r="I566" s="16" t="str">
        <f t="shared" ca="1" si="18"/>
        <v>S/D</v>
      </c>
      <c r="J566" s="6">
        <f>IF(A566="","",SUMIFS(Movimientos!$K:$K,Movimientos!$H:$H,A566))</f>
        <v>0</v>
      </c>
      <c r="K566" s="14" t="str">
        <f t="shared" ca="1" si="19"/>
        <v>OK</v>
      </c>
    </row>
    <row r="567" spans="1:11">
      <c r="A567" s="18" t="s">
        <v>2628</v>
      </c>
      <c r="B567" s="3" t="str">
        <f>IFERROR(INDEX(Movimientos!$C$5:$C$2001,MATCH(A567&amp;"ENTRADA",Movimientos!$R$5:$R$2001,0)),"-")</f>
        <v>-</v>
      </c>
      <c r="C567" s="3" t="str">
        <f>IFERROR(INDEX(Movimientos!$D$5:$D$2001,MATCH(A567&amp;"ENTRADA",Movimientos!$R$5:$R$2001,0)),"-")</f>
        <v>-</v>
      </c>
      <c r="D567" s="3" t="str">
        <f>IFERROR(INDEX(Movimientos!$E$5:$E$2001,MATCH(A567&amp;"ENTRADA",Movimientos!$R$5:$R$2001,0)),"-")</f>
        <v>-</v>
      </c>
      <c r="E567" s="3" t="str">
        <f>IFERROR(INDEX(Movimientos!$F$5:$F$2001,MATCH(A567&amp;"ENTRADA",Movimientos!$R$5:$R$2001,0)),"-")</f>
        <v>-</v>
      </c>
      <c r="F567" s="3" t="str">
        <f>IFERROR(INDEX(Movimientos!$G$5:$G$2001,MATCH(A567&amp;"ENTRADA",Movimientos!$R$5:$R$2001,0)),"-")</f>
        <v>-</v>
      </c>
      <c r="G567" s="3" t="str">
        <f>IFERROR(INDEX(Movimientos!$L$5:$L$2001,MATCH(A567&amp;"ENTRADA",Movimientos!$R$5:$R$2001,0)),"-")</f>
        <v>-</v>
      </c>
      <c r="H567" s="19" t="str">
        <f>IFERROR(IF(INDEX(Movimientos!$M$5:$M$2001,MATCH(A567&amp;"ENTRADA",Movimientos!$R$5:$R$2001,0))=0,"S/D",INDEX(Movimientos!$M$5:$M$2001,MATCH(A567&amp;"ENTRADA",Movimientos!$R$5:$R$2001,0))),"S/D")</f>
        <v>S/D</v>
      </c>
      <c r="I567" s="16" t="str">
        <f t="shared" ca="1" si="18"/>
        <v>S/D</v>
      </c>
      <c r="J567" s="6">
        <f>IF(A567="","",SUMIFS(Movimientos!$K:$K,Movimientos!$H:$H,A567))</f>
        <v>0</v>
      </c>
      <c r="K567" s="14" t="str">
        <f t="shared" ca="1" si="19"/>
        <v>OK</v>
      </c>
    </row>
    <row r="568" spans="1:11">
      <c r="A568" s="18" t="s">
        <v>2629</v>
      </c>
      <c r="B568" s="3" t="str">
        <f>IFERROR(INDEX(Movimientos!$C$5:$C$2001,MATCH(A568&amp;"ENTRADA",Movimientos!$R$5:$R$2001,0)),"-")</f>
        <v>-</v>
      </c>
      <c r="C568" s="3" t="str">
        <f>IFERROR(INDEX(Movimientos!$D$5:$D$2001,MATCH(A568&amp;"ENTRADA",Movimientos!$R$5:$R$2001,0)),"-")</f>
        <v>-</v>
      </c>
      <c r="D568" s="3" t="str">
        <f>IFERROR(INDEX(Movimientos!$E$5:$E$2001,MATCH(A568&amp;"ENTRADA",Movimientos!$R$5:$R$2001,0)),"-")</f>
        <v>-</v>
      </c>
      <c r="E568" s="3" t="str">
        <f>IFERROR(INDEX(Movimientos!$F$5:$F$2001,MATCH(A568&amp;"ENTRADA",Movimientos!$R$5:$R$2001,0)),"-")</f>
        <v>-</v>
      </c>
      <c r="F568" s="3" t="str">
        <f>IFERROR(INDEX(Movimientos!$G$5:$G$2001,MATCH(A568&amp;"ENTRADA",Movimientos!$R$5:$R$2001,0)),"-")</f>
        <v>-</v>
      </c>
      <c r="G568" s="3" t="str">
        <f>IFERROR(INDEX(Movimientos!$L$5:$L$2001,MATCH(A568&amp;"ENTRADA",Movimientos!$R$5:$R$2001,0)),"-")</f>
        <v>-</v>
      </c>
      <c r="H568" s="19" t="str">
        <f>IFERROR(IF(INDEX(Movimientos!$M$5:$M$2001,MATCH(A568&amp;"ENTRADA",Movimientos!$R$5:$R$2001,0))=0,"S/D",INDEX(Movimientos!$M$5:$M$2001,MATCH(A568&amp;"ENTRADA",Movimientos!$R$5:$R$2001,0))),"S/D")</f>
        <v>S/D</v>
      </c>
      <c r="I568" s="16" t="str">
        <f t="shared" ca="1" si="18"/>
        <v>S/D</v>
      </c>
      <c r="J568" s="6">
        <f>IF(A568="","",SUMIFS(Movimientos!$K:$K,Movimientos!$H:$H,A568))</f>
        <v>0</v>
      </c>
      <c r="K568" s="14" t="str">
        <f t="shared" ca="1" si="19"/>
        <v>OK</v>
      </c>
    </row>
    <row r="569" spans="1:11">
      <c r="A569" s="18" t="s">
        <v>2630</v>
      </c>
      <c r="B569" s="3" t="str">
        <f>IFERROR(INDEX(Movimientos!$C$5:$C$2001,MATCH(A569&amp;"ENTRADA",Movimientos!$R$5:$R$2001,0)),"-")</f>
        <v>-</v>
      </c>
      <c r="C569" s="3" t="str">
        <f>IFERROR(INDEX(Movimientos!$D$5:$D$2001,MATCH(A569&amp;"ENTRADA",Movimientos!$R$5:$R$2001,0)),"-")</f>
        <v>-</v>
      </c>
      <c r="D569" s="3" t="str">
        <f>IFERROR(INDEX(Movimientos!$E$5:$E$2001,MATCH(A569&amp;"ENTRADA",Movimientos!$R$5:$R$2001,0)),"-")</f>
        <v>-</v>
      </c>
      <c r="E569" s="3" t="str">
        <f>IFERROR(INDEX(Movimientos!$F$5:$F$2001,MATCH(A569&amp;"ENTRADA",Movimientos!$R$5:$R$2001,0)),"-")</f>
        <v>-</v>
      </c>
      <c r="F569" s="3" t="str">
        <f>IFERROR(INDEX(Movimientos!$G$5:$G$2001,MATCH(A569&amp;"ENTRADA",Movimientos!$R$5:$R$2001,0)),"-")</f>
        <v>-</v>
      </c>
      <c r="G569" s="3" t="str">
        <f>IFERROR(INDEX(Movimientos!$L$5:$L$2001,MATCH(A569&amp;"ENTRADA",Movimientos!$R$5:$R$2001,0)),"-")</f>
        <v>-</v>
      </c>
      <c r="H569" s="19" t="str">
        <f>IFERROR(IF(INDEX(Movimientos!$M$5:$M$2001,MATCH(A569&amp;"ENTRADA",Movimientos!$R$5:$R$2001,0))=0,"S/D",INDEX(Movimientos!$M$5:$M$2001,MATCH(A569&amp;"ENTRADA",Movimientos!$R$5:$R$2001,0))),"S/D")</f>
        <v>S/D</v>
      </c>
      <c r="I569" s="16" t="str">
        <f t="shared" ca="1" si="18"/>
        <v>S/D</v>
      </c>
      <c r="J569" s="6">
        <f>IF(A569="","",SUMIFS(Movimientos!$K:$K,Movimientos!$H:$H,A569))</f>
        <v>0</v>
      </c>
      <c r="K569" s="14" t="str">
        <f t="shared" ca="1" si="19"/>
        <v>OK</v>
      </c>
    </row>
    <row r="570" spans="1:11">
      <c r="A570" s="18" t="s">
        <v>2631</v>
      </c>
      <c r="B570" s="3" t="str">
        <f>IFERROR(INDEX(Movimientos!$C$5:$C$2001,MATCH(A570&amp;"ENTRADA",Movimientos!$R$5:$R$2001,0)),"-")</f>
        <v>-</v>
      </c>
      <c r="C570" s="3" t="str">
        <f>IFERROR(INDEX(Movimientos!$D$5:$D$2001,MATCH(A570&amp;"ENTRADA",Movimientos!$R$5:$R$2001,0)),"-")</f>
        <v>-</v>
      </c>
      <c r="D570" s="3" t="str">
        <f>IFERROR(INDEX(Movimientos!$E$5:$E$2001,MATCH(A570&amp;"ENTRADA",Movimientos!$R$5:$R$2001,0)),"-")</f>
        <v>-</v>
      </c>
      <c r="E570" s="3" t="str">
        <f>IFERROR(INDEX(Movimientos!$F$5:$F$2001,MATCH(A570&amp;"ENTRADA",Movimientos!$R$5:$R$2001,0)),"-")</f>
        <v>-</v>
      </c>
      <c r="F570" s="3" t="str">
        <f>IFERROR(INDEX(Movimientos!$G$5:$G$2001,MATCH(A570&amp;"ENTRADA",Movimientos!$R$5:$R$2001,0)),"-")</f>
        <v>-</v>
      </c>
      <c r="G570" s="3" t="str">
        <f>IFERROR(INDEX(Movimientos!$L$5:$L$2001,MATCH(A570&amp;"ENTRADA",Movimientos!$R$5:$R$2001,0)),"-")</f>
        <v>-</v>
      </c>
      <c r="H570" s="19" t="str">
        <f>IFERROR(IF(INDEX(Movimientos!$M$5:$M$2001,MATCH(A570&amp;"ENTRADA",Movimientos!$R$5:$R$2001,0))=0,"S/D",INDEX(Movimientos!$M$5:$M$2001,MATCH(A570&amp;"ENTRADA",Movimientos!$R$5:$R$2001,0))),"S/D")</f>
        <v>S/D</v>
      </c>
      <c r="I570" s="16" t="str">
        <f t="shared" ca="1" si="18"/>
        <v>S/D</v>
      </c>
      <c r="J570" s="6">
        <f>IF(A570="","",SUMIFS(Movimientos!$K:$K,Movimientos!$H:$H,A570))</f>
        <v>0</v>
      </c>
      <c r="K570" s="14" t="str">
        <f t="shared" ca="1" si="19"/>
        <v>OK</v>
      </c>
    </row>
    <row r="571" spans="1:11">
      <c r="A571" s="18" t="s">
        <v>2632</v>
      </c>
      <c r="B571" s="3" t="str">
        <f>IFERROR(INDEX(Movimientos!$C$5:$C$2001,MATCH(A571&amp;"ENTRADA",Movimientos!$R$5:$R$2001,0)),"-")</f>
        <v>-</v>
      </c>
      <c r="C571" s="3" t="str">
        <f>IFERROR(INDEX(Movimientos!$D$5:$D$2001,MATCH(A571&amp;"ENTRADA",Movimientos!$R$5:$R$2001,0)),"-")</f>
        <v>-</v>
      </c>
      <c r="D571" s="3" t="str">
        <f>IFERROR(INDEX(Movimientos!$E$5:$E$2001,MATCH(A571&amp;"ENTRADA",Movimientos!$R$5:$R$2001,0)),"-")</f>
        <v>-</v>
      </c>
      <c r="E571" s="3" t="str">
        <f>IFERROR(INDEX(Movimientos!$F$5:$F$2001,MATCH(A571&amp;"ENTRADA",Movimientos!$R$5:$R$2001,0)),"-")</f>
        <v>-</v>
      </c>
      <c r="F571" s="3" t="str">
        <f>IFERROR(INDEX(Movimientos!$G$5:$G$2001,MATCH(A571&amp;"ENTRADA",Movimientos!$R$5:$R$2001,0)),"-")</f>
        <v>-</v>
      </c>
      <c r="G571" s="3" t="str">
        <f>IFERROR(INDEX(Movimientos!$L$5:$L$2001,MATCH(A571&amp;"ENTRADA",Movimientos!$R$5:$R$2001,0)),"-")</f>
        <v>-</v>
      </c>
      <c r="H571" s="19" t="str">
        <f>IFERROR(IF(INDEX(Movimientos!$M$5:$M$2001,MATCH(A571&amp;"ENTRADA",Movimientos!$R$5:$R$2001,0))=0,"S/D",INDEX(Movimientos!$M$5:$M$2001,MATCH(A571&amp;"ENTRADA",Movimientos!$R$5:$R$2001,0))),"S/D")</f>
        <v>S/D</v>
      </c>
      <c r="I571" s="16" t="str">
        <f t="shared" ca="1" si="18"/>
        <v>S/D</v>
      </c>
      <c r="J571" s="6">
        <f>IF(A571="","",SUMIFS(Movimientos!$K:$K,Movimientos!$H:$H,A571))</f>
        <v>0</v>
      </c>
      <c r="K571" s="14" t="str">
        <f t="shared" ca="1" si="19"/>
        <v>OK</v>
      </c>
    </row>
    <row r="572" spans="1:11">
      <c r="A572" s="18" t="s">
        <v>2633</v>
      </c>
      <c r="B572" s="3" t="str">
        <f>IFERROR(INDEX(Movimientos!$C$5:$C$2001,MATCH(A572&amp;"ENTRADA",Movimientos!$R$5:$R$2001,0)),"-")</f>
        <v>-</v>
      </c>
      <c r="C572" s="3" t="str">
        <f>IFERROR(INDEX(Movimientos!$D$5:$D$2001,MATCH(A572&amp;"ENTRADA",Movimientos!$R$5:$R$2001,0)),"-")</f>
        <v>-</v>
      </c>
      <c r="D572" s="3" t="str">
        <f>IFERROR(INDEX(Movimientos!$E$5:$E$2001,MATCH(A572&amp;"ENTRADA",Movimientos!$R$5:$R$2001,0)),"-")</f>
        <v>-</v>
      </c>
      <c r="E572" s="3" t="str">
        <f>IFERROR(INDEX(Movimientos!$F$5:$F$2001,MATCH(A572&amp;"ENTRADA",Movimientos!$R$5:$R$2001,0)),"-")</f>
        <v>-</v>
      </c>
      <c r="F572" s="3" t="str">
        <f>IFERROR(INDEX(Movimientos!$G$5:$G$2001,MATCH(A572&amp;"ENTRADA",Movimientos!$R$5:$R$2001,0)),"-")</f>
        <v>-</v>
      </c>
      <c r="G572" s="3" t="str">
        <f>IFERROR(INDEX(Movimientos!$L$5:$L$2001,MATCH(A572&amp;"ENTRADA",Movimientos!$R$5:$R$2001,0)),"-")</f>
        <v>-</v>
      </c>
      <c r="H572" s="19" t="str">
        <f>IFERROR(IF(INDEX(Movimientos!$M$5:$M$2001,MATCH(A572&amp;"ENTRADA",Movimientos!$R$5:$R$2001,0))=0,"S/D",INDEX(Movimientos!$M$5:$M$2001,MATCH(A572&amp;"ENTRADA",Movimientos!$R$5:$R$2001,0))),"S/D")</f>
        <v>S/D</v>
      </c>
      <c r="I572" s="16" t="str">
        <f t="shared" ca="1" si="18"/>
        <v>S/D</v>
      </c>
      <c r="J572" s="6">
        <f>IF(A572="","",SUMIFS(Movimientos!$K:$K,Movimientos!$H:$H,A572))</f>
        <v>0</v>
      </c>
      <c r="K572" s="14" t="str">
        <f t="shared" ca="1" si="19"/>
        <v>OK</v>
      </c>
    </row>
    <row r="573" spans="1:11">
      <c r="A573" s="18" t="s">
        <v>2634</v>
      </c>
      <c r="B573" s="3" t="str">
        <f>IFERROR(INDEX(Movimientos!$C$5:$C$2001,MATCH(A573&amp;"ENTRADA",Movimientos!$R$5:$R$2001,0)),"-")</f>
        <v>-</v>
      </c>
      <c r="C573" s="3" t="str">
        <f>IFERROR(INDEX(Movimientos!$D$5:$D$2001,MATCH(A573&amp;"ENTRADA",Movimientos!$R$5:$R$2001,0)),"-")</f>
        <v>-</v>
      </c>
      <c r="D573" s="3" t="str">
        <f>IFERROR(INDEX(Movimientos!$E$5:$E$2001,MATCH(A573&amp;"ENTRADA",Movimientos!$R$5:$R$2001,0)),"-")</f>
        <v>-</v>
      </c>
      <c r="E573" s="3" t="str">
        <f>IFERROR(INDEX(Movimientos!$F$5:$F$2001,MATCH(A573&amp;"ENTRADA",Movimientos!$R$5:$R$2001,0)),"-")</f>
        <v>-</v>
      </c>
      <c r="F573" s="3" t="str">
        <f>IFERROR(INDEX(Movimientos!$G$5:$G$2001,MATCH(A573&amp;"ENTRADA",Movimientos!$R$5:$R$2001,0)),"-")</f>
        <v>-</v>
      </c>
      <c r="G573" s="3" t="str">
        <f>IFERROR(INDEX(Movimientos!$L$5:$L$2001,MATCH(A573&amp;"ENTRADA",Movimientos!$R$5:$R$2001,0)),"-")</f>
        <v>-</v>
      </c>
      <c r="H573" s="19" t="str">
        <f>IFERROR(IF(INDEX(Movimientos!$M$5:$M$2001,MATCH(A573&amp;"ENTRADA",Movimientos!$R$5:$R$2001,0))=0,"S/D",INDEX(Movimientos!$M$5:$M$2001,MATCH(A573&amp;"ENTRADA",Movimientos!$R$5:$R$2001,0))),"S/D")</f>
        <v>S/D</v>
      </c>
      <c r="I573" s="16" t="str">
        <f t="shared" ca="1" si="18"/>
        <v>S/D</v>
      </c>
      <c r="J573" s="6">
        <f>IF(A573="","",SUMIFS(Movimientos!$K:$K,Movimientos!$H:$H,A573))</f>
        <v>0</v>
      </c>
      <c r="K573" s="14" t="str">
        <f t="shared" ca="1" si="19"/>
        <v>OK</v>
      </c>
    </row>
    <row r="574" spans="1:11">
      <c r="A574" s="18" t="s">
        <v>2635</v>
      </c>
      <c r="B574" s="3" t="str">
        <f>IFERROR(INDEX(Movimientos!$C$5:$C$2001,MATCH(A574&amp;"ENTRADA",Movimientos!$R$5:$R$2001,0)),"-")</f>
        <v>-</v>
      </c>
      <c r="C574" s="3" t="str">
        <f>IFERROR(INDEX(Movimientos!$D$5:$D$2001,MATCH(A574&amp;"ENTRADA",Movimientos!$R$5:$R$2001,0)),"-")</f>
        <v>-</v>
      </c>
      <c r="D574" s="3" t="str">
        <f>IFERROR(INDEX(Movimientos!$E$5:$E$2001,MATCH(A574&amp;"ENTRADA",Movimientos!$R$5:$R$2001,0)),"-")</f>
        <v>-</v>
      </c>
      <c r="E574" s="3" t="str">
        <f>IFERROR(INDEX(Movimientos!$F$5:$F$2001,MATCH(A574&amp;"ENTRADA",Movimientos!$R$5:$R$2001,0)),"-")</f>
        <v>-</v>
      </c>
      <c r="F574" s="3" t="str">
        <f>IFERROR(INDEX(Movimientos!$G$5:$G$2001,MATCH(A574&amp;"ENTRADA",Movimientos!$R$5:$R$2001,0)),"-")</f>
        <v>-</v>
      </c>
      <c r="G574" s="3" t="str">
        <f>IFERROR(INDEX(Movimientos!$L$5:$L$2001,MATCH(A574&amp;"ENTRADA",Movimientos!$R$5:$R$2001,0)),"-")</f>
        <v>-</v>
      </c>
      <c r="H574" s="19" t="str">
        <f>IFERROR(IF(INDEX(Movimientos!$M$5:$M$2001,MATCH(A574&amp;"ENTRADA",Movimientos!$R$5:$R$2001,0))=0,"S/D",INDEX(Movimientos!$M$5:$M$2001,MATCH(A574&amp;"ENTRADA",Movimientos!$R$5:$R$2001,0))),"S/D")</f>
        <v>S/D</v>
      </c>
      <c r="I574" s="16" t="str">
        <f t="shared" ca="1" si="18"/>
        <v>S/D</v>
      </c>
      <c r="J574" s="6">
        <f>IF(A574="","",SUMIFS(Movimientos!$K:$K,Movimientos!$H:$H,A574))</f>
        <v>0</v>
      </c>
      <c r="K574" s="14" t="str">
        <f t="shared" ca="1" si="19"/>
        <v>OK</v>
      </c>
    </row>
    <row r="575" spans="1:11">
      <c r="A575" s="18" t="s">
        <v>2636</v>
      </c>
      <c r="B575" s="3" t="str">
        <f>IFERROR(INDEX(Movimientos!$C$5:$C$2001,MATCH(A575&amp;"ENTRADA",Movimientos!$R$5:$R$2001,0)),"-")</f>
        <v>-</v>
      </c>
      <c r="C575" s="3" t="str">
        <f>IFERROR(INDEX(Movimientos!$D$5:$D$2001,MATCH(A575&amp;"ENTRADA",Movimientos!$R$5:$R$2001,0)),"-")</f>
        <v>-</v>
      </c>
      <c r="D575" s="3" t="str">
        <f>IFERROR(INDEX(Movimientos!$E$5:$E$2001,MATCH(A575&amp;"ENTRADA",Movimientos!$R$5:$R$2001,0)),"-")</f>
        <v>-</v>
      </c>
      <c r="E575" s="3" t="str">
        <f>IFERROR(INDEX(Movimientos!$F$5:$F$2001,MATCH(A575&amp;"ENTRADA",Movimientos!$R$5:$R$2001,0)),"-")</f>
        <v>-</v>
      </c>
      <c r="F575" s="3" t="str">
        <f>IFERROR(INDEX(Movimientos!$G$5:$G$2001,MATCH(A575&amp;"ENTRADA",Movimientos!$R$5:$R$2001,0)),"-")</f>
        <v>-</v>
      </c>
      <c r="G575" s="3" t="str">
        <f>IFERROR(INDEX(Movimientos!$L$5:$L$2001,MATCH(A575&amp;"ENTRADA",Movimientos!$R$5:$R$2001,0)),"-")</f>
        <v>-</v>
      </c>
      <c r="H575" s="19" t="str">
        <f>IFERROR(IF(INDEX(Movimientos!$M$5:$M$2001,MATCH(A575&amp;"ENTRADA",Movimientos!$R$5:$R$2001,0))=0,"S/D",INDEX(Movimientos!$M$5:$M$2001,MATCH(A575&amp;"ENTRADA",Movimientos!$R$5:$R$2001,0))),"S/D")</f>
        <v>S/D</v>
      </c>
      <c r="I575" s="16" t="str">
        <f t="shared" ca="1" si="18"/>
        <v>S/D</v>
      </c>
      <c r="J575" s="6">
        <f>IF(A575="","",SUMIFS(Movimientos!$K:$K,Movimientos!$H:$H,A575))</f>
        <v>0</v>
      </c>
      <c r="K575" s="14" t="str">
        <f t="shared" ca="1" si="19"/>
        <v>OK</v>
      </c>
    </row>
    <row r="576" spans="1:11">
      <c r="A576" s="18" t="s">
        <v>2637</v>
      </c>
      <c r="B576" s="3" t="str">
        <f>IFERROR(INDEX(Movimientos!$C$5:$C$2001,MATCH(A576&amp;"ENTRADA",Movimientos!$R$5:$R$2001,0)),"-")</f>
        <v>-</v>
      </c>
      <c r="C576" s="3" t="str">
        <f>IFERROR(INDEX(Movimientos!$D$5:$D$2001,MATCH(A576&amp;"ENTRADA",Movimientos!$R$5:$R$2001,0)),"-")</f>
        <v>-</v>
      </c>
      <c r="D576" s="3" t="str">
        <f>IFERROR(INDEX(Movimientos!$E$5:$E$2001,MATCH(A576&amp;"ENTRADA",Movimientos!$R$5:$R$2001,0)),"-")</f>
        <v>-</v>
      </c>
      <c r="E576" s="3" t="str">
        <f>IFERROR(INDEX(Movimientos!$F$5:$F$2001,MATCH(A576&amp;"ENTRADA",Movimientos!$R$5:$R$2001,0)),"-")</f>
        <v>-</v>
      </c>
      <c r="F576" s="3" t="str">
        <f>IFERROR(INDEX(Movimientos!$G$5:$G$2001,MATCH(A576&amp;"ENTRADA",Movimientos!$R$5:$R$2001,0)),"-")</f>
        <v>-</v>
      </c>
      <c r="G576" s="3" t="str">
        <f>IFERROR(INDEX(Movimientos!$L$5:$L$2001,MATCH(A576&amp;"ENTRADA",Movimientos!$R$5:$R$2001,0)),"-")</f>
        <v>-</v>
      </c>
      <c r="H576" s="19" t="str">
        <f>IFERROR(IF(INDEX(Movimientos!$M$5:$M$2001,MATCH(A576&amp;"ENTRADA",Movimientos!$R$5:$R$2001,0))=0,"S/D",INDEX(Movimientos!$M$5:$M$2001,MATCH(A576&amp;"ENTRADA",Movimientos!$R$5:$R$2001,0))),"S/D")</f>
        <v>S/D</v>
      </c>
      <c r="I576" s="16" t="str">
        <f t="shared" ca="1" si="18"/>
        <v>S/D</v>
      </c>
      <c r="J576" s="6">
        <f>IF(A576="","",SUMIFS(Movimientos!$K:$K,Movimientos!$H:$H,A576))</f>
        <v>0</v>
      </c>
      <c r="K576" s="14" t="str">
        <f t="shared" ca="1" si="19"/>
        <v>OK</v>
      </c>
    </row>
    <row r="577" spans="1:11">
      <c r="A577" s="18" t="s">
        <v>2638</v>
      </c>
      <c r="B577" s="3" t="str">
        <f>IFERROR(INDEX(Movimientos!$C$5:$C$2001,MATCH(A577&amp;"ENTRADA",Movimientos!$R$5:$R$2001,0)),"-")</f>
        <v>-</v>
      </c>
      <c r="C577" s="3" t="str">
        <f>IFERROR(INDEX(Movimientos!$D$5:$D$2001,MATCH(A577&amp;"ENTRADA",Movimientos!$R$5:$R$2001,0)),"-")</f>
        <v>-</v>
      </c>
      <c r="D577" s="3" t="str">
        <f>IFERROR(INDEX(Movimientos!$E$5:$E$2001,MATCH(A577&amp;"ENTRADA",Movimientos!$R$5:$R$2001,0)),"-")</f>
        <v>-</v>
      </c>
      <c r="E577" s="3" t="str">
        <f>IFERROR(INDEX(Movimientos!$F$5:$F$2001,MATCH(A577&amp;"ENTRADA",Movimientos!$R$5:$R$2001,0)),"-")</f>
        <v>-</v>
      </c>
      <c r="F577" s="3" t="str">
        <f>IFERROR(INDEX(Movimientos!$G$5:$G$2001,MATCH(A577&amp;"ENTRADA",Movimientos!$R$5:$R$2001,0)),"-")</f>
        <v>-</v>
      </c>
      <c r="G577" s="3" t="str">
        <f>IFERROR(INDEX(Movimientos!$L$5:$L$2001,MATCH(A577&amp;"ENTRADA",Movimientos!$R$5:$R$2001,0)),"-")</f>
        <v>-</v>
      </c>
      <c r="H577" s="19" t="str">
        <f>IFERROR(IF(INDEX(Movimientos!$M$5:$M$2001,MATCH(A577&amp;"ENTRADA",Movimientos!$R$5:$R$2001,0))=0,"S/D",INDEX(Movimientos!$M$5:$M$2001,MATCH(A577&amp;"ENTRADA",Movimientos!$R$5:$R$2001,0))),"S/D")</f>
        <v>S/D</v>
      </c>
      <c r="I577" s="16" t="str">
        <f t="shared" ca="1" si="18"/>
        <v>S/D</v>
      </c>
      <c r="J577" s="6">
        <f>IF(A577="","",SUMIFS(Movimientos!$K:$K,Movimientos!$H:$H,A577))</f>
        <v>0</v>
      </c>
      <c r="K577" s="14" t="str">
        <f t="shared" ca="1" si="19"/>
        <v>OK</v>
      </c>
    </row>
    <row r="578" spans="1:11">
      <c r="A578" s="18" t="s">
        <v>2639</v>
      </c>
      <c r="B578" s="3" t="str">
        <f>IFERROR(INDEX(Movimientos!$C$5:$C$2001,MATCH(A578&amp;"ENTRADA",Movimientos!$R$5:$R$2001,0)),"-")</f>
        <v>-</v>
      </c>
      <c r="C578" s="3" t="str">
        <f>IFERROR(INDEX(Movimientos!$D$5:$D$2001,MATCH(A578&amp;"ENTRADA",Movimientos!$R$5:$R$2001,0)),"-")</f>
        <v>-</v>
      </c>
      <c r="D578" s="3" t="str">
        <f>IFERROR(INDEX(Movimientos!$E$5:$E$2001,MATCH(A578&amp;"ENTRADA",Movimientos!$R$5:$R$2001,0)),"-")</f>
        <v>-</v>
      </c>
      <c r="E578" s="3" t="str">
        <f>IFERROR(INDEX(Movimientos!$F$5:$F$2001,MATCH(A578&amp;"ENTRADA",Movimientos!$R$5:$R$2001,0)),"-")</f>
        <v>-</v>
      </c>
      <c r="F578" s="3" t="str">
        <f>IFERROR(INDEX(Movimientos!$G$5:$G$2001,MATCH(A578&amp;"ENTRADA",Movimientos!$R$5:$R$2001,0)),"-")</f>
        <v>-</v>
      </c>
      <c r="G578" s="3" t="str">
        <f>IFERROR(INDEX(Movimientos!$L$5:$L$2001,MATCH(A578&amp;"ENTRADA",Movimientos!$R$5:$R$2001,0)),"-")</f>
        <v>-</v>
      </c>
      <c r="H578" s="19" t="str">
        <f>IFERROR(IF(INDEX(Movimientos!$M$5:$M$2001,MATCH(A578&amp;"ENTRADA",Movimientos!$R$5:$R$2001,0))=0,"S/D",INDEX(Movimientos!$M$5:$M$2001,MATCH(A578&amp;"ENTRADA",Movimientos!$R$5:$R$2001,0))),"S/D")</f>
        <v>S/D</v>
      </c>
      <c r="I578" s="16" t="str">
        <f t="shared" ca="1" si="18"/>
        <v>S/D</v>
      </c>
      <c r="J578" s="6">
        <f>IF(A578="","",SUMIFS(Movimientos!$K:$K,Movimientos!$H:$H,A578))</f>
        <v>0</v>
      </c>
      <c r="K578" s="14" t="str">
        <f t="shared" ca="1" si="19"/>
        <v>OK</v>
      </c>
    </row>
    <row r="579" spans="1:11">
      <c r="A579" s="18" t="s">
        <v>2640</v>
      </c>
      <c r="B579" s="3" t="str">
        <f>IFERROR(INDEX(Movimientos!$C$5:$C$2001,MATCH(A579&amp;"ENTRADA",Movimientos!$R$5:$R$2001,0)),"-")</f>
        <v>-</v>
      </c>
      <c r="C579" s="3" t="str">
        <f>IFERROR(INDEX(Movimientos!$D$5:$D$2001,MATCH(A579&amp;"ENTRADA",Movimientos!$R$5:$R$2001,0)),"-")</f>
        <v>-</v>
      </c>
      <c r="D579" s="3" t="str">
        <f>IFERROR(INDEX(Movimientos!$E$5:$E$2001,MATCH(A579&amp;"ENTRADA",Movimientos!$R$5:$R$2001,0)),"-")</f>
        <v>-</v>
      </c>
      <c r="E579" s="3" t="str">
        <f>IFERROR(INDEX(Movimientos!$F$5:$F$2001,MATCH(A579&amp;"ENTRADA",Movimientos!$R$5:$R$2001,0)),"-")</f>
        <v>-</v>
      </c>
      <c r="F579" s="3" t="str">
        <f>IFERROR(INDEX(Movimientos!$G$5:$G$2001,MATCH(A579&amp;"ENTRADA",Movimientos!$R$5:$R$2001,0)),"-")</f>
        <v>-</v>
      </c>
      <c r="G579" s="3" t="str">
        <f>IFERROR(INDEX(Movimientos!$L$5:$L$2001,MATCH(A579&amp;"ENTRADA",Movimientos!$R$5:$R$2001,0)),"-")</f>
        <v>-</v>
      </c>
      <c r="H579" s="19" t="str">
        <f>IFERROR(IF(INDEX(Movimientos!$M$5:$M$2001,MATCH(A579&amp;"ENTRADA",Movimientos!$R$5:$R$2001,0))=0,"S/D",INDEX(Movimientos!$M$5:$M$2001,MATCH(A579&amp;"ENTRADA",Movimientos!$R$5:$R$2001,0))),"S/D")</f>
        <v>S/D</v>
      </c>
      <c r="I579" s="16" t="str">
        <f t="shared" ca="1" si="18"/>
        <v>S/D</v>
      </c>
      <c r="J579" s="6">
        <f>IF(A579="","",SUMIFS(Movimientos!$K:$K,Movimientos!$H:$H,A579))</f>
        <v>0</v>
      </c>
      <c r="K579" s="14" t="str">
        <f t="shared" ca="1" si="19"/>
        <v>OK</v>
      </c>
    </row>
    <row r="580" spans="1:11">
      <c r="A580" s="18" t="s">
        <v>2641</v>
      </c>
      <c r="B580" s="3" t="str">
        <f>IFERROR(INDEX(Movimientos!$C$5:$C$2001,MATCH(A580&amp;"ENTRADA",Movimientos!$R$5:$R$2001,0)),"-")</f>
        <v>-</v>
      </c>
      <c r="C580" s="3" t="str">
        <f>IFERROR(INDEX(Movimientos!$D$5:$D$2001,MATCH(A580&amp;"ENTRADA",Movimientos!$R$5:$R$2001,0)),"-")</f>
        <v>-</v>
      </c>
      <c r="D580" s="3" t="str">
        <f>IFERROR(INDEX(Movimientos!$E$5:$E$2001,MATCH(A580&amp;"ENTRADA",Movimientos!$R$5:$R$2001,0)),"-")</f>
        <v>-</v>
      </c>
      <c r="E580" s="3" t="str">
        <f>IFERROR(INDEX(Movimientos!$F$5:$F$2001,MATCH(A580&amp;"ENTRADA",Movimientos!$R$5:$R$2001,0)),"-")</f>
        <v>-</v>
      </c>
      <c r="F580" s="3" t="str">
        <f>IFERROR(INDEX(Movimientos!$G$5:$G$2001,MATCH(A580&amp;"ENTRADA",Movimientos!$R$5:$R$2001,0)),"-")</f>
        <v>-</v>
      </c>
      <c r="G580" s="3" t="str">
        <f>IFERROR(INDEX(Movimientos!$L$5:$L$2001,MATCH(A580&amp;"ENTRADA",Movimientos!$R$5:$R$2001,0)),"-")</f>
        <v>-</v>
      </c>
      <c r="H580" s="19" t="str">
        <f>IFERROR(IF(INDEX(Movimientos!$M$5:$M$2001,MATCH(A580&amp;"ENTRADA",Movimientos!$R$5:$R$2001,0))=0,"S/D",INDEX(Movimientos!$M$5:$M$2001,MATCH(A580&amp;"ENTRADA",Movimientos!$R$5:$R$2001,0))),"S/D")</f>
        <v>S/D</v>
      </c>
      <c r="I580" s="16" t="str">
        <f t="shared" ca="1" si="18"/>
        <v>S/D</v>
      </c>
      <c r="J580" s="6">
        <f>IF(A580="","",SUMIFS(Movimientos!$K:$K,Movimientos!$H:$H,A580))</f>
        <v>0</v>
      </c>
      <c r="K580" s="14" t="str">
        <f t="shared" ca="1" si="19"/>
        <v>OK</v>
      </c>
    </row>
    <row r="581" spans="1:11">
      <c r="A581" s="18" t="s">
        <v>2642</v>
      </c>
      <c r="B581" s="3" t="str">
        <f>IFERROR(INDEX(Movimientos!$C$5:$C$2001,MATCH(A581&amp;"ENTRADA",Movimientos!$R$5:$R$2001,0)),"-")</f>
        <v>-</v>
      </c>
      <c r="C581" s="3" t="str">
        <f>IFERROR(INDEX(Movimientos!$D$5:$D$2001,MATCH(A581&amp;"ENTRADA",Movimientos!$R$5:$R$2001,0)),"-")</f>
        <v>-</v>
      </c>
      <c r="D581" s="3" t="str">
        <f>IFERROR(INDEX(Movimientos!$E$5:$E$2001,MATCH(A581&amp;"ENTRADA",Movimientos!$R$5:$R$2001,0)),"-")</f>
        <v>-</v>
      </c>
      <c r="E581" s="3" t="str">
        <f>IFERROR(INDEX(Movimientos!$F$5:$F$2001,MATCH(A581&amp;"ENTRADA",Movimientos!$R$5:$R$2001,0)),"-")</f>
        <v>-</v>
      </c>
      <c r="F581" s="3" t="str">
        <f>IFERROR(INDEX(Movimientos!$G$5:$G$2001,MATCH(A581&amp;"ENTRADA",Movimientos!$R$5:$R$2001,0)),"-")</f>
        <v>-</v>
      </c>
      <c r="G581" s="3" t="str">
        <f>IFERROR(INDEX(Movimientos!$L$5:$L$2001,MATCH(A581&amp;"ENTRADA",Movimientos!$R$5:$R$2001,0)),"-")</f>
        <v>-</v>
      </c>
      <c r="H581" s="19" t="str">
        <f>IFERROR(IF(INDEX(Movimientos!$M$5:$M$2001,MATCH(A581&amp;"ENTRADA",Movimientos!$R$5:$R$2001,0))=0,"S/D",INDEX(Movimientos!$M$5:$M$2001,MATCH(A581&amp;"ENTRADA",Movimientos!$R$5:$R$2001,0))),"S/D")</f>
        <v>S/D</v>
      </c>
      <c r="I581" s="16" t="str">
        <f t="shared" ca="1" si="18"/>
        <v>S/D</v>
      </c>
      <c r="J581" s="6">
        <f>IF(A581="","",SUMIFS(Movimientos!$K:$K,Movimientos!$H:$H,A581))</f>
        <v>0</v>
      </c>
      <c r="K581" s="14" t="str">
        <f t="shared" ca="1" si="19"/>
        <v>OK</v>
      </c>
    </row>
    <row r="582" spans="1:11">
      <c r="A582" s="18" t="s">
        <v>2643</v>
      </c>
      <c r="B582" s="3" t="str">
        <f>IFERROR(INDEX(Movimientos!$C$5:$C$2001,MATCH(A582&amp;"ENTRADA",Movimientos!$R$5:$R$2001,0)),"-")</f>
        <v>-</v>
      </c>
      <c r="C582" s="3" t="str">
        <f>IFERROR(INDEX(Movimientos!$D$5:$D$2001,MATCH(A582&amp;"ENTRADA",Movimientos!$R$5:$R$2001,0)),"-")</f>
        <v>-</v>
      </c>
      <c r="D582" s="3" t="str">
        <f>IFERROR(INDEX(Movimientos!$E$5:$E$2001,MATCH(A582&amp;"ENTRADA",Movimientos!$R$5:$R$2001,0)),"-")</f>
        <v>-</v>
      </c>
      <c r="E582" s="3" t="str">
        <f>IFERROR(INDEX(Movimientos!$F$5:$F$2001,MATCH(A582&amp;"ENTRADA",Movimientos!$R$5:$R$2001,0)),"-")</f>
        <v>-</v>
      </c>
      <c r="F582" s="3" t="str">
        <f>IFERROR(INDEX(Movimientos!$G$5:$G$2001,MATCH(A582&amp;"ENTRADA",Movimientos!$R$5:$R$2001,0)),"-")</f>
        <v>-</v>
      </c>
      <c r="G582" s="3" t="str">
        <f>IFERROR(INDEX(Movimientos!$L$5:$L$2001,MATCH(A582&amp;"ENTRADA",Movimientos!$R$5:$R$2001,0)),"-")</f>
        <v>-</v>
      </c>
      <c r="H582" s="19" t="str">
        <f>IFERROR(IF(INDEX(Movimientos!$M$5:$M$2001,MATCH(A582&amp;"ENTRADA",Movimientos!$R$5:$R$2001,0))=0,"S/D",INDEX(Movimientos!$M$5:$M$2001,MATCH(A582&amp;"ENTRADA",Movimientos!$R$5:$R$2001,0))),"S/D")</f>
        <v>S/D</v>
      </c>
      <c r="I582" s="16" t="str">
        <f t="shared" ca="1" si="18"/>
        <v>S/D</v>
      </c>
      <c r="J582" s="6">
        <f>IF(A582="","",SUMIFS(Movimientos!$K:$K,Movimientos!$H:$H,A582))</f>
        <v>0</v>
      </c>
      <c r="K582" s="14" t="str">
        <f t="shared" ca="1" si="19"/>
        <v>OK</v>
      </c>
    </row>
    <row r="583" spans="1:11">
      <c r="A583" s="18" t="s">
        <v>2644</v>
      </c>
      <c r="B583" s="3" t="str">
        <f>IFERROR(INDEX(Movimientos!$C$5:$C$2001,MATCH(A583&amp;"ENTRADA",Movimientos!$R$5:$R$2001,0)),"-")</f>
        <v>-</v>
      </c>
      <c r="C583" s="3" t="str">
        <f>IFERROR(INDEX(Movimientos!$D$5:$D$2001,MATCH(A583&amp;"ENTRADA",Movimientos!$R$5:$R$2001,0)),"-")</f>
        <v>-</v>
      </c>
      <c r="D583" s="3" t="str">
        <f>IFERROR(INDEX(Movimientos!$E$5:$E$2001,MATCH(A583&amp;"ENTRADA",Movimientos!$R$5:$R$2001,0)),"-")</f>
        <v>-</v>
      </c>
      <c r="E583" s="3" t="str">
        <f>IFERROR(INDEX(Movimientos!$F$5:$F$2001,MATCH(A583&amp;"ENTRADA",Movimientos!$R$5:$R$2001,0)),"-")</f>
        <v>-</v>
      </c>
      <c r="F583" s="3" t="str">
        <f>IFERROR(INDEX(Movimientos!$G$5:$G$2001,MATCH(A583&amp;"ENTRADA",Movimientos!$R$5:$R$2001,0)),"-")</f>
        <v>-</v>
      </c>
      <c r="G583" s="3" t="str">
        <f>IFERROR(INDEX(Movimientos!$L$5:$L$2001,MATCH(A583&amp;"ENTRADA",Movimientos!$R$5:$R$2001,0)),"-")</f>
        <v>-</v>
      </c>
      <c r="H583" s="19" t="str">
        <f>IFERROR(IF(INDEX(Movimientos!$M$5:$M$2001,MATCH(A583&amp;"ENTRADA",Movimientos!$R$5:$R$2001,0))=0,"S/D",INDEX(Movimientos!$M$5:$M$2001,MATCH(A583&amp;"ENTRADA",Movimientos!$R$5:$R$2001,0))),"S/D")</f>
        <v>S/D</v>
      </c>
      <c r="I583" s="16" t="str">
        <f t="shared" ca="1" si="18"/>
        <v>S/D</v>
      </c>
      <c r="J583" s="6">
        <f>IF(A583="","",SUMIFS(Movimientos!$K:$K,Movimientos!$H:$H,A583))</f>
        <v>0</v>
      </c>
      <c r="K583" s="14" t="str">
        <f t="shared" ca="1" si="19"/>
        <v>OK</v>
      </c>
    </row>
    <row r="584" spans="1:11">
      <c r="A584" s="18" t="s">
        <v>2645</v>
      </c>
      <c r="B584" s="3" t="str">
        <f>IFERROR(INDEX(Movimientos!$C$5:$C$2001,MATCH(A584&amp;"ENTRADA",Movimientos!$R$5:$R$2001,0)),"-")</f>
        <v>-</v>
      </c>
      <c r="C584" s="3" t="str">
        <f>IFERROR(INDEX(Movimientos!$D$5:$D$2001,MATCH(A584&amp;"ENTRADA",Movimientos!$R$5:$R$2001,0)),"-")</f>
        <v>-</v>
      </c>
      <c r="D584" s="3" t="str">
        <f>IFERROR(INDEX(Movimientos!$E$5:$E$2001,MATCH(A584&amp;"ENTRADA",Movimientos!$R$5:$R$2001,0)),"-")</f>
        <v>-</v>
      </c>
      <c r="E584" s="3" t="str">
        <f>IFERROR(INDEX(Movimientos!$F$5:$F$2001,MATCH(A584&amp;"ENTRADA",Movimientos!$R$5:$R$2001,0)),"-")</f>
        <v>-</v>
      </c>
      <c r="F584" s="3" t="str">
        <f>IFERROR(INDEX(Movimientos!$G$5:$G$2001,MATCH(A584&amp;"ENTRADA",Movimientos!$R$5:$R$2001,0)),"-")</f>
        <v>-</v>
      </c>
      <c r="G584" s="3" t="str">
        <f>IFERROR(INDEX(Movimientos!$L$5:$L$2001,MATCH(A584&amp;"ENTRADA",Movimientos!$R$5:$R$2001,0)),"-")</f>
        <v>-</v>
      </c>
      <c r="H584" s="19" t="str">
        <f>IFERROR(IF(INDEX(Movimientos!$M$5:$M$2001,MATCH(A584&amp;"ENTRADA",Movimientos!$R$5:$R$2001,0))=0,"S/D",INDEX(Movimientos!$M$5:$M$2001,MATCH(A584&amp;"ENTRADA",Movimientos!$R$5:$R$2001,0))),"S/D")</f>
        <v>S/D</v>
      </c>
      <c r="I584" s="16" t="str">
        <f t="shared" ca="1" si="18"/>
        <v>S/D</v>
      </c>
      <c r="J584" s="6">
        <f>IF(A584="","",SUMIFS(Movimientos!$K:$K,Movimientos!$H:$H,A584))</f>
        <v>0</v>
      </c>
      <c r="K584" s="14" t="str">
        <f t="shared" ca="1" si="19"/>
        <v>OK</v>
      </c>
    </row>
    <row r="585" spans="1:11">
      <c r="A585" s="18" t="s">
        <v>2646</v>
      </c>
      <c r="B585" s="3" t="str">
        <f>IFERROR(INDEX(Movimientos!$C$5:$C$2001,MATCH(A585&amp;"ENTRADA",Movimientos!$R$5:$R$2001,0)),"-")</f>
        <v>-</v>
      </c>
      <c r="C585" s="3" t="str">
        <f>IFERROR(INDEX(Movimientos!$D$5:$D$2001,MATCH(A585&amp;"ENTRADA",Movimientos!$R$5:$R$2001,0)),"-")</f>
        <v>-</v>
      </c>
      <c r="D585" s="3" t="str">
        <f>IFERROR(INDEX(Movimientos!$E$5:$E$2001,MATCH(A585&amp;"ENTRADA",Movimientos!$R$5:$R$2001,0)),"-")</f>
        <v>-</v>
      </c>
      <c r="E585" s="3" t="str">
        <f>IFERROR(INDEX(Movimientos!$F$5:$F$2001,MATCH(A585&amp;"ENTRADA",Movimientos!$R$5:$R$2001,0)),"-")</f>
        <v>-</v>
      </c>
      <c r="F585" s="3" t="str">
        <f>IFERROR(INDEX(Movimientos!$G$5:$G$2001,MATCH(A585&amp;"ENTRADA",Movimientos!$R$5:$R$2001,0)),"-")</f>
        <v>-</v>
      </c>
      <c r="G585" s="3" t="str">
        <f>IFERROR(INDEX(Movimientos!$L$5:$L$2001,MATCH(A585&amp;"ENTRADA",Movimientos!$R$5:$R$2001,0)),"-")</f>
        <v>-</v>
      </c>
      <c r="H585" s="19" t="str">
        <f>IFERROR(IF(INDEX(Movimientos!$M$5:$M$2001,MATCH(A585&amp;"ENTRADA",Movimientos!$R$5:$R$2001,0))=0,"S/D",INDEX(Movimientos!$M$5:$M$2001,MATCH(A585&amp;"ENTRADA",Movimientos!$R$5:$R$2001,0))),"S/D")</f>
        <v>S/D</v>
      </c>
      <c r="I585" s="16" t="str">
        <f t="shared" ca="1" si="18"/>
        <v>S/D</v>
      </c>
      <c r="J585" s="6">
        <f>IF(A585="","",SUMIFS(Movimientos!$K:$K,Movimientos!$H:$H,A585))</f>
        <v>0</v>
      </c>
      <c r="K585" s="14" t="str">
        <f t="shared" ca="1" si="19"/>
        <v>OK</v>
      </c>
    </row>
    <row r="586" spans="1:11">
      <c r="A586" s="18" t="s">
        <v>2647</v>
      </c>
      <c r="B586" s="3" t="str">
        <f>IFERROR(INDEX(Movimientos!$C$5:$C$2001,MATCH(A586&amp;"ENTRADA",Movimientos!$R$5:$R$2001,0)),"-")</f>
        <v>-</v>
      </c>
      <c r="C586" s="3" t="str">
        <f>IFERROR(INDEX(Movimientos!$D$5:$D$2001,MATCH(A586&amp;"ENTRADA",Movimientos!$R$5:$R$2001,0)),"-")</f>
        <v>-</v>
      </c>
      <c r="D586" s="3" t="str">
        <f>IFERROR(INDEX(Movimientos!$E$5:$E$2001,MATCH(A586&amp;"ENTRADA",Movimientos!$R$5:$R$2001,0)),"-")</f>
        <v>-</v>
      </c>
      <c r="E586" s="3" t="str">
        <f>IFERROR(INDEX(Movimientos!$F$5:$F$2001,MATCH(A586&amp;"ENTRADA",Movimientos!$R$5:$R$2001,0)),"-")</f>
        <v>-</v>
      </c>
      <c r="F586" s="3" t="str">
        <f>IFERROR(INDEX(Movimientos!$G$5:$G$2001,MATCH(A586&amp;"ENTRADA",Movimientos!$R$5:$R$2001,0)),"-")</f>
        <v>-</v>
      </c>
      <c r="G586" s="3" t="str">
        <f>IFERROR(INDEX(Movimientos!$L$5:$L$2001,MATCH(A586&amp;"ENTRADA",Movimientos!$R$5:$R$2001,0)),"-")</f>
        <v>-</v>
      </c>
      <c r="H586" s="19" t="str">
        <f>IFERROR(IF(INDEX(Movimientos!$M$5:$M$2001,MATCH(A586&amp;"ENTRADA",Movimientos!$R$5:$R$2001,0))=0,"S/D",INDEX(Movimientos!$M$5:$M$2001,MATCH(A586&amp;"ENTRADA",Movimientos!$R$5:$R$2001,0))),"S/D")</f>
        <v>S/D</v>
      </c>
      <c r="I586" s="16" t="str">
        <f t="shared" ca="1" si="18"/>
        <v>S/D</v>
      </c>
      <c r="J586" s="6">
        <f>IF(A586="","",SUMIFS(Movimientos!$K:$K,Movimientos!$H:$H,A586))</f>
        <v>0</v>
      </c>
      <c r="K586" s="14" t="str">
        <f t="shared" ca="1" si="19"/>
        <v>OK</v>
      </c>
    </row>
    <row r="587" spans="1:11">
      <c r="A587" s="18" t="s">
        <v>2648</v>
      </c>
      <c r="B587" s="3" t="str">
        <f>IFERROR(INDEX(Movimientos!$C$5:$C$2001,MATCH(A587&amp;"ENTRADA",Movimientos!$R$5:$R$2001,0)),"-")</f>
        <v>-</v>
      </c>
      <c r="C587" s="3" t="str">
        <f>IFERROR(INDEX(Movimientos!$D$5:$D$2001,MATCH(A587&amp;"ENTRADA",Movimientos!$R$5:$R$2001,0)),"-")</f>
        <v>-</v>
      </c>
      <c r="D587" s="3" t="str">
        <f>IFERROR(INDEX(Movimientos!$E$5:$E$2001,MATCH(A587&amp;"ENTRADA",Movimientos!$R$5:$R$2001,0)),"-")</f>
        <v>-</v>
      </c>
      <c r="E587" s="3" t="str">
        <f>IFERROR(INDEX(Movimientos!$F$5:$F$2001,MATCH(A587&amp;"ENTRADA",Movimientos!$R$5:$R$2001,0)),"-")</f>
        <v>-</v>
      </c>
      <c r="F587" s="3" t="str">
        <f>IFERROR(INDEX(Movimientos!$G$5:$G$2001,MATCH(A587&amp;"ENTRADA",Movimientos!$R$5:$R$2001,0)),"-")</f>
        <v>-</v>
      </c>
      <c r="G587" s="3" t="str">
        <f>IFERROR(INDEX(Movimientos!$L$5:$L$2001,MATCH(A587&amp;"ENTRADA",Movimientos!$R$5:$R$2001,0)),"-")</f>
        <v>-</v>
      </c>
      <c r="H587" s="19" t="str">
        <f>IFERROR(IF(INDEX(Movimientos!$M$5:$M$2001,MATCH(A587&amp;"ENTRADA",Movimientos!$R$5:$R$2001,0))=0,"S/D",INDEX(Movimientos!$M$5:$M$2001,MATCH(A587&amp;"ENTRADA",Movimientos!$R$5:$R$2001,0))),"S/D")</f>
        <v>S/D</v>
      </c>
      <c r="I587" s="16" t="str">
        <f t="shared" ref="I587:I650" ca="1" si="20">IF(OR(A587="",H587="S/D"),"S/D",H587-TODAY())</f>
        <v>S/D</v>
      </c>
      <c r="J587" s="6">
        <f>IF(A587="","",SUMIFS(Movimientos!$K:$K,Movimientos!$H:$H,A587))</f>
        <v>0</v>
      </c>
      <c r="K587" s="14" t="str">
        <f t="shared" ref="K587:K650" ca="1" si="21">IF(A587="","",IF(H587="S/D","OK",IF(H587&lt;TODAY(),"VENCIDO",IF(J587&lt;=0,"SIN STOCK",IF(I587&gt;=180,"OK","PRÓXIMO A VENCER")))))</f>
        <v>OK</v>
      </c>
    </row>
    <row r="588" spans="1:11">
      <c r="A588" s="18" t="s">
        <v>2649</v>
      </c>
      <c r="B588" s="3" t="str">
        <f>IFERROR(INDEX(Movimientos!$C$5:$C$2001,MATCH(A588&amp;"ENTRADA",Movimientos!$R$5:$R$2001,0)),"-")</f>
        <v>-</v>
      </c>
      <c r="C588" s="3" t="str">
        <f>IFERROR(INDEX(Movimientos!$D$5:$D$2001,MATCH(A588&amp;"ENTRADA",Movimientos!$R$5:$R$2001,0)),"-")</f>
        <v>-</v>
      </c>
      <c r="D588" s="3" t="str">
        <f>IFERROR(INDEX(Movimientos!$E$5:$E$2001,MATCH(A588&amp;"ENTRADA",Movimientos!$R$5:$R$2001,0)),"-")</f>
        <v>-</v>
      </c>
      <c r="E588" s="3" t="str">
        <f>IFERROR(INDEX(Movimientos!$F$5:$F$2001,MATCH(A588&amp;"ENTRADA",Movimientos!$R$5:$R$2001,0)),"-")</f>
        <v>-</v>
      </c>
      <c r="F588" s="3" t="str">
        <f>IFERROR(INDEX(Movimientos!$G$5:$G$2001,MATCH(A588&amp;"ENTRADA",Movimientos!$R$5:$R$2001,0)),"-")</f>
        <v>-</v>
      </c>
      <c r="G588" s="3" t="str">
        <f>IFERROR(INDEX(Movimientos!$L$5:$L$2001,MATCH(A588&amp;"ENTRADA",Movimientos!$R$5:$R$2001,0)),"-")</f>
        <v>-</v>
      </c>
      <c r="H588" s="19" t="str">
        <f>IFERROR(IF(INDEX(Movimientos!$M$5:$M$2001,MATCH(A588&amp;"ENTRADA",Movimientos!$R$5:$R$2001,0))=0,"S/D",INDEX(Movimientos!$M$5:$M$2001,MATCH(A588&amp;"ENTRADA",Movimientos!$R$5:$R$2001,0))),"S/D")</f>
        <v>S/D</v>
      </c>
      <c r="I588" s="16" t="str">
        <f t="shared" ca="1" si="20"/>
        <v>S/D</v>
      </c>
      <c r="J588" s="6">
        <f>IF(A588="","",SUMIFS(Movimientos!$K:$K,Movimientos!$H:$H,A588))</f>
        <v>0</v>
      </c>
      <c r="K588" s="14" t="str">
        <f t="shared" ca="1" si="21"/>
        <v>OK</v>
      </c>
    </row>
    <row r="589" spans="1:11">
      <c r="A589" s="18" t="s">
        <v>2650</v>
      </c>
      <c r="B589" s="3" t="str">
        <f>IFERROR(INDEX(Movimientos!$C$5:$C$2001,MATCH(A589&amp;"ENTRADA",Movimientos!$R$5:$R$2001,0)),"-")</f>
        <v>-</v>
      </c>
      <c r="C589" s="3" t="str">
        <f>IFERROR(INDEX(Movimientos!$D$5:$D$2001,MATCH(A589&amp;"ENTRADA",Movimientos!$R$5:$R$2001,0)),"-")</f>
        <v>-</v>
      </c>
      <c r="D589" s="3" t="str">
        <f>IFERROR(INDEX(Movimientos!$E$5:$E$2001,MATCH(A589&amp;"ENTRADA",Movimientos!$R$5:$R$2001,0)),"-")</f>
        <v>-</v>
      </c>
      <c r="E589" s="3" t="str">
        <f>IFERROR(INDEX(Movimientos!$F$5:$F$2001,MATCH(A589&amp;"ENTRADA",Movimientos!$R$5:$R$2001,0)),"-")</f>
        <v>-</v>
      </c>
      <c r="F589" s="3" t="str">
        <f>IFERROR(INDEX(Movimientos!$G$5:$G$2001,MATCH(A589&amp;"ENTRADA",Movimientos!$R$5:$R$2001,0)),"-")</f>
        <v>-</v>
      </c>
      <c r="G589" s="3" t="str">
        <f>IFERROR(INDEX(Movimientos!$L$5:$L$2001,MATCH(A589&amp;"ENTRADA",Movimientos!$R$5:$R$2001,0)),"-")</f>
        <v>-</v>
      </c>
      <c r="H589" s="19" t="str">
        <f>IFERROR(IF(INDEX(Movimientos!$M$5:$M$2001,MATCH(A589&amp;"ENTRADA",Movimientos!$R$5:$R$2001,0))=0,"S/D",INDEX(Movimientos!$M$5:$M$2001,MATCH(A589&amp;"ENTRADA",Movimientos!$R$5:$R$2001,0))),"S/D")</f>
        <v>S/D</v>
      </c>
      <c r="I589" s="16" t="str">
        <f t="shared" ca="1" si="20"/>
        <v>S/D</v>
      </c>
      <c r="J589" s="6">
        <f>IF(A589="","",SUMIFS(Movimientos!$K:$K,Movimientos!$H:$H,A589))</f>
        <v>0</v>
      </c>
      <c r="K589" s="14" t="str">
        <f t="shared" ca="1" si="21"/>
        <v>OK</v>
      </c>
    </row>
    <row r="590" spans="1:11">
      <c r="A590" s="18" t="s">
        <v>2651</v>
      </c>
      <c r="B590" s="3" t="str">
        <f>IFERROR(INDEX(Movimientos!$C$5:$C$2001,MATCH(A590&amp;"ENTRADA",Movimientos!$R$5:$R$2001,0)),"-")</f>
        <v>-</v>
      </c>
      <c r="C590" s="3" t="str">
        <f>IFERROR(INDEX(Movimientos!$D$5:$D$2001,MATCH(A590&amp;"ENTRADA",Movimientos!$R$5:$R$2001,0)),"-")</f>
        <v>-</v>
      </c>
      <c r="D590" s="3" t="str">
        <f>IFERROR(INDEX(Movimientos!$E$5:$E$2001,MATCH(A590&amp;"ENTRADA",Movimientos!$R$5:$R$2001,0)),"-")</f>
        <v>-</v>
      </c>
      <c r="E590" s="3" t="str">
        <f>IFERROR(INDEX(Movimientos!$F$5:$F$2001,MATCH(A590&amp;"ENTRADA",Movimientos!$R$5:$R$2001,0)),"-")</f>
        <v>-</v>
      </c>
      <c r="F590" s="3" t="str">
        <f>IFERROR(INDEX(Movimientos!$G$5:$G$2001,MATCH(A590&amp;"ENTRADA",Movimientos!$R$5:$R$2001,0)),"-")</f>
        <v>-</v>
      </c>
      <c r="G590" s="3" t="str">
        <f>IFERROR(INDEX(Movimientos!$L$5:$L$2001,MATCH(A590&amp;"ENTRADA",Movimientos!$R$5:$R$2001,0)),"-")</f>
        <v>-</v>
      </c>
      <c r="H590" s="19" t="str">
        <f>IFERROR(IF(INDEX(Movimientos!$M$5:$M$2001,MATCH(A590&amp;"ENTRADA",Movimientos!$R$5:$R$2001,0))=0,"S/D",INDEX(Movimientos!$M$5:$M$2001,MATCH(A590&amp;"ENTRADA",Movimientos!$R$5:$R$2001,0))),"S/D")</f>
        <v>S/D</v>
      </c>
      <c r="I590" s="16" t="str">
        <f t="shared" ca="1" si="20"/>
        <v>S/D</v>
      </c>
      <c r="J590" s="6">
        <f>IF(A590="","",SUMIFS(Movimientos!$K:$K,Movimientos!$H:$H,A590))</f>
        <v>0</v>
      </c>
      <c r="K590" s="14" t="str">
        <f t="shared" ca="1" si="21"/>
        <v>OK</v>
      </c>
    </row>
    <row r="591" spans="1:11">
      <c r="A591" s="18" t="s">
        <v>2652</v>
      </c>
      <c r="B591" s="3" t="str">
        <f>IFERROR(INDEX(Movimientos!$C$5:$C$2001,MATCH(A591&amp;"ENTRADA",Movimientos!$R$5:$R$2001,0)),"-")</f>
        <v>-</v>
      </c>
      <c r="C591" s="3" t="str">
        <f>IFERROR(INDEX(Movimientos!$D$5:$D$2001,MATCH(A591&amp;"ENTRADA",Movimientos!$R$5:$R$2001,0)),"-")</f>
        <v>-</v>
      </c>
      <c r="D591" s="3" t="str">
        <f>IFERROR(INDEX(Movimientos!$E$5:$E$2001,MATCH(A591&amp;"ENTRADA",Movimientos!$R$5:$R$2001,0)),"-")</f>
        <v>-</v>
      </c>
      <c r="E591" s="3" t="str">
        <f>IFERROR(INDEX(Movimientos!$F$5:$F$2001,MATCH(A591&amp;"ENTRADA",Movimientos!$R$5:$R$2001,0)),"-")</f>
        <v>-</v>
      </c>
      <c r="F591" s="3" t="str">
        <f>IFERROR(INDEX(Movimientos!$G$5:$G$2001,MATCH(A591&amp;"ENTRADA",Movimientos!$R$5:$R$2001,0)),"-")</f>
        <v>-</v>
      </c>
      <c r="G591" s="3" t="str">
        <f>IFERROR(INDEX(Movimientos!$L$5:$L$2001,MATCH(A591&amp;"ENTRADA",Movimientos!$R$5:$R$2001,0)),"-")</f>
        <v>-</v>
      </c>
      <c r="H591" s="19" t="str">
        <f>IFERROR(IF(INDEX(Movimientos!$M$5:$M$2001,MATCH(A591&amp;"ENTRADA",Movimientos!$R$5:$R$2001,0))=0,"S/D",INDEX(Movimientos!$M$5:$M$2001,MATCH(A591&amp;"ENTRADA",Movimientos!$R$5:$R$2001,0))),"S/D")</f>
        <v>S/D</v>
      </c>
      <c r="I591" s="16" t="str">
        <f t="shared" ca="1" si="20"/>
        <v>S/D</v>
      </c>
      <c r="J591" s="6">
        <f>IF(A591="","",SUMIFS(Movimientos!$K:$K,Movimientos!$H:$H,A591))</f>
        <v>0</v>
      </c>
      <c r="K591" s="14" t="str">
        <f t="shared" ca="1" si="21"/>
        <v>OK</v>
      </c>
    </row>
    <row r="592" spans="1:11">
      <c r="A592" s="18" t="s">
        <v>2653</v>
      </c>
      <c r="B592" s="3" t="str">
        <f>IFERROR(INDEX(Movimientos!$C$5:$C$2001,MATCH(A592&amp;"ENTRADA",Movimientos!$R$5:$R$2001,0)),"-")</f>
        <v>-</v>
      </c>
      <c r="C592" s="3" t="str">
        <f>IFERROR(INDEX(Movimientos!$D$5:$D$2001,MATCH(A592&amp;"ENTRADA",Movimientos!$R$5:$R$2001,0)),"-")</f>
        <v>-</v>
      </c>
      <c r="D592" s="3" t="str">
        <f>IFERROR(INDEX(Movimientos!$E$5:$E$2001,MATCH(A592&amp;"ENTRADA",Movimientos!$R$5:$R$2001,0)),"-")</f>
        <v>-</v>
      </c>
      <c r="E592" s="3" t="str">
        <f>IFERROR(INDEX(Movimientos!$F$5:$F$2001,MATCH(A592&amp;"ENTRADA",Movimientos!$R$5:$R$2001,0)),"-")</f>
        <v>-</v>
      </c>
      <c r="F592" s="3" t="str">
        <f>IFERROR(INDEX(Movimientos!$G$5:$G$2001,MATCH(A592&amp;"ENTRADA",Movimientos!$R$5:$R$2001,0)),"-")</f>
        <v>-</v>
      </c>
      <c r="G592" s="3" t="str">
        <f>IFERROR(INDEX(Movimientos!$L$5:$L$2001,MATCH(A592&amp;"ENTRADA",Movimientos!$R$5:$R$2001,0)),"-")</f>
        <v>-</v>
      </c>
      <c r="H592" s="19" t="str">
        <f>IFERROR(IF(INDEX(Movimientos!$M$5:$M$2001,MATCH(A592&amp;"ENTRADA",Movimientos!$R$5:$R$2001,0))=0,"S/D",INDEX(Movimientos!$M$5:$M$2001,MATCH(A592&amp;"ENTRADA",Movimientos!$R$5:$R$2001,0))),"S/D")</f>
        <v>S/D</v>
      </c>
      <c r="I592" s="16" t="str">
        <f t="shared" ca="1" si="20"/>
        <v>S/D</v>
      </c>
      <c r="J592" s="6">
        <f>IF(A592="","",SUMIFS(Movimientos!$K:$K,Movimientos!$H:$H,A592))</f>
        <v>0</v>
      </c>
      <c r="K592" s="14" t="str">
        <f t="shared" ca="1" si="21"/>
        <v>OK</v>
      </c>
    </row>
    <row r="593" spans="1:11">
      <c r="A593" s="18" t="s">
        <v>2654</v>
      </c>
      <c r="B593" s="3" t="str">
        <f>IFERROR(INDEX(Movimientos!$C$5:$C$2001,MATCH(A593&amp;"ENTRADA",Movimientos!$R$5:$R$2001,0)),"-")</f>
        <v>-</v>
      </c>
      <c r="C593" s="3" t="str">
        <f>IFERROR(INDEX(Movimientos!$D$5:$D$2001,MATCH(A593&amp;"ENTRADA",Movimientos!$R$5:$R$2001,0)),"-")</f>
        <v>-</v>
      </c>
      <c r="D593" s="3" t="str">
        <f>IFERROR(INDEX(Movimientos!$E$5:$E$2001,MATCH(A593&amp;"ENTRADA",Movimientos!$R$5:$R$2001,0)),"-")</f>
        <v>-</v>
      </c>
      <c r="E593" s="3" t="str">
        <f>IFERROR(INDEX(Movimientos!$F$5:$F$2001,MATCH(A593&amp;"ENTRADA",Movimientos!$R$5:$R$2001,0)),"-")</f>
        <v>-</v>
      </c>
      <c r="F593" s="3" t="str">
        <f>IFERROR(INDEX(Movimientos!$G$5:$G$2001,MATCH(A593&amp;"ENTRADA",Movimientos!$R$5:$R$2001,0)),"-")</f>
        <v>-</v>
      </c>
      <c r="G593" s="3" t="str">
        <f>IFERROR(INDEX(Movimientos!$L$5:$L$2001,MATCH(A593&amp;"ENTRADA",Movimientos!$R$5:$R$2001,0)),"-")</f>
        <v>-</v>
      </c>
      <c r="H593" s="19" t="str">
        <f>IFERROR(IF(INDEX(Movimientos!$M$5:$M$2001,MATCH(A593&amp;"ENTRADA",Movimientos!$R$5:$R$2001,0))=0,"S/D",INDEX(Movimientos!$M$5:$M$2001,MATCH(A593&amp;"ENTRADA",Movimientos!$R$5:$R$2001,0))),"S/D")</f>
        <v>S/D</v>
      </c>
      <c r="I593" s="16" t="str">
        <f t="shared" ca="1" si="20"/>
        <v>S/D</v>
      </c>
      <c r="J593" s="6">
        <f>IF(A593="","",SUMIFS(Movimientos!$K:$K,Movimientos!$H:$H,A593))</f>
        <v>0</v>
      </c>
      <c r="K593" s="14" t="str">
        <f t="shared" ca="1" si="21"/>
        <v>OK</v>
      </c>
    </row>
    <row r="594" spans="1:11">
      <c r="A594" s="18" t="s">
        <v>2655</v>
      </c>
      <c r="B594" s="3" t="str">
        <f>IFERROR(INDEX(Movimientos!$C$5:$C$2001,MATCH(A594&amp;"ENTRADA",Movimientos!$R$5:$R$2001,0)),"-")</f>
        <v>-</v>
      </c>
      <c r="C594" s="3" t="str">
        <f>IFERROR(INDEX(Movimientos!$D$5:$D$2001,MATCH(A594&amp;"ENTRADA",Movimientos!$R$5:$R$2001,0)),"-")</f>
        <v>-</v>
      </c>
      <c r="D594" s="3" t="str">
        <f>IFERROR(INDEX(Movimientos!$E$5:$E$2001,MATCH(A594&amp;"ENTRADA",Movimientos!$R$5:$R$2001,0)),"-")</f>
        <v>-</v>
      </c>
      <c r="E594" s="3" t="str">
        <f>IFERROR(INDEX(Movimientos!$F$5:$F$2001,MATCH(A594&amp;"ENTRADA",Movimientos!$R$5:$R$2001,0)),"-")</f>
        <v>-</v>
      </c>
      <c r="F594" s="3" t="str">
        <f>IFERROR(INDEX(Movimientos!$G$5:$G$2001,MATCH(A594&amp;"ENTRADA",Movimientos!$R$5:$R$2001,0)),"-")</f>
        <v>-</v>
      </c>
      <c r="G594" s="3" t="str">
        <f>IFERROR(INDEX(Movimientos!$L$5:$L$2001,MATCH(A594&amp;"ENTRADA",Movimientos!$R$5:$R$2001,0)),"-")</f>
        <v>-</v>
      </c>
      <c r="H594" s="19" t="str">
        <f>IFERROR(IF(INDEX(Movimientos!$M$5:$M$2001,MATCH(A594&amp;"ENTRADA",Movimientos!$R$5:$R$2001,0))=0,"S/D",INDEX(Movimientos!$M$5:$M$2001,MATCH(A594&amp;"ENTRADA",Movimientos!$R$5:$R$2001,0))),"S/D")</f>
        <v>S/D</v>
      </c>
      <c r="I594" s="16" t="str">
        <f t="shared" ca="1" si="20"/>
        <v>S/D</v>
      </c>
      <c r="J594" s="6">
        <f>IF(A594="","",SUMIFS(Movimientos!$K:$K,Movimientos!$H:$H,A594))</f>
        <v>0</v>
      </c>
      <c r="K594" s="14" t="str">
        <f t="shared" ca="1" si="21"/>
        <v>OK</v>
      </c>
    </row>
    <row r="595" spans="1:11">
      <c r="A595" s="18" t="s">
        <v>2656</v>
      </c>
      <c r="B595" s="3" t="str">
        <f>IFERROR(INDEX(Movimientos!$C$5:$C$2001,MATCH(A595&amp;"ENTRADA",Movimientos!$R$5:$R$2001,0)),"-")</f>
        <v>-</v>
      </c>
      <c r="C595" s="3" t="str">
        <f>IFERROR(INDEX(Movimientos!$D$5:$D$2001,MATCH(A595&amp;"ENTRADA",Movimientos!$R$5:$R$2001,0)),"-")</f>
        <v>-</v>
      </c>
      <c r="D595" s="3" t="str">
        <f>IFERROR(INDEX(Movimientos!$E$5:$E$2001,MATCH(A595&amp;"ENTRADA",Movimientos!$R$5:$R$2001,0)),"-")</f>
        <v>-</v>
      </c>
      <c r="E595" s="3" t="str">
        <f>IFERROR(INDEX(Movimientos!$F$5:$F$2001,MATCH(A595&amp;"ENTRADA",Movimientos!$R$5:$R$2001,0)),"-")</f>
        <v>-</v>
      </c>
      <c r="F595" s="3" t="str">
        <f>IFERROR(INDEX(Movimientos!$G$5:$G$2001,MATCH(A595&amp;"ENTRADA",Movimientos!$R$5:$R$2001,0)),"-")</f>
        <v>-</v>
      </c>
      <c r="G595" s="3" t="str">
        <f>IFERROR(INDEX(Movimientos!$L$5:$L$2001,MATCH(A595&amp;"ENTRADA",Movimientos!$R$5:$R$2001,0)),"-")</f>
        <v>-</v>
      </c>
      <c r="H595" s="19" t="str">
        <f>IFERROR(IF(INDEX(Movimientos!$M$5:$M$2001,MATCH(A595&amp;"ENTRADA",Movimientos!$R$5:$R$2001,0))=0,"S/D",INDEX(Movimientos!$M$5:$M$2001,MATCH(A595&amp;"ENTRADA",Movimientos!$R$5:$R$2001,0))),"S/D")</f>
        <v>S/D</v>
      </c>
      <c r="I595" s="16" t="str">
        <f t="shared" ca="1" si="20"/>
        <v>S/D</v>
      </c>
      <c r="J595" s="6">
        <f>IF(A595="","",SUMIFS(Movimientos!$K:$K,Movimientos!$H:$H,A595))</f>
        <v>0</v>
      </c>
      <c r="K595" s="14" t="str">
        <f t="shared" ca="1" si="21"/>
        <v>OK</v>
      </c>
    </row>
    <row r="596" spans="1:11">
      <c r="A596" s="18" t="s">
        <v>2657</v>
      </c>
      <c r="B596" s="3" t="str">
        <f>IFERROR(INDEX(Movimientos!$C$5:$C$2001,MATCH(A596&amp;"ENTRADA",Movimientos!$R$5:$R$2001,0)),"-")</f>
        <v>-</v>
      </c>
      <c r="C596" s="3" t="str">
        <f>IFERROR(INDEX(Movimientos!$D$5:$D$2001,MATCH(A596&amp;"ENTRADA",Movimientos!$R$5:$R$2001,0)),"-")</f>
        <v>-</v>
      </c>
      <c r="D596" s="3" t="str">
        <f>IFERROR(INDEX(Movimientos!$E$5:$E$2001,MATCH(A596&amp;"ENTRADA",Movimientos!$R$5:$R$2001,0)),"-")</f>
        <v>-</v>
      </c>
      <c r="E596" s="3" t="str">
        <f>IFERROR(INDEX(Movimientos!$F$5:$F$2001,MATCH(A596&amp;"ENTRADA",Movimientos!$R$5:$R$2001,0)),"-")</f>
        <v>-</v>
      </c>
      <c r="F596" s="3" t="str">
        <f>IFERROR(INDEX(Movimientos!$G$5:$G$2001,MATCH(A596&amp;"ENTRADA",Movimientos!$R$5:$R$2001,0)),"-")</f>
        <v>-</v>
      </c>
      <c r="G596" s="3" t="str">
        <f>IFERROR(INDEX(Movimientos!$L$5:$L$2001,MATCH(A596&amp;"ENTRADA",Movimientos!$R$5:$R$2001,0)),"-")</f>
        <v>-</v>
      </c>
      <c r="H596" s="19" t="str">
        <f>IFERROR(IF(INDEX(Movimientos!$M$5:$M$2001,MATCH(A596&amp;"ENTRADA",Movimientos!$R$5:$R$2001,0))=0,"S/D",INDEX(Movimientos!$M$5:$M$2001,MATCH(A596&amp;"ENTRADA",Movimientos!$R$5:$R$2001,0))),"S/D")</f>
        <v>S/D</v>
      </c>
      <c r="I596" s="16" t="str">
        <f t="shared" ca="1" si="20"/>
        <v>S/D</v>
      </c>
      <c r="J596" s="6">
        <f>IF(A596="","",SUMIFS(Movimientos!$K:$K,Movimientos!$H:$H,A596))</f>
        <v>0</v>
      </c>
      <c r="K596" s="14" t="str">
        <f t="shared" ca="1" si="21"/>
        <v>OK</v>
      </c>
    </row>
    <row r="597" spans="1:11">
      <c r="A597" s="18" t="s">
        <v>2658</v>
      </c>
      <c r="B597" s="3" t="str">
        <f>IFERROR(INDEX(Movimientos!$C$5:$C$2001,MATCH(A597&amp;"ENTRADA",Movimientos!$R$5:$R$2001,0)),"-")</f>
        <v>-</v>
      </c>
      <c r="C597" s="3" t="str">
        <f>IFERROR(INDEX(Movimientos!$D$5:$D$2001,MATCH(A597&amp;"ENTRADA",Movimientos!$R$5:$R$2001,0)),"-")</f>
        <v>-</v>
      </c>
      <c r="D597" s="3" t="str">
        <f>IFERROR(INDEX(Movimientos!$E$5:$E$2001,MATCH(A597&amp;"ENTRADA",Movimientos!$R$5:$R$2001,0)),"-")</f>
        <v>-</v>
      </c>
      <c r="E597" s="3" t="str">
        <f>IFERROR(INDEX(Movimientos!$F$5:$F$2001,MATCH(A597&amp;"ENTRADA",Movimientos!$R$5:$R$2001,0)),"-")</f>
        <v>-</v>
      </c>
      <c r="F597" s="3" t="str">
        <f>IFERROR(INDEX(Movimientos!$G$5:$G$2001,MATCH(A597&amp;"ENTRADA",Movimientos!$R$5:$R$2001,0)),"-")</f>
        <v>-</v>
      </c>
      <c r="G597" s="3" t="str">
        <f>IFERROR(INDEX(Movimientos!$L$5:$L$2001,MATCH(A597&amp;"ENTRADA",Movimientos!$R$5:$R$2001,0)),"-")</f>
        <v>-</v>
      </c>
      <c r="H597" s="19" t="str">
        <f>IFERROR(IF(INDEX(Movimientos!$M$5:$M$2001,MATCH(A597&amp;"ENTRADA",Movimientos!$R$5:$R$2001,0))=0,"S/D",INDEX(Movimientos!$M$5:$M$2001,MATCH(A597&amp;"ENTRADA",Movimientos!$R$5:$R$2001,0))),"S/D")</f>
        <v>S/D</v>
      </c>
      <c r="I597" s="16" t="str">
        <f t="shared" ca="1" si="20"/>
        <v>S/D</v>
      </c>
      <c r="J597" s="6">
        <f>IF(A597="","",SUMIFS(Movimientos!$K:$K,Movimientos!$H:$H,A597))</f>
        <v>0</v>
      </c>
      <c r="K597" s="14" t="str">
        <f t="shared" ca="1" si="21"/>
        <v>OK</v>
      </c>
    </row>
    <row r="598" spans="1:11">
      <c r="A598" s="18" t="s">
        <v>2659</v>
      </c>
      <c r="B598" s="3" t="str">
        <f>IFERROR(INDEX(Movimientos!$C$5:$C$2001,MATCH(A598&amp;"ENTRADA",Movimientos!$R$5:$R$2001,0)),"-")</f>
        <v>-</v>
      </c>
      <c r="C598" s="3" t="str">
        <f>IFERROR(INDEX(Movimientos!$D$5:$D$2001,MATCH(A598&amp;"ENTRADA",Movimientos!$R$5:$R$2001,0)),"-")</f>
        <v>-</v>
      </c>
      <c r="D598" s="3" t="str">
        <f>IFERROR(INDEX(Movimientos!$E$5:$E$2001,MATCH(A598&amp;"ENTRADA",Movimientos!$R$5:$R$2001,0)),"-")</f>
        <v>-</v>
      </c>
      <c r="E598" s="3" t="str">
        <f>IFERROR(INDEX(Movimientos!$F$5:$F$2001,MATCH(A598&amp;"ENTRADA",Movimientos!$R$5:$R$2001,0)),"-")</f>
        <v>-</v>
      </c>
      <c r="F598" s="3" t="str">
        <f>IFERROR(INDEX(Movimientos!$G$5:$G$2001,MATCH(A598&amp;"ENTRADA",Movimientos!$R$5:$R$2001,0)),"-")</f>
        <v>-</v>
      </c>
      <c r="G598" s="3" t="str">
        <f>IFERROR(INDEX(Movimientos!$L$5:$L$2001,MATCH(A598&amp;"ENTRADA",Movimientos!$R$5:$R$2001,0)),"-")</f>
        <v>-</v>
      </c>
      <c r="H598" s="19" t="str">
        <f>IFERROR(IF(INDEX(Movimientos!$M$5:$M$2001,MATCH(A598&amp;"ENTRADA",Movimientos!$R$5:$R$2001,0))=0,"S/D",INDEX(Movimientos!$M$5:$M$2001,MATCH(A598&amp;"ENTRADA",Movimientos!$R$5:$R$2001,0))),"S/D")</f>
        <v>S/D</v>
      </c>
      <c r="I598" s="16" t="str">
        <f t="shared" ca="1" si="20"/>
        <v>S/D</v>
      </c>
      <c r="J598" s="6">
        <f>IF(A598="","",SUMIFS(Movimientos!$K:$K,Movimientos!$H:$H,A598))</f>
        <v>0</v>
      </c>
      <c r="K598" s="14" t="str">
        <f t="shared" ca="1" si="21"/>
        <v>OK</v>
      </c>
    </row>
    <row r="599" spans="1:11">
      <c r="A599" s="18" t="s">
        <v>2660</v>
      </c>
      <c r="B599" s="3" t="str">
        <f>IFERROR(INDEX(Movimientos!$C$5:$C$2001,MATCH(A599&amp;"ENTRADA",Movimientos!$R$5:$R$2001,0)),"-")</f>
        <v>-</v>
      </c>
      <c r="C599" s="3" t="str">
        <f>IFERROR(INDEX(Movimientos!$D$5:$D$2001,MATCH(A599&amp;"ENTRADA",Movimientos!$R$5:$R$2001,0)),"-")</f>
        <v>-</v>
      </c>
      <c r="D599" s="3" t="str">
        <f>IFERROR(INDEX(Movimientos!$E$5:$E$2001,MATCH(A599&amp;"ENTRADA",Movimientos!$R$5:$R$2001,0)),"-")</f>
        <v>-</v>
      </c>
      <c r="E599" s="3" t="str">
        <f>IFERROR(INDEX(Movimientos!$F$5:$F$2001,MATCH(A599&amp;"ENTRADA",Movimientos!$R$5:$R$2001,0)),"-")</f>
        <v>-</v>
      </c>
      <c r="F599" s="3" t="str">
        <f>IFERROR(INDEX(Movimientos!$G$5:$G$2001,MATCH(A599&amp;"ENTRADA",Movimientos!$R$5:$R$2001,0)),"-")</f>
        <v>-</v>
      </c>
      <c r="G599" s="3" t="str">
        <f>IFERROR(INDEX(Movimientos!$L$5:$L$2001,MATCH(A599&amp;"ENTRADA",Movimientos!$R$5:$R$2001,0)),"-")</f>
        <v>-</v>
      </c>
      <c r="H599" s="19" t="str">
        <f>IFERROR(IF(INDEX(Movimientos!$M$5:$M$2001,MATCH(A599&amp;"ENTRADA",Movimientos!$R$5:$R$2001,0))=0,"S/D",INDEX(Movimientos!$M$5:$M$2001,MATCH(A599&amp;"ENTRADA",Movimientos!$R$5:$R$2001,0))),"S/D")</f>
        <v>S/D</v>
      </c>
      <c r="I599" s="16" t="str">
        <f t="shared" ca="1" si="20"/>
        <v>S/D</v>
      </c>
      <c r="J599" s="6">
        <f>IF(A599="","",SUMIFS(Movimientos!$K:$K,Movimientos!$H:$H,A599))</f>
        <v>0</v>
      </c>
      <c r="K599" s="14" t="str">
        <f t="shared" ca="1" si="21"/>
        <v>OK</v>
      </c>
    </row>
    <row r="600" spans="1:11">
      <c r="A600" s="18" t="s">
        <v>2661</v>
      </c>
      <c r="B600" s="3" t="str">
        <f>IFERROR(INDEX(Movimientos!$C$5:$C$2001,MATCH(A600&amp;"ENTRADA",Movimientos!$R$5:$R$2001,0)),"-")</f>
        <v>-</v>
      </c>
      <c r="C600" s="3" t="str">
        <f>IFERROR(INDEX(Movimientos!$D$5:$D$2001,MATCH(A600&amp;"ENTRADA",Movimientos!$R$5:$R$2001,0)),"-")</f>
        <v>-</v>
      </c>
      <c r="D600" s="3" t="str">
        <f>IFERROR(INDEX(Movimientos!$E$5:$E$2001,MATCH(A600&amp;"ENTRADA",Movimientos!$R$5:$R$2001,0)),"-")</f>
        <v>-</v>
      </c>
      <c r="E600" s="3" t="str">
        <f>IFERROR(INDEX(Movimientos!$F$5:$F$2001,MATCH(A600&amp;"ENTRADA",Movimientos!$R$5:$R$2001,0)),"-")</f>
        <v>-</v>
      </c>
      <c r="F600" s="3" t="str">
        <f>IFERROR(INDEX(Movimientos!$G$5:$G$2001,MATCH(A600&amp;"ENTRADA",Movimientos!$R$5:$R$2001,0)),"-")</f>
        <v>-</v>
      </c>
      <c r="G600" s="3" t="str">
        <f>IFERROR(INDEX(Movimientos!$L$5:$L$2001,MATCH(A600&amp;"ENTRADA",Movimientos!$R$5:$R$2001,0)),"-")</f>
        <v>-</v>
      </c>
      <c r="H600" s="19" t="str">
        <f>IFERROR(IF(INDEX(Movimientos!$M$5:$M$2001,MATCH(A600&amp;"ENTRADA",Movimientos!$R$5:$R$2001,0))=0,"S/D",INDEX(Movimientos!$M$5:$M$2001,MATCH(A600&amp;"ENTRADA",Movimientos!$R$5:$R$2001,0))),"S/D")</f>
        <v>S/D</v>
      </c>
      <c r="I600" s="16" t="str">
        <f t="shared" ca="1" si="20"/>
        <v>S/D</v>
      </c>
      <c r="J600" s="6">
        <f>IF(A600="","",SUMIFS(Movimientos!$K:$K,Movimientos!$H:$H,A600))</f>
        <v>0</v>
      </c>
      <c r="K600" s="14" t="str">
        <f t="shared" ca="1" si="21"/>
        <v>OK</v>
      </c>
    </row>
    <row r="601" spans="1:11">
      <c r="A601" s="18" t="s">
        <v>2662</v>
      </c>
      <c r="B601" s="3" t="str">
        <f>IFERROR(INDEX(Movimientos!$C$5:$C$2001,MATCH(A601&amp;"ENTRADA",Movimientos!$R$5:$R$2001,0)),"-")</f>
        <v>-</v>
      </c>
      <c r="C601" s="3" t="str">
        <f>IFERROR(INDEX(Movimientos!$D$5:$D$2001,MATCH(A601&amp;"ENTRADA",Movimientos!$R$5:$R$2001,0)),"-")</f>
        <v>-</v>
      </c>
      <c r="D601" s="3" t="str">
        <f>IFERROR(INDEX(Movimientos!$E$5:$E$2001,MATCH(A601&amp;"ENTRADA",Movimientos!$R$5:$R$2001,0)),"-")</f>
        <v>-</v>
      </c>
      <c r="E601" s="3" t="str">
        <f>IFERROR(INDEX(Movimientos!$F$5:$F$2001,MATCH(A601&amp;"ENTRADA",Movimientos!$R$5:$R$2001,0)),"-")</f>
        <v>-</v>
      </c>
      <c r="F601" s="3" t="str">
        <f>IFERROR(INDEX(Movimientos!$G$5:$G$2001,MATCH(A601&amp;"ENTRADA",Movimientos!$R$5:$R$2001,0)),"-")</f>
        <v>-</v>
      </c>
      <c r="G601" s="3" t="str">
        <f>IFERROR(INDEX(Movimientos!$L$5:$L$2001,MATCH(A601&amp;"ENTRADA",Movimientos!$R$5:$R$2001,0)),"-")</f>
        <v>-</v>
      </c>
      <c r="H601" s="19" t="str">
        <f>IFERROR(IF(INDEX(Movimientos!$M$5:$M$2001,MATCH(A601&amp;"ENTRADA",Movimientos!$R$5:$R$2001,0))=0,"S/D",INDEX(Movimientos!$M$5:$M$2001,MATCH(A601&amp;"ENTRADA",Movimientos!$R$5:$R$2001,0))),"S/D")</f>
        <v>S/D</v>
      </c>
      <c r="I601" s="16" t="str">
        <f t="shared" ca="1" si="20"/>
        <v>S/D</v>
      </c>
      <c r="J601" s="6">
        <f>IF(A601="","",SUMIFS(Movimientos!$K:$K,Movimientos!$H:$H,A601))</f>
        <v>0</v>
      </c>
      <c r="K601" s="14" t="str">
        <f t="shared" ca="1" si="21"/>
        <v>OK</v>
      </c>
    </row>
    <row r="602" spans="1:11">
      <c r="A602" s="18" t="s">
        <v>2663</v>
      </c>
      <c r="B602" s="3" t="str">
        <f>IFERROR(INDEX(Movimientos!$C$5:$C$2001,MATCH(A602&amp;"ENTRADA",Movimientos!$R$5:$R$2001,0)),"-")</f>
        <v>-</v>
      </c>
      <c r="C602" s="3" t="str">
        <f>IFERROR(INDEX(Movimientos!$D$5:$D$2001,MATCH(A602&amp;"ENTRADA",Movimientos!$R$5:$R$2001,0)),"-")</f>
        <v>-</v>
      </c>
      <c r="D602" s="3" t="str">
        <f>IFERROR(INDEX(Movimientos!$E$5:$E$2001,MATCH(A602&amp;"ENTRADA",Movimientos!$R$5:$R$2001,0)),"-")</f>
        <v>-</v>
      </c>
      <c r="E602" s="3" t="str">
        <f>IFERROR(INDEX(Movimientos!$F$5:$F$2001,MATCH(A602&amp;"ENTRADA",Movimientos!$R$5:$R$2001,0)),"-")</f>
        <v>-</v>
      </c>
      <c r="F602" s="3" t="str">
        <f>IFERROR(INDEX(Movimientos!$G$5:$G$2001,MATCH(A602&amp;"ENTRADA",Movimientos!$R$5:$R$2001,0)),"-")</f>
        <v>-</v>
      </c>
      <c r="G602" s="3" t="str">
        <f>IFERROR(INDEX(Movimientos!$L$5:$L$2001,MATCH(A602&amp;"ENTRADA",Movimientos!$R$5:$R$2001,0)),"-")</f>
        <v>-</v>
      </c>
      <c r="H602" s="19" t="str">
        <f>IFERROR(IF(INDEX(Movimientos!$M$5:$M$2001,MATCH(A602&amp;"ENTRADA",Movimientos!$R$5:$R$2001,0))=0,"S/D",INDEX(Movimientos!$M$5:$M$2001,MATCH(A602&amp;"ENTRADA",Movimientos!$R$5:$R$2001,0))),"S/D")</f>
        <v>S/D</v>
      </c>
      <c r="I602" s="16" t="str">
        <f t="shared" ca="1" si="20"/>
        <v>S/D</v>
      </c>
      <c r="J602" s="6">
        <f>IF(A602="","",SUMIFS(Movimientos!$K:$K,Movimientos!$H:$H,A602))</f>
        <v>0</v>
      </c>
      <c r="K602" s="14" t="str">
        <f t="shared" ca="1" si="21"/>
        <v>OK</v>
      </c>
    </row>
    <row r="603" spans="1:11">
      <c r="A603" s="18" t="s">
        <v>2664</v>
      </c>
      <c r="B603" s="3" t="str">
        <f>IFERROR(INDEX(Movimientos!$C$5:$C$2001,MATCH(A603&amp;"ENTRADA",Movimientos!$R$5:$R$2001,0)),"-")</f>
        <v>-</v>
      </c>
      <c r="C603" s="3" t="str">
        <f>IFERROR(INDEX(Movimientos!$D$5:$D$2001,MATCH(A603&amp;"ENTRADA",Movimientos!$R$5:$R$2001,0)),"-")</f>
        <v>-</v>
      </c>
      <c r="D603" s="3" t="str">
        <f>IFERROR(INDEX(Movimientos!$E$5:$E$2001,MATCH(A603&amp;"ENTRADA",Movimientos!$R$5:$R$2001,0)),"-")</f>
        <v>-</v>
      </c>
      <c r="E603" s="3" t="str">
        <f>IFERROR(INDEX(Movimientos!$F$5:$F$2001,MATCH(A603&amp;"ENTRADA",Movimientos!$R$5:$R$2001,0)),"-")</f>
        <v>-</v>
      </c>
      <c r="F603" s="3" t="str">
        <f>IFERROR(INDEX(Movimientos!$G$5:$G$2001,MATCH(A603&amp;"ENTRADA",Movimientos!$R$5:$R$2001,0)),"-")</f>
        <v>-</v>
      </c>
      <c r="G603" s="3" t="str">
        <f>IFERROR(INDEX(Movimientos!$L$5:$L$2001,MATCH(A603&amp;"ENTRADA",Movimientos!$R$5:$R$2001,0)),"-")</f>
        <v>-</v>
      </c>
      <c r="H603" s="19" t="str">
        <f>IFERROR(IF(INDEX(Movimientos!$M$5:$M$2001,MATCH(A603&amp;"ENTRADA",Movimientos!$R$5:$R$2001,0))=0,"S/D",INDEX(Movimientos!$M$5:$M$2001,MATCH(A603&amp;"ENTRADA",Movimientos!$R$5:$R$2001,0))),"S/D")</f>
        <v>S/D</v>
      </c>
      <c r="I603" s="16" t="str">
        <f t="shared" ca="1" si="20"/>
        <v>S/D</v>
      </c>
      <c r="J603" s="6">
        <f>IF(A603="","",SUMIFS(Movimientos!$K:$K,Movimientos!$H:$H,A603))</f>
        <v>0</v>
      </c>
      <c r="K603" s="14" t="str">
        <f t="shared" ca="1" si="21"/>
        <v>OK</v>
      </c>
    </row>
    <row r="604" spans="1:11">
      <c r="A604" s="18" t="s">
        <v>2665</v>
      </c>
      <c r="B604" s="3" t="str">
        <f>IFERROR(INDEX(Movimientos!$C$5:$C$2001,MATCH(A604&amp;"ENTRADA",Movimientos!$R$5:$R$2001,0)),"-")</f>
        <v>-</v>
      </c>
      <c r="C604" s="3" t="str">
        <f>IFERROR(INDEX(Movimientos!$D$5:$D$2001,MATCH(A604&amp;"ENTRADA",Movimientos!$R$5:$R$2001,0)),"-")</f>
        <v>-</v>
      </c>
      <c r="D604" s="3" t="str">
        <f>IFERROR(INDEX(Movimientos!$E$5:$E$2001,MATCH(A604&amp;"ENTRADA",Movimientos!$R$5:$R$2001,0)),"-")</f>
        <v>-</v>
      </c>
      <c r="E604" s="3" t="str">
        <f>IFERROR(INDEX(Movimientos!$F$5:$F$2001,MATCH(A604&amp;"ENTRADA",Movimientos!$R$5:$R$2001,0)),"-")</f>
        <v>-</v>
      </c>
      <c r="F604" s="3" t="str">
        <f>IFERROR(INDEX(Movimientos!$G$5:$G$2001,MATCH(A604&amp;"ENTRADA",Movimientos!$R$5:$R$2001,0)),"-")</f>
        <v>-</v>
      </c>
      <c r="G604" s="3" t="str">
        <f>IFERROR(INDEX(Movimientos!$L$5:$L$2001,MATCH(A604&amp;"ENTRADA",Movimientos!$R$5:$R$2001,0)),"-")</f>
        <v>-</v>
      </c>
      <c r="H604" s="19" t="str">
        <f>IFERROR(IF(INDEX(Movimientos!$M$5:$M$2001,MATCH(A604&amp;"ENTRADA",Movimientos!$R$5:$R$2001,0))=0,"S/D",INDEX(Movimientos!$M$5:$M$2001,MATCH(A604&amp;"ENTRADA",Movimientos!$R$5:$R$2001,0))),"S/D")</f>
        <v>S/D</v>
      </c>
      <c r="I604" s="16" t="str">
        <f t="shared" ca="1" si="20"/>
        <v>S/D</v>
      </c>
      <c r="J604" s="6">
        <f>IF(A604="","",SUMIFS(Movimientos!$K:$K,Movimientos!$H:$H,A604))</f>
        <v>0</v>
      </c>
      <c r="K604" s="14" t="str">
        <f t="shared" ca="1" si="21"/>
        <v>OK</v>
      </c>
    </row>
    <row r="605" spans="1:11">
      <c r="A605" s="18" t="s">
        <v>2666</v>
      </c>
      <c r="B605" s="3" t="str">
        <f>IFERROR(INDEX(Movimientos!$C$5:$C$2001,MATCH(A605&amp;"ENTRADA",Movimientos!$R$5:$R$2001,0)),"-")</f>
        <v>-</v>
      </c>
      <c r="C605" s="3" t="str">
        <f>IFERROR(INDEX(Movimientos!$D$5:$D$2001,MATCH(A605&amp;"ENTRADA",Movimientos!$R$5:$R$2001,0)),"-")</f>
        <v>-</v>
      </c>
      <c r="D605" s="3" t="str">
        <f>IFERROR(INDEX(Movimientos!$E$5:$E$2001,MATCH(A605&amp;"ENTRADA",Movimientos!$R$5:$R$2001,0)),"-")</f>
        <v>-</v>
      </c>
      <c r="E605" s="3" t="str">
        <f>IFERROR(INDEX(Movimientos!$F$5:$F$2001,MATCH(A605&amp;"ENTRADA",Movimientos!$R$5:$R$2001,0)),"-")</f>
        <v>-</v>
      </c>
      <c r="F605" s="3" t="str">
        <f>IFERROR(INDEX(Movimientos!$G$5:$G$2001,MATCH(A605&amp;"ENTRADA",Movimientos!$R$5:$R$2001,0)),"-")</f>
        <v>-</v>
      </c>
      <c r="G605" s="3" t="str">
        <f>IFERROR(INDEX(Movimientos!$L$5:$L$2001,MATCH(A605&amp;"ENTRADA",Movimientos!$R$5:$R$2001,0)),"-")</f>
        <v>-</v>
      </c>
      <c r="H605" s="19" t="str">
        <f>IFERROR(IF(INDEX(Movimientos!$M$5:$M$2001,MATCH(A605&amp;"ENTRADA",Movimientos!$R$5:$R$2001,0))=0,"S/D",INDEX(Movimientos!$M$5:$M$2001,MATCH(A605&amp;"ENTRADA",Movimientos!$R$5:$R$2001,0))),"S/D")</f>
        <v>S/D</v>
      </c>
      <c r="I605" s="16" t="str">
        <f t="shared" ca="1" si="20"/>
        <v>S/D</v>
      </c>
      <c r="J605" s="6">
        <f>IF(A605="","",SUMIFS(Movimientos!$K:$K,Movimientos!$H:$H,A605))</f>
        <v>0</v>
      </c>
      <c r="K605" s="14" t="str">
        <f t="shared" ca="1" si="21"/>
        <v>OK</v>
      </c>
    </row>
    <row r="606" spans="1:11">
      <c r="A606" s="18" t="s">
        <v>2667</v>
      </c>
      <c r="B606" s="3" t="str">
        <f>IFERROR(INDEX(Movimientos!$C$5:$C$2001,MATCH(A606&amp;"ENTRADA",Movimientos!$R$5:$R$2001,0)),"-")</f>
        <v>-</v>
      </c>
      <c r="C606" s="3" t="str">
        <f>IFERROR(INDEX(Movimientos!$D$5:$D$2001,MATCH(A606&amp;"ENTRADA",Movimientos!$R$5:$R$2001,0)),"-")</f>
        <v>-</v>
      </c>
      <c r="D606" s="3" t="str">
        <f>IFERROR(INDEX(Movimientos!$E$5:$E$2001,MATCH(A606&amp;"ENTRADA",Movimientos!$R$5:$R$2001,0)),"-")</f>
        <v>-</v>
      </c>
      <c r="E606" s="3" t="str">
        <f>IFERROR(INDEX(Movimientos!$F$5:$F$2001,MATCH(A606&amp;"ENTRADA",Movimientos!$R$5:$R$2001,0)),"-")</f>
        <v>-</v>
      </c>
      <c r="F606" s="3" t="str">
        <f>IFERROR(INDEX(Movimientos!$G$5:$G$2001,MATCH(A606&amp;"ENTRADA",Movimientos!$R$5:$R$2001,0)),"-")</f>
        <v>-</v>
      </c>
      <c r="G606" s="3" t="str">
        <f>IFERROR(INDEX(Movimientos!$L$5:$L$2001,MATCH(A606&amp;"ENTRADA",Movimientos!$R$5:$R$2001,0)),"-")</f>
        <v>-</v>
      </c>
      <c r="H606" s="19" t="str">
        <f>IFERROR(IF(INDEX(Movimientos!$M$5:$M$2001,MATCH(A606&amp;"ENTRADA",Movimientos!$R$5:$R$2001,0))=0,"S/D",INDEX(Movimientos!$M$5:$M$2001,MATCH(A606&amp;"ENTRADA",Movimientos!$R$5:$R$2001,0))),"S/D")</f>
        <v>S/D</v>
      </c>
      <c r="I606" s="16" t="str">
        <f t="shared" ca="1" si="20"/>
        <v>S/D</v>
      </c>
      <c r="J606" s="6">
        <f>IF(A606="","",SUMIFS(Movimientos!$K:$K,Movimientos!$H:$H,A606))</f>
        <v>0</v>
      </c>
      <c r="K606" s="14" t="str">
        <f t="shared" ca="1" si="21"/>
        <v>OK</v>
      </c>
    </row>
    <row r="607" spans="1:11">
      <c r="A607" s="18" t="s">
        <v>2668</v>
      </c>
      <c r="B607" s="3" t="str">
        <f>IFERROR(INDEX(Movimientos!$C$5:$C$2001,MATCH(A607&amp;"ENTRADA",Movimientos!$R$5:$R$2001,0)),"-")</f>
        <v>-</v>
      </c>
      <c r="C607" s="3" t="str">
        <f>IFERROR(INDEX(Movimientos!$D$5:$D$2001,MATCH(A607&amp;"ENTRADA",Movimientos!$R$5:$R$2001,0)),"-")</f>
        <v>-</v>
      </c>
      <c r="D607" s="3" t="str">
        <f>IFERROR(INDEX(Movimientos!$E$5:$E$2001,MATCH(A607&amp;"ENTRADA",Movimientos!$R$5:$R$2001,0)),"-")</f>
        <v>-</v>
      </c>
      <c r="E607" s="3" t="str">
        <f>IFERROR(INDEX(Movimientos!$F$5:$F$2001,MATCH(A607&amp;"ENTRADA",Movimientos!$R$5:$R$2001,0)),"-")</f>
        <v>-</v>
      </c>
      <c r="F607" s="3" t="str">
        <f>IFERROR(INDEX(Movimientos!$G$5:$G$2001,MATCH(A607&amp;"ENTRADA",Movimientos!$R$5:$R$2001,0)),"-")</f>
        <v>-</v>
      </c>
      <c r="G607" s="3" t="str">
        <f>IFERROR(INDEX(Movimientos!$L$5:$L$2001,MATCH(A607&amp;"ENTRADA",Movimientos!$R$5:$R$2001,0)),"-")</f>
        <v>-</v>
      </c>
      <c r="H607" s="19" t="str">
        <f>IFERROR(IF(INDEX(Movimientos!$M$5:$M$2001,MATCH(A607&amp;"ENTRADA",Movimientos!$R$5:$R$2001,0))=0,"S/D",INDEX(Movimientos!$M$5:$M$2001,MATCH(A607&amp;"ENTRADA",Movimientos!$R$5:$R$2001,0))),"S/D")</f>
        <v>S/D</v>
      </c>
      <c r="I607" s="16" t="str">
        <f t="shared" ca="1" si="20"/>
        <v>S/D</v>
      </c>
      <c r="J607" s="6">
        <f>IF(A607="","",SUMIFS(Movimientos!$K:$K,Movimientos!$H:$H,A607))</f>
        <v>0</v>
      </c>
      <c r="K607" s="14" t="str">
        <f t="shared" ca="1" si="21"/>
        <v>OK</v>
      </c>
    </row>
    <row r="608" spans="1:11">
      <c r="A608" s="18" t="s">
        <v>2669</v>
      </c>
      <c r="B608" s="3" t="str">
        <f>IFERROR(INDEX(Movimientos!$C$5:$C$2001,MATCH(A608&amp;"ENTRADA",Movimientos!$R$5:$R$2001,0)),"-")</f>
        <v>-</v>
      </c>
      <c r="C608" s="3" t="str">
        <f>IFERROR(INDEX(Movimientos!$D$5:$D$2001,MATCH(A608&amp;"ENTRADA",Movimientos!$R$5:$R$2001,0)),"-")</f>
        <v>-</v>
      </c>
      <c r="D608" s="3" t="str">
        <f>IFERROR(INDEX(Movimientos!$E$5:$E$2001,MATCH(A608&amp;"ENTRADA",Movimientos!$R$5:$R$2001,0)),"-")</f>
        <v>-</v>
      </c>
      <c r="E608" s="3" t="str">
        <f>IFERROR(INDEX(Movimientos!$F$5:$F$2001,MATCH(A608&amp;"ENTRADA",Movimientos!$R$5:$R$2001,0)),"-")</f>
        <v>-</v>
      </c>
      <c r="F608" s="3" t="str">
        <f>IFERROR(INDEX(Movimientos!$G$5:$G$2001,MATCH(A608&amp;"ENTRADA",Movimientos!$R$5:$R$2001,0)),"-")</f>
        <v>-</v>
      </c>
      <c r="G608" s="3" t="str">
        <f>IFERROR(INDEX(Movimientos!$L$5:$L$2001,MATCH(A608&amp;"ENTRADA",Movimientos!$R$5:$R$2001,0)),"-")</f>
        <v>-</v>
      </c>
      <c r="H608" s="19" t="str">
        <f>IFERROR(IF(INDEX(Movimientos!$M$5:$M$2001,MATCH(A608&amp;"ENTRADA",Movimientos!$R$5:$R$2001,0))=0,"S/D",INDEX(Movimientos!$M$5:$M$2001,MATCH(A608&amp;"ENTRADA",Movimientos!$R$5:$R$2001,0))),"S/D")</f>
        <v>S/D</v>
      </c>
      <c r="I608" s="16" t="str">
        <f t="shared" ca="1" si="20"/>
        <v>S/D</v>
      </c>
      <c r="J608" s="6">
        <f>IF(A608="","",SUMIFS(Movimientos!$K:$K,Movimientos!$H:$H,A608))</f>
        <v>0</v>
      </c>
      <c r="K608" s="14" t="str">
        <f t="shared" ca="1" si="21"/>
        <v>OK</v>
      </c>
    </row>
    <row r="609" spans="1:11">
      <c r="A609" s="18" t="s">
        <v>2670</v>
      </c>
      <c r="B609" s="3" t="str">
        <f>IFERROR(INDEX(Movimientos!$C$5:$C$2001,MATCH(A609&amp;"ENTRADA",Movimientos!$R$5:$R$2001,0)),"-")</f>
        <v>-</v>
      </c>
      <c r="C609" s="3" t="str">
        <f>IFERROR(INDEX(Movimientos!$D$5:$D$2001,MATCH(A609&amp;"ENTRADA",Movimientos!$R$5:$R$2001,0)),"-")</f>
        <v>-</v>
      </c>
      <c r="D609" s="3" t="str">
        <f>IFERROR(INDEX(Movimientos!$E$5:$E$2001,MATCH(A609&amp;"ENTRADA",Movimientos!$R$5:$R$2001,0)),"-")</f>
        <v>-</v>
      </c>
      <c r="E609" s="3" t="str">
        <f>IFERROR(INDEX(Movimientos!$F$5:$F$2001,MATCH(A609&amp;"ENTRADA",Movimientos!$R$5:$R$2001,0)),"-")</f>
        <v>-</v>
      </c>
      <c r="F609" s="3" t="str">
        <f>IFERROR(INDEX(Movimientos!$G$5:$G$2001,MATCH(A609&amp;"ENTRADA",Movimientos!$R$5:$R$2001,0)),"-")</f>
        <v>-</v>
      </c>
      <c r="G609" s="3" t="str">
        <f>IFERROR(INDEX(Movimientos!$L$5:$L$2001,MATCH(A609&amp;"ENTRADA",Movimientos!$R$5:$R$2001,0)),"-")</f>
        <v>-</v>
      </c>
      <c r="H609" s="19" t="str">
        <f>IFERROR(IF(INDEX(Movimientos!$M$5:$M$2001,MATCH(A609&amp;"ENTRADA",Movimientos!$R$5:$R$2001,0))=0,"S/D",INDEX(Movimientos!$M$5:$M$2001,MATCH(A609&amp;"ENTRADA",Movimientos!$R$5:$R$2001,0))),"S/D")</f>
        <v>S/D</v>
      </c>
      <c r="I609" s="16" t="str">
        <f t="shared" ca="1" si="20"/>
        <v>S/D</v>
      </c>
      <c r="J609" s="6">
        <f>IF(A609="","",SUMIFS(Movimientos!$K:$K,Movimientos!$H:$H,A609))</f>
        <v>0</v>
      </c>
      <c r="K609" s="14" t="str">
        <f t="shared" ca="1" si="21"/>
        <v>OK</v>
      </c>
    </row>
    <row r="610" spans="1:11">
      <c r="A610" s="18" t="s">
        <v>2671</v>
      </c>
      <c r="B610" s="3" t="str">
        <f>IFERROR(INDEX(Movimientos!$C$5:$C$2001,MATCH(A610&amp;"ENTRADA",Movimientos!$R$5:$R$2001,0)),"-")</f>
        <v>-</v>
      </c>
      <c r="C610" s="3" t="str">
        <f>IFERROR(INDEX(Movimientos!$D$5:$D$2001,MATCH(A610&amp;"ENTRADA",Movimientos!$R$5:$R$2001,0)),"-")</f>
        <v>-</v>
      </c>
      <c r="D610" s="3" t="str">
        <f>IFERROR(INDEX(Movimientos!$E$5:$E$2001,MATCH(A610&amp;"ENTRADA",Movimientos!$R$5:$R$2001,0)),"-")</f>
        <v>-</v>
      </c>
      <c r="E610" s="3" t="str">
        <f>IFERROR(INDEX(Movimientos!$F$5:$F$2001,MATCH(A610&amp;"ENTRADA",Movimientos!$R$5:$R$2001,0)),"-")</f>
        <v>-</v>
      </c>
      <c r="F610" s="3" t="str">
        <f>IFERROR(INDEX(Movimientos!$G$5:$G$2001,MATCH(A610&amp;"ENTRADA",Movimientos!$R$5:$R$2001,0)),"-")</f>
        <v>-</v>
      </c>
      <c r="G610" s="3" t="str">
        <f>IFERROR(INDEX(Movimientos!$L$5:$L$2001,MATCH(A610&amp;"ENTRADA",Movimientos!$R$5:$R$2001,0)),"-")</f>
        <v>-</v>
      </c>
      <c r="H610" s="19" t="str">
        <f>IFERROR(IF(INDEX(Movimientos!$M$5:$M$2001,MATCH(A610&amp;"ENTRADA",Movimientos!$R$5:$R$2001,0))=0,"S/D",INDEX(Movimientos!$M$5:$M$2001,MATCH(A610&amp;"ENTRADA",Movimientos!$R$5:$R$2001,0))),"S/D")</f>
        <v>S/D</v>
      </c>
      <c r="I610" s="16" t="str">
        <f t="shared" ca="1" si="20"/>
        <v>S/D</v>
      </c>
      <c r="J610" s="6">
        <f>IF(A610="","",SUMIFS(Movimientos!$K:$K,Movimientos!$H:$H,A610))</f>
        <v>0</v>
      </c>
      <c r="K610" s="14" t="str">
        <f t="shared" ca="1" si="21"/>
        <v>OK</v>
      </c>
    </row>
    <row r="611" spans="1:11">
      <c r="A611" s="18" t="s">
        <v>2672</v>
      </c>
      <c r="B611" s="3" t="str">
        <f>IFERROR(INDEX(Movimientos!$C$5:$C$2001,MATCH(A611&amp;"ENTRADA",Movimientos!$R$5:$R$2001,0)),"-")</f>
        <v>-</v>
      </c>
      <c r="C611" s="3" t="str">
        <f>IFERROR(INDEX(Movimientos!$D$5:$D$2001,MATCH(A611&amp;"ENTRADA",Movimientos!$R$5:$R$2001,0)),"-")</f>
        <v>-</v>
      </c>
      <c r="D611" s="3" t="str">
        <f>IFERROR(INDEX(Movimientos!$E$5:$E$2001,MATCH(A611&amp;"ENTRADA",Movimientos!$R$5:$R$2001,0)),"-")</f>
        <v>-</v>
      </c>
      <c r="E611" s="3" t="str">
        <f>IFERROR(INDEX(Movimientos!$F$5:$F$2001,MATCH(A611&amp;"ENTRADA",Movimientos!$R$5:$R$2001,0)),"-")</f>
        <v>-</v>
      </c>
      <c r="F611" s="3" t="str">
        <f>IFERROR(INDEX(Movimientos!$G$5:$G$2001,MATCH(A611&amp;"ENTRADA",Movimientos!$R$5:$R$2001,0)),"-")</f>
        <v>-</v>
      </c>
      <c r="G611" s="3" t="str">
        <f>IFERROR(INDEX(Movimientos!$L$5:$L$2001,MATCH(A611&amp;"ENTRADA",Movimientos!$R$5:$R$2001,0)),"-")</f>
        <v>-</v>
      </c>
      <c r="H611" s="19" t="str">
        <f>IFERROR(IF(INDEX(Movimientos!$M$5:$M$2001,MATCH(A611&amp;"ENTRADA",Movimientos!$R$5:$R$2001,0))=0,"S/D",INDEX(Movimientos!$M$5:$M$2001,MATCH(A611&amp;"ENTRADA",Movimientos!$R$5:$R$2001,0))),"S/D")</f>
        <v>S/D</v>
      </c>
      <c r="I611" s="16" t="str">
        <f t="shared" ca="1" si="20"/>
        <v>S/D</v>
      </c>
      <c r="J611" s="6">
        <f>IF(A611="","",SUMIFS(Movimientos!$K:$K,Movimientos!$H:$H,A611))</f>
        <v>0</v>
      </c>
      <c r="K611" s="14" t="str">
        <f t="shared" ca="1" si="21"/>
        <v>OK</v>
      </c>
    </row>
    <row r="612" spans="1:11">
      <c r="A612" s="18" t="s">
        <v>2673</v>
      </c>
      <c r="B612" s="3" t="str">
        <f>IFERROR(INDEX(Movimientos!$C$5:$C$2001,MATCH(A612&amp;"ENTRADA",Movimientos!$R$5:$R$2001,0)),"-")</f>
        <v>-</v>
      </c>
      <c r="C612" s="3" t="str">
        <f>IFERROR(INDEX(Movimientos!$D$5:$D$2001,MATCH(A612&amp;"ENTRADA",Movimientos!$R$5:$R$2001,0)),"-")</f>
        <v>-</v>
      </c>
      <c r="D612" s="3" t="str">
        <f>IFERROR(INDEX(Movimientos!$E$5:$E$2001,MATCH(A612&amp;"ENTRADA",Movimientos!$R$5:$R$2001,0)),"-")</f>
        <v>-</v>
      </c>
      <c r="E612" s="3" t="str">
        <f>IFERROR(INDEX(Movimientos!$F$5:$F$2001,MATCH(A612&amp;"ENTRADA",Movimientos!$R$5:$R$2001,0)),"-")</f>
        <v>-</v>
      </c>
      <c r="F612" s="3" t="str">
        <f>IFERROR(INDEX(Movimientos!$G$5:$G$2001,MATCH(A612&amp;"ENTRADA",Movimientos!$R$5:$R$2001,0)),"-")</f>
        <v>-</v>
      </c>
      <c r="G612" s="3" t="str">
        <f>IFERROR(INDEX(Movimientos!$L$5:$L$2001,MATCH(A612&amp;"ENTRADA",Movimientos!$R$5:$R$2001,0)),"-")</f>
        <v>-</v>
      </c>
      <c r="H612" s="19" t="str">
        <f>IFERROR(IF(INDEX(Movimientos!$M$5:$M$2001,MATCH(A612&amp;"ENTRADA",Movimientos!$R$5:$R$2001,0))=0,"S/D",INDEX(Movimientos!$M$5:$M$2001,MATCH(A612&amp;"ENTRADA",Movimientos!$R$5:$R$2001,0))),"S/D")</f>
        <v>S/D</v>
      </c>
      <c r="I612" s="16" t="str">
        <f t="shared" ca="1" si="20"/>
        <v>S/D</v>
      </c>
      <c r="J612" s="6">
        <f>IF(A612="","",SUMIFS(Movimientos!$K:$K,Movimientos!$H:$H,A612))</f>
        <v>0</v>
      </c>
      <c r="K612" s="14" t="str">
        <f t="shared" ca="1" si="21"/>
        <v>OK</v>
      </c>
    </row>
    <row r="613" spans="1:11">
      <c r="A613" s="18" t="s">
        <v>2674</v>
      </c>
      <c r="B613" s="3" t="str">
        <f>IFERROR(INDEX(Movimientos!$C$5:$C$2001,MATCH(A613&amp;"ENTRADA",Movimientos!$R$5:$R$2001,0)),"-")</f>
        <v>-</v>
      </c>
      <c r="C613" s="3" t="str">
        <f>IFERROR(INDEX(Movimientos!$D$5:$D$2001,MATCH(A613&amp;"ENTRADA",Movimientos!$R$5:$R$2001,0)),"-")</f>
        <v>-</v>
      </c>
      <c r="D613" s="3" t="str">
        <f>IFERROR(INDEX(Movimientos!$E$5:$E$2001,MATCH(A613&amp;"ENTRADA",Movimientos!$R$5:$R$2001,0)),"-")</f>
        <v>-</v>
      </c>
      <c r="E613" s="3" t="str">
        <f>IFERROR(INDEX(Movimientos!$F$5:$F$2001,MATCH(A613&amp;"ENTRADA",Movimientos!$R$5:$R$2001,0)),"-")</f>
        <v>-</v>
      </c>
      <c r="F613" s="3" t="str">
        <f>IFERROR(INDEX(Movimientos!$G$5:$G$2001,MATCH(A613&amp;"ENTRADA",Movimientos!$R$5:$R$2001,0)),"-")</f>
        <v>-</v>
      </c>
      <c r="G613" s="3" t="str">
        <f>IFERROR(INDEX(Movimientos!$L$5:$L$2001,MATCH(A613&amp;"ENTRADA",Movimientos!$R$5:$R$2001,0)),"-")</f>
        <v>-</v>
      </c>
      <c r="H613" s="19" t="str">
        <f>IFERROR(IF(INDEX(Movimientos!$M$5:$M$2001,MATCH(A613&amp;"ENTRADA",Movimientos!$R$5:$R$2001,0))=0,"S/D",INDEX(Movimientos!$M$5:$M$2001,MATCH(A613&amp;"ENTRADA",Movimientos!$R$5:$R$2001,0))),"S/D")</f>
        <v>S/D</v>
      </c>
      <c r="I613" s="16" t="str">
        <f t="shared" ca="1" si="20"/>
        <v>S/D</v>
      </c>
      <c r="J613" s="6">
        <f>IF(A613="","",SUMIFS(Movimientos!$K:$K,Movimientos!$H:$H,A613))</f>
        <v>0</v>
      </c>
      <c r="K613" s="14" t="str">
        <f t="shared" ca="1" si="21"/>
        <v>OK</v>
      </c>
    </row>
    <row r="614" spans="1:11">
      <c r="A614" s="18" t="s">
        <v>2675</v>
      </c>
      <c r="B614" s="3" t="str">
        <f>IFERROR(INDEX(Movimientos!$C$5:$C$2001,MATCH(A614&amp;"ENTRADA",Movimientos!$R$5:$R$2001,0)),"-")</f>
        <v>-</v>
      </c>
      <c r="C614" s="3" t="str">
        <f>IFERROR(INDEX(Movimientos!$D$5:$D$2001,MATCH(A614&amp;"ENTRADA",Movimientos!$R$5:$R$2001,0)),"-")</f>
        <v>-</v>
      </c>
      <c r="D614" s="3" t="str">
        <f>IFERROR(INDEX(Movimientos!$E$5:$E$2001,MATCH(A614&amp;"ENTRADA",Movimientos!$R$5:$R$2001,0)),"-")</f>
        <v>-</v>
      </c>
      <c r="E614" s="3" t="str">
        <f>IFERROR(INDEX(Movimientos!$F$5:$F$2001,MATCH(A614&amp;"ENTRADA",Movimientos!$R$5:$R$2001,0)),"-")</f>
        <v>-</v>
      </c>
      <c r="F614" s="3" t="str">
        <f>IFERROR(INDEX(Movimientos!$G$5:$G$2001,MATCH(A614&amp;"ENTRADA",Movimientos!$R$5:$R$2001,0)),"-")</f>
        <v>-</v>
      </c>
      <c r="G614" s="3" t="str">
        <f>IFERROR(INDEX(Movimientos!$L$5:$L$2001,MATCH(A614&amp;"ENTRADA",Movimientos!$R$5:$R$2001,0)),"-")</f>
        <v>-</v>
      </c>
      <c r="H614" s="19" t="str">
        <f>IFERROR(IF(INDEX(Movimientos!$M$5:$M$2001,MATCH(A614&amp;"ENTRADA",Movimientos!$R$5:$R$2001,0))=0,"S/D",INDEX(Movimientos!$M$5:$M$2001,MATCH(A614&amp;"ENTRADA",Movimientos!$R$5:$R$2001,0))),"S/D")</f>
        <v>S/D</v>
      </c>
      <c r="I614" s="16" t="str">
        <f t="shared" ca="1" si="20"/>
        <v>S/D</v>
      </c>
      <c r="J614" s="6">
        <f>IF(A614="","",SUMIFS(Movimientos!$K:$K,Movimientos!$H:$H,A614))</f>
        <v>0</v>
      </c>
      <c r="K614" s="14" t="str">
        <f t="shared" ca="1" si="21"/>
        <v>OK</v>
      </c>
    </row>
    <row r="615" spans="1:11">
      <c r="A615" s="18" t="s">
        <v>2676</v>
      </c>
      <c r="B615" s="3" t="str">
        <f>IFERROR(INDEX(Movimientos!$C$5:$C$2001,MATCH(A615&amp;"ENTRADA",Movimientos!$R$5:$R$2001,0)),"-")</f>
        <v>-</v>
      </c>
      <c r="C615" s="3" t="str">
        <f>IFERROR(INDEX(Movimientos!$D$5:$D$2001,MATCH(A615&amp;"ENTRADA",Movimientos!$R$5:$R$2001,0)),"-")</f>
        <v>-</v>
      </c>
      <c r="D615" s="3" t="str">
        <f>IFERROR(INDEX(Movimientos!$E$5:$E$2001,MATCH(A615&amp;"ENTRADA",Movimientos!$R$5:$R$2001,0)),"-")</f>
        <v>-</v>
      </c>
      <c r="E615" s="3" t="str">
        <f>IFERROR(INDEX(Movimientos!$F$5:$F$2001,MATCH(A615&amp;"ENTRADA",Movimientos!$R$5:$R$2001,0)),"-")</f>
        <v>-</v>
      </c>
      <c r="F615" s="3" t="str">
        <f>IFERROR(INDEX(Movimientos!$G$5:$G$2001,MATCH(A615&amp;"ENTRADA",Movimientos!$R$5:$R$2001,0)),"-")</f>
        <v>-</v>
      </c>
      <c r="G615" s="3" t="str">
        <f>IFERROR(INDEX(Movimientos!$L$5:$L$2001,MATCH(A615&amp;"ENTRADA",Movimientos!$R$5:$R$2001,0)),"-")</f>
        <v>-</v>
      </c>
      <c r="H615" s="19" t="str">
        <f>IFERROR(IF(INDEX(Movimientos!$M$5:$M$2001,MATCH(A615&amp;"ENTRADA",Movimientos!$R$5:$R$2001,0))=0,"S/D",INDEX(Movimientos!$M$5:$M$2001,MATCH(A615&amp;"ENTRADA",Movimientos!$R$5:$R$2001,0))),"S/D")</f>
        <v>S/D</v>
      </c>
      <c r="I615" s="16" t="str">
        <f t="shared" ca="1" si="20"/>
        <v>S/D</v>
      </c>
      <c r="J615" s="6">
        <f>IF(A615="","",SUMIFS(Movimientos!$K:$K,Movimientos!$H:$H,A615))</f>
        <v>0</v>
      </c>
      <c r="K615" s="14" t="str">
        <f t="shared" ca="1" si="21"/>
        <v>OK</v>
      </c>
    </row>
    <row r="616" spans="1:11">
      <c r="A616" s="18" t="s">
        <v>2677</v>
      </c>
      <c r="B616" s="3" t="str">
        <f>IFERROR(INDEX(Movimientos!$C$5:$C$2001,MATCH(A616&amp;"ENTRADA",Movimientos!$R$5:$R$2001,0)),"-")</f>
        <v>-</v>
      </c>
      <c r="C616" s="3" t="str">
        <f>IFERROR(INDEX(Movimientos!$D$5:$D$2001,MATCH(A616&amp;"ENTRADA",Movimientos!$R$5:$R$2001,0)),"-")</f>
        <v>-</v>
      </c>
      <c r="D616" s="3" t="str">
        <f>IFERROR(INDEX(Movimientos!$E$5:$E$2001,MATCH(A616&amp;"ENTRADA",Movimientos!$R$5:$R$2001,0)),"-")</f>
        <v>-</v>
      </c>
      <c r="E616" s="3" t="str">
        <f>IFERROR(INDEX(Movimientos!$F$5:$F$2001,MATCH(A616&amp;"ENTRADA",Movimientos!$R$5:$R$2001,0)),"-")</f>
        <v>-</v>
      </c>
      <c r="F616" s="3" t="str">
        <f>IFERROR(INDEX(Movimientos!$G$5:$G$2001,MATCH(A616&amp;"ENTRADA",Movimientos!$R$5:$R$2001,0)),"-")</f>
        <v>-</v>
      </c>
      <c r="G616" s="3" t="str">
        <f>IFERROR(INDEX(Movimientos!$L$5:$L$2001,MATCH(A616&amp;"ENTRADA",Movimientos!$R$5:$R$2001,0)),"-")</f>
        <v>-</v>
      </c>
      <c r="H616" s="19" t="str">
        <f>IFERROR(IF(INDEX(Movimientos!$M$5:$M$2001,MATCH(A616&amp;"ENTRADA",Movimientos!$R$5:$R$2001,0))=0,"S/D",INDEX(Movimientos!$M$5:$M$2001,MATCH(A616&amp;"ENTRADA",Movimientos!$R$5:$R$2001,0))),"S/D")</f>
        <v>S/D</v>
      </c>
      <c r="I616" s="16" t="str">
        <f t="shared" ca="1" si="20"/>
        <v>S/D</v>
      </c>
      <c r="J616" s="6">
        <f>IF(A616="","",SUMIFS(Movimientos!$K:$K,Movimientos!$H:$H,A616))</f>
        <v>0</v>
      </c>
      <c r="K616" s="14" t="str">
        <f t="shared" ca="1" si="21"/>
        <v>OK</v>
      </c>
    </row>
    <row r="617" spans="1:11">
      <c r="A617" s="18" t="s">
        <v>2678</v>
      </c>
      <c r="B617" s="3" t="str">
        <f>IFERROR(INDEX(Movimientos!$C$5:$C$2001,MATCH(A617&amp;"ENTRADA",Movimientos!$R$5:$R$2001,0)),"-")</f>
        <v>-</v>
      </c>
      <c r="C617" s="3" t="str">
        <f>IFERROR(INDEX(Movimientos!$D$5:$D$2001,MATCH(A617&amp;"ENTRADA",Movimientos!$R$5:$R$2001,0)),"-")</f>
        <v>-</v>
      </c>
      <c r="D617" s="3" t="str">
        <f>IFERROR(INDEX(Movimientos!$E$5:$E$2001,MATCH(A617&amp;"ENTRADA",Movimientos!$R$5:$R$2001,0)),"-")</f>
        <v>-</v>
      </c>
      <c r="E617" s="3" t="str">
        <f>IFERROR(INDEX(Movimientos!$F$5:$F$2001,MATCH(A617&amp;"ENTRADA",Movimientos!$R$5:$R$2001,0)),"-")</f>
        <v>-</v>
      </c>
      <c r="F617" s="3" t="str">
        <f>IFERROR(INDEX(Movimientos!$G$5:$G$2001,MATCH(A617&amp;"ENTRADA",Movimientos!$R$5:$R$2001,0)),"-")</f>
        <v>-</v>
      </c>
      <c r="G617" s="3" t="str">
        <f>IFERROR(INDEX(Movimientos!$L$5:$L$2001,MATCH(A617&amp;"ENTRADA",Movimientos!$R$5:$R$2001,0)),"-")</f>
        <v>-</v>
      </c>
      <c r="H617" s="19" t="str">
        <f>IFERROR(IF(INDEX(Movimientos!$M$5:$M$2001,MATCH(A617&amp;"ENTRADA",Movimientos!$R$5:$R$2001,0))=0,"S/D",INDEX(Movimientos!$M$5:$M$2001,MATCH(A617&amp;"ENTRADA",Movimientos!$R$5:$R$2001,0))),"S/D")</f>
        <v>S/D</v>
      </c>
      <c r="I617" s="16" t="str">
        <f t="shared" ca="1" si="20"/>
        <v>S/D</v>
      </c>
      <c r="J617" s="6">
        <f>IF(A617="","",SUMIFS(Movimientos!$K:$K,Movimientos!$H:$H,A617))</f>
        <v>0</v>
      </c>
      <c r="K617" s="14" t="str">
        <f t="shared" ca="1" si="21"/>
        <v>OK</v>
      </c>
    </row>
    <row r="618" spans="1:11">
      <c r="A618" s="18" t="s">
        <v>2679</v>
      </c>
      <c r="B618" s="3" t="str">
        <f>IFERROR(INDEX(Movimientos!$C$5:$C$2001,MATCH(A618&amp;"ENTRADA",Movimientos!$R$5:$R$2001,0)),"-")</f>
        <v>-</v>
      </c>
      <c r="C618" s="3" t="str">
        <f>IFERROR(INDEX(Movimientos!$D$5:$D$2001,MATCH(A618&amp;"ENTRADA",Movimientos!$R$5:$R$2001,0)),"-")</f>
        <v>-</v>
      </c>
      <c r="D618" s="3" t="str">
        <f>IFERROR(INDEX(Movimientos!$E$5:$E$2001,MATCH(A618&amp;"ENTRADA",Movimientos!$R$5:$R$2001,0)),"-")</f>
        <v>-</v>
      </c>
      <c r="E618" s="3" t="str">
        <f>IFERROR(INDEX(Movimientos!$F$5:$F$2001,MATCH(A618&amp;"ENTRADA",Movimientos!$R$5:$R$2001,0)),"-")</f>
        <v>-</v>
      </c>
      <c r="F618" s="3" t="str">
        <f>IFERROR(INDEX(Movimientos!$G$5:$G$2001,MATCH(A618&amp;"ENTRADA",Movimientos!$R$5:$R$2001,0)),"-")</f>
        <v>-</v>
      </c>
      <c r="G618" s="3" t="str">
        <f>IFERROR(INDEX(Movimientos!$L$5:$L$2001,MATCH(A618&amp;"ENTRADA",Movimientos!$R$5:$R$2001,0)),"-")</f>
        <v>-</v>
      </c>
      <c r="H618" s="19" t="str">
        <f>IFERROR(IF(INDEX(Movimientos!$M$5:$M$2001,MATCH(A618&amp;"ENTRADA",Movimientos!$R$5:$R$2001,0))=0,"S/D",INDEX(Movimientos!$M$5:$M$2001,MATCH(A618&amp;"ENTRADA",Movimientos!$R$5:$R$2001,0))),"S/D")</f>
        <v>S/D</v>
      </c>
      <c r="I618" s="16" t="str">
        <f t="shared" ca="1" si="20"/>
        <v>S/D</v>
      </c>
      <c r="J618" s="6">
        <f>IF(A618="","",SUMIFS(Movimientos!$K:$K,Movimientos!$H:$H,A618))</f>
        <v>0</v>
      </c>
      <c r="K618" s="14" t="str">
        <f t="shared" ca="1" si="21"/>
        <v>OK</v>
      </c>
    </row>
    <row r="619" spans="1:11">
      <c r="A619" s="18" t="s">
        <v>2680</v>
      </c>
      <c r="B619" s="3" t="str">
        <f>IFERROR(INDEX(Movimientos!$C$5:$C$2001,MATCH(A619&amp;"ENTRADA",Movimientos!$R$5:$R$2001,0)),"-")</f>
        <v>-</v>
      </c>
      <c r="C619" s="3" t="str">
        <f>IFERROR(INDEX(Movimientos!$D$5:$D$2001,MATCH(A619&amp;"ENTRADA",Movimientos!$R$5:$R$2001,0)),"-")</f>
        <v>-</v>
      </c>
      <c r="D619" s="3" t="str">
        <f>IFERROR(INDEX(Movimientos!$E$5:$E$2001,MATCH(A619&amp;"ENTRADA",Movimientos!$R$5:$R$2001,0)),"-")</f>
        <v>-</v>
      </c>
      <c r="E619" s="3" t="str">
        <f>IFERROR(INDEX(Movimientos!$F$5:$F$2001,MATCH(A619&amp;"ENTRADA",Movimientos!$R$5:$R$2001,0)),"-")</f>
        <v>-</v>
      </c>
      <c r="F619" s="3" t="str">
        <f>IFERROR(INDEX(Movimientos!$G$5:$G$2001,MATCH(A619&amp;"ENTRADA",Movimientos!$R$5:$R$2001,0)),"-")</f>
        <v>-</v>
      </c>
      <c r="G619" s="3" t="str">
        <f>IFERROR(INDEX(Movimientos!$L$5:$L$2001,MATCH(A619&amp;"ENTRADA",Movimientos!$R$5:$R$2001,0)),"-")</f>
        <v>-</v>
      </c>
      <c r="H619" s="19" t="str">
        <f>IFERROR(IF(INDEX(Movimientos!$M$5:$M$2001,MATCH(A619&amp;"ENTRADA",Movimientos!$R$5:$R$2001,0))=0,"S/D",INDEX(Movimientos!$M$5:$M$2001,MATCH(A619&amp;"ENTRADA",Movimientos!$R$5:$R$2001,0))),"S/D")</f>
        <v>S/D</v>
      </c>
      <c r="I619" s="16" t="str">
        <f t="shared" ca="1" si="20"/>
        <v>S/D</v>
      </c>
      <c r="J619" s="6">
        <f>IF(A619="","",SUMIFS(Movimientos!$K:$K,Movimientos!$H:$H,A619))</f>
        <v>0</v>
      </c>
      <c r="K619" s="14" t="str">
        <f t="shared" ca="1" si="21"/>
        <v>OK</v>
      </c>
    </row>
    <row r="620" spans="1:11">
      <c r="A620" s="18" t="s">
        <v>2681</v>
      </c>
      <c r="B620" s="3" t="str">
        <f>IFERROR(INDEX(Movimientos!$C$5:$C$2001,MATCH(A620&amp;"ENTRADA",Movimientos!$R$5:$R$2001,0)),"-")</f>
        <v>-</v>
      </c>
      <c r="C620" s="3" t="str">
        <f>IFERROR(INDEX(Movimientos!$D$5:$D$2001,MATCH(A620&amp;"ENTRADA",Movimientos!$R$5:$R$2001,0)),"-")</f>
        <v>-</v>
      </c>
      <c r="D620" s="3" t="str">
        <f>IFERROR(INDEX(Movimientos!$E$5:$E$2001,MATCH(A620&amp;"ENTRADA",Movimientos!$R$5:$R$2001,0)),"-")</f>
        <v>-</v>
      </c>
      <c r="E620" s="3" t="str">
        <f>IFERROR(INDEX(Movimientos!$F$5:$F$2001,MATCH(A620&amp;"ENTRADA",Movimientos!$R$5:$R$2001,0)),"-")</f>
        <v>-</v>
      </c>
      <c r="F620" s="3" t="str">
        <f>IFERROR(INDEX(Movimientos!$G$5:$G$2001,MATCH(A620&amp;"ENTRADA",Movimientos!$R$5:$R$2001,0)),"-")</f>
        <v>-</v>
      </c>
      <c r="G620" s="3" t="str">
        <f>IFERROR(INDEX(Movimientos!$L$5:$L$2001,MATCH(A620&amp;"ENTRADA",Movimientos!$R$5:$R$2001,0)),"-")</f>
        <v>-</v>
      </c>
      <c r="H620" s="19" t="str">
        <f>IFERROR(IF(INDEX(Movimientos!$M$5:$M$2001,MATCH(A620&amp;"ENTRADA",Movimientos!$R$5:$R$2001,0))=0,"S/D",INDEX(Movimientos!$M$5:$M$2001,MATCH(A620&amp;"ENTRADA",Movimientos!$R$5:$R$2001,0))),"S/D")</f>
        <v>S/D</v>
      </c>
      <c r="I620" s="16" t="str">
        <f t="shared" ca="1" si="20"/>
        <v>S/D</v>
      </c>
      <c r="J620" s="6">
        <f>IF(A620="","",SUMIFS(Movimientos!$K:$K,Movimientos!$H:$H,A620))</f>
        <v>0</v>
      </c>
      <c r="K620" s="14" t="str">
        <f t="shared" ca="1" si="21"/>
        <v>OK</v>
      </c>
    </row>
    <row r="621" spans="1:11">
      <c r="A621" s="18" t="s">
        <v>2682</v>
      </c>
      <c r="B621" s="3" t="str">
        <f>IFERROR(INDEX(Movimientos!$C$5:$C$2001,MATCH(A621&amp;"ENTRADA",Movimientos!$R$5:$R$2001,0)),"-")</f>
        <v>-</v>
      </c>
      <c r="C621" s="3" t="str">
        <f>IFERROR(INDEX(Movimientos!$D$5:$D$2001,MATCH(A621&amp;"ENTRADA",Movimientos!$R$5:$R$2001,0)),"-")</f>
        <v>-</v>
      </c>
      <c r="D621" s="3" t="str">
        <f>IFERROR(INDEX(Movimientos!$E$5:$E$2001,MATCH(A621&amp;"ENTRADA",Movimientos!$R$5:$R$2001,0)),"-")</f>
        <v>-</v>
      </c>
      <c r="E621" s="3" t="str">
        <f>IFERROR(INDEX(Movimientos!$F$5:$F$2001,MATCH(A621&amp;"ENTRADA",Movimientos!$R$5:$R$2001,0)),"-")</f>
        <v>-</v>
      </c>
      <c r="F621" s="3" t="str">
        <f>IFERROR(INDEX(Movimientos!$G$5:$G$2001,MATCH(A621&amp;"ENTRADA",Movimientos!$R$5:$R$2001,0)),"-")</f>
        <v>-</v>
      </c>
      <c r="G621" s="3" t="str">
        <f>IFERROR(INDEX(Movimientos!$L$5:$L$2001,MATCH(A621&amp;"ENTRADA",Movimientos!$R$5:$R$2001,0)),"-")</f>
        <v>-</v>
      </c>
      <c r="H621" s="19" t="str">
        <f>IFERROR(IF(INDEX(Movimientos!$M$5:$M$2001,MATCH(A621&amp;"ENTRADA",Movimientos!$R$5:$R$2001,0))=0,"S/D",INDEX(Movimientos!$M$5:$M$2001,MATCH(A621&amp;"ENTRADA",Movimientos!$R$5:$R$2001,0))),"S/D")</f>
        <v>S/D</v>
      </c>
      <c r="I621" s="16" t="str">
        <f t="shared" ca="1" si="20"/>
        <v>S/D</v>
      </c>
      <c r="J621" s="6">
        <f>IF(A621="","",SUMIFS(Movimientos!$K:$K,Movimientos!$H:$H,A621))</f>
        <v>0</v>
      </c>
      <c r="K621" s="14" t="str">
        <f t="shared" ca="1" si="21"/>
        <v>OK</v>
      </c>
    </row>
    <row r="622" spans="1:11">
      <c r="A622" s="18" t="s">
        <v>2683</v>
      </c>
      <c r="B622" s="3" t="str">
        <f>IFERROR(INDEX(Movimientos!$C$5:$C$2001,MATCH(A622&amp;"ENTRADA",Movimientos!$R$5:$R$2001,0)),"-")</f>
        <v>-</v>
      </c>
      <c r="C622" s="3" t="str">
        <f>IFERROR(INDEX(Movimientos!$D$5:$D$2001,MATCH(A622&amp;"ENTRADA",Movimientos!$R$5:$R$2001,0)),"-")</f>
        <v>-</v>
      </c>
      <c r="D622" s="3" t="str">
        <f>IFERROR(INDEX(Movimientos!$E$5:$E$2001,MATCH(A622&amp;"ENTRADA",Movimientos!$R$5:$R$2001,0)),"-")</f>
        <v>-</v>
      </c>
      <c r="E622" s="3" t="str">
        <f>IFERROR(INDEX(Movimientos!$F$5:$F$2001,MATCH(A622&amp;"ENTRADA",Movimientos!$R$5:$R$2001,0)),"-")</f>
        <v>-</v>
      </c>
      <c r="F622" s="3" t="str">
        <f>IFERROR(INDEX(Movimientos!$G$5:$G$2001,MATCH(A622&amp;"ENTRADA",Movimientos!$R$5:$R$2001,0)),"-")</f>
        <v>-</v>
      </c>
      <c r="G622" s="3" t="str">
        <f>IFERROR(INDEX(Movimientos!$L$5:$L$2001,MATCH(A622&amp;"ENTRADA",Movimientos!$R$5:$R$2001,0)),"-")</f>
        <v>-</v>
      </c>
      <c r="H622" s="19" t="str">
        <f>IFERROR(IF(INDEX(Movimientos!$M$5:$M$2001,MATCH(A622&amp;"ENTRADA",Movimientos!$R$5:$R$2001,0))=0,"S/D",INDEX(Movimientos!$M$5:$M$2001,MATCH(A622&amp;"ENTRADA",Movimientos!$R$5:$R$2001,0))),"S/D")</f>
        <v>S/D</v>
      </c>
      <c r="I622" s="16" t="str">
        <f t="shared" ca="1" si="20"/>
        <v>S/D</v>
      </c>
      <c r="J622" s="6">
        <f>IF(A622="","",SUMIFS(Movimientos!$K:$K,Movimientos!$H:$H,A622))</f>
        <v>0</v>
      </c>
      <c r="K622" s="14" t="str">
        <f t="shared" ca="1" si="21"/>
        <v>OK</v>
      </c>
    </row>
    <row r="623" spans="1:11">
      <c r="A623" s="18" t="s">
        <v>2684</v>
      </c>
      <c r="B623" s="3" t="str">
        <f>IFERROR(INDEX(Movimientos!$C$5:$C$2001,MATCH(A623&amp;"ENTRADA",Movimientos!$R$5:$R$2001,0)),"-")</f>
        <v>-</v>
      </c>
      <c r="C623" s="3" t="str">
        <f>IFERROR(INDEX(Movimientos!$D$5:$D$2001,MATCH(A623&amp;"ENTRADA",Movimientos!$R$5:$R$2001,0)),"-")</f>
        <v>-</v>
      </c>
      <c r="D623" s="3" t="str">
        <f>IFERROR(INDEX(Movimientos!$E$5:$E$2001,MATCH(A623&amp;"ENTRADA",Movimientos!$R$5:$R$2001,0)),"-")</f>
        <v>-</v>
      </c>
      <c r="E623" s="3" t="str">
        <f>IFERROR(INDEX(Movimientos!$F$5:$F$2001,MATCH(A623&amp;"ENTRADA",Movimientos!$R$5:$R$2001,0)),"-")</f>
        <v>-</v>
      </c>
      <c r="F623" s="3" t="str">
        <f>IFERROR(INDEX(Movimientos!$G$5:$G$2001,MATCH(A623&amp;"ENTRADA",Movimientos!$R$5:$R$2001,0)),"-")</f>
        <v>-</v>
      </c>
      <c r="G623" s="3" t="str">
        <f>IFERROR(INDEX(Movimientos!$L$5:$L$2001,MATCH(A623&amp;"ENTRADA",Movimientos!$R$5:$R$2001,0)),"-")</f>
        <v>-</v>
      </c>
      <c r="H623" s="19" t="str">
        <f>IFERROR(IF(INDEX(Movimientos!$M$5:$M$2001,MATCH(A623&amp;"ENTRADA",Movimientos!$R$5:$R$2001,0))=0,"S/D",INDEX(Movimientos!$M$5:$M$2001,MATCH(A623&amp;"ENTRADA",Movimientos!$R$5:$R$2001,0))),"S/D")</f>
        <v>S/D</v>
      </c>
      <c r="I623" s="16" t="str">
        <f t="shared" ca="1" si="20"/>
        <v>S/D</v>
      </c>
      <c r="J623" s="6">
        <f>IF(A623="","",SUMIFS(Movimientos!$K:$K,Movimientos!$H:$H,A623))</f>
        <v>0</v>
      </c>
      <c r="K623" s="14" t="str">
        <f t="shared" ca="1" si="21"/>
        <v>OK</v>
      </c>
    </row>
    <row r="624" spans="1:11">
      <c r="A624" s="18" t="s">
        <v>2685</v>
      </c>
      <c r="B624" s="3" t="str">
        <f>IFERROR(INDEX(Movimientos!$C$5:$C$2001,MATCH(A624&amp;"ENTRADA",Movimientos!$R$5:$R$2001,0)),"-")</f>
        <v>-</v>
      </c>
      <c r="C624" s="3" t="str">
        <f>IFERROR(INDEX(Movimientos!$D$5:$D$2001,MATCH(A624&amp;"ENTRADA",Movimientos!$R$5:$R$2001,0)),"-")</f>
        <v>-</v>
      </c>
      <c r="D624" s="3" t="str">
        <f>IFERROR(INDEX(Movimientos!$E$5:$E$2001,MATCH(A624&amp;"ENTRADA",Movimientos!$R$5:$R$2001,0)),"-")</f>
        <v>-</v>
      </c>
      <c r="E624" s="3" t="str">
        <f>IFERROR(INDEX(Movimientos!$F$5:$F$2001,MATCH(A624&amp;"ENTRADA",Movimientos!$R$5:$R$2001,0)),"-")</f>
        <v>-</v>
      </c>
      <c r="F624" s="3" t="str">
        <f>IFERROR(INDEX(Movimientos!$G$5:$G$2001,MATCH(A624&amp;"ENTRADA",Movimientos!$R$5:$R$2001,0)),"-")</f>
        <v>-</v>
      </c>
      <c r="G624" s="3" t="str">
        <f>IFERROR(INDEX(Movimientos!$L$5:$L$2001,MATCH(A624&amp;"ENTRADA",Movimientos!$R$5:$R$2001,0)),"-")</f>
        <v>-</v>
      </c>
      <c r="H624" s="19" t="str">
        <f>IFERROR(IF(INDEX(Movimientos!$M$5:$M$2001,MATCH(A624&amp;"ENTRADA",Movimientos!$R$5:$R$2001,0))=0,"S/D",INDEX(Movimientos!$M$5:$M$2001,MATCH(A624&amp;"ENTRADA",Movimientos!$R$5:$R$2001,0))),"S/D")</f>
        <v>S/D</v>
      </c>
      <c r="I624" s="16" t="str">
        <f t="shared" ca="1" si="20"/>
        <v>S/D</v>
      </c>
      <c r="J624" s="6">
        <f>IF(A624="","",SUMIFS(Movimientos!$K:$K,Movimientos!$H:$H,A624))</f>
        <v>0</v>
      </c>
      <c r="K624" s="14" t="str">
        <f t="shared" ca="1" si="21"/>
        <v>OK</v>
      </c>
    </row>
    <row r="625" spans="1:11">
      <c r="A625" s="18" t="s">
        <v>2686</v>
      </c>
      <c r="B625" s="3" t="str">
        <f>IFERROR(INDEX(Movimientos!$C$5:$C$2001,MATCH(A625&amp;"ENTRADA",Movimientos!$R$5:$R$2001,0)),"-")</f>
        <v>-</v>
      </c>
      <c r="C625" s="3" t="str">
        <f>IFERROR(INDEX(Movimientos!$D$5:$D$2001,MATCH(A625&amp;"ENTRADA",Movimientos!$R$5:$R$2001,0)),"-")</f>
        <v>-</v>
      </c>
      <c r="D625" s="3" t="str">
        <f>IFERROR(INDEX(Movimientos!$E$5:$E$2001,MATCH(A625&amp;"ENTRADA",Movimientos!$R$5:$R$2001,0)),"-")</f>
        <v>-</v>
      </c>
      <c r="E625" s="3" t="str">
        <f>IFERROR(INDEX(Movimientos!$F$5:$F$2001,MATCH(A625&amp;"ENTRADA",Movimientos!$R$5:$R$2001,0)),"-")</f>
        <v>-</v>
      </c>
      <c r="F625" s="3" t="str">
        <f>IFERROR(INDEX(Movimientos!$G$5:$G$2001,MATCH(A625&amp;"ENTRADA",Movimientos!$R$5:$R$2001,0)),"-")</f>
        <v>-</v>
      </c>
      <c r="G625" s="3" t="str">
        <f>IFERROR(INDEX(Movimientos!$L$5:$L$2001,MATCH(A625&amp;"ENTRADA",Movimientos!$R$5:$R$2001,0)),"-")</f>
        <v>-</v>
      </c>
      <c r="H625" s="19" t="str">
        <f>IFERROR(IF(INDEX(Movimientos!$M$5:$M$2001,MATCH(A625&amp;"ENTRADA",Movimientos!$R$5:$R$2001,0))=0,"S/D",INDEX(Movimientos!$M$5:$M$2001,MATCH(A625&amp;"ENTRADA",Movimientos!$R$5:$R$2001,0))),"S/D")</f>
        <v>S/D</v>
      </c>
      <c r="I625" s="16" t="str">
        <f t="shared" ca="1" si="20"/>
        <v>S/D</v>
      </c>
      <c r="J625" s="6">
        <f>IF(A625="","",SUMIFS(Movimientos!$K:$K,Movimientos!$H:$H,A625))</f>
        <v>0</v>
      </c>
      <c r="K625" s="14" t="str">
        <f t="shared" ca="1" si="21"/>
        <v>OK</v>
      </c>
    </row>
    <row r="626" spans="1:11">
      <c r="A626" s="18" t="s">
        <v>2687</v>
      </c>
      <c r="B626" s="3" t="str">
        <f>IFERROR(INDEX(Movimientos!$C$5:$C$2001,MATCH(A626&amp;"ENTRADA",Movimientos!$R$5:$R$2001,0)),"-")</f>
        <v>-</v>
      </c>
      <c r="C626" s="3" t="str">
        <f>IFERROR(INDEX(Movimientos!$D$5:$D$2001,MATCH(A626&amp;"ENTRADA",Movimientos!$R$5:$R$2001,0)),"-")</f>
        <v>-</v>
      </c>
      <c r="D626" s="3" t="str">
        <f>IFERROR(INDEX(Movimientos!$E$5:$E$2001,MATCH(A626&amp;"ENTRADA",Movimientos!$R$5:$R$2001,0)),"-")</f>
        <v>-</v>
      </c>
      <c r="E626" s="3" t="str">
        <f>IFERROR(INDEX(Movimientos!$F$5:$F$2001,MATCH(A626&amp;"ENTRADA",Movimientos!$R$5:$R$2001,0)),"-")</f>
        <v>-</v>
      </c>
      <c r="F626" s="3" t="str">
        <f>IFERROR(INDEX(Movimientos!$G$5:$G$2001,MATCH(A626&amp;"ENTRADA",Movimientos!$R$5:$R$2001,0)),"-")</f>
        <v>-</v>
      </c>
      <c r="G626" s="3" t="str">
        <f>IFERROR(INDEX(Movimientos!$L$5:$L$2001,MATCH(A626&amp;"ENTRADA",Movimientos!$R$5:$R$2001,0)),"-")</f>
        <v>-</v>
      </c>
      <c r="H626" s="19" t="str">
        <f>IFERROR(IF(INDEX(Movimientos!$M$5:$M$2001,MATCH(A626&amp;"ENTRADA",Movimientos!$R$5:$R$2001,0))=0,"S/D",INDEX(Movimientos!$M$5:$M$2001,MATCH(A626&amp;"ENTRADA",Movimientos!$R$5:$R$2001,0))),"S/D")</f>
        <v>S/D</v>
      </c>
      <c r="I626" s="16" t="str">
        <f t="shared" ca="1" si="20"/>
        <v>S/D</v>
      </c>
      <c r="J626" s="6">
        <f>IF(A626="","",SUMIFS(Movimientos!$K:$K,Movimientos!$H:$H,A626))</f>
        <v>0</v>
      </c>
      <c r="K626" s="14" t="str">
        <f t="shared" ca="1" si="21"/>
        <v>OK</v>
      </c>
    </row>
    <row r="627" spans="1:11">
      <c r="A627" s="18" t="s">
        <v>2688</v>
      </c>
      <c r="B627" s="3" t="str">
        <f>IFERROR(INDEX(Movimientos!$C$5:$C$2001,MATCH(A627&amp;"ENTRADA",Movimientos!$R$5:$R$2001,0)),"-")</f>
        <v>-</v>
      </c>
      <c r="C627" s="3" t="str">
        <f>IFERROR(INDEX(Movimientos!$D$5:$D$2001,MATCH(A627&amp;"ENTRADA",Movimientos!$R$5:$R$2001,0)),"-")</f>
        <v>-</v>
      </c>
      <c r="D627" s="3" t="str">
        <f>IFERROR(INDEX(Movimientos!$E$5:$E$2001,MATCH(A627&amp;"ENTRADA",Movimientos!$R$5:$R$2001,0)),"-")</f>
        <v>-</v>
      </c>
      <c r="E627" s="3" t="str">
        <f>IFERROR(INDEX(Movimientos!$F$5:$F$2001,MATCH(A627&amp;"ENTRADA",Movimientos!$R$5:$R$2001,0)),"-")</f>
        <v>-</v>
      </c>
      <c r="F627" s="3" t="str">
        <f>IFERROR(INDEX(Movimientos!$G$5:$G$2001,MATCH(A627&amp;"ENTRADA",Movimientos!$R$5:$R$2001,0)),"-")</f>
        <v>-</v>
      </c>
      <c r="G627" s="3" t="str">
        <f>IFERROR(INDEX(Movimientos!$L$5:$L$2001,MATCH(A627&amp;"ENTRADA",Movimientos!$R$5:$R$2001,0)),"-")</f>
        <v>-</v>
      </c>
      <c r="H627" s="19" t="str">
        <f>IFERROR(IF(INDEX(Movimientos!$M$5:$M$2001,MATCH(A627&amp;"ENTRADA",Movimientos!$R$5:$R$2001,0))=0,"S/D",INDEX(Movimientos!$M$5:$M$2001,MATCH(A627&amp;"ENTRADA",Movimientos!$R$5:$R$2001,0))),"S/D")</f>
        <v>S/D</v>
      </c>
      <c r="I627" s="16" t="str">
        <f t="shared" ca="1" si="20"/>
        <v>S/D</v>
      </c>
      <c r="J627" s="6">
        <f>IF(A627="","",SUMIFS(Movimientos!$K:$K,Movimientos!$H:$H,A627))</f>
        <v>0</v>
      </c>
      <c r="K627" s="14" t="str">
        <f t="shared" ca="1" si="21"/>
        <v>OK</v>
      </c>
    </row>
    <row r="628" spans="1:11">
      <c r="A628" s="18" t="s">
        <v>2689</v>
      </c>
      <c r="B628" s="3" t="str">
        <f>IFERROR(INDEX(Movimientos!$C$5:$C$2001,MATCH(A628&amp;"ENTRADA",Movimientos!$R$5:$R$2001,0)),"-")</f>
        <v>-</v>
      </c>
      <c r="C628" s="3" t="str">
        <f>IFERROR(INDEX(Movimientos!$D$5:$D$2001,MATCH(A628&amp;"ENTRADA",Movimientos!$R$5:$R$2001,0)),"-")</f>
        <v>-</v>
      </c>
      <c r="D628" s="3" t="str">
        <f>IFERROR(INDEX(Movimientos!$E$5:$E$2001,MATCH(A628&amp;"ENTRADA",Movimientos!$R$5:$R$2001,0)),"-")</f>
        <v>-</v>
      </c>
      <c r="E628" s="3" t="str">
        <f>IFERROR(INDEX(Movimientos!$F$5:$F$2001,MATCH(A628&amp;"ENTRADA",Movimientos!$R$5:$R$2001,0)),"-")</f>
        <v>-</v>
      </c>
      <c r="F628" s="3" t="str">
        <f>IFERROR(INDEX(Movimientos!$G$5:$G$2001,MATCH(A628&amp;"ENTRADA",Movimientos!$R$5:$R$2001,0)),"-")</f>
        <v>-</v>
      </c>
      <c r="G628" s="3" t="str">
        <f>IFERROR(INDEX(Movimientos!$L$5:$L$2001,MATCH(A628&amp;"ENTRADA",Movimientos!$R$5:$R$2001,0)),"-")</f>
        <v>-</v>
      </c>
      <c r="H628" s="19" t="str">
        <f>IFERROR(IF(INDEX(Movimientos!$M$5:$M$2001,MATCH(A628&amp;"ENTRADA",Movimientos!$R$5:$R$2001,0))=0,"S/D",INDEX(Movimientos!$M$5:$M$2001,MATCH(A628&amp;"ENTRADA",Movimientos!$R$5:$R$2001,0))),"S/D")</f>
        <v>S/D</v>
      </c>
      <c r="I628" s="16" t="str">
        <f t="shared" ca="1" si="20"/>
        <v>S/D</v>
      </c>
      <c r="J628" s="6">
        <f>IF(A628="","",SUMIFS(Movimientos!$K:$K,Movimientos!$H:$H,A628))</f>
        <v>0</v>
      </c>
      <c r="K628" s="14" t="str">
        <f t="shared" ca="1" si="21"/>
        <v>OK</v>
      </c>
    </row>
    <row r="629" spans="1:11">
      <c r="A629" s="18" t="s">
        <v>2690</v>
      </c>
      <c r="B629" s="3" t="str">
        <f>IFERROR(INDEX(Movimientos!$C$5:$C$2001,MATCH(A629&amp;"ENTRADA",Movimientos!$R$5:$R$2001,0)),"-")</f>
        <v>-</v>
      </c>
      <c r="C629" s="3" t="str">
        <f>IFERROR(INDEX(Movimientos!$D$5:$D$2001,MATCH(A629&amp;"ENTRADA",Movimientos!$R$5:$R$2001,0)),"-")</f>
        <v>-</v>
      </c>
      <c r="D629" s="3" t="str">
        <f>IFERROR(INDEX(Movimientos!$E$5:$E$2001,MATCH(A629&amp;"ENTRADA",Movimientos!$R$5:$R$2001,0)),"-")</f>
        <v>-</v>
      </c>
      <c r="E629" s="3" t="str">
        <f>IFERROR(INDEX(Movimientos!$F$5:$F$2001,MATCH(A629&amp;"ENTRADA",Movimientos!$R$5:$R$2001,0)),"-")</f>
        <v>-</v>
      </c>
      <c r="F629" s="3" t="str">
        <f>IFERROR(INDEX(Movimientos!$G$5:$G$2001,MATCH(A629&amp;"ENTRADA",Movimientos!$R$5:$R$2001,0)),"-")</f>
        <v>-</v>
      </c>
      <c r="G629" s="3" t="str">
        <f>IFERROR(INDEX(Movimientos!$L$5:$L$2001,MATCH(A629&amp;"ENTRADA",Movimientos!$R$5:$R$2001,0)),"-")</f>
        <v>-</v>
      </c>
      <c r="H629" s="19" t="str">
        <f>IFERROR(IF(INDEX(Movimientos!$M$5:$M$2001,MATCH(A629&amp;"ENTRADA",Movimientos!$R$5:$R$2001,0))=0,"S/D",INDEX(Movimientos!$M$5:$M$2001,MATCH(A629&amp;"ENTRADA",Movimientos!$R$5:$R$2001,0))),"S/D")</f>
        <v>S/D</v>
      </c>
      <c r="I629" s="16" t="str">
        <f t="shared" ca="1" si="20"/>
        <v>S/D</v>
      </c>
      <c r="J629" s="6">
        <f>IF(A629="","",SUMIFS(Movimientos!$K:$K,Movimientos!$H:$H,A629))</f>
        <v>0</v>
      </c>
      <c r="K629" s="14" t="str">
        <f t="shared" ca="1" si="21"/>
        <v>OK</v>
      </c>
    </row>
    <row r="630" spans="1:11">
      <c r="A630" s="18" t="s">
        <v>2691</v>
      </c>
      <c r="B630" s="3" t="str">
        <f>IFERROR(INDEX(Movimientos!$C$5:$C$2001,MATCH(A630&amp;"ENTRADA",Movimientos!$R$5:$R$2001,0)),"-")</f>
        <v>-</v>
      </c>
      <c r="C630" s="3" t="str">
        <f>IFERROR(INDEX(Movimientos!$D$5:$D$2001,MATCH(A630&amp;"ENTRADA",Movimientos!$R$5:$R$2001,0)),"-")</f>
        <v>-</v>
      </c>
      <c r="D630" s="3" t="str">
        <f>IFERROR(INDEX(Movimientos!$E$5:$E$2001,MATCH(A630&amp;"ENTRADA",Movimientos!$R$5:$R$2001,0)),"-")</f>
        <v>-</v>
      </c>
      <c r="E630" s="3" t="str">
        <f>IFERROR(INDEX(Movimientos!$F$5:$F$2001,MATCH(A630&amp;"ENTRADA",Movimientos!$R$5:$R$2001,0)),"-")</f>
        <v>-</v>
      </c>
      <c r="F630" s="3" t="str">
        <f>IFERROR(INDEX(Movimientos!$G$5:$G$2001,MATCH(A630&amp;"ENTRADA",Movimientos!$R$5:$R$2001,0)),"-")</f>
        <v>-</v>
      </c>
      <c r="G630" s="3" t="str">
        <f>IFERROR(INDEX(Movimientos!$L$5:$L$2001,MATCH(A630&amp;"ENTRADA",Movimientos!$R$5:$R$2001,0)),"-")</f>
        <v>-</v>
      </c>
      <c r="H630" s="19" t="str">
        <f>IFERROR(IF(INDEX(Movimientos!$M$5:$M$2001,MATCH(A630&amp;"ENTRADA",Movimientos!$R$5:$R$2001,0))=0,"S/D",INDEX(Movimientos!$M$5:$M$2001,MATCH(A630&amp;"ENTRADA",Movimientos!$R$5:$R$2001,0))),"S/D")</f>
        <v>S/D</v>
      </c>
      <c r="I630" s="16" t="str">
        <f t="shared" ca="1" si="20"/>
        <v>S/D</v>
      </c>
      <c r="J630" s="6">
        <f>IF(A630="","",SUMIFS(Movimientos!$K:$K,Movimientos!$H:$H,A630))</f>
        <v>0</v>
      </c>
      <c r="K630" s="14" t="str">
        <f t="shared" ca="1" si="21"/>
        <v>OK</v>
      </c>
    </row>
    <row r="631" spans="1:11">
      <c r="A631" s="18" t="s">
        <v>2692</v>
      </c>
      <c r="B631" s="3" t="str">
        <f>IFERROR(INDEX(Movimientos!$C$5:$C$2001,MATCH(A631&amp;"ENTRADA",Movimientos!$R$5:$R$2001,0)),"-")</f>
        <v>-</v>
      </c>
      <c r="C631" s="3" t="str">
        <f>IFERROR(INDEX(Movimientos!$D$5:$D$2001,MATCH(A631&amp;"ENTRADA",Movimientos!$R$5:$R$2001,0)),"-")</f>
        <v>-</v>
      </c>
      <c r="D631" s="3" t="str">
        <f>IFERROR(INDEX(Movimientos!$E$5:$E$2001,MATCH(A631&amp;"ENTRADA",Movimientos!$R$5:$R$2001,0)),"-")</f>
        <v>-</v>
      </c>
      <c r="E631" s="3" t="str">
        <f>IFERROR(INDEX(Movimientos!$F$5:$F$2001,MATCH(A631&amp;"ENTRADA",Movimientos!$R$5:$R$2001,0)),"-")</f>
        <v>-</v>
      </c>
      <c r="F631" s="3" t="str">
        <f>IFERROR(INDEX(Movimientos!$G$5:$G$2001,MATCH(A631&amp;"ENTRADA",Movimientos!$R$5:$R$2001,0)),"-")</f>
        <v>-</v>
      </c>
      <c r="G631" s="3" t="str">
        <f>IFERROR(INDEX(Movimientos!$L$5:$L$2001,MATCH(A631&amp;"ENTRADA",Movimientos!$R$5:$R$2001,0)),"-")</f>
        <v>-</v>
      </c>
      <c r="H631" s="19" t="str">
        <f>IFERROR(IF(INDEX(Movimientos!$M$5:$M$2001,MATCH(A631&amp;"ENTRADA",Movimientos!$R$5:$R$2001,0))=0,"S/D",INDEX(Movimientos!$M$5:$M$2001,MATCH(A631&amp;"ENTRADA",Movimientos!$R$5:$R$2001,0))),"S/D")</f>
        <v>S/D</v>
      </c>
      <c r="I631" s="16" t="str">
        <f t="shared" ca="1" si="20"/>
        <v>S/D</v>
      </c>
      <c r="J631" s="6">
        <f>IF(A631="","",SUMIFS(Movimientos!$K:$K,Movimientos!$H:$H,A631))</f>
        <v>0</v>
      </c>
      <c r="K631" s="14" t="str">
        <f t="shared" ca="1" si="21"/>
        <v>OK</v>
      </c>
    </row>
    <row r="632" spans="1:11">
      <c r="A632" s="18" t="s">
        <v>2693</v>
      </c>
      <c r="B632" s="3" t="str">
        <f>IFERROR(INDEX(Movimientos!$C$5:$C$2001,MATCH(A632&amp;"ENTRADA",Movimientos!$R$5:$R$2001,0)),"-")</f>
        <v>-</v>
      </c>
      <c r="C632" s="3" t="str">
        <f>IFERROR(INDEX(Movimientos!$D$5:$D$2001,MATCH(A632&amp;"ENTRADA",Movimientos!$R$5:$R$2001,0)),"-")</f>
        <v>-</v>
      </c>
      <c r="D632" s="3" t="str">
        <f>IFERROR(INDEX(Movimientos!$E$5:$E$2001,MATCH(A632&amp;"ENTRADA",Movimientos!$R$5:$R$2001,0)),"-")</f>
        <v>-</v>
      </c>
      <c r="E632" s="3" t="str">
        <f>IFERROR(INDEX(Movimientos!$F$5:$F$2001,MATCH(A632&amp;"ENTRADA",Movimientos!$R$5:$R$2001,0)),"-")</f>
        <v>-</v>
      </c>
      <c r="F632" s="3" t="str">
        <f>IFERROR(INDEX(Movimientos!$G$5:$G$2001,MATCH(A632&amp;"ENTRADA",Movimientos!$R$5:$R$2001,0)),"-")</f>
        <v>-</v>
      </c>
      <c r="G632" s="3" t="str">
        <f>IFERROR(INDEX(Movimientos!$L$5:$L$2001,MATCH(A632&amp;"ENTRADA",Movimientos!$R$5:$R$2001,0)),"-")</f>
        <v>-</v>
      </c>
      <c r="H632" s="19" t="str">
        <f>IFERROR(IF(INDEX(Movimientos!$M$5:$M$2001,MATCH(A632&amp;"ENTRADA",Movimientos!$R$5:$R$2001,0))=0,"S/D",INDEX(Movimientos!$M$5:$M$2001,MATCH(A632&amp;"ENTRADA",Movimientos!$R$5:$R$2001,0))),"S/D")</f>
        <v>S/D</v>
      </c>
      <c r="I632" s="16" t="str">
        <f t="shared" ca="1" si="20"/>
        <v>S/D</v>
      </c>
      <c r="J632" s="6">
        <f>IF(A632="","",SUMIFS(Movimientos!$K:$K,Movimientos!$H:$H,A632))</f>
        <v>0</v>
      </c>
      <c r="K632" s="14" t="str">
        <f t="shared" ca="1" si="21"/>
        <v>OK</v>
      </c>
    </row>
    <row r="633" spans="1:11">
      <c r="A633" s="18" t="s">
        <v>2694</v>
      </c>
      <c r="B633" s="3" t="str">
        <f>IFERROR(INDEX(Movimientos!$C$5:$C$2001,MATCH(A633&amp;"ENTRADA",Movimientos!$R$5:$R$2001,0)),"-")</f>
        <v>-</v>
      </c>
      <c r="C633" s="3" t="str">
        <f>IFERROR(INDEX(Movimientos!$D$5:$D$2001,MATCH(A633&amp;"ENTRADA",Movimientos!$R$5:$R$2001,0)),"-")</f>
        <v>-</v>
      </c>
      <c r="D633" s="3" t="str">
        <f>IFERROR(INDEX(Movimientos!$E$5:$E$2001,MATCH(A633&amp;"ENTRADA",Movimientos!$R$5:$R$2001,0)),"-")</f>
        <v>-</v>
      </c>
      <c r="E633" s="3" t="str">
        <f>IFERROR(INDEX(Movimientos!$F$5:$F$2001,MATCH(A633&amp;"ENTRADA",Movimientos!$R$5:$R$2001,0)),"-")</f>
        <v>-</v>
      </c>
      <c r="F633" s="3" t="str">
        <f>IFERROR(INDEX(Movimientos!$G$5:$G$2001,MATCH(A633&amp;"ENTRADA",Movimientos!$R$5:$R$2001,0)),"-")</f>
        <v>-</v>
      </c>
      <c r="G633" s="3" t="str">
        <f>IFERROR(INDEX(Movimientos!$L$5:$L$2001,MATCH(A633&amp;"ENTRADA",Movimientos!$R$5:$R$2001,0)),"-")</f>
        <v>-</v>
      </c>
      <c r="H633" s="19" t="str">
        <f>IFERROR(IF(INDEX(Movimientos!$M$5:$M$2001,MATCH(A633&amp;"ENTRADA",Movimientos!$R$5:$R$2001,0))=0,"S/D",INDEX(Movimientos!$M$5:$M$2001,MATCH(A633&amp;"ENTRADA",Movimientos!$R$5:$R$2001,0))),"S/D")</f>
        <v>S/D</v>
      </c>
      <c r="I633" s="16" t="str">
        <f t="shared" ca="1" si="20"/>
        <v>S/D</v>
      </c>
      <c r="J633" s="6">
        <f>IF(A633="","",SUMIFS(Movimientos!$K:$K,Movimientos!$H:$H,A633))</f>
        <v>0</v>
      </c>
      <c r="K633" s="14" t="str">
        <f t="shared" ca="1" si="21"/>
        <v>OK</v>
      </c>
    </row>
    <row r="634" spans="1:11">
      <c r="A634" s="18" t="s">
        <v>2695</v>
      </c>
      <c r="B634" s="3" t="str">
        <f>IFERROR(INDEX(Movimientos!$C$5:$C$2001,MATCH(A634&amp;"ENTRADA",Movimientos!$R$5:$R$2001,0)),"-")</f>
        <v>-</v>
      </c>
      <c r="C634" s="3" t="str">
        <f>IFERROR(INDEX(Movimientos!$D$5:$D$2001,MATCH(A634&amp;"ENTRADA",Movimientos!$R$5:$R$2001,0)),"-")</f>
        <v>-</v>
      </c>
      <c r="D634" s="3" t="str">
        <f>IFERROR(INDEX(Movimientos!$E$5:$E$2001,MATCH(A634&amp;"ENTRADA",Movimientos!$R$5:$R$2001,0)),"-")</f>
        <v>-</v>
      </c>
      <c r="E634" s="3" t="str">
        <f>IFERROR(INDEX(Movimientos!$F$5:$F$2001,MATCH(A634&amp;"ENTRADA",Movimientos!$R$5:$R$2001,0)),"-")</f>
        <v>-</v>
      </c>
      <c r="F634" s="3" t="str">
        <f>IFERROR(INDEX(Movimientos!$G$5:$G$2001,MATCH(A634&amp;"ENTRADA",Movimientos!$R$5:$R$2001,0)),"-")</f>
        <v>-</v>
      </c>
      <c r="G634" s="3" t="str">
        <f>IFERROR(INDEX(Movimientos!$L$5:$L$2001,MATCH(A634&amp;"ENTRADA",Movimientos!$R$5:$R$2001,0)),"-")</f>
        <v>-</v>
      </c>
      <c r="H634" s="19" t="str">
        <f>IFERROR(IF(INDEX(Movimientos!$M$5:$M$2001,MATCH(A634&amp;"ENTRADA",Movimientos!$R$5:$R$2001,0))=0,"S/D",INDEX(Movimientos!$M$5:$M$2001,MATCH(A634&amp;"ENTRADA",Movimientos!$R$5:$R$2001,0))),"S/D")</f>
        <v>S/D</v>
      </c>
      <c r="I634" s="16" t="str">
        <f t="shared" ca="1" si="20"/>
        <v>S/D</v>
      </c>
      <c r="J634" s="6">
        <f>IF(A634="","",SUMIFS(Movimientos!$K:$K,Movimientos!$H:$H,A634))</f>
        <v>0</v>
      </c>
      <c r="K634" s="14" t="str">
        <f t="shared" ca="1" si="21"/>
        <v>OK</v>
      </c>
    </row>
    <row r="635" spans="1:11">
      <c r="A635" s="18" t="s">
        <v>2696</v>
      </c>
      <c r="B635" s="3" t="str">
        <f>IFERROR(INDEX(Movimientos!$C$5:$C$2001,MATCH(A635&amp;"ENTRADA",Movimientos!$R$5:$R$2001,0)),"-")</f>
        <v>-</v>
      </c>
      <c r="C635" s="3" t="str">
        <f>IFERROR(INDEX(Movimientos!$D$5:$D$2001,MATCH(A635&amp;"ENTRADA",Movimientos!$R$5:$R$2001,0)),"-")</f>
        <v>-</v>
      </c>
      <c r="D635" s="3" t="str">
        <f>IFERROR(INDEX(Movimientos!$E$5:$E$2001,MATCH(A635&amp;"ENTRADA",Movimientos!$R$5:$R$2001,0)),"-")</f>
        <v>-</v>
      </c>
      <c r="E635" s="3" t="str">
        <f>IFERROR(INDEX(Movimientos!$F$5:$F$2001,MATCH(A635&amp;"ENTRADA",Movimientos!$R$5:$R$2001,0)),"-")</f>
        <v>-</v>
      </c>
      <c r="F635" s="3" t="str">
        <f>IFERROR(INDEX(Movimientos!$G$5:$G$2001,MATCH(A635&amp;"ENTRADA",Movimientos!$R$5:$R$2001,0)),"-")</f>
        <v>-</v>
      </c>
      <c r="G635" s="3" t="str">
        <f>IFERROR(INDEX(Movimientos!$L$5:$L$2001,MATCH(A635&amp;"ENTRADA",Movimientos!$R$5:$R$2001,0)),"-")</f>
        <v>-</v>
      </c>
      <c r="H635" s="19" t="str">
        <f>IFERROR(IF(INDEX(Movimientos!$M$5:$M$2001,MATCH(A635&amp;"ENTRADA",Movimientos!$R$5:$R$2001,0))=0,"S/D",INDEX(Movimientos!$M$5:$M$2001,MATCH(A635&amp;"ENTRADA",Movimientos!$R$5:$R$2001,0))),"S/D")</f>
        <v>S/D</v>
      </c>
      <c r="I635" s="16" t="str">
        <f t="shared" ca="1" si="20"/>
        <v>S/D</v>
      </c>
      <c r="J635" s="6">
        <f>IF(A635="","",SUMIFS(Movimientos!$K:$K,Movimientos!$H:$H,A635))</f>
        <v>0</v>
      </c>
      <c r="K635" s="14" t="str">
        <f t="shared" ca="1" si="21"/>
        <v>OK</v>
      </c>
    </row>
    <row r="636" spans="1:11">
      <c r="A636" s="18" t="s">
        <v>2697</v>
      </c>
      <c r="B636" s="3" t="str">
        <f>IFERROR(INDEX(Movimientos!$C$5:$C$2001,MATCH(A636&amp;"ENTRADA",Movimientos!$R$5:$R$2001,0)),"-")</f>
        <v>-</v>
      </c>
      <c r="C636" s="3" t="str">
        <f>IFERROR(INDEX(Movimientos!$D$5:$D$2001,MATCH(A636&amp;"ENTRADA",Movimientos!$R$5:$R$2001,0)),"-")</f>
        <v>-</v>
      </c>
      <c r="D636" s="3" t="str">
        <f>IFERROR(INDEX(Movimientos!$E$5:$E$2001,MATCH(A636&amp;"ENTRADA",Movimientos!$R$5:$R$2001,0)),"-")</f>
        <v>-</v>
      </c>
      <c r="E636" s="3" t="str">
        <f>IFERROR(INDEX(Movimientos!$F$5:$F$2001,MATCH(A636&amp;"ENTRADA",Movimientos!$R$5:$R$2001,0)),"-")</f>
        <v>-</v>
      </c>
      <c r="F636" s="3" t="str">
        <f>IFERROR(INDEX(Movimientos!$G$5:$G$2001,MATCH(A636&amp;"ENTRADA",Movimientos!$R$5:$R$2001,0)),"-")</f>
        <v>-</v>
      </c>
      <c r="G636" s="3" t="str">
        <f>IFERROR(INDEX(Movimientos!$L$5:$L$2001,MATCH(A636&amp;"ENTRADA",Movimientos!$R$5:$R$2001,0)),"-")</f>
        <v>-</v>
      </c>
      <c r="H636" s="19" t="str">
        <f>IFERROR(IF(INDEX(Movimientos!$M$5:$M$2001,MATCH(A636&amp;"ENTRADA",Movimientos!$R$5:$R$2001,0))=0,"S/D",INDEX(Movimientos!$M$5:$M$2001,MATCH(A636&amp;"ENTRADA",Movimientos!$R$5:$R$2001,0))),"S/D")</f>
        <v>S/D</v>
      </c>
      <c r="I636" s="16" t="str">
        <f t="shared" ca="1" si="20"/>
        <v>S/D</v>
      </c>
      <c r="J636" s="6">
        <f>IF(A636="","",SUMIFS(Movimientos!$K:$K,Movimientos!$H:$H,A636))</f>
        <v>0</v>
      </c>
      <c r="K636" s="14" t="str">
        <f t="shared" ca="1" si="21"/>
        <v>OK</v>
      </c>
    </row>
    <row r="637" spans="1:11">
      <c r="A637" s="18" t="s">
        <v>2698</v>
      </c>
      <c r="B637" s="3" t="str">
        <f>IFERROR(INDEX(Movimientos!$C$5:$C$2001,MATCH(A637&amp;"ENTRADA",Movimientos!$R$5:$R$2001,0)),"-")</f>
        <v>-</v>
      </c>
      <c r="C637" s="3" t="str">
        <f>IFERROR(INDEX(Movimientos!$D$5:$D$2001,MATCH(A637&amp;"ENTRADA",Movimientos!$R$5:$R$2001,0)),"-")</f>
        <v>-</v>
      </c>
      <c r="D637" s="3" t="str">
        <f>IFERROR(INDEX(Movimientos!$E$5:$E$2001,MATCH(A637&amp;"ENTRADA",Movimientos!$R$5:$R$2001,0)),"-")</f>
        <v>-</v>
      </c>
      <c r="E637" s="3" t="str">
        <f>IFERROR(INDEX(Movimientos!$F$5:$F$2001,MATCH(A637&amp;"ENTRADA",Movimientos!$R$5:$R$2001,0)),"-")</f>
        <v>-</v>
      </c>
      <c r="F637" s="3" t="str">
        <f>IFERROR(INDEX(Movimientos!$G$5:$G$2001,MATCH(A637&amp;"ENTRADA",Movimientos!$R$5:$R$2001,0)),"-")</f>
        <v>-</v>
      </c>
      <c r="G637" s="3" t="str">
        <f>IFERROR(INDEX(Movimientos!$L$5:$L$2001,MATCH(A637&amp;"ENTRADA",Movimientos!$R$5:$R$2001,0)),"-")</f>
        <v>-</v>
      </c>
      <c r="H637" s="19" t="str">
        <f>IFERROR(IF(INDEX(Movimientos!$M$5:$M$2001,MATCH(A637&amp;"ENTRADA",Movimientos!$R$5:$R$2001,0))=0,"S/D",INDEX(Movimientos!$M$5:$M$2001,MATCH(A637&amp;"ENTRADA",Movimientos!$R$5:$R$2001,0))),"S/D")</f>
        <v>S/D</v>
      </c>
      <c r="I637" s="16" t="str">
        <f t="shared" ca="1" si="20"/>
        <v>S/D</v>
      </c>
      <c r="J637" s="6">
        <f>IF(A637="","",SUMIFS(Movimientos!$K:$K,Movimientos!$H:$H,A637))</f>
        <v>0</v>
      </c>
      <c r="K637" s="14" t="str">
        <f t="shared" ca="1" si="21"/>
        <v>OK</v>
      </c>
    </row>
    <row r="638" spans="1:11">
      <c r="A638" s="18" t="s">
        <v>2699</v>
      </c>
      <c r="B638" s="3" t="str">
        <f>IFERROR(INDEX(Movimientos!$C$5:$C$2001,MATCH(A638&amp;"ENTRADA",Movimientos!$R$5:$R$2001,0)),"-")</f>
        <v>-</v>
      </c>
      <c r="C638" s="3" t="str">
        <f>IFERROR(INDEX(Movimientos!$D$5:$D$2001,MATCH(A638&amp;"ENTRADA",Movimientos!$R$5:$R$2001,0)),"-")</f>
        <v>-</v>
      </c>
      <c r="D638" s="3" t="str">
        <f>IFERROR(INDEX(Movimientos!$E$5:$E$2001,MATCH(A638&amp;"ENTRADA",Movimientos!$R$5:$R$2001,0)),"-")</f>
        <v>-</v>
      </c>
      <c r="E638" s="3" t="str">
        <f>IFERROR(INDEX(Movimientos!$F$5:$F$2001,MATCH(A638&amp;"ENTRADA",Movimientos!$R$5:$R$2001,0)),"-")</f>
        <v>-</v>
      </c>
      <c r="F638" s="3" t="str">
        <f>IFERROR(INDEX(Movimientos!$G$5:$G$2001,MATCH(A638&amp;"ENTRADA",Movimientos!$R$5:$R$2001,0)),"-")</f>
        <v>-</v>
      </c>
      <c r="G638" s="3" t="str">
        <f>IFERROR(INDEX(Movimientos!$L$5:$L$2001,MATCH(A638&amp;"ENTRADA",Movimientos!$R$5:$R$2001,0)),"-")</f>
        <v>-</v>
      </c>
      <c r="H638" s="19" t="str">
        <f>IFERROR(IF(INDEX(Movimientos!$M$5:$M$2001,MATCH(A638&amp;"ENTRADA",Movimientos!$R$5:$R$2001,0))=0,"S/D",INDEX(Movimientos!$M$5:$M$2001,MATCH(A638&amp;"ENTRADA",Movimientos!$R$5:$R$2001,0))),"S/D")</f>
        <v>S/D</v>
      </c>
      <c r="I638" s="16" t="str">
        <f t="shared" ca="1" si="20"/>
        <v>S/D</v>
      </c>
      <c r="J638" s="6">
        <f>IF(A638="","",SUMIFS(Movimientos!$K:$K,Movimientos!$H:$H,A638))</f>
        <v>0</v>
      </c>
      <c r="K638" s="14" t="str">
        <f t="shared" ca="1" si="21"/>
        <v>OK</v>
      </c>
    </row>
    <row r="639" spans="1:11">
      <c r="A639" s="18" t="s">
        <v>2700</v>
      </c>
      <c r="B639" s="3" t="str">
        <f>IFERROR(INDEX(Movimientos!$C$5:$C$2001,MATCH(A639&amp;"ENTRADA",Movimientos!$R$5:$R$2001,0)),"-")</f>
        <v>-</v>
      </c>
      <c r="C639" s="3" t="str">
        <f>IFERROR(INDEX(Movimientos!$D$5:$D$2001,MATCH(A639&amp;"ENTRADA",Movimientos!$R$5:$R$2001,0)),"-")</f>
        <v>-</v>
      </c>
      <c r="D639" s="3" t="str">
        <f>IFERROR(INDEX(Movimientos!$E$5:$E$2001,MATCH(A639&amp;"ENTRADA",Movimientos!$R$5:$R$2001,0)),"-")</f>
        <v>-</v>
      </c>
      <c r="E639" s="3" t="str">
        <f>IFERROR(INDEX(Movimientos!$F$5:$F$2001,MATCH(A639&amp;"ENTRADA",Movimientos!$R$5:$R$2001,0)),"-")</f>
        <v>-</v>
      </c>
      <c r="F639" s="3" t="str">
        <f>IFERROR(INDEX(Movimientos!$G$5:$G$2001,MATCH(A639&amp;"ENTRADA",Movimientos!$R$5:$R$2001,0)),"-")</f>
        <v>-</v>
      </c>
      <c r="G639" s="3" t="str">
        <f>IFERROR(INDEX(Movimientos!$L$5:$L$2001,MATCH(A639&amp;"ENTRADA",Movimientos!$R$5:$R$2001,0)),"-")</f>
        <v>-</v>
      </c>
      <c r="H639" s="19" t="str">
        <f>IFERROR(IF(INDEX(Movimientos!$M$5:$M$2001,MATCH(A639&amp;"ENTRADA",Movimientos!$R$5:$R$2001,0))=0,"S/D",INDEX(Movimientos!$M$5:$M$2001,MATCH(A639&amp;"ENTRADA",Movimientos!$R$5:$R$2001,0))),"S/D")</f>
        <v>S/D</v>
      </c>
      <c r="I639" s="16" t="str">
        <f t="shared" ca="1" si="20"/>
        <v>S/D</v>
      </c>
      <c r="J639" s="6">
        <f>IF(A639="","",SUMIFS(Movimientos!$K:$K,Movimientos!$H:$H,A639))</f>
        <v>0</v>
      </c>
      <c r="K639" s="14" t="str">
        <f t="shared" ca="1" si="21"/>
        <v>OK</v>
      </c>
    </row>
    <row r="640" spans="1:11">
      <c r="A640" s="18" t="s">
        <v>2701</v>
      </c>
      <c r="B640" s="3" t="str">
        <f>IFERROR(INDEX(Movimientos!$C$5:$C$2001,MATCH(A640&amp;"ENTRADA",Movimientos!$R$5:$R$2001,0)),"-")</f>
        <v>-</v>
      </c>
      <c r="C640" s="3" t="str">
        <f>IFERROR(INDEX(Movimientos!$D$5:$D$2001,MATCH(A640&amp;"ENTRADA",Movimientos!$R$5:$R$2001,0)),"-")</f>
        <v>-</v>
      </c>
      <c r="D640" s="3" t="str">
        <f>IFERROR(INDEX(Movimientos!$E$5:$E$2001,MATCH(A640&amp;"ENTRADA",Movimientos!$R$5:$R$2001,0)),"-")</f>
        <v>-</v>
      </c>
      <c r="E640" s="3" t="str">
        <f>IFERROR(INDEX(Movimientos!$F$5:$F$2001,MATCH(A640&amp;"ENTRADA",Movimientos!$R$5:$R$2001,0)),"-")</f>
        <v>-</v>
      </c>
      <c r="F640" s="3" t="str">
        <f>IFERROR(INDEX(Movimientos!$G$5:$G$2001,MATCH(A640&amp;"ENTRADA",Movimientos!$R$5:$R$2001,0)),"-")</f>
        <v>-</v>
      </c>
      <c r="G640" s="3" t="str">
        <f>IFERROR(INDEX(Movimientos!$L$5:$L$2001,MATCH(A640&amp;"ENTRADA",Movimientos!$R$5:$R$2001,0)),"-")</f>
        <v>-</v>
      </c>
      <c r="H640" s="19" t="str">
        <f>IFERROR(IF(INDEX(Movimientos!$M$5:$M$2001,MATCH(A640&amp;"ENTRADA",Movimientos!$R$5:$R$2001,0))=0,"S/D",INDEX(Movimientos!$M$5:$M$2001,MATCH(A640&amp;"ENTRADA",Movimientos!$R$5:$R$2001,0))),"S/D")</f>
        <v>S/D</v>
      </c>
      <c r="I640" s="16" t="str">
        <f t="shared" ca="1" si="20"/>
        <v>S/D</v>
      </c>
      <c r="J640" s="6">
        <f>IF(A640="","",SUMIFS(Movimientos!$K:$K,Movimientos!$H:$H,A640))</f>
        <v>0</v>
      </c>
      <c r="K640" s="14" t="str">
        <f t="shared" ca="1" si="21"/>
        <v>OK</v>
      </c>
    </row>
    <row r="641" spans="1:11">
      <c r="A641" s="18" t="s">
        <v>2702</v>
      </c>
      <c r="B641" s="3" t="str">
        <f>IFERROR(INDEX(Movimientos!$C$5:$C$2001,MATCH(A641&amp;"ENTRADA",Movimientos!$R$5:$R$2001,0)),"-")</f>
        <v>-</v>
      </c>
      <c r="C641" s="3" t="str">
        <f>IFERROR(INDEX(Movimientos!$D$5:$D$2001,MATCH(A641&amp;"ENTRADA",Movimientos!$R$5:$R$2001,0)),"-")</f>
        <v>-</v>
      </c>
      <c r="D641" s="3" t="str">
        <f>IFERROR(INDEX(Movimientos!$E$5:$E$2001,MATCH(A641&amp;"ENTRADA",Movimientos!$R$5:$R$2001,0)),"-")</f>
        <v>-</v>
      </c>
      <c r="E641" s="3" t="str">
        <f>IFERROR(INDEX(Movimientos!$F$5:$F$2001,MATCH(A641&amp;"ENTRADA",Movimientos!$R$5:$R$2001,0)),"-")</f>
        <v>-</v>
      </c>
      <c r="F641" s="3" t="str">
        <f>IFERROR(INDEX(Movimientos!$G$5:$G$2001,MATCH(A641&amp;"ENTRADA",Movimientos!$R$5:$R$2001,0)),"-")</f>
        <v>-</v>
      </c>
      <c r="G641" s="3" t="str">
        <f>IFERROR(INDEX(Movimientos!$L$5:$L$2001,MATCH(A641&amp;"ENTRADA",Movimientos!$R$5:$R$2001,0)),"-")</f>
        <v>-</v>
      </c>
      <c r="H641" s="19" t="str">
        <f>IFERROR(IF(INDEX(Movimientos!$M$5:$M$2001,MATCH(A641&amp;"ENTRADA",Movimientos!$R$5:$R$2001,0))=0,"S/D",INDEX(Movimientos!$M$5:$M$2001,MATCH(A641&amp;"ENTRADA",Movimientos!$R$5:$R$2001,0))),"S/D")</f>
        <v>S/D</v>
      </c>
      <c r="I641" s="16" t="str">
        <f t="shared" ca="1" si="20"/>
        <v>S/D</v>
      </c>
      <c r="J641" s="6">
        <f>IF(A641="","",SUMIFS(Movimientos!$K:$K,Movimientos!$H:$H,A641))</f>
        <v>0</v>
      </c>
      <c r="K641" s="14" t="str">
        <f t="shared" ca="1" si="21"/>
        <v>OK</v>
      </c>
    </row>
    <row r="642" spans="1:11">
      <c r="A642" s="18" t="s">
        <v>2703</v>
      </c>
      <c r="B642" s="3" t="str">
        <f>IFERROR(INDEX(Movimientos!$C$5:$C$2001,MATCH(A642&amp;"ENTRADA",Movimientos!$R$5:$R$2001,0)),"-")</f>
        <v>-</v>
      </c>
      <c r="C642" s="3" t="str">
        <f>IFERROR(INDEX(Movimientos!$D$5:$D$2001,MATCH(A642&amp;"ENTRADA",Movimientos!$R$5:$R$2001,0)),"-")</f>
        <v>-</v>
      </c>
      <c r="D642" s="3" t="str">
        <f>IFERROR(INDEX(Movimientos!$E$5:$E$2001,MATCH(A642&amp;"ENTRADA",Movimientos!$R$5:$R$2001,0)),"-")</f>
        <v>-</v>
      </c>
      <c r="E642" s="3" t="str">
        <f>IFERROR(INDEX(Movimientos!$F$5:$F$2001,MATCH(A642&amp;"ENTRADA",Movimientos!$R$5:$R$2001,0)),"-")</f>
        <v>-</v>
      </c>
      <c r="F642" s="3" t="str">
        <f>IFERROR(INDEX(Movimientos!$G$5:$G$2001,MATCH(A642&amp;"ENTRADA",Movimientos!$R$5:$R$2001,0)),"-")</f>
        <v>-</v>
      </c>
      <c r="G642" s="3" t="str">
        <f>IFERROR(INDEX(Movimientos!$L$5:$L$2001,MATCH(A642&amp;"ENTRADA",Movimientos!$R$5:$R$2001,0)),"-")</f>
        <v>-</v>
      </c>
      <c r="H642" s="19" t="str">
        <f>IFERROR(IF(INDEX(Movimientos!$M$5:$M$2001,MATCH(A642&amp;"ENTRADA",Movimientos!$R$5:$R$2001,0))=0,"S/D",INDEX(Movimientos!$M$5:$M$2001,MATCH(A642&amp;"ENTRADA",Movimientos!$R$5:$R$2001,0))),"S/D")</f>
        <v>S/D</v>
      </c>
      <c r="I642" s="16" t="str">
        <f t="shared" ca="1" si="20"/>
        <v>S/D</v>
      </c>
      <c r="J642" s="6">
        <f>IF(A642="","",SUMIFS(Movimientos!$K:$K,Movimientos!$H:$H,A642))</f>
        <v>0</v>
      </c>
      <c r="K642" s="14" t="str">
        <f t="shared" ca="1" si="21"/>
        <v>OK</v>
      </c>
    </row>
    <row r="643" spans="1:11">
      <c r="A643" s="18" t="s">
        <v>2704</v>
      </c>
      <c r="B643" s="3" t="str">
        <f>IFERROR(INDEX(Movimientos!$C$5:$C$2001,MATCH(A643&amp;"ENTRADA",Movimientos!$R$5:$R$2001,0)),"-")</f>
        <v>-</v>
      </c>
      <c r="C643" s="3" t="str">
        <f>IFERROR(INDEX(Movimientos!$D$5:$D$2001,MATCH(A643&amp;"ENTRADA",Movimientos!$R$5:$R$2001,0)),"-")</f>
        <v>-</v>
      </c>
      <c r="D643" s="3" t="str">
        <f>IFERROR(INDEX(Movimientos!$E$5:$E$2001,MATCH(A643&amp;"ENTRADA",Movimientos!$R$5:$R$2001,0)),"-")</f>
        <v>-</v>
      </c>
      <c r="E643" s="3" t="str">
        <f>IFERROR(INDEX(Movimientos!$F$5:$F$2001,MATCH(A643&amp;"ENTRADA",Movimientos!$R$5:$R$2001,0)),"-")</f>
        <v>-</v>
      </c>
      <c r="F643" s="3" t="str">
        <f>IFERROR(INDEX(Movimientos!$G$5:$G$2001,MATCH(A643&amp;"ENTRADA",Movimientos!$R$5:$R$2001,0)),"-")</f>
        <v>-</v>
      </c>
      <c r="G643" s="3" t="str">
        <f>IFERROR(INDEX(Movimientos!$L$5:$L$2001,MATCH(A643&amp;"ENTRADA",Movimientos!$R$5:$R$2001,0)),"-")</f>
        <v>-</v>
      </c>
      <c r="H643" s="19" t="str">
        <f>IFERROR(IF(INDEX(Movimientos!$M$5:$M$2001,MATCH(A643&amp;"ENTRADA",Movimientos!$R$5:$R$2001,0))=0,"S/D",INDEX(Movimientos!$M$5:$M$2001,MATCH(A643&amp;"ENTRADA",Movimientos!$R$5:$R$2001,0))),"S/D")</f>
        <v>S/D</v>
      </c>
      <c r="I643" s="16" t="str">
        <f t="shared" ca="1" si="20"/>
        <v>S/D</v>
      </c>
      <c r="J643" s="6">
        <f>IF(A643="","",SUMIFS(Movimientos!$K:$K,Movimientos!$H:$H,A643))</f>
        <v>0</v>
      </c>
      <c r="K643" s="14" t="str">
        <f t="shared" ca="1" si="21"/>
        <v>OK</v>
      </c>
    </row>
    <row r="644" spans="1:11">
      <c r="A644" s="18" t="s">
        <v>2705</v>
      </c>
      <c r="B644" s="3" t="str">
        <f>IFERROR(INDEX(Movimientos!$C$5:$C$2001,MATCH(A644&amp;"ENTRADA",Movimientos!$R$5:$R$2001,0)),"-")</f>
        <v>-</v>
      </c>
      <c r="C644" s="3" t="str">
        <f>IFERROR(INDEX(Movimientos!$D$5:$D$2001,MATCH(A644&amp;"ENTRADA",Movimientos!$R$5:$R$2001,0)),"-")</f>
        <v>-</v>
      </c>
      <c r="D644" s="3" t="str">
        <f>IFERROR(INDEX(Movimientos!$E$5:$E$2001,MATCH(A644&amp;"ENTRADA",Movimientos!$R$5:$R$2001,0)),"-")</f>
        <v>-</v>
      </c>
      <c r="E644" s="3" t="str">
        <f>IFERROR(INDEX(Movimientos!$F$5:$F$2001,MATCH(A644&amp;"ENTRADA",Movimientos!$R$5:$R$2001,0)),"-")</f>
        <v>-</v>
      </c>
      <c r="F644" s="3" t="str">
        <f>IFERROR(INDEX(Movimientos!$G$5:$G$2001,MATCH(A644&amp;"ENTRADA",Movimientos!$R$5:$R$2001,0)),"-")</f>
        <v>-</v>
      </c>
      <c r="G644" s="3" t="str">
        <f>IFERROR(INDEX(Movimientos!$L$5:$L$2001,MATCH(A644&amp;"ENTRADA",Movimientos!$R$5:$R$2001,0)),"-")</f>
        <v>-</v>
      </c>
      <c r="H644" s="19" t="str">
        <f>IFERROR(IF(INDEX(Movimientos!$M$5:$M$2001,MATCH(A644&amp;"ENTRADA",Movimientos!$R$5:$R$2001,0))=0,"S/D",INDEX(Movimientos!$M$5:$M$2001,MATCH(A644&amp;"ENTRADA",Movimientos!$R$5:$R$2001,0))),"S/D")</f>
        <v>S/D</v>
      </c>
      <c r="I644" s="16" t="str">
        <f t="shared" ca="1" si="20"/>
        <v>S/D</v>
      </c>
      <c r="J644" s="6">
        <f>IF(A644="","",SUMIFS(Movimientos!$K:$K,Movimientos!$H:$H,A644))</f>
        <v>0</v>
      </c>
      <c r="K644" s="14" t="str">
        <f t="shared" ca="1" si="21"/>
        <v>OK</v>
      </c>
    </row>
    <row r="645" spans="1:11">
      <c r="A645" s="18" t="s">
        <v>2706</v>
      </c>
      <c r="B645" s="3" t="str">
        <f>IFERROR(INDEX(Movimientos!$C$5:$C$2001,MATCH(A645&amp;"ENTRADA",Movimientos!$R$5:$R$2001,0)),"-")</f>
        <v>-</v>
      </c>
      <c r="C645" s="3" t="str">
        <f>IFERROR(INDEX(Movimientos!$D$5:$D$2001,MATCH(A645&amp;"ENTRADA",Movimientos!$R$5:$R$2001,0)),"-")</f>
        <v>-</v>
      </c>
      <c r="D645" s="3" t="str">
        <f>IFERROR(INDEX(Movimientos!$E$5:$E$2001,MATCH(A645&amp;"ENTRADA",Movimientos!$R$5:$R$2001,0)),"-")</f>
        <v>-</v>
      </c>
      <c r="E645" s="3" t="str">
        <f>IFERROR(INDEX(Movimientos!$F$5:$F$2001,MATCH(A645&amp;"ENTRADA",Movimientos!$R$5:$R$2001,0)),"-")</f>
        <v>-</v>
      </c>
      <c r="F645" s="3" t="str">
        <f>IFERROR(INDEX(Movimientos!$G$5:$G$2001,MATCH(A645&amp;"ENTRADA",Movimientos!$R$5:$R$2001,0)),"-")</f>
        <v>-</v>
      </c>
      <c r="G645" s="3" t="str">
        <f>IFERROR(INDEX(Movimientos!$L$5:$L$2001,MATCH(A645&amp;"ENTRADA",Movimientos!$R$5:$R$2001,0)),"-")</f>
        <v>-</v>
      </c>
      <c r="H645" s="19" t="str">
        <f>IFERROR(IF(INDEX(Movimientos!$M$5:$M$2001,MATCH(A645&amp;"ENTRADA",Movimientos!$R$5:$R$2001,0))=0,"S/D",INDEX(Movimientos!$M$5:$M$2001,MATCH(A645&amp;"ENTRADA",Movimientos!$R$5:$R$2001,0))),"S/D")</f>
        <v>S/D</v>
      </c>
      <c r="I645" s="16" t="str">
        <f t="shared" ca="1" si="20"/>
        <v>S/D</v>
      </c>
      <c r="J645" s="6">
        <f>IF(A645="","",SUMIFS(Movimientos!$K:$K,Movimientos!$H:$H,A645))</f>
        <v>0</v>
      </c>
      <c r="K645" s="14" t="str">
        <f t="shared" ca="1" si="21"/>
        <v>OK</v>
      </c>
    </row>
    <row r="646" spans="1:11">
      <c r="A646" s="18" t="s">
        <v>2707</v>
      </c>
      <c r="B646" s="3" t="str">
        <f>IFERROR(INDEX(Movimientos!$C$5:$C$2001,MATCH(A646&amp;"ENTRADA",Movimientos!$R$5:$R$2001,0)),"-")</f>
        <v>-</v>
      </c>
      <c r="C646" s="3" t="str">
        <f>IFERROR(INDEX(Movimientos!$D$5:$D$2001,MATCH(A646&amp;"ENTRADA",Movimientos!$R$5:$R$2001,0)),"-")</f>
        <v>-</v>
      </c>
      <c r="D646" s="3" t="str">
        <f>IFERROR(INDEX(Movimientos!$E$5:$E$2001,MATCH(A646&amp;"ENTRADA",Movimientos!$R$5:$R$2001,0)),"-")</f>
        <v>-</v>
      </c>
      <c r="E646" s="3" t="str">
        <f>IFERROR(INDEX(Movimientos!$F$5:$F$2001,MATCH(A646&amp;"ENTRADA",Movimientos!$R$5:$R$2001,0)),"-")</f>
        <v>-</v>
      </c>
      <c r="F646" s="3" t="str">
        <f>IFERROR(INDEX(Movimientos!$G$5:$G$2001,MATCH(A646&amp;"ENTRADA",Movimientos!$R$5:$R$2001,0)),"-")</f>
        <v>-</v>
      </c>
      <c r="G646" s="3" t="str">
        <f>IFERROR(INDEX(Movimientos!$L$5:$L$2001,MATCH(A646&amp;"ENTRADA",Movimientos!$R$5:$R$2001,0)),"-")</f>
        <v>-</v>
      </c>
      <c r="H646" s="19" t="str">
        <f>IFERROR(IF(INDEX(Movimientos!$M$5:$M$2001,MATCH(A646&amp;"ENTRADA",Movimientos!$R$5:$R$2001,0))=0,"S/D",INDEX(Movimientos!$M$5:$M$2001,MATCH(A646&amp;"ENTRADA",Movimientos!$R$5:$R$2001,0))),"S/D")</f>
        <v>S/D</v>
      </c>
      <c r="I646" s="16" t="str">
        <f t="shared" ca="1" si="20"/>
        <v>S/D</v>
      </c>
      <c r="J646" s="6">
        <f>IF(A646="","",SUMIFS(Movimientos!$K:$K,Movimientos!$H:$H,A646))</f>
        <v>0</v>
      </c>
      <c r="K646" s="14" t="str">
        <f t="shared" ca="1" si="21"/>
        <v>OK</v>
      </c>
    </row>
    <row r="647" spans="1:11">
      <c r="A647" s="18" t="s">
        <v>2708</v>
      </c>
      <c r="B647" s="3" t="str">
        <f>IFERROR(INDEX(Movimientos!$C$5:$C$2001,MATCH(A647&amp;"ENTRADA",Movimientos!$R$5:$R$2001,0)),"-")</f>
        <v>-</v>
      </c>
      <c r="C647" s="3" t="str">
        <f>IFERROR(INDEX(Movimientos!$D$5:$D$2001,MATCH(A647&amp;"ENTRADA",Movimientos!$R$5:$R$2001,0)),"-")</f>
        <v>-</v>
      </c>
      <c r="D647" s="3" t="str">
        <f>IFERROR(INDEX(Movimientos!$E$5:$E$2001,MATCH(A647&amp;"ENTRADA",Movimientos!$R$5:$R$2001,0)),"-")</f>
        <v>-</v>
      </c>
      <c r="E647" s="3" t="str">
        <f>IFERROR(INDEX(Movimientos!$F$5:$F$2001,MATCH(A647&amp;"ENTRADA",Movimientos!$R$5:$R$2001,0)),"-")</f>
        <v>-</v>
      </c>
      <c r="F647" s="3" t="str">
        <f>IFERROR(INDEX(Movimientos!$G$5:$G$2001,MATCH(A647&amp;"ENTRADA",Movimientos!$R$5:$R$2001,0)),"-")</f>
        <v>-</v>
      </c>
      <c r="G647" s="3" t="str">
        <f>IFERROR(INDEX(Movimientos!$L$5:$L$2001,MATCH(A647&amp;"ENTRADA",Movimientos!$R$5:$R$2001,0)),"-")</f>
        <v>-</v>
      </c>
      <c r="H647" s="19" t="str">
        <f>IFERROR(IF(INDEX(Movimientos!$M$5:$M$2001,MATCH(A647&amp;"ENTRADA",Movimientos!$R$5:$R$2001,0))=0,"S/D",INDEX(Movimientos!$M$5:$M$2001,MATCH(A647&amp;"ENTRADA",Movimientos!$R$5:$R$2001,0))),"S/D")</f>
        <v>S/D</v>
      </c>
      <c r="I647" s="16" t="str">
        <f t="shared" ca="1" si="20"/>
        <v>S/D</v>
      </c>
      <c r="J647" s="6">
        <f>IF(A647="","",SUMIFS(Movimientos!$K:$K,Movimientos!$H:$H,A647))</f>
        <v>0</v>
      </c>
      <c r="K647" s="14" t="str">
        <f t="shared" ca="1" si="21"/>
        <v>OK</v>
      </c>
    </row>
    <row r="648" spans="1:11">
      <c r="A648" s="18" t="s">
        <v>2709</v>
      </c>
      <c r="B648" s="3" t="str">
        <f>IFERROR(INDEX(Movimientos!$C$5:$C$2001,MATCH(A648&amp;"ENTRADA",Movimientos!$R$5:$R$2001,0)),"-")</f>
        <v>-</v>
      </c>
      <c r="C648" s="3" t="str">
        <f>IFERROR(INDEX(Movimientos!$D$5:$D$2001,MATCH(A648&amp;"ENTRADA",Movimientos!$R$5:$R$2001,0)),"-")</f>
        <v>-</v>
      </c>
      <c r="D648" s="3" t="str">
        <f>IFERROR(INDEX(Movimientos!$E$5:$E$2001,MATCH(A648&amp;"ENTRADA",Movimientos!$R$5:$R$2001,0)),"-")</f>
        <v>-</v>
      </c>
      <c r="E648" s="3" t="str">
        <f>IFERROR(INDEX(Movimientos!$F$5:$F$2001,MATCH(A648&amp;"ENTRADA",Movimientos!$R$5:$R$2001,0)),"-")</f>
        <v>-</v>
      </c>
      <c r="F648" s="3" t="str">
        <f>IFERROR(INDEX(Movimientos!$G$5:$G$2001,MATCH(A648&amp;"ENTRADA",Movimientos!$R$5:$R$2001,0)),"-")</f>
        <v>-</v>
      </c>
      <c r="G648" s="3" t="str">
        <f>IFERROR(INDEX(Movimientos!$L$5:$L$2001,MATCH(A648&amp;"ENTRADA",Movimientos!$R$5:$R$2001,0)),"-")</f>
        <v>-</v>
      </c>
      <c r="H648" s="19" t="str">
        <f>IFERROR(IF(INDEX(Movimientos!$M$5:$M$2001,MATCH(A648&amp;"ENTRADA",Movimientos!$R$5:$R$2001,0))=0,"S/D",INDEX(Movimientos!$M$5:$M$2001,MATCH(A648&amp;"ENTRADA",Movimientos!$R$5:$R$2001,0))),"S/D")</f>
        <v>S/D</v>
      </c>
      <c r="I648" s="16" t="str">
        <f t="shared" ca="1" si="20"/>
        <v>S/D</v>
      </c>
      <c r="J648" s="6">
        <f>IF(A648="","",SUMIFS(Movimientos!$K:$K,Movimientos!$H:$H,A648))</f>
        <v>0</v>
      </c>
      <c r="K648" s="14" t="str">
        <f t="shared" ca="1" si="21"/>
        <v>OK</v>
      </c>
    </row>
    <row r="649" spans="1:11">
      <c r="A649" s="18" t="s">
        <v>2710</v>
      </c>
      <c r="B649" s="3" t="str">
        <f>IFERROR(INDEX(Movimientos!$C$5:$C$2001,MATCH(A649&amp;"ENTRADA",Movimientos!$R$5:$R$2001,0)),"-")</f>
        <v>-</v>
      </c>
      <c r="C649" s="3" t="str">
        <f>IFERROR(INDEX(Movimientos!$D$5:$D$2001,MATCH(A649&amp;"ENTRADA",Movimientos!$R$5:$R$2001,0)),"-")</f>
        <v>-</v>
      </c>
      <c r="D649" s="3" t="str">
        <f>IFERROR(INDEX(Movimientos!$E$5:$E$2001,MATCH(A649&amp;"ENTRADA",Movimientos!$R$5:$R$2001,0)),"-")</f>
        <v>-</v>
      </c>
      <c r="E649" s="3" t="str">
        <f>IFERROR(INDEX(Movimientos!$F$5:$F$2001,MATCH(A649&amp;"ENTRADA",Movimientos!$R$5:$R$2001,0)),"-")</f>
        <v>-</v>
      </c>
      <c r="F649" s="3" t="str">
        <f>IFERROR(INDEX(Movimientos!$G$5:$G$2001,MATCH(A649&amp;"ENTRADA",Movimientos!$R$5:$R$2001,0)),"-")</f>
        <v>-</v>
      </c>
      <c r="G649" s="3" t="str">
        <f>IFERROR(INDEX(Movimientos!$L$5:$L$2001,MATCH(A649&amp;"ENTRADA",Movimientos!$R$5:$R$2001,0)),"-")</f>
        <v>-</v>
      </c>
      <c r="H649" s="19" t="str">
        <f>IFERROR(IF(INDEX(Movimientos!$M$5:$M$2001,MATCH(A649&amp;"ENTRADA",Movimientos!$R$5:$R$2001,0))=0,"S/D",INDEX(Movimientos!$M$5:$M$2001,MATCH(A649&amp;"ENTRADA",Movimientos!$R$5:$R$2001,0))),"S/D")</f>
        <v>S/D</v>
      </c>
      <c r="I649" s="16" t="str">
        <f t="shared" ca="1" si="20"/>
        <v>S/D</v>
      </c>
      <c r="J649" s="6">
        <f>IF(A649="","",SUMIFS(Movimientos!$K:$K,Movimientos!$H:$H,A649))</f>
        <v>0</v>
      </c>
      <c r="K649" s="14" t="str">
        <f t="shared" ca="1" si="21"/>
        <v>OK</v>
      </c>
    </row>
    <row r="650" spans="1:11">
      <c r="A650" s="18" t="s">
        <v>2711</v>
      </c>
      <c r="B650" s="3" t="str">
        <f>IFERROR(INDEX(Movimientos!$C$5:$C$2001,MATCH(A650&amp;"ENTRADA",Movimientos!$R$5:$R$2001,0)),"-")</f>
        <v>-</v>
      </c>
      <c r="C650" s="3" t="str">
        <f>IFERROR(INDEX(Movimientos!$D$5:$D$2001,MATCH(A650&amp;"ENTRADA",Movimientos!$R$5:$R$2001,0)),"-")</f>
        <v>-</v>
      </c>
      <c r="D650" s="3" t="str">
        <f>IFERROR(INDEX(Movimientos!$E$5:$E$2001,MATCH(A650&amp;"ENTRADA",Movimientos!$R$5:$R$2001,0)),"-")</f>
        <v>-</v>
      </c>
      <c r="E650" s="3" t="str">
        <f>IFERROR(INDEX(Movimientos!$F$5:$F$2001,MATCH(A650&amp;"ENTRADA",Movimientos!$R$5:$R$2001,0)),"-")</f>
        <v>-</v>
      </c>
      <c r="F650" s="3" t="str">
        <f>IFERROR(INDEX(Movimientos!$G$5:$G$2001,MATCH(A650&amp;"ENTRADA",Movimientos!$R$5:$R$2001,0)),"-")</f>
        <v>-</v>
      </c>
      <c r="G650" s="3" t="str">
        <f>IFERROR(INDEX(Movimientos!$L$5:$L$2001,MATCH(A650&amp;"ENTRADA",Movimientos!$R$5:$R$2001,0)),"-")</f>
        <v>-</v>
      </c>
      <c r="H650" s="19" t="str">
        <f>IFERROR(IF(INDEX(Movimientos!$M$5:$M$2001,MATCH(A650&amp;"ENTRADA",Movimientos!$R$5:$R$2001,0))=0,"S/D",INDEX(Movimientos!$M$5:$M$2001,MATCH(A650&amp;"ENTRADA",Movimientos!$R$5:$R$2001,0))),"S/D")</f>
        <v>S/D</v>
      </c>
      <c r="I650" s="16" t="str">
        <f t="shared" ca="1" si="20"/>
        <v>S/D</v>
      </c>
      <c r="J650" s="6">
        <f>IF(A650="","",SUMIFS(Movimientos!$K:$K,Movimientos!$H:$H,A650))</f>
        <v>0</v>
      </c>
      <c r="K650" s="14" t="str">
        <f t="shared" ca="1" si="21"/>
        <v>OK</v>
      </c>
    </row>
    <row r="651" spans="1:11">
      <c r="A651" s="18" t="s">
        <v>2712</v>
      </c>
      <c r="B651" s="3" t="str">
        <f>IFERROR(INDEX(Movimientos!$C$5:$C$2001,MATCH(A651&amp;"ENTRADA",Movimientos!$R$5:$R$2001,0)),"-")</f>
        <v>-</v>
      </c>
      <c r="C651" s="3" t="str">
        <f>IFERROR(INDEX(Movimientos!$D$5:$D$2001,MATCH(A651&amp;"ENTRADA",Movimientos!$R$5:$R$2001,0)),"-")</f>
        <v>-</v>
      </c>
      <c r="D651" s="3" t="str">
        <f>IFERROR(INDEX(Movimientos!$E$5:$E$2001,MATCH(A651&amp;"ENTRADA",Movimientos!$R$5:$R$2001,0)),"-")</f>
        <v>-</v>
      </c>
      <c r="E651" s="3" t="str">
        <f>IFERROR(INDEX(Movimientos!$F$5:$F$2001,MATCH(A651&amp;"ENTRADA",Movimientos!$R$5:$R$2001,0)),"-")</f>
        <v>-</v>
      </c>
      <c r="F651" s="3" t="str">
        <f>IFERROR(INDEX(Movimientos!$G$5:$G$2001,MATCH(A651&amp;"ENTRADA",Movimientos!$R$5:$R$2001,0)),"-")</f>
        <v>-</v>
      </c>
      <c r="G651" s="3" t="str">
        <f>IFERROR(INDEX(Movimientos!$L$5:$L$2001,MATCH(A651&amp;"ENTRADA",Movimientos!$R$5:$R$2001,0)),"-")</f>
        <v>-</v>
      </c>
      <c r="H651" s="19" t="str">
        <f>IFERROR(IF(INDEX(Movimientos!$M$5:$M$2001,MATCH(A651&amp;"ENTRADA",Movimientos!$R$5:$R$2001,0))=0,"S/D",INDEX(Movimientos!$M$5:$M$2001,MATCH(A651&amp;"ENTRADA",Movimientos!$R$5:$R$2001,0))),"S/D")</f>
        <v>S/D</v>
      </c>
      <c r="I651" s="16" t="str">
        <f t="shared" ref="I651:I714" ca="1" si="22">IF(OR(A651="",H651="S/D"),"S/D",H651-TODAY())</f>
        <v>S/D</v>
      </c>
      <c r="J651" s="6">
        <f>IF(A651="","",SUMIFS(Movimientos!$K:$K,Movimientos!$H:$H,A651))</f>
        <v>0</v>
      </c>
      <c r="K651" s="14" t="str">
        <f t="shared" ref="K651:K714" ca="1" si="23">IF(A651="","",IF(H651="S/D","OK",IF(H651&lt;TODAY(),"VENCIDO",IF(J651&lt;=0,"SIN STOCK",IF(I651&gt;=180,"OK","PRÓXIMO A VENCER")))))</f>
        <v>OK</v>
      </c>
    </row>
    <row r="652" spans="1:11">
      <c r="A652" s="18" t="s">
        <v>2713</v>
      </c>
      <c r="B652" s="3" t="str">
        <f>IFERROR(INDEX(Movimientos!$C$5:$C$2001,MATCH(A652&amp;"ENTRADA",Movimientos!$R$5:$R$2001,0)),"-")</f>
        <v>-</v>
      </c>
      <c r="C652" s="3" t="str">
        <f>IFERROR(INDEX(Movimientos!$D$5:$D$2001,MATCH(A652&amp;"ENTRADA",Movimientos!$R$5:$R$2001,0)),"-")</f>
        <v>-</v>
      </c>
      <c r="D652" s="3" t="str">
        <f>IFERROR(INDEX(Movimientos!$E$5:$E$2001,MATCH(A652&amp;"ENTRADA",Movimientos!$R$5:$R$2001,0)),"-")</f>
        <v>-</v>
      </c>
      <c r="E652" s="3" t="str">
        <f>IFERROR(INDEX(Movimientos!$F$5:$F$2001,MATCH(A652&amp;"ENTRADA",Movimientos!$R$5:$R$2001,0)),"-")</f>
        <v>-</v>
      </c>
      <c r="F652" s="3" t="str">
        <f>IFERROR(INDEX(Movimientos!$G$5:$G$2001,MATCH(A652&amp;"ENTRADA",Movimientos!$R$5:$R$2001,0)),"-")</f>
        <v>-</v>
      </c>
      <c r="G652" s="3" t="str">
        <f>IFERROR(INDEX(Movimientos!$L$5:$L$2001,MATCH(A652&amp;"ENTRADA",Movimientos!$R$5:$R$2001,0)),"-")</f>
        <v>-</v>
      </c>
      <c r="H652" s="19" t="str">
        <f>IFERROR(IF(INDEX(Movimientos!$M$5:$M$2001,MATCH(A652&amp;"ENTRADA",Movimientos!$R$5:$R$2001,0))=0,"S/D",INDEX(Movimientos!$M$5:$M$2001,MATCH(A652&amp;"ENTRADA",Movimientos!$R$5:$R$2001,0))),"S/D")</f>
        <v>S/D</v>
      </c>
      <c r="I652" s="16" t="str">
        <f t="shared" ca="1" si="22"/>
        <v>S/D</v>
      </c>
      <c r="J652" s="6">
        <f>IF(A652="","",SUMIFS(Movimientos!$K:$K,Movimientos!$H:$H,A652))</f>
        <v>0</v>
      </c>
      <c r="K652" s="14" t="str">
        <f t="shared" ca="1" si="23"/>
        <v>OK</v>
      </c>
    </row>
    <row r="653" spans="1:11">
      <c r="A653" s="18" t="s">
        <v>2714</v>
      </c>
      <c r="B653" s="3" t="str">
        <f>IFERROR(INDEX(Movimientos!$C$5:$C$2001,MATCH(A653&amp;"ENTRADA",Movimientos!$R$5:$R$2001,0)),"-")</f>
        <v>-</v>
      </c>
      <c r="C653" s="3" t="str">
        <f>IFERROR(INDEX(Movimientos!$D$5:$D$2001,MATCH(A653&amp;"ENTRADA",Movimientos!$R$5:$R$2001,0)),"-")</f>
        <v>-</v>
      </c>
      <c r="D653" s="3" t="str">
        <f>IFERROR(INDEX(Movimientos!$E$5:$E$2001,MATCH(A653&amp;"ENTRADA",Movimientos!$R$5:$R$2001,0)),"-")</f>
        <v>-</v>
      </c>
      <c r="E653" s="3" t="str">
        <f>IFERROR(INDEX(Movimientos!$F$5:$F$2001,MATCH(A653&amp;"ENTRADA",Movimientos!$R$5:$R$2001,0)),"-")</f>
        <v>-</v>
      </c>
      <c r="F653" s="3" t="str">
        <f>IFERROR(INDEX(Movimientos!$G$5:$G$2001,MATCH(A653&amp;"ENTRADA",Movimientos!$R$5:$R$2001,0)),"-")</f>
        <v>-</v>
      </c>
      <c r="G653" s="3" t="str">
        <f>IFERROR(INDEX(Movimientos!$L$5:$L$2001,MATCH(A653&amp;"ENTRADA",Movimientos!$R$5:$R$2001,0)),"-")</f>
        <v>-</v>
      </c>
      <c r="H653" s="19" t="str">
        <f>IFERROR(IF(INDEX(Movimientos!$M$5:$M$2001,MATCH(A653&amp;"ENTRADA",Movimientos!$R$5:$R$2001,0))=0,"S/D",INDEX(Movimientos!$M$5:$M$2001,MATCH(A653&amp;"ENTRADA",Movimientos!$R$5:$R$2001,0))),"S/D")</f>
        <v>S/D</v>
      </c>
      <c r="I653" s="16" t="str">
        <f t="shared" ca="1" si="22"/>
        <v>S/D</v>
      </c>
      <c r="J653" s="6">
        <f>IF(A653="","",SUMIFS(Movimientos!$K:$K,Movimientos!$H:$H,A653))</f>
        <v>0</v>
      </c>
      <c r="K653" s="14" t="str">
        <f t="shared" ca="1" si="23"/>
        <v>OK</v>
      </c>
    </row>
    <row r="654" spans="1:11">
      <c r="A654" s="18" t="s">
        <v>2715</v>
      </c>
      <c r="B654" s="3" t="str">
        <f>IFERROR(INDEX(Movimientos!$C$5:$C$2001,MATCH(A654&amp;"ENTRADA",Movimientos!$R$5:$R$2001,0)),"-")</f>
        <v>-</v>
      </c>
      <c r="C654" s="3" t="str">
        <f>IFERROR(INDEX(Movimientos!$D$5:$D$2001,MATCH(A654&amp;"ENTRADA",Movimientos!$R$5:$R$2001,0)),"-")</f>
        <v>-</v>
      </c>
      <c r="D654" s="3" t="str">
        <f>IFERROR(INDEX(Movimientos!$E$5:$E$2001,MATCH(A654&amp;"ENTRADA",Movimientos!$R$5:$R$2001,0)),"-")</f>
        <v>-</v>
      </c>
      <c r="E654" s="3" t="str">
        <f>IFERROR(INDEX(Movimientos!$F$5:$F$2001,MATCH(A654&amp;"ENTRADA",Movimientos!$R$5:$R$2001,0)),"-")</f>
        <v>-</v>
      </c>
      <c r="F654" s="3" t="str">
        <f>IFERROR(INDEX(Movimientos!$G$5:$G$2001,MATCH(A654&amp;"ENTRADA",Movimientos!$R$5:$R$2001,0)),"-")</f>
        <v>-</v>
      </c>
      <c r="G654" s="3" t="str">
        <f>IFERROR(INDEX(Movimientos!$L$5:$L$2001,MATCH(A654&amp;"ENTRADA",Movimientos!$R$5:$R$2001,0)),"-")</f>
        <v>-</v>
      </c>
      <c r="H654" s="19" t="str">
        <f>IFERROR(IF(INDEX(Movimientos!$M$5:$M$2001,MATCH(A654&amp;"ENTRADA",Movimientos!$R$5:$R$2001,0))=0,"S/D",INDEX(Movimientos!$M$5:$M$2001,MATCH(A654&amp;"ENTRADA",Movimientos!$R$5:$R$2001,0))),"S/D")</f>
        <v>S/D</v>
      </c>
      <c r="I654" s="16" t="str">
        <f t="shared" ca="1" si="22"/>
        <v>S/D</v>
      </c>
      <c r="J654" s="6">
        <f>IF(A654="","",SUMIFS(Movimientos!$K:$K,Movimientos!$H:$H,A654))</f>
        <v>0</v>
      </c>
      <c r="K654" s="14" t="str">
        <f t="shared" ca="1" si="23"/>
        <v>OK</v>
      </c>
    </row>
    <row r="655" spans="1:11">
      <c r="A655" s="18" t="s">
        <v>2716</v>
      </c>
      <c r="B655" s="3" t="str">
        <f>IFERROR(INDEX(Movimientos!$C$5:$C$2001,MATCH(A655&amp;"ENTRADA",Movimientos!$R$5:$R$2001,0)),"-")</f>
        <v>-</v>
      </c>
      <c r="C655" s="3" t="str">
        <f>IFERROR(INDEX(Movimientos!$D$5:$D$2001,MATCH(A655&amp;"ENTRADA",Movimientos!$R$5:$R$2001,0)),"-")</f>
        <v>-</v>
      </c>
      <c r="D655" s="3" t="str">
        <f>IFERROR(INDEX(Movimientos!$E$5:$E$2001,MATCH(A655&amp;"ENTRADA",Movimientos!$R$5:$R$2001,0)),"-")</f>
        <v>-</v>
      </c>
      <c r="E655" s="3" t="str">
        <f>IFERROR(INDEX(Movimientos!$F$5:$F$2001,MATCH(A655&amp;"ENTRADA",Movimientos!$R$5:$R$2001,0)),"-")</f>
        <v>-</v>
      </c>
      <c r="F655" s="3" t="str">
        <f>IFERROR(INDEX(Movimientos!$G$5:$G$2001,MATCH(A655&amp;"ENTRADA",Movimientos!$R$5:$R$2001,0)),"-")</f>
        <v>-</v>
      </c>
      <c r="G655" s="3" t="str">
        <f>IFERROR(INDEX(Movimientos!$L$5:$L$2001,MATCH(A655&amp;"ENTRADA",Movimientos!$R$5:$R$2001,0)),"-")</f>
        <v>-</v>
      </c>
      <c r="H655" s="19" t="str">
        <f>IFERROR(IF(INDEX(Movimientos!$M$5:$M$2001,MATCH(A655&amp;"ENTRADA",Movimientos!$R$5:$R$2001,0))=0,"S/D",INDEX(Movimientos!$M$5:$M$2001,MATCH(A655&amp;"ENTRADA",Movimientos!$R$5:$R$2001,0))),"S/D")</f>
        <v>S/D</v>
      </c>
      <c r="I655" s="16" t="str">
        <f t="shared" ca="1" si="22"/>
        <v>S/D</v>
      </c>
      <c r="J655" s="6">
        <f>IF(A655="","",SUMIFS(Movimientos!$K:$K,Movimientos!$H:$H,A655))</f>
        <v>0</v>
      </c>
      <c r="K655" s="14" t="str">
        <f t="shared" ca="1" si="23"/>
        <v>OK</v>
      </c>
    </row>
    <row r="656" spans="1:11">
      <c r="A656" s="18" t="s">
        <v>2717</v>
      </c>
      <c r="B656" s="3" t="str">
        <f>IFERROR(INDEX(Movimientos!$C$5:$C$2001,MATCH(A656&amp;"ENTRADA",Movimientos!$R$5:$R$2001,0)),"-")</f>
        <v>-</v>
      </c>
      <c r="C656" s="3" t="str">
        <f>IFERROR(INDEX(Movimientos!$D$5:$D$2001,MATCH(A656&amp;"ENTRADA",Movimientos!$R$5:$R$2001,0)),"-")</f>
        <v>-</v>
      </c>
      <c r="D656" s="3" t="str">
        <f>IFERROR(INDEX(Movimientos!$E$5:$E$2001,MATCH(A656&amp;"ENTRADA",Movimientos!$R$5:$R$2001,0)),"-")</f>
        <v>-</v>
      </c>
      <c r="E656" s="3" t="str">
        <f>IFERROR(INDEX(Movimientos!$F$5:$F$2001,MATCH(A656&amp;"ENTRADA",Movimientos!$R$5:$R$2001,0)),"-")</f>
        <v>-</v>
      </c>
      <c r="F656" s="3" t="str">
        <f>IFERROR(INDEX(Movimientos!$G$5:$G$2001,MATCH(A656&amp;"ENTRADA",Movimientos!$R$5:$R$2001,0)),"-")</f>
        <v>-</v>
      </c>
      <c r="G656" s="3" t="str">
        <f>IFERROR(INDEX(Movimientos!$L$5:$L$2001,MATCH(A656&amp;"ENTRADA",Movimientos!$R$5:$R$2001,0)),"-")</f>
        <v>-</v>
      </c>
      <c r="H656" s="19" t="str">
        <f>IFERROR(IF(INDEX(Movimientos!$M$5:$M$2001,MATCH(A656&amp;"ENTRADA",Movimientos!$R$5:$R$2001,0))=0,"S/D",INDEX(Movimientos!$M$5:$M$2001,MATCH(A656&amp;"ENTRADA",Movimientos!$R$5:$R$2001,0))),"S/D")</f>
        <v>S/D</v>
      </c>
      <c r="I656" s="16" t="str">
        <f t="shared" ca="1" si="22"/>
        <v>S/D</v>
      </c>
      <c r="J656" s="6">
        <f>IF(A656="","",SUMIFS(Movimientos!$K:$K,Movimientos!$H:$H,A656))</f>
        <v>0</v>
      </c>
      <c r="K656" s="14" t="str">
        <f t="shared" ca="1" si="23"/>
        <v>OK</v>
      </c>
    </row>
    <row r="657" spans="1:11">
      <c r="A657" s="18" t="s">
        <v>2718</v>
      </c>
      <c r="B657" s="3" t="str">
        <f>IFERROR(INDEX(Movimientos!$C$5:$C$2001,MATCH(A657&amp;"ENTRADA",Movimientos!$R$5:$R$2001,0)),"-")</f>
        <v>-</v>
      </c>
      <c r="C657" s="3" t="str">
        <f>IFERROR(INDEX(Movimientos!$D$5:$D$2001,MATCH(A657&amp;"ENTRADA",Movimientos!$R$5:$R$2001,0)),"-")</f>
        <v>-</v>
      </c>
      <c r="D657" s="3" t="str">
        <f>IFERROR(INDEX(Movimientos!$E$5:$E$2001,MATCH(A657&amp;"ENTRADA",Movimientos!$R$5:$R$2001,0)),"-")</f>
        <v>-</v>
      </c>
      <c r="E657" s="3" t="str">
        <f>IFERROR(INDEX(Movimientos!$F$5:$F$2001,MATCH(A657&amp;"ENTRADA",Movimientos!$R$5:$R$2001,0)),"-")</f>
        <v>-</v>
      </c>
      <c r="F657" s="3" t="str">
        <f>IFERROR(INDEX(Movimientos!$G$5:$G$2001,MATCH(A657&amp;"ENTRADA",Movimientos!$R$5:$R$2001,0)),"-")</f>
        <v>-</v>
      </c>
      <c r="G657" s="3" t="str">
        <f>IFERROR(INDEX(Movimientos!$L$5:$L$2001,MATCH(A657&amp;"ENTRADA",Movimientos!$R$5:$R$2001,0)),"-")</f>
        <v>-</v>
      </c>
      <c r="H657" s="19" t="str">
        <f>IFERROR(IF(INDEX(Movimientos!$M$5:$M$2001,MATCH(A657&amp;"ENTRADA",Movimientos!$R$5:$R$2001,0))=0,"S/D",INDEX(Movimientos!$M$5:$M$2001,MATCH(A657&amp;"ENTRADA",Movimientos!$R$5:$R$2001,0))),"S/D")</f>
        <v>S/D</v>
      </c>
      <c r="I657" s="16" t="str">
        <f t="shared" ca="1" si="22"/>
        <v>S/D</v>
      </c>
      <c r="J657" s="6">
        <f>IF(A657="","",SUMIFS(Movimientos!$K:$K,Movimientos!$H:$H,A657))</f>
        <v>0</v>
      </c>
      <c r="K657" s="14" t="str">
        <f t="shared" ca="1" si="23"/>
        <v>OK</v>
      </c>
    </row>
    <row r="658" spans="1:11">
      <c r="A658" s="18" t="s">
        <v>2719</v>
      </c>
      <c r="B658" s="3" t="str">
        <f>IFERROR(INDEX(Movimientos!$C$5:$C$2001,MATCH(A658&amp;"ENTRADA",Movimientos!$R$5:$R$2001,0)),"-")</f>
        <v>-</v>
      </c>
      <c r="C658" s="3" t="str">
        <f>IFERROR(INDEX(Movimientos!$D$5:$D$2001,MATCH(A658&amp;"ENTRADA",Movimientos!$R$5:$R$2001,0)),"-")</f>
        <v>-</v>
      </c>
      <c r="D658" s="3" t="str">
        <f>IFERROR(INDEX(Movimientos!$E$5:$E$2001,MATCH(A658&amp;"ENTRADA",Movimientos!$R$5:$R$2001,0)),"-")</f>
        <v>-</v>
      </c>
      <c r="E658" s="3" t="str">
        <f>IFERROR(INDEX(Movimientos!$F$5:$F$2001,MATCH(A658&amp;"ENTRADA",Movimientos!$R$5:$R$2001,0)),"-")</f>
        <v>-</v>
      </c>
      <c r="F658" s="3" t="str">
        <f>IFERROR(INDEX(Movimientos!$G$5:$G$2001,MATCH(A658&amp;"ENTRADA",Movimientos!$R$5:$R$2001,0)),"-")</f>
        <v>-</v>
      </c>
      <c r="G658" s="3" t="str">
        <f>IFERROR(INDEX(Movimientos!$L$5:$L$2001,MATCH(A658&amp;"ENTRADA",Movimientos!$R$5:$R$2001,0)),"-")</f>
        <v>-</v>
      </c>
      <c r="H658" s="19" t="str">
        <f>IFERROR(IF(INDEX(Movimientos!$M$5:$M$2001,MATCH(A658&amp;"ENTRADA",Movimientos!$R$5:$R$2001,0))=0,"S/D",INDEX(Movimientos!$M$5:$M$2001,MATCH(A658&amp;"ENTRADA",Movimientos!$R$5:$R$2001,0))),"S/D")</f>
        <v>S/D</v>
      </c>
      <c r="I658" s="16" t="str">
        <f t="shared" ca="1" si="22"/>
        <v>S/D</v>
      </c>
      <c r="J658" s="6">
        <f>IF(A658="","",SUMIFS(Movimientos!$K:$K,Movimientos!$H:$H,A658))</f>
        <v>0</v>
      </c>
      <c r="K658" s="14" t="str">
        <f t="shared" ca="1" si="23"/>
        <v>OK</v>
      </c>
    </row>
    <row r="659" spans="1:11">
      <c r="A659" s="18" t="s">
        <v>2720</v>
      </c>
      <c r="B659" s="3" t="str">
        <f>IFERROR(INDEX(Movimientos!$C$5:$C$2001,MATCH(A659&amp;"ENTRADA",Movimientos!$R$5:$R$2001,0)),"-")</f>
        <v>-</v>
      </c>
      <c r="C659" s="3" t="str">
        <f>IFERROR(INDEX(Movimientos!$D$5:$D$2001,MATCH(A659&amp;"ENTRADA",Movimientos!$R$5:$R$2001,0)),"-")</f>
        <v>-</v>
      </c>
      <c r="D659" s="3" t="str">
        <f>IFERROR(INDEX(Movimientos!$E$5:$E$2001,MATCH(A659&amp;"ENTRADA",Movimientos!$R$5:$R$2001,0)),"-")</f>
        <v>-</v>
      </c>
      <c r="E659" s="3" t="str">
        <f>IFERROR(INDEX(Movimientos!$F$5:$F$2001,MATCH(A659&amp;"ENTRADA",Movimientos!$R$5:$R$2001,0)),"-")</f>
        <v>-</v>
      </c>
      <c r="F659" s="3" t="str">
        <f>IFERROR(INDEX(Movimientos!$G$5:$G$2001,MATCH(A659&amp;"ENTRADA",Movimientos!$R$5:$R$2001,0)),"-")</f>
        <v>-</v>
      </c>
      <c r="G659" s="3" t="str">
        <f>IFERROR(INDEX(Movimientos!$L$5:$L$2001,MATCH(A659&amp;"ENTRADA",Movimientos!$R$5:$R$2001,0)),"-")</f>
        <v>-</v>
      </c>
      <c r="H659" s="19" t="str">
        <f>IFERROR(IF(INDEX(Movimientos!$M$5:$M$2001,MATCH(A659&amp;"ENTRADA",Movimientos!$R$5:$R$2001,0))=0,"S/D",INDEX(Movimientos!$M$5:$M$2001,MATCH(A659&amp;"ENTRADA",Movimientos!$R$5:$R$2001,0))),"S/D")</f>
        <v>S/D</v>
      </c>
      <c r="I659" s="16" t="str">
        <f t="shared" ca="1" si="22"/>
        <v>S/D</v>
      </c>
      <c r="J659" s="6">
        <f>IF(A659="","",SUMIFS(Movimientos!$K:$K,Movimientos!$H:$H,A659))</f>
        <v>0</v>
      </c>
      <c r="K659" s="14" t="str">
        <f t="shared" ca="1" si="23"/>
        <v>OK</v>
      </c>
    </row>
    <row r="660" spans="1:11">
      <c r="A660" s="18" t="s">
        <v>2721</v>
      </c>
      <c r="B660" s="3" t="str">
        <f>IFERROR(INDEX(Movimientos!$C$5:$C$2001,MATCH(A660&amp;"ENTRADA",Movimientos!$R$5:$R$2001,0)),"-")</f>
        <v>-</v>
      </c>
      <c r="C660" s="3" t="str">
        <f>IFERROR(INDEX(Movimientos!$D$5:$D$2001,MATCH(A660&amp;"ENTRADA",Movimientos!$R$5:$R$2001,0)),"-")</f>
        <v>-</v>
      </c>
      <c r="D660" s="3" t="str">
        <f>IFERROR(INDEX(Movimientos!$E$5:$E$2001,MATCH(A660&amp;"ENTRADA",Movimientos!$R$5:$R$2001,0)),"-")</f>
        <v>-</v>
      </c>
      <c r="E660" s="3" t="str">
        <f>IFERROR(INDEX(Movimientos!$F$5:$F$2001,MATCH(A660&amp;"ENTRADA",Movimientos!$R$5:$R$2001,0)),"-")</f>
        <v>-</v>
      </c>
      <c r="F660" s="3" t="str">
        <f>IFERROR(INDEX(Movimientos!$G$5:$G$2001,MATCH(A660&amp;"ENTRADA",Movimientos!$R$5:$R$2001,0)),"-")</f>
        <v>-</v>
      </c>
      <c r="G660" s="3" t="str">
        <f>IFERROR(INDEX(Movimientos!$L$5:$L$2001,MATCH(A660&amp;"ENTRADA",Movimientos!$R$5:$R$2001,0)),"-")</f>
        <v>-</v>
      </c>
      <c r="H660" s="19" t="str">
        <f>IFERROR(IF(INDEX(Movimientos!$M$5:$M$2001,MATCH(A660&amp;"ENTRADA",Movimientos!$R$5:$R$2001,0))=0,"S/D",INDEX(Movimientos!$M$5:$M$2001,MATCH(A660&amp;"ENTRADA",Movimientos!$R$5:$R$2001,0))),"S/D")</f>
        <v>S/D</v>
      </c>
      <c r="I660" s="16" t="str">
        <f t="shared" ca="1" si="22"/>
        <v>S/D</v>
      </c>
      <c r="J660" s="6">
        <f>IF(A660="","",SUMIFS(Movimientos!$K:$K,Movimientos!$H:$H,A660))</f>
        <v>0</v>
      </c>
      <c r="K660" s="14" t="str">
        <f t="shared" ca="1" si="23"/>
        <v>OK</v>
      </c>
    </row>
    <row r="661" spans="1:11">
      <c r="A661" s="18" t="s">
        <v>2722</v>
      </c>
      <c r="B661" s="3" t="str">
        <f>IFERROR(INDEX(Movimientos!$C$5:$C$2001,MATCH(A661&amp;"ENTRADA",Movimientos!$R$5:$R$2001,0)),"-")</f>
        <v>-</v>
      </c>
      <c r="C661" s="3" t="str">
        <f>IFERROR(INDEX(Movimientos!$D$5:$D$2001,MATCH(A661&amp;"ENTRADA",Movimientos!$R$5:$R$2001,0)),"-")</f>
        <v>-</v>
      </c>
      <c r="D661" s="3" t="str">
        <f>IFERROR(INDEX(Movimientos!$E$5:$E$2001,MATCH(A661&amp;"ENTRADA",Movimientos!$R$5:$R$2001,0)),"-")</f>
        <v>-</v>
      </c>
      <c r="E661" s="3" t="str">
        <f>IFERROR(INDEX(Movimientos!$F$5:$F$2001,MATCH(A661&amp;"ENTRADA",Movimientos!$R$5:$R$2001,0)),"-")</f>
        <v>-</v>
      </c>
      <c r="F661" s="3" t="str">
        <f>IFERROR(INDEX(Movimientos!$G$5:$G$2001,MATCH(A661&amp;"ENTRADA",Movimientos!$R$5:$R$2001,0)),"-")</f>
        <v>-</v>
      </c>
      <c r="G661" s="3" t="str">
        <f>IFERROR(INDEX(Movimientos!$L$5:$L$2001,MATCH(A661&amp;"ENTRADA",Movimientos!$R$5:$R$2001,0)),"-")</f>
        <v>-</v>
      </c>
      <c r="H661" s="19" t="str">
        <f>IFERROR(IF(INDEX(Movimientos!$M$5:$M$2001,MATCH(A661&amp;"ENTRADA",Movimientos!$R$5:$R$2001,0))=0,"S/D",INDEX(Movimientos!$M$5:$M$2001,MATCH(A661&amp;"ENTRADA",Movimientos!$R$5:$R$2001,0))),"S/D")</f>
        <v>S/D</v>
      </c>
      <c r="I661" s="16" t="str">
        <f t="shared" ca="1" si="22"/>
        <v>S/D</v>
      </c>
      <c r="J661" s="6">
        <f>IF(A661="","",SUMIFS(Movimientos!$K:$K,Movimientos!$H:$H,A661))</f>
        <v>0</v>
      </c>
      <c r="K661" s="14" t="str">
        <f t="shared" ca="1" si="23"/>
        <v>OK</v>
      </c>
    </row>
    <row r="662" spans="1:11">
      <c r="A662" s="18" t="s">
        <v>2723</v>
      </c>
      <c r="B662" s="3" t="str">
        <f>IFERROR(INDEX(Movimientos!$C$5:$C$2001,MATCH(A662&amp;"ENTRADA",Movimientos!$R$5:$R$2001,0)),"-")</f>
        <v>-</v>
      </c>
      <c r="C662" s="3" t="str">
        <f>IFERROR(INDEX(Movimientos!$D$5:$D$2001,MATCH(A662&amp;"ENTRADA",Movimientos!$R$5:$R$2001,0)),"-")</f>
        <v>-</v>
      </c>
      <c r="D662" s="3" t="str">
        <f>IFERROR(INDEX(Movimientos!$E$5:$E$2001,MATCH(A662&amp;"ENTRADA",Movimientos!$R$5:$R$2001,0)),"-")</f>
        <v>-</v>
      </c>
      <c r="E662" s="3" t="str">
        <f>IFERROR(INDEX(Movimientos!$F$5:$F$2001,MATCH(A662&amp;"ENTRADA",Movimientos!$R$5:$R$2001,0)),"-")</f>
        <v>-</v>
      </c>
      <c r="F662" s="3" t="str">
        <f>IFERROR(INDEX(Movimientos!$G$5:$G$2001,MATCH(A662&amp;"ENTRADA",Movimientos!$R$5:$R$2001,0)),"-")</f>
        <v>-</v>
      </c>
      <c r="G662" s="3" t="str">
        <f>IFERROR(INDEX(Movimientos!$L$5:$L$2001,MATCH(A662&amp;"ENTRADA",Movimientos!$R$5:$R$2001,0)),"-")</f>
        <v>-</v>
      </c>
      <c r="H662" s="19" t="str">
        <f>IFERROR(IF(INDEX(Movimientos!$M$5:$M$2001,MATCH(A662&amp;"ENTRADA",Movimientos!$R$5:$R$2001,0))=0,"S/D",INDEX(Movimientos!$M$5:$M$2001,MATCH(A662&amp;"ENTRADA",Movimientos!$R$5:$R$2001,0))),"S/D")</f>
        <v>S/D</v>
      </c>
      <c r="I662" s="16" t="str">
        <f t="shared" ca="1" si="22"/>
        <v>S/D</v>
      </c>
      <c r="J662" s="6">
        <f>IF(A662="","",SUMIFS(Movimientos!$K:$K,Movimientos!$H:$H,A662))</f>
        <v>0</v>
      </c>
      <c r="K662" s="14" t="str">
        <f t="shared" ca="1" si="23"/>
        <v>OK</v>
      </c>
    </row>
    <row r="663" spans="1:11">
      <c r="A663" s="18" t="s">
        <v>2724</v>
      </c>
      <c r="B663" s="3" t="str">
        <f>IFERROR(INDEX(Movimientos!$C$5:$C$2001,MATCH(A663&amp;"ENTRADA",Movimientos!$R$5:$R$2001,0)),"-")</f>
        <v>-</v>
      </c>
      <c r="C663" s="3" t="str">
        <f>IFERROR(INDEX(Movimientos!$D$5:$D$2001,MATCH(A663&amp;"ENTRADA",Movimientos!$R$5:$R$2001,0)),"-")</f>
        <v>-</v>
      </c>
      <c r="D663" s="3" t="str">
        <f>IFERROR(INDEX(Movimientos!$E$5:$E$2001,MATCH(A663&amp;"ENTRADA",Movimientos!$R$5:$R$2001,0)),"-")</f>
        <v>-</v>
      </c>
      <c r="E663" s="3" t="str">
        <f>IFERROR(INDEX(Movimientos!$F$5:$F$2001,MATCH(A663&amp;"ENTRADA",Movimientos!$R$5:$R$2001,0)),"-")</f>
        <v>-</v>
      </c>
      <c r="F663" s="3" t="str">
        <f>IFERROR(INDEX(Movimientos!$G$5:$G$2001,MATCH(A663&amp;"ENTRADA",Movimientos!$R$5:$R$2001,0)),"-")</f>
        <v>-</v>
      </c>
      <c r="G663" s="3" t="str">
        <f>IFERROR(INDEX(Movimientos!$L$5:$L$2001,MATCH(A663&amp;"ENTRADA",Movimientos!$R$5:$R$2001,0)),"-")</f>
        <v>-</v>
      </c>
      <c r="H663" s="19" t="str">
        <f>IFERROR(IF(INDEX(Movimientos!$M$5:$M$2001,MATCH(A663&amp;"ENTRADA",Movimientos!$R$5:$R$2001,0))=0,"S/D",INDEX(Movimientos!$M$5:$M$2001,MATCH(A663&amp;"ENTRADA",Movimientos!$R$5:$R$2001,0))),"S/D")</f>
        <v>S/D</v>
      </c>
      <c r="I663" s="16" t="str">
        <f t="shared" ca="1" si="22"/>
        <v>S/D</v>
      </c>
      <c r="J663" s="6">
        <f>IF(A663="","",SUMIFS(Movimientos!$K:$K,Movimientos!$H:$H,A663))</f>
        <v>0</v>
      </c>
      <c r="K663" s="14" t="str">
        <f t="shared" ca="1" si="23"/>
        <v>OK</v>
      </c>
    </row>
    <row r="664" spans="1:11">
      <c r="A664" s="18" t="s">
        <v>2725</v>
      </c>
      <c r="B664" s="3" t="str">
        <f>IFERROR(INDEX(Movimientos!$C$5:$C$2001,MATCH(A664&amp;"ENTRADA",Movimientos!$R$5:$R$2001,0)),"-")</f>
        <v>-</v>
      </c>
      <c r="C664" s="3" t="str">
        <f>IFERROR(INDEX(Movimientos!$D$5:$D$2001,MATCH(A664&amp;"ENTRADA",Movimientos!$R$5:$R$2001,0)),"-")</f>
        <v>-</v>
      </c>
      <c r="D664" s="3" t="str">
        <f>IFERROR(INDEX(Movimientos!$E$5:$E$2001,MATCH(A664&amp;"ENTRADA",Movimientos!$R$5:$R$2001,0)),"-")</f>
        <v>-</v>
      </c>
      <c r="E664" s="3" t="str">
        <f>IFERROR(INDEX(Movimientos!$F$5:$F$2001,MATCH(A664&amp;"ENTRADA",Movimientos!$R$5:$R$2001,0)),"-")</f>
        <v>-</v>
      </c>
      <c r="F664" s="3" t="str">
        <f>IFERROR(INDEX(Movimientos!$G$5:$G$2001,MATCH(A664&amp;"ENTRADA",Movimientos!$R$5:$R$2001,0)),"-")</f>
        <v>-</v>
      </c>
      <c r="G664" s="3" t="str">
        <f>IFERROR(INDEX(Movimientos!$L$5:$L$2001,MATCH(A664&amp;"ENTRADA",Movimientos!$R$5:$R$2001,0)),"-")</f>
        <v>-</v>
      </c>
      <c r="H664" s="19" t="str">
        <f>IFERROR(IF(INDEX(Movimientos!$M$5:$M$2001,MATCH(A664&amp;"ENTRADA",Movimientos!$R$5:$R$2001,0))=0,"S/D",INDEX(Movimientos!$M$5:$M$2001,MATCH(A664&amp;"ENTRADA",Movimientos!$R$5:$R$2001,0))),"S/D")</f>
        <v>S/D</v>
      </c>
      <c r="I664" s="16" t="str">
        <f t="shared" ca="1" si="22"/>
        <v>S/D</v>
      </c>
      <c r="J664" s="6">
        <f>IF(A664="","",SUMIFS(Movimientos!$K:$K,Movimientos!$H:$H,A664))</f>
        <v>0</v>
      </c>
      <c r="K664" s="14" t="str">
        <f t="shared" ca="1" si="23"/>
        <v>OK</v>
      </c>
    </row>
    <row r="665" spans="1:11">
      <c r="A665" s="18" t="s">
        <v>2726</v>
      </c>
      <c r="B665" s="3" t="str">
        <f>IFERROR(INDEX(Movimientos!$C$5:$C$2001,MATCH(A665&amp;"ENTRADA",Movimientos!$R$5:$R$2001,0)),"-")</f>
        <v>-</v>
      </c>
      <c r="C665" s="3" t="str">
        <f>IFERROR(INDEX(Movimientos!$D$5:$D$2001,MATCH(A665&amp;"ENTRADA",Movimientos!$R$5:$R$2001,0)),"-")</f>
        <v>-</v>
      </c>
      <c r="D665" s="3" t="str">
        <f>IFERROR(INDEX(Movimientos!$E$5:$E$2001,MATCH(A665&amp;"ENTRADA",Movimientos!$R$5:$R$2001,0)),"-")</f>
        <v>-</v>
      </c>
      <c r="E665" s="3" t="str">
        <f>IFERROR(INDEX(Movimientos!$F$5:$F$2001,MATCH(A665&amp;"ENTRADA",Movimientos!$R$5:$R$2001,0)),"-")</f>
        <v>-</v>
      </c>
      <c r="F665" s="3" t="str">
        <f>IFERROR(INDEX(Movimientos!$G$5:$G$2001,MATCH(A665&amp;"ENTRADA",Movimientos!$R$5:$R$2001,0)),"-")</f>
        <v>-</v>
      </c>
      <c r="G665" s="3" t="str">
        <f>IFERROR(INDEX(Movimientos!$L$5:$L$2001,MATCH(A665&amp;"ENTRADA",Movimientos!$R$5:$R$2001,0)),"-")</f>
        <v>-</v>
      </c>
      <c r="H665" s="19" t="str">
        <f>IFERROR(IF(INDEX(Movimientos!$M$5:$M$2001,MATCH(A665&amp;"ENTRADA",Movimientos!$R$5:$R$2001,0))=0,"S/D",INDEX(Movimientos!$M$5:$M$2001,MATCH(A665&amp;"ENTRADA",Movimientos!$R$5:$R$2001,0))),"S/D")</f>
        <v>S/D</v>
      </c>
      <c r="I665" s="16" t="str">
        <f t="shared" ca="1" si="22"/>
        <v>S/D</v>
      </c>
      <c r="J665" s="6">
        <f>IF(A665="","",SUMIFS(Movimientos!$K:$K,Movimientos!$H:$H,A665))</f>
        <v>0</v>
      </c>
      <c r="K665" s="14" t="str">
        <f t="shared" ca="1" si="23"/>
        <v>OK</v>
      </c>
    </row>
    <row r="666" spans="1:11">
      <c r="A666" s="18" t="s">
        <v>2727</v>
      </c>
      <c r="B666" s="3" t="str">
        <f>IFERROR(INDEX(Movimientos!$C$5:$C$2001,MATCH(A666&amp;"ENTRADA",Movimientos!$R$5:$R$2001,0)),"-")</f>
        <v>-</v>
      </c>
      <c r="C666" s="3" t="str">
        <f>IFERROR(INDEX(Movimientos!$D$5:$D$2001,MATCH(A666&amp;"ENTRADA",Movimientos!$R$5:$R$2001,0)),"-")</f>
        <v>-</v>
      </c>
      <c r="D666" s="3" t="str">
        <f>IFERROR(INDEX(Movimientos!$E$5:$E$2001,MATCH(A666&amp;"ENTRADA",Movimientos!$R$5:$R$2001,0)),"-")</f>
        <v>-</v>
      </c>
      <c r="E666" s="3" t="str">
        <f>IFERROR(INDEX(Movimientos!$F$5:$F$2001,MATCH(A666&amp;"ENTRADA",Movimientos!$R$5:$R$2001,0)),"-")</f>
        <v>-</v>
      </c>
      <c r="F666" s="3" t="str">
        <f>IFERROR(INDEX(Movimientos!$G$5:$G$2001,MATCH(A666&amp;"ENTRADA",Movimientos!$R$5:$R$2001,0)),"-")</f>
        <v>-</v>
      </c>
      <c r="G666" s="3" t="str">
        <f>IFERROR(INDEX(Movimientos!$L$5:$L$2001,MATCH(A666&amp;"ENTRADA",Movimientos!$R$5:$R$2001,0)),"-")</f>
        <v>-</v>
      </c>
      <c r="H666" s="19" t="str">
        <f>IFERROR(IF(INDEX(Movimientos!$M$5:$M$2001,MATCH(A666&amp;"ENTRADA",Movimientos!$R$5:$R$2001,0))=0,"S/D",INDEX(Movimientos!$M$5:$M$2001,MATCH(A666&amp;"ENTRADA",Movimientos!$R$5:$R$2001,0))),"S/D")</f>
        <v>S/D</v>
      </c>
      <c r="I666" s="16" t="str">
        <f t="shared" ca="1" si="22"/>
        <v>S/D</v>
      </c>
      <c r="J666" s="6">
        <f>IF(A666="","",SUMIFS(Movimientos!$K:$K,Movimientos!$H:$H,A666))</f>
        <v>0</v>
      </c>
      <c r="K666" s="14" t="str">
        <f t="shared" ca="1" si="23"/>
        <v>OK</v>
      </c>
    </row>
    <row r="667" spans="1:11">
      <c r="A667" s="18" t="s">
        <v>2728</v>
      </c>
      <c r="B667" s="3" t="str">
        <f>IFERROR(INDEX(Movimientos!$C$5:$C$2001,MATCH(A667&amp;"ENTRADA",Movimientos!$R$5:$R$2001,0)),"-")</f>
        <v>-</v>
      </c>
      <c r="C667" s="3" t="str">
        <f>IFERROR(INDEX(Movimientos!$D$5:$D$2001,MATCH(A667&amp;"ENTRADA",Movimientos!$R$5:$R$2001,0)),"-")</f>
        <v>-</v>
      </c>
      <c r="D667" s="3" t="str">
        <f>IFERROR(INDEX(Movimientos!$E$5:$E$2001,MATCH(A667&amp;"ENTRADA",Movimientos!$R$5:$R$2001,0)),"-")</f>
        <v>-</v>
      </c>
      <c r="E667" s="3" t="str">
        <f>IFERROR(INDEX(Movimientos!$F$5:$F$2001,MATCH(A667&amp;"ENTRADA",Movimientos!$R$5:$R$2001,0)),"-")</f>
        <v>-</v>
      </c>
      <c r="F667" s="3" t="str">
        <f>IFERROR(INDEX(Movimientos!$G$5:$G$2001,MATCH(A667&amp;"ENTRADA",Movimientos!$R$5:$R$2001,0)),"-")</f>
        <v>-</v>
      </c>
      <c r="G667" s="3" t="str">
        <f>IFERROR(INDEX(Movimientos!$L$5:$L$2001,MATCH(A667&amp;"ENTRADA",Movimientos!$R$5:$R$2001,0)),"-")</f>
        <v>-</v>
      </c>
      <c r="H667" s="19" t="str">
        <f>IFERROR(IF(INDEX(Movimientos!$M$5:$M$2001,MATCH(A667&amp;"ENTRADA",Movimientos!$R$5:$R$2001,0))=0,"S/D",INDEX(Movimientos!$M$5:$M$2001,MATCH(A667&amp;"ENTRADA",Movimientos!$R$5:$R$2001,0))),"S/D")</f>
        <v>S/D</v>
      </c>
      <c r="I667" s="16" t="str">
        <f t="shared" ca="1" si="22"/>
        <v>S/D</v>
      </c>
      <c r="J667" s="6">
        <f>IF(A667="","",SUMIFS(Movimientos!$K:$K,Movimientos!$H:$H,A667))</f>
        <v>0</v>
      </c>
      <c r="K667" s="14" t="str">
        <f t="shared" ca="1" si="23"/>
        <v>OK</v>
      </c>
    </row>
    <row r="668" spans="1:11">
      <c r="A668" s="18" t="s">
        <v>2729</v>
      </c>
      <c r="B668" s="3" t="str">
        <f>IFERROR(INDEX(Movimientos!$C$5:$C$2001,MATCH(A668&amp;"ENTRADA",Movimientos!$R$5:$R$2001,0)),"-")</f>
        <v>-</v>
      </c>
      <c r="C668" s="3" t="str">
        <f>IFERROR(INDEX(Movimientos!$D$5:$D$2001,MATCH(A668&amp;"ENTRADA",Movimientos!$R$5:$R$2001,0)),"-")</f>
        <v>-</v>
      </c>
      <c r="D668" s="3" t="str">
        <f>IFERROR(INDEX(Movimientos!$E$5:$E$2001,MATCH(A668&amp;"ENTRADA",Movimientos!$R$5:$R$2001,0)),"-")</f>
        <v>-</v>
      </c>
      <c r="E668" s="3" t="str">
        <f>IFERROR(INDEX(Movimientos!$F$5:$F$2001,MATCH(A668&amp;"ENTRADA",Movimientos!$R$5:$R$2001,0)),"-")</f>
        <v>-</v>
      </c>
      <c r="F668" s="3" t="str">
        <f>IFERROR(INDEX(Movimientos!$G$5:$G$2001,MATCH(A668&amp;"ENTRADA",Movimientos!$R$5:$R$2001,0)),"-")</f>
        <v>-</v>
      </c>
      <c r="G668" s="3" t="str">
        <f>IFERROR(INDEX(Movimientos!$L$5:$L$2001,MATCH(A668&amp;"ENTRADA",Movimientos!$R$5:$R$2001,0)),"-")</f>
        <v>-</v>
      </c>
      <c r="H668" s="19" t="str">
        <f>IFERROR(IF(INDEX(Movimientos!$M$5:$M$2001,MATCH(A668&amp;"ENTRADA",Movimientos!$R$5:$R$2001,0))=0,"S/D",INDEX(Movimientos!$M$5:$M$2001,MATCH(A668&amp;"ENTRADA",Movimientos!$R$5:$R$2001,0))),"S/D")</f>
        <v>S/D</v>
      </c>
      <c r="I668" s="16" t="str">
        <f t="shared" ca="1" si="22"/>
        <v>S/D</v>
      </c>
      <c r="J668" s="6">
        <f>IF(A668="","",SUMIFS(Movimientos!$K:$K,Movimientos!$H:$H,A668))</f>
        <v>0</v>
      </c>
      <c r="K668" s="14" t="str">
        <f t="shared" ca="1" si="23"/>
        <v>OK</v>
      </c>
    </row>
    <row r="669" spans="1:11">
      <c r="A669" s="18" t="s">
        <v>2730</v>
      </c>
      <c r="B669" s="3" t="str">
        <f>IFERROR(INDEX(Movimientos!$C$5:$C$2001,MATCH(A669&amp;"ENTRADA",Movimientos!$R$5:$R$2001,0)),"-")</f>
        <v>-</v>
      </c>
      <c r="C669" s="3" t="str">
        <f>IFERROR(INDEX(Movimientos!$D$5:$D$2001,MATCH(A669&amp;"ENTRADA",Movimientos!$R$5:$R$2001,0)),"-")</f>
        <v>-</v>
      </c>
      <c r="D669" s="3" t="str">
        <f>IFERROR(INDEX(Movimientos!$E$5:$E$2001,MATCH(A669&amp;"ENTRADA",Movimientos!$R$5:$R$2001,0)),"-")</f>
        <v>-</v>
      </c>
      <c r="E669" s="3" t="str">
        <f>IFERROR(INDEX(Movimientos!$F$5:$F$2001,MATCH(A669&amp;"ENTRADA",Movimientos!$R$5:$R$2001,0)),"-")</f>
        <v>-</v>
      </c>
      <c r="F669" s="3" t="str">
        <f>IFERROR(INDEX(Movimientos!$G$5:$G$2001,MATCH(A669&amp;"ENTRADA",Movimientos!$R$5:$R$2001,0)),"-")</f>
        <v>-</v>
      </c>
      <c r="G669" s="3" t="str">
        <f>IFERROR(INDEX(Movimientos!$L$5:$L$2001,MATCH(A669&amp;"ENTRADA",Movimientos!$R$5:$R$2001,0)),"-")</f>
        <v>-</v>
      </c>
      <c r="H669" s="19" t="str">
        <f>IFERROR(IF(INDEX(Movimientos!$M$5:$M$2001,MATCH(A669&amp;"ENTRADA",Movimientos!$R$5:$R$2001,0))=0,"S/D",INDEX(Movimientos!$M$5:$M$2001,MATCH(A669&amp;"ENTRADA",Movimientos!$R$5:$R$2001,0))),"S/D")</f>
        <v>S/D</v>
      </c>
      <c r="I669" s="16" t="str">
        <f t="shared" ca="1" si="22"/>
        <v>S/D</v>
      </c>
      <c r="J669" s="6">
        <f>IF(A669="","",SUMIFS(Movimientos!$K:$K,Movimientos!$H:$H,A669))</f>
        <v>0</v>
      </c>
      <c r="K669" s="14" t="str">
        <f t="shared" ca="1" si="23"/>
        <v>OK</v>
      </c>
    </row>
    <row r="670" spans="1:11">
      <c r="A670" s="18" t="s">
        <v>2731</v>
      </c>
      <c r="B670" s="3" t="str">
        <f>IFERROR(INDEX(Movimientos!$C$5:$C$2001,MATCH(A670&amp;"ENTRADA",Movimientos!$R$5:$R$2001,0)),"-")</f>
        <v>-</v>
      </c>
      <c r="C670" s="3" t="str">
        <f>IFERROR(INDEX(Movimientos!$D$5:$D$2001,MATCH(A670&amp;"ENTRADA",Movimientos!$R$5:$R$2001,0)),"-")</f>
        <v>-</v>
      </c>
      <c r="D670" s="3" t="str">
        <f>IFERROR(INDEX(Movimientos!$E$5:$E$2001,MATCH(A670&amp;"ENTRADA",Movimientos!$R$5:$R$2001,0)),"-")</f>
        <v>-</v>
      </c>
      <c r="E670" s="3" t="str">
        <f>IFERROR(INDEX(Movimientos!$F$5:$F$2001,MATCH(A670&amp;"ENTRADA",Movimientos!$R$5:$R$2001,0)),"-")</f>
        <v>-</v>
      </c>
      <c r="F670" s="3" t="str">
        <f>IFERROR(INDEX(Movimientos!$G$5:$G$2001,MATCH(A670&amp;"ENTRADA",Movimientos!$R$5:$R$2001,0)),"-")</f>
        <v>-</v>
      </c>
      <c r="G670" s="3" t="str">
        <f>IFERROR(INDEX(Movimientos!$L$5:$L$2001,MATCH(A670&amp;"ENTRADA",Movimientos!$R$5:$R$2001,0)),"-")</f>
        <v>-</v>
      </c>
      <c r="H670" s="19" t="str">
        <f>IFERROR(IF(INDEX(Movimientos!$M$5:$M$2001,MATCH(A670&amp;"ENTRADA",Movimientos!$R$5:$R$2001,0))=0,"S/D",INDEX(Movimientos!$M$5:$M$2001,MATCH(A670&amp;"ENTRADA",Movimientos!$R$5:$R$2001,0))),"S/D")</f>
        <v>S/D</v>
      </c>
      <c r="I670" s="16" t="str">
        <f t="shared" ca="1" si="22"/>
        <v>S/D</v>
      </c>
      <c r="J670" s="6">
        <f>IF(A670="","",SUMIFS(Movimientos!$K:$K,Movimientos!$H:$H,A670))</f>
        <v>0</v>
      </c>
      <c r="K670" s="14" t="str">
        <f t="shared" ca="1" si="23"/>
        <v>OK</v>
      </c>
    </row>
    <row r="671" spans="1:11">
      <c r="A671" s="18" t="s">
        <v>2732</v>
      </c>
      <c r="B671" s="3" t="str">
        <f>IFERROR(INDEX(Movimientos!$C$5:$C$2001,MATCH(A671&amp;"ENTRADA",Movimientos!$R$5:$R$2001,0)),"-")</f>
        <v>-</v>
      </c>
      <c r="C671" s="3" t="str">
        <f>IFERROR(INDEX(Movimientos!$D$5:$D$2001,MATCH(A671&amp;"ENTRADA",Movimientos!$R$5:$R$2001,0)),"-")</f>
        <v>-</v>
      </c>
      <c r="D671" s="3" t="str">
        <f>IFERROR(INDEX(Movimientos!$E$5:$E$2001,MATCH(A671&amp;"ENTRADA",Movimientos!$R$5:$R$2001,0)),"-")</f>
        <v>-</v>
      </c>
      <c r="E671" s="3" t="str">
        <f>IFERROR(INDEX(Movimientos!$F$5:$F$2001,MATCH(A671&amp;"ENTRADA",Movimientos!$R$5:$R$2001,0)),"-")</f>
        <v>-</v>
      </c>
      <c r="F671" s="3" t="str">
        <f>IFERROR(INDEX(Movimientos!$G$5:$G$2001,MATCH(A671&amp;"ENTRADA",Movimientos!$R$5:$R$2001,0)),"-")</f>
        <v>-</v>
      </c>
      <c r="G671" s="3" t="str">
        <f>IFERROR(INDEX(Movimientos!$L$5:$L$2001,MATCH(A671&amp;"ENTRADA",Movimientos!$R$5:$R$2001,0)),"-")</f>
        <v>-</v>
      </c>
      <c r="H671" s="19" t="str">
        <f>IFERROR(IF(INDEX(Movimientos!$M$5:$M$2001,MATCH(A671&amp;"ENTRADA",Movimientos!$R$5:$R$2001,0))=0,"S/D",INDEX(Movimientos!$M$5:$M$2001,MATCH(A671&amp;"ENTRADA",Movimientos!$R$5:$R$2001,0))),"S/D")</f>
        <v>S/D</v>
      </c>
      <c r="I671" s="16" t="str">
        <f t="shared" ca="1" si="22"/>
        <v>S/D</v>
      </c>
      <c r="J671" s="6">
        <f>IF(A671="","",SUMIFS(Movimientos!$K:$K,Movimientos!$H:$H,A671))</f>
        <v>0</v>
      </c>
      <c r="K671" s="14" t="str">
        <f t="shared" ca="1" si="23"/>
        <v>OK</v>
      </c>
    </row>
    <row r="672" spans="1:11">
      <c r="A672" s="18" t="s">
        <v>2733</v>
      </c>
      <c r="B672" s="3" t="str">
        <f>IFERROR(INDEX(Movimientos!$C$5:$C$2001,MATCH(A672&amp;"ENTRADA",Movimientos!$R$5:$R$2001,0)),"-")</f>
        <v>-</v>
      </c>
      <c r="C672" s="3" t="str">
        <f>IFERROR(INDEX(Movimientos!$D$5:$D$2001,MATCH(A672&amp;"ENTRADA",Movimientos!$R$5:$R$2001,0)),"-")</f>
        <v>-</v>
      </c>
      <c r="D672" s="3" t="str">
        <f>IFERROR(INDEX(Movimientos!$E$5:$E$2001,MATCH(A672&amp;"ENTRADA",Movimientos!$R$5:$R$2001,0)),"-")</f>
        <v>-</v>
      </c>
      <c r="E672" s="3" t="str">
        <f>IFERROR(INDEX(Movimientos!$F$5:$F$2001,MATCH(A672&amp;"ENTRADA",Movimientos!$R$5:$R$2001,0)),"-")</f>
        <v>-</v>
      </c>
      <c r="F672" s="3" t="str">
        <f>IFERROR(INDEX(Movimientos!$G$5:$G$2001,MATCH(A672&amp;"ENTRADA",Movimientos!$R$5:$R$2001,0)),"-")</f>
        <v>-</v>
      </c>
      <c r="G672" s="3" t="str">
        <f>IFERROR(INDEX(Movimientos!$L$5:$L$2001,MATCH(A672&amp;"ENTRADA",Movimientos!$R$5:$R$2001,0)),"-")</f>
        <v>-</v>
      </c>
      <c r="H672" s="19" t="str">
        <f>IFERROR(IF(INDEX(Movimientos!$M$5:$M$2001,MATCH(A672&amp;"ENTRADA",Movimientos!$R$5:$R$2001,0))=0,"S/D",INDEX(Movimientos!$M$5:$M$2001,MATCH(A672&amp;"ENTRADA",Movimientos!$R$5:$R$2001,0))),"S/D")</f>
        <v>S/D</v>
      </c>
      <c r="I672" s="16" t="str">
        <f t="shared" ca="1" si="22"/>
        <v>S/D</v>
      </c>
      <c r="J672" s="6">
        <f>IF(A672="","",SUMIFS(Movimientos!$K:$K,Movimientos!$H:$H,A672))</f>
        <v>0</v>
      </c>
      <c r="K672" s="14" t="str">
        <f t="shared" ca="1" si="23"/>
        <v>OK</v>
      </c>
    </row>
    <row r="673" spans="1:11">
      <c r="A673" s="18" t="s">
        <v>2734</v>
      </c>
      <c r="B673" s="3" t="str">
        <f>IFERROR(INDEX(Movimientos!$C$5:$C$2001,MATCH(A673&amp;"ENTRADA",Movimientos!$R$5:$R$2001,0)),"-")</f>
        <v>-</v>
      </c>
      <c r="C673" s="3" t="str">
        <f>IFERROR(INDEX(Movimientos!$D$5:$D$2001,MATCH(A673&amp;"ENTRADA",Movimientos!$R$5:$R$2001,0)),"-")</f>
        <v>-</v>
      </c>
      <c r="D673" s="3" t="str">
        <f>IFERROR(INDEX(Movimientos!$E$5:$E$2001,MATCH(A673&amp;"ENTRADA",Movimientos!$R$5:$R$2001,0)),"-")</f>
        <v>-</v>
      </c>
      <c r="E673" s="3" t="str">
        <f>IFERROR(INDEX(Movimientos!$F$5:$F$2001,MATCH(A673&amp;"ENTRADA",Movimientos!$R$5:$R$2001,0)),"-")</f>
        <v>-</v>
      </c>
      <c r="F673" s="3" t="str">
        <f>IFERROR(INDEX(Movimientos!$G$5:$G$2001,MATCH(A673&amp;"ENTRADA",Movimientos!$R$5:$R$2001,0)),"-")</f>
        <v>-</v>
      </c>
      <c r="G673" s="3" t="str">
        <f>IFERROR(INDEX(Movimientos!$L$5:$L$2001,MATCH(A673&amp;"ENTRADA",Movimientos!$R$5:$R$2001,0)),"-")</f>
        <v>-</v>
      </c>
      <c r="H673" s="19" t="str">
        <f>IFERROR(IF(INDEX(Movimientos!$M$5:$M$2001,MATCH(A673&amp;"ENTRADA",Movimientos!$R$5:$R$2001,0))=0,"S/D",INDEX(Movimientos!$M$5:$M$2001,MATCH(A673&amp;"ENTRADA",Movimientos!$R$5:$R$2001,0))),"S/D")</f>
        <v>S/D</v>
      </c>
      <c r="I673" s="16" t="str">
        <f t="shared" ca="1" si="22"/>
        <v>S/D</v>
      </c>
      <c r="J673" s="6">
        <f>IF(A673="","",SUMIFS(Movimientos!$K:$K,Movimientos!$H:$H,A673))</f>
        <v>0</v>
      </c>
      <c r="K673" s="14" t="str">
        <f t="shared" ca="1" si="23"/>
        <v>OK</v>
      </c>
    </row>
    <row r="674" spans="1:11">
      <c r="A674" s="18" t="s">
        <v>2735</v>
      </c>
      <c r="B674" s="3" t="str">
        <f>IFERROR(INDEX(Movimientos!$C$5:$C$2001,MATCH(A674&amp;"ENTRADA",Movimientos!$R$5:$R$2001,0)),"-")</f>
        <v>-</v>
      </c>
      <c r="C674" s="3" t="str">
        <f>IFERROR(INDEX(Movimientos!$D$5:$D$2001,MATCH(A674&amp;"ENTRADA",Movimientos!$R$5:$R$2001,0)),"-")</f>
        <v>-</v>
      </c>
      <c r="D674" s="3" t="str">
        <f>IFERROR(INDEX(Movimientos!$E$5:$E$2001,MATCH(A674&amp;"ENTRADA",Movimientos!$R$5:$R$2001,0)),"-")</f>
        <v>-</v>
      </c>
      <c r="E674" s="3" t="str">
        <f>IFERROR(INDEX(Movimientos!$F$5:$F$2001,MATCH(A674&amp;"ENTRADA",Movimientos!$R$5:$R$2001,0)),"-")</f>
        <v>-</v>
      </c>
      <c r="F674" s="3" t="str">
        <f>IFERROR(INDEX(Movimientos!$G$5:$G$2001,MATCH(A674&amp;"ENTRADA",Movimientos!$R$5:$R$2001,0)),"-")</f>
        <v>-</v>
      </c>
      <c r="G674" s="3" t="str">
        <f>IFERROR(INDEX(Movimientos!$L$5:$L$2001,MATCH(A674&amp;"ENTRADA",Movimientos!$R$5:$R$2001,0)),"-")</f>
        <v>-</v>
      </c>
      <c r="H674" s="19" t="str">
        <f>IFERROR(IF(INDEX(Movimientos!$M$5:$M$2001,MATCH(A674&amp;"ENTRADA",Movimientos!$R$5:$R$2001,0))=0,"S/D",INDEX(Movimientos!$M$5:$M$2001,MATCH(A674&amp;"ENTRADA",Movimientos!$R$5:$R$2001,0))),"S/D")</f>
        <v>S/D</v>
      </c>
      <c r="I674" s="16" t="str">
        <f t="shared" ca="1" si="22"/>
        <v>S/D</v>
      </c>
      <c r="J674" s="6">
        <f>IF(A674="","",SUMIFS(Movimientos!$K:$K,Movimientos!$H:$H,A674))</f>
        <v>0</v>
      </c>
      <c r="K674" s="14" t="str">
        <f t="shared" ca="1" si="23"/>
        <v>OK</v>
      </c>
    </row>
    <row r="675" spans="1:11">
      <c r="A675" s="18" t="s">
        <v>2736</v>
      </c>
      <c r="B675" s="3" t="str">
        <f>IFERROR(INDEX(Movimientos!$C$5:$C$2001,MATCH(A675&amp;"ENTRADA",Movimientos!$R$5:$R$2001,0)),"-")</f>
        <v>-</v>
      </c>
      <c r="C675" s="3" t="str">
        <f>IFERROR(INDEX(Movimientos!$D$5:$D$2001,MATCH(A675&amp;"ENTRADA",Movimientos!$R$5:$R$2001,0)),"-")</f>
        <v>-</v>
      </c>
      <c r="D675" s="3" t="str">
        <f>IFERROR(INDEX(Movimientos!$E$5:$E$2001,MATCH(A675&amp;"ENTRADA",Movimientos!$R$5:$R$2001,0)),"-")</f>
        <v>-</v>
      </c>
      <c r="E675" s="3" t="str">
        <f>IFERROR(INDEX(Movimientos!$F$5:$F$2001,MATCH(A675&amp;"ENTRADA",Movimientos!$R$5:$R$2001,0)),"-")</f>
        <v>-</v>
      </c>
      <c r="F675" s="3" t="str">
        <f>IFERROR(INDEX(Movimientos!$G$5:$G$2001,MATCH(A675&amp;"ENTRADA",Movimientos!$R$5:$R$2001,0)),"-")</f>
        <v>-</v>
      </c>
      <c r="G675" s="3" t="str">
        <f>IFERROR(INDEX(Movimientos!$L$5:$L$2001,MATCH(A675&amp;"ENTRADA",Movimientos!$R$5:$R$2001,0)),"-")</f>
        <v>-</v>
      </c>
      <c r="H675" s="19" t="str">
        <f>IFERROR(IF(INDEX(Movimientos!$M$5:$M$2001,MATCH(A675&amp;"ENTRADA",Movimientos!$R$5:$R$2001,0))=0,"S/D",INDEX(Movimientos!$M$5:$M$2001,MATCH(A675&amp;"ENTRADA",Movimientos!$R$5:$R$2001,0))),"S/D")</f>
        <v>S/D</v>
      </c>
      <c r="I675" s="16" t="str">
        <f t="shared" ca="1" si="22"/>
        <v>S/D</v>
      </c>
      <c r="J675" s="6">
        <f>IF(A675="","",SUMIFS(Movimientos!$K:$K,Movimientos!$H:$H,A675))</f>
        <v>0</v>
      </c>
      <c r="K675" s="14" t="str">
        <f t="shared" ca="1" si="23"/>
        <v>OK</v>
      </c>
    </row>
    <row r="676" spans="1:11">
      <c r="A676" s="18" t="s">
        <v>2737</v>
      </c>
      <c r="B676" s="3" t="str">
        <f>IFERROR(INDEX(Movimientos!$C$5:$C$2001,MATCH(A676&amp;"ENTRADA",Movimientos!$R$5:$R$2001,0)),"-")</f>
        <v>-</v>
      </c>
      <c r="C676" s="3" t="str">
        <f>IFERROR(INDEX(Movimientos!$D$5:$D$2001,MATCH(A676&amp;"ENTRADA",Movimientos!$R$5:$R$2001,0)),"-")</f>
        <v>-</v>
      </c>
      <c r="D676" s="3" t="str">
        <f>IFERROR(INDEX(Movimientos!$E$5:$E$2001,MATCH(A676&amp;"ENTRADA",Movimientos!$R$5:$R$2001,0)),"-")</f>
        <v>-</v>
      </c>
      <c r="E676" s="3" t="str">
        <f>IFERROR(INDEX(Movimientos!$F$5:$F$2001,MATCH(A676&amp;"ENTRADA",Movimientos!$R$5:$R$2001,0)),"-")</f>
        <v>-</v>
      </c>
      <c r="F676" s="3" t="str">
        <f>IFERROR(INDEX(Movimientos!$G$5:$G$2001,MATCH(A676&amp;"ENTRADA",Movimientos!$R$5:$R$2001,0)),"-")</f>
        <v>-</v>
      </c>
      <c r="G676" s="3" t="str">
        <f>IFERROR(INDEX(Movimientos!$L$5:$L$2001,MATCH(A676&amp;"ENTRADA",Movimientos!$R$5:$R$2001,0)),"-")</f>
        <v>-</v>
      </c>
      <c r="H676" s="19" t="str">
        <f>IFERROR(IF(INDEX(Movimientos!$M$5:$M$2001,MATCH(A676&amp;"ENTRADA",Movimientos!$R$5:$R$2001,0))=0,"S/D",INDEX(Movimientos!$M$5:$M$2001,MATCH(A676&amp;"ENTRADA",Movimientos!$R$5:$R$2001,0))),"S/D")</f>
        <v>S/D</v>
      </c>
      <c r="I676" s="16" t="str">
        <f t="shared" ca="1" si="22"/>
        <v>S/D</v>
      </c>
      <c r="J676" s="6">
        <f>IF(A676="","",SUMIFS(Movimientos!$K:$K,Movimientos!$H:$H,A676))</f>
        <v>0</v>
      </c>
      <c r="K676" s="14" t="str">
        <f t="shared" ca="1" si="23"/>
        <v>OK</v>
      </c>
    </row>
    <row r="677" spans="1:11">
      <c r="A677" s="18" t="s">
        <v>2738</v>
      </c>
      <c r="B677" s="3" t="str">
        <f>IFERROR(INDEX(Movimientos!$C$5:$C$2001,MATCH(A677&amp;"ENTRADA",Movimientos!$R$5:$R$2001,0)),"-")</f>
        <v>-</v>
      </c>
      <c r="C677" s="3" t="str">
        <f>IFERROR(INDEX(Movimientos!$D$5:$D$2001,MATCH(A677&amp;"ENTRADA",Movimientos!$R$5:$R$2001,0)),"-")</f>
        <v>-</v>
      </c>
      <c r="D677" s="3" t="str">
        <f>IFERROR(INDEX(Movimientos!$E$5:$E$2001,MATCH(A677&amp;"ENTRADA",Movimientos!$R$5:$R$2001,0)),"-")</f>
        <v>-</v>
      </c>
      <c r="E677" s="3" t="str">
        <f>IFERROR(INDEX(Movimientos!$F$5:$F$2001,MATCH(A677&amp;"ENTRADA",Movimientos!$R$5:$R$2001,0)),"-")</f>
        <v>-</v>
      </c>
      <c r="F677" s="3" t="str">
        <f>IFERROR(INDEX(Movimientos!$G$5:$G$2001,MATCH(A677&amp;"ENTRADA",Movimientos!$R$5:$R$2001,0)),"-")</f>
        <v>-</v>
      </c>
      <c r="G677" s="3" t="str">
        <f>IFERROR(INDEX(Movimientos!$L$5:$L$2001,MATCH(A677&amp;"ENTRADA",Movimientos!$R$5:$R$2001,0)),"-")</f>
        <v>-</v>
      </c>
      <c r="H677" s="19" t="str">
        <f>IFERROR(IF(INDEX(Movimientos!$M$5:$M$2001,MATCH(A677&amp;"ENTRADA",Movimientos!$R$5:$R$2001,0))=0,"S/D",INDEX(Movimientos!$M$5:$M$2001,MATCH(A677&amp;"ENTRADA",Movimientos!$R$5:$R$2001,0))),"S/D")</f>
        <v>S/D</v>
      </c>
      <c r="I677" s="16" t="str">
        <f t="shared" ca="1" si="22"/>
        <v>S/D</v>
      </c>
      <c r="J677" s="6">
        <f>IF(A677="","",SUMIFS(Movimientos!$K:$K,Movimientos!$H:$H,A677))</f>
        <v>0</v>
      </c>
      <c r="K677" s="14" t="str">
        <f t="shared" ca="1" si="23"/>
        <v>OK</v>
      </c>
    </row>
    <row r="678" spans="1:11">
      <c r="A678" s="18" t="s">
        <v>2739</v>
      </c>
      <c r="B678" s="3" t="str">
        <f>IFERROR(INDEX(Movimientos!$C$5:$C$2001,MATCH(A678&amp;"ENTRADA",Movimientos!$R$5:$R$2001,0)),"-")</f>
        <v>-</v>
      </c>
      <c r="C678" s="3" t="str">
        <f>IFERROR(INDEX(Movimientos!$D$5:$D$2001,MATCH(A678&amp;"ENTRADA",Movimientos!$R$5:$R$2001,0)),"-")</f>
        <v>-</v>
      </c>
      <c r="D678" s="3" t="str">
        <f>IFERROR(INDEX(Movimientos!$E$5:$E$2001,MATCH(A678&amp;"ENTRADA",Movimientos!$R$5:$R$2001,0)),"-")</f>
        <v>-</v>
      </c>
      <c r="E678" s="3" t="str">
        <f>IFERROR(INDEX(Movimientos!$F$5:$F$2001,MATCH(A678&amp;"ENTRADA",Movimientos!$R$5:$R$2001,0)),"-")</f>
        <v>-</v>
      </c>
      <c r="F678" s="3" t="str">
        <f>IFERROR(INDEX(Movimientos!$G$5:$G$2001,MATCH(A678&amp;"ENTRADA",Movimientos!$R$5:$R$2001,0)),"-")</f>
        <v>-</v>
      </c>
      <c r="G678" s="3" t="str">
        <f>IFERROR(INDEX(Movimientos!$L$5:$L$2001,MATCH(A678&amp;"ENTRADA",Movimientos!$R$5:$R$2001,0)),"-")</f>
        <v>-</v>
      </c>
      <c r="H678" s="19" t="str">
        <f>IFERROR(IF(INDEX(Movimientos!$M$5:$M$2001,MATCH(A678&amp;"ENTRADA",Movimientos!$R$5:$R$2001,0))=0,"S/D",INDEX(Movimientos!$M$5:$M$2001,MATCH(A678&amp;"ENTRADA",Movimientos!$R$5:$R$2001,0))),"S/D")</f>
        <v>S/D</v>
      </c>
      <c r="I678" s="16" t="str">
        <f t="shared" ca="1" si="22"/>
        <v>S/D</v>
      </c>
      <c r="J678" s="6">
        <f>IF(A678="","",SUMIFS(Movimientos!$K:$K,Movimientos!$H:$H,A678))</f>
        <v>0</v>
      </c>
      <c r="K678" s="14" t="str">
        <f t="shared" ca="1" si="23"/>
        <v>OK</v>
      </c>
    </row>
    <row r="679" spans="1:11">
      <c r="A679" s="18" t="s">
        <v>2740</v>
      </c>
      <c r="B679" s="3" t="str">
        <f>IFERROR(INDEX(Movimientos!$C$5:$C$2001,MATCH(A679&amp;"ENTRADA",Movimientos!$R$5:$R$2001,0)),"-")</f>
        <v>-</v>
      </c>
      <c r="C679" s="3" t="str">
        <f>IFERROR(INDEX(Movimientos!$D$5:$D$2001,MATCH(A679&amp;"ENTRADA",Movimientos!$R$5:$R$2001,0)),"-")</f>
        <v>-</v>
      </c>
      <c r="D679" s="3" t="str">
        <f>IFERROR(INDEX(Movimientos!$E$5:$E$2001,MATCH(A679&amp;"ENTRADA",Movimientos!$R$5:$R$2001,0)),"-")</f>
        <v>-</v>
      </c>
      <c r="E679" s="3" t="str">
        <f>IFERROR(INDEX(Movimientos!$F$5:$F$2001,MATCH(A679&amp;"ENTRADA",Movimientos!$R$5:$R$2001,0)),"-")</f>
        <v>-</v>
      </c>
      <c r="F679" s="3" t="str">
        <f>IFERROR(INDEX(Movimientos!$G$5:$G$2001,MATCH(A679&amp;"ENTRADA",Movimientos!$R$5:$R$2001,0)),"-")</f>
        <v>-</v>
      </c>
      <c r="G679" s="3" t="str">
        <f>IFERROR(INDEX(Movimientos!$L$5:$L$2001,MATCH(A679&amp;"ENTRADA",Movimientos!$R$5:$R$2001,0)),"-")</f>
        <v>-</v>
      </c>
      <c r="H679" s="19" t="str">
        <f>IFERROR(IF(INDEX(Movimientos!$M$5:$M$2001,MATCH(A679&amp;"ENTRADA",Movimientos!$R$5:$R$2001,0))=0,"S/D",INDEX(Movimientos!$M$5:$M$2001,MATCH(A679&amp;"ENTRADA",Movimientos!$R$5:$R$2001,0))),"S/D")</f>
        <v>S/D</v>
      </c>
      <c r="I679" s="16" t="str">
        <f t="shared" ca="1" si="22"/>
        <v>S/D</v>
      </c>
      <c r="J679" s="6">
        <f>IF(A679="","",SUMIFS(Movimientos!$K:$K,Movimientos!$H:$H,A679))</f>
        <v>0</v>
      </c>
      <c r="K679" s="14" t="str">
        <f t="shared" ca="1" si="23"/>
        <v>OK</v>
      </c>
    </row>
    <row r="680" spans="1:11">
      <c r="A680" s="18" t="s">
        <v>2741</v>
      </c>
      <c r="B680" s="3" t="str">
        <f>IFERROR(INDEX(Movimientos!$C$5:$C$2001,MATCH(A680&amp;"ENTRADA",Movimientos!$R$5:$R$2001,0)),"-")</f>
        <v>-</v>
      </c>
      <c r="C680" s="3" t="str">
        <f>IFERROR(INDEX(Movimientos!$D$5:$D$2001,MATCH(A680&amp;"ENTRADA",Movimientos!$R$5:$R$2001,0)),"-")</f>
        <v>-</v>
      </c>
      <c r="D680" s="3" t="str">
        <f>IFERROR(INDEX(Movimientos!$E$5:$E$2001,MATCH(A680&amp;"ENTRADA",Movimientos!$R$5:$R$2001,0)),"-")</f>
        <v>-</v>
      </c>
      <c r="E680" s="3" t="str">
        <f>IFERROR(INDEX(Movimientos!$F$5:$F$2001,MATCH(A680&amp;"ENTRADA",Movimientos!$R$5:$R$2001,0)),"-")</f>
        <v>-</v>
      </c>
      <c r="F680" s="3" t="str">
        <f>IFERROR(INDEX(Movimientos!$G$5:$G$2001,MATCH(A680&amp;"ENTRADA",Movimientos!$R$5:$R$2001,0)),"-")</f>
        <v>-</v>
      </c>
      <c r="G680" s="3" t="str">
        <f>IFERROR(INDEX(Movimientos!$L$5:$L$2001,MATCH(A680&amp;"ENTRADA",Movimientos!$R$5:$R$2001,0)),"-")</f>
        <v>-</v>
      </c>
      <c r="H680" s="19" t="str">
        <f>IFERROR(IF(INDEX(Movimientos!$M$5:$M$2001,MATCH(A680&amp;"ENTRADA",Movimientos!$R$5:$R$2001,0))=0,"S/D",INDEX(Movimientos!$M$5:$M$2001,MATCH(A680&amp;"ENTRADA",Movimientos!$R$5:$R$2001,0))),"S/D")</f>
        <v>S/D</v>
      </c>
      <c r="I680" s="16" t="str">
        <f t="shared" ca="1" si="22"/>
        <v>S/D</v>
      </c>
      <c r="J680" s="6">
        <f>IF(A680="","",SUMIFS(Movimientos!$K:$K,Movimientos!$H:$H,A680))</f>
        <v>0</v>
      </c>
      <c r="K680" s="14" t="str">
        <f t="shared" ca="1" si="23"/>
        <v>OK</v>
      </c>
    </row>
    <row r="681" spans="1:11">
      <c r="A681" s="18" t="s">
        <v>2742</v>
      </c>
      <c r="B681" s="3" t="str">
        <f>IFERROR(INDEX(Movimientos!$C$5:$C$2001,MATCH(A681&amp;"ENTRADA",Movimientos!$R$5:$R$2001,0)),"-")</f>
        <v>-</v>
      </c>
      <c r="C681" s="3" t="str">
        <f>IFERROR(INDEX(Movimientos!$D$5:$D$2001,MATCH(A681&amp;"ENTRADA",Movimientos!$R$5:$R$2001,0)),"-")</f>
        <v>-</v>
      </c>
      <c r="D681" s="3" t="str">
        <f>IFERROR(INDEX(Movimientos!$E$5:$E$2001,MATCH(A681&amp;"ENTRADA",Movimientos!$R$5:$R$2001,0)),"-")</f>
        <v>-</v>
      </c>
      <c r="E681" s="3" t="str">
        <f>IFERROR(INDEX(Movimientos!$F$5:$F$2001,MATCH(A681&amp;"ENTRADA",Movimientos!$R$5:$R$2001,0)),"-")</f>
        <v>-</v>
      </c>
      <c r="F681" s="3" t="str">
        <f>IFERROR(INDEX(Movimientos!$G$5:$G$2001,MATCH(A681&amp;"ENTRADA",Movimientos!$R$5:$R$2001,0)),"-")</f>
        <v>-</v>
      </c>
      <c r="G681" s="3" t="str">
        <f>IFERROR(INDEX(Movimientos!$L$5:$L$2001,MATCH(A681&amp;"ENTRADA",Movimientos!$R$5:$R$2001,0)),"-")</f>
        <v>-</v>
      </c>
      <c r="H681" s="19" t="str">
        <f>IFERROR(IF(INDEX(Movimientos!$M$5:$M$2001,MATCH(A681&amp;"ENTRADA",Movimientos!$R$5:$R$2001,0))=0,"S/D",INDEX(Movimientos!$M$5:$M$2001,MATCH(A681&amp;"ENTRADA",Movimientos!$R$5:$R$2001,0))),"S/D")</f>
        <v>S/D</v>
      </c>
      <c r="I681" s="16" t="str">
        <f t="shared" ca="1" si="22"/>
        <v>S/D</v>
      </c>
      <c r="J681" s="6">
        <f>IF(A681="","",SUMIFS(Movimientos!$K:$K,Movimientos!$H:$H,A681))</f>
        <v>0</v>
      </c>
      <c r="K681" s="14" t="str">
        <f t="shared" ca="1" si="23"/>
        <v>OK</v>
      </c>
    </row>
    <row r="682" spans="1:11">
      <c r="A682" s="18" t="s">
        <v>2743</v>
      </c>
      <c r="B682" s="3" t="str">
        <f>IFERROR(INDEX(Movimientos!$C$5:$C$2001,MATCH(A682&amp;"ENTRADA",Movimientos!$R$5:$R$2001,0)),"-")</f>
        <v>-</v>
      </c>
      <c r="C682" s="3" t="str">
        <f>IFERROR(INDEX(Movimientos!$D$5:$D$2001,MATCH(A682&amp;"ENTRADA",Movimientos!$R$5:$R$2001,0)),"-")</f>
        <v>-</v>
      </c>
      <c r="D682" s="3" t="str">
        <f>IFERROR(INDEX(Movimientos!$E$5:$E$2001,MATCH(A682&amp;"ENTRADA",Movimientos!$R$5:$R$2001,0)),"-")</f>
        <v>-</v>
      </c>
      <c r="E682" s="3" t="str">
        <f>IFERROR(INDEX(Movimientos!$F$5:$F$2001,MATCH(A682&amp;"ENTRADA",Movimientos!$R$5:$R$2001,0)),"-")</f>
        <v>-</v>
      </c>
      <c r="F682" s="3" t="str">
        <f>IFERROR(INDEX(Movimientos!$G$5:$G$2001,MATCH(A682&amp;"ENTRADA",Movimientos!$R$5:$R$2001,0)),"-")</f>
        <v>-</v>
      </c>
      <c r="G682" s="3" t="str">
        <f>IFERROR(INDEX(Movimientos!$L$5:$L$2001,MATCH(A682&amp;"ENTRADA",Movimientos!$R$5:$R$2001,0)),"-")</f>
        <v>-</v>
      </c>
      <c r="H682" s="19" t="str">
        <f>IFERROR(IF(INDEX(Movimientos!$M$5:$M$2001,MATCH(A682&amp;"ENTRADA",Movimientos!$R$5:$R$2001,0))=0,"S/D",INDEX(Movimientos!$M$5:$M$2001,MATCH(A682&amp;"ENTRADA",Movimientos!$R$5:$R$2001,0))),"S/D")</f>
        <v>S/D</v>
      </c>
      <c r="I682" s="16" t="str">
        <f t="shared" ca="1" si="22"/>
        <v>S/D</v>
      </c>
      <c r="J682" s="6">
        <f>IF(A682="","",SUMIFS(Movimientos!$K:$K,Movimientos!$H:$H,A682))</f>
        <v>0</v>
      </c>
      <c r="K682" s="14" t="str">
        <f t="shared" ca="1" si="23"/>
        <v>OK</v>
      </c>
    </row>
    <row r="683" spans="1:11">
      <c r="A683" s="18" t="s">
        <v>2744</v>
      </c>
      <c r="B683" s="3" t="str">
        <f>IFERROR(INDEX(Movimientos!$C$5:$C$2001,MATCH(A683&amp;"ENTRADA",Movimientos!$R$5:$R$2001,0)),"-")</f>
        <v>-</v>
      </c>
      <c r="C683" s="3" t="str">
        <f>IFERROR(INDEX(Movimientos!$D$5:$D$2001,MATCH(A683&amp;"ENTRADA",Movimientos!$R$5:$R$2001,0)),"-")</f>
        <v>-</v>
      </c>
      <c r="D683" s="3" t="str">
        <f>IFERROR(INDEX(Movimientos!$E$5:$E$2001,MATCH(A683&amp;"ENTRADA",Movimientos!$R$5:$R$2001,0)),"-")</f>
        <v>-</v>
      </c>
      <c r="E683" s="3" t="str">
        <f>IFERROR(INDEX(Movimientos!$F$5:$F$2001,MATCH(A683&amp;"ENTRADA",Movimientos!$R$5:$R$2001,0)),"-")</f>
        <v>-</v>
      </c>
      <c r="F683" s="3" t="str">
        <f>IFERROR(INDEX(Movimientos!$G$5:$G$2001,MATCH(A683&amp;"ENTRADA",Movimientos!$R$5:$R$2001,0)),"-")</f>
        <v>-</v>
      </c>
      <c r="G683" s="3" t="str">
        <f>IFERROR(INDEX(Movimientos!$L$5:$L$2001,MATCH(A683&amp;"ENTRADA",Movimientos!$R$5:$R$2001,0)),"-")</f>
        <v>-</v>
      </c>
      <c r="H683" s="19" t="str">
        <f>IFERROR(IF(INDEX(Movimientos!$M$5:$M$2001,MATCH(A683&amp;"ENTRADA",Movimientos!$R$5:$R$2001,0))=0,"S/D",INDEX(Movimientos!$M$5:$M$2001,MATCH(A683&amp;"ENTRADA",Movimientos!$R$5:$R$2001,0))),"S/D")</f>
        <v>S/D</v>
      </c>
      <c r="I683" s="16" t="str">
        <f t="shared" ca="1" si="22"/>
        <v>S/D</v>
      </c>
      <c r="J683" s="6">
        <f>IF(A683="","",SUMIFS(Movimientos!$K:$K,Movimientos!$H:$H,A683))</f>
        <v>0</v>
      </c>
      <c r="K683" s="14" t="str">
        <f t="shared" ca="1" si="23"/>
        <v>OK</v>
      </c>
    </row>
    <row r="684" spans="1:11">
      <c r="A684" s="18" t="s">
        <v>2745</v>
      </c>
      <c r="B684" s="3" t="str">
        <f>IFERROR(INDEX(Movimientos!$C$5:$C$2001,MATCH(A684&amp;"ENTRADA",Movimientos!$R$5:$R$2001,0)),"-")</f>
        <v>-</v>
      </c>
      <c r="C684" s="3" t="str">
        <f>IFERROR(INDEX(Movimientos!$D$5:$D$2001,MATCH(A684&amp;"ENTRADA",Movimientos!$R$5:$R$2001,0)),"-")</f>
        <v>-</v>
      </c>
      <c r="D684" s="3" t="str">
        <f>IFERROR(INDEX(Movimientos!$E$5:$E$2001,MATCH(A684&amp;"ENTRADA",Movimientos!$R$5:$R$2001,0)),"-")</f>
        <v>-</v>
      </c>
      <c r="E684" s="3" t="str">
        <f>IFERROR(INDEX(Movimientos!$F$5:$F$2001,MATCH(A684&amp;"ENTRADA",Movimientos!$R$5:$R$2001,0)),"-")</f>
        <v>-</v>
      </c>
      <c r="F684" s="3" t="str">
        <f>IFERROR(INDEX(Movimientos!$G$5:$G$2001,MATCH(A684&amp;"ENTRADA",Movimientos!$R$5:$R$2001,0)),"-")</f>
        <v>-</v>
      </c>
      <c r="G684" s="3" t="str">
        <f>IFERROR(INDEX(Movimientos!$L$5:$L$2001,MATCH(A684&amp;"ENTRADA",Movimientos!$R$5:$R$2001,0)),"-")</f>
        <v>-</v>
      </c>
      <c r="H684" s="19" t="str">
        <f>IFERROR(IF(INDEX(Movimientos!$M$5:$M$2001,MATCH(A684&amp;"ENTRADA",Movimientos!$R$5:$R$2001,0))=0,"S/D",INDEX(Movimientos!$M$5:$M$2001,MATCH(A684&amp;"ENTRADA",Movimientos!$R$5:$R$2001,0))),"S/D")</f>
        <v>S/D</v>
      </c>
      <c r="I684" s="16" t="str">
        <f t="shared" ca="1" si="22"/>
        <v>S/D</v>
      </c>
      <c r="J684" s="6">
        <f>IF(A684="","",SUMIFS(Movimientos!$K:$K,Movimientos!$H:$H,A684))</f>
        <v>0</v>
      </c>
      <c r="K684" s="14" t="str">
        <f t="shared" ca="1" si="23"/>
        <v>OK</v>
      </c>
    </row>
    <row r="685" spans="1:11">
      <c r="A685" s="18" t="s">
        <v>2746</v>
      </c>
      <c r="B685" s="3" t="str">
        <f>IFERROR(INDEX(Movimientos!$C$5:$C$2001,MATCH(A685&amp;"ENTRADA",Movimientos!$R$5:$R$2001,0)),"-")</f>
        <v>-</v>
      </c>
      <c r="C685" s="3" t="str">
        <f>IFERROR(INDEX(Movimientos!$D$5:$D$2001,MATCH(A685&amp;"ENTRADA",Movimientos!$R$5:$R$2001,0)),"-")</f>
        <v>-</v>
      </c>
      <c r="D685" s="3" t="str">
        <f>IFERROR(INDEX(Movimientos!$E$5:$E$2001,MATCH(A685&amp;"ENTRADA",Movimientos!$R$5:$R$2001,0)),"-")</f>
        <v>-</v>
      </c>
      <c r="E685" s="3" t="str">
        <f>IFERROR(INDEX(Movimientos!$F$5:$F$2001,MATCH(A685&amp;"ENTRADA",Movimientos!$R$5:$R$2001,0)),"-")</f>
        <v>-</v>
      </c>
      <c r="F685" s="3" t="str">
        <f>IFERROR(INDEX(Movimientos!$G$5:$G$2001,MATCH(A685&amp;"ENTRADA",Movimientos!$R$5:$R$2001,0)),"-")</f>
        <v>-</v>
      </c>
      <c r="G685" s="3" t="str">
        <f>IFERROR(INDEX(Movimientos!$L$5:$L$2001,MATCH(A685&amp;"ENTRADA",Movimientos!$R$5:$R$2001,0)),"-")</f>
        <v>-</v>
      </c>
      <c r="H685" s="19" t="str">
        <f>IFERROR(IF(INDEX(Movimientos!$M$5:$M$2001,MATCH(A685&amp;"ENTRADA",Movimientos!$R$5:$R$2001,0))=0,"S/D",INDEX(Movimientos!$M$5:$M$2001,MATCH(A685&amp;"ENTRADA",Movimientos!$R$5:$R$2001,0))),"S/D")</f>
        <v>S/D</v>
      </c>
      <c r="I685" s="16" t="str">
        <f t="shared" ca="1" si="22"/>
        <v>S/D</v>
      </c>
      <c r="J685" s="6">
        <f>IF(A685="","",SUMIFS(Movimientos!$K:$K,Movimientos!$H:$H,A685))</f>
        <v>0</v>
      </c>
      <c r="K685" s="14" t="str">
        <f t="shared" ca="1" si="23"/>
        <v>OK</v>
      </c>
    </row>
    <row r="686" spans="1:11">
      <c r="A686" s="18" t="s">
        <v>2747</v>
      </c>
      <c r="B686" s="3" t="str">
        <f>IFERROR(INDEX(Movimientos!$C$5:$C$2001,MATCH(A686&amp;"ENTRADA",Movimientos!$R$5:$R$2001,0)),"-")</f>
        <v>-</v>
      </c>
      <c r="C686" s="3" t="str">
        <f>IFERROR(INDEX(Movimientos!$D$5:$D$2001,MATCH(A686&amp;"ENTRADA",Movimientos!$R$5:$R$2001,0)),"-")</f>
        <v>-</v>
      </c>
      <c r="D686" s="3" t="str">
        <f>IFERROR(INDEX(Movimientos!$E$5:$E$2001,MATCH(A686&amp;"ENTRADA",Movimientos!$R$5:$R$2001,0)),"-")</f>
        <v>-</v>
      </c>
      <c r="E686" s="3" t="str">
        <f>IFERROR(INDEX(Movimientos!$F$5:$F$2001,MATCH(A686&amp;"ENTRADA",Movimientos!$R$5:$R$2001,0)),"-")</f>
        <v>-</v>
      </c>
      <c r="F686" s="3" t="str">
        <f>IFERROR(INDEX(Movimientos!$G$5:$G$2001,MATCH(A686&amp;"ENTRADA",Movimientos!$R$5:$R$2001,0)),"-")</f>
        <v>-</v>
      </c>
      <c r="G686" s="3" t="str">
        <f>IFERROR(INDEX(Movimientos!$L$5:$L$2001,MATCH(A686&amp;"ENTRADA",Movimientos!$R$5:$R$2001,0)),"-")</f>
        <v>-</v>
      </c>
      <c r="H686" s="19" t="str">
        <f>IFERROR(IF(INDEX(Movimientos!$M$5:$M$2001,MATCH(A686&amp;"ENTRADA",Movimientos!$R$5:$R$2001,0))=0,"S/D",INDEX(Movimientos!$M$5:$M$2001,MATCH(A686&amp;"ENTRADA",Movimientos!$R$5:$R$2001,0))),"S/D")</f>
        <v>S/D</v>
      </c>
      <c r="I686" s="16" t="str">
        <f t="shared" ca="1" si="22"/>
        <v>S/D</v>
      </c>
      <c r="J686" s="6">
        <f>IF(A686="","",SUMIFS(Movimientos!$K:$K,Movimientos!$H:$H,A686))</f>
        <v>0</v>
      </c>
      <c r="K686" s="14" t="str">
        <f t="shared" ca="1" si="23"/>
        <v>OK</v>
      </c>
    </row>
    <row r="687" spans="1:11">
      <c r="A687" s="18" t="s">
        <v>2748</v>
      </c>
      <c r="B687" s="3" t="str">
        <f>IFERROR(INDEX(Movimientos!$C$5:$C$2001,MATCH(A687&amp;"ENTRADA",Movimientos!$R$5:$R$2001,0)),"-")</f>
        <v>-</v>
      </c>
      <c r="C687" s="3" t="str">
        <f>IFERROR(INDEX(Movimientos!$D$5:$D$2001,MATCH(A687&amp;"ENTRADA",Movimientos!$R$5:$R$2001,0)),"-")</f>
        <v>-</v>
      </c>
      <c r="D687" s="3" t="str">
        <f>IFERROR(INDEX(Movimientos!$E$5:$E$2001,MATCH(A687&amp;"ENTRADA",Movimientos!$R$5:$R$2001,0)),"-")</f>
        <v>-</v>
      </c>
      <c r="E687" s="3" t="str">
        <f>IFERROR(INDEX(Movimientos!$F$5:$F$2001,MATCH(A687&amp;"ENTRADA",Movimientos!$R$5:$R$2001,0)),"-")</f>
        <v>-</v>
      </c>
      <c r="F687" s="3" t="str">
        <f>IFERROR(INDEX(Movimientos!$G$5:$G$2001,MATCH(A687&amp;"ENTRADA",Movimientos!$R$5:$R$2001,0)),"-")</f>
        <v>-</v>
      </c>
      <c r="G687" s="3" t="str">
        <f>IFERROR(INDEX(Movimientos!$L$5:$L$2001,MATCH(A687&amp;"ENTRADA",Movimientos!$R$5:$R$2001,0)),"-")</f>
        <v>-</v>
      </c>
      <c r="H687" s="19" t="str">
        <f>IFERROR(IF(INDEX(Movimientos!$M$5:$M$2001,MATCH(A687&amp;"ENTRADA",Movimientos!$R$5:$R$2001,0))=0,"S/D",INDEX(Movimientos!$M$5:$M$2001,MATCH(A687&amp;"ENTRADA",Movimientos!$R$5:$R$2001,0))),"S/D")</f>
        <v>S/D</v>
      </c>
      <c r="I687" s="16" t="str">
        <f t="shared" ca="1" si="22"/>
        <v>S/D</v>
      </c>
      <c r="J687" s="6">
        <f>IF(A687="","",SUMIFS(Movimientos!$K:$K,Movimientos!$H:$H,A687))</f>
        <v>0</v>
      </c>
      <c r="K687" s="14" t="str">
        <f t="shared" ca="1" si="23"/>
        <v>OK</v>
      </c>
    </row>
    <row r="688" spans="1:11">
      <c r="A688" s="18" t="s">
        <v>2749</v>
      </c>
      <c r="B688" s="3" t="str">
        <f>IFERROR(INDEX(Movimientos!$C$5:$C$2001,MATCH(A688&amp;"ENTRADA",Movimientos!$R$5:$R$2001,0)),"-")</f>
        <v>-</v>
      </c>
      <c r="C688" s="3" t="str">
        <f>IFERROR(INDEX(Movimientos!$D$5:$D$2001,MATCH(A688&amp;"ENTRADA",Movimientos!$R$5:$R$2001,0)),"-")</f>
        <v>-</v>
      </c>
      <c r="D688" s="3" t="str">
        <f>IFERROR(INDEX(Movimientos!$E$5:$E$2001,MATCH(A688&amp;"ENTRADA",Movimientos!$R$5:$R$2001,0)),"-")</f>
        <v>-</v>
      </c>
      <c r="E688" s="3" t="str">
        <f>IFERROR(INDEX(Movimientos!$F$5:$F$2001,MATCH(A688&amp;"ENTRADA",Movimientos!$R$5:$R$2001,0)),"-")</f>
        <v>-</v>
      </c>
      <c r="F688" s="3" t="str">
        <f>IFERROR(INDEX(Movimientos!$G$5:$G$2001,MATCH(A688&amp;"ENTRADA",Movimientos!$R$5:$R$2001,0)),"-")</f>
        <v>-</v>
      </c>
      <c r="G688" s="3" t="str">
        <f>IFERROR(INDEX(Movimientos!$L$5:$L$2001,MATCH(A688&amp;"ENTRADA",Movimientos!$R$5:$R$2001,0)),"-")</f>
        <v>-</v>
      </c>
      <c r="H688" s="19" t="str">
        <f>IFERROR(IF(INDEX(Movimientos!$M$5:$M$2001,MATCH(A688&amp;"ENTRADA",Movimientos!$R$5:$R$2001,0))=0,"S/D",INDEX(Movimientos!$M$5:$M$2001,MATCH(A688&amp;"ENTRADA",Movimientos!$R$5:$R$2001,0))),"S/D")</f>
        <v>S/D</v>
      </c>
      <c r="I688" s="16" t="str">
        <f t="shared" ca="1" si="22"/>
        <v>S/D</v>
      </c>
      <c r="J688" s="6">
        <f>IF(A688="","",SUMIFS(Movimientos!$K:$K,Movimientos!$H:$H,A688))</f>
        <v>0</v>
      </c>
      <c r="K688" s="14" t="str">
        <f t="shared" ca="1" si="23"/>
        <v>OK</v>
      </c>
    </row>
    <row r="689" spans="1:11">
      <c r="A689" s="18" t="s">
        <v>2750</v>
      </c>
      <c r="B689" s="3" t="str">
        <f>IFERROR(INDEX(Movimientos!$C$5:$C$2001,MATCH(A689&amp;"ENTRADA",Movimientos!$R$5:$R$2001,0)),"-")</f>
        <v>-</v>
      </c>
      <c r="C689" s="3" t="str">
        <f>IFERROR(INDEX(Movimientos!$D$5:$D$2001,MATCH(A689&amp;"ENTRADA",Movimientos!$R$5:$R$2001,0)),"-")</f>
        <v>-</v>
      </c>
      <c r="D689" s="3" t="str">
        <f>IFERROR(INDEX(Movimientos!$E$5:$E$2001,MATCH(A689&amp;"ENTRADA",Movimientos!$R$5:$R$2001,0)),"-")</f>
        <v>-</v>
      </c>
      <c r="E689" s="3" t="str">
        <f>IFERROR(INDEX(Movimientos!$F$5:$F$2001,MATCH(A689&amp;"ENTRADA",Movimientos!$R$5:$R$2001,0)),"-")</f>
        <v>-</v>
      </c>
      <c r="F689" s="3" t="str">
        <f>IFERROR(INDEX(Movimientos!$G$5:$G$2001,MATCH(A689&amp;"ENTRADA",Movimientos!$R$5:$R$2001,0)),"-")</f>
        <v>-</v>
      </c>
      <c r="G689" s="3" t="str">
        <f>IFERROR(INDEX(Movimientos!$L$5:$L$2001,MATCH(A689&amp;"ENTRADA",Movimientos!$R$5:$R$2001,0)),"-")</f>
        <v>-</v>
      </c>
      <c r="H689" s="19" t="str">
        <f>IFERROR(IF(INDEX(Movimientos!$M$5:$M$2001,MATCH(A689&amp;"ENTRADA",Movimientos!$R$5:$R$2001,0))=0,"S/D",INDEX(Movimientos!$M$5:$M$2001,MATCH(A689&amp;"ENTRADA",Movimientos!$R$5:$R$2001,0))),"S/D")</f>
        <v>S/D</v>
      </c>
      <c r="I689" s="16" t="str">
        <f t="shared" ca="1" si="22"/>
        <v>S/D</v>
      </c>
      <c r="J689" s="6">
        <f>IF(A689="","",SUMIFS(Movimientos!$K:$K,Movimientos!$H:$H,A689))</f>
        <v>0</v>
      </c>
      <c r="K689" s="14" t="str">
        <f t="shared" ca="1" si="23"/>
        <v>OK</v>
      </c>
    </row>
    <row r="690" spans="1:11">
      <c r="A690" s="18" t="s">
        <v>2751</v>
      </c>
      <c r="B690" s="3" t="str">
        <f>IFERROR(INDEX(Movimientos!$C$5:$C$2001,MATCH(A690&amp;"ENTRADA",Movimientos!$R$5:$R$2001,0)),"-")</f>
        <v>-</v>
      </c>
      <c r="C690" s="3" t="str">
        <f>IFERROR(INDEX(Movimientos!$D$5:$D$2001,MATCH(A690&amp;"ENTRADA",Movimientos!$R$5:$R$2001,0)),"-")</f>
        <v>-</v>
      </c>
      <c r="D690" s="3" t="str">
        <f>IFERROR(INDEX(Movimientos!$E$5:$E$2001,MATCH(A690&amp;"ENTRADA",Movimientos!$R$5:$R$2001,0)),"-")</f>
        <v>-</v>
      </c>
      <c r="E690" s="3" t="str">
        <f>IFERROR(INDEX(Movimientos!$F$5:$F$2001,MATCH(A690&amp;"ENTRADA",Movimientos!$R$5:$R$2001,0)),"-")</f>
        <v>-</v>
      </c>
      <c r="F690" s="3" t="str">
        <f>IFERROR(INDEX(Movimientos!$G$5:$G$2001,MATCH(A690&amp;"ENTRADA",Movimientos!$R$5:$R$2001,0)),"-")</f>
        <v>-</v>
      </c>
      <c r="G690" s="3" t="str">
        <f>IFERROR(INDEX(Movimientos!$L$5:$L$2001,MATCH(A690&amp;"ENTRADA",Movimientos!$R$5:$R$2001,0)),"-")</f>
        <v>-</v>
      </c>
      <c r="H690" s="19" t="str">
        <f>IFERROR(IF(INDEX(Movimientos!$M$5:$M$2001,MATCH(A690&amp;"ENTRADA",Movimientos!$R$5:$R$2001,0))=0,"S/D",INDEX(Movimientos!$M$5:$M$2001,MATCH(A690&amp;"ENTRADA",Movimientos!$R$5:$R$2001,0))),"S/D")</f>
        <v>S/D</v>
      </c>
      <c r="I690" s="16" t="str">
        <f t="shared" ca="1" si="22"/>
        <v>S/D</v>
      </c>
      <c r="J690" s="6">
        <f>IF(A690="","",SUMIFS(Movimientos!$K:$K,Movimientos!$H:$H,A690))</f>
        <v>0</v>
      </c>
      <c r="K690" s="14" t="str">
        <f t="shared" ca="1" si="23"/>
        <v>OK</v>
      </c>
    </row>
    <row r="691" spans="1:11">
      <c r="A691" s="18" t="s">
        <v>2752</v>
      </c>
      <c r="B691" s="3" t="str">
        <f>IFERROR(INDEX(Movimientos!$C$5:$C$2001,MATCH(A691&amp;"ENTRADA",Movimientos!$R$5:$R$2001,0)),"-")</f>
        <v>-</v>
      </c>
      <c r="C691" s="3" t="str">
        <f>IFERROR(INDEX(Movimientos!$D$5:$D$2001,MATCH(A691&amp;"ENTRADA",Movimientos!$R$5:$R$2001,0)),"-")</f>
        <v>-</v>
      </c>
      <c r="D691" s="3" t="str">
        <f>IFERROR(INDEX(Movimientos!$E$5:$E$2001,MATCH(A691&amp;"ENTRADA",Movimientos!$R$5:$R$2001,0)),"-")</f>
        <v>-</v>
      </c>
      <c r="E691" s="3" t="str">
        <f>IFERROR(INDEX(Movimientos!$F$5:$F$2001,MATCH(A691&amp;"ENTRADA",Movimientos!$R$5:$R$2001,0)),"-")</f>
        <v>-</v>
      </c>
      <c r="F691" s="3" t="str">
        <f>IFERROR(INDEX(Movimientos!$G$5:$G$2001,MATCH(A691&amp;"ENTRADA",Movimientos!$R$5:$R$2001,0)),"-")</f>
        <v>-</v>
      </c>
      <c r="G691" s="3" t="str">
        <f>IFERROR(INDEX(Movimientos!$L$5:$L$2001,MATCH(A691&amp;"ENTRADA",Movimientos!$R$5:$R$2001,0)),"-")</f>
        <v>-</v>
      </c>
      <c r="H691" s="19" t="str">
        <f>IFERROR(IF(INDEX(Movimientos!$M$5:$M$2001,MATCH(A691&amp;"ENTRADA",Movimientos!$R$5:$R$2001,0))=0,"S/D",INDEX(Movimientos!$M$5:$M$2001,MATCH(A691&amp;"ENTRADA",Movimientos!$R$5:$R$2001,0))),"S/D")</f>
        <v>S/D</v>
      </c>
      <c r="I691" s="16" t="str">
        <f t="shared" ca="1" si="22"/>
        <v>S/D</v>
      </c>
      <c r="J691" s="6">
        <f>IF(A691="","",SUMIFS(Movimientos!$K:$K,Movimientos!$H:$H,A691))</f>
        <v>0</v>
      </c>
      <c r="K691" s="14" t="str">
        <f t="shared" ca="1" si="23"/>
        <v>OK</v>
      </c>
    </row>
    <row r="692" spans="1:11">
      <c r="A692" s="18" t="s">
        <v>2753</v>
      </c>
      <c r="B692" s="3" t="str">
        <f>IFERROR(INDEX(Movimientos!$C$5:$C$2001,MATCH(A692&amp;"ENTRADA",Movimientos!$R$5:$R$2001,0)),"-")</f>
        <v>-</v>
      </c>
      <c r="C692" s="3" t="str">
        <f>IFERROR(INDEX(Movimientos!$D$5:$D$2001,MATCH(A692&amp;"ENTRADA",Movimientos!$R$5:$R$2001,0)),"-")</f>
        <v>-</v>
      </c>
      <c r="D692" s="3" t="str">
        <f>IFERROR(INDEX(Movimientos!$E$5:$E$2001,MATCH(A692&amp;"ENTRADA",Movimientos!$R$5:$R$2001,0)),"-")</f>
        <v>-</v>
      </c>
      <c r="E692" s="3" t="str">
        <f>IFERROR(INDEX(Movimientos!$F$5:$F$2001,MATCH(A692&amp;"ENTRADA",Movimientos!$R$5:$R$2001,0)),"-")</f>
        <v>-</v>
      </c>
      <c r="F692" s="3" t="str">
        <f>IFERROR(INDEX(Movimientos!$G$5:$G$2001,MATCH(A692&amp;"ENTRADA",Movimientos!$R$5:$R$2001,0)),"-")</f>
        <v>-</v>
      </c>
      <c r="G692" s="3" t="str">
        <f>IFERROR(INDEX(Movimientos!$L$5:$L$2001,MATCH(A692&amp;"ENTRADA",Movimientos!$R$5:$R$2001,0)),"-")</f>
        <v>-</v>
      </c>
      <c r="H692" s="19" t="str">
        <f>IFERROR(IF(INDEX(Movimientos!$M$5:$M$2001,MATCH(A692&amp;"ENTRADA",Movimientos!$R$5:$R$2001,0))=0,"S/D",INDEX(Movimientos!$M$5:$M$2001,MATCH(A692&amp;"ENTRADA",Movimientos!$R$5:$R$2001,0))),"S/D")</f>
        <v>S/D</v>
      </c>
      <c r="I692" s="16" t="str">
        <f t="shared" ca="1" si="22"/>
        <v>S/D</v>
      </c>
      <c r="J692" s="6">
        <f>IF(A692="","",SUMIFS(Movimientos!$K:$K,Movimientos!$H:$H,A692))</f>
        <v>0</v>
      </c>
      <c r="K692" s="14" t="str">
        <f t="shared" ca="1" si="23"/>
        <v>OK</v>
      </c>
    </row>
    <row r="693" spans="1:11">
      <c r="A693" s="18" t="s">
        <v>2754</v>
      </c>
      <c r="B693" s="3" t="str">
        <f>IFERROR(INDEX(Movimientos!$C$5:$C$2001,MATCH(A693&amp;"ENTRADA",Movimientos!$R$5:$R$2001,0)),"-")</f>
        <v>-</v>
      </c>
      <c r="C693" s="3" t="str">
        <f>IFERROR(INDEX(Movimientos!$D$5:$D$2001,MATCH(A693&amp;"ENTRADA",Movimientos!$R$5:$R$2001,0)),"-")</f>
        <v>-</v>
      </c>
      <c r="D693" s="3" t="str">
        <f>IFERROR(INDEX(Movimientos!$E$5:$E$2001,MATCH(A693&amp;"ENTRADA",Movimientos!$R$5:$R$2001,0)),"-")</f>
        <v>-</v>
      </c>
      <c r="E693" s="3" t="str">
        <f>IFERROR(INDEX(Movimientos!$F$5:$F$2001,MATCH(A693&amp;"ENTRADA",Movimientos!$R$5:$R$2001,0)),"-")</f>
        <v>-</v>
      </c>
      <c r="F693" s="3" t="str">
        <f>IFERROR(INDEX(Movimientos!$G$5:$G$2001,MATCH(A693&amp;"ENTRADA",Movimientos!$R$5:$R$2001,0)),"-")</f>
        <v>-</v>
      </c>
      <c r="G693" s="3" t="str">
        <f>IFERROR(INDEX(Movimientos!$L$5:$L$2001,MATCH(A693&amp;"ENTRADA",Movimientos!$R$5:$R$2001,0)),"-")</f>
        <v>-</v>
      </c>
      <c r="H693" s="19" t="str">
        <f>IFERROR(IF(INDEX(Movimientos!$M$5:$M$2001,MATCH(A693&amp;"ENTRADA",Movimientos!$R$5:$R$2001,0))=0,"S/D",INDEX(Movimientos!$M$5:$M$2001,MATCH(A693&amp;"ENTRADA",Movimientos!$R$5:$R$2001,0))),"S/D")</f>
        <v>S/D</v>
      </c>
      <c r="I693" s="16" t="str">
        <f t="shared" ca="1" si="22"/>
        <v>S/D</v>
      </c>
      <c r="J693" s="6">
        <f>IF(A693="","",SUMIFS(Movimientos!$K:$K,Movimientos!$H:$H,A693))</f>
        <v>0</v>
      </c>
      <c r="K693" s="14" t="str">
        <f t="shared" ca="1" si="23"/>
        <v>OK</v>
      </c>
    </row>
    <row r="694" spans="1:11">
      <c r="A694" s="18" t="s">
        <v>2755</v>
      </c>
      <c r="B694" s="3" t="str">
        <f>IFERROR(INDEX(Movimientos!$C$5:$C$2001,MATCH(A694&amp;"ENTRADA",Movimientos!$R$5:$R$2001,0)),"-")</f>
        <v>-</v>
      </c>
      <c r="C694" s="3" t="str">
        <f>IFERROR(INDEX(Movimientos!$D$5:$D$2001,MATCH(A694&amp;"ENTRADA",Movimientos!$R$5:$R$2001,0)),"-")</f>
        <v>-</v>
      </c>
      <c r="D694" s="3" t="str">
        <f>IFERROR(INDEX(Movimientos!$E$5:$E$2001,MATCH(A694&amp;"ENTRADA",Movimientos!$R$5:$R$2001,0)),"-")</f>
        <v>-</v>
      </c>
      <c r="E694" s="3" t="str">
        <f>IFERROR(INDEX(Movimientos!$F$5:$F$2001,MATCH(A694&amp;"ENTRADA",Movimientos!$R$5:$R$2001,0)),"-")</f>
        <v>-</v>
      </c>
      <c r="F694" s="3" t="str">
        <f>IFERROR(INDEX(Movimientos!$G$5:$G$2001,MATCH(A694&amp;"ENTRADA",Movimientos!$R$5:$R$2001,0)),"-")</f>
        <v>-</v>
      </c>
      <c r="G694" s="3" t="str">
        <f>IFERROR(INDEX(Movimientos!$L$5:$L$2001,MATCH(A694&amp;"ENTRADA",Movimientos!$R$5:$R$2001,0)),"-")</f>
        <v>-</v>
      </c>
      <c r="H694" s="19" t="str">
        <f>IFERROR(IF(INDEX(Movimientos!$M$5:$M$2001,MATCH(A694&amp;"ENTRADA",Movimientos!$R$5:$R$2001,0))=0,"S/D",INDEX(Movimientos!$M$5:$M$2001,MATCH(A694&amp;"ENTRADA",Movimientos!$R$5:$R$2001,0))),"S/D")</f>
        <v>S/D</v>
      </c>
      <c r="I694" s="16" t="str">
        <f t="shared" ca="1" si="22"/>
        <v>S/D</v>
      </c>
      <c r="J694" s="6">
        <f>IF(A694="","",SUMIFS(Movimientos!$K:$K,Movimientos!$H:$H,A694))</f>
        <v>0</v>
      </c>
      <c r="K694" s="14" t="str">
        <f t="shared" ca="1" si="23"/>
        <v>OK</v>
      </c>
    </row>
    <row r="695" spans="1:11">
      <c r="A695" s="18" t="s">
        <v>2756</v>
      </c>
      <c r="B695" s="3" t="str">
        <f>IFERROR(INDEX(Movimientos!$C$5:$C$2001,MATCH(A695&amp;"ENTRADA",Movimientos!$R$5:$R$2001,0)),"-")</f>
        <v>-</v>
      </c>
      <c r="C695" s="3" t="str">
        <f>IFERROR(INDEX(Movimientos!$D$5:$D$2001,MATCH(A695&amp;"ENTRADA",Movimientos!$R$5:$R$2001,0)),"-")</f>
        <v>-</v>
      </c>
      <c r="D695" s="3" t="str">
        <f>IFERROR(INDEX(Movimientos!$E$5:$E$2001,MATCH(A695&amp;"ENTRADA",Movimientos!$R$5:$R$2001,0)),"-")</f>
        <v>-</v>
      </c>
      <c r="E695" s="3" t="str">
        <f>IFERROR(INDEX(Movimientos!$F$5:$F$2001,MATCH(A695&amp;"ENTRADA",Movimientos!$R$5:$R$2001,0)),"-")</f>
        <v>-</v>
      </c>
      <c r="F695" s="3" t="str">
        <f>IFERROR(INDEX(Movimientos!$G$5:$G$2001,MATCH(A695&amp;"ENTRADA",Movimientos!$R$5:$R$2001,0)),"-")</f>
        <v>-</v>
      </c>
      <c r="G695" s="3" t="str">
        <f>IFERROR(INDEX(Movimientos!$L$5:$L$2001,MATCH(A695&amp;"ENTRADA",Movimientos!$R$5:$R$2001,0)),"-")</f>
        <v>-</v>
      </c>
      <c r="H695" s="19" t="str">
        <f>IFERROR(IF(INDEX(Movimientos!$M$5:$M$2001,MATCH(A695&amp;"ENTRADA",Movimientos!$R$5:$R$2001,0))=0,"S/D",INDEX(Movimientos!$M$5:$M$2001,MATCH(A695&amp;"ENTRADA",Movimientos!$R$5:$R$2001,0))),"S/D")</f>
        <v>S/D</v>
      </c>
      <c r="I695" s="16" t="str">
        <f t="shared" ca="1" si="22"/>
        <v>S/D</v>
      </c>
      <c r="J695" s="6">
        <f>IF(A695="","",SUMIFS(Movimientos!$K:$K,Movimientos!$H:$H,A695))</f>
        <v>0</v>
      </c>
      <c r="K695" s="14" t="str">
        <f t="shared" ca="1" si="23"/>
        <v>OK</v>
      </c>
    </row>
    <row r="696" spans="1:11">
      <c r="A696" s="18" t="s">
        <v>2757</v>
      </c>
      <c r="B696" s="3" t="str">
        <f>IFERROR(INDEX(Movimientos!$C$5:$C$2001,MATCH(A696&amp;"ENTRADA",Movimientos!$R$5:$R$2001,0)),"-")</f>
        <v>-</v>
      </c>
      <c r="C696" s="3" t="str">
        <f>IFERROR(INDEX(Movimientos!$D$5:$D$2001,MATCH(A696&amp;"ENTRADA",Movimientos!$R$5:$R$2001,0)),"-")</f>
        <v>-</v>
      </c>
      <c r="D696" s="3" t="str">
        <f>IFERROR(INDEX(Movimientos!$E$5:$E$2001,MATCH(A696&amp;"ENTRADA",Movimientos!$R$5:$R$2001,0)),"-")</f>
        <v>-</v>
      </c>
      <c r="E696" s="3" t="str">
        <f>IFERROR(INDEX(Movimientos!$F$5:$F$2001,MATCH(A696&amp;"ENTRADA",Movimientos!$R$5:$R$2001,0)),"-")</f>
        <v>-</v>
      </c>
      <c r="F696" s="3" t="str">
        <f>IFERROR(INDEX(Movimientos!$G$5:$G$2001,MATCH(A696&amp;"ENTRADA",Movimientos!$R$5:$R$2001,0)),"-")</f>
        <v>-</v>
      </c>
      <c r="G696" s="3" t="str">
        <f>IFERROR(INDEX(Movimientos!$L$5:$L$2001,MATCH(A696&amp;"ENTRADA",Movimientos!$R$5:$R$2001,0)),"-")</f>
        <v>-</v>
      </c>
      <c r="H696" s="19" t="str">
        <f>IFERROR(IF(INDEX(Movimientos!$M$5:$M$2001,MATCH(A696&amp;"ENTRADA",Movimientos!$R$5:$R$2001,0))=0,"S/D",INDEX(Movimientos!$M$5:$M$2001,MATCH(A696&amp;"ENTRADA",Movimientos!$R$5:$R$2001,0))),"S/D")</f>
        <v>S/D</v>
      </c>
      <c r="I696" s="16" t="str">
        <f t="shared" ca="1" si="22"/>
        <v>S/D</v>
      </c>
      <c r="J696" s="6">
        <f>IF(A696="","",SUMIFS(Movimientos!$K:$K,Movimientos!$H:$H,A696))</f>
        <v>0</v>
      </c>
      <c r="K696" s="14" t="str">
        <f t="shared" ca="1" si="23"/>
        <v>OK</v>
      </c>
    </row>
    <row r="697" spans="1:11">
      <c r="A697" s="18" t="s">
        <v>2758</v>
      </c>
      <c r="B697" s="3" t="str">
        <f>IFERROR(INDEX(Movimientos!$C$5:$C$2001,MATCH(A697&amp;"ENTRADA",Movimientos!$R$5:$R$2001,0)),"-")</f>
        <v>-</v>
      </c>
      <c r="C697" s="3" t="str">
        <f>IFERROR(INDEX(Movimientos!$D$5:$D$2001,MATCH(A697&amp;"ENTRADA",Movimientos!$R$5:$R$2001,0)),"-")</f>
        <v>-</v>
      </c>
      <c r="D697" s="3" t="str">
        <f>IFERROR(INDEX(Movimientos!$E$5:$E$2001,MATCH(A697&amp;"ENTRADA",Movimientos!$R$5:$R$2001,0)),"-")</f>
        <v>-</v>
      </c>
      <c r="E697" s="3" t="str">
        <f>IFERROR(INDEX(Movimientos!$F$5:$F$2001,MATCH(A697&amp;"ENTRADA",Movimientos!$R$5:$R$2001,0)),"-")</f>
        <v>-</v>
      </c>
      <c r="F697" s="3" t="str">
        <f>IFERROR(INDEX(Movimientos!$G$5:$G$2001,MATCH(A697&amp;"ENTRADA",Movimientos!$R$5:$R$2001,0)),"-")</f>
        <v>-</v>
      </c>
      <c r="G697" s="3" t="str">
        <f>IFERROR(INDEX(Movimientos!$L$5:$L$2001,MATCH(A697&amp;"ENTRADA",Movimientos!$R$5:$R$2001,0)),"-")</f>
        <v>-</v>
      </c>
      <c r="H697" s="19" t="str">
        <f>IFERROR(IF(INDEX(Movimientos!$M$5:$M$2001,MATCH(A697&amp;"ENTRADA",Movimientos!$R$5:$R$2001,0))=0,"S/D",INDEX(Movimientos!$M$5:$M$2001,MATCH(A697&amp;"ENTRADA",Movimientos!$R$5:$R$2001,0))),"S/D")</f>
        <v>S/D</v>
      </c>
      <c r="I697" s="16" t="str">
        <f t="shared" ca="1" si="22"/>
        <v>S/D</v>
      </c>
      <c r="J697" s="6">
        <f>IF(A697="","",SUMIFS(Movimientos!$K:$K,Movimientos!$H:$H,A697))</f>
        <v>0</v>
      </c>
      <c r="K697" s="14" t="str">
        <f t="shared" ca="1" si="23"/>
        <v>OK</v>
      </c>
    </row>
    <row r="698" spans="1:11">
      <c r="A698" s="18" t="s">
        <v>2759</v>
      </c>
      <c r="B698" s="3" t="str">
        <f>IFERROR(INDEX(Movimientos!$C$5:$C$2001,MATCH(A698&amp;"ENTRADA",Movimientos!$R$5:$R$2001,0)),"-")</f>
        <v>-</v>
      </c>
      <c r="C698" s="3" t="str">
        <f>IFERROR(INDEX(Movimientos!$D$5:$D$2001,MATCH(A698&amp;"ENTRADA",Movimientos!$R$5:$R$2001,0)),"-")</f>
        <v>-</v>
      </c>
      <c r="D698" s="3" t="str">
        <f>IFERROR(INDEX(Movimientos!$E$5:$E$2001,MATCH(A698&amp;"ENTRADA",Movimientos!$R$5:$R$2001,0)),"-")</f>
        <v>-</v>
      </c>
      <c r="E698" s="3" t="str">
        <f>IFERROR(INDEX(Movimientos!$F$5:$F$2001,MATCH(A698&amp;"ENTRADA",Movimientos!$R$5:$R$2001,0)),"-")</f>
        <v>-</v>
      </c>
      <c r="F698" s="3" t="str">
        <f>IFERROR(INDEX(Movimientos!$G$5:$G$2001,MATCH(A698&amp;"ENTRADA",Movimientos!$R$5:$R$2001,0)),"-")</f>
        <v>-</v>
      </c>
      <c r="G698" s="3" t="str">
        <f>IFERROR(INDEX(Movimientos!$L$5:$L$2001,MATCH(A698&amp;"ENTRADA",Movimientos!$R$5:$R$2001,0)),"-")</f>
        <v>-</v>
      </c>
      <c r="H698" s="19" t="str">
        <f>IFERROR(IF(INDEX(Movimientos!$M$5:$M$2001,MATCH(A698&amp;"ENTRADA",Movimientos!$R$5:$R$2001,0))=0,"S/D",INDEX(Movimientos!$M$5:$M$2001,MATCH(A698&amp;"ENTRADA",Movimientos!$R$5:$R$2001,0))),"S/D")</f>
        <v>S/D</v>
      </c>
      <c r="I698" s="16" t="str">
        <f t="shared" ca="1" si="22"/>
        <v>S/D</v>
      </c>
      <c r="J698" s="6">
        <f>IF(A698="","",SUMIFS(Movimientos!$K:$K,Movimientos!$H:$H,A698))</f>
        <v>0</v>
      </c>
      <c r="K698" s="14" t="str">
        <f t="shared" ca="1" si="23"/>
        <v>OK</v>
      </c>
    </row>
    <row r="699" spans="1:11">
      <c r="A699" s="18" t="s">
        <v>2760</v>
      </c>
      <c r="B699" s="3" t="str">
        <f>IFERROR(INDEX(Movimientos!$C$5:$C$2001,MATCH(A699&amp;"ENTRADA",Movimientos!$R$5:$R$2001,0)),"-")</f>
        <v>-</v>
      </c>
      <c r="C699" s="3" t="str">
        <f>IFERROR(INDEX(Movimientos!$D$5:$D$2001,MATCH(A699&amp;"ENTRADA",Movimientos!$R$5:$R$2001,0)),"-")</f>
        <v>-</v>
      </c>
      <c r="D699" s="3" t="str">
        <f>IFERROR(INDEX(Movimientos!$E$5:$E$2001,MATCH(A699&amp;"ENTRADA",Movimientos!$R$5:$R$2001,0)),"-")</f>
        <v>-</v>
      </c>
      <c r="E699" s="3" t="str">
        <f>IFERROR(INDEX(Movimientos!$F$5:$F$2001,MATCH(A699&amp;"ENTRADA",Movimientos!$R$5:$R$2001,0)),"-")</f>
        <v>-</v>
      </c>
      <c r="F699" s="3" t="str">
        <f>IFERROR(INDEX(Movimientos!$G$5:$G$2001,MATCH(A699&amp;"ENTRADA",Movimientos!$R$5:$R$2001,0)),"-")</f>
        <v>-</v>
      </c>
      <c r="G699" s="3" t="str">
        <f>IFERROR(INDEX(Movimientos!$L$5:$L$2001,MATCH(A699&amp;"ENTRADA",Movimientos!$R$5:$R$2001,0)),"-")</f>
        <v>-</v>
      </c>
      <c r="H699" s="19" t="str">
        <f>IFERROR(IF(INDEX(Movimientos!$M$5:$M$2001,MATCH(A699&amp;"ENTRADA",Movimientos!$R$5:$R$2001,0))=0,"S/D",INDEX(Movimientos!$M$5:$M$2001,MATCH(A699&amp;"ENTRADA",Movimientos!$R$5:$R$2001,0))),"S/D")</f>
        <v>S/D</v>
      </c>
      <c r="I699" s="16" t="str">
        <f t="shared" ca="1" si="22"/>
        <v>S/D</v>
      </c>
      <c r="J699" s="6">
        <f>IF(A699="","",SUMIFS(Movimientos!$K:$K,Movimientos!$H:$H,A699))</f>
        <v>0</v>
      </c>
      <c r="K699" s="14" t="str">
        <f t="shared" ca="1" si="23"/>
        <v>OK</v>
      </c>
    </row>
    <row r="700" spans="1:11">
      <c r="A700" s="18" t="s">
        <v>2761</v>
      </c>
      <c r="B700" s="3" t="str">
        <f>IFERROR(INDEX(Movimientos!$C$5:$C$2001,MATCH(A700&amp;"ENTRADA",Movimientos!$R$5:$R$2001,0)),"-")</f>
        <v>-</v>
      </c>
      <c r="C700" s="3" t="str">
        <f>IFERROR(INDEX(Movimientos!$D$5:$D$2001,MATCH(A700&amp;"ENTRADA",Movimientos!$R$5:$R$2001,0)),"-")</f>
        <v>-</v>
      </c>
      <c r="D700" s="3" t="str">
        <f>IFERROR(INDEX(Movimientos!$E$5:$E$2001,MATCH(A700&amp;"ENTRADA",Movimientos!$R$5:$R$2001,0)),"-")</f>
        <v>-</v>
      </c>
      <c r="E700" s="3" t="str">
        <f>IFERROR(INDEX(Movimientos!$F$5:$F$2001,MATCH(A700&amp;"ENTRADA",Movimientos!$R$5:$R$2001,0)),"-")</f>
        <v>-</v>
      </c>
      <c r="F700" s="3" t="str">
        <f>IFERROR(INDEX(Movimientos!$G$5:$G$2001,MATCH(A700&amp;"ENTRADA",Movimientos!$R$5:$R$2001,0)),"-")</f>
        <v>-</v>
      </c>
      <c r="G700" s="3" t="str">
        <f>IFERROR(INDEX(Movimientos!$L$5:$L$2001,MATCH(A700&amp;"ENTRADA",Movimientos!$R$5:$R$2001,0)),"-")</f>
        <v>-</v>
      </c>
      <c r="H700" s="19" t="str">
        <f>IFERROR(IF(INDEX(Movimientos!$M$5:$M$2001,MATCH(A700&amp;"ENTRADA",Movimientos!$R$5:$R$2001,0))=0,"S/D",INDEX(Movimientos!$M$5:$M$2001,MATCH(A700&amp;"ENTRADA",Movimientos!$R$5:$R$2001,0))),"S/D")</f>
        <v>S/D</v>
      </c>
      <c r="I700" s="16" t="str">
        <f t="shared" ca="1" si="22"/>
        <v>S/D</v>
      </c>
      <c r="J700" s="6">
        <f>IF(A700="","",SUMIFS(Movimientos!$K:$K,Movimientos!$H:$H,A700))</f>
        <v>0</v>
      </c>
      <c r="K700" s="14" t="str">
        <f t="shared" ca="1" si="23"/>
        <v>OK</v>
      </c>
    </row>
    <row r="701" spans="1:11">
      <c r="A701" s="18" t="s">
        <v>2762</v>
      </c>
      <c r="B701" s="3" t="str">
        <f>IFERROR(INDEX(Movimientos!$C$5:$C$2001,MATCH(A701&amp;"ENTRADA",Movimientos!$R$5:$R$2001,0)),"-")</f>
        <v>-</v>
      </c>
      <c r="C701" s="3" t="str">
        <f>IFERROR(INDEX(Movimientos!$D$5:$D$2001,MATCH(A701&amp;"ENTRADA",Movimientos!$R$5:$R$2001,0)),"-")</f>
        <v>-</v>
      </c>
      <c r="D701" s="3" t="str">
        <f>IFERROR(INDEX(Movimientos!$E$5:$E$2001,MATCH(A701&amp;"ENTRADA",Movimientos!$R$5:$R$2001,0)),"-")</f>
        <v>-</v>
      </c>
      <c r="E701" s="3" t="str">
        <f>IFERROR(INDEX(Movimientos!$F$5:$F$2001,MATCH(A701&amp;"ENTRADA",Movimientos!$R$5:$R$2001,0)),"-")</f>
        <v>-</v>
      </c>
      <c r="F701" s="3" t="str">
        <f>IFERROR(INDEX(Movimientos!$G$5:$G$2001,MATCH(A701&amp;"ENTRADA",Movimientos!$R$5:$R$2001,0)),"-")</f>
        <v>-</v>
      </c>
      <c r="G701" s="3" t="str">
        <f>IFERROR(INDEX(Movimientos!$L$5:$L$2001,MATCH(A701&amp;"ENTRADA",Movimientos!$R$5:$R$2001,0)),"-")</f>
        <v>-</v>
      </c>
      <c r="H701" s="19" t="str">
        <f>IFERROR(IF(INDEX(Movimientos!$M$5:$M$2001,MATCH(A701&amp;"ENTRADA",Movimientos!$R$5:$R$2001,0))=0,"S/D",INDEX(Movimientos!$M$5:$M$2001,MATCH(A701&amp;"ENTRADA",Movimientos!$R$5:$R$2001,0))),"S/D")</f>
        <v>S/D</v>
      </c>
      <c r="I701" s="16" t="str">
        <f t="shared" ca="1" si="22"/>
        <v>S/D</v>
      </c>
      <c r="J701" s="6">
        <f>IF(A701="","",SUMIFS(Movimientos!$K:$K,Movimientos!$H:$H,A701))</f>
        <v>0</v>
      </c>
      <c r="K701" s="14" t="str">
        <f t="shared" ca="1" si="23"/>
        <v>OK</v>
      </c>
    </row>
    <row r="702" spans="1:11">
      <c r="A702" s="18" t="s">
        <v>2763</v>
      </c>
      <c r="B702" s="3" t="str">
        <f>IFERROR(INDEX(Movimientos!$C$5:$C$2001,MATCH(A702&amp;"ENTRADA",Movimientos!$R$5:$R$2001,0)),"-")</f>
        <v>-</v>
      </c>
      <c r="C702" s="3" t="str">
        <f>IFERROR(INDEX(Movimientos!$D$5:$D$2001,MATCH(A702&amp;"ENTRADA",Movimientos!$R$5:$R$2001,0)),"-")</f>
        <v>-</v>
      </c>
      <c r="D702" s="3" t="str">
        <f>IFERROR(INDEX(Movimientos!$E$5:$E$2001,MATCH(A702&amp;"ENTRADA",Movimientos!$R$5:$R$2001,0)),"-")</f>
        <v>-</v>
      </c>
      <c r="E702" s="3" t="str">
        <f>IFERROR(INDEX(Movimientos!$F$5:$F$2001,MATCH(A702&amp;"ENTRADA",Movimientos!$R$5:$R$2001,0)),"-")</f>
        <v>-</v>
      </c>
      <c r="F702" s="3" t="str">
        <f>IFERROR(INDEX(Movimientos!$G$5:$G$2001,MATCH(A702&amp;"ENTRADA",Movimientos!$R$5:$R$2001,0)),"-")</f>
        <v>-</v>
      </c>
      <c r="G702" s="3" t="str">
        <f>IFERROR(INDEX(Movimientos!$L$5:$L$2001,MATCH(A702&amp;"ENTRADA",Movimientos!$R$5:$R$2001,0)),"-")</f>
        <v>-</v>
      </c>
      <c r="H702" s="19" t="str">
        <f>IFERROR(IF(INDEX(Movimientos!$M$5:$M$2001,MATCH(A702&amp;"ENTRADA",Movimientos!$R$5:$R$2001,0))=0,"S/D",INDEX(Movimientos!$M$5:$M$2001,MATCH(A702&amp;"ENTRADA",Movimientos!$R$5:$R$2001,0))),"S/D")</f>
        <v>S/D</v>
      </c>
      <c r="I702" s="16" t="str">
        <f t="shared" ca="1" si="22"/>
        <v>S/D</v>
      </c>
      <c r="J702" s="6">
        <f>IF(A702="","",SUMIFS(Movimientos!$K:$K,Movimientos!$H:$H,A702))</f>
        <v>0</v>
      </c>
      <c r="K702" s="14" t="str">
        <f t="shared" ca="1" si="23"/>
        <v>OK</v>
      </c>
    </row>
    <row r="703" spans="1:11">
      <c r="A703" s="18" t="s">
        <v>2764</v>
      </c>
      <c r="B703" s="3" t="str">
        <f>IFERROR(INDEX(Movimientos!$C$5:$C$2001,MATCH(A703&amp;"ENTRADA",Movimientos!$R$5:$R$2001,0)),"-")</f>
        <v>-</v>
      </c>
      <c r="C703" s="3" t="str">
        <f>IFERROR(INDEX(Movimientos!$D$5:$D$2001,MATCH(A703&amp;"ENTRADA",Movimientos!$R$5:$R$2001,0)),"-")</f>
        <v>-</v>
      </c>
      <c r="D703" s="3" t="str">
        <f>IFERROR(INDEX(Movimientos!$E$5:$E$2001,MATCH(A703&amp;"ENTRADA",Movimientos!$R$5:$R$2001,0)),"-")</f>
        <v>-</v>
      </c>
      <c r="E703" s="3" t="str">
        <f>IFERROR(INDEX(Movimientos!$F$5:$F$2001,MATCH(A703&amp;"ENTRADA",Movimientos!$R$5:$R$2001,0)),"-")</f>
        <v>-</v>
      </c>
      <c r="F703" s="3" t="str">
        <f>IFERROR(INDEX(Movimientos!$G$5:$G$2001,MATCH(A703&amp;"ENTRADA",Movimientos!$R$5:$R$2001,0)),"-")</f>
        <v>-</v>
      </c>
      <c r="G703" s="3" t="str">
        <f>IFERROR(INDEX(Movimientos!$L$5:$L$2001,MATCH(A703&amp;"ENTRADA",Movimientos!$R$5:$R$2001,0)),"-")</f>
        <v>-</v>
      </c>
      <c r="H703" s="19" t="str">
        <f>IFERROR(IF(INDEX(Movimientos!$M$5:$M$2001,MATCH(A703&amp;"ENTRADA",Movimientos!$R$5:$R$2001,0))=0,"S/D",INDEX(Movimientos!$M$5:$M$2001,MATCH(A703&amp;"ENTRADA",Movimientos!$R$5:$R$2001,0))),"S/D")</f>
        <v>S/D</v>
      </c>
      <c r="I703" s="16" t="str">
        <f t="shared" ca="1" si="22"/>
        <v>S/D</v>
      </c>
      <c r="J703" s="6">
        <f>IF(A703="","",SUMIFS(Movimientos!$K:$K,Movimientos!$H:$H,A703))</f>
        <v>0</v>
      </c>
      <c r="K703" s="14" t="str">
        <f t="shared" ca="1" si="23"/>
        <v>OK</v>
      </c>
    </row>
    <row r="704" spans="1:11">
      <c r="A704" s="18" t="s">
        <v>2765</v>
      </c>
      <c r="B704" s="3" t="str">
        <f>IFERROR(INDEX(Movimientos!$C$5:$C$2001,MATCH(A704&amp;"ENTRADA",Movimientos!$R$5:$R$2001,0)),"-")</f>
        <v>-</v>
      </c>
      <c r="C704" s="3" t="str">
        <f>IFERROR(INDEX(Movimientos!$D$5:$D$2001,MATCH(A704&amp;"ENTRADA",Movimientos!$R$5:$R$2001,0)),"-")</f>
        <v>-</v>
      </c>
      <c r="D704" s="3" t="str">
        <f>IFERROR(INDEX(Movimientos!$E$5:$E$2001,MATCH(A704&amp;"ENTRADA",Movimientos!$R$5:$R$2001,0)),"-")</f>
        <v>-</v>
      </c>
      <c r="E704" s="3" t="str">
        <f>IFERROR(INDEX(Movimientos!$F$5:$F$2001,MATCH(A704&amp;"ENTRADA",Movimientos!$R$5:$R$2001,0)),"-")</f>
        <v>-</v>
      </c>
      <c r="F704" s="3" t="str">
        <f>IFERROR(INDEX(Movimientos!$G$5:$G$2001,MATCH(A704&amp;"ENTRADA",Movimientos!$R$5:$R$2001,0)),"-")</f>
        <v>-</v>
      </c>
      <c r="G704" s="3" t="str">
        <f>IFERROR(INDEX(Movimientos!$L$5:$L$2001,MATCH(A704&amp;"ENTRADA",Movimientos!$R$5:$R$2001,0)),"-")</f>
        <v>-</v>
      </c>
      <c r="H704" s="19" t="str">
        <f>IFERROR(IF(INDEX(Movimientos!$M$5:$M$2001,MATCH(A704&amp;"ENTRADA",Movimientos!$R$5:$R$2001,0))=0,"S/D",INDEX(Movimientos!$M$5:$M$2001,MATCH(A704&amp;"ENTRADA",Movimientos!$R$5:$R$2001,0))),"S/D")</f>
        <v>S/D</v>
      </c>
      <c r="I704" s="16" t="str">
        <f t="shared" ca="1" si="22"/>
        <v>S/D</v>
      </c>
      <c r="J704" s="6">
        <f>IF(A704="","",SUMIFS(Movimientos!$K:$K,Movimientos!$H:$H,A704))</f>
        <v>0</v>
      </c>
      <c r="K704" s="14" t="str">
        <f t="shared" ca="1" si="23"/>
        <v>OK</v>
      </c>
    </row>
    <row r="705" spans="1:11">
      <c r="A705" s="18" t="s">
        <v>2766</v>
      </c>
      <c r="B705" s="3" t="str">
        <f>IFERROR(INDEX(Movimientos!$C$5:$C$2001,MATCH(A705&amp;"ENTRADA",Movimientos!$R$5:$R$2001,0)),"-")</f>
        <v>-</v>
      </c>
      <c r="C705" s="3" t="str">
        <f>IFERROR(INDEX(Movimientos!$D$5:$D$2001,MATCH(A705&amp;"ENTRADA",Movimientos!$R$5:$R$2001,0)),"-")</f>
        <v>-</v>
      </c>
      <c r="D705" s="3" t="str">
        <f>IFERROR(INDEX(Movimientos!$E$5:$E$2001,MATCH(A705&amp;"ENTRADA",Movimientos!$R$5:$R$2001,0)),"-")</f>
        <v>-</v>
      </c>
      <c r="E705" s="3" t="str">
        <f>IFERROR(INDEX(Movimientos!$F$5:$F$2001,MATCH(A705&amp;"ENTRADA",Movimientos!$R$5:$R$2001,0)),"-")</f>
        <v>-</v>
      </c>
      <c r="F705" s="3" t="str">
        <f>IFERROR(INDEX(Movimientos!$G$5:$G$2001,MATCH(A705&amp;"ENTRADA",Movimientos!$R$5:$R$2001,0)),"-")</f>
        <v>-</v>
      </c>
      <c r="G705" s="3" t="str">
        <f>IFERROR(INDEX(Movimientos!$L$5:$L$2001,MATCH(A705&amp;"ENTRADA",Movimientos!$R$5:$R$2001,0)),"-")</f>
        <v>-</v>
      </c>
      <c r="H705" s="19" t="str">
        <f>IFERROR(IF(INDEX(Movimientos!$M$5:$M$2001,MATCH(A705&amp;"ENTRADA",Movimientos!$R$5:$R$2001,0))=0,"S/D",INDEX(Movimientos!$M$5:$M$2001,MATCH(A705&amp;"ENTRADA",Movimientos!$R$5:$R$2001,0))),"S/D")</f>
        <v>S/D</v>
      </c>
      <c r="I705" s="16" t="str">
        <f t="shared" ca="1" si="22"/>
        <v>S/D</v>
      </c>
      <c r="J705" s="6">
        <f>IF(A705="","",SUMIFS(Movimientos!$K:$K,Movimientos!$H:$H,A705))</f>
        <v>0</v>
      </c>
      <c r="K705" s="14" t="str">
        <f t="shared" ca="1" si="23"/>
        <v>OK</v>
      </c>
    </row>
    <row r="706" spans="1:11">
      <c r="A706" s="18" t="s">
        <v>2767</v>
      </c>
      <c r="B706" s="3" t="str">
        <f>IFERROR(INDEX(Movimientos!$C$5:$C$2001,MATCH(A706&amp;"ENTRADA",Movimientos!$R$5:$R$2001,0)),"-")</f>
        <v>-</v>
      </c>
      <c r="C706" s="3" t="str">
        <f>IFERROR(INDEX(Movimientos!$D$5:$D$2001,MATCH(A706&amp;"ENTRADA",Movimientos!$R$5:$R$2001,0)),"-")</f>
        <v>-</v>
      </c>
      <c r="D706" s="3" t="str">
        <f>IFERROR(INDEX(Movimientos!$E$5:$E$2001,MATCH(A706&amp;"ENTRADA",Movimientos!$R$5:$R$2001,0)),"-")</f>
        <v>-</v>
      </c>
      <c r="E706" s="3" t="str">
        <f>IFERROR(INDEX(Movimientos!$F$5:$F$2001,MATCH(A706&amp;"ENTRADA",Movimientos!$R$5:$R$2001,0)),"-")</f>
        <v>-</v>
      </c>
      <c r="F706" s="3" t="str">
        <f>IFERROR(INDEX(Movimientos!$G$5:$G$2001,MATCH(A706&amp;"ENTRADA",Movimientos!$R$5:$R$2001,0)),"-")</f>
        <v>-</v>
      </c>
      <c r="G706" s="3" t="str">
        <f>IFERROR(INDEX(Movimientos!$L$5:$L$2001,MATCH(A706&amp;"ENTRADA",Movimientos!$R$5:$R$2001,0)),"-")</f>
        <v>-</v>
      </c>
      <c r="H706" s="19" t="str">
        <f>IFERROR(IF(INDEX(Movimientos!$M$5:$M$2001,MATCH(A706&amp;"ENTRADA",Movimientos!$R$5:$R$2001,0))=0,"S/D",INDEX(Movimientos!$M$5:$M$2001,MATCH(A706&amp;"ENTRADA",Movimientos!$R$5:$R$2001,0))),"S/D")</f>
        <v>S/D</v>
      </c>
      <c r="I706" s="16" t="str">
        <f t="shared" ca="1" si="22"/>
        <v>S/D</v>
      </c>
      <c r="J706" s="6">
        <f>IF(A706="","",SUMIFS(Movimientos!$K:$K,Movimientos!$H:$H,A706))</f>
        <v>0</v>
      </c>
      <c r="K706" s="14" t="str">
        <f t="shared" ca="1" si="23"/>
        <v>OK</v>
      </c>
    </row>
    <row r="707" spans="1:11">
      <c r="A707" s="18" t="s">
        <v>2768</v>
      </c>
      <c r="B707" s="3" t="str">
        <f>IFERROR(INDEX(Movimientos!$C$5:$C$2001,MATCH(A707&amp;"ENTRADA",Movimientos!$R$5:$R$2001,0)),"-")</f>
        <v>-</v>
      </c>
      <c r="C707" s="3" t="str">
        <f>IFERROR(INDEX(Movimientos!$D$5:$D$2001,MATCH(A707&amp;"ENTRADA",Movimientos!$R$5:$R$2001,0)),"-")</f>
        <v>-</v>
      </c>
      <c r="D707" s="3" t="str">
        <f>IFERROR(INDEX(Movimientos!$E$5:$E$2001,MATCH(A707&amp;"ENTRADA",Movimientos!$R$5:$R$2001,0)),"-")</f>
        <v>-</v>
      </c>
      <c r="E707" s="3" t="str">
        <f>IFERROR(INDEX(Movimientos!$F$5:$F$2001,MATCH(A707&amp;"ENTRADA",Movimientos!$R$5:$R$2001,0)),"-")</f>
        <v>-</v>
      </c>
      <c r="F707" s="3" t="str">
        <f>IFERROR(INDEX(Movimientos!$G$5:$G$2001,MATCH(A707&amp;"ENTRADA",Movimientos!$R$5:$R$2001,0)),"-")</f>
        <v>-</v>
      </c>
      <c r="G707" s="3" t="str">
        <f>IFERROR(INDEX(Movimientos!$L$5:$L$2001,MATCH(A707&amp;"ENTRADA",Movimientos!$R$5:$R$2001,0)),"-")</f>
        <v>-</v>
      </c>
      <c r="H707" s="19" t="str">
        <f>IFERROR(IF(INDEX(Movimientos!$M$5:$M$2001,MATCH(A707&amp;"ENTRADA",Movimientos!$R$5:$R$2001,0))=0,"S/D",INDEX(Movimientos!$M$5:$M$2001,MATCH(A707&amp;"ENTRADA",Movimientos!$R$5:$R$2001,0))),"S/D")</f>
        <v>S/D</v>
      </c>
      <c r="I707" s="16" t="str">
        <f t="shared" ca="1" si="22"/>
        <v>S/D</v>
      </c>
      <c r="J707" s="6">
        <f>IF(A707="","",SUMIFS(Movimientos!$K:$K,Movimientos!$H:$H,A707))</f>
        <v>0</v>
      </c>
      <c r="K707" s="14" t="str">
        <f t="shared" ca="1" si="23"/>
        <v>OK</v>
      </c>
    </row>
    <row r="708" spans="1:11">
      <c r="A708" s="18" t="s">
        <v>2769</v>
      </c>
      <c r="B708" s="3" t="str">
        <f>IFERROR(INDEX(Movimientos!$C$5:$C$2001,MATCH(A708&amp;"ENTRADA",Movimientos!$R$5:$R$2001,0)),"-")</f>
        <v>-</v>
      </c>
      <c r="C708" s="3" t="str">
        <f>IFERROR(INDEX(Movimientos!$D$5:$D$2001,MATCH(A708&amp;"ENTRADA",Movimientos!$R$5:$R$2001,0)),"-")</f>
        <v>-</v>
      </c>
      <c r="D708" s="3" t="str">
        <f>IFERROR(INDEX(Movimientos!$E$5:$E$2001,MATCH(A708&amp;"ENTRADA",Movimientos!$R$5:$R$2001,0)),"-")</f>
        <v>-</v>
      </c>
      <c r="E708" s="3" t="str">
        <f>IFERROR(INDEX(Movimientos!$F$5:$F$2001,MATCH(A708&amp;"ENTRADA",Movimientos!$R$5:$R$2001,0)),"-")</f>
        <v>-</v>
      </c>
      <c r="F708" s="3" t="str">
        <f>IFERROR(INDEX(Movimientos!$G$5:$G$2001,MATCH(A708&amp;"ENTRADA",Movimientos!$R$5:$R$2001,0)),"-")</f>
        <v>-</v>
      </c>
      <c r="G708" s="3" t="str">
        <f>IFERROR(INDEX(Movimientos!$L$5:$L$2001,MATCH(A708&amp;"ENTRADA",Movimientos!$R$5:$R$2001,0)),"-")</f>
        <v>-</v>
      </c>
      <c r="H708" s="19" t="str">
        <f>IFERROR(IF(INDEX(Movimientos!$M$5:$M$2001,MATCH(A708&amp;"ENTRADA",Movimientos!$R$5:$R$2001,0))=0,"S/D",INDEX(Movimientos!$M$5:$M$2001,MATCH(A708&amp;"ENTRADA",Movimientos!$R$5:$R$2001,0))),"S/D")</f>
        <v>S/D</v>
      </c>
      <c r="I708" s="16" t="str">
        <f t="shared" ca="1" si="22"/>
        <v>S/D</v>
      </c>
      <c r="J708" s="6">
        <f>IF(A708="","",SUMIFS(Movimientos!$K:$K,Movimientos!$H:$H,A708))</f>
        <v>0</v>
      </c>
      <c r="K708" s="14" t="str">
        <f t="shared" ca="1" si="23"/>
        <v>OK</v>
      </c>
    </row>
    <row r="709" spans="1:11">
      <c r="A709" s="18" t="s">
        <v>2770</v>
      </c>
      <c r="B709" s="3" t="str">
        <f>IFERROR(INDEX(Movimientos!$C$5:$C$2001,MATCH(A709&amp;"ENTRADA",Movimientos!$R$5:$R$2001,0)),"-")</f>
        <v>-</v>
      </c>
      <c r="C709" s="3" t="str">
        <f>IFERROR(INDEX(Movimientos!$D$5:$D$2001,MATCH(A709&amp;"ENTRADA",Movimientos!$R$5:$R$2001,0)),"-")</f>
        <v>-</v>
      </c>
      <c r="D709" s="3" t="str">
        <f>IFERROR(INDEX(Movimientos!$E$5:$E$2001,MATCH(A709&amp;"ENTRADA",Movimientos!$R$5:$R$2001,0)),"-")</f>
        <v>-</v>
      </c>
      <c r="E709" s="3" t="str">
        <f>IFERROR(INDEX(Movimientos!$F$5:$F$2001,MATCH(A709&amp;"ENTRADA",Movimientos!$R$5:$R$2001,0)),"-")</f>
        <v>-</v>
      </c>
      <c r="F709" s="3" t="str">
        <f>IFERROR(INDEX(Movimientos!$G$5:$G$2001,MATCH(A709&amp;"ENTRADA",Movimientos!$R$5:$R$2001,0)),"-")</f>
        <v>-</v>
      </c>
      <c r="G709" s="3" t="str">
        <f>IFERROR(INDEX(Movimientos!$L$5:$L$2001,MATCH(A709&amp;"ENTRADA",Movimientos!$R$5:$R$2001,0)),"-")</f>
        <v>-</v>
      </c>
      <c r="H709" s="19" t="str">
        <f>IFERROR(IF(INDEX(Movimientos!$M$5:$M$2001,MATCH(A709&amp;"ENTRADA",Movimientos!$R$5:$R$2001,0))=0,"S/D",INDEX(Movimientos!$M$5:$M$2001,MATCH(A709&amp;"ENTRADA",Movimientos!$R$5:$R$2001,0))),"S/D")</f>
        <v>S/D</v>
      </c>
      <c r="I709" s="16" t="str">
        <f t="shared" ca="1" si="22"/>
        <v>S/D</v>
      </c>
      <c r="J709" s="6">
        <f>IF(A709="","",SUMIFS(Movimientos!$K:$K,Movimientos!$H:$H,A709))</f>
        <v>0</v>
      </c>
      <c r="K709" s="14" t="str">
        <f t="shared" ca="1" si="23"/>
        <v>OK</v>
      </c>
    </row>
    <row r="710" spans="1:11">
      <c r="A710" s="18" t="s">
        <v>2771</v>
      </c>
      <c r="B710" s="3" t="str">
        <f>IFERROR(INDEX(Movimientos!$C$5:$C$2001,MATCH(A710&amp;"ENTRADA",Movimientos!$R$5:$R$2001,0)),"-")</f>
        <v>-</v>
      </c>
      <c r="C710" s="3" t="str">
        <f>IFERROR(INDEX(Movimientos!$D$5:$D$2001,MATCH(A710&amp;"ENTRADA",Movimientos!$R$5:$R$2001,0)),"-")</f>
        <v>-</v>
      </c>
      <c r="D710" s="3" t="str">
        <f>IFERROR(INDEX(Movimientos!$E$5:$E$2001,MATCH(A710&amp;"ENTRADA",Movimientos!$R$5:$R$2001,0)),"-")</f>
        <v>-</v>
      </c>
      <c r="E710" s="3" t="str">
        <f>IFERROR(INDEX(Movimientos!$F$5:$F$2001,MATCH(A710&amp;"ENTRADA",Movimientos!$R$5:$R$2001,0)),"-")</f>
        <v>-</v>
      </c>
      <c r="F710" s="3" t="str">
        <f>IFERROR(INDEX(Movimientos!$G$5:$G$2001,MATCH(A710&amp;"ENTRADA",Movimientos!$R$5:$R$2001,0)),"-")</f>
        <v>-</v>
      </c>
      <c r="G710" s="3" t="str">
        <f>IFERROR(INDEX(Movimientos!$L$5:$L$2001,MATCH(A710&amp;"ENTRADA",Movimientos!$R$5:$R$2001,0)),"-")</f>
        <v>-</v>
      </c>
      <c r="H710" s="19" t="str">
        <f>IFERROR(IF(INDEX(Movimientos!$M$5:$M$2001,MATCH(A710&amp;"ENTRADA",Movimientos!$R$5:$R$2001,0))=0,"S/D",INDEX(Movimientos!$M$5:$M$2001,MATCH(A710&amp;"ENTRADA",Movimientos!$R$5:$R$2001,0))),"S/D")</f>
        <v>S/D</v>
      </c>
      <c r="I710" s="16" t="str">
        <f t="shared" ca="1" si="22"/>
        <v>S/D</v>
      </c>
      <c r="J710" s="6">
        <f>IF(A710="","",SUMIFS(Movimientos!$K:$K,Movimientos!$H:$H,A710))</f>
        <v>0</v>
      </c>
      <c r="K710" s="14" t="str">
        <f t="shared" ca="1" si="23"/>
        <v>OK</v>
      </c>
    </row>
    <row r="711" spans="1:11">
      <c r="A711" s="18" t="s">
        <v>2772</v>
      </c>
      <c r="B711" s="3" t="str">
        <f>IFERROR(INDEX(Movimientos!$C$5:$C$2001,MATCH(A711&amp;"ENTRADA",Movimientos!$R$5:$R$2001,0)),"-")</f>
        <v>-</v>
      </c>
      <c r="C711" s="3" t="str">
        <f>IFERROR(INDEX(Movimientos!$D$5:$D$2001,MATCH(A711&amp;"ENTRADA",Movimientos!$R$5:$R$2001,0)),"-")</f>
        <v>-</v>
      </c>
      <c r="D711" s="3" t="str">
        <f>IFERROR(INDEX(Movimientos!$E$5:$E$2001,MATCH(A711&amp;"ENTRADA",Movimientos!$R$5:$R$2001,0)),"-")</f>
        <v>-</v>
      </c>
      <c r="E711" s="3" t="str">
        <f>IFERROR(INDEX(Movimientos!$F$5:$F$2001,MATCH(A711&amp;"ENTRADA",Movimientos!$R$5:$R$2001,0)),"-")</f>
        <v>-</v>
      </c>
      <c r="F711" s="3" t="str">
        <f>IFERROR(INDEX(Movimientos!$G$5:$G$2001,MATCH(A711&amp;"ENTRADA",Movimientos!$R$5:$R$2001,0)),"-")</f>
        <v>-</v>
      </c>
      <c r="G711" s="3" t="str">
        <f>IFERROR(INDEX(Movimientos!$L$5:$L$2001,MATCH(A711&amp;"ENTRADA",Movimientos!$R$5:$R$2001,0)),"-")</f>
        <v>-</v>
      </c>
      <c r="H711" s="19" t="str">
        <f>IFERROR(IF(INDEX(Movimientos!$M$5:$M$2001,MATCH(A711&amp;"ENTRADA",Movimientos!$R$5:$R$2001,0))=0,"S/D",INDEX(Movimientos!$M$5:$M$2001,MATCH(A711&amp;"ENTRADA",Movimientos!$R$5:$R$2001,0))),"S/D")</f>
        <v>S/D</v>
      </c>
      <c r="I711" s="16" t="str">
        <f t="shared" ca="1" si="22"/>
        <v>S/D</v>
      </c>
      <c r="J711" s="6">
        <f>IF(A711="","",SUMIFS(Movimientos!$K:$K,Movimientos!$H:$H,A711))</f>
        <v>0</v>
      </c>
      <c r="K711" s="14" t="str">
        <f t="shared" ca="1" si="23"/>
        <v>OK</v>
      </c>
    </row>
    <row r="712" spans="1:11">
      <c r="A712" s="18" t="s">
        <v>2773</v>
      </c>
      <c r="B712" s="3" t="str">
        <f>IFERROR(INDEX(Movimientos!$C$5:$C$2001,MATCH(A712&amp;"ENTRADA",Movimientos!$R$5:$R$2001,0)),"-")</f>
        <v>-</v>
      </c>
      <c r="C712" s="3" t="str">
        <f>IFERROR(INDEX(Movimientos!$D$5:$D$2001,MATCH(A712&amp;"ENTRADA",Movimientos!$R$5:$R$2001,0)),"-")</f>
        <v>-</v>
      </c>
      <c r="D712" s="3" t="str">
        <f>IFERROR(INDEX(Movimientos!$E$5:$E$2001,MATCH(A712&amp;"ENTRADA",Movimientos!$R$5:$R$2001,0)),"-")</f>
        <v>-</v>
      </c>
      <c r="E712" s="3" t="str">
        <f>IFERROR(INDEX(Movimientos!$F$5:$F$2001,MATCH(A712&amp;"ENTRADA",Movimientos!$R$5:$R$2001,0)),"-")</f>
        <v>-</v>
      </c>
      <c r="F712" s="3" t="str">
        <f>IFERROR(INDEX(Movimientos!$G$5:$G$2001,MATCH(A712&amp;"ENTRADA",Movimientos!$R$5:$R$2001,0)),"-")</f>
        <v>-</v>
      </c>
      <c r="G712" s="3" t="str">
        <f>IFERROR(INDEX(Movimientos!$L$5:$L$2001,MATCH(A712&amp;"ENTRADA",Movimientos!$R$5:$R$2001,0)),"-")</f>
        <v>-</v>
      </c>
      <c r="H712" s="19" t="str">
        <f>IFERROR(IF(INDEX(Movimientos!$M$5:$M$2001,MATCH(A712&amp;"ENTRADA",Movimientos!$R$5:$R$2001,0))=0,"S/D",INDEX(Movimientos!$M$5:$M$2001,MATCH(A712&amp;"ENTRADA",Movimientos!$R$5:$R$2001,0))),"S/D")</f>
        <v>S/D</v>
      </c>
      <c r="I712" s="16" t="str">
        <f t="shared" ca="1" si="22"/>
        <v>S/D</v>
      </c>
      <c r="J712" s="6">
        <f>IF(A712="","",SUMIFS(Movimientos!$K:$K,Movimientos!$H:$H,A712))</f>
        <v>0</v>
      </c>
      <c r="K712" s="14" t="str">
        <f t="shared" ca="1" si="23"/>
        <v>OK</v>
      </c>
    </row>
    <row r="713" spans="1:11">
      <c r="A713" s="18" t="s">
        <v>2774</v>
      </c>
      <c r="B713" s="3" t="str">
        <f>IFERROR(INDEX(Movimientos!$C$5:$C$2001,MATCH(A713&amp;"ENTRADA",Movimientos!$R$5:$R$2001,0)),"-")</f>
        <v>-</v>
      </c>
      <c r="C713" s="3" t="str">
        <f>IFERROR(INDEX(Movimientos!$D$5:$D$2001,MATCH(A713&amp;"ENTRADA",Movimientos!$R$5:$R$2001,0)),"-")</f>
        <v>-</v>
      </c>
      <c r="D713" s="3" t="str">
        <f>IFERROR(INDEX(Movimientos!$E$5:$E$2001,MATCH(A713&amp;"ENTRADA",Movimientos!$R$5:$R$2001,0)),"-")</f>
        <v>-</v>
      </c>
      <c r="E713" s="3" t="str">
        <f>IFERROR(INDEX(Movimientos!$F$5:$F$2001,MATCH(A713&amp;"ENTRADA",Movimientos!$R$5:$R$2001,0)),"-")</f>
        <v>-</v>
      </c>
      <c r="F713" s="3" t="str">
        <f>IFERROR(INDEX(Movimientos!$G$5:$G$2001,MATCH(A713&amp;"ENTRADA",Movimientos!$R$5:$R$2001,0)),"-")</f>
        <v>-</v>
      </c>
      <c r="G713" s="3" t="str">
        <f>IFERROR(INDEX(Movimientos!$L$5:$L$2001,MATCH(A713&amp;"ENTRADA",Movimientos!$R$5:$R$2001,0)),"-")</f>
        <v>-</v>
      </c>
      <c r="H713" s="19" t="str">
        <f>IFERROR(IF(INDEX(Movimientos!$M$5:$M$2001,MATCH(A713&amp;"ENTRADA",Movimientos!$R$5:$R$2001,0))=0,"S/D",INDEX(Movimientos!$M$5:$M$2001,MATCH(A713&amp;"ENTRADA",Movimientos!$R$5:$R$2001,0))),"S/D")</f>
        <v>S/D</v>
      </c>
      <c r="I713" s="16" t="str">
        <f t="shared" ca="1" si="22"/>
        <v>S/D</v>
      </c>
      <c r="J713" s="6">
        <f>IF(A713="","",SUMIFS(Movimientos!$K:$K,Movimientos!$H:$H,A713))</f>
        <v>0</v>
      </c>
      <c r="K713" s="14" t="str">
        <f t="shared" ca="1" si="23"/>
        <v>OK</v>
      </c>
    </row>
    <row r="714" spans="1:11">
      <c r="A714" s="18" t="s">
        <v>2775</v>
      </c>
      <c r="B714" s="3" t="str">
        <f>IFERROR(INDEX(Movimientos!$C$5:$C$2001,MATCH(A714&amp;"ENTRADA",Movimientos!$R$5:$R$2001,0)),"-")</f>
        <v>-</v>
      </c>
      <c r="C714" s="3" t="str">
        <f>IFERROR(INDEX(Movimientos!$D$5:$D$2001,MATCH(A714&amp;"ENTRADA",Movimientos!$R$5:$R$2001,0)),"-")</f>
        <v>-</v>
      </c>
      <c r="D714" s="3" t="str">
        <f>IFERROR(INDEX(Movimientos!$E$5:$E$2001,MATCH(A714&amp;"ENTRADA",Movimientos!$R$5:$R$2001,0)),"-")</f>
        <v>-</v>
      </c>
      <c r="E714" s="3" t="str">
        <f>IFERROR(INDEX(Movimientos!$F$5:$F$2001,MATCH(A714&amp;"ENTRADA",Movimientos!$R$5:$R$2001,0)),"-")</f>
        <v>-</v>
      </c>
      <c r="F714" s="3" t="str">
        <f>IFERROR(INDEX(Movimientos!$G$5:$G$2001,MATCH(A714&amp;"ENTRADA",Movimientos!$R$5:$R$2001,0)),"-")</f>
        <v>-</v>
      </c>
      <c r="G714" s="3" t="str">
        <f>IFERROR(INDEX(Movimientos!$L$5:$L$2001,MATCH(A714&amp;"ENTRADA",Movimientos!$R$5:$R$2001,0)),"-")</f>
        <v>-</v>
      </c>
      <c r="H714" s="19" t="str">
        <f>IFERROR(IF(INDEX(Movimientos!$M$5:$M$2001,MATCH(A714&amp;"ENTRADA",Movimientos!$R$5:$R$2001,0))=0,"S/D",INDEX(Movimientos!$M$5:$M$2001,MATCH(A714&amp;"ENTRADA",Movimientos!$R$5:$R$2001,0))),"S/D")</f>
        <v>S/D</v>
      </c>
      <c r="I714" s="16" t="str">
        <f t="shared" ca="1" si="22"/>
        <v>S/D</v>
      </c>
      <c r="J714" s="6">
        <f>IF(A714="","",SUMIFS(Movimientos!$K:$K,Movimientos!$H:$H,A714))</f>
        <v>0</v>
      </c>
      <c r="K714" s="14" t="str">
        <f t="shared" ca="1" si="23"/>
        <v>OK</v>
      </c>
    </row>
    <row r="715" spans="1:11">
      <c r="A715" s="18" t="s">
        <v>2776</v>
      </c>
      <c r="B715" s="3" t="str">
        <f>IFERROR(INDEX(Movimientos!$C$5:$C$2001,MATCH(A715&amp;"ENTRADA",Movimientos!$R$5:$R$2001,0)),"-")</f>
        <v>-</v>
      </c>
      <c r="C715" s="3" t="str">
        <f>IFERROR(INDEX(Movimientos!$D$5:$D$2001,MATCH(A715&amp;"ENTRADA",Movimientos!$R$5:$R$2001,0)),"-")</f>
        <v>-</v>
      </c>
      <c r="D715" s="3" t="str">
        <f>IFERROR(INDEX(Movimientos!$E$5:$E$2001,MATCH(A715&amp;"ENTRADA",Movimientos!$R$5:$R$2001,0)),"-")</f>
        <v>-</v>
      </c>
      <c r="E715" s="3" t="str">
        <f>IFERROR(INDEX(Movimientos!$F$5:$F$2001,MATCH(A715&amp;"ENTRADA",Movimientos!$R$5:$R$2001,0)),"-")</f>
        <v>-</v>
      </c>
      <c r="F715" s="3" t="str">
        <f>IFERROR(INDEX(Movimientos!$G$5:$G$2001,MATCH(A715&amp;"ENTRADA",Movimientos!$R$5:$R$2001,0)),"-")</f>
        <v>-</v>
      </c>
      <c r="G715" s="3" t="str">
        <f>IFERROR(INDEX(Movimientos!$L$5:$L$2001,MATCH(A715&amp;"ENTRADA",Movimientos!$R$5:$R$2001,0)),"-")</f>
        <v>-</v>
      </c>
      <c r="H715" s="19" t="str">
        <f>IFERROR(IF(INDEX(Movimientos!$M$5:$M$2001,MATCH(A715&amp;"ENTRADA",Movimientos!$R$5:$R$2001,0))=0,"S/D",INDEX(Movimientos!$M$5:$M$2001,MATCH(A715&amp;"ENTRADA",Movimientos!$R$5:$R$2001,0))),"S/D")</f>
        <v>S/D</v>
      </c>
      <c r="I715" s="16" t="str">
        <f t="shared" ref="I715:I778" ca="1" si="24">IF(OR(A715="",H715="S/D"),"S/D",H715-TODAY())</f>
        <v>S/D</v>
      </c>
      <c r="J715" s="6">
        <f>IF(A715="","",SUMIFS(Movimientos!$K:$K,Movimientos!$H:$H,A715))</f>
        <v>0</v>
      </c>
      <c r="K715" s="14" t="str">
        <f t="shared" ref="K715:K778" ca="1" si="25">IF(A715="","",IF(H715="S/D","OK",IF(H715&lt;TODAY(),"VENCIDO",IF(J715&lt;=0,"SIN STOCK",IF(I715&gt;=180,"OK","PRÓXIMO A VENCER")))))</f>
        <v>OK</v>
      </c>
    </row>
    <row r="716" spans="1:11">
      <c r="A716" s="18" t="s">
        <v>2777</v>
      </c>
      <c r="B716" s="3" t="str">
        <f>IFERROR(INDEX(Movimientos!$C$5:$C$2001,MATCH(A716&amp;"ENTRADA",Movimientos!$R$5:$R$2001,0)),"-")</f>
        <v>-</v>
      </c>
      <c r="C716" s="3" t="str">
        <f>IFERROR(INDEX(Movimientos!$D$5:$D$2001,MATCH(A716&amp;"ENTRADA",Movimientos!$R$5:$R$2001,0)),"-")</f>
        <v>-</v>
      </c>
      <c r="D716" s="3" t="str">
        <f>IFERROR(INDEX(Movimientos!$E$5:$E$2001,MATCH(A716&amp;"ENTRADA",Movimientos!$R$5:$R$2001,0)),"-")</f>
        <v>-</v>
      </c>
      <c r="E716" s="3" t="str">
        <f>IFERROR(INDEX(Movimientos!$F$5:$F$2001,MATCH(A716&amp;"ENTRADA",Movimientos!$R$5:$R$2001,0)),"-")</f>
        <v>-</v>
      </c>
      <c r="F716" s="3" t="str">
        <f>IFERROR(INDEX(Movimientos!$G$5:$G$2001,MATCH(A716&amp;"ENTRADA",Movimientos!$R$5:$R$2001,0)),"-")</f>
        <v>-</v>
      </c>
      <c r="G716" s="3" t="str">
        <f>IFERROR(INDEX(Movimientos!$L$5:$L$2001,MATCH(A716&amp;"ENTRADA",Movimientos!$R$5:$R$2001,0)),"-")</f>
        <v>-</v>
      </c>
      <c r="H716" s="19" t="str">
        <f>IFERROR(IF(INDEX(Movimientos!$M$5:$M$2001,MATCH(A716&amp;"ENTRADA",Movimientos!$R$5:$R$2001,0))=0,"S/D",INDEX(Movimientos!$M$5:$M$2001,MATCH(A716&amp;"ENTRADA",Movimientos!$R$5:$R$2001,0))),"S/D")</f>
        <v>S/D</v>
      </c>
      <c r="I716" s="16" t="str">
        <f t="shared" ca="1" si="24"/>
        <v>S/D</v>
      </c>
      <c r="J716" s="6">
        <f>IF(A716="","",SUMIFS(Movimientos!$K:$K,Movimientos!$H:$H,A716))</f>
        <v>0</v>
      </c>
      <c r="K716" s="14" t="str">
        <f t="shared" ca="1" si="25"/>
        <v>OK</v>
      </c>
    </row>
    <row r="717" spans="1:11">
      <c r="A717" s="18" t="s">
        <v>2778</v>
      </c>
      <c r="B717" s="3" t="str">
        <f>IFERROR(INDEX(Movimientos!$C$5:$C$2001,MATCH(A717&amp;"ENTRADA",Movimientos!$R$5:$R$2001,0)),"-")</f>
        <v>-</v>
      </c>
      <c r="C717" s="3" t="str">
        <f>IFERROR(INDEX(Movimientos!$D$5:$D$2001,MATCH(A717&amp;"ENTRADA",Movimientos!$R$5:$R$2001,0)),"-")</f>
        <v>-</v>
      </c>
      <c r="D717" s="3" t="str">
        <f>IFERROR(INDEX(Movimientos!$E$5:$E$2001,MATCH(A717&amp;"ENTRADA",Movimientos!$R$5:$R$2001,0)),"-")</f>
        <v>-</v>
      </c>
      <c r="E717" s="3" t="str">
        <f>IFERROR(INDEX(Movimientos!$F$5:$F$2001,MATCH(A717&amp;"ENTRADA",Movimientos!$R$5:$R$2001,0)),"-")</f>
        <v>-</v>
      </c>
      <c r="F717" s="3" t="str">
        <f>IFERROR(INDEX(Movimientos!$G$5:$G$2001,MATCH(A717&amp;"ENTRADA",Movimientos!$R$5:$R$2001,0)),"-")</f>
        <v>-</v>
      </c>
      <c r="G717" s="3" t="str">
        <f>IFERROR(INDEX(Movimientos!$L$5:$L$2001,MATCH(A717&amp;"ENTRADA",Movimientos!$R$5:$R$2001,0)),"-")</f>
        <v>-</v>
      </c>
      <c r="H717" s="19" t="str">
        <f>IFERROR(IF(INDEX(Movimientos!$M$5:$M$2001,MATCH(A717&amp;"ENTRADA",Movimientos!$R$5:$R$2001,0))=0,"S/D",INDEX(Movimientos!$M$5:$M$2001,MATCH(A717&amp;"ENTRADA",Movimientos!$R$5:$R$2001,0))),"S/D")</f>
        <v>S/D</v>
      </c>
      <c r="I717" s="16" t="str">
        <f t="shared" ca="1" si="24"/>
        <v>S/D</v>
      </c>
      <c r="J717" s="6">
        <f>IF(A717="","",SUMIFS(Movimientos!$K:$K,Movimientos!$H:$H,A717))</f>
        <v>0</v>
      </c>
      <c r="K717" s="14" t="str">
        <f t="shared" ca="1" si="25"/>
        <v>OK</v>
      </c>
    </row>
    <row r="718" spans="1:11">
      <c r="A718" s="18" t="s">
        <v>2779</v>
      </c>
      <c r="B718" s="3" t="str">
        <f>IFERROR(INDEX(Movimientos!$C$5:$C$2001,MATCH(A718&amp;"ENTRADA",Movimientos!$R$5:$R$2001,0)),"-")</f>
        <v>-</v>
      </c>
      <c r="C718" s="3" t="str">
        <f>IFERROR(INDEX(Movimientos!$D$5:$D$2001,MATCH(A718&amp;"ENTRADA",Movimientos!$R$5:$R$2001,0)),"-")</f>
        <v>-</v>
      </c>
      <c r="D718" s="3" t="str">
        <f>IFERROR(INDEX(Movimientos!$E$5:$E$2001,MATCH(A718&amp;"ENTRADA",Movimientos!$R$5:$R$2001,0)),"-")</f>
        <v>-</v>
      </c>
      <c r="E718" s="3" t="str">
        <f>IFERROR(INDEX(Movimientos!$F$5:$F$2001,MATCH(A718&amp;"ENTRADA",Movimientos!$R$5:$R$2001,0)),"-")</f>
        <v>-</v>
      </c>
      <c r="F718" s="3" t="str">
        <f>IFERROR(INDEX(Movimientos!$G$5:$G$2001,MATCH(A718&amp;"ENTRADA",Movimientos!$R$5:$R$2001,0)),"-")</f>
        <v>-</v>
      </c>
      <c r="G718" s="3" t="str">
        <f>IFERROR(INDEX(Movimientos!$L$5:$L$2001,MATCH(A718&amp;"ENTRADA",Movimientos!$R$5:$R$2001,0)),"-")</f>
        <v>-</v>
      </c>
      <c r="H718" s="19" t="str">
        <f>IFERROR(IF(INDEX(Movimientos!$M$5:$M$2001,MATCH(A718&amp;"ENTRADA",Movimientos!$R$5:$R$2001,0))=0,"S/D",INDEX(Movimientos!$M$5:$M$2001,MATCH(A718&amp;"ENTRADA",Movimientos!$R$5:$R$2001,0))),"S/D")</f>
        <v>S/D</v>
      </c>
      <c r="I718" s="16" t="str">
        <f t="shared" ca="1" si="24"/>
        <v>S/D</v>
      </c>
      <c r="J718" s="6">
        <f>IF(A718="","",SUMIFS(Movimientos!$K:$K,Movimientos!$H:$H,A718))</f>
        <v>0</v>
      </c>
      <c r="K718" s="14" t="str">
        <f t="shared" ca="1" si="25"/>
        <v>OK</v>
      </c>
    </row>
    <row r="719" spans="1:11">
      <c r="A719" s="18" t="s">
        <v>2780</v>
      </c>
      <c r="B719" s="3" t="str">
        <f>IFERROR(INDEX(Movimientos!$C$5:$C$2001,MATCH(A719&amp;"ENTRADA",Movimientos!$R$5:$R$2001,0)),"-")</f>
        <v>-</v>
      </c>
      <c r="C719" s="3" t="str">
        <f>IFERROR(INDEX(Movimientos!$D$5:$D$2001,MATCH(A719&amp;"ENTRADA",Movimientos!$R$5:$R$2001,0)),"-")</f>
        <v>-</v>
      </c>
      <c r="D719" s="3" t="str">
        <f>IFERROR(INDEX(Movimientos!$E$5:$E$2001,MATCH(A719&amp;"ENTRADA",Movimientos!$R$5:$R$2001,0)),"-")</f>
        <v>-</v>
      </c>
      <c r="E719" s="3" t="str">
        <f>IFERROR(INDEX(Movimientos!$F$5:$F$2001,MATCH(A719&amp;"ENTRADA",Movimientos!$R$5:$R$2001,0)),"-")</f>
        <v>-</v>
      </c>
      <c r="F719" s="3" t="str">
        <f>IFERROR(INDEX(Movimientos!$G$5:$G$2001,MATCH(A719&amp;"ENTRADA",Movimientos!$R$5:$R$2001,0)),"-")</f>
        <v>-</v>
      </c>
      <c r="G719" s="3" t="str">
        <f>IFERROR(INDEX(Movimientos!$L$5:$L$2001,MATCH(A719&amp;"ENTRADA",Movimientos!$R$5:$R$2001,0)),"-")</f>
        <v>-</v>
      </c>
      <c r="H719" s="19" t="str">
        <f>IFERROR(IF(INDEX(Movimientos!$M$5:$M$2001,MATCH(A719&amp;"ENTRADA",Movimientos!$R$5:$R$2001,0))=0,"S/D",INDEX(Movimientos!$M$5:$M$2001,MATCH(A719&amp;"ENTRADA",Movimientos!$R$5:$R$2001,0))),"S/D")</f>
        <v>S/D</v>
      </c>
      <c r="I719" s="16" t="str">
        <f t="shared" ca="1" si="24"/>
        <v>S/D</v>
      </c>
      <c r="J719" s="6">
        <f>IF(A719="","",SUMIFS(Movimientos!$K:$K,Movimientos!$H:$H,A719))</f>
        <v>0</v>
      </c>
      <c r="K719" s="14" t="str">
        <f t="shared" ca="1" si="25"/>
        <v>OK</v>
      </c>
    </row>
    <row r="720" spans="1:11">
      <c r="A720" s="18" t="s">
        <v>2781</v>
      </c>
      <c r="B720" s="3" t="str">
        <f>IFERROR(INDEX(Movimientos!$C$5:$C$2001,MATCH(A720&amp;"ENTRADA",Movimientos!$R$5:$R$2001,0)),"-")</f>
        <v>-</v>
      </c>
      <c r="C720" s="3" t="str">
        <f>IFERROR(INDEX(Movimientos!$D$5:$D$2001,MATCH(A720&amp;"ENTRADA",Movimientos!$R$5:$R$2001,0)),"-")</f>
        <v>-</v>
      </c>
      <c r="D720" s="3" t="str">
        <f>IFERROR(INDEX(Movimientos!$E$5:$E$2001,MATCH(A720&amp;"ENTRADA",Movimientos!$R$5:$R$2001,0)),"-")</f>
        <v>-</v>
      </c>
      <c r="E720" s="3" t="str">
        <f>IFERROR(INDEX(Movimientos!$F$5:$F$2001,MATCH(A720&amp;"ENTRADA",Movimientos!$R$5:$R$2001,0)),"-")</f>
        <v>-</v>
      </c>
      <c r="F720" s="3" t="str">
        <f>IFERROR(INDEX(Movimientos!$G$5:$G$2001,MATCH(A720&amp;"ENTRADA",Movimientos!$R$5:$R$2001,0)),"-")</f>
        <v>-</v>
      </c>
      <c r="G720" s="3" t="str">
        <f>IFERROR(INDEX(Movimientos!$L$5:$L$2001,MATCH(A720&amp;"ENTRADA",Movimientos!$R$5:$R$2001,0)),"-")</f>
        <v>-</v>
      </c>
      <c r="H720" s="19" t="str">
        <f>IFERROR(IF(INDEX(Movimientos!$M$5:$M$2001,MATCH(A720&amp;"ENTRADA",Movimientos!$R$5:$R$2001,0))=0,"S/D",INDEX(Movimientos!$M$5:$M$2001,MATCH(A720&amp;"ENTRADA",Movimientos!$R$5:$R$2001,0))),"S/D")</f>
        <v>S/D</v>
      </c>
      <c r="I720" s="16" t="str">
        <f t="shared" ca="1" si="24"/>
        <v>S/D</v>
      </c>
      <c r="J720" s="6">
        <f>IF(A720="","",SUMIFS(Movimientos!$K:$K,Movimientos!$H:$H,A720))</f>
        <v>0</v>
      </c>
      <c r="K720" s="14" t="str">
        <f t="shared" ca="1" si="25"/>
        <v>OK</v>
      </c>
    </row>
    <row r="721" spans="1:11">
      <c r="A721" s="18" t="s">
        <v>2782</v>
      </c>
      <c r="B721" s="3" t="str">
        <f>IFERROR(INDEX(Movimientos!$C$5:$C$2001,MATCH(A721&amp;"ENTRADA",Movimientos!$R$5:$R$2001,0)),"-")</f>
        <v>-</v>
      </c>
      <c r="C721" s="3" t="str">
        <f>IFERROR(INDEX(Movimientos!$D$5:$D$2001,MATCH(A721&amp;"ENTRADA",Movimientos!$R$5:$R$2001,0)),"-")</f>
        <v>-</v>
      </c>
      <c r="D721" s="3" t="str">
        <f>IFERROR(INDEX(Movimientos!$E$5:$E$2001,MATCH(A721&amp;"ENTRADA",Movimientos!$R$5:$R$2001,0)),"-")</f>
        <v>-</v>
      </c>
      <c r="E721" s="3" t="str">
        <f>IFERROR(INDEX(Movimientos!$F$5:$F$2001,MATCH(A721&amp;"ENTRADA",Movimientos!$R$5:$R$2001,0)),"-")</f>
        <v>-</v>
      </c>
      <c r="F721" s="3" t="str">
        <f>IFERROR(INDEX(Movimientos!$G$5:$G$2001,MATCH(A721&amp;"ENTRADA",Movimientos!$R$5:$R$2001,0)),"-")</f>
        <v>-</v>
      </c>
      <c r="G721" s="3" t="str">
        <f>IFERROR(INDEX(Movimientos!$L$5:$L$2001,MATCH(A721&amp;"ENTRADA",Movimientos!$R$5:$R$2001,0)),"-")</f>
        <v>-</v>
      </c>
      <c r="H721" s="19" t="str">
        <f>IFERROR(IF(INDEX(Movimientos!$M$5:$M$2001,MATCH(A721&amp;"ENTRADA",Movimientos!$R$5:$R$2001,0))=0,"S/D",INDEX(Movimientos!$M$5:$M$2001,MATCH(A721&amp;"ENTRADA",Movimientos!$R$5:$R$2001,0))),"S/D")</f>
        <v>S/D</v>
      </c>
      <c r="I721" s="16" t="str">
        <f t="shared" ca="1" si="24"/>
        <v>S/D</v>
      </c>
      <c r="J721" s="6">
        <f>IF(A721="","",SUMIFS(Movimientos!$K:$K,Movimientos!$H:$H,A721))</f>
        <v>0</v>
      </c>
      <c r="K721" s="14" t="str">
        <f t="shared" ca="1" si="25"/>
        <v>OK</v>
      </c>
    </row>
    <row r="722" spans="1:11">
      <c r="A722" s="18" t="s">
        <v>2783</v>
      </c>
      <c r="B722" s="3" t="str">
        <f>IFERROR(INDEX(Movimientos!$C$5:$C$2001,MATCH(A722&amp;"ENTRADA",Movimientos!$R$5:$R$2001,0)),"-")</f>
        <v>-</v>
      </c>
      <c r="C722" s="3" t="str">
        <f>IFERROR(INDEX(Movimientos!$D$5:$D$2001,MATCH(A722&amp;"ENTRADA",Movimientos!$R$5:$R$2001,0)),"-")</f>
        <v>-</v>
      </c>
      <c r="D722" s="3" t="str">
        <f>IFERROR(INDEX(Movimientos!$E$5:$E$2001,MATCH(A722&amp;"ENTRADA",Movimientos!$R$5:$R$2001,0)),"-")</f>
        <v>-</v>
      </c>
      <c r="E722" s="3" t="str">
        <f>IFERROR(INDEX(Movimientos!$F$5:$F$2001,MATCH(A722&amp;"ENTRADA",Movimientos!$R$5:$R$2001,0)),"-")</f>
        <v>-</v>
      </c>
      <c r="F722" s="3" t="str">
        <f>IFERROR(INDEX(Movimientos!$G$5:$G$2001,MATCH(A722&amp;"ENTRADA",Movimientos!$R$5:$R$2001,0)),"-")</f>
        <v>-</v>
      </c>
      <c r="G722" s="3" t="str">
        <f>IFERROR(INDEX(Movimientos!$L$5:$L$2001,MATCH(A722&amp;"ENTRADA",Movimientos!$R$5:$R$2001,0)),"-")</f>
        <v>-</v>
      </c>
      <c r="H722" s="19" t="str">
        <f>IFERROR(IF(INDEX(Movimientos!$M$5:$M$2001,MATCH(A722&amp;"ENTRADA",Movimientos!$R$5:$R$2001,0))=0,"S/D",INDEX(Movimientos!$M$5:$M$2001,MATCH(A722&amp;"ENTRADA",Movimientos!$R$5:$R$2001,0))),"S/D")</f>
        <v>S/D</v>
      </c>
      <c r="I722" s="16" t="str">
        <f t="shared" ca="1" si="24"/>
        <v>S/D</v>
      </c>
      <c r="J722" s="6">
        <f>IF(A722="","",SUMIFS(Movimientos!$K:$K,Movimientos!$H:$H,A722))</f>
        <v>0</v>
      </c>
      <c r="K722" s="14" t="str">
        <f t="shared" ca="1" si="25"/>
        <v>OK</v>
      </c>
    </row>
    <row r="723" spans="1:11">
      <c r="A723" s="18" t="s">
        <v>2784</v>
      </c>
      <c r="B723" s="3" t="str">
        <f>IFERROR(INDEX(Movimientos!$C$5:$C$2001,MATCH(A723&amp;"ENTRADA",Movimientos!$R$5:$R$2001,0)),"-")</f>
        <v>-</v>
      </c>
      <c r="C723" s="3" t="str">
        <f>IFERROR(INDEX(Movimientos!$D$5:$D$2001,MATCH(A723&amp;"ENTRADA",Movimientos!$R$5:$R$2001,0)),"-")</f>
        <v>-</v>
      </c>
      <c r="D723" s="3" t="str">
        <f>IFERROR(INDEX(Movimientos!$E$5:$E$2001,MATCH(A723&amp;"ENTRADA",Movimientos!$R$5:$R$2001,0)),"-")</f>
        <v>-</v>
      </c>
      <c r="E723" s="3" t="str">
        <f>IFERROR(INDEX(Movimientos!$F$5:$F$2001,MATCH(A723&amp;"ENTRADA",Movimientos!$R$5:$R$2001,0)),"-")</f>
        <v>-</v>
      </c>
      <c r="F723" s="3" t="str">
        <f>IFERROR(INDEX(Movimientos!$G$5:$G$2001,MATCH(A723&amp;"ENTRADA",Movimientos!$R$5:$R$2001,0)),"-")</f>
        <v>-</v>
      </c>
      <c r="G723" s="3" t="str">
        <f>IFERROR(INDEX(Movimientos!$L$5:$L$2001,MATCH(A723&amp;"ENTRADA",Movimientos!$R$5:$R$2001,0)),"-")</f>
        <v>-</v>
      </c>
      <c r="H723" s="19" t="str">
        <f>IFERROR(IF(INDEX(Movimientos!$M$5:$M$2001,MATCH(A723&amp;"ENTRADA",Movimientos!$R$5:$R$2001,0))=0,"S/D",INDEX(Movimientos!$M$5:$M$2001,MATCH(A723&amp;"ENTRADA",Movimientos!$R$5:$R$2001,0))),"S/D")</f>
        <v>S/D</v>
      </c>
      <c r="I723" s="16" t="str">
        <f t="shared" ca="1" si="24"/>
        <v>S/D</v>
      </c>
      <c r="J723" s="6">
        <f>IF(A723="","",SUMIFS(Movimientos!$K:$K,Movimientos!$H:$H,A723))</f>
        <v>0</v>
      </c>
      <c r="K723" s="14" t="str">
        <f t="shared" ca="1" si="25"/>
        <v>OK</v>
      </c>
    </row>
    <row r="724" spans="1:11">
      <c r="A724" s="18" t="s">
        <v>2785</v>
      </c>
      <c r="B724" s="3" t="str">
        <f>IFERROR(INDEX(Movimientos!$C$5:$C$2001,MATCH(A724&amp;"ENTRADA",Movimientos!$R$5:$R$2001,0)),"-")</f>
        <v>-</v>
      </c>
      <c r="C724" s="3" t="str">
        <f>IFERROR(INDEX(Movimientos!$D$5:$D$2001,MATCH(A724&amp;"ENTRADA",Movimientos!$R$5:$R$2001,0)),"-")</f>
        <v>-</v>
      </c>
      <c r="D724" s="3" t="str">
        <f>IFERROR(INDEX(Movimientos!$E$5:$E$2001,MATCH(A724&amp;"ENTRADA",Movimientos!$R$5:$R$2001,0)),"-")</f>
        <v>-</v>
      </c>
      <c r="E724" s="3" t="str">
        <f>IFERROR(INDEX(Movimientos!$F$5:$F$2001,MATCH(A724&amp;"ENTRADA",Movimientos!$R$5:$R$2001,0)),"-")</f>
        <v>-</v>
      </c>
      <c r="F724" s="3" t="str">
        <f>IFERROR(INDEX(Movimientos!$G$5:$G$2001,MATCH(A724&amp;"ENTRADA",Movimientos!$R$5:$R$2001,0)),"-")</f>
        <v>-</v>
      </c>
      <c r="G724" s="3" t="str">
        <f>IFERROR(INDEX(Movimientos!$L$5:$L$2001,MATCH(A724&amp;"ENTRADA",Movimientos!$R$5:$R$2001,0)),"-")</f>
        <v>-</v>
      </c>
      <c r="H724" s="19" t="str">
        <f>IFERROR(IF(INDEX(Movimientos!$M$5:$M$2001,MATCH(A724&amp;"ENTRADA",Movimientos!$R$5:$R$2001,0))=0,"S/D",INDEX(Movimientos!$M$5:$M$2001,MATCH(A724&amp;"ENTRADA",Movimientos!$R$5:$R$2001,0))),"S/D")</f>
        <v>S/D</v>
      </c>
      <c r="I724" s="16" t="str">
        <f t="shared" ca="1" si="24"/>
        <v>S/D</v>
      </c>
      <c r="J724" s="6">
        <f>IF(A724="","",SUMIFS(Movimientos!$K:$K,Movimientos!$H:$H,A724))</f>
        <v>0</v>
      </c>
      <c r="K724" s="14" t="str">
        <f t="shared" ca="1" si="25"/>
        <v>OK</v>
      </c>
    </row>
    <row r="725" spans="1:11">
      <c r="A725" s="18" t="s">
        <v>2786</v>
      </c>
      <c r="B725" s="3" t="str">
        <f>IFERROR(INDEX(Movimientos!$C$5:$C$2001,MATCH(A725&amp;"ENTRADA",Movimientos!$R$5:$R$2001,0)),"-")</f>
        <v>-</v>
      </c>
      <c r="C725" s="3" t="str">
        <f>IFERROR(INDEX(Movimientos!$D$5:$D$2001,MATCH(A725&amp;"ENTRADA",Movimientos!$R$5:$R$2001,0)),"-")</f>
        <v>-</v>
      </c>
      <c r="D725" s="3" t="str">
        <f>IFERROR(INDEX(Movimientos!$E$5:$E$2001,MATCH(A725&amp;"ENTRADA",Movimientos!$R$5:$R$2001,0)),"-")</f>
        <v>-</v>
      </c>
      <c r="E725" s="3" t="str">
        <f>IFERROR(INDEX(Movimientos!$F$5:$F$2001,MATCH(A725&amp;"ENTRADA",Movimientos!$R$5:$R$2001,0)),"-")</f>
        <v>-</v>
      </c>
      <c r="F725" s="3" t="str">
        <f>IFERROR(INDEX(Movimientos!$G$5:$G$2001,MATCH(A725&amp;"ENTRADA",Movimientos!$R$5:$R$2001,0)),"-")</f>
        <v>-</v>
      </c>
      <c r="G725" s="3" t="str">
        <f>IFERROR(INDEX(Movimientos!$L$5:$L$2001,MATCH(A725&amp;"ENTRADA",Movimientos!$R$5:$R$2001,0)),"-")</f>
        <v>-</v>
      </c>
      <c r="H725" s="19" t="str">
        <f>IFERROR(IF(INDEX(Movimientos!$M$5:$M$2001,MATCH(A725&amp;"ENTRADA",Movimientos!$R$5:$R$2001,0))=0,"S/D",INDEX(Movimientos!$M$5:$M$2001,MATCH(A725&amp;"ENTRADA",Movimientos!$R$5:$R$2001,0))),"S/D")</f>
        <v>S/D</v>
      </c>
      <c r="I725" s="16" t="str">
        <f t="shared" ca="1" si="24"/>
        <v>S/D</v>
      </c>
      <c r="J725" s="6">
        <f>IF(A725="","",SUMIFS(Movimientos!$K:$K,Movimientos!$H:$H,A725))</f>
        <v>0</v>
      </c>
      <c r="K725" s="14" t="str">
        <f t="shared" ca="1" si="25"/>
        <v>OK</v>
      </c>
    </row>
    <row r="726" spans="1:11">
      <c r="A726" s="18" t="s">
        <v>2787</v>
      </c>
      <c r="B726" s="3" t="str">
        <f>IFERROR(INDEX(Movimientos!$C$5:$C$2001,MATCH(A726&amp;"ENTRADA",Movimientos!$R$5:$R$2001,0)),"-")</f>
        <v>-</v>
      </c>
      <c r="C726" s="3" t="str">
        <f>IFERROR(INDEX(Movimientos!$D$5:$D$2001,MATCH(A726&amp;"ENTRADA",Movimientos!$R$5:$R$2001,0)),"-")</f>
        <v>-</v>
      </c>
      <c r="D726" s="3" t="str">
        <f>IFERROR(INDEX(Movimientos!$E$5:$E$2001,MATCH(A726&amp;"ENTRADA",Movimientos!$R$5:$R$2001,0)),"-")</f>
        <v>-</v>
      </c>
      <c r="E726" s="3" t="str">
        <f>IFERROR(INDEX(Movimientos!$F$5:$F$2001,MATCH(A726&amp;"ENTRADA",Movimientos!$R$5:$R$2001,0)),"-")</f>
        <v>-</v>
      </c>
      <c r="F726" s="3" t="str">
        <f>IFERROR(INDEX(Movimientos!$G$5:$G$2001,MATCH(A726&amp;"ENTRADA",Movimientos!$R$5:$R$2001,0)),"-")</f>
        <v>-</v>
      </c>
      <c r="G726" s="3" t="str">
        <f>IFERROR(INDEX(Movimientos!$L$5:$L$2001,MATCH(A726&amp;"ENTRADA",Movimientos!$R$5:$R$2001,0)),"-")</f>
        <v>-</v>
      </c>
      <c r="H726" s="19" t="str">
        <f>IFERROR(IF(INDEX(Movimientos!$M$5:$M$2001,MATCH(A726&amp;"ENTRADA",Movimientos!$R$5:$R$2001,0))=0,"S/D",INDEX(Movimientos!$M$5:$M$2001,MATCH(A726&amp;"ENTRADA",Movimientos!$R$5:$R$2001,0))),"S/D")</f>
        <v>S/D</v>
      </c>
      <c r="I726" s="16" t="str">
        <f t="shared" ca="1" si="24"/>
        <v>S/D</v>
      </c>
      <c r="J726" s="6">
        <f>IF(A726="","",SUMIFS(Movimientos!$K:$K,Movimientos!$H:$H,A726))</f>
        <v>0</v>
      </c>
      <c r="K726" s="14" t="str">
        <f t="shared" ca="1" si="25"/>
        <v>OK</v>
      </c>
    </row>
    <row r="727" spans="1:11">
      <c r="A727" s="18" t="s">
        <v>2788</v>
      </c>
      <c r="B727" s="3" t="str">
        <f>IFERROR(INDEX(Movimientos!$C$5:$C$2001,MATCH(A727&amp;"ENTRADA",Movimientos!$R$5:$R$2001,0)),"-")</f>
        <v>-</v>
      </c>
      <c r="C727" s="3" t="str">
        <f>IFERROR(INDEX(Movimientos!$D$5:$D$2001,MATCH(A727&amp;"ENTRADA",Movimientos!$R$5:$R$2001,0)),"-")</f>
        <v>-</v>
      </c>
      <c r="D727" s="3" t="str">
        <f>IFERROR(INDEX(Movimientos!$E$5:$E$2001,MATCH(A727&amp;"ENTRADA",Movimientos!$R$5:$R$2001,0)),"-")</f>
        <v>-</v>
      </c>
      <c r="E727" s="3" t="str">
        <f>IFERROR(INDEX(Movimientos!$F$5:$F$2001,MATCH(A727&amp;"ENTRADA",Movimientos!$R$5:$R$2001,0)),"-")</f>
        <v>-</v>
      </c>
      <c r="F727" s="3" t="str">
        <f>IFERROR(INDEX(Movimientos!$G$5:$G$2001,MATCH(A727&amp;"ENTRADA",Movimientos!$R$5:$R$2001,0)),"-")</f>
        <v>-</v>
      </c>
      <c r="G727" s="3" t="str">
        <f>IFERROR(INDEX(Movimientos!$L$5:$L$2001,MATCH(A727&amp;"ENTRADA",Movimientos!$R$5:$R$2001,0)),"-")</f>
        <v>-</v>
      </c>
      <c r="H727" s="19" t="str">
        <f>IFERROR(IF(INDEX(Movimientos!$M$5:$M$2001,MATCH(A727&amp;"ENTRADA",Movimientos!$R$5:$R$2001,0))=0,"S/D",INDEX(Movimientos!$M$5:$M$2001,MATCH(A727&amp;"ENTRADA",Movimientos!$R$5:$R$2001,0))),"S/D")</f>
        <v>S/D</v>
      </c>
      <c r="I727" s="16" t="str">
        <f t="shared" ca="1" si="24"/>
        <v>S/D</v>
      </c>
      <c r="J727" s="6">
        <f>IF(A727="","",SUMIFS(Movimientos!$K:$K,Movimientos!$H:$H,A727))</f>
        <v>0</v>
      </c>
      <c r="K727" s="14" t="str">
        <f t="shared" ca="1" si="25"/>
        <v>OK</v>
      </c>
    </row>
    <row r="728" spans="1:11">
      <c r="A728" s="18" t="s">
        <v>2789</v>
      </c>
      <c r="B728" s="3" t="str">
        <f>IFERROR(INDEX(Movimientos!$C$5:$C$2001,MATCH(A728&amp;"ENTRADA",Movimientos!$R$5:$R$2001,0)),"-")</f>
        <v>-</v>
      </c>
      <c r="C728" s="3" t="str">
        <f>IFERROR(INDEX(Movimientos!$D$5:$D$2001,MATCH(A728&amp;"ENTRADA",Movimientos!$R$5:$R$2001,0)),"-")</f>
        <v>-</v>
      </c>
      <c r="D728" s="3" t="str">
        <f>IFERROR(INDEX(Movimientos!$E$5:$E$2001,MATCH(A728&amp;"ENTRADA",Movimientos!$R$5:$R$2001,0)),"-")</f>
        <v>-</v>
      </c>
      <c r="E728" s="3" t="str">
        <f>IFERROR(INDEX(Movimientos!$F$5:$F$2001,MATCH(A728&amp;"ENTRADA",Movimientos!$R$5:$R$2001,0)),"-")</f>
        <v>-</v>
      </c>
      <c r="F728" s="3" t="str">
        <f>IFERROR(INDEX(Movimientos!$G$5:$G$2001,MATCH(A728&amp;"ENTRADA",Movimientos!$R$5:$R$2001,0)),"-")</f>
        <v>-</v>
      </c>
      <c r="G728" s="3" t="str">
        <f>IFERROR(INDEX(Movimientos!$L$5:$L$2001,MATCH(A728&amp;"ENTRADA",Movimientos!$R$5:$R$2001,0)),"-")</f>
        <v>-</v>
      </c>
      <c r="H728" s="19" t="str">
        <f>IFERROR(IF(INDEX(Movimientos!$M$5:$M$2001,MATCH(A728&amp;"ENTRADA",Movimientos!$R$5:$R$2001,0))=0,"S/D",INDEX(Movimientos!$M$5:$M$2001,MATCH(A728&amp;"ENTRADA",Movimientos!$R$5:$R$2001,0))),"S/D")</f>
        <v>S/D</v>
      </c>
      <c r="I728" s="16" t="str">
        <f t="shared" ca="1" si="24"/>
        <v>S/D</v>
      </c>
      <c r="J728" s="6">
        <f>IF(A728="","",SUMIFS(Movimientos!$K:$K,Movimientos!$H:$H,A728))</f>
        <v>0</v>
      </c>
      <c r="K728" s="14" t="str">
        <f t="shared" ca="1" si="25"/>
        <v>OK</v>
      </c>
    </row>
    <row r="729" spans="1:11">
      <c r="A729" s="18" t="s">
        <v>2790</v>
      </c>
      <c r="B729" s="3" t="str">
        <f>IFERROR(INDEX(Movimientos!$C$5:$C$2001,MATCH(A729&amp;"ENTRADA",Movimientos!$R$5:$R$2001,0)),"-")</f>
        <v>-</v>
      </c>
      <c r="C729" s="3" t="str">
        <f>IFERROR(INDEX(Movimientos!$D$5:$D$2001,MATCH(A729&amp;"ENTRADA",Movimientos!$R$5:$R$2001,0)),"-")</f>
        <v>-</v>
      </c>
      <c r="D729" s="3" t="str">
        <f>IFERROR(INDEX(Movimientos!$E$5:$E$2001,MATCH(A729&amp;"ENTRADA",Movimientos!$R$5:$R$2001,0)),"-")</f>
        <v>-</v>
      </c>
      <c r="E729" s="3" t="str">
        <f>IFERROR(INDEX(Movimientos!$F$5:$F$2001,MATCH(A729&amp;"ENTRADA",Movimientos!$R$5:$R$2001,0)),"-")</f>
        <v>-</v>
      </c>
      <c r="F729" s="3" t="str">
        <f>IFERROR(INDEX(Movimientos!$G$5:$G$2001,MATCH(A729&amp;"ENTRADA",Movimientos!$R$5:$R$2001,0)),"-")</f>
        <v>-</v>
      </c>
      <c r="G729" s="3" t="str">
        <f>IFERROR(INDEX(Movimientos!$L$5:$L$2001,MATCH(A729&amp;"ENTRADA",Movimientos!$R$5:$R$2001,0)),"-")</f>
        <v>-</v>
      </c>
      <c r="H729" s="19" t="str">
        <f>IFERROR(IF(INDEX(Movimientos!$M$5:$M$2001,MATCH(A729&amp;"ENTRADA",Movimientos!$R$5:$R$2001,0))=0,"S/D",INDEX(Movimientos!$M$5:$M$2001,MATCH(A729&amp;"ENTRADA",Movimientos!$R$5:$R$2001,0))),"S/D")</f>
        <v>S/D</v>
      </c>
      <c r="I729" s="16" t="str">
        <f t="shared" ca="1" si="24"/>
        <v>S/D</v>
      </c>
      <c r="J729" s="6">
        <f>IF(A729="","",SUMIFS(Movimientos!$K:$K,Movimientos!$H:$H,A729))</f>
        <v>0</v>
      </c>
      <c r="K729" s="14" t="str">
        <f t="shared" ca="1" si="25"/>
        <v>OK</v>
      </c>
    </row>
    <row r="730" spans="1:11">
      <c r="A730" s="18" t="s">
        <v>2791</v>
      </c>
      <c r="B730" s="3" t="str">
        <f>IFERROR(INDEX(Movimientos!$C$5:$C$2001,MATCH(A730&amp;"ENTRADA",Movimientos!$R$5:$R$2001,0)),"-")</f>
        <v>-</v>
      </c>
      <c r="C730" s="3" t="str">
        <f>IFERROR(INDEX(Movimientos!$D$5:$D$2001,MATCH(A730&amp;"ENTRADA",Movimientos!$R$5:$R$2001,0)),"-")</f>
        <v>-</v>
      </c>
      <c r="D730" s="3" t="str">
        <f>IFERROR(INDEX(Movimientos!$E$5:$E$2001,MATCH(A730&amp;"ENTRADA",Movimientos!$R$5:$R$2001,0)),"-")</f>
        <v>-</v>
      </c>
      <c r="E730" s="3" t="str">
        <f>IFERROR(INDEX(Movimientos!$F$5:$F$2001,MATCH(A730&amp;"ENTRADA",Movimientos!$R$5:$R$2001,0)),"-")</f>
        <v>-</v>
      </c>
      <c r="F730" s="3" t="str">
        <f>IFERROR(INDEX(Movimientos!$G$5:$G$2001,MATCH(A730&amp;"ENTRADA",Movimientos!$R$5:$R$2001,0)),"-")</f>
        <v>-</v>
      </c>
      <c r="G730" s="3" t="str">
        <f>IFERROR(INDEX(Movimientos!$L$5:$L$2001,MATCH(A730&amp;"ENTRADA",Movimientos!$R$5:$R$2001,0)),"-")</f>
        <v>-</v>
      </c>
      <c r="H730" s="19" t="str">
        <f>IFERROR(IF(INDEX(Movimientos!$M$5:$M$2001,MATCH(A730&amp;"ENTRADA",Movimientos!$R$5:$R$2001,0))=0,"S/D",INDEX(Movimientos!$M$5:$M$2001,MATCH(A730&amp;"ENTRADA",Movimientos!$R$5:$R$2001,0))),"S/D")</f>
        <v>S/D</v>
      </c>
      <c r="I730" s="16" t="str">
        <f t="shared" ca="1" si="24"/>
        <v>S/D</v>
      </c>
      <c r="J730" s="6">
        <f>IF(A730="","",SUMIFS(Movimientos!$K:$K,Movimientos!$H:$H,A730))</f>
        <v>0</v>
      </c>
      <c r="K730" s="14" t="str">
        <f t="shared" ca="1" si="25"/>
        <v>OK</v>
      </c>
    </row>
    <row r="731" spans="1:11">
      <c r="A731" s="18" t="s">
        <v>2792</v>
      </c>
      <c r="B731" s="3" t="str">
        <f>IFERROR(INDEX(Movimientos!$C$5:$C$2001,MATCH(A731&amp;"ENTRADA",Movimientos!$R$5:$R$2001,0)),"-")</f>
        <v>-</v>
      </c>
      <c r="C731" s="3" t="str">
        <f>IFERROR(INDEX(Movimientos!$D$5:$D$2001,MATCH(A731&amp;"ENTRADA",Movimientos!$R$5:$R$2001,0)),"-")</f>
        <v>-</v>
      </c>
      <c r="D731" s="3" t="str">
        <f>IFERROR(INDEX(Movimientos!$E$5:$E$2001,MATCH(A731&amp;"ENTRADA",Movimientos!$R$5:$R$2001,0)),"-")</f>
        <v>-</v>
      </c>
      <c r="E731" s="3" t="str">
        <f>IFERROR(INDEX(Movimientos!$F$5:$F$2001,MATCH(A731&amp;"ENTRADA",Movimientos!$R$5:$R$2001,0)),"-")</f>
        <v>-</v>
      </c>
      <c r="F731" s="3" t="str">
        <f>IFERROR(INDEX(Movimientos!$G$5:$G$2001,MATCH(A731&amp;"ENTRADA",Movimientos!$R$5:$R$2001,0)),"-")</f>
        <v>-</v>
      </c>
      <c r="G731" s="3" t="str">
        <f>IFERROR(INDEX(Movimientos!$L$5:$L$2001,MATCH(A731&amp;"ENTRADA",Movimientos!$R$5:$R$2001,0)),"-")</f>
        <v>-</v>
      </c>
      <c r="H731" s="19" t="str">
        <f>IFERROR(IF(INDEX(Movimientos!$M$5:$M$2001,MATCH(A731&amp;"ENTRADA",Movimientos!$R$5:$R$2001,0))=0,"S/D",INDEX(Movimientos!$M$5:$M$2001,MATCH(A731&amp;"ENTRADA",Movimientos!$R$5:$R$2001,0))),"S/D")</f>
        <v>S/D</v>
      </c>
      <c r="I731" s="16" t="str">
        <f t="shared" ca="1" si="24"/>
        <v>S/D</v>
      </c>
      <c r="J731" s="6">
        <f>IF(A731="","",SUMIFS(Movimientos!$K:$K,Movimientos!$H:$H,A731))</f>
        <v>0</v>
      </c>
      <c r="K731" s="14" t="str">
        <f t="shared" ca="1" si="25"/>
        <v>OK</v>
      </c>
    </row>
    <row r="732" spans="1:11">
      <c r="A732" s="18" t="s">
        <v>2793</v>
      </c>
      <c r="B732" s="3" t="str">
        <f>IFERROR(INDEX(Movimientos!$C$5:$C$2001,MATCH(A732&amp;"ENTRADA",Movimientos!$R$5:$R$2001,0)),"-")</f>
        <v>-</v>
      </c>
      <c r="C732" s="3" t="str">
        <f>IFERROR(INDEX(Movimientos!$D$5:$D$2001,MATCH(A732&amp;"ENTRADA",Movimientos!$R$5:$R$2001,0)),"-")</f>
        <v>-</v>
      </c>
      <c r="D732" s="3" t="str">
        <f>IFERROR(INDEX(Movimientos!$E$5:$E$2001,MATCH(A732&amp;"ENTRADA",Movimientos!$R$5:$R$2001,0)),"-")</f>
        <v>-</v>
      </c>
      <c r="E732" s="3" t="str">
        <f>IFERROR(INDEX(Movimientos!$F$5:$F$2001,MATCH(A732&amp;"ENTRADA",Movimientos!$R$5:$R$2001,0)),"-")</f>
        <v>-</v>
      </c>
      <c r="F732" s="3" t="str">
        <f>IFERROR(INDEX(Movimientos!$G$5:$G$2001,MATCH(A732&amp;"ENTRADA",Movimientos!$R$5:$R$2001,0)),"-")</f>
        <v>-</v>
      </c>
      <c r="G732" s="3" t="str">
        <f>IFERROR(INDEX(Movimientos!$L$5:$L$2001,MATCH(A732&amp;"ENTRADA",Movimientos!$R$5:$R$2001,0)),"-")</f>
        <v>-</v>
      </c>
      <c r="H732" s="19" t="str">
        <f>IFERROR(IF(INDEX(Movimientos!$M$5:$M$2001,MATCH(A732&amp;"ENTRADA",Movimientos!$R$5:$R$2001,0))=0,"S/D",INDEX(Movimientos!$M$5:$M$2001,MATCH(A732&amp;"ENTRADA",Movimientos!$R$5:$R$2001,0))),"S/D")</f>
        <v>S/D</v>
      </c>
      <c r="I732" s="16" t="str">
        <f t="shared" ca="1" si="24"/>
        <v>S/D</v>
      </c>
      <c r="J732" s="6">
        <f>IF(A732="","",SUMIFS(Movimientos!$K:$K,Movimientos!$H:$H,A732))</f>
        <v>0</v>
      </c>
      <c r="K732" s="14" t="str">
        <f t="shared" ca="1" si="25"/>
        <v>OK</v>
      </c>
    </row>
    <row r="733" spans="1:11">
      <c r="A733" s="18" t="s">
        <v>2794</v>
      </c>
      <c r="B733" s="3" t="str">
        <f>IFERROR(INDEX(Movimientos!$C$5:$C$2001,MATCH(A733&amp;"ENTRADA",Movimientos!$R$5:$R$2001,0)),"-")</f>
        <v>-</v>
      </c>
      <c r="C733" s="3" t="str">
        <f>IFERROR(INDEX(Movimientos!$D$5:$D$2001,MATCH(A733&amp;"ENTRADA",Movimientos!$R$5:$R$2001,0)),"-")</f>
        <v>-</v>
      </c>
      <c r="D733" s="3" t="str">
        <f>IFERROR(INDEX(Movimientos!$E$5:$E$2001,MATCH(A733&amp;"ENTRADA",Movimientos!$R$5:$R$2001,0)),"-")</f>
        <v>-</v>
      </c>
      <c r="E733" s="3" t="str">
        <f>IFERROR(INDEX(Movimientos!$F$5:$F$2001,MATCH(A733&amp;"ENTRADA",Movimientos!$R$5:$R$2001,0)),"-")</f>
        <v>-</v>
      </c>
      <c r="F733" s="3" t="str">
        <f>IFERROR(INDEX(Movimientos!$G$5:$G$2001,MATCH(A733&amp;"ENTRADA",Movimientos!$R$5:$R$2001,0)),"-")</f>
        <v>-</v>
      </c>
      <c r="G733" s="3" t="str">
        <f>IFERROR(INDEX(Movimientos!$L$5:$L$2001,MATCH(A733&amp;"ENTRADA",Movimientos!$R$5:$R$2001,0)),"-")</f>
        <v>-</v>
      </c>
      <c r="H733" s="19" t="str">
        <f>IFERROR(IF(INDEX(Movimientos!$M$5:$M$2001,MATCH(A733&amp;"ENTRADA",Movimientos!$R$5:$R$2001,0))=0,"S/D",INDEX(Movimientos!$M$5:$M$2001,MATCH(A733&amp;"ENTRADA",Movimientos!$R$5:$R$2001,0))),"S/D")</f>
        <v>S/D</v>
      </c>
      <c r="I733" s="16" t="str">
        <f t="shared" ca="1" si="24"/>
        <v>S/D</v>
      </c>
      <c r="J733" s="6">
        <f>IF(A733="","",SUMIFS(Movimientos!$K:$K,Movimientos!$H:$H,A733))</f>
        <v>0</v>
      </c>
      <c r="K733" s="14" t="str">
        <f t="shared" ca="1" si="25"/>
        <v>OK</v>
      </c>
    </row>
    <row r="734" spans="1:11">
      <c r="A734" s="18" t="s">
        <v>2795</v>
      </c>
      <c r="B734" s="3" t="str">
        <f>IFERROR(INDEX(Movimientos!$C$5:$C$2001,MATCH(A734&amp;"ENTRADA",Movimientos!$R$5:$R$2001,0)),"-")</f>
        <v>-</v>
      </c>
      <c r="C734" s="3" t="str">
        <f>IFERROR(INDEX(Movimientos!$D$5:$D$2001,MATCH(A734&amp;"ENTRADA",Movimientos!$R$5:$R$2001,0)),"-")</f>
        <v>-</v>
      </c>
      <c r="D734" s="3" t="str">
        <f>IFERROR(INDEX(Movimientos!$E$5:$E$2001,MATCH(A734&amp;"ENTRADA",Movimientos!$R$5:$R$2001,0)),"-")</f>
        <v>-</v>
      </c>
      <c r="E734" s="3" t="str">
        <f>IFERROR(INDEX(Movimientos!$F$5:$F$2001,MATCH(A734&amp;"ENTRADA",Movimientos!$R$5:$R$2001,0)),"-")</f>
        <v>-</v>
      </c>
      <c r="F734" s="3" t="str">
        <f>IFERROR(INDEX(Movimientos!$G$5:$G$2001,MATCH(A734&amp;"ENTRADA",Movimientos!$R$5:$R$2001,0)),"-")</f>
        <v>-</v>
      </c>
      <c r="G734" s="3" t="str">
        <f>IFERROR(INDEX(Movimientos!$L$5:$L$2001,MATCH(A734&amp;"ENTRADA",Movimientos!$R$5:$R$2001,0)),"-")</f>
        <v>-</v>
      </c>
      <c r="H734" s="19" t="str">
        <f>IFERROR(IF(INDEX(Movimientos!$M$5:$M$2001,MATCH(A734&amp;"ENTRADA",Movimientos!$R$5:$R$2001,0))=0,"S/D",INDEX(Movimientos!$M$5:$M$2001,MATCH(A734&amp;"ENTRADA",Movimientos!$R$5:$R$2001,0))),"S/D")</f>
        <v>S/D</v>
      </c>
      <c r="I734" s="16" t="str">
        <f t="shared" ca="1" si="24"/>
        <v>S/D</v>
      </c>
      <c r="J734" s="6">
        <f>IF(A734="","",SUMIFS(Movimientos!$K:$K,Movimientos!$H:$H,A734))</f>
        <v>0</v>
      </c>
      <c r="K734" s="14" t="str">
        <f t="shared" ca="1" si="25"/>
        <v>OK</v>
      </c>
    </row>
    <row r="735" spans="1:11">
      <c r="A735" s="18" t="s">
        <v>2796</v>
      </c>
      <c r="B735" s="3" t="str">
        <f>IFERROR(INDEX(Movimientos!$C$5:$C$2001,MATCH(A735&amp;"ENTRADA",Movimientos!$R$5:$R$2001,0)),"-")</f>
        <v>-</v>
      </c>
      <c r="C735" s="3" t="str">
        <f>IFERROR(INDEX(Movimientos!$D$5:$D$2001,MATCH(A735&amp;"ENTRADA",Movimientos!$R$5:$R$2001,0)),"-")</f>
        <v>-</v>
      </c>
      <c r="D735" s="3" t="str">
        <f>IFERROR(INDEX(Movimientos!$E$5:$E$2001,MATCH(A735&amp;"ENTRADA",Movimientos!$R$5:$R$2001,0)),"-")</f>
        <v>-</v>
      </c>
      <c r="E735" s="3" t="str">
        <f>IFERROR(INDEX(Movimientos!$F$5:$F$2001,MATCH(A735&amp;"ENTRADA",Movimientos!$R$5:$R$2001,0)),"-")</f>
        <v>-</v>
      </c>
      <c r="F735" s="3" t="str">
        <f>IFERROR(INDEX(Movimientos!$G$5:$G$2001,MATCH(A735&amp;"ENTRADA",Movimientos!$R$5:$R$2001,0)),"-")</f>
        <v>-</v>
      </c>
      <c r="G735" s="3" t="str">
        <f>IFERROR(INDEX(Movimientos!$L$5:$L$2001,MATCH(A735&amp;"ENTRADA",Movimientos!$R$5:$R$2001,0)),"-")</f>
        <v>-</v>
      </c>
      <c r="H735" s="19" t="str">
        <f>IFERROR(IF(INDEX(Movimientos!$M$5:$M$2001,MATCH(A735&amp;"ENTRADA",Movimientos!$R$5:$R$2001,0))=0,"S/D",INDEX(Movimientos!$M$5:$M$2001,MATCH(A735&amp;"ENTRADA",Movimientos!$R$5:$R$2001,0))),"S/D")</f>
        <v>S/D</v>
      </c>
      <c r="I735" s="16" t="str">
        <f t="shared" ca="1" si="24"/>
        <v>S/D</v>
      </c>
      <c r="J735" s="6">
        <f>IF(A735="","",SUMIFS(Movimientos!$K:$K,Movimientos!$H:$H,A735))</f>
        <v>0</v>
      </c>
      <c r="K735" s="14" t="str">
        <f t="shared" ca="1" si="25"/>
        <v>OK</v>
      </c>
    </row>
    <row r="736" spans="1:11">
      <c r="A736" s="18" t="s">
        <v>2797</v>
      </c>
      <c r="B736" s="3" t="str">
        <f>IFERROR(INDEX(Movimientos!$C$5:$C$2001,MATCH(A736&amp;"ENTRADA",Movimientos!$R$5:$R$2001,0)),"-")</f>
        <v>-</v>
      </c>
      <c r="C736" s="3" t="str">
        <f>IFERROR(INDEX(Movimientos!$D$5:$D$2001,MATCH(A736&amp;"ENTRADA",Movimientos!$R$5:$R$2001,0)),"-")</f>
        <v>-</v>
      </c>
      <c r="D736" s="3" t="str">
        <f>IFERROR(INDEX(Movimientos!$E$5:$E$2001,MATCH(A736&amp;"ENTRADA",Movimientos!$R$5:$R$2001,0)),"-")</f>
        <v>-</v>
      </c>
      <c r="E736" s="3" t="str">
        <f>IFERROR(INDEX(Movimientos!$F$5:$F$2001,MATCH(A736&amp;"ENTRADA",Movimientos!$R$5:$R$2001,0)),"-")</f>
        <v>-</v>
      </c>
      <c r="F736" s="3" t="str">
        <f>IFERROR(INDEX(Movimientos!$G$5:$G$2001,MATCH(A736&amp;"ENTRADA",Movimientos!$R$5:$R$2001,0)),"-")</f>
        <v>-</v>
      </c>
      <c r="G736" s="3" t="str">
        <f>IFERROR(INDEX(Movimientos!$L$5:$L$2001,MATCH(A736&amp;"ENTRADA",Movimientos!$R$5:$R$2001,0)),"-")</f>
        <v>-</v>
      </c>
      <c r="H736" s="19" t="str">
        <f>IFERROR(IF(INDEX(Movimientos!$M$5:$M$2001,MATCH(A736&amp;"ENTRADA",Movimientos!$R$5:$R$2001,0))=0,"S/D",INDEX(Movimientos!$M$5:$M$2001,MATCH(A736&amp;"ENTRADA",Movimientos!$R$5:$R$2001,0))),"S/D")</f>
        <v>S/D</v>
      </c>
      <c r="I736" s="16" t="str">
        <f t="shared" ca="1" si="24"/>
        <v>S/D</v>
      </c>
      <c r="J736" s="6">
        <f>IF(A736="","",SUMIFS(Movimientos!$K:$K,Movimientos!$H:$H,A736))</f>
        <v>0</v>
      </c>
      <c r="K736" s="14" t="str">
        <f t="shared" ca="1" si="25"/>
        <v>OK</v>
      </c>
    </row>
    <row r="737" spans="1:11">
      <c r="A737" s="18" t="s">
        <v>2798</v>
      </c>
      <c r="B737" s="3" t="str">
        <f>IFERROR(INDEX(Movimientos!$C$5:$C$2001,MATCH(A737&amp;"ENTRADA",Movimientos!$R$5:$R$2001,0)),"-")</f>
        <v>-</v>
      </c>
      <c r="C737" s="3" t="str">
        <f>IFERROR(INDEX(Movimientos!$D$5:$D$2001,MATCH(A737&amp;"ENTRADA",Movimientos!$R$5:$R$2001,0)),"-")</f>
        <v>-</v>
      </c>
      <c r="D737" s="3" t="str">
        <f>IFERROR(INDEX(Movimientos!$E$5:$E$2001,MATCH(A737&amp;"ENTRADA",Movimientos!$R$5:$R$2001,0)),"-")</f>
        <v>-</v>
      </c>
      <c r="E737" s="3" t="str">
        <f>IFERROR(INDEX(Movimientos!$F$5:$F$2001,MATCH(A737&amp;"ENTRADA",Movimientos!$R$5:$R$2001,0)),"-")</f>
        <v>-</v>
      </c>
      <c r="F737" s="3" t="str">
        <f>IFERROR(INDEX(Movimientos!$G$5:$G$2001,MATCH(A737&amp;"ENTRADA",Movimientos!$R$5:$R$2001,0)),"-")</f>
        <v>-</v>
      </c>
      <c r="G737" s="3" t="str">
        <f>IFERROR(INDEX(Movimientos!$L$5:$L$2001,MATCH(A737&amp;"ENTRADA",Movimientos!$R$5:$R$2001,0)),"-")</f>
        <v>-</v>
      </c>
      <c r="H737" s="19" t="str">
        <f>IFERROR(IF(INDEX(Movimientos!$M$5:$M$2001,MATCH(A737&amp;"ENTRADA",Movimientos!$R$5:$R$2001,0))=0,"S/D",INDEX(Movimientos!$M$5:$M$2001,MATCH(A737&amp;"ENTRADA",Movimientos!$R$5:$R$2001,0))),"S/D")</f>
        <v>S/D</v>
      </c>
      <c r="I737" s="16" t="str">
        <f t="shared" ca="1" si="24"/>
        <v>S/D</v>
      </c>
      <c r="J737" s="6">
        <f>IF(A737="","",SUMIFS(Movimientos!$K:$K,Movimientos!$H:$H,A737))</f>
        <v>0</v>
      </c>
      <c r="K737" s="14" t="str">
        <f t="shared" ca="1" si="25"/>
        <v>OK</v>
      </c>
    </row>
    <row r="738" spans="1:11">
      <c r="A738" s="18" t="s">
        <v>2799</v>
      </c>
      <c r="B738" s="3" t="str">
        <f>IFERROR(INDEX(Movimientos!$C$5:$C$2001,MATCH(A738&amp;"ENTRADA",Movimientos!$R$5:$R$2001,0)),"-")</f>
        <v>-</v>
      </c>
      <c r="C738" s="3" t="str">
        <f>IFERROR(INDEX(Movimientos!$D$5:$D$2001,MATCH(A738&amp;"ENTRADA",Movimientos!$R$5:$R$2001,0)),"-")</f>
        <v>-</v>
      </c>
      <c r="D738" s="3" t="str">
        <f>IFERROR(INDEX(Movimientos!$E$5:$E$2001,MATCH(A738&amp;"ENTRADA",Movimientos!$R$5:$R$2001,0)),"-")</f>
        <v>-</v>
      </c>
      <c r="E738" s="3" t="str">
        <f>IFERROR(INDEX(Movimientos!$F$5:$F$2001,MATCH(A738&amp;"ENTRADA",Movimientos!$R$5:$R$2001,0)),"-")</f>
        <v>-</v>
      </c>
      <c r="F738" s="3" t="str">
        <f>IFERROR(INDEX(Movimientos!$G$5:$G$2001,MATCH(A738&amp;"ENTRADA",Movimientos!$R$5:$R$2001,0)),"-")</f>
        <v>-</v>
      </c>
      <c r="G738" s="3" t="str">
        <f>IFERROR(INDEX(Movimientos!$L$5:$L$2001,MATCH(A738&amp;"ENTRADA",Movimientos!$R$5:$R$2001,0)),"-")</f>
        <v>-</v>
      </c>
      <c r="H738" s="19" t="str">
        <f>IFERROR(IF(INDEX(Movimientos!$M$5:$M$2001,MATCH(A738&amp;"ENTRADA",Movimientos!$R$5:$R$2001,0))=0,"S/D",INDEX(Movimientos!$M$5:$M$2001,MATCH(A738&amp;"ENTRADA",Movimientos!$R$5:$R$2001,0))),"S/D")</f>
        <v>S/D</v>
      </c>
      <c r="I738" s="16" t="str">
        <f t="shared" ca="1" si="24"/>
        <v>S/D</v>
      </c>
      <c r="J738" s="6">
        <f>IF(A738="","",SUMIFS(Movimientos!$K:$K,Movimientos!$H:$H,A738))</f>
        <v>0</v>
      </c>
      <c r="K738" s="14" t="str">
        <f t="shared" ca="1" si="25"/>
        <v>OK</v>
      </c>
    </row>
    <row r="739" spans="1:11">
      <c r="A739" s="18" t="s">
        <v>2800</v>
      </c>
      <c r="B739" s="3" t="str">
        <f>IFERROR(INDEX(Movimientos!$C$5:$C$2001,MATCH(A739&amp;"ENTRADA",Movimientos!$R$5:$R$2001,0)),"-")</f>
        <v>-</v>
      </c>
      <c r="C739" s="3" t="str">
        <f>IFERROR(INDEX(Movimientos!$D$5:$D$2001,MATCH(A739&amp;"ENTRADA",Movimientos!$R$5:$R$2001,0)),"-")</f>
        <v>-</v>
      </c>
      <c r="D739" s="3" t="str">
        <f>IFERROR(INDEX(Movimientos!$E$5:$E$2001,MATCH(A739&amp;"ENTRADA",Movimientos!$R$5:$R$2001,0)),"-")</f>
        <v>-</v>
      </c>
      <c r="E739" s="3" t="str">
        <f>IFERROR(INDEX(Movimientos!$F$5:$F$2001,MATCH(A739&amp;"ENTRADA",Movimientos!$R$5:$R$2001,0)),"-")</f>
        <v>-</v>
      </c>
      <c r="F739" s="3" t="str">
        <f>IFERROR(INDEX(Movimientos!$G$5:$G$2001,MATCH(A739&amp;"ENTRADA",Movimientos!$R$5:$R$2001,0)),"-")</f>
        <v>-</v>
      </c>
      <c r="G739" s="3" t="str">
        <f>IFERROR(INDEX(Movimientos!$L$5:$L$2001,MATCH(A739&amp;"ENTRADA",Movimientos!$R$5:$R$2001,0)),"-")</f>
        <v>-</v>
      </c>
      <c r="H739" s="19" t="str">
        <f>IFERROR(IF(INDEX(Movimientos!$M$5:$M$2001,MATCH(A739&amp;"ENTRADA",Movimientos!$R$5:$R$2001,0))=0,"S/D",INDEX(Movimientos!$M$5:$M$2001,MATCH(A739&amp;"ENTRADA",Movimientos!$R$5:$R$2001,0))),"S/D")</f>
        <v>S/D</v>
      </c>
      <c r="I739" s="16" t="str">
        <f t="shared" ca="1" si="24"/>
        <v>S/D</v>
      </c>
      <c r="J739" s="6">
        <f>IF(A739="","",SUMIFS(Movimientos!$K:$K,Movimientos!$H:$H,A739))</f>
        <v>0</v>
      </c>
      <c r="K739" s="14" t="str">
        <f t="shared" ca="1" si="25"/>
        <v>OK</v>
      </c>
    </row>
    <row r="740" spans="1:11">
      <c r="A740" s="18" t="s">
        <v>2801</v>
      </c>
      <c r="B740" s="3" t="str">
        <f>IFERROR(INDEX(Movimientos!$C$5:$C$2001,MATCH(A740&amp;"ENTRADA",Movimientos!$R$5:$R$2001,0)),"-")</f>
        <v>-</v>
      </c>
      <c r="C740" s="3" t="str">
        <f>IFERROR(INDEX(Movimientos!$D$5:$D$2001,MATCH(A740&amp;"ENTRADA",Movimientos!$R$5:$R$2001,0)),"-")</f>
        <v>-</v>
      </c>
      <c r="D740" s="3" t="str">
        <f>IFERROR(INDEX(Movimientos!$E$5:$E$2001,MATCH(A740&amp;"ENTRADA",Movimientos!$R$5:$R$2001,0)),"-")</f>
        <v>-</v>
      </c>
      <c r="E740" s="3" t="str">
        <f>IFERROR(INDEX(Movimientos!$F$5:$F$2001,MATCH(A740&amp;"ENTRADA",Movimientos!$R$5:$R$2001,0)),"-")</f>
        <v>-</v>
      </c>
      <c r="F740" s="3" t="str">
        <f>IFERROR(INDEX(Movimientos!$G$5:$G$2001,MATCH(A740&amp;"ENTRADA",Movimientos!$R$5:$R$2001,0)),"-")</f>
        <v>-</v>
      </c>
      <c r="G740" s="3" t="str">
        <f>IFERROR(INDEX(Movimientos!$L$5:$L$2001,MATCH(A740&amp;"ENTRADA",Movimientos!$R$5:$R$2001,0)),"-")</f>
        <v>-</v>
      </c>
      <c r="H740" s="19" t="str">
        <f>IFERROR(IF(INDEX(Movimientos!$M$5:$M$2001,MATCH(A740&amp;"ENTRADA",Movimientos!$R$5:$R$2001,0))=0,"S/D",INDEX(Movimientos!$M$5:$M$2001,MATCH(A740&amp;"ENTRADA",Movimientos!$R$5:$R$2001,0))),"S/D")</f>
        <v>S/D</v>
      </c>
      <c r="I740" s="16" t="str">
        <f t="shared" ca="1" si="24"/>
        <v>S/D</v>
      </c>
      <c r="J740" s="6">
        <f>IF(A740="","",SUMIFS(Movimientos!$K:$K,Movimientos!$H:$H,A740))</f>
        <v>0</v>
      </c>
      <c r="K740" s="14" t="str">
        <f t="shared" ca="1" si="25"/>
        <v>OK</v>
      </c>
    </row>
    <row r="741" spans="1:11">
      <c r="A741" s="18" t="s">
        <v>2802</v>
      </c>
      <c r="B741" s="3" t="str">
        <f>IFERROR(INDEX(Movimientos!$C$5:$C$2001,MATCH(A741&amp;"ENTRADA",Movimientos!$R$5:$R$2001,0)),"-")</f>
        <v>-</v>
      </c>
      <c r="C741" s="3" t="str">
        <f>IFERROR(INDEX(Movimientos!$D$5:$D$2001,MATCH(A741&amp;"ENTRADA",Movimientos!$R$5:$R$2001,0)),"-")</f>
        <v>-</v>
      </c>
      <c r="D741" s="3" t="str">
        <f>IFERROR(INDEX(Movimientos!$E$5:$E$2001,MATCH(A741&amp;"ENTRADA",Movimientos!$R$5:$R$2001,0)),"-")</f>
        <v>-</v>
      </c>
      <c r="E741" s="3" t="str">
        <f>IFERROR(INDEX(Movimientos!$F$5:$F$2001,MATCH(A741&amp;"ENTRADA",Movimientos!$R$5:$R$2001,0)),"-")</f>
        <v>-</v>
      </c>
      <c r="F741" s="3" t="str">
        <f>IFERROR(INDEX(Movimientos!$G$5:$G$2001,MATCH(A741&amp;"ENTRADA",Movimientos!$R$5:$R$2001,0)),"-")</f>
        <v>-</v>
      </c>
      <c r="G741" s="3" t="str">
        <f>IFERROR(INDEX(Movimientos!$L$5:$L$2001,MATCH(A741&amp;"ENTRADA",Movimientos!$R$5:$R$2001,0)),"-")</f>
        <v>-</v>
      </c>
      <c r="H741" s="19" t="str">
        <f>IFERROR(IF(INDEX(Movimientos!$M$5:$M$2001,MATCH(A741&amp;"ENTRADA",Movimientos!$R$5:$R$2001,0))=0,"S/D",INDEX(Movimientos!$M$5:$M$2001,MATCH(A741&amp;"ENTRADA",Movimientos!$R$5:$R$2001,0))),"S/D")</f>
        <v>S/D</v>
      </c>
      <c r="I741" s="16" t="str">
        <f t="shared" ca="1" si="24"/>
        <v>S/D</v>
      </c>
      <c r="J741" s="6">
        <f>IF(A741="","",SUMIFS(Movimientos!$K:$K,Movimientos!$H:$H,A741))</f>
        <v>0</v>
      </c>
      <c r="K741" s="14" t="str">
        <f t="shared" ca="1" si="25"/>
        <v>OK</v>
      </c>
    </row>
    <row r="742" spans="1:11">
      <c r="A742" s="18" t="s">
        <v>2803</v>
      </c>
      <c r="B742" s="3" t="str">
        <f>IFERROR(INDEX(Movimientos!$C$5:$C$2001,MATCH(A742&amp;"ENTRADA",Movimientos!$R$5:$R$2001,0)),"-")</f>
        <v>-</v>
      </c>
      <c r="C742" s="3" t="str">
        <f>IFERROR(INDEX(Movimientos!$D$5:$D$2001,MATCH(A742&amp;"ENTRADA",Movimientos!$R$5:$R$2001,0)),"-")</f>
        <v>-</v>
      </c>
      <c r="D742" s="3" t="str">
        <f>IFERROR(INDEX(Movimientos!$E$5:$E$2001,MATCH(A742&amp;"ENTRADA",Movimientos!$R$5:$R$2001,0)),"-")</f>
        <v>-</v>
      </c>
      <c r="E742" s="3" t="str">
        <f>IFERROR(INDEX(Movimientos!$F$5:$F$2001,MATCH(A742&amp;"ENTRADA",Movimientos!$R$5:$R$2001,0)),"-")</f>
        <v>-</v>
      </c>
      <c r="F742" s="3" t="str">
        <f>IFERROR(INDEX(Movimientos!$G$5:$G$2001,MATCH(A742&amp;"ENTRADA",Movimientos!$R$5:$R$2001,0)),"-")</f>
        <v>-</v>
      </c>
      <c r="G742" s="3" t="str">
        <f>IFERROR(INDEX(Movimientos!$L$5:$L$2001,MATCH(A742&amp;"ENTRADA",Movimientos!$R$5:$R$2001,0)),"-")</f>
        <v>-</v>
      </c>
      <c r="H742" s="19" t="str">
        <f>IFERROR(IF(INDEX(Movimientos!$M$5:$M$2001,MATCH(A742&amp;"ENTRADA",Movimientos!$R$5:$R$2001,0))=0,"S/D",INDEX(Movimientos!$M$5:$M$2001,MATCH(A742&amp;"ENTRADA",Movimientos!$R$5:$R$2001,0))),"S/D")</f>
        <v>S/D</v>
      </c>
      <c r="I742" s="16" t="str">
        <f t="shared" ca="1" si="24"/>
        <v>S/D</v>
      </c>
      <c r="J742" s="6">
        <f>IF(A742="","",SUMIFS(Movimientos!$K:$K,Movimientos!$H:$H,A742))</f>
        <v>0</v>
      </c>
      <c r="K742" s="14" t="str">
        <f t="shared" ca="1" si="25"/>
        <v>OK</v>
      </c>
    </row>
    <row r="743" spans="1:11">
      <c r="A743" s="18" t="s">
        <v>2804</v>
      </c>
      <c r="B743" s="3" t="str">
        <f>IFERROR(INDEX(Movimientos!$C$5:$C$2001,MATCH(A743&amp;"ENTRADA",Movimientos!$R$5:$R$2001,0)),"-")</f>
        <v>-</v>
      </c>
      <c r="C743" s="3" t="str">
        <f>IFERROR(INDEX(Movimientos!$D$5:$D$2001,MATCH(A743&amp;"ENTRADA",Movimientos!$R$5:$R$2001,0)),"-")</f>
        <v>-</v>
      </c>
      <c r="D743" s="3" t="str">
        <f>IFERROR(INDEX(Movimientos!$E$5:$E$2001,MATCH(A743&amp;"ENTRADA",Movimientos!$R$5:$R$2001,0)),"-")</f>
        <v>-</v>
      </c>
      <c r="E743" s="3" t="str">
        <f>IFERROR(INDEX(Movimientos!$F$5:$F$2001,MATCH(A743&amp;"ENTRADA",Movimientos!$R$5:$R$2001,0)),"-")</f>
        <v>-</v>
      </c>
      <c r="F743" s="3" t="str">
        <f>IFERROR(INDEX(Movimientos!$G$5:$G$2001,MATCH(A743&amp;"ENTRADA",Movimientos!$R$5:$R$2001,0)),"-")</f>
        <v>-</v>
      </c>
      <c r="G743" s="3" t="str">
        <f>IFERROR(INDEX(Movimientos!$L$5:$L$2001,MATCH(A743&amp;"ENTRADA",Movimientos!$R$5:$R$2001,0)),"-")</f>
        <v>-</v>
      </c>
      <c r="H743" s="19" t="str">
        <f>IFERROR(IF(INDEX(Movimientos!$M$5:$M$2001,MATCH(A743&amp;"ENTRADA",Movimientos!$R$5:$R$2001,0))=0,"S/D",INDEX(Movimientos!$M$5:$M$2001,MATCH(A743&amp;"ENTRADA",Movimientos!$R$5:$R$2001,0))),"S/D")</f>
        <v>S/D</v>
      </c>
      <c r="I743" s="16" t="str">
        <f t="shared" ca="1" si="24"/>
        <v>S/D</v>
      </c>
      <c r="J743" s="6">
        <f>IF(A743="","",SUMIFS(Movimientos!$K:$K,Movimientos!$H:$H,A743))</f>
        <v>0</v>
      </c>
      <c r="K743" s="14" t="str">
        <f t="shared" ca="1" si="25"/>
        <v>OK</v>
      </c>
    </row>
    <row r="744" spans="1:11">
      <c r="A744" s="18" t="s">
        <v>2805</v>
      </c>
      <c r="B744" s="3" t="str">
        <f>IFERROR(INDEX(Movimientos!$C$5:$C$2001,MATCH(A744&amp;"ENTRADA",Movimientos!$R$5:$R$2001,0)),"-")</f>
        <v>-</v>
      </c>
      <c r="C744" s="3" t="str">
        <f>IFERROR(INDEX(Movimientos!$D$5:$D$2001,MATCH(A744&amp;"ENTRADA",Movimientos!$R$5:$R$2001,0)),"-")</f>
        <v>-</v>
      </c>
      <c r="D744" s="3" t="str">
        <f>IFERROR(INDEX(Movimientos!$E$5:$E$2001,MATCH(A744&amp;"ENTRADA",Movimientos!$R$5:$R$2001,0)),"-")</f>
        <v>-</v>
      </c>
      <c r="E744" s="3" t="str">
        <f>IFERROR(INDEX(Movimientos!$F$5:$F$2001,MATCH(A744&amp;"ENTRADA",Movimientos!$R$5:$R$2001,0)),"-")</f>
        <v>-</v>
      </c>
      <c r="F744" s="3" t="str">
        <f>IFERROR(INDEX(Movimientos!$G$5:$G$2001,MATCH(A744&amp;"ENTRADA",Movimientos!$R$5:$R$2001,0)),"-")</f>
        <v>-</v>
      </c>
      <c r="G744" s="3" t="str">
        <f>IFERROR(INDEX(Movimientos!$L$5:$L$2001,MATCH(A744&amp;"ENTRADA",Movimientos!$R$5:$R$2001,0)),"-")</f>
        <v>-</v>
      </c>
      <c r="H744" s="19" t="str">
        <f>IFERROR(IF(INDEX(Movimientos!$M$5:$M$2001,MATCH(A744&amp;"ENTRADA",Movimientos!$R$5:$R$2001,0))=0,"S/D",INDEX(Movimientos!$M$5:$M$2001,MATCH(A744&amp;"ENTRADA",Movimientos!$R$5:$R$2001,0))),"S/D")</f>
        <v>S/D</v>
      </c>
      <c r="I744" s="16" t="str">
        <f t="shared" ca="1" si="24"/>
        <v>S/D</v>
      </c>
      <c r="J744" s="6">
        <f>IF(A744="","",SUMIFS(Movimientos!$K:$K,Movimientos!$H:$H,A744))</f>
        <v>0</v>
      </c>
      <c r="K744" s="14" t="str">
        <f t="shared" ca="1" si="25"/>
        <v>OK</v>
      </c>
    </row>
    <row r="745" spans="1:11">
      <c r="A745" s="18" t="s">
        <v>2806</v>
      </c>
      <c r="B745" s="3" t="str">
        <f>IFERROR(INDEX(Movimientos!$C$5:$C$2001,MATCH(A745&amp;"ENTRADA",Movimientos!$R$5:$R$2001,0)),"-")</f>
        <v>-</v>
      </c>
      <c r="C745" s="3" t="str">
        <f>IFERROR(INDEX(Movimientos!$D$5:$D$2001,MATCH(A745&amp;"ENTRADA",Movimientos!$R$5:$R$2001,0)),"-")</f>
        <v>-</v>
      </c>
      <c r="D745" s="3" t="str">
        <f>IFERROR(INDEX(Movimientos!$E$5:$E$2001,MATCH(A745&amp;"ENTRADA",Movimientos!$R$5:$R$2001,0)),"-")</f>
        <v>-</v>
      </c>
      <c r="E745" s="3" t="str">
        <f>IFERROR(INDEX(Movimientos!$F$5:$F$2001,MATCH(A745&amp;"ENTRADA",Movimientos!$R$5:$R$2001,0)),"-")</f>
        <v>-</v>
      </c>
      <c r="F745" s="3" t="str">
        <f>IFERROR(INDEX(Movimientos!$G$5:$G$2001,MATCH(A745&amp;"ENTRADA",Movimientos!$R$5:$R$2001,0)),"-")</f>
        <v>-</v>
      </c>
      <c r="G745" s="3" t="str">
        <f>IFERROR(INDEX(Movimientos!$L$5:$L$2001,MATCH(A745&amp;"ENTRADA",Movimientos!$R$5:$R$2001,0)),"-")</f>
        <v>-</v>
      </c>
      <c r="H745" s="19" t="str">
        <f>IFERROR(IF(INDEX(Movimientos!$M$5:$M$2001,MATCH(A745&amp;"ENTRADA",Movimientos!$R$5:$R$2001,0))=0,"S/D",INDEX(Movimientos!$M$5:$M$2001,MATCH(A745&amp;"ENTRADA",Movimientos!$R$5:$R$2001,0))),"S/D")</f>
        <v>S/D</v>
      </c>
      <c r="I745" s="16" t="str">
        <f t="shared" ca="1" si="24"/>
        <v>S/D</v>
      </c>
      <c r="J745" s="6">
        <f>IF(A745="","",SUMIFS(Movimientos!$K:$K,Movimientos!$H:$H,A745))</f>
        <v>0</v>
      </c>
      <c r="K745" s="14" t="str">
        <f t="shared" ca="1" si="25"/>
        <v>OK</v>
      </c>
    </row>
    <row r="746" spans="1:11">
      <c r="A746" s="18" t="s">
        <v>2807</v>
      </c>
      <c r="B746" s="3" t="str">
        <f>IFERROR(INDEX(Movimientos!$C$5:$C$2001,MATCH(A746&amp;"ENTRADA",Movimientos!$R$5:$R$2001,0)),"-")</f>
        <v>-</v>
      </c>
      <c r="C746" s="3" t="str">
        <f>IFERROR(INDEX(Movimientos!$D$5:$D$2001,MATCH(A746&amp;"ENTRADA",Movimientos!$R$5:$R$2001,0)),"-")</f>
        <v>-</v>
      </c>
      <c r="D746" s="3" t="str">
        <f>IFERROR(INDEX(Movimientos!$E$5:$E$2001,MATCH(A746&amp;"ENTRADA",Movimientos!$R$5:$R$2001,0)),"-")</f>
        <v>-</v>
      </c>
      <c r="E746" s="3" t="str">
        <f>IFERROR(INDEX(Movimientos!$F$5:$F$2001,MATCH(A746&amp;"ENTRADA",Movimientos!$R$5:$R$2001,0)),"-")</f>
        <v>-</v>
      </c>
      <c r="F746" s="3" t="str">
        <f>IFERROR(INDEX(Movimientos!$G$5:$G$2001,MATCH(A746&amp;"ENTRADA",Movimientos!$R$5:$R$2001,0)),"-")</f>
        <v>-</v>
      </c>
      <c r="G746" s="3" t="str">
        <f>IFERROR(INDEX(Movimientos!$L$5:$L$2001,MATCH(A746&amp;"ENTRADA",Movimientos!$R$5:$R$2001,0)),"-")</f>
        <v>-</v>
      </c>
      <c r="H746" s="19" t="str">
        <f>IFERROR(IF(INDEX(Movimientos!$M$5:$M$2001,MATCH(A746&amp;"ENTRADA",Movimientos!$R$5:$R$2001,0))=0,"S/D",INDEX(Movimientos!$M$5:$M$2001,MATCH(A746&amp;"ENTRADA",Movimientos!$R$5:$R$2001,0))),"S/D")</f>
        <v>S/D</v>
      </c>
      <c r="I746" s="16" t="str">
        <f t="shared" ca="1" si="24"/>
        <v>S/D</v>
      </c>
      <c r="J746" s="6">
        <f>IF(A746="","",SUMIFS(Movimientos!$K:$K,Movimientos!$H:$H,A746))</f>
        <v>0</v>
      </c>
      <c r="K746" s="14" t="str">
        <f t="shared" ca="1" si="25"/>
        <v>OK</v>
      </c>
    </row>
    <row r="747" spans="1:11">
      <c r="A747" s="18" t="s">
        <v>2808</v>
      </c>
      <c r="B747" s="3" t="str">
        <f>IFERROR(INDEX(Movimientos!$C$5:$C$2001,MATCH(A747&amp;"ENTRADA",Movimientos!$R$5:$R$2001,0)),"-")</f>
        <v>-</v>
      </c>
      <c r="C747" s="3" t="str">
        <f>IFERROR(INDEX(Movimientos!$D$5:$D$2001,MATCH(A747&amp;"ENTRADA",Movimientos!$R$5:$R$2001,0)),"-")</f>
        <v>-</v>
      </c>
      <c r="D747" s="3" t="str">
        <f>IFERROR(INDEX(Movimientos!$E$5:$E$2001,MATCH(A747&amp;"ENTRADA",Movimientos!$R$5:$R$2001,0)),"-")</f>
        <v>-</v>
      </c>
      <c r="E747" s="3" t="str">
        <f>IFERROR(INDEX(Movimientos!$F$5:$F$2001,MATCH(A747&amp;"ENTRADA",Movimientos!$R$5:$R$2001,0)),"-")</f>
        <v>-</v>
      </c>
      <c r="F747" s="3" t="str">
        <f>IFERROR(INDEX(Movimientos!$G$5:$G$2001,MATCH(A747&amp;"ENTRADA",Movimientos!$R$5:$R$2001,0)),"-")</f>
        <v>-</v>
      </c>
      <c r="G747" s="3" t="str">
        <f>IFERROR(INDEX(Movimientos!$L$5:$L$2001,MATCH(A747&amp;"ENTRADA",Movimientos!$R$5:$R$2001,0)),"-")</f>
        <v>-</v>
      </c>
      <c r="H747" s="19" t="str">
        <f>IFERROR(IF(INDEX(Movimientos!$M$5:$M$2001,MATCH(A747&amp;"ENTRADA",Movimientos!$R$5:$R$2001,0))=0,"S/D",INDEX(Movimientos!$M$5:$M$2001,MATCH(A747&amp;"ENTRADA",Movimientos!$R$5:$R$2001,0))),"S/D")</f>
        <v>S/D</v>
      </c>
      <c r="I747" s="16" t="str">
        <f t="shared" ca="1" si="24"/>
        <v>S/D</v>
      </c>
      <c r="J747" s="6">
        <f>IF(A747="","",SUMIFS(Movimientos!$K:$K,Movimientos!$H:$H,A747))</f>
        <v>0</v>
      </c>
      <c r="K747" s="14" t="str">
        <f t="shared" ca="1" si="25"/>
        <v>OK</v>
      </c>
    </row>
    <row r="748" spans="1:11">
      <c r="A748" s="18" t="s">
        <v>2809</v>
      </c>
      <c r="B748" s="3" t="str">
        <f>IFERROR(INDEX(Movimientos!$C$5:$C$2001,MATCH(A748&amp;"ENTRADA",Movimientos!$R$5:$R$2001,0)),"-")</f>
        <v>-</v>
      </c>
      <c r="C748" s="3" t="str">
        <f>IFERROR(INDEX(Movimientos!$D$5:$D$2001,MATCH(A748&amp;"ENTRADA",Movimientos!$R$5:$R$2001,0)),"-")</f>
        <v>-</v>
      </c>
      <c r="D748" s="3" t="str">
        <f>IFERROR(INDEX(Movimientos!$E$5:$E$2001,MATCH(A748&amp;"ENTRADA",Movimientos!$R$5:$R$2001,0)),"-")</f>
        <v>-</v>
      </c>
      <c r="E748" s="3" t="str">
        <f>IFERROR(INDEX(Movimientos!$F$5:$F$2001,MATCH(A748&amp;"ENTRADA",Movimientos!$R$5:$R$2001,0)),"-")</f>
        <v>-</v>
      </c>
      <c r="F748" s="3" t="str">
        <f>IFERROR(INDEX(Movimientos!$G$5:$G$2001,MATCH(A748&amp;"ENTRADA",Movimientos!$R$5:$R$2001,0)),"-")</f>
        <v>-</v>
      </c>
      <c r="G748" s="3" t="str">
        <f>IFERROR(INDEX(Movimientos!$L$5:$L$2001,MATCH(A748&amp;"ENTRADA",Movimientos!$R$5:$R$2001,0)),"-")</f>
        <v>-</v>
      </c>
      <c r="H748" s="19" t="str">
        <f>IFERROR(IF(INDEX(Movimientos!$M$5:$M$2001,MATCH(A748&amp;"ENTRADA",Movimientos!$R$5:$R$2001,0))=0,"S/D",INDEX(Movimientos!$M$5:$M$2001,MATCH(A748&amp;"ENTRADA",Movimientos!$R$5:$R$2001,0))),"S/D")</f>
        <v>S/D</v>
      </c>
      <c r="I748" s="16" t="str">
        <f t="shared" ca="1" si="24"/>
        <v>S/D</v>
      </c>
      <c r="J748" s="6">
        <f>IF(A748="","",SUMIFS(Movimientos!$K:$K,Movimientos!$H:$H,A748))</f>
        <v>0</v>
      </c>
      <c r="K748" s="14" t="str">
        <f t="shared" ca="1" si="25"/>
        <v>OK</v>
      </c>
    </row>
    <row r="749" spans="1:11">
      <c r="A749" s="18" t="s">
        <v>2810</v>
      </c>
      <c r="B749" s="3" t="str">
        <f>IFERROR(INDEX(Movimientos!$C$5:$C$2001,MATCH(A749&amp;"ENTRADA",Movimientos!$R$5:$R$2001,0)),"-")</f>
        <v>-</v>
      </c>
      <c r="C749" s="3" t="str">
        <f>IFERROR(INDEX(Movimientos!$D$5:$D$2001,MATCH(A749&amp;"ENTRADA",Movimientos!$R$5:$R$2001,0)),"-")</f>
        <v>-</v>
      </c>
      <c r="D749" s="3" t="str">
        <f>IFERROR(INDEX(Movimientos!$E$5:$E$2001,MATCH(A749&amp;"ENTRADA",Movimientos!$R$5:$R$2001,0)),"-")</f>
        <v>-</v>
      </c>
      <c r="E749" s="3" t="str">
        <f>IFERROR(INDEX(Movimientos!$F$5:$F$2001,MATCH(A749&amp;"ENTRADA",Movimientos!$R$5:$R$2001,0)),"-")</f>
        <v>-</v>
      </c>
      <c r="F749" s="3" t="str">
        <f>IFERROR(INDEX(Movimientos!$G$5:$G$2001,MATCH(A749&amp;"ENTRADA",Movimientos!$R$5:$R$2001,0)),"-")</f>
        <v>-</v>
      </c>
      <c r="G749" s="3" t="str">
        <f>IFERROR(INDEX(Movimientos!$L$5:$L$2001,MATCH(A749&amp;"ENTRADA",Movimientos!$R$5:$R$2001,0)),"-")</f>
        <v>-</v>
      </c>
      <c r="H749" s="19" t="str">
        <f>IFERROR(IF(INDEX(Movimientos!$M$5:$M$2001,MATCH(A749&amp;"ENTRADA",Movimientos!$R$5:$R$2001,0))=0,"S/D",INDEX(Movimientos!$M$5:$M$2001,MATCH(A749&amp;"ENTRADA",Movimientos!$R$5:$R$2001,0))),"S/D")</f>
        <v>S/D</v>
      </c>
      <c r="I749" s="16" t="str">
        <f t="shared" ca="1" si="24"/>
        <v>S/D</v>
      </c>
      <c r="J749" s="6">
        <f>IF(A749="","",SUMIFS(Movimientos!$K:$K,Movimientos!$H:$H,A749))</f>
        <v>0</v>
      </c>
      <c r="K749" s="14" t="str">
        <f t="shared" ca="1" si="25"/>
        <v>OK</v>
      </c>
    </row>
    <row r="750" spans="1:11">
      <c r="A750" s="18" t="s">
        <v>2811</v>
      </c>
      <c r="B750" s="3" t="str">
        <f>IFERROR(INDEX(Movimientos!$C$5:$C$2001,MATCH(A750&amp;"ENTRADA",Movimientos!$R$5:$R$2001,0)),"-")</f>
        <v>-</v>
      </c>
      <c r="C750" s="3" t="str">
        <f>IFERROR(INDEX(Movimientos!$D$5:$D$2001,MATCH(A750&amp;"ENTRADA",Movimientos!$R$5:$R$2001,0)),"-")</f>
        <v>-</v>
      </c>
      <c r="D750" s="3" t="str">
        <f>IFERROR(INDEX(Movimientos!$E$5:$E$2001,MATCH(A750&amp;"ENTRADA",Movimientos!$R$5:$R$2001,0)),"-")</f>
        <v>-</v>
      </c>
      <c r="E750" s="3" t="str">
        <f>IFERROR(INDEX(Movimientos!$F$5:$F$2001,MATCH(A750&amp;"ENTRADA",Movimientos!$R$5:$R$2001,0)),"-")</f>
        <v>-</v>
      </c>
      <c r="F750" s="3" t="str">
        <f>IFERROR(INDEX(Movimientos!$G$5:$G$2001,MATCH(A750&amp;"ENTRADA",Movimientos!$R$5:$R$2001,0)),"-")</f>
        <v>-</v>
      </c>
      <c r="G750" s="3" t="str">
        <f>IFERROR(INDEX(Movimientos!$L$5:$L$2001,MATCH(A750&amp;"ENTRADA",Movimientos!$R$5:$R$2001,0)),"-")</f>
        <v>-</v>
      </c>
      <c r="H750" s="19" t="str">
        <f>IFERROR(IF(INDEX(Movimientos!$M$5:$M$2001,MATCH(A750&amp;"ENTRADA",Movimientos!$R$5:$R$2001,0))=0,"S/D",INDEX(Movimientos!$M$5:$M$2001,MATCH(A750&amp;"ENTRADA",Movimientos!$R$5:$R$2001,0))),"S/D")</f>
        <v>S/D</v>
      </c>
      <c r="I750" s="16" t="str">
        <f t="shared" ca="1" si="24"/>
        <v>S/D</v>
      </c>
      <c r="J750" s="6">
        <f>IF(A750="","",SUMIFS(Movimientos!$K:$K,Movimientos!$H:$H,A750))</f>
        <v>0</v>
      </c>
      <c r="K750" s="14" t="str">
        <f t="shared" ca="1" si="25"/>
        <v>OK</v>
      </c>
    </row>
    <row r="751" spans="1:11">
      <c r="A751" s="18" t="s">
        <v>2812</v>
      </c>
      <c r="B751" s="3" t="str">
        <f>IFERROR(INDEX(Movimientos!$C$5:$C$2001,MATCH(A751&amp;"ENTRADA",Movimientos!$R$5:$R$2001,0)),"-")</f>
        <v>-</v>
      </c>
      <c r="C751" s="3" t="str">
        <f>IFERROR(INDEX(Movimientos!$D$5:$D$2001,MATCH(A751&amp;"ENTRADA",Movimientos!$R$5:$R$2001,0)),"-")</f>
        <v>-</v>
      </c>
      <c r="D751" s="3" t="str">
        <f>IFERROR(INDEX(Movimientos!$E$5:$E$2001,MATCH(A751&amp;"ENTRADA",Movimientos!$R$5:$R$2001,0)),"-")</f>
        <v>-</v>
      </c>
      <c r="E751" s="3" t="str">
        <f>IFERROR(INDEX(Movimientos!$F$5:$F$2001,MATCH(A751&amp;"ENTRADA",Movimientos!$R$5:$R$2001,0)),"-")</f>
        <v>-</v>
      </c>
      <c r="F751" s="3" t="str">
        <f>IFERROR(INDEX(Movimientos!$G$5:$G$2001,MATCH(A751&amp;"ENTRADA",Movimientos!$R$5:$R$2001,0)),"-")</f>
        <v>-</v>
      </c>
      <c r="G751" s="3" t="str">
        <f>IFERROR(INDEX(Movimientos!$L$5:$L$2001,MATCH(A751&amp;"ENTRADA",Movimientos!$R$5:$R$2001,0)),"-")</f>
        <v>-</v>
      </c>
      <c r="H751" s="19" t="str">
        <f>IFERROR(IF(INDEX(Movimientos!$M$5:$M$2001,MATCH(A751&amp;"ENTRADA",Movimientos!$R$5:$R$2001,0))=0,"S/D",INDEX(Movimientos!$M$5:$M$2001,MATCH(A751&amp;"ENTRADA",Movimientos!$R$5:$R$2001,0))),"S/D")</f>
        <v>S/D</v>
      </c>
      <c r="I751" s="16" t="str">
        <f t="shared" ca="1" si="24"/>
        <v>S/D</v>
      </c>
      <c r="J751" s="6">
        <f>IF(A751="","",SUMIFS(Movimientos!$K:$K,Movimientos!$H:$H,A751))</f>
        <v>0</v>
      </c>
      <c r="K751" s="14" t="str">
        <f t="shared" ca="1" si="25"/>
        <v>OK</v>
      </c>
    </row>
    <row r="752" spans="1:11">
      <c r="A752" s="18" t="s">
        <v>2813</v>
      </c>
      <c r="B752" s="3" t="str">
        <f>IFERROR(INDEX(Movimientos!$C$5:$C$2001,MATCH(A752&amp;"ENTRADA",Movimientos!$R$5:$R$2001,0)),"-")</f>
        <v>-</v>
      </c>
      <c r="C752" s="3" t="str">
        <f>IFERROR(INDEX(Movimientos!$D$5:$D$2001,MATCH(A752&amp;"ENTRADA",Movimientos!$R$5:$R$2001,0)),"-")</f>
        <v>-</v>
      </c>
      <c r="D752" s="3" t="str">
        <f>IFERROR(INDEX(Movimientos!$E$5:$E$2001,MATCH(A752&amp;"ENTRADA",Movimientos!$R$5:$R$2001,0)),"-")</f>
        <v>-</v>
      </c>
      <c r="E752" s="3" t="str">
        <f>IFERROR(INDEX(Movimientos!$F$5:$F$2001,MATCH(A752&amp;"ENTRADA",Movimientos!$R$5:$R$2001,0)),"-")</f>
        <v>-</v>
      </c>
      <c r="F752" s="3" t="str">
        <f>IFERROR(INDEX(Movimientos!$G$5:$G$2001,MATCH(A752&amp;"ENTRADA",Movimientos!$R$5:$R$2001,0)),"-")</f>
        <v>-</v>
      </c>
      <c r="G752" s="3" t="str">
        <f>IFERROR(INDEX(Movimientos!$L$5:$L$2001,MATCH(A752&amp;"ENTRADA",Movimientos!$R$5:$R$2001,0)),"-")</f>
        <v>-</v>
      </c>
      <c r="H752" s="19" t="str">
        <f>IFERROR(IF(INDEX(Movimientos!$M$5:$M$2001,MATCH(A752&amp;"ENTRADA",Movimientos!$R$5:$R$2001,0))=0,"S/D",INDEX(Movimientos!$M$5:$M$2001,MATCH(A752&amp;"ENTRADA",Movimientos!$R$5:$R$2001,0))),"S/D")</f>
        <v>S/D</v>
      </c>
      <c r="I752" s="16" t="str">
        <f t="shared" ca="1" si="24"/>
        <v>S/D</v>
      </c>
      <c r="J752" s="6">
        <f>IF(A752="","",SUMIFS(Movimientos!$K:$K,Movimientos!$H:$H,A752))</f>
        <v>0</v>
      </c>
      <c r="K752" s="14" t="str">
        <f t="shared" ca="1" si="25"/>
        <v>OK</v>
      </c>
    </row>
    <row r="753" spans="1:11">
      <c r="A753" s="18" t="s">
        <v>2814</v>
      </c>
      <c r="B753" s="3" t="str">
        <f>IFERROR(INDEX(Movimientos!$C$5:$C$2001,MATCH(A753&amp;"ENTRADA",Movimientos!$R$5:$R$2001,0)),"-")</f>
        <v>-</v>
      </c>
      <c r="C753" s="3" t="str">
        <f>IFERROR(INDEX(Movimientos!$D$5:$D$2001,MATCH(A753&amp;"ENTRADA",Movimientos!$R$5:$R$2001,0)),"-")</f>
        <v>-</v>
      </c>
      <c r="D753" s="3" t="str">
        <f>IFERROR(INDEX(Movimientos!$E$5:$E$2001,MATCH(A753&amp;"ENTRADA",Movimientos!$R$5:$R$2001,0)),"-")</f>
        <v>-</v>
      </c>
      <c r="E753" s="3" t="str">
        <f>IFERROR(INDEX(Movimientos!$F$5:$F$2001,MATCH(A753&amp;"ENTRADA",Movimientos!$R$5:$R$2001,0)),"-")</f>
        <v>-</v>
      </c>
      <c r="F753" s="3" t="str">
        <f>IFERROR(INDEX(Movimientos!$G$5:$G$2001,MATCH(A753&amp;"ENTRADA",Movimientos!$R$5:$R$2001,0)),"-")</f>
        <v>-</v>
      </c>
      <c r="G753" s="3" t="str">
        <f>IFERROR(INDEX(Movimientos!$L$5:$L$2001,MATCH(A753&amp;"ENTRADA",Movimientos!$R$5:$R$2001,0)),"-")</f>
        <v>-</v>
      </c>
      <c r="H753" s="19" t="str">
        <f>IFERROR(IF(INDEX(Movimientos!$M$5:$M$2001,MATCH(A753&amp;"ENTRADA",Movimientos!$R$5:$R$2001,0))=0,"S/D",INDEX(Movimientos!$M$5:$M$2001,MATCH(A753&amp;"ENTRADA",Movimientos!$R$5:$R$2001,0))),"S/D")</f>
        <v>S/D</v>
      </c>
      <c r="I753" s="16" t="str">
        <f t="shared" ca="1" si="24"/>
        <v>S/D</v>
      </c>
      <c r="J753" s="6">
        <f>IF(A753="","",SUMIFS(Movimientos!$K:$K,Movimientos!$H:$H,A753))</f>
        <v>0</v>
      </c>
      <c r="K753" s="14" t="str">
        <f t="shared" ca="1" si="25"/>
        <v>OK</v>
      </c>
    </row>
    <row r="754" spans="1:11">
      <c r="A754" s="18" t="s">
        <v>2815</v>
      </c>
      <c r="B754" s="3" t="str">
        <f>IFERROR(INDEX(Movimientos!$C$5:$C$2001,MATCH(A754&amp;"ENTRADA",Movimientos!$R$5:$R$2001,0)),"-")</f>
        <v>-</v>
      </c>
      <c r="C754" s="3" t="str">
        <f>IFERROR(INDEX(Movimientos!$D$5:$D$2001,MATCH(A754&amp;"ENTRADA",Movimientos!$R$5:$R$2001,0)),"-")</f>
        <v>-</v>
      </c>
      <c r="D754" s="3" t="str">
        <f>IFERROR(INDEX(Movimientos!$E$5:$E$2001,MATCH(A754&amp;"ENTRADA",Movimientos!$R$5:$R$2001,0)),"-")</f>
        <v>-</v>
      </c>
      <c r="E754" s="3" t="str">
        <f>IFERROR(INDEX(Movimientos!$F$5:$F$2001,MATCH(A754&amp;"ENTRADA",Movimientos!$R$5:$R$2001,0)),"-")</f>
        <v>-</v>
      </c>
      <c r="F754" s="3" t="str">
        <f>IFERROR(INDEX(Movimientos!$G$5:$G$2001,MATCH(A754&amp;"ENTRADA",Movimientos!$R$5:$R$2001,0)),"-")</f>
        <v>-</v>
      </c>
      <c r="G754" s="3" t="str">
        <f>IFERROR(INDEX(Movimientos!$L$5:$L$2001,MATCH(A754&amp;"ENTRADA",Movimientos!$R$5:$R$2001,0)),"-")</f>
        <v>-</v>
      </c>
      <c r="H754" s="19" t="str">
        <f>IFERROR(IF(INDEX(Movimientos!$M$5:$M$2001,MATCH(A754&amp;"ENTRADA",Movimientos!$R$5:$R$2001,0))=0,"S/D",INDEX(Movimientos!$M$5:$M$2001,MATCH(A754&amp;"ENTRADA",Movimientos!$R$5:$R$2001,0))),"S/D")</f>
        <v>S/D</v>
      </c>
      <c r="I754" s="16" t="str">
        <f t="shared" ca="1" si="24"/>
        <v>S/D</v>
      </c>
      <c r="J754" s="6">
        <f>IF(A754="","",SUMIFS(Movimientos!$K:$K,Movimientos!$H:$H,A754))</f>
        <v>0</v>
      </c>
      <c r="K754" s="14" t="str">
        <f t="shared" ca="1" si="25"/>
        <v>OK</v>
      </c>
    </row>
    <row r="755" spans="1:11">
      <c r="A755" s="18" t="s">
        <v>2816</v>
      </c>
      <c r="B755" s="3" t="str">
        <f>IFERROR(INDEX(Movimientos!$C$5:$C$2001,MATCH(A755&amp;"ENTRADA",Movimientos!$R$5:$R$2001,0)),"-")</f>
        <v>-</v>
      </c>
      <c r="C755" s="3" t="str">
        <f>IFERROR(INDEX(Movimientos!$D$5:$D$2001,MATCH(A755&amp;"ENTRADA",Movimientos!$R$5:$R$2001,0)),"-")</f>
        <v>-</v>
      </c>
      <c r="D755" s="3" t="str">
        <f>IFERROR(INDEX(Movimientos!$E$5:$E$2001,MATCH(A755&amp;"ENTRADA",Movimientos!$R$5:$R$2001,0)),"-")</f>
        <v>-</v>
      </c>
      <c r="E755" s="3" t="str">
        <f>IFERROR(INDEX(Movimientos!$F$5:$F$2001,MATCH(A755&amp;"ENTRADA",Movimientos!$R$5:$R$2001,0)),"-")</f>
        <v>-</v>
      </c>
      <c r="F755" s="3" t="str">
        <f>IFERROR(INDEX(Movimientos!$G$5:$G$2001,MATCH(A755&amp;"ENTRADA",Movimientos!$R$5:$R$2001,0)),"-")</f>
        <v>-</v>
      </c>
      <c r="G755" s="3" t="str">
        <f>IFERROR(INDEX(Movimientos!$L$5:$L$2001,MATCH(A755&amp;"ENTRADA",Movimientos!$R$5:$R$2001,0)),"-")</f>
        <v>-</v>
      </c>
      <c r="H755" s="19" t="str">
        <f>IFERROR(IF(INDEX(Movimientos!$M$5:$M$2001,MATCH(A755&amp;"ENTRADA",Movimientos!$R$5:$R$2001,0))=0,"S/D",INDEX(Movimientos!$M$5:$M$2001,MATCH(A755&amp;"ENTRADA",Movimientos!$R$5:$R$2001,0))),"S/D")</f>
        <v>S/D</v>
      </c>
      <c r="I755" s="16" t="str">
        <f t="shared" ca="1" si="24"/>
        <v>S/D</v>
      </c>
      <c r="J755" s="6">
        <f>IF(A755="","",SUMIFS(Movimientos!$K:$K,Movimientos!$H:$H,A755))</f>
        <v>0</v>
      </c>
      <c r="K755" s="14" t="str">
        <f t="shared" ca="1" si="25"/>
        <v>OK</v>
      </c>
    </row>
    <row r="756" spans="1:11">
      <c r="A756" s="18" t="s">
        <v>2817</v>
      </c>
      <c r="B756" s="3" t="str">
        <f>IFERROR(INDEX(Movimientos!$C$5:$C$2001,MATCH(A756&amp;"ENTRADA",Movimientos!$R$5:$R$2001,0)),"-")</f>
        <v>-</v>
      </c>
      <c r="C756" s="3" t="str">
        <f>IFERROR(INDEX(Movimientos!$D$5:$D$2001,MATCH(A756&amp;"ENTRADA",Movimientos!$R$5:$R$2001,0)),"-")</f>
        <v>-</v>
      </c>
      <c r="D756" s="3" t="str">
        <f>IFERROR(INDEX(Movimientos!$E$5:$E$2001,MATCH(A756&amp;"ENTRADA",Movimientos!$R$5:$R$2001,0)),"-")</f>
        <v>-</v>
      </c>
      <c r="E756" s="3" t="str">
        <f>IFERROR(INDEX(Movimientos!$F$5:$F$2001,MATCH(A756&amp;"ENTRADA",Movimientos!$R$5:$R$2001,0)),"-")</f>
        <v>-</v>
      </c>
      <c r="F756" s="3" t="str">
        <f>IFERROR(INDEX(Movimientos!$G$5:$G$2001,MATCH(A756&amp;"ENTRADA",Movimientos!$R$5:$R$2001,0)),"-")</f>
        <v>-</v>
      </c>
      <c r="G756" s="3" t="str">
        <f>IFERROR(INDEX(Movimientos!$L$5:$L$2001,MATCH(A756&amp;"ENTRADA",Movimientos!$R$5:$R$2001,0)),"-")</f>
        <v>-</v>
      </c>
      <c r="H756" s="19" t="str">
        <f>IFERROR(IF(INDEX(Movimientos!$M$5:$M$2001,MATCH(A756&amp;"ENTRADA",Movimientos!$R$5:$R$2001,0))=0,"S/D",INDEX(Movimientos!$M$5:$M$2001,MATCH(A756&amp;"ENTRADA",Movimientos!$R$5:$R$2001,0))),"S/D")</f>
        <v>S/D</v>
      </c>
      <c r="I756" s="16" t="str">
        <f t="shared" ca="1" si="24"/>
        <v>S/D</v>
      </c>
      <c r="J756" s="6">
        <f>IF(A756="","",SUMIFS(Movimientos!$K:$K,Movimientos!$H:$H,A756))</f>
        <v>0</v>
      </c>
      <c r="K756" s="14" t="str">
        <f t="shared" ca="1" si="25"/>
        <v>OK</v>
      </c>
    </row>
    <row r="757" spans="1:11">
      <c r="A757" s="18" t="s">
        <v>2818</v>
      </c>
      <c r="B757" s="3" t="str">
        <f>IFERROR(INDEX(Movimientos!$C$5:$C$2001,MATCH(A757&amp;"ENTRADA",Movimientos!$R$5:$R$2001,0)),"-")</f>
        <v>-</v>
      </c>
      <c r="C757" s="3" t="str">
        <f>IFERROR(INDEX(Movimientos!$D$5:$D$2001,MATCH(A757&amp;"ENTRADA",Movimientos!$R$5:$R$2001,0)),"-")</f>
        <v>-</v>
      </c>
      <c r="D757" s="3" t="str">
        <f>IFERROR(INDEX(Movimientos!$E$5:$E$2001,MATCH(A757&amp;"ENTRADA",Movimientos!$R$5:$R$2001,0)),"-")</f>
        <v>-</v>
      </c>
      <c r="E757" s="3" t="str">
        <f>IFERROR(INDEX(Movimientos!$F$5:$F$2001,MATCH(A757&amp;"ENTRADA",Movimientos!$R$5:$R$2001,0)),"-")</f>
        <v>-</v>
      </c>
      <c r="F757" s="3" t="str">
        <f>IFERROR(INDEX(Movimientos!$G$5:$G$2001,MATCH(A757&amp;"ENTRADA",Movimientos!$R$5:$R$2001,0)),"-")</f>
        <v>-</v>
      </c>
      <c r="G757" s="3" t="str">
        <f>IFERROR(INDEX(Movimientos!$L$5:$L$2001,MATCH(A757&amp;"ENTRADA",Movimientos!$R$5:$R$2001,0)),"-")</f>
        <v>-</v>
      </c>
      <c r="H757" s="19" t="str">
        <f>IFERROR(IF(INDEX(Movimientos!$M$5:$M$2001,MATCH(A757&amp;"ENTRADA",Movimientos!$R$5:$R$2001,0))=0,"S/D",INDEX(Movimientos!$M$5:$M$2001,MATCH(A757&amp;"ENTRADA",Movimientos!$R$5:$R$2001,0))),"S/D")</f>
        <v>S/D</v>
      </c>
      <c r="I757" s="16" t="str">
        <f t="shared" ca="1" si="24"/>
        <v>S/D</v>
      </c>
      <c r="J757" s="6">
        <f>IF(A757="","",SUMIFS(Movimientos!$K:$K,Movimientos!$H:$H,A757))</f>
        <v>0</v>
      </c>
      <c r="K757" s="14" t="str">
        <f t="shared" ca="1" si="25"/>
        <v>OK</v>
      </c>
    </row>
    <row r="758" spans="1:11">
      <c r="A758" s="18" t="s">
        <v>2819</v>
      </c>
      <c r="B758" s="3" t="str">
        <f>IFERROR(INDEX(Movimientos!$C$5:$C$2001,MATCH(A758&amp;"ENTRADA",Movimientos!$R$5:$R$2001,0)),"-")</f>
        <v>-</v>
      </c>
      <c r="C758" s="3" t="str">
        <f>IFERROR(INDEX(Movimientos!$D$5:$D$2001,MATCH(A758&amp;"ENTRADA",Movimientos!$R$5:$R$2001,0)),"-")</f>
        <v>-</v>
      </c>
      <c r="D758" s="3" t="str">
        <f>IFERROR(INDEX(Movimientos!$E$5:$E$2001,MATCH(A758&amp;"ENTRADA",Movimientos!$R$5:$R$2001,0)),"-")</f>
        <v>-</v>
      </c>
      <c r="E758" s="3" t="str">
        <f>IFERROR(INDEX(Movimientos!$F$5:$F$2001,MATCH(A758&amp;"ENTRADA",Movimientos!$R$5:$R$2001,0)),"-")</f>
        <v>-</v>
      </c>
      <c r="F758" s="3" t="str">
        <f>IFERROR(INDEX(Movimientos!$G$5:$G$2001,MATCH(A758&amp;"ENTRADA",Movimientos!$R$5:$R$2001,0)),"-")</f>
        <v>-</v>
      </c>
      <c r="G758" s="3" t="str">
        <f>IFERROR(INDEX(Movimientos!$L$5:$L$2001,MATCH(A758&amp;"ENTRADA",Movimientos!$R$5:$R$2001,0)),"-")</f>
        <v>-</v>
      </c>
      <c r="H758" s="19" t="str">
        <f>IFERROR(IF(INDEX(Movimientos!$M$5:$M$2001,MATCH(A758&amp;"ENTRADA",Movimientos!$R$5:$R$2001,0))=0,"S/D",INDEX(Movimientos!$M$5:$M$2001,MATCH(A758&amp;"ENTRADA",Movimientos!$R$5:$R$2001,0))),"S/D")</f>
        <v>S/D</v>
      </c>
      <c r="I758" s="16" t="str">
        <f t="shared" ca="1" si="24"/>
        <v>S/D</v>
      </c>
      <c r="J758" s="6">
        <f>IF(A758="","",SUMIFS(Movimientos!$K:$K,Movimientos!$H:$H,A758))</f>
        <v>0</v>
      </c>
      <c r="K758" s="14" t="str">
        <f t="shared" ca="1" si="25"/>
        <v>OK</v>
      </c>
    </row>
    <row r="759" spans="1:11">
      <c r="A759" s="18" t="s">
        <v>2820</v>
      </c>
      <c r="B759" s="3" t="str">
        <f>IFERROR(INDEX(Movimientos!$C$5:$C$2001,MATCH(A759&amp;"ENTRADA",Movimientos!$R$5:$R$2001,0)),"-")</f>
        <v>-</v>
      </c>
      <c r="C759" s="3" t="str">
        <f>IFERROR(INDEX(Movimientos!$D$5:$D$2001,MATCH(A759&amp;"ENTRADA",Movimientos!$R$5:$R$2001,0)),"-")</f>
        <v>-</v>
      </c>
      <c r="D759" s="3" t="str">
        <f>IFERROR(INDEX(Movimientos!$E$5:$E$2001,MATCH(A759&amp;"ENTRADA",Movimientos!$R$5:$R$2001,0)),"-")</f>
        <v>-</v>
      </c>
      <c r="E759" s="3" t="str">
        <f>IFERROR(INDEX(Movimientos!$F$5:$F$2001,MATCH(A759&amp;"ENTRADA",Movimientos!$R$5:$R$2001,0)),"-")</f>
        <v>-</v>
      </c>
      <c r="F759" s="3" t="str">
        <f>IFERROR(INDEX(Movimientos!$G$5:$G$2001,MATCH(A759&amp;"ENTRADA",Movimientos!$R$5:$R$2001,0)),"-")</f>
        <v>-</v>
      </c>
      <c r="G759" s="3" t="str">
        <f>IFERROR(INDEX(Movimientos!$L$5:$L$2001,MATCH(A759&amp;"ENTRADA",Movimientos!$R$5:$R$2001,0)),"-")</f>
        <v>-</v>
      </c>
      <c r="H759" s="19" t="str">
        <f>IFERROR(IF(INDEX(Movimientos!$M$5:$M$2001,MATCH(A759&amp;"ENTRADA",Movimientos!$R$5:$R$2001,0))=0,"S/D",INDEX(Movimientos!$M$5:$M$2001,MATCH(A759&amp;"ENTRADA",Movimientos!$R$5:$R$2001,0))),"S/D")</f>
        <v>S/D</v>
      </c>
      <c r="I759" s="16" t="str">
        <f t="shared" ca="1" si="24"/>
        <v>S/D</v>
      </c>
      <c r="J759" s="6">
        <f>IF(A759="","",SUMIFS(Movimientos!$K:$K,Movimientos!$H:$H,A759))</f>
        <v>0</v>
      </c>
      <c r="K759" s="14" t="str">
        <f t="shared" ca="1" si="25"/>
        <v>OK</v>
      </c>
    </row>
    <row r="760" spans="1:11">
      <c r="A760" s="18" t="s">
        <v>2821</v>
      </c>
      <c r="B760" s="3" t="str">
        <f>IFERROR(INDEX(Movimientos!$C$5:$C$2001,MATCH(A760&amp;"ENTRADA",Movimientos!$R$5:$R$2001,0)),"-")</f>
        <v>-</v>
      </c>
      <c r="C760" s="3" t="str">
        <f>IFERROR(INDEX(Movimientos!$D$5:$D$2001,MATCH(A760&amp;"ENTRADA",Movimientos!$R$5:$R$2001,0)),"-")</f>
        <v>-</v>
      </c>
      <c r="D760" s="3" t="str">
        <f>IFERROR(INDEX(Movimientos!$E$5:$E$2001,MATCH(A760&amp;"ENTRADA",Movimientos!$R$5:$R$2001,0)),"-")</f>
        <v>-</v>
      </c>
      <c r="E760" s="3" t="str">
        <f>IFERROR(INDEX(Movimientos!$F$5:$F$2001,MATCH(A760&amp;"ENTRADA",Movimientos!$R$5:$R$2001,0)),"-")</f>
        <v>-</v>
      </c>
      <c r="F760" s="3" t="str">
        <f>IFERROR(INDEX(Movimientos!$G$5:$G$2001,MATCH(A760&amp;"ENTRADA",Movimientos!$R$5:$R$2001,0)),"-")</f>
        <v>-</v>
      </c>
      <c r="G760" s="3" t="str">
        <f>IFERROR(INDEX(Movimientos!$L$5:$L$2001,MATCH(A760&amp;"ENTRADA",Movimientos!$R$5:$R$2001,0)),"-")</f>
        <v>-</v>
      </c>
      <c r="H760" s="19" t="str">
        <f>IFERROR(IF(INDEX(Movimientos!$M$5:$M$2001,MATCH(A760&amp;"ENTRADA",Movimientos!$R$5:$R$2001,0))=0,"S/D",INDEX(Movimientos!$M$5:$M$2001,MATCH(A760&amp;"ENTRADA",Movimientos!$R$5:$R$2001,0))),"S/D")</f>
        <v>S/D</v>
      </c>
      <c r="I760" s="16" t="str">
        <f t="shared" ca="1" si="24"/>
        <v>S/D</v>
      </c>
      <c r="J760" s="6">
        <f>IF(A760="","",SUMIFS(Movimientos!$K:$K,Movimientos!$H:$H,A760))</f>
        <v>0</v>
      </c>
      <c r="K760" s="14" t="str">
        <f t="shared" ca="1" si="25"/>
        <v>OK</v>
      </c>
    </row>
    <row r="761" spans="1:11">
      <c r="A761" s="18" t="s">
        <v>2822</v>
      </c>
      <c r="B761" s="3" t="str">
        <f>IFERROR(INDEX(Movimientos!$C$5:$C$2001,MATCH(A761&amp;"ENTRADA",Movimientos!$R$5:$R$2001,0)),"-")</f>
        <v>-</v>
      </c>
      <c r="C761" s="3" t="str">
        <f>IFERROR(INDEX(Movimientos!$D$5:$D$2001,MATCH(A761&amp;"ENTRADA",Movimientos!$R$5:$R$2001,0)),"-")</f>
        <v>-</v>
      </c>
      <c r="D761" s="3" t="str">
        <f>IFERROR(INDEX(Movimientos!$E$5:$E$2001,MATCH(A761&amp;"ENTRADA",Movimientos!$R$5:$R$2001,0)),"-")</f>
        <v>-</v>
      </c>
      <c r="E761" s="3" t="str">
        <f>IFERROR(INDEX(Movimientos!$F$5:$F$2001,MATCH(A761&amp;"ENTRADA",Movimientos!$R$5:$R$2001,0)),"-")</f>
        <v>-</v>
      </c>
      <c r="F761" s="3" t="str">
        <f>IFERROR(INDEX(Movimientos!$G$5:$G$2001,MATCH(A761&amp;"ENTRADA",Movimientos!$R$5:$R$2001,0)),"-")</f>
        <v>-</v>
      </c>
      <c r="G761" s="3" t="str">
        <f>IFERROR(INDEX(Movimientos!$L$5:$L$2001,MATCH(A761&amp;"ENTRADA",Movimientos!$R$5:$R$2001,0)),"-")</f>
        <v>-</v>
      </c>
      <c r="H761" s="19" t="str">
        <f>IFERROR(IF(INDEX(Movimientos!$M$5:$M$2001,MATCH(A761&amp;"ENTRADA",Movimientos!$R$5:$R$2001,0))=0,"S/D",INDEX(Movimientos!$M$5:$M$2001,MATCH(A761&amp;"ENTRADA",Movimientos!$R$5:$R$2001,0))),"S/D")</f>
        <v>S/D</v>
      </c>
      <c r="I761" s="16" t="str">
        <f t="shared" ca="1" si="24"/>
        <v>S/D</v>
      </c>
      <c r="J761" s="6">
        <f>IF(A761="","",SUMIFS(Movimientos!$K:$K,Movimientos!$H:$H,A761))</f>
        <v>0</v>
      </c>
      <c r="K761" s="14" t="str">
        <f t="shared" ca="1" si="25"/>
        <v>OK</v>
      </c>
    </row>
    <row r="762" spans="1:11">
      <c r="A762" s="18" t="s">
        <v>2823</v>
      </c>
      <c r="B762" s="3" t="str">
        <f>IFERROR(INDEX(Movimientos!$C$5:$C$2001,MATCH(A762&amp;"ENTRADA",Movimientos!$R$5:$R$2001,0)),"-")</f>
        <v>-</v>
      </c>
      <c r="C762" s="3" t="str">
        <f>IFERROR(INDEX(Movimientos!$D$5:$D$2001,MATCH(A762&amp;"ENTRADA",Movimientos!$R$5:$R$2001,0)),"-")</f>
        <v>-</v>
      </c>
      <c r="D762" s="3" t="str">
        <f>IFERROR(INDEX(Movimientos!$E$5:$E$2001,MATCH(A762&amp;"ENTRADA",Movimientos!$R$5:$R$2001,0)),"-")</f>
        <v>-</v>
      </c>
      <c r="E762" s="3" t="str">
        <f>IFERROR(INDEX(Movimientos!$F$5:$F$2001,MATCH(A762&amp;"ENTRADA",Movimientos!$R$5:$R$2001,0)),"-")</f>
        <v>-</v>
      </c>
      <c r="F762" s="3" t="str">
        <f>IFERROR(INDEX(Movimientos!$G$5:$G$2001,MATCH(A762&amp;"ENTRADA",Movimientos!$R$5:$R$2001,0)),"-")</f>
        <v>-</v>
      </c>
      <c r="G762" s="3" t="str">
        <f>IFERROR(INDEX(Movimientos!$L$5:$L$2001,MATCH(A762&amp;"ENTRADA",Movimientos!$R$5:$R$2001,0)),"-")</f>
        <v>-</v>
      </c>
      <c r="H762" s="19" t="str">
        <f>IFERROR(IF(INDEX(Movimientos!$M$5:$M$2001,MATCH(A762&amp;"ENTRADA",Movimientos!$R$5:$R$2001,0))=0,"S/D",INDEX(Movimientos!$M$5:$M$2001,MATCH(A762&amp;"ENTRADA",Movimientos!$R$5:$R$2001,0))),"S/D")</f>
        <v>S/D</v>
      </c>
      <c r="I762" s="16" t="str">
        <f t="shared" ca="1" si="24"/>
        <v>S/D</v>
      </c>
      <c r="J762" s="6">
        <f>IF(A762="","",SUMIFS(Movimientos!$K:$K,Movimientos!$H:$H,A762))</f>
        <v>0</v>
      </c>
      <c r="K762" s="14" t="str">
        <f t="shared" ca="1" si="25"/>
        <v>OK</v>
      </c>
    </row>
    <row r="763" spans="1:11">
      <c r="A763" s="18" t="s">
        <v>2824</v>
      </c>
      <c r="B763" s="3" t="str">
        <f>IFERROR(INDEX(Movimientos!$C$5:$C$2001,MATCH(A763&amp;"ENTRADA",Movimientos!$R$5:$R$2001,0)),"-")</f>
        <v>-</v>
      </c>
      <c r="C763" s="3" t="str">
        <f>IFERROR(INDEX(Movimientos!$D$5:$D$2001,MATCH(A763&amp;"ENTRADA",Movimientos!$R$5:$R$2001,0)),"-")</f>
        <v>-</v>
      </c>
      <c r="D763" s="3" t="str">
        <f>IFERROR(INDEX(Movimientos!$E$5:$E$2001,MATCH(A763&amp;"ENTRADA",Movimientos!$R$5:$R$2001,0)),"-")</f>
        <v>-</v>
      </c>
      <c r="E763" s="3" t="str">
        <f>IFERROR(INDEX(Movimientos!$F$5:$F$2001,MATCH(A763&amp;"ENTRADA",Movimientos!$R$5:$R$2001,0)),"-")</f>
        <v>-</v>
      </c>
      <c r="F763" s="3" t="str">
        <f>IFERROR(INDEX(Movimientos!$G$5:$G$2001,MATCH(A763&amp;"ENTRADA",Movimientos!$R$5:$R$2001,0)),"-")</f>
        <v>-</v>
      </c>
      <c r="G763" s="3" t="str">
        <f>IFERROR(INDEX(Movimientos!$L$5:$L$2001,MATCH(A763&amp;"ENTRADA",Movimientos!$R$5:$R$2001,0)),"-")</f>
        <v>-</v>
      </c>
      <c r="H763" s="19" t="str">
        <f>IFERROR(IF(INDEX(Movimientos!$M$5:$M$2001,MATCH(A763&amp;"ENTRADA",Movimientos!$R$5:$R$2001,0))=0,"S/D",INDEX(Movimientos!$M$5:$M$2001,MATCH(A763&amp;"ENTRADA",Movimientos!$R$5:$R$2001,0))),"S/D")</f>
        <v>S/D</v>
      </c>
      <c r="I763" s="16" t="str">
        <f t="shared" ca="1" si="24"/>
        <v>S/D</v>
      </c>
      <c r="J763" s="6">
        <f>IF(A763="","",SUMIFS(Movimientos!$K:$K,Movimientos!$H:$H,A763))</f>
        <v>0</v>
      </c>
      <c r="K763" s="14" t="str">
        <f t="shared" ca="1" si="25"/>
        <v>OK</v>
      </c>
    </row>
    <row r="764" spans="1:11">
      <c r="A764" s="18" t="s">
        <v>2825</v>
      </c>
      <c r="B764" s="3" t="str">
        <f>IFERROR(INDEX(Movimientos!$C$5:$C$2001,MATCH(A764&amp;"ENTRADA",Movimientos!$R$5:$R$2001,0)),"-")</f>
        <v>-</v>
      </c>
      <c r="C764" s="3" t="str">
        <f>IFERROR(INDEX(Movimientos!$D$5:$D$2001,MATCH(A764&amp;"ENTRADA",Movimientos!$R$5:$R$2001,0)),"-")</f>
        <v>-</v>
      </c>
      <c r="D764" s="3" t="str">
        <f>IFERROR(INDEX(Movimientos!$E$5:$E$2001,MATCH(A764&amp;"ENTRADA",Movimientos!$R$5:$R$2001,0)),"-")</f>
        <v>-</v>
      </c>
      <c r="E764" s="3" t="str">
        <f>IFERROR(INDEX(Movimientos!$F$5:$F$2001,MATCH(A764&amp;"ENTRADA",Movimientos!$R$5:$R$2001,0)),"-")</f>
        <v>-</v>
      </c>
      <c r="F764" s="3" t="str">
        <f>IFERROR(INDEX(Movimientos!$G$5:$G$2001,MATCH(A764&amp;"ENTRADA",Movimientos!$R$5:$R$2001,0)),"-")</f>
        <v>-</v>
      </c>
      <c r="G764" s="3" t="str">
        <f>IFERROR(INDEX(Movimientos!$L$5:$L$2001,MATCH(A764&amp;"ENTRADA",Movimientos!$R$5:$R$2001,0)),"-")</f>
        <v>-</v>
      </c>
      <c r="H764" s="19" t="str">
        <f>IFERROR(IF(INDEX(Movimientos!$M$5:$M$2001,MATCH(A764&amp;"ENTRADA",Movimientos!$R$5:$R$2001,0))=0,"S/D",INDEX(Movimientos!$M$5:$M$2001,MATCH(A764&amp;"ENTRADA",Movimientos!$R$5:$R$2001,0))),"S/D")</f>
        <v>S/D</v>
      </c>
      <c r="I764" s="16" t="str">
        <f t="shared" ca="1" si="24"/>
        <v>S/D</v>
      </c>
      <c r="J764" s="6">
        <f>IF(A764="","",SUMIFS(Movimientos!$K:$K,Movimientos!$H:$H,A764))</f>
        <v>0</v>
      </c>
      <c r="K764" s="14" t="str">
        <f t="shared" ca="1" si="25"/>
        <v>OK</v>
      </c>
    </row>
    <row r="765" spans="1:11">
      <c r="A765" s="18" t="s">
        <v>2826</v>
      </c>
      <c r="B765" s="3" t="str">
        <f>IFERROR(INDEX(Movimientos!$C$5:$C$2001,MATCH(A765&amp;"ENTRADA",Movimientos!$R$5:$R$2001,0)),"-")</f>
        <v>-</v>
      </c>
      <c r="C765" s="3" t="str">
        <f>IFERROR(INDEX(Movimientos!$D$5:$D$2001,MATCH(A765&amp;"ENTRADA",Movimientos!$R$5:$R$2001,0)),"-")</f>
        <v>-</v>
      </c>
      <c r="D765" s="3" t="str">
        <f>IFERROR(INDEX(Movimientos!$E$5:$E$2001,MATCH(A765&amp;"ENTRADA",Movimientos!$R$5:$R$2001,0)),"-")</f>
        <v>-</v>
      </c>
      <c r="E765" s="3" t="str">
        <f>IFERROR(INDEX(Movimientos!$F$5:$F$2001,MATCH(A765&amp;"ENTRADA",Movimientos!$R$5:$R$2001,0)),"-")</f>
        <v>-</v>
      </c>
      <c r="F765" s="3" t="str">
        <f>IFERROR(INDEX(Movimientos!$G$5:$G$2001,MATCH(A765&amp;"ENTRADA",Movimientos!$R$5:$R$2001,0)),"-")</f>
        <v>-</v>
      </c>
      <c r="G765" s="3" t="str">
        <f>IFERROR(INDEX(Movimientos!$L$5:$L$2001,MATCH(A765&amp;"ENTRADA",Movimientos!$R$5:$R$2001,0)),"-")</f>
        <v>-</v>
      </c>
      <c r="H765" s="19" t="str">
        <f>IFERROR(IF(INDEX(Movimientos!$M$5:$M$2001,MATCH(A765&amp;"ENTRADA",Movimientos!$R$5:$R$2001,0))=0,"S/D",INDEX(Movimientos!$M$5:$M$2001,MATCH(A765&amp;"ENTRADA",Movimientos!$R$5:$R$2001,0))),"S/D")</f>
        <v>S/D</v>
      </c>
      <c r="I765" s="16" t="str">
        <f t="shared" ca="1" si="24"/>
        <v>S/D</v>
      </c>
      <c r="J765" s="6">
        <f>IF(A765="","",SUMIFS(Movimientos!$K:$K,Movimientos!$H:$H,A765))</f>
        <v>0</v>
      </c>
      <c r="K765" s="14" t="str">
        <f t="shared" ca="1" si="25"/>
        <v>OK</v>
      </c>
    </row>
    <row r="766" spans="1:11">
      <c r="A766" s="18" t="s">
        <v>2827</v>
      </c>
      <c r="B766" s="3" t="str">
        <f>IFERROR(INDEX(Movimientos!$C$5:$C$2001,MATCH(A766&amp;"ENTRADA",Movimientos!$R$5:$R$2001,0)),"-")</f>
        <v>-</v>
      </c>
      <c r="C766" s="3" t="str">
        <f>IFERROR(INDEX(Movimientos!$D$5:$D$2001,MATCH(A766&amp;"ENTRADA",Movimientos!$R$5:$R$2001,0)),"-")</f>
        <v>-</v>
      </c>
      <c r="D766" s="3" t="str">
        <f>IFERROR(INDEX(Movimientos!$E$5:$E$2001,MATCH(A766&amp;"ENTRADA",Movimientos!$R$5:$R$2001,0)),"-")</f>
        <v>-</v>
      </c>
      <c r="E766" s="3" t="str">
        <f>IFERROR(INDEX(Movimientos!$F$5:$F$2001,MATCH(A766&amp;"ENTRADA",Movimientos!$R$5:$R$2001,0)),"-")</f>
        <v>-</v>
      </c>
      <c r="F766" s="3" t="str">
        <f>IFERROR(INDEX(Movimientos!$G$5:$G$2001,MATCH(A766&amp;"ENTRADA",Movimientos!$R$5:$R$2001,0)),"-")</f>
        <v>-</v>
      </c>
      <c r="G766" s="3" t="str">
        <f>IFERROR(INDEX(Movimientos!$L$5:$L$2001,MATCH(A766&amp;"ENTRADA",Movimientos!$R$5:$R$2001,0)),"-")</f>
        <v>-</v>
      </c>
      <c r="H766" s="19" t="str">
        <f>IFERROR(IF(INDEX(Movimientos!$M$5:$M$2001,MATCH(A766&amp;"ENTRADA",Movimientos!$R$5:$R$2001,0))=0,"S/D",INDEX(Movimientos!$M$5:$M$2001,MATCH(A766&amp;"ENTRADA",Movimientos!$R$5:$R$2001,0))),"S/D")</f>
        <v>S/D</v>
      </c>
      <c r="I766" s="16" t="str">
        <f t="shared" ca="1" si="24"/>
        <v>S/D</v>
      </c>
      <c r="J766" s="6">
        <f>IF(A766="","",SUMIFS(Movimientos!$K:$K,Movimientos!$H:$H,A766))</f>
        <v>0</v>
      </c>
      <c r="K766" s="14" t="str">
        <f t="shared" ca="1" si="25"/>
        <v>OK</v>
      </c>
    </row>
    <row r="767" spans="1:11">
      <c r="A767" s="18" t="s">
        <v>2828</v>
      </c>
      <c r="B767" s="3" t="str">
        <f>IFERROR(INDEX(Movimientos!$C$5:$C$2001,MATCH(A767&amp;"ENTRADA",Movimientos!$R$5:$R$2001,0)),"-")</f>
        <v>-</v>
      </c>
      <c r="C767" s="3" t="str">
        <f>IFERROR(INDEX(Movimientos!$D$5:$D$2001,MATCH(A767&amp;"ENTRADA",Movimientos!$R$5:$R$2001,0)),"-")</f>
        <v>-</v>
      </c>
      <c r="D767" s="3" t="str">
        <f>IFERROR(INDEX(Movimientos!$E$5:$E$2001,MATCH(A767&amp;"ENTRADA",Movimientos!$R$5:$R$2001,0)),"-")</f>
        <v>-</v>
      </c>
      <c r="E767" s="3" t="str">
        <f>IFERROR(INDEX(Movimientos!$F$5:$F$2001,MATCH(A767&amp;"ENTRADA",Movimientos!$R$5:$R$2001,0)),"-")</f>
        <v>-</v>
      </c>
      <c r="F767" s="3" t="str">
        <f>IFERROR(INDEX(Movimientos!$G$5:$G$2001,MATCH(A767&amp;"ENTRADA",Movimientos!$R$5:$R$2001,0)),"-")</f>
        <v>-</v>
      </c>
      <c r="G767" s="3" t="str">
        <f>IFERROR(INDEX(Movimientos!$L$5:$L$2001,MATCH(A767&amp;"ENTRADA",Movimientos!$R$5:$R$2001,0)),"-")</f>
        <v>-</v>
      </c>
      <c r="H767" s="19" t="str">
        <f>IFERROR(IF(INDEX(Movimientos!$M$5:$M$2001,MATCH(A767&amp;"ENTRADA",Movimientos!$R$5:$R$2001,0))=0,"S/D",INDEX(Movimientos!$M$5:$M$2001,MATCH(A767&amp;"ENTRADA",Movimientos!$R$5:$R$2001,0))),"S/D")</f>
        <v>S/D</v>
      </c>
      <c r="I767" s="16" t="str">
        <f t="shared" ca="1" si="24"/>
        <v>S/D</v>
      </c>
      <c r="J767" s="6">
        <f>IF(A767="","",SUMIFS(Movimientos!$K:$K,Movimientos!$H:$H,A767))</f>
        <v>0</v>
      </c>
      <c r="K767" s="14" t="str">
        <f t="shared" ca="1" si="25"/>
        <v>OK</v>
      </c>
    </row>
    <row r="768" spans="1:11">
      <c r="A768" s="18" t="s">
        <v>2829</v>
      </c>
      <c r="B768" s="3" t="str">
        <f>IFERROR(INDEX(Movimientos!$C$5:$C$2001,MATCH(A768&amp;"ENTRADA",Movimientos!$R$5:$R$2001,0)),"-")</f>
        <v>-</v>
      </c>
      <c r="C768" s="3" t="str">
        <f>IFERROR(INDEX(Movimientos!$D$5:$D$2001,MATCH(A768&amp;"ENTRADA",Movimientos!$R$5:$R$2001,0)),"-")</f>
        <v>-</v>
      </c>
      <c r="D768" s="3" t="str">
        <f>IFERROR(INDEX(Movimientos!$E$5:$E$2001,MATCH(A768&amp;"ENTRADA",Movimientos!$R$5:$R$2001,0)),"-")</f>
        <v>-</v>
      </c>
      <c r="E768" s="3" t="str">
        <f>IFERROR(INDEX(Movimientos!$F$5:$F$2001,MATCH(A768&amp;"ENTRADA",Movimientos!$R$5:$R$2001,0)),"-")</f>
        <v>-</v>
      </c>
      <c r="F768" s="3" t="str">
        <f>IFERROR(INDEX(Movimientos!$G$5:$G$2001,MATCH(A768&amp;"ENTRADA",Movimientos!$R$5:$R$2001,0)),"-")</f>
        <v>-</v>
      </c>
      <c r="G768" s="3" t="str">
        <f>IFERROR(INDEX(Movimientos!$L$5:$L$2001,MATCH(A768&amp;"ENTRADA",Movimientos!$R$5:$R$2001,0)),"-")</f>
        <v>-</v>
      </c>
      <c r="H768" s="19" t="str">
        <f>IFERROR(IF(INDEX(Movimientos!$M$5:$M$2001,MATCH(A768&amp;"ENTRADA",Movimientos!$R$5:$R$2001,0))=0,"S/D",INDEX(Movimientos!$M$5:$M$2001,MATCH(A768&amp;"ENTRADA",Movimientos!$R$5:$R$2001,0))),"S/D")</f>
        <v>S/D</v>
      </c>
      <c r="I768" s="16" t="str">
        <f t="shared" ca="1" si="24"/>
        <v>S/D</v>
      </c>
      <c r="J768" s="6">
        <f>IF(A768="","",SUMIFS(Movimientos!$K:$K,Movimientos!$H:$H,A768))</f>
        <v>0</v>
      </c>
      <c r="K768" s="14" t="str">
        <f t="shared" ca="1" si="25"/>
        <v>OK</v>
      </c>
    </row>
    <row r="769" spans="1:11">
      <c r="A769" s="18" t="s">
        <v>2830</v>
      </c>
      <c r="B769" s="3" t="str">
        <f>IFERROR(INDEX(Movimientos!$C$5:$C$2001,MATCH(A769&amp;"ENTRADA",Movimientos!$R$5:$R$2001,0)),"-")</f>
        <v>-</v>
      </c>
      <c r="C769" s="3" t="str">
        <f>IFERROR(INDEX(Movimientos!$D$5:$D$2001,MATCH(A769&amp;"ENTRADA",Movimientos!$R$5:$R$2001,0)),"-")</f>
        <v>-</v>
      </c>
      <c r="D769" s="3" t="str">
        <f>IFERROR(INDEX(Movimientos!$E$5:$E$2001,MATCH(A769&amp;"ENTRADA",Movimientos!$R$5:$R$2001,0)),"-")</f>
        <v>-</v>
      </c>
      <c r="E769" s="3" t="str">
        <f>IFERROR(INDEX(Movimientos!$F$5:$F$2001,MATCH(A769&amp;"ENTRADA",Movimientos!$R$5:$R$2001,0)),"-")</f>
        <v>-</v>
      </c>
      <c r="F769" s="3" t="str">
        <f>IFERROR(INDEX(Movimientos!$G$5:$G$2001,MATCH(A769&amp;"ENTRADA",Movimientos!$R$5:$R$2001,0)),"-")</f>
        <v>-</v>
      </c>
      <c r="G769" s="3" t="str">
        <f>IFERROR(INDEX(Movimientos!$L$5:$L$2001,MATCH(A769&amp;"ENTRADA",Movimientos!$R$5:$R$2001,0)),"-")</f>
        <v>-</v>
      </c>
      <c r="H769" s="19" t="str">
        <f>IFERROR(IF(INDEX(Movimientos!$M$5:$M$2001,MATCH(A769&amp;"ENTRADA",Movimientos!$R$5:$R$2001,0))=0,"S/D",INDEX(Movimientos!$M$5:$M$2001,MATCH(A769&amp;"ENTRADA",Movimientos!$R$5:$R$2001,0))),"S/D")</f>
        <v>S/D</v>
      </c>
      <c r="I769" s="16" t="str">
        <f t="shared" ca="1" si="24"/>
        <v>S/D</v>
      </c>
      <c r="J769" s="6">
        <f>IF(A769="","",SUMIFS(Movimientos!$K:$K,Movimientos!$H:$H,A769))</f>
        <v>0</v>
      </c>
      <c r="K769" s="14" t="str">
        <f t="shared" ca="1" si="25"/>
        <v>OK</v>
      </c>
    </row>
    <row r="770" spans="1:11">
      <c r="A770" s="18" t="s">
        <v>2831</v>
      </c>
      <c r="B770" s="3" t="str">
        <f>IFERROR(INDEX(Movimientos!$C$5:$C$2001,MATCH(A770&amp;"ENTRADA",Movimientos!$R$5:$R$2001,0)),"-")</f>
        <v>-</v>
      </c>
      <c r="C770" s="3" t="str">
        <f>IFERROR(INDEX(Movimientos!$D$5:$D$2001,MATCH(A770&amp;"ENTRADA",Movimientos!$R$5:$R$2001,0)),"-")</f>
        <v>-</v>
      </c>
      <c r="D770" s="3" t="str">
        <f>IFERROR(INDEX(Movimientos!$E$5:$E$2001,MATCH(A770&amp;"ENTRADA",Movimientos!$R$5:$R$2001,0)),"-")</f>
        <v>-</v>
      </c>
      <c r="E770" s="3" t="str">
        <f>IFERROR(INDEX(Movimientos!$F$5:$F$2001,MATCH(A770&amp;"ENTRADA",Movimientos!$R$5:$R$2001,0)),"-")</f>
        <v>-</v>
      </c>
      <c r="F770" s="3" t="str">
        <f>IFERROR(INDEX(Movimientos!$G$5:$G$2001,MATCH(A770&amp;"ENTRADA",Movimientos!$R$5:$R$2001,0)),"-")</f>
        <v>-</v>
      </c>
      <c r="G770" s="3" t="str">
        <f>IFERROR(INDEX(Movimientos!$L$5:$L$2001,MATCH(A770&amp;"ENTRADA",Movimientos!$R$5:$R$2001,0)),"-")</f>
        <v>-</v>
      </c>
      <c r="H770" s="19" t="str">
        <f>IFERROR(IF(INDEX(Movimientos!$M$5:$M$2001,MATCH(A770&amp;"ENTRADA",Movimientos!$R$5:$R$2001,0))=0,"S/D",INDEX(Movimientos!$M$5:$M$2001,MATCH(A770&amp;"ENTRADA",Movimientos!$R$5:$R$2001,0))),"S/D")</f>
        <v>S/D</v>
      </c>
      <c r="I770" s="16" t="str">
        <f t="shared" ca="1" si="24"/>
        <v>S/D</v>
      </c>
      <c r="J770" s="6">
        <f>IF(A770="","",SUMIFS(Movimientos!$K:$K,Movimientos!$H:$H,A770))</f>
        <v>0</v>
      </c>
      <c r="K770" s="14" t="str">
        <f t="shared" ca="1" si="25"/>
        <v>OK</v>
      </c>
    </row>
    <row r="771" spans="1:11">
      <c r="A771" s="18" t="s">
        <v>2832</v>
      </c>
      <c r="B771" s="3" t="str">
        <f>IFERROR(INDEX(Movimientos!$C$5:$C$2001,MATCH(A771&amp;"ENTRADA",Movimientos!$R$5:$R$2001,0)),"-")</f>
        <v>-</v>
      </c>
      <c r="C771" s="3" t="str">
        <f>IFERROR(INDEX(Movimientos!$D$5:$D$2001,MATCH(A771&amp;"ENTRADA",Movimientos!$R$5:$R$2001,0)),"-")</f>
        <v>-</v>
      </c>
      <c r="D771" s="3" t="str">
        <f>IFERROR(INDEX(Movimientos!$E$5:$E$2001,MATCH(A771&amp;"ENTRADA",Movimientos!$R$5:$R$2001,0)),"-")</f>
        <v>-</v>
      </c>
      <c r="E771" s="3" t="str">
        <f>IFERROR(INDEX(Movimientos!$F$5:$F$2001,MATCH(A771&amp;"ENTRADA",Movimientos!$R$5:$R$2001,0)),"-")</f>
        <v>-</v>
      </c>
      <c r="F771" s="3" t="str">
        <f>IFERROR(INDEX(Movimientos!$G$5:$G$2001,MATCH(A771&amp;"ENTRADA",Movimientos!$R$5:$R$2001,0)),"-")</f>
        <v>-</v>
      </c>
      <c r="G771" s="3" t="str">
        <f>IFERROR(INDEX(Movimientos!$L$5:$L$2001,MATCH(A771&amp;"ENTRADA",Movimientos!$R$5:$R$2001,0)),"-")</f>
        <v>-</v>
      </c>
      <c r="H771" s="19" t="str">
        <f>IFERROR(IF(INDEX(Movimientos!$M$5:$M$2001,MATCH(A771&amp;"ENTRADA",Movimientos!$R$5:$R$2001,0))=0,"S/D",INDEX(Movimientos!$M$5:$M$2001,MATCH(A771&amp;"ENTRADA",Movimientos!$R$5:$R$2001,0))),"S/D")</f>
        <v>S/D</v>
      </c>
      <c r="I771" s="16" t="str">
        <f t="shared" ca="1" si="24"/>
        <v>S/D</v>
      </c>
      <c r="J771" s="6">
        <f>IF(A771="","",SUMIFS(Movimientos!$K:$K,Movimientos!$H:$H,A771))</f>
        <v>0</v>
      </c>
      <c r="K771" s="14" t="str">
        <f t="shared" ca="1" si="25"/>
        <v>OK</v>
      </c>
    </row>
    <row r="772" spans="1:11">
      <c r="A772" s="18" t="s">
        <v>2833</v>
      </c>
      <c r="B772" s="3" t="str">
        <f>IFERROR(INDEX(Movimientos!$C$5:$C$2001,MATCH(A772&amp;"ENTRADA",Movimientos!$R$5:$R$2001,0)),"-")</f>
        <v>-</v>
      </c>
      <c r="C772" s="3" t="str">
        <f>IFERROR(INDEX(Movimientos!$D$5:$D$2001,MATCH(A772&amp;"ENTRADA",Movimientos!$R$5:$R$2001,0)),"-")</f>
        <v>-</v>
      </c>
      <c r="D772" s="3" t="str">
        <f>IFERROR(INDEX(Movimientos!$E$5:$E$2001,MATCH(A772&amp;"ENTRADA",Movimientos!$R$5:$R$2001,0)),"-")</f>
        <v>-</v>
      </c>
      <c r="E772" s="3" t="str">
        <f>IFERROR(INDEX(Movimientos!$F$5:$F$2001,MATCH(A772&amp;"ENTRADA",Movimientos!$R$5:$R$2001,0)),"-")</f>
        <v>-</v>
      </c>
      <c r="F772" s="3" t="str">
        <f>IFERROR(INDEX(Movimientos!$G$5:$G$2001,MATCH(A772&amp;"ENTRADA",Movimientos!$R$5:$R$2001,0)),"-")</f>
        <v>-</v>
      </c>
      <c r="G772" s="3" t="str">
        <f>IFERROR(INDEX(Movimientos!$L$5:$L$2001,MATCH(A772&amp;"ENTRADA",Movimientos!$R$5:$R$2001,0)),"-")</f>
        <v>-</v>
      </c>
      <c r="H772" s="19" t="str">
        <f>IFERROR(IF(INDEX(Movimientos!$M$5:$M$2001,MATCH(A772&amp;"ENTRADA",Movimientos!$R$5:$R$2001,0))=0,"S/D",INDEX(Movimientos!$M$5:$M$2001,MATCH(A772&amp;"ENTRADA",Movimientos!$R$5:$R$2001,0))),"S/D")</f>
        <v>S/D</v>
      </c>
      <c r="I772" s="16" t="str">
        <f t="shared" ca="1" si="24"/>
        <v>S/D</v>
      </c>
      <c r="J772" s="6">
        <f>IF(A772="","",SUMIFS(Movimientos!$K:$K,Movimientos!$H:$H,A772))</f>
        <v>0</v>
      </c>
      <c r="K772" s="14" t="str">
        <f t="shared" ca="1" si="25"/>
        <v>OK</v>
      </c>
    </row>
    <row r="773" spans="1:11">
      <c r="A773" s="18" t="s">
        <v>2834</v>
      </c>
      <c r="B773" s="3" t="str">
        <f>IFERROR(INDEX(Movimientos!$C$5:$C$2001,MATCH(A773&amp;"ENTRADA",Movimientos!$R$5:$R$2001,0)),"-")</f>
        <v>-</v>
      </c>
      <c r="C773" s="3" t="str">
        <f>IFERROR(INDEX(Movimientos!$D$5:$D$2001,MATCH(A773&amp;"ENTRADA",Movimientos!$R$5:$R$2001,0)),"-")</f>
        <v>-</v>
      </c>
      <c r="D773" s="3" t="str">
        <f>IFERROR(INDEX(Movimientos!$E$5:$E$2001,MATCH(A773&amp;"ENTRADA",Movimientos!$R$5:$R$2001,0)),"-")</f>
        <v>-</v>
      </c>
      <c r="E773" s="3" t="str">
        <f>IFERROR(INDEX(Movimientos!$F$5:$F$2001,MATCH(A773&amp;"ENTRADA",Movimientos!$R$5:$R$2001,0)),"-")</f>
        <v>-</v>
      </c>
      <c r="F773" s="3" t="str">
        <f>IFERROR(INDEX(Movimientos!$G$5:$G$2001,MATCH(A773&amp;"ENTRADA",Movimientos!$R$5:$R$2001,0)),"-")</f>
        <v>-</v>
      </c>
      <c r="G773" s="3" t="str">
        <f>IFERROR(INDEX(Movimientos!$L$5:$L$2001,MATCH(A773&amp;"ENTRADA",Movimientos!$R$5:$R$2001,0)),"-")</f>
        <v>-</v>
      </c>
      <c r="H773" s="19" t="str">
        <f>IFERROR(IF(INDEX(Movimientos!$M$5:$M$2001,MATCH(A773&amp;"ENTRADA",Movimientos!$R$5:$R$2001,0))=0,"S/D",INDEX(Movimientos!$M$5:$M$2001,MATCH(A773&amp;"ENTRADA",Movimientos!$R$5:$R$2001,0))),"S/D")</f>
        <v>S/D</v>
      </c>
      <c r="I773" s="16" t="str">
        <f t="shared" ca="1" si="24"/>
        <v>S/D</v>
      </c>
      <c r="J773" s="6">
        <f>IF(A773="","",SUMIFS(Movimientos!$K:$K,Movimientos!$H:$H,A773))</f>
        <v>0</v>
      </c>
      <c r="K773" s="14" t="str">
        <f t="shared" ca="1" si="25"/>
        <v>OK</v>
      </c>
    </row>
    <row r="774" spans="1:11">
      <c r="A774" s="18" t="s">
        <v>2835</v>
      </c>
      <c r="B774" s="3" t="str">
        <f>IFERROR(INDEX(Movimientos!$C$5:$C$2001,MATCH(A774&amp;"ENTRADA",Movimientos!$R$5:$R$2001,0)),"-")</f>
        <v>-</v>
      </c>
      <c r="C774" s="3" t="str">
        <f>IFERROR(INDEX(Movimientos!$D$5:$D$2001,MATCH(A774&amp;"ENTRADA",Movimientos!$R$5:$R$2001,0)),"-")</f>
        <v>-</v>
      </c>
      <c r="D774" s="3" t="str">
        <f>IFERROR(INDEX(Movimientos!$E$5:$E$2001,MATCH(A774&amp;"ENTRADA",Movimientos!$R$5:$R$2001,0)),"-")</f>
        <v>-</v>
      </c>
      <c r="E774" s="3" t="str">
        <f>IFERROR(INDEX(Movimientos!$F$5:$F$2001,MATCH(A774&amp;"ENTRADA",Movimientos!$R$5:$R$2001,0)),"-")</f>
        <v>-</v>
      </c>
      <c r="F774" s="3" t="str">
        <f>IFERROR(INDEX(Movimientos!$G$5:$G$2001,MATCH(A774&amp;"ENTRADA",Movimientos!$R$5:$R$2001,0)),"-")</f>
        <v>-</v>
      </c>
      <c r="G774" s="3" t="str">
        <f>IFERROR(INDEX(Movimientos!$L$5:$L$2001,MATCH(A774&amp;"ENTRADA",Movimientos!$R$5:$R$2001,0)),"-")</f>
        <v>-</v>
      </c>
      <c r="H774" s="19" t="str">
        <f>IFERROR(IF(INDEX(Movimientos!$M$5:$M$2001,MATCH(A774&amp;"ENTRADA",Movimientos!$R$5:$R$2001,0))=0,"S/D",INDEX(Movimientos!$M$5:$M$2001,MATCH(A774&amp;"ENTRADA",Movimientos!$R$5:$R$2001,0))),"S/D")</f>
        <v>S/D</v>
      </c>
      <c r="I774" s="16" t="str">
        <f t="shared" ca="1" si="24"/>
        <v>S/D</v>
      </c>
      <c r="J774" s="6">
        <f>IF(A774="","",SUMIFS(Movimientos!$K:$K,Movimientos!$H:$H,A774))</f>
        <v>0</v>
      </c>
      <c r="K774" s="14" t="str">
        <f t="shared" ca="1" si="25"/>
        <v>OK</v>
      </c>
    </row>
    <row r="775" spans="1:11">
      <c r="A775" s="18" t="s">
        <v>2836</v>
      </c>
      <c r="B775" s="3" t="str">
        <f>IFERROR(INDEX(Movimientos!$C$5:$C$2001,MATCH(A775&amp;"ENTRADA",Movimientos!$R$5:$R$2001,0)),"-")</f>
        <v>-</v>
      </c>
      <c r="C775" s="3" t="str">
        <f>IFERROR(INDEX(Movimientos!$D$5:$D$2001,MATCH(A775&amp;"ENTRADA",Movimientos!$R$5:$R$2001,0)),"-")</f>
        <v>-</v>
      </c>
      <c r="D775" s="3" t="str">
        <f>IFERROR(INDEX(Movimientos!$E$5:$E$2001,MATCH(A775&amp;"ENTRADA",Movimientos!$R$5:$R$2001,0)),"-")</f>
        <v>-</v>
      </c>
      <c r="E775" s="3" t="str">
        <f>IFERROR(INDEX(Movimientos!$F$5:$F$2001,MATCH(A775&amp;"ENTRADA",Movimientos!$R$5:$R$2001,0)),"-")</f>
        <v>-</v>
      </c>
      <c r="F775" s="3" t="str">
        <f>IFERROR(INDEX(Movimientos!$G$5:$G$2001,MATCH(A775&amp;"ENTRADA",Movimientos!$R$5:$R$2001,0)),"-")</f>
        <v>-</v>
      </c>
      <c r="G775" s="3" t="str">
        <f>IFERROR(INDEX(Movimientos!$L$5:$L$2001,MATCH(A775&amp;"ENTRADA",Movimientos!$R$5:$R$2001,0)),"-")</f>
        <v>-</v>
      </c>
      <c r="H775" s="19" t="str">
        <f>IFERROR(IF(INDEX(Movimientos!$M$5:$M$2001,MATCH(A775&amp;"ENTRADA",Movimientos!$R$5:$R$2001,0))=0,"S/D",INDEX(Movimientos!$M$5:$M$2001,MATCH(A775&amp;"ENTRADA",Movimientos!$R$5:$R$2001,0))),"S/D")</f>
        <v>S/D</v>
      </c>
      <c r="I775" s="16" t="str">
        <f t="shared" ca="1" si="24"/>
        <v>S/D</v>
      </c>
      <c r="J775" s="6">
        <f>IF(A775="","",SUMIFS(Movimientos!$K:$K,Movimientos!$H:$H,A775))</f>
        <v>0</v>
      </c>
      <c r="K775" s="14" t="str">
        <f t="shared" ca="1" si="25"/>
        <v>OK</v>
      </c>
    </row>
    <row r="776" spans="1:11">
      <c r="A776" s="18" t="s">
        <v>2837</v>
      </c>
      <c r="B776" s="3" t="str">
        <f>IFERROR(INDEX(Movimientos!$C$5:$C$2001,MATCH(A776&amp;"ENTRADA",Movimientos!$R$5:$R$2001,0)),"-")</f>
        <v>-</v>
      </c>
      <c r="C776" s="3" t="str">
        <f>IFERROR(INDEX(Movimientos!$D$5:$D$2001,MATCH(A776&amp;"ENTRADA",Movimientos!$R$5:$R$2001,0)),"-")</f>
        <v>-</v>
      </c>
      <c r="D776" s="3" t="str">
        <f>IFERROR(INDEX(Movimientos!$E$5:$E$2001,MATCH(A776&amp;"ENTRADA",Movimientos!$R$5:$R$2001,0)),"-")</f>
        <v>-</v>
      </c>
      <c r="E776" s="3" t="str">
        <f>IFERROR(INDEX(Movimientos!$F$5:$F$2001,MATCH(A776&amp;"ENTRADA",Movimientos!$R$5:$R$2001,0)),"-")</f>
        <v>-</v>
      </c>
      <c r="F776" s="3" t="str">
        <f>IFERROR(INDEX(Movimientos!$G$5:$G$2001,MATCH(A776&amp;"ENTRADA",Movimientos!$R$5:$R$2001,0)),"-")</f>
        <v>-</v>
      </c>
      <c r="G776" s="3" t="str">
        <f>IFERROR(INDEX(Movimientos!$L$5:$L$2001,MATCH(A776&amp;"ENTRADA",Movimientos!$R$5:$R$2001,0)),"-")</f>
        <v>-</v>
      </c>
      <c r="H776" s="19" t="str">
        <f>IFERROR(IF(INDEX(Movimientos!$M$5:$M$2001,MATCH(A776&amp;"ENTRADA",Movimientos!$R$5:$R$2001,0))=0,"S/D",INDEX(Movimientos!$M$5:$M$2001,MATCH(A776&amp;"ENTRADA",Movimientos!$R$5:$R$2001,0))),"S/D")</f>
        <v>S/D</v>
      </c>
      <c r="I776" s="16" t="str">
        <f t="shared" ca="1" si="24"/>
        <v>S/D</v>
      </c>
      <c r="J776" s="6">
        <f>IF(A776="","",SUMIFS(Movimientos!$K:$K,Movimientos!$H:$H,A776))</f>
        <v>0</v>
      </c>
      <c r="K776" s="14" t="str">
        <f t="shared" ca="1" si="25"/>
        <v>OK</v>
      </c>
    </row>
    <row r="777" spans="1:11">
      <c r="A777" s="18" t="s">
        <v>2838</v>
      </c>
      <c r="B777" s="3" t="str">
        <f>IFERROR(INDEX(Movimientos!$C$5:$C$2001,MATCH(A777&amp;"ENTRADA",Movimientos!$R$5:$R$2001,0)),"-")</f>
        <v>-</v>
      </c>
      <c r="C777" s="3" t="str">
        <f>IFERROR(INDEX(Movimientos!$D$5:$D$2001,MATCH(A777&amp;"ENTRADA",Movimientos!$R$5:$R$2001,0)),"-")</f>
        <v>-</v>
      </c>
      <c r="D777" s="3" t="str">
        <f>IFERROR(INDEX(Movimientos!$E$5:$E$2001,MATCH(A777&amp;"ENTRADA",Movimientos!$R$5:$R$2001,0)),"-")</f>
        <v>-</v>
      </c>
      <c r="E777" s="3" t="str">
        <f>IFERROR(INDEX(Movimientos!$F$5:$F$2001,MATCH(A777&amp;"ENTRADA",Movimientos!$R$5:$R$2001,0)),"-")</f>
        <v>-</v>
      </c>
      <c r="F777" s="3" t="str">
        <f>IFERROR(INDEX(Movimientos!$G$5:$G$2001,MATCH(A777&amp;"ENTRADA",Movimientos!$R$5:$R$2001,0)),"-")</f>
        <v>-</v>
      </c>
      <c r="G777" s="3" t="str">
        <f>IFERROR(INDEX(Movimientos!$L$5:$L$2001,MATCH(A777&amp;"ENTRADA",Movimientos!$R$5:$R$2001,0)),"-")</f>
        <v>-</v>
      </c>
      <c r="H777" s="19" t="str">
        <f>IFERROR(IF(INDEX(Movimientos!$M$5:$M$2001,MATCH(A777&amp;"ENTRADA",Movimientos!$R$5:$R$2001,0))=0,"S/D",INDEX(Movimientos!$M$5:$M$2001,MATCH(A777&amp;"ENTRADA",Movimientos!$R$5:$R$2001,0))),"S/D")</f>
        <v>S/D</v>
      </c>
      <c r="I777" s="16" t="str">
        <f t="shared" ca="1" si="24"/>
        <v>S/D</v>
      </c>
      <c r="J777" s="6">
        <f>IF(A777="","",SUMIFS(Movimientos!$K:$K,Movimientos!$H:$H,A777))</f>
        <v>0</v>
      </c>
      <c r="K777" s="14" t="str">
        <f t="shared" ca="1" si="25"/>
        <v>OK</v>
      </c>
    </row>
    <row r="778" spans="1:11">
      <c r="A778" s="18" t="s">
        <v>2839</v>
      </c>
      <c r="B778" s="3" t="str">
        <f>IFERROR(INDEX(Movimientos!$C$5:$C$2001,MATCH(A778&amp;"ENTRADA",Movimientos!$R$5:$R$2001,0)),"-")</f>
        <v>-</v>
      </c>
      <c r="C778" s="3" t="str">
        <f>IFERROR(INDEX(Movimientos!$D$5:$D$2001,MATCH(A778&amp;"ENTRADA",Movimientos!$R$5:$R$2001,0)),"-")</f>
        <v>-</v>
      </c>
      <c r="D778" s="3" t="str">
        <f>IFERROR(INDEX(Movimientos!$E$5:$E$2001,MATCH(A778&amp;"ENTRADA",Movimientos!$R$5:$R$2001,0)),"-")</f>
        <v>-</v>
      </c>
      <c r="E778" s="3" t="str">
        <f>IFERROR(INDEX(Movimientos!$F$5:$F$2001,MATCH(A778&amp;"ENTRADA",Movimientos!$R$5:$R$2001,0)),"-")</f>
        <v>-</v>
      </c>
      <c r="F778" s="3" t="str">
        <f>IFERROR(INDEX(Movimientos!$G$5:$G$2001,MATCH(A778&amp;"ENTRADA",Movimientos!$R$5:$R$2001,0)),"-")</f>
        <v>-</v>
      </c>
      <c r="G778" s="3" t="str">
        <f>IFERROR(INDEX(Movimientos!$L$5:$L$2001,MATCH(A778&amp;"ENTRADA",Movimientos!$R$5:$R$2001,0)),"-")</f>
        <v>-</v>
      </c>
      <c r="H778" s="19" t="str">
        <f>IFERROR(IF(INDEX(Movimientos!$M$5:$M$2001,MATCH(A778&amp;"ENTRADA",Movimientos!$R$5:$R$2001,0))=0,"S/D",INDEX(Movimientos!$M$5:$M$2001,MATCH(A778&amp;"ENTRADA",Movimientos!$R$5:$R$2001,0))),"S/D")</f>
        <v>S/D</v>
      </c>
      <c r="I778" s="16" t="str">
        <f t="shared" ca="1" si="24"/>
        <v>S/D</v>
      </c>
      <c r="J778" s="6">
        <f>IF(A778="","",SUMIFS(Movimientos!$K:$K,Movimientos!$H:$H,A778))</f>
        <v>0</v>
      </c>
      <c r="K778" s="14" t="str">
        <f t="shared" ca="1" si="25"/>
        <v>OK</v>
      </c>
    </row>
    <row r="779" spans="1:11">
      <c r="A779" s="18" t="s">
        <v>2840</v>
      </c>
      <c r="B779" s="3" t="str">
        <f>IFERROR(INDEX(Movimientos!$C$5:$C$2001,MATCH(A779&amp;"ENTRADA",Movimientos!$R$5:$R$2001,0)),"-")</f>
        <v>-</v>
      </c>
      <c r="C779" s="3" t="str">
        <f>IFERROR(INDEX(Movimientos!$D$5:$D$2001,MATCH(A779&amp;"ENTRADA",Movimientos!$R$5:$R$2001,0)),"-")</f>
        <v>-</v>
      </c>
      <c r="D779" s="3" t="str">
        <f>IFERROR(INDEX(Movimientos!$E$5:$E$2001,MATCH(A779&amp;"ENTRADA",Movimientos!$R$5:$R$2001,0)),"-")</f>
        <v>-</v>
      </c>
      <c r="E779" s="3" t="str">
        <f>IFERROR(INDEX(Movimientos!$F$5:$F$2001,MATCH(A779&amp;"ENTRADA",Movimientos!$R$5:$R$2001,0)),"-")</f>
        <v>-</v>
      </c>
      <c r="F779" s="3" t="str">
        <f>IFERROR(INDEX(Movimientos!$G$5:$G$2001,MATCH(A779&amp;"ENTRADA",Movimientos!$R$5:$R$2001,0)),"-")</f>
        <v>-</v>
      </c>
      <c r="G779" s="3" t="str">
        <f>IFERROR(INDEX(Movimientos!$L$5:$L$2001,MATCH(A779&amp;"ENTRADA",Movimientos!$R$5:$R$2001,0)),"-")</f>
        <v>-</v>
      </c>
      <c r="H779" s="19" t="str">
        <f>IFERROR(IF(INDEX(Movimientos!$M$5:$M$2001,MATCH(A779&amp;"ENTRADA",Movimientos!$R$5:$R$2001,0))=0,"S/D",INDEX(Movimientos!$M$5:$M$2001,MATCH(A779&amp;"ENTRADA",Movimientos!$R$5:$R$2001,0))),"S/D")</f>
        <v>S/D</v>
      </c>
      <c r="I779" s="16" t="str">
        <f t="shared" ref="I779:I842" ca="1" si="26">IF(OR(A779="",H779="S/D"),"S/D",H779-TODAY())</f>
        <v>S/D</v>
      </c>
      <c r="J779" s="6">
        <f>IF(A779="","",SUMIFS(Movimientos!$K:$K,Movimientos!$H:$H,A779))</f>
        <v>0</v>
      </c>
      <c r="K779" s="14" t="str">
        <f t="shared" ref="K779:K842" ca="1" si="27">IF(A779="","",IF(H779="S/D","OK",IF(H779&lt;TODAY(),"VENCIDO",IF(J779&lt;=0,"SIN STOCK",IF(I779&gt;=180,"OK","PRÓXIMO A VENCER")))))</f>
        <v>OK</v>
      </c>
    </row>
    <row r="780" spans="1:11">
      <c r="A780" s="18" t="s">
        <v>2841</v>
      </c>
      <c r="B780" s="3" t="str">
        <f>IFERROR(INDEX(Movimientos!$C$5:$C$2001,MATCH(A780&amp;"ENTRADA",Movimientos!$R$5:$R$2001,0)),"-")</f>
        <v>-</v>
      </c>
      <c r="C780" s="3" t="str">
        <f>IFERROR(INDEX(Movimientos!$D$5:$D$2001,MATCH(A780&amp;"ENTRADA",Movimientos!$R$5:$R$2001,0)),"-")</f>
        <v>-</v>
      </c>
      <c r="D780" s="3" t="str">
        <f>IFERROR(INDEX(Movimientos!$E$5:$E$2001,MATCH(A780&amp;"ENTRADA",Movimientos!$R$5:$R$2001,0)),"-")</f>
        <v>-</v>
      </c>
      <c r="E780" s="3" t="str">
        <f>IFERROR(INDEX(Movimientos!$F$5:$F$2001,MATCH(A780&amp;"ENTRADA",Movimientos!$R$5:$R$2001,0)),"-")</f>
        <v>-</v>
      </c>
      <c r="F780" s="3" t="str">
        <f>IFERROR(INDEX(Movimientos!$G$5:$G$2001,MATCH(A780&amp;"ENTRADA",Movimientos!$R$5:$R$2001,0)),"-")</f>
        <v>-</v>
      </c>
      <c r="G780" s="3" t="str">
        <f>IFERROR(INDEX(Movimientos!$L$5:$L$2001,MATCH(A780&amp;"ENTRADA",Movimientos!$R$5:$R$2001,0)),"-")</f>
        <v>-</v>
      </c>
      <c r="H780" s="19" t="str">
        <f>IFERROR(IF(INDEX(Movimientos!$M$5:$M$2001,MATCH(A780&amp;"ENTRADA",Movimientos!$R$5:$R$2001,0))=0,"S/D",INDEX(Movimientos!$M$5:$M$2001,MATCH(A780&amp;"ENTRADA",Movimientos!$R$5:$R$2001,0))),"S/D")</f>
        <v>S/D</v>
      </c>
      <c r="I780" s="16" t="str">
        <f t="shared" ca="1" si="26"/>
        <v>S/D</v>
      </c>
      <c r="J780" s="6">
        <f>IF(A780="","",SUMIFS(Movimientos!$K:$K,Movimientos!$H:$H,A780))</f>
        <v>0</v>
      </c>
      <c r="K780" s="14" t="str">
        <f t="shared" ca="1" si="27"/>
        <v>OK</v>
      </c>
    </row>
    <row r="781" spans="1:11">
      <c r="A781" s="18" t="s">
        <v>2842</v>
      </c>
      <c r="B781" s="3" t="str">
        <f>IFERROR(INDEX(Movimientos!$C$5:$C$2001,MATCH(A781&amp;"ENTRADA",Movimientos!$R$5:$R$2001,0)),"-")</f>
        <v>-</v>
      </c>
      <c r="C781" s="3" t="str">
        <f>IFERROR(INDEX(Movimientos!$D$5:$D$2001,MATCH(A781&amp;"ENTRADA",Movimientos!$R$5:$R$2001,0)),"-")</f>
        <v>-</v>
      </c>
      <c r="D781" s="3" t="str">
        <f>IFERROR(INDEX(Movimientos!$E$5:$E$2001,MATCH(A781&amp;"ENTRADA",Movimientos!$R$5:$R$2001,0)),"-")</f>
        <v>-</v>
      </c>
      <c r="E781" s="3" t="str">
        <f>IFERROR(INDEX(Movimientos!$F$5:$F$2001,MATCH(A781&amp;"ENTRADA",Movimientos!$R$5:$R$2001,0)),"-")</f>
        <v>-</v>
      </c>
      <c r="F781" s="3" t="str">
        <f>IFERROR(INDEX(Movimientos!$G$5:$G$2001,MATCH(A781&amp;"ENTRADA",Movimientos!$R$5:$R$2001,0)),"-")</f>
        <v>-</v>
      </c>
      <c r="G781" s="3" t="str">
        <f>IFERROR(INDEX(Movimientos!$L$5:$L$2001,MATCH(A781&amp;"ENTRADA",Movimientos!$R$5:$R$2001,0)),"-")</f>
        <v>-</v>
      </c>
      <c r="H781" s="19" t="str">
        <f>IFERROR(IF(INDEX(Movimientos!$M$5:$M$2001,MATCH(A781&amp;"ENTRADA",Movimientos!$R$5:$R$2001,0))=0,"S/D",INDEX(Movimientos!$M$5:$M$2001,MATCH(A781&amp;"ENTRADA",Movimientos!$R$5:$R$2001,0))),"S/D")</f>
        <v>S/D</v>
      </c>
      <c r="I781" s="16" t="str">
        <f t="shared" ca="1" si="26"/>
        <v>S/D</v>
      </c>
      <c r="J781" s="6">
        <f>IF(A781="","",SUMIFS(Movimientos!$K:$K,Movimientos!$H:$H,A781))</f>
        <v>0</v>
      </c>
      <c r="K781" s="14" t="str">
        <f t="shared" ca="1" si="27"/>
        <v>OK</v>
      </c>
    </row>
    <row r="782" spans="1:11">
      <c r="A782" s="18" t="s">
        <v>2843</v>
      </c>
      <c r="B782" s="3" t="str">
        <f>IFERROR(INDEX(Movimientos!$C$5:$C$2001,MATCH(A782&amp;"ENTRADA",Movimientos!$R$5:$R$2001,0)),"-")</f>
        <v>-</v>
      </c>
      <c r="C782" s="3" t="str">
        <f>IFERROR(INDEX(Movimientos!$D$5:$D$2001,MATCH(A782&amp;"ENTRADA",Movimientos!$R$5:$R$2001,0)),"-")</f>
        <v>-</v>
      </c>
      <c r="D782" s="3" t="str">
        <f>IFERROR(INDEX(Movimientos!$E$5:$E$2001,MATCH(A782&amp;"ENTRADA",Movimientos!$R$5:$R$2001,0)),"-")</f>
        <v>-</v>
      </c>
      <c r="E782" s="3" t="str">
        <f>IFERROR(INDEX(Movimientos!$F$5:$F$2001,MATCH(A782&amp;"ENTRADA",Movimientos!$R$5:$R$2001,0)),"-")</f>
        <v>-</v>
      </c>
      <c r="F782" s="3" t="str">
        <f>IFERROR(INDEX(Movimientos!$G$5:$G$2001,MATCH(A782&amp;"ENTRADA",Movimientos!$R$5:$R$2001,0)),"-")</f>
        <v>-</v>
      </c>
      <c r="G782" s="3" t="str">
        <f>IFERROR(INDEX(Movimientos!$L$5:$L$2001,MATCH(A782&amp;"ENTRADA",Movimientos!$R$5:$R$2001,0)),"-")</f>
        <v>-</v>
      </c>
      <c r="H782" s="19" t="str">
        <f>IFERROR(IF(INDEX(Movimientos!$M$5:$M$2001,MATCH(A782&amp;"ENTRADA",Movimientos!$R$5:$R$2001,0))=0,"S/D",INDEX(Movimientos!$M$5:$M$2001,MATCH(A782&amp;"ENTRADA",Movimientos!$R$5:$R$2001,0))),"S/D")</f>
        <v>S/D</v>
      </c>
      <c r="I782" s="16" t="str">
        <f t="shared" ca="1" si="26"/>
        <v>S/D</v>
      </c>
      <c r="J782" s="6">
        <f>IF(A782="","",SUMIFS(Movimientos!$K:$K,Movimientos!$H:$H,A782))</f>
        <v>0</v>
      </c>
      <c r="K782" s="14" t="str">
        <f t="shared" ca="1" si="27"/>
        <v>OK</v>
      </c>
    </row>
    <row r="783" spans="1:11">
      <c r="A783" s="18" t="s">
        <v>2844</v>
      </c>
      <c r="B783" s="3" t="str">
        <f>IFERROR(INDEX(Movimientos!$C$5:$C$2001,MATCH(A783&amp;"ENTRADA",Movimientos!$R$5:$R$2001,0)),"-")</f>
        <v>-</v>
      </c>
      <c r="C783" s="3" t="str">
        <f>IFERROR(INDEX(Movimientos!$D$5:$D$2001,MATCH(A783&amp;"ENTRADA",Movimientos!$R$5:$R$2001,0)),"-")</f>
        <v>-</v>
      </c>
      <c r="D783" s="3" t="str">
        <f>IFERROR(INDEX(Movimientos!$E$5:$E$2001,MATCH(A783&amp;"ENTRADA",Movimientos!$R$5:$R$2001,0)),"-")</f>
        <v>-</v>
      </c>
      <c r="E783" s="3" t="str">
        <f>IFERROR(INDEX(Movimientos!$F$5:$F$2001,MATCH(A783&amp;"ENTRADA",Movimientos!$R$5:$R$2001,0)),"-")</f>
        <v>-</v>
      </c>
      <c r="F783" s="3" t="str">
        <f>IFERROR(INDEX(Movimientos!$G$5:$G$2001,MATCH(A783&amp;"ENTRADA",Movimientos!$R$5:$R$2001,0)),"-")</f>
        <v>-</v>
      </c>
      <c r="G783" s="3" t="str">
        <f>IFERROR(INDEX(Movimientos!$L$5:$L$2001,MATCH(A783&amp;"ENTRADA",Movimientos!$R$5:$R$2001,0)),"-")</f>
        <v>-</v>
      </c>
      <c r="H783" s="19" t="str">
        <f>IFERROR(IF(INDEX(Movimientos!$M$5:$M$2001,MATCH(A783&amp;"ENTRADA",Movimientos!$R$5:$R$2001,0))=0,"S/D",INDEX(Movimientos!$M$5:$M$2001,MATCH(A783&amp;"ENTRADA",Movimientos!$R$5:$R$2001,0))),"S/D")</f>
        <v>S/D</v>
      </c>
      <c r="I783" s="16" t="str">
        <f t="shared" ca="1" si="26"/>
        <v>S/D</v>
      </c>
      <c r="J783" s="6">
        <f>IF(A783="","",SUMIFS(Movimientos!$K:$K,Movimientos!$H:$H,A783))</f>
        <v>0</v>
      </c>
      <c r="K783" s="14" t="str">
        <f t="shared" ca="1" si="27"/>
        <v>OK</v>
      </c>
    </row>
    <row r="784" spans="1:11">
      <c r="A784" s="18" t="s">
        <v>2845</v>
      </c>
      <c r="B784" s="3" t="str">
        <f>IFERROR(INDEX(Movimientos!$C$5:$C$2001,MATCH(A784&amp;"ENTRADA",Movimientos!$R$5:$R$2001,0)),"-")</f>
        <v>-</v>
      </c>
      <c r="C784" s="3" t="str">
        <f>IFERROR(INDEX(Movimientos!$D$5:$D$2001,MATCH(A784&amp;"ENTRADA",Movimientos!$R$5:$R$2001,0)),"-")</f>
        <v>-</v>
      </c>
      <c r="D784" s="3" t="str">
        <f>IFERROR(INDEX(Movimientos!$E$5:$E$2001,MATCH(A784&amp;"ENTRADA",Movimientos!$R$5:$R$2001,0)),"-")</f>
        <v>-</v>
      </c>
      <c r="E784" s="3" t="str">
        <f>IFERROR(INDEX(Movimientos!$F$5:$F$2001,MATCH(A784&amp;"ENTRADA",Movimientos!$R$5:$R$2001,0)),"-")</f>
        <v>-</v>
      </c>
      <c r="F784" s="3" t="str">
        <f>IFERROR(INDEX(Movimientos!$G$5:$G$2001,MATCH(A784&amp;"ENTRADA",Movimientos!$R$5:$R$2001,0)),"-")</f>
        <v>-</v>
      </c>
      <c r="G784" s="3" t="str">
        <f>IFERROR(INDEX(Movimientos!$L$5:$L$2001,MATCH(A784&amp;"ENTRADA",Movimientos!$R$5:$R$2001,0)),"-")</f>
        <v>-</v>
      </c>
      <c r="H784" s="19" t="str">
        <f>IFERROR(IF(INDEX(Movimientos!$M$5:$M$2001,MATCH(A784&amp;"ENTRADA",Movimientos!$R$5:$R$2001,0))=0,"S/D",INDEX(Movimientos!$M$5:$M$2001,MATCH(A784&amp;"ENTRADA",Movimientos!$R$5:$R$2001,0))),"S/D")</f>
        <v>S/D</v>
      </c>
      <c r="I784" s="16" t="str">
        <f t="shared" ca="1" si="26"/>
        <v>S/D</v>
      </c>
      <c r="J784" s="6">
        <f>IF(A784="","",SUMIFS(Movimientos!$K:$K,Movimientos!$H:$H,A784))</f>
        <v>0</v>
      </c>
      <c r="K784" s="14" t="str">
        <f t="shared" ca="1" si="27"/>
        <v>OK</v>
      </c>
    </row>
    <row r="785" spans="1:11">
      <c r="A785" s="18" t="s">
        <v>2846</v>
      </c>
      <c r="B785" s="3" t="str">
        <f>IFERROR(INDEX(Movimientos!$C$5:$C$2001,MATCH(A785&amp;"ENTRADA",Movimientos!$R$5:$R$2001,0)),"-")</f>
        <v>-</v>
      </c>
      <c r="C785" s="3" t="str">
        <f>IFERROR(INDEX(Movimientos!$D$5:$D$2001,MATCH(A785&amp;"ENTRADA",Movimientos!$R$5:$R$2001,0)),"-")</f>
        <v>-</v>
      </c>
      <c r="D785" s="3" t="str">
        <f>IFERROR(INDEX(Movimientos!$E$5:$E$2001,MATCH(A785&amp;"ENTRADA",Movimientos!$R$5:$R$2001,0)),"-")</f>
        <v>-</v>
      </c>
      <c r="E785" s="3" t="str">
        <f>IFERROR(INDEX(Movimientos!$F$5:$F$2001,MATCH(A785&amp;"ENTRADA",Movimientos!$R$5:$R$2001,0)),"-")</f>
        <v>-</v>
      </c>
      <c r="F785" s="3" t="str">
        <f>IFERROR(INDEX(Movimientos!$G$5:$G$2001,MATCH(A785&amp;"ENTRADA",Movimientos!$R$5:$R$2001,0)),"-")</f>
        <v>-</v>
      </c>
      <c r="G785" s="3" t="str">
        <f>IFERROR(INDEX(Movimientos!$L$5:$L$2001,MATCH(A785&amp;"ENTRADA",Movimientos!$R$5:$R$2001,0)),"-")</f>
        <v>-</v>
      </c>
      <c r="H785" s="19" t="str">
        <f>IFERROR(IF(INDEX(Movimientos!$M$5:$M$2001,MATCH(A785&amp;"ENTRADA",Movimientos!$R$5:$R$2001,0))=0,"S/D",INDEX(Movimientos!$M$5:$M$2001,MATCH(A785&amp;"ENTRADA",Movimientos!$R$5:$R$2001,0))),"S/D")</f>
        <v>S/D</v>
      </c>
      <c r="I785" s="16" t="str">
        <f t="shared" ca="1" si="26"/>
        <v>S/D</v>
      </c>
      <c r="J785" s="6">
        <f>IF(A785="","",SUMIFS(Movimientos!$K:$K,Movimientos!$H:$H,A785))</f>
        <v>0</v>
      </c>
      <c r="K785" s="14" t="str">
        <f t="shared" ca="1" si="27"/>
        <v>OK</v>
      </c>
    </row>
    <row r="786" spans="1:11">
      <c r="A786" s="18" t="s">
        <v>2847</v>
      </c>
      <c r="B786" s="3" t="str">
        <f>IFERROR(INDEX(Movimientos!$C$5:$C$2001,MATCH(A786&amp;"ENTRADA",Movimientos!$R$5:$R$2001,0)),"-")</f>
        <v>-</v>
      </c>
      <c r="C786" s="3" t="str">
        <f>IFERROR(INDEX(Movimientos!$D$5:$D$2001,MATCH(A786&amp;"ENTRADA",Movimientos!$R$5:$R$2001,0)),"-")</f>
        <v>-</v>
      </c>
      <c r="D786" s="3" t="str">
        <f>IFERROR(INDEX(Movimientos!$E$5:$E$2001,MATCH(A786&amp;"ENTRADA",Movimientos!$R$5:$R$2001,0)),"-")</f>
        <v>-</v>
      </c>
      <c r="E786" s="3" t="str">
        <f>IFERROR(INDEX(Movimientos!$F$5:$F$2001,MATCH(A786&amp;"ENTRADA",Movimientos!$R$5:$R$2001,0)),"-")</f>
        <v>-</v>
      </c>
      <c r="F786" s="3" t="str">
        <f>IFERROR(INDEX(Movimientos!$G$5:$G$2001,MATCH(A786&amp;"ENTRADA",Movimientos!$R$5:$R$2001,0)),"-")</f>
        <v>-</v>
      </c>
      <c r="G786" s="3" t="str">
        <f>IFERROR(INDEX(Movimientos!$L$5:$L$2001,MATCH(A786&amp;"ENTRADA",Movimientos!$R$5:$R$2001,0)),"-")</f>
        <v>-</v>
      </c>
      <c r="H786" s="19" t="str">
        <f>IFERROR(IF(INDEX(Movimientos!$M$5:$M$2001,MATCH(A786&amp;"ENTRADA",Movimientos!$R$5:$R$2001,0))=0,"S/D",INDEX(Movimientos!$M$5:$M$2001,MATCH(A786&amp;"ENTRADA",Movimientos!$R$5:$R$2001,0))),"S/D")</f>
        <v>S/D</v>
      </c>
      <c r="I786" s="16" t="str">
        <f t="shared" ca="1" si="26"/>
        <v>S/D</v>
      </c>
      <c r="J786" s="6">
        <f>IF(A786="","",SUMIFS(Movimientos!$K:$K,Movimientos!$H:$H,A786))</f>
        <v>0</v>
      </c>
      <c r="K786" s="14" t="str">
        <f t="shared" ca="1" si="27"/>
        <v>OK</v>
      </c>
    </row>
    <row r="787" spans="1:11">
      <c r="A787" s="18" t="s">
        <v>2848</v>
      </c>
      <c r="B787" s="3" t="str">
        <f>IFERROR(INDEX(Movimientos!$C$5:$C$2001,MATCH(A787&amp;"ENTRADA",Movimientos!$R$5:$R$2001,0)),"-")</f>
        <v>-</v>
      </c>
      <c r="C787" s="3" t="str">
        <f>IFERROR(INDEX(Movimientos!$D$5:$D$2001,MATCH(A787&amp;"ENTRADA",Movimientos!$R$5:$R$2001,0)),"-")</f>
        <v>-</v>
      </c>
      <c r="D787" s="3" t="str">
        <f>IFERROR(INDEX(Movimientos!$E$5:$E$2001,MATCH(A787&amp;"ENTRADA",Movimientos!$R$5:$R$2001,0)),"-")</f>
        <v>-</v>
      </c>
      <c r="E787" s="3" t="str">
        <f>IFERROR(INDEX(Movimientos!$F$5:$F$2001,MATCH(A787&amp;"ENTRADA",Movimientos!$R$5:$R$2001,0)),"-")</f>
        <v>-</v>
      </c>
      <c r="F787" s="3" t="str">
        <f>IFERROR(INDEX(Movimientos!$G$5:$G$2001,MATCH(A787&amp;"ENTRADA",Movimientos!$R$5:$R$2001,0)),"-")</f>
        <v>-</v>
      </c>
      <c r="G787" s="3" t="str">
        <f>IFERROR(INDEX(Movimientos!$L$5:$L$2001,MATCH(A787&amp;"ENTRADA",Movimientos!$R$5:$R$2001,0)),"-")</f>
        <v>-</v>
      </c>
      <c r="H787" s="19" t="str">
        <f>IFERROR(IF(INDEX(Movimientos!$M$5:$M$2001,MATCH(A787&amp;"ENTRADA",Movimientos!$R$5:$R$2001,0))=0,"S/D",INDEX(Movimientos!$M$5:$M$2001,MATCH(A787&amp;"ENTRADA",Movimientos!$R$5:$R$2001,0))),"S/D")</f>
        <v>S/D</v>
      </c>
      <c r="I787" s="16" t="str">
        <f t="shared" ca="1" si="26"/>
        <v>S/D</v>
      </c>
      <c r="J787" s="6">
        <f>IF(A787="","",SUMIFS(Movimientos!$K:$K,Movimientos!$H:$H,A787))</f>
        <v>0</v>
      </c>
      <c r="K787" s="14" t="str">
        <f t="shared" ca="1" si="27"/>
        <v>OK</v>
      </c>
    </row>
    <row r="788" spans="1:11">
      <c r="A788" s="18" t="s">
        <v>2849</v>
      </c>
      <c r="B788" s="3" t="str">
        <f>IFERROR(INDEX(Movimientos!$C$5:$C$2001,MATCH(A788&amp;"ENTRADA",Movimientos!$R$5:$R$2001,0)),"-")</f>
        <v>-</v>
      </c>
      <c r="C788" s="3" t="str">
        <f>IFERROR(INDEX(Movimientos!$D$5:$D$2001,MATCH(A788&amp;"ENTRADA",Movimientos!$R$5:$R$2001,0)),"-")</f>
        <v>-</v>
      </c>
      <c r="D788" s="3" t="str">
        <f>IFERROR(INDEX(Movimientos!$E$5:$E$2001,MATCH(A788&amp;"ENTRADA",Movimientos!$R$5:$R$2001,0)),"-")</f>
        <v>-</v>
      </c>
      <c r="E788" s="3" t="str">
        <f>IFERROR(INDEX(Movimientos!$F$5:$F$2001,MATCH(A788&amp;"ENTRADA",Movimientos!$R$5:$R$2001,0)),"-")</f>
        <v>-</v>
      </c>
      <c r="F788" s="3" t="str">
        <f>IFERROR(INDEX(Movimientos!$G$5:$G$2001,MATCH(A788&amp;"ENTRADA",Movimientos!$R$5:$R$2001,0)),"-")</f>
        <v>-</v>
      </c>
      <c r="G788" s="3" t="str">
        <f>IFERROR(INDEX(Movimientos!$L$5:$L$2001,MATCH(A788&amp;"ENTRADA",Movimientos!$R$5:$R$2001,0)),"-")</f>
        <v>-</v>
      </c>
      <c r="H788" s="19" t="str">
        <f>IFERROR(IF(INDEX(Movimientos!$M$5:$M$2001,MATCH(A788&amp;"ENTRADA",Movimientos!$R$5:$R$2001,0))=0,"S/D",INDEX(Movimientos!$M$5:$M$2001,MATCH(A788&amp;"ENTRADA",Movimientos!$R$5:$R$2001,0))),"S/D")</f>
        <v>S/D</v>
      </c>
      <c r="I788" s="16" t="str">
        <f t="shared" ca="1" si="26"/>
        <v>S/D</v>
      </c>
      <c r="J788" s="6">
        <f>IF(A788="","",SUMIFS(Movimientos!$K:$K,Movimientos!$H:$H,A788))</f>
        <v>0</v>
      </c>
      <c r="K788" s="14" t="str">
        <f t="shared" ca="1" si="27"/>
        <v>OK</v>
      </c>
    </row>
    <row r="789" spans="1:11">
      <c r="A789" s="18" t="s">
        <v>2850</v>
      </c>
      <c r="B789" s="3" t="str">
        <f>IFERROR(INDEX(Movimientos!$C$5:$C$2001,MATCH(A789&amp;"ENTRADA",Movimientos!$R$5:$R$2001,0)),"-")</f>
        <v>-</v>
      </c>
      <c r="C789" s="3" t="str">
        <f>IFERROR(INDEX(Movimientos!$D$5:$D$2001,MATCH(A789&amp;"ENTRADA",Movimientos!$R$5:$R$2001,0)),"-")</f>
        <v>-</v>
      </c>
      <c r="D789" s="3" t="str">
        <f>IFERROR(INDEX(Movimientos!$E$5:$E$2001,MATCH(A789&amp;"ENTRADA",Movimientos!$R$5:$R$2001,0)),"-")</f>
        <v>-</v>
      </c>
      <c r="E789" s="3" t="str">
        <f>IFERROR(INDEX(Movimientos!$F$5:$F$2001,MATCH(A789&amp;"ENTRADA",Movimientos!$R$5:$R$2001,0)),"-")</f>
        <v>-</v>
      </c>
      <c r="F789" s="3" t="str">
        <f>IFERROR(INDEX(Movimientos!$G$5:$G$2001,MATCH(A789&amp;"ENTRADA",Movimientos!$R$5:$R$2001,0)),"-")</f>
        <v>-</v>
      </c>
      <c r="G789" s="3" t="str">
        <f>IFERROR(INDEX(Movimientos!$L$5:$L$2001,MATCH(A789&amp;"ENTRADA",Movimientos!$R$5:$R$2001,0)),"-")</f>
        <v>-</v>
      </c>
      <c r="H789" s="19" t="str">
        <f>IFERROR(IF(INDEX(Movimientos!$M$5:$M$2001,MATCH(A789&amp;"ENTRADA",Movimientos!$R$5:$R$2001,0))=0,"S/D",INDEX(Movimientos!$M$5:$M$2001,MATCH(A789&amp;"ENTRADA",Movimientos!$R$5:$R$2001,0))),"S/D")</f>
        <v>S/D</v>
      </c>
      <c r="I789" s="16" t="str">
        <f t="shared" ca="1" si="26"/>
        <v>S/D</v>
      </c>
      <c r="J789" s="6">
        <f>IF(A789="","",SUMIFS(Movimientos!$K:$K,Movimientos!$H:$H,A789))</f>
        <v>0</v>
      </c>
      <c r="K789" s="14" t="str">
        <f t="shared" ca="1" si="27"/>
        <v>OK</v>
      </c>
    </row>
    <row r="790" spans="1:11">
      <c r="A790" s="18" t="s">
        <v>2851</v>
      </c>
      <c r="B790" s="3" t="str">
        <f>IFERROR(INDEX(Movimientos!$C$5:$C$2001,MATCH(A790&amp;"ENTRADA",Movimientos!$R$5:$R$2001,0)),"-")</f>
        <v>-</v>
      </c>
      <c r="C790" s="3" t="str">
        <f>IFERROR(INDEX(Movimientos!$D$5:$D$2001,MATCH(A790&amp;"ENTRADA",Movimientos!$R$5:$R$2001,0)),"-")</f>
        <v>-</v>
      </c>
      <c r="D790" s="3" t="str">
        <f>IFERROR(INDEX(Movimientos!$E$5:$E$2001,MATCH(A790&amp;"ENTRADA",Movimientos!$R$5:$R$2001,0)),"-")</f>
        <v>-</v>
      </c>
      <c r="E790" s="3" t="str">
        <f>IFERROR(INDEX(Movimientos!$F$5:$F$2001,MATCH(A790&amp;"ENTRADA",Movimientos!$R$5:$R$2001,0)),"-")</f>
        <v>-</v>
      </c>
      <c r="F790" s="3" t="str">
        <f>IFERROR(INDEX(Movimientos!$G$5:$G$2001,MATCH(A790&amp;"ENTRADA",Movimientos!$R$5:$R$2001,0)),"-")</f>
        <v>-</v>
      </c>
      <c r="G790" s="3" t="str">
        <f>IFERROR(INDEX(Movimientos!$L$5:$L$2001,MATCH(A790&amp;"ENTRADA",Movimientos!$R$5:$R$2001,0)),"-")</f>
        <v>-</v>
      </c>
      <c r="H790" s="19" t="str">
        <f>IFERROR(IF(INDEX(Movimientos!$M$5:$M$2001,MATCH(A790&amp;"ENTRADA",Movimientos!$R$5:$R$2001,0))=0,"S/D",INDEX(Movimientos!$M$5:$M$2001,MATCH(A790&amp;"ENTRADA",Movimientos!$R$5:$R$2001,0))),"S/D")</f>
        <v>S/D</v>
      </c>
      <c r="I790" s="16" t="str">
        <f t="shared" ca="1" si="26"/>
        <v>S/D</v>
      </c>
      <c r="J790" s="6">
        <f>IF(A790="","",SUMIFS(Movimientos!$K:$K,Movimientos!$H:$H,A790))</f>
        <v>0</v>
      </c>
      <c r="K790" s="14" t="str">
        <f t="shared" ca="1" si="27"/>
        <v>OK</v>
      </c>
    </row>
    <row r="791" spans="1:11">
      <c r="A791" s="18" t="s">
        <v>2852</v>
      </c>
      <c r="B791" s="3" t="str">
        <f>IFERROR(INDEX(Movimientos!$C$5:$C$2001,MATCH(A791&amp;"ENTRADA",Movimientos!$R$5:$R$2001,0)),"-")</f>
        <v>-</v>
      </c>
      <c r="C791" s="3" t="str">
        <f>IFERROR(INDEX(Movimientos!$D$5:$D$2001,MATCH(A791&amp;"ENTRADA",Movimientos!$R$5:$R$2001,0)),"-")</f>
        <v>-</v>
      </c>
      <c r="D791" s="3" t="str">
        <f>IFERROR(INDEX(Movimientos!$E$5:$E$2001,MATCH(A791&amp;"ENTRADA",Movimientos!$R$5:$R$2001,0)),"-")</f>
        <v>-</v>
      </c>
      <c r="E791" s="3" t="str">
        <f>IFERROR(INDEX(Movimientos!$F$5:$F$2001,MATCH(A791&amp;"ENTRADA",Movimientos!$R$5:$R$2001,0)),"-")</f>
        <v>-</v>
      </c>
      <c r="F791" s="3" t="str">
        <f>IFERROR(INDEX(Movimientos!$G$5:$G$2001,MATCH(A791&amp;"ENTRADA",Movimientos!$R$5:$R$2001,0)),"-")</f>
        <v>-</v>
      </c>
      <c r="G791" s="3" t="str">
        <f>IFERROR(INDEX(Movimientos!$L$5:$L$2001,MATCH(A791&amp;"ENTRADA",Movimientos!$R$5:$R$2001,0)),"-")</f>
        <v>-</v>
      </c>
      <c r="H791" s="19" t="str">
        <f>IFERROR(IF(INDEX(Movimientos!$M$5:$M$2001,MATCH(A791&amp;"ENTRADA",Movimientos!$R$5:$R$2001,0))=0,"S/D",INDEX(Movimientos!$M$5:$M$2001,MATCH(A791&amp;"ENTRADA",Movimientos!$R$5:$R$2001,0))),"S/D")</f>
        <v>S/D</v>
      </c>
      <c r="I791" s="16" t="str">
        <f t="shared" ca="1" si="26"/>
        <v>S/D</v>
      </c>
      <c r="J791" s="6">
        <f>IF(A791="","",SUMIFS(Movimientos!$K:$K,Movimientos!$H:$H,A791))</f>
        <v>0</v>
      </c>
      <c r="K791" s="14" t="str">
        <f t="shared" ca="1" si="27"/>
        <v>OK</v>
      </c>
    </row>
    <row r="792" spans="1:11">
      <c r="A792" s="18" t="s">
        <v>2853</v>
      </c>
      <c r="B792" s="3" t="str">
        <f>IFERROR(INDEX(Movimientos!$C$5:$C$2001,MATCH(A792&amp;"ENTRADA",Movimientos!$R$5:$R$2001,0)),"-")</f>
        <v>-</v>
      </c>
      <c r="C792" s="3" t="str">
        <f>IFERROR(INDEX(Movimientos!$D$5:$D$2001,MATCH(A792&amp;"ENTRADA",Movimientos!$R$5:$R$2001,0)),"-")</f>
        <v>-</v>
      </c>
      <c r="D792" s="3" t="str">
        <f>IFERROR(INDEX(Movimientos!$E$5:$E$2001,MATCH(A792&amp;"ENTRADA",Movimientos!$R$5:$R$2001,0)),"-")</f>
        <v>-</v>
      </c>
      <c r="E792" s="3" t="str">
        <f>IFERROR(INDEX(Movimientos!$F$5:$F$2001,MATCH(A792&amp;"ENTRADA",Movimientos!$R$5:$R$2001,0)),"-")</f>
        <v>-</v>
      </c>
      <c r="F792" s="3" t="str">
        <f>IFERROR(INDEX(Movimientos!$G$5:$G$2001,MATCH(A792&amp;"ENTRADA",Movimientos!$R$5:$R$2001,0)),"-")</f>
        <v>-</v>
      </c>
      <c r="G792" s="3" t="str">
        <f>IFERROR(INDEX(Movimientos!$L$5:$L$2001,MATCH(A792&amp;"ENTRADA",Movimientos!$R$5:$R$2001,0)),"-")</f>
        <v>-</v>
      </c>
      <c r="H792" s="19" t="str">
        <f>IFERROR(IF(INDEX(Movimientos!$M$5:$M$2001,MATCH(A792&amp;"ENTRADA",Movimientos!$R$5:$R$2001,0))=0,"S/D",INDEX(Movimientos!$M$5:$M$2001,MATCH(A792&amp;"ENTRADA",Movimientos!$R$5:$R$2001,0))),"S/D")</f>
        <v>S/D</v>
      </c>
      <c r="I792" s="16" t="str">
        <f t="shared" ca="1" si="26"/>
        <v>S/D</v>
      </c>
      <c r="J792" s="6">
        <f>IF(A792="","",SUMIFS(Movimientos!$K:$K,Movimientos!$H:$H,A792))</f>
        <v>0</v>
      </c>
      <c r="K792" s="14" t="str">
        <f t="shared" ca="1" si="27"/>
        <v>OK</v>
      </c>
    </row>
    <row r="793" spans="1:11">
      <c r="A793" s="18" t="s">
        <v>2854</v>
      </c>
      <c r="B793" s="3" t="str">
        <f>IFERROR(INDEX(Movimientos!$C$5:$C$2001,MATCH(A793&amp;"ENTRADA",Movimientos!$R$5:$R$2001,0)),"-")</f>
        <v>-</v>
      </c>
      <c r="C793" s="3" t="str">
        <f>IFERROR(INDEX(Movimientos!$D$5:$D$2001,MATCH(A793&amp;"ENTRADA",Movimientos!$R$5:$R$2001,0)),"-")</f>
        <v>-</v>
      </c>
      <c r="D793" s="3" t="str">
        <f>IFERROR(INDEX(Movimientos!$E$5:$E$2001,MATCH(A793&amp;"ENTRADA",Movimientos!$R$5:$R$2001,0)),"-")</f>
        <v>-</v>
      </c>
      <c r="E793" s="3" t="str">
        <f>IFERROR(INDEX(Movimientos!$F$5:$F$2001,MATCH(A793&amp;"ENTRADA",Movimientos!$R$5:$R$2001,0)),"-")</f>
        <v>-</v>
      </c>
      <c r="F793" s="3" t="str">
        <f>IFERROR(INDEX(Movimientos!$G$5:$G$2001,MATCH(A793&amp;"ENTRADA",Movimientos!$R$5:$R$2001,0)),"-")</f>
        <v>-</v>
      </c>
      <c r="G793" s="3" t="str">
        <f>IFERROR(INDEX(Movimientos!$L$5:$L$2001,MATCH(A793&amp;"ENTRADA",Movimientos!$R$5:$R$2001,0)),"-")</f>
        <v>-</v>
      </c>
      <c r="H793" s="19" t="str">
        <f>IFERROR(IF(INDEX(Movimientos!$M$5:$M$2001,MATCH(A793&amp;"ENTRADA",Movimientos!$R$5:$R$2001,0))=0,"S/D",INDEX(Movimientos!$M$5:$M$2001,MATCH(A793&amp;"ENTRADA",Movimientos!$R$5:$R$2001,0))),"S/D")</f>
        <v>S/D</v>
      </c>
      <c r="I793" s="16" t="str">
        <f t="shared" ca="1" si="26"/>
        <v>S/D</v>
      </c>
      <c r="J793" s="6">
        <f>IF(A793="","",SUMIFS(Movimientos!$K:$K,Movimientos!$H:$H,A793))</f>
        <v>0</v>
      </c>
      <c r="K793" s="14" t="str">
        <f t="shared" ca="1" si="27"/>
        <v>OK</v>
      </c>
    </row>
    <row r="794" spans="1:11">
      <c r="A794" s="18" t="s">
        <v>2855</v>
      </c>
      <c r="B794" s="3" t="str">
        <f>IFERROR(INDEX(Movimientos!$C$5:$C$2001,MATCH(A794&amp;"ENTRADA",Movimientos!$R$5:$R$2001,0)),"-")</f>
        <v>-</v>
      </c>
      <c r="C794" s="3" t="str">
        <f>IFERROR(INDEX(Movimientos!$D$5:$D$2001,MATCH(A794&amp;"ENTRADA",Movimientos!$R$5:$R$2001,0)),"-")</f>
        <v>-</v>
      </c>
      <c r="D794" s="3" t="str">
        <f>IFERROR(INDEX(Movimientos!$E$5:$E$2001,MATCH(A794&amp;"ENTRADA",Movimientos!$R$5:$R$2001,0)),"-")</f>
        <v>-</v>
      </c>
      <c r="E794" s="3" t="str">
        <f>IFERROR(INDEX(Movimientos!$F$5:$F$2001,MATCH(A794&amp;"ENTRADA",Movimientos!$R$5:$R$2001,0)),"-")</f>
        <v>-</v>
      </c>
      <c r="F794" s="3" t="str">
        <f>IFERROR(INDEX(Movimientos!$G$5:$G$2001,MATCH(A794&amp;"ENTRADA",Movimientos!$R$5:$R$2001,0)),"-")</f>
        <v>-</v>
      </c>
      <c r="G794" s="3" t="str">
        <f>IFERROR(INDEX(Movimientos!$L$5:$L$2001,MATCH(A794&amp;"ENTRADA",Movimientos!$R$5:$R$2001,0)),"-")</f>
        <v>-</v>
      </c>
      <c r="H794" s="19" t="str">
        <f>IFERROR(IF(INDEX(Movimientos!$M$5:$M$2001,MATCH(A794&amp;"ENTRADA",Movimientos!$R$5:$R$2001,0))=0,"S/D",INDEX(Movimientos!$M$5:$M$2001,MATCH(A794&amp;"ENTRADA",Movimientos!$R$5:$R$2001,0))),"S/D")</f>
        <v>S/D</v>
      </c>
      <c r="I794" s="16" t="str">
        <f t="shared" ca="1" si="26"/>
        <v>S/D</v>
      </c>
      <c r="J794" s="6">
        <f>IF(A794="","",SUMIFS(Movimientos!$K:$K,Movimientos!$H:$H,A794))</f>
        <v>0</v>
      </c>
      <c r="K794" s="14" t="str">
        <f t="shared" ca="1" si="27"/>
        <v>OK</v>
      </c>
    </row>
    <row r="795" spans="1:11">
      <c r="A795" s="18" t="s">
        <v>2856</v>
      </c>
      <c r="B795" s="3" t="str">
        <f>IFERROR(INDEX(Movimientos!$C$5:$C$2001,MATCH(A795&amp;"ENTRADA",Movimientos!$R$5:$R$2001,0)),"-")</f>
        <v>-</v>
      </c>
      <c r="C795" s="3" t="str">
        <f>IFERROR(INDEX(Movimientos!$D$5:$D$2001,MATCH(A795&amp;"ENTRADA",Movimientos!$R$5:$R$2001,0)),"-")</f>
        <v>-</v>
      </c>
      <c r="D795" s="3" t="str">
        <f>IFERROR(INDEX(Movimientos!$E$5:$E$2001,MATCH(A795&amp;"ENTRADA",Movimientos!$R$5:$R$2001,0)),"-")</f>
        <v>-</v>
      </c>
      <c r="E795" s="3" t="str">
        <f>IFERROR(INDEX(Movimientos!$F$5:$F$2001,MATCH(A795&amp;"ENTRADA",Movimientos!$R$5:$R$2001,0)),"-")</f>
        <v>-</v>
      </c>
      <c r="F795" s="3" t="str">
        <f>IFERROR(INDEX(Movimientos!$G$5:$G$2001,MATCH(A795&amp;"ENTRADA",Movimientos!$R$5:$R$2001,0)),"-")</f>
        <v>-</v>
      </c>
      <c r="G795" s="3" t="str">
        <f>IFERROR(INDEX(Movimientos!$L$5:$L$2001,MATCH(A795&amp;"ENTRADA",Movimientos!$R$5:$R$2001,0)),"-")</f>
        <v>-</v>
      </c>
      <c r="H795" s="19" t="str">
        <f>IFERROR(IF(INDEX(Movimientos!$M$5:$M$2001,MATCH(A795&amp;"ENTRADA",Movimientos!$R$5:$R$2001,0))=0,"S/D",INDEX(Movimientos!$M$5:$M$2001,MATCH(A795&amp;"ENTRADA",Movimientos!$R$5:$R$2001,0))),"S/D")</f>
        <v>S/D</v>
      </c>
      <c r="I795" s="16" t="str">
        <f t="shared" ca="1" si="26"/>
        <v>S/D</v>
      </c>
      <c r="J795" s="6">
        <f>IF(A795="","",SUMIFS(Movimientos!$K:$K,Movimientos!$H:$H,A795))</f>
        <v>0</v>
      </c>
      <c r="K795" s="14" t="str">
        <f t="shared" ca="1" si="27"/>
        <v>OK</v>
      </c>
    </row>
    <row r="796" spans="1:11">
      <c r="A796" s="18" t="s">
        <v>2857</v>
      </c>
      <c r="B796" s="3" t="str">
        <f>IFERROR(INDEX(Movimientos!$C$5:$C$2001,MATCH(A796&amp;"ENTRADA",Movimientos!$R$5:$R$2001,0)),"-")</f>
        <v>-</v>
      </c>
      <c r="C796" s="3" t="str">
        <f>IFERROR(INDEX(Movimientos!$D$5:$D$2001,MATCH(A796&amp;"ENTRADA",Movimientos!$R$5:$R$2001,0)),"-")</f>
        <v>-</v>
      </c>
      <c r="D796" s="3" t="str">
        <f>IFERROR(INDEX(Movimientos!$E$5:$E$2001,MATCH(A796&amp;"ENTRADA",Movimientos!$R$5:$R$2001,0)),"-")</f>
        <v>-</v>
      </c>
      <c r="E796" s="3" t="str">
        <f>IFERROR(INDEX(Movimientos!$F$5:$F$2001,MATCH(A796&amp;"ENTRADA",Movimientos!$R$5:$R$2001,0)),"-")</f>
        <v>-</v>
      </c>
      <c r="F796" s="3" t="str">
        <f>IFERROR(INDEX(Movimientos!$G$5:$G$2001,MATCH(A796&amp;"ENTRADA",Movimientos!$R$5:$R$2001,0)),"-")</f>
        <v>-</v>
      </c>
      <c r="G796" s="3" t="str">
        <f>IFERROR(INDEX(Movimientos!$L$5:$L$2001,MATCH(A796&amp;"ENTRADA",Movimientos!$R$5:$R$2001,0)),"-")</f>
        <v>-</v>
      </c>
      <c r="H796" s="19" t="str">
        <f>IFERROR(IF(INDEX(Movimientos!$M$5:$M$2001,MATCH(A796&amp;"ENTRADA",Movimientos!$R$5:$R$2001,0))=0,"S/D",INDEX(Movimientos!$M$5:$M$2001,MATCH(A796&amp;"ENTRADA",Movimientos!$R$5:$R$2001,0))),"S/D")</f>
        <v>S/D</v>
      </c>
      <c r="I796" s="16" t="str">
        <f t="shared" ca="1" si="26"/>
        <v>S/D</v>
      </c>
      <c r="J796" s="6">
        <f>IF(A796="","",SUMIFS(Movimientos!$K:$K,Movimientos!$H:$H,A796))</f>
        <v>0</v>
      </c>
      <c r="K796" s="14" t="str">
        <f t="shared" ca="1" si="27"/>
        <v>OK</v>
      </c>
    </row>
    <row r="797" spans="1:11">
      <c r="A797" s="18" t="s">
        <v>2858</v>
      </c>
      <c r="B797" s="3" t="str">
        <f>IFERROR(INDEX(Movimientos!$C$5:$C$2001,MATCH(A797&amp;"ENTRADA",Movimientos!$R$5:$R$2001,0)),"-")</f>
        <v>-</v>
      </c>
      <c r="C797" s="3" t="str">
        <f>IFERROR(INDEX(Movimientos!$D$5:$D$2001,MATCH(A797&amp;"ENTRADA",Movimientos!$R$5:$R$2001,0)),"-")</f>
        <v>-</v>
      </c>
      <c r="D797" s="3" t="str">
        <f>IFERROR(INDEX(Movimientos!$E$5:$E$2001,MATCH(A797&amp;"ENTRADA",Movimientos!$R$5:$R$2001,0)),"-")</f>
        <v>-</v>
      </c>
      <c r="E797" s="3" t="str">
        <f>IFERROR(INDEX(Movimientos!$F$5:$F$2001,MATCH(A797&amp;"ENTRADA",Movimientos!$R$5:$R$2001,0)),"-")</f>
        <v>-</v>
      </c>
      <c r="F797" s="3" t="str">
        <f>IFERROR(INDEX(Movimientos!$G$5:$G$2001,MATCH(A797&amp;"ENTRADA",Movimientos!$R$5:$R$2001,0)),"-")</f>
        <v>-</v>
      </c>
      <c r="G797" s="3" t="str">
        <f>IFERROR(INDEX(Movimientos!$L$5:$L$2001,MATCH(A797&amp;"ENTRADA",Movimientos!$R$5:$R$2001,0)),"-")</f>
        <v>-</v>
      </c>
      <c r="H797" s="19" t="str">
        <f>IFERROR(IF(INDEX(Movimientos!$M$5:$M$2001,MATCH(A797&amp;"ENTRADA",Movimientos!$R$5:$R$2001,0))=0,"S/D",INDEX(Movimientos!$M$5:$M$2001,MATCH(A797&amp;"ENTRADA",Movimientos!$R$5:$R$2001,0))),"S/D")</f>
        <v>S/D</v>
      </c>
      <c r="I797" s="16" t="str">
        <f t="shared" ca="1" si="26"/>
        <v>S/D</v>
      </c>
      <c r="J797" s="6">
        <f>IF(A797="","",SUMIFS(Movimientos!$K:$K,Movimientos!$H:$H,A797))</f>
        <v>0</v>
      </c>
      <c r="K797" s="14" t="str">
        <f t="shared" ca="1" si="27"/>
        <v>OK</v>
      </c>
    </row>
    <row r="798" spans="1:11">
      <c r="A798" s="18" t="s">
        <v>2859</v>
      </c>
      <c r="B798" s="3" t="str">
        <f>IFERROR(INDEX(Movimientos!$C$5:$C$2001,MATCH(A798&amp;"ENTRADA",Movimientos!$R$5:$R$2001,0)),"-")</f>
        <v>-</v>
      </c>
      <c r="C798" s="3" t="str">
        <f>IFERROR(INDEX(Movimientos!$D$5:$D$2001,MATCH(A798&amp;"ENTRADA",Movimientos!$R$5:$R$2001,0)),"-")</f>
        <v>-</v>
      </c>
      <c r="D798" s="3" t="str">
        <f>IFERROR(INDEX(Movimientos!$E$5:$E$2001,MATCH(A798&amp;"ENTRADA",Movimientos!$R$5:$R$2001,0)),"-")</f>
        <v>-</v>
      </c>
      <c r="E798" s="3" t="str">
        <f>IFERROR(INDEX(Movimientos!$F$5:$F$2001,MATCH(A798&amp;"ENTRADA",Movimientos!$R$5:$R$2001,0)),"-")</f>
        <v>-</v>
      </c>
      <c r="F798" s="3" t="str">
        <f>IFERROR(INDEX(Movimientos!$G$5:$G$2001,MATCH(A798&amp;"ENTRADA",Movimientos!$R$5:$R$2001,0)),"-")</f>
        <v>-</v>
      </c>
      <c r="G798" s="3" t="str">
        <f>IFERROR(INDEX(Movimientos!$L$5:$L$2001,MATCH(A798&amp;"ENTRADA",Movimientos!$R$5:$R$2001,0)),"-")</f>
        <v>-</v>
      </c>
      <c r="H798" s="19" t="str">
        <f>IFERROR(IF(INDEX(Movimientos!$M$5:$M$2001,MATCH(A798&amp;"ENTRADA",Movimientos!$R$5:$R$2001,0))=0,"S/D",INDEX(Movimientos!$M$5:$M$2001,MATCH(A798&amp;"ENTRADA",Movimientos!$R$5:$R$2001,0))),"S/D")</f>
        <v>S/D</v>
      </c>
      <c r="I798" s="16" t="str">
        <f t="shared" ca="1" si="26"/>
        <v>S/D</v>
      </c>
      <c r="J798" s="6">
        <f>IF(A798="","",SUMIFS(Movimientos!$K:$K,Movimientos!$H:$H,A798))</f>
        <v>0</v>
      </c>
      <c r="K798" s="14" t="str">
        <f t="shared" ca="1" si="27"/>
        <v>OK</v>
      </c>
    </row>
    <row r="799" spans="1:11">
      <c r="A799" s="18" t="s">
        <v>2860</v>
      </c>
      <c r="B799" s="3" t="str">
        <f>IFERROR(INDEX(Movimientos!$C$5:$C$2001,MATCH(A799&amp;"ENTRADA",Movimientos!$R$5:$R$2001,0)),"-")</f>
        <v>-</v>
      </c>
      <c r="C799" s="3" t="str">
        <f>IFERROR(INDEX(Movimientos!$D$5:$D$2001,MATCH(A799&amp;"ENTRADA",Movimientos!$R$5:$R$2001,0)),"-")</f>
        <v>-</v>
      </c>
      <c r="D799" s="3" t="str">
        <f>IFERROR(INDEX(Movimientos!$E$5:$E$2001,MATCH(A799&amp;"ENTRADA",Movimientos!$R$5:$R$2001,0)),"-")</f>
        <v>-</v>
      </c>
      <c r="E799" s="3" t="str">
        <f>IFERROR(INDEX(Movimientos!$F$5:$F$2001,MATCH(A799&amp;"ENTRADA",Movimientos!$R$5:$R$2001,0)),"-")</f>
        <v>-</v>
      </c>
      <c r="F799" s="3" t="str">
        <f>IFERROR(INDEX(Movimientos!$G$5:$G$2001,MATCH(A799&amp;"ENTRADA",Movimientos!$R$5:$R$2001,0)),"-")</f>
        <v>-</v>
      </c>
      <c r="G799" s="3" t="str">
        <f>IFERROR(INDEX(Movimientos!$L$5:$L$2001,MATCH(A799&amp;"ENTRADA",Movimientos!$R$5:$R$2001,0)),"-")</f>
        <v>-</v>
      </c>
      <c r="H799" s="19" t="str">
        <f>IFERROR(IF(INDEX(Movimientos!$M$5:$M$2001,MATCH(A799&amp;"ENTRADA",Movimientos!$R$5:$R$2001,0))=0,"S/D",INDEX(Movimientos!$M$5:$M$2001,MATCH(A799&amp;"ENTRADA",Movimientos!$R$5:$R$2001,0))),"S/D")</f>
        <v>S/D</v>
      </c>
      <c r="I799" s="16" t="str">
        <f t="shared" ca="1" si="26"/>
        <v>S/D</v>
      </c>
      <c r="J799" s="6">
        <f>IF(A799="","",SUMIFS(Movimientos!$K:$K,Movimientos!$H:$H,A799))</f>
        <v>0</v>
      </c>
      <c r="K799" s="14" t="str">
        <f t="shared" ca="1" si="27"/>
        <v>OK</v>
      </c>
    </row>
    <row r="800" spans="1:11">
      <c r="A800" s="18" t="s">
        <v>2861</v>
      </c>
      <c r="B800" s="3" t="str">
        <f>IFERROR(INDEX(Movimientos!$C$5:$C$2001,MATCH(A800&amp;"ENTRADA",Movimientos!$R$5:$R$2001,0)),"-")</f>
        <v>-</v>
      </c>
      <c r="C800" s="3" t="str">
        <f>IFERROR(INDEX(Movimientos!$D$5:$D$2001,MATCH(A800&amp;"ENTRADA",Movimientos!$R$5:$R$2001,0)),"-")</f>
        <v>-</v>
      </c>
      <c r="D800" s="3" t="str">
        <f>IFERROR(INDEX(Movimientos!$E$5:$E$2001,MATCH(A800&amp;"ENTRADA",Movimientos!$R$5:$R$2001,0)),"-")</f>
        <v>-</v>
      </c>
      <c r="E800" s="3" t="str">
        <f>IFERROR(INDEX(Movimientos!$F$5:$F$2001,MATCH(A800&amp;"ENTRADA",Movimientos!$R$5:$R$2001,0)),"-")</f>
        <v>-</v>
      </c>
      <c r="F800" s="3" t="str">
        <f>IFERROR(INDEX(Movimientos!$G$5:$G$2001,MATCH(A800&amp;"ENTRADA",Movimientos!$R$5:$R$2001,0)),"-")</f>
        <v>-</v>
      </c>
      <c r="G800" s="3" t="str">
        <f>IFERROR(INDEX(Movimientos!$L$5:$L$2001,MATCH(A800&amp;"ENTRADA",Movimientos!$R$5:$R$2001,0)),"-")</f>
        <v>-</v>
      </c>
      <c r="H800" s="19" t="str">
        <f>IFERROR(IF(INDEX(Movimientos!$M$5:$M$2001,MATCH(A800&amp;"ENTRADA",Movimientos!$R$5:$R$2001,0))=0,"S/D",INDEX(Movimientos!$M$5:$M$2001,MATCH(A800&amp;"ENTRADA",Movimientos!$R$5:$R$2001,0))),"S/D")</f>
        <v>S/D</v>
      </c>
      <c r="I800" s="16" t="str">
        <f t="shared" ca="1" si="26"/>
        <v>S/D</v>
      </c>
      <c r="J800" s="6">
        <f>IF(A800="","",SUMIFS(Movimientos!$K:$K,Movimientos!$H:$H,A800))</f>
        <v>0</v>
      </c>
      <c r="K800" s="14" t="str">
        <f t="shared" ca="1" si="27"/>
        <v>OK</v>
      </c>
    </row>
    <row r="801" spans="1:11">
      <c r="A801" s="18" t="s">
        <v>2862</v>
      </c>
      <c r="B801" s="3" t="str">
        <f>IFERROR(INDEX(Movimientos!$C$5:$C$2001,MATCH(A801&amp;"ENTRADA",Movimientos!$R$5:$R$2001,0)),"-")</f>
        <v>-</v>
      </c>
      <c r="C801" s="3" t="str">
        <f>IFERROR(INDEX(Movimientos!$D$5:$D$2001,MATCH(A801&amp;"ENTRADA",Movimientos!$R$5:$R$2001,0)),"-")</f>
        <v>-</v>
      </c>
      <c r="D801" s="3" t="str">
        <f>IFERROR(INDEX(Movimientos!$E$5:$E$2001,MATCH(A801&amp;"ENTRADA",Movimientos!$R$5:$R$2001,0)),"-")</f>
        <v>-</v>
      </c>
      <c r="E801" s="3" t="str">
        <f>IFERROR(INDEX(Movimientos!$F$5:$F$2001,MATCH(A801&amp;"ENTRADA",Movimientos!$R$5:$R$2001,0)),"-")</f>
        <v>-</v>
      </c>
      <c r="F801" s="3" t="str">
        <f>IFERROR(INDEX(Movimientos!$G$5:$G$2001,MATCH(A801&amp;"ENTRADA",Movimientos!$R$5:$R$2001,0)),"-")</f>
        <v>-</v>
      </c>
      <c r="G801" s="3" t="str">
        <f>IFERROR(INDEX(Movimientos!$L$5:$L$2001,MATCH(A801&amp;"ENTRADA",Movimientos!$R$5:$R$2001,0)),"-")</f>
        <v>-</v>
      </c>
      <c r="H801" s="19" t="str">
        <f>IFERROR(IF(INDEX(Movimientos!$M$5:$M$2001,MATCH(A801&amp;"ENTRADA",Movimientos!$R$5:$R$2001,0))=0,"S/D",INDEX(Movimientos!$M$5:$M$2001,MATCH(A801&amp;"ENTRADA",Movimientos!$R$5:$R$2001,0))),"S/D")</f>
        <v>S/D</v>
      </c>
      <c r="I801" s="16" t="str">
        <f t="shared" ca="1" si="26"/>
        <v>S/D</v>
      </c>
      <c r="J801" s="6">
        <f>IF(A801="","",SUMIFS(Movimientos!$K:$K,Movimientos!$H:$H,A801))</f>
        <v>0</v>
      </c>
      <c r="K801" s="14" t="str">
        <f t="shared" ca="1" si="27"/>
        <v>OK</v>
      </c>
    </row>
    <row r="802" spans="1:11">
      <c r="A802" s="18" t="s">
        <v>2863</v>
      </c>
      <c r="B802" s="3" t="str">
        <f>IFERROR(INDEX(Movimientos!$C$5:$C$2001,MATCH(A802&amp;"ENTRADA",Movimientos!$R$5:$R$2001,0)),"-")</f>
        <v>-</v>
      </c>
      <c r="C802" s="3" t="str">
        <f>IFERROR(INDEX(Movimientos!$D$5:$D$2001,MATCH(A802&amp;"ENTRADA",Movimientos!$R$5:$R$2001,0)),"-")</f>
        <v>-</v>
      </c>
      <c r="D802" s="3" t="str">
        <f>IFERROR(INDEX(Movimientos!$E$5:$E$2001,MATCH(A802&amp;"ENTRADA",Movimientos!$R$5:$R$2001,0)),"-")</f>
        <v>-</v>
      </c>
      <c r="E802" s="3" t="str">
        <f>IFERROR(INDEX(Movimientos!$F$5:$F$2001,MATCH(A802&amp;"ENTRADA",Movimientos!$R$5:$R$2001,0)),"-")</f>
        <v>-</v>
      </c>
      <c r="F802" s="3" t="str">
        <f>IFERROR(INDEX(Movimientos!$G$5:$G$2001,MATCH(A802&amp;"ENTRADA",Movimientos!$R$5:$R$2001,0)),"-")</f>
        <v>-</v>
      </c>
      <c r="G802" s="3" t="str">
        <f>IFERROR(INDEX(Movimientos!$L$5:$L$2001,MATCH(A802&amp;"ENTRADA",Movimientos!$R$5:$R$2001,0)),"-")</f>
        <v>-</v>
      </c>
      <c r="H802" s="19" t="str">
        <f>IFERROR(IF(INDEX(Movimientos!$M$5:$M$2001,MATCH(A802&amp;"ENTRADA",Movimientos!$R$5:$R$2001,0))=0,"S/D",INDEX(Movimientos!$M$5:$M$2001,MATCH(A802&amp;"ENTRADA",Movimientos!$R$5:$R$2001,0))),"S/D")</f>
        <v>S/D</v>
      </c>
      <c r="I802" s="16" t="str">
        <f t="shared" ca="1" si="26"/>
        <v>S/D</v>
      </c>
      <c r="J802" s="6">
        <f>IF(A802="","",SUMIFS(Movimientos!$K:$K,Movimientos!$H:$H,A802))</f>
        <v>0</v>
      </c>
      <c r="K802" s="14" t="str">
        <f t="shared" ca="1" si="27"/>
        <v>OK</v>
      </c>
    </row>
    <row r="803" spans="1:11">
      <c r="A803" s="18" t="s">
        <v>2864</v>
      </c>
      <c r="B803" s="3" t="str">
        <f>IFERROR(INDEX(Movimientos!$C$5:$C$2001,MATCH(A803&amp;"ENTRADA",Movimientos!$R$5:$R$2001,0)),"-")</f>
        <v>-</v>
      </c>
      <c r="C803" s="3" t="str">
        <f>IFERROR(INDEX(Movimientos!$D$5:$D$2001,MATCH(A803&amp;"ENTRADA",Movimientos!$R$5:$R$2001,0)),"-")</f>
        <v>-</v>
      </c>
      <c r="D803" s="3" t="str">
        <f>IFERROR(INDEX(Movimientos!$E$5:$E$2001,MATCH(A803&amp;"ENTRADA",Movimientos!$R$5:$R$2001,0)),"-")</f>
        <v>-</v>
      </c>
      <c r="E803" s="3" t="str">
        <f>IFERROR(INDEX(Movimientos!$F$5:$F$2001,MATCH(A803&amp;"ENTRADA",Movimientos!$R$5:$R$2001,0)),"-")</f>
        <v>-</v>
      </c>
      <c r="F803" s="3" t="str">
        <f>IFERROR(INDEX(Movimientos!$G$5:$G$2001,MATCH(A803&amp;"ENTRADA",Movimientos!$R$5:$R$2001,0)),"-")</f>
        <v>-</v>
      </c>
      <c r="G803" s="3" t="str">
        <f>IFERROR(INDEX(Movimientos!$L$5:$L$2001,MATCH(A803&amp;"ENTRADA",Movimientos!$R$5:$R$2001,0)),"-")</f>
        <v>-</v>
      </c>
      <c r="H803" s="19" t="str">
        <f>IFERROR(IF(INDEX(Movimientos!$M$5:$M$2001,MATCH(A803&amp;"ENTRADA",Movimientos!$R$5:$R$2001,0))=0,"S/D",INDEX(Movimientos!$M$5:$M$2001,MATCH(A803&amp;"ENTRADA",Movimientos!$R$5:$R$2001,0))),"S/D")</f>
        <v>S/D</v>
      </c>
      <c r="I803" s="16" t="str">
        <f t="shared" ca="1" si="26"/>
        <v>S/D</v>
      </c>
      <c r="J803" s="6">
        <f>IF(A803="","",SUMIFS(Movimientos!$K:$K,Movimientos!$H:$H,A803))</f>
        <v>0</v>
      </c>
      <c r="K803" s="14" t="str">
        <f t="shared" ca="1" si="27"/>
        <v>OK</v>
      </c>
    </row>
    <row r="804" spans="1:11">
      <c r="A804" s="18" t="s">
        <v>2865</v>
      </c>
      <c r="B804" s="3" t="str">
        <f>IFERROR(INDEX(Movimientos!$C$5:$C$2001,MATCH(A804&amp;"ENTRADA",Movimientos!$R$5:$R$2001,0)),"-")</f>
        <v>-</v>
      </c>
      <c r="C804" s="3" t="str">
        <f>IFERROR(INDEX(Movimientos!$D$5:$D$2001,MATCH(A804&amp;"ENTRADA",Movimientos!$R$5:$R$2001,0)),"-")</f>
        <v>-</v>
      </c>
      <c r="D804" s="3" t="str">
        <f>IFERROR(INDEX(Movimientos!$E$5:$E$2001,MATCH(A804&amp;"ENTRADA",Movimientos!$R$5:$R$2001,0)),"-")</f>
        <v>-</v>
      </c>
      <c r="E804" s="3" t="str">
        <f>IFERROR(INDEX(Movimientos!$F$5:$F$2001,MATCH(A804&amp;"ENTRADA",Movimientos!$R$5:$R$2001,0)),"-")</f>
        <v>-</v>
      </c>
      <c r="F804" s="3" t="str">
        <f>IFERROR(INDEX(Movimientos!$G$5:$G$2001,MATCH(A804&amp;"ENTRADA",Movimientos!$R$5:$R$2001,0)),"-")</f>
        <v>-</v>
      </c>
      <c r="G804" s="3" t="str">
        <f>IFERROR(INDEX(Movimientos!$L$5:$L$2001,MATCH(A804&amp;"ENTRADA",Movimientos!$R$5:$R$2001,0)),"-")</f>
        <v>-</v>
      </c>
      <c r="H804" s="19" t="str">
        <f>IFERROR(IF(INDEX(Movimientos!$M$5:$M$2001,MATCH(A804&amp;"ENTRADA",Movimientos!$R$5:$R$2001,0))=0,"S/D",INDEX(Movimientos!$M$5:$M$2001,MATCH(A804&amp;"ENTRADA",Movimientos!$R$5:$R$2001,0))),"S/D")</f>
        <v>S/D</v>
      </c>
      <c r="I804" s="16" t="str">
        <f t="shared" ca="1" si="26"/>
        <v>S/D</v>
      </c>
      <c r="J804" s="6">
        <f>IF(A804="","",SUMIFS(Movimientos!$K:$K,Movimientos!$H:$H,A804))</f>
        <v>0</v>
      </c>
      <c r="K804" s="14" t="str">
        <f t="shared" ca="1" si="27"/>
        <v>OK</v>
      </c>
    </row>
    <row r="805" spans="1:11">
      <c r="A805" s="18" t="s">
        <v>2866</v>
      </c>
      <c r="B805" s="3" t="str">
        <f>IFERROR(INDEX(Movimientos!$C$5:$C$2001,MATCH(A805&amp;"ENTRADA",Movimientos!$R$5:$R$2001,0)),"-")</f>
        <v>-</v>
      </c>
      <c r="C805" s="3" t="str">
        <f>IFERROR(INDEX(Movimientos!$D$5:$D$2001,MATCH(A805&amp;"ENTRADA",Movimientos!$R$5:$R$2001,0)),"-")</f>
        <v>-</v>
      </c>
      <c r="D805" s="3" t="str">
        <f>IFERROR(INDEX(Movimientos!$E$5:$E$2001,MATCH(A805&amp;"ENTRADA",Movimientos!$R$5:$R$2001,0)),"-")</f>
        <v>-</v>
      </c>
      <c r="E805" s="3" t="str">
        <f>IFERROR(INDEX(Movimientos!$F$5:$F$2001,MATCH(A805&amp;"ENTRADA",Movimientos!$R$5:$R$2001,0)),"-")</f>
        <v>-</v>
      </c>
      <c r="F805" s="3" t="str">
        <f>IFERROR(INDEX(Movimientos!$G$5:$G$2001,MATCH(A805&amp;"ENTRADA",Movimientos!$R$5:$R$2001,0)),"-")</f>
        <v>-</v>
      </c>
      <c r="G805" s="3" t="str">
        <f>IFERROR(INDEX(Movimientos!$L$5:$L$2001,MATCH(A805&amp;"ENTRADA",Movimientos!$R$5:$R$2001,0)),"-")</f>
        <v>-</v>
      </c>
      <c r="H805" s="19" t="str">
        <f>IFERROR(IF(INDEX(Movimientos!$M$5:$M$2001,MATCH(A805&amp;"ENTRADA",Movimientos!$R$5:$R$2001,0))=0,"S/D",INDEX(Movimientos!$M$5:$M$2001,MATCH(A805&amp;"ENTRADA",Movimientos!$R$5:$R$2001,0))),"S/D")</f>
        <v>S/D</v>
      </c>
      <c r="I805" s="16" t="str">
        <f t="shared" ca="1" si="26"/>
        <v>S/D</v>
      </c>
      <c r="J805" s="6">
        <f>IF(A805="","",SUMIFS(Movimientos!$K:$K,Movimientos!$H:$H,A805))</f>
        <v>0</v>
      </c>
      <c r="K805" s="14" t="str">
        <f t="shared" ca="1" si="27"/>
        <v>OK</v>
      </c>
    </row>
    <row r="806" spans="1:11">
      <c r="A806" s="18" t="s">
        <v>2867</v>
      </c>
      <c r="B806" s="3" t="str">
        <f>IFERROR(INDEX(Movimientos!$C$5:$C$2001,MATCH(A806&amp;"ENTRADA",Movimientos!$R$5:$R$2001,0)),"-")</f>
        <v>-</v>
      </c>
      <c r="C806" s="3" t="str">
        <f>IFERROR(INDEX(Movimientos!$D$5:$D$2001,MATCH(A806&amp;"ENTRADA",Movimientos!$R$5:$R$2001,0)),"-")</f>
        <v>-</v>
      </c>
      <c r="D806" s="3" t="str">
        <f>IFERROR(INDEX(Movimientos!$E$5:$E$2001,MATCH(A806&amp;"ENTRADA",Movimientos!$R$5:$R$2001,0)),"-")</f>
        <v>-</v>
      </c>
      <c r="E806" s="3" t="str">
        <f>IFERROR(INDEX(Movimientos!$F$5:$F$2001,MATCH(A806&amp;"ENTRADA",Movimientos!$R$5:$R$2001,0)),"-")</f>
        <v>-</v>
      </c>
      <c r="F806" s="3" t="str">
        <f>IFERROR(INDEX(Movimientos!$G$5:$G$2001,MATCH(A806&amp;"ENTRADA",Movimientos!$R$5:$R$2001,0)),"-")</f>
        <v>-</v>
      </c>
      <c r="G806" s="3" t="str">
        <f>IFERROR(INDEX(Movimientos!$L$5:$L$2001,MATCH(A806&amp;"ENTRADA",Movimientos!$R$5:$R$2001,0)),"-")</f>
        <v>-</v>
      </c>
      <c r="H806" s="19" t="str">
        <f>IFERROR(IF(INDEX(Movimientos!$M$5:$M$2001,MATCH(A806&amp;"ENTRADA",Movimientos!$R$5:$R$2001,0))=0,"S/D",INDEX(Movimientos!$M$5:$M$2001,MATCH(A806&amp;"ENTRADA",Movimientos!$R$5:$R$2001,0))),"S/D")</f>
        <v>S/D</v>
      </c>
      <c r="I806" s="16" t="str">
        <f t="shared" ca="1" si="26"/>
        <v>S/D</v>
      </c>
      <c r="J806" s="6">
        <f>IF(A806="","",SUMIFS(Movimientos!$K:$K,Movimientos!$H:$H,A806))</f>
        <v>0</v>
      </c>
      <c r="K806" s="14" t="str">
        <f t="shared" ca="1" si="27"/>
        <v>OK</v>
      </c>
    </row>
    <row r="807" spans="1:11">
      <c r="A807" s="18" t="s">
        <v>2868</v>
      </c>
      <c r="B807" s="3" t="str">
        <f>IFERROR(INDEX(Movimientos!$C$5:$C$2001,MATCH(A807&amp;"ENTRADA",Movimientos!$R$5:$R$2001,0)),"-")</f>
        <v>-</v>
      </c>
      <c r="C807" s="3" t="str">
        <f>IFERROR(INDEX(Movimientos!$D$5:$D$2001,MATCH(A807&amp;"ENTRADA",Movimientos!$R$5:$R$2001,0)),"-")</f>
        <v>-</v>
      </c>
      <c r="D807" s="3" t="str">
        <f>IFERROR(INDEX(Movimientos!$E$5:$E$2001,MATCH(A807&amp;"ENTRADA",Movimientos!$R$5:$R$2001,0)),"-")</f>
        <v>-</v>
      </c>
      <c r="E807" s="3" t="str">
        <f>IFERROR(INDEX(Movimientos!$F$5:$F$2001,MATCH(A807&amp;"ENTRADA",Movimientos!$R$5:$R$2001,0)),"-")</f>
        <v>-</v>
      </c>
      <c r="F807" s="3" t="str">
        <f>IFERROR(INDEX(Movimientos!$G$5:$G$2001,MATCH(A807&amp;"ENTRADA",Movimientos!$R$5:$R$2001,0)),"-")</f>
        <v>-</v>
      </c>
      <c r="G807" s="3" t="str">
        <f>IFERROR(INDEX(Movimientos!$L$5:$L$2001,MATCH(A807&amp;"ENTRADA",Movimientos!$R$5:$R$2001,0)),"-")</f>
        <v>-</v>
      </c>
      <c r="H807" s="19" t="str">
        <f>IFERROR(IF(INDEX(Movimientos!$M$5:$M$2001,MATCH(A807&amp;"ENTRADA",Movimientos!$R$5:$R$2001,0))=0,"S/D",INDEX(Movimientos!$M$5:$M$2001,MATCH(A807&amp;"ENTRADA",Movimientos!$R$5:$R$2001,0))),"S/D")</f>
        <v>S/D</v>
      </c>
      <c r="I807" s="16" t="str">
        <f t="shared" ca="1" si="26"/>
        <v>S/D</v>
      </c>
      <c r="J807" s="6">
        <f>IF(A807="","",SUMIFS(Movimientos!$K:$K,Movimientos!$H:$H,A807))</f>
        <v>0</v>
      </c>
      <c r="K807" s="14" t="str">
        <f t="shared" ca="1" si="27"/>
        <v>OK</v>
      </c>
    </row>
    <row r="808" spans="1:11">
      <c r="A808" s="18" t="s">
        <v>2869</v>
      </c>
      <c r="B808" s="3" t="str">
        <f>IFERROR(INDEX(Movimientos!$C$5:$C$2001,MATCH(A808&amp;"ENTRADA",Movimientos!$R$5:$R$2001,0)),"-")</f>
        <v>-</v>
      </c>
      <c r="C808" s="3" t="str">
        <f>IFERROR(INDEX(Movimientos!$D$5:$D$2001,MATCH(A808&amp;"ENTRADA",Movimientos!$R$5:$R$2001,0)),"-")</f>
        <v>-</v>
      </c>
      <c r="D808" s="3" t="str">
        <f>IFERROR(INDEX(Movimientos!$E$5:$E$2001,MATCH(A808&amp;"ENTRADA",Movimientos!$R$5:$R$2001,0)),"-")</f>
        <v>-</v>
      </c>
      <c r="E808" s="3" t="str">
        <f>IFERROR(INDEX(Movimientos!$F$5:$F$2001,MATCH(A808&amp;"ENTRADA",Movimientos!$R$5:$R$2001,0)),"-")</f>
        <v>-</v>
      </c>
      <c r="F808" s="3" t="str">
        <f>IFERROR(INDEX(Movimientos!$G$5:$G$2001,MATCH(A808&amp;"ENTRADA",Movimientos!$R$5:$R$2001,0)),"-")</f>
        <v>-</v>
      </c>
      <c r="G808" s="3" t="str">
        <f>IFERROR(INDEX(Movimientos!$L$5:$L$2001,MATCH(A808&amp;"ENTRADA",Movimientos!$R$5:$R$2001,0)),"-")</f>
        <v>-</v>
      </c>
      <c r="H808" s="19" t="str">
        <f>IFERROR(IF(INDEX(Movimientos!$M$5:$M$2001,MATCH(A808&amp;"ENTRADA",Movimientos!$R$5:$R$2001,0))=0,"S/D",INDEX(Movimientos!$M$5:$M$2001,MATCH(A808&amp;"ENTRADA",Movimientos!$R$5:$R$2001,0))),"S/D")</f>
        <v>S/D</v>
      </c>
      <c r="I808" s="16" t="str">
        <f t="shared" ca="1" si="26"/>
        <v>S/D</v>
      </c>
      <c r="J808" s="6">
        <f>IF(A808="","",SUMIFS(Movimientos!$K:$K,Movimientos!$H:$H,A808))</f>
        <v>0</v>
      </c>
      <c r="K808" s="14" t="str">
        <f t="shared" ca="1" si="27"/>
        <v>OK</v>
      </c>
    </row>
    <row r="809" spans="1:11">
      <c r="A809" s="18" t="s">
        <v>2870</v>
      </c>
      <c r="B809" s="3" t="str">
        <f>IFERROR(INDEX(Movimientos!$C$5:$C$2001,MATCH(A809&amp;"ENTRADA",Movimientos!$R$5:$R$2001,0)),"-")</f>
        <v>-</v>
      </c>
      <c r="C809" s="3" t="str">
        <f>IFERROR(INDEX(Movimientos!$D$5:$D$2001,MATCH(A809&amp;"ENTRADA",Movimientos!$R$5:$R$2001,0)),"-")</f>
        <v>-</v>
      </c>
      <c r="D809" s="3" t="str">
        <f>IFERROR(INDEX(Movimientos!$E$5:$E$2001,MATCH(A809&amp;"ENTRADA",Movimientos!$R$5:$R$2001,0)),"-")</f>
        <v>-</v>
      </c>
      <c r="E809" s="3" t="str">
        <f>IFERROR(INDEX(Movimientos!$F$5:$F$2001,MATCH(A809&amp;"ENTRADA",Movimientos!$R$5:$R$2001,0)),"-")</f>
        <v>-</v>
      </c>
      <c r="F809" s="3" t="str">
        <f>IFERROR(INDEX(Movimientos!$G$5:$G$2001,MATCH(A809&amp;"ENTRADA",Movimientos!$R$5:$R$2001,0)),"-")</f>
        <v>-</v>
      </c>
      <c r="G809" s="3" t="str">
        <f>IFERROR(INDEX(Movimientos!$L$5:$L$2001,MATCH(A809&amp;"ENTRADA",Movimientos!$R$5:$R$2001,0)),"-")</f>
        <v>-</v>
      </c>
      <c r="H809" s="19" t="str">
        <f>IFERROR(IF(INDEX(Movimientos!$M$5:$M$2001,MATCH(A809&amp;"ENTRADA",Movimientos!$R$5:$R$2001,0))=0,"S/D",INDEX(Movimientos!$M$5:$M$2001,MATCH(A809&amp;"ENTRADA",Movimientos!$R$5:$R$2001,0))),"S/D")</f>
        <v>S/D</v>
      </c>
      <c r="I809" s="16" t="str">
        <f t="shared" ca="1" si="26"/>
        <v>S/D</v>
      </c>
      <c r="J809" s="6">
        <f>IF(A809="","",SUMIFS(Movimientos!$K:$K,Movimientos!$H:$H,A809))</f>
        <v>0</v>
      </c>
      <c r="K809" s="14" t="str">
        <f t="shared" ca="1" si="27"/>
        <v>OK</v>
      </c>
    </row>
    <row r="810" spans="1:11">
      <c r="A810" s="18" t="s">
        <v>2871</v>
      </c>
      <c r="B810" s="3" t="str">
        <f>IFERROR(INDEX(Movimientos!$C$5:$C$2001,MATCH(A810&amp;"ENTRADA",Movimientos!$R$5:$R$2001,0)),"-")</f>
        <v>-</v>
      </c>
      <c r="C810" s="3" t="str">
        <f>IFERROR(INDEX(Movimientos!$D$5:$D$2001,MATCH(A810&amp;"ENTRADA",Movimientos!$R$5:$R$2001,0)),"-")</f>
        <v>-</v>
      </c>
      <c r="D810" s="3" t="str">
        <f>IFERROR(INDEX(Movimientos!$E$5:$E$2001,MATCH(A810&amp;"ENTRADA",Movimientos!$R$5:$R$2001,0)),"-")</f>
        <v>-</v>
      </c>
      <c r="E810" s="3" t="str">
        <f>IFERROR(INDEX(Movimientos!$F$5:$F$2001,MATCH(A810&amp;"ENTRADA",Movimientos!$R$5:$R$2001,0)),"-")</f>
        <v>-</v>
      </c>
      <c r="F810" s="3" t="str">
        <f>IFERROR(INDEX(Movimientos!$G$5:$G$2001,MATCH(A810&amp;"ENTRADA",Movimientos!$R$5:$R$2001,0)),"-")</f>
        <v>-</v>
      </c>
      <c r="G810" s="3" t="str">
        <f>IFERROR(INDEX(Movimientos!$L$5:$L$2001,MATCH(A810&amp;"ENTRADA",Movimientos!$R$5:$R$2001,0)),"-")</f>
        <v>-</v>
      </c>
      <c r="H810" s="19" t="str">
        <f>IFERROR(IF(INDEX(Movimientos!$M$5:$M$2001,MATCH(A810&amp;"ENTRADA",Movimientos!$R$5:$R$2001,0))=0,"S/D",INDEX(Movimientos!$M$5:$M$2001,MATCH(A810&amp;"ENTRADA",Movimientos!$R$5:$R$2001,0))),"S/D")</f>
        <v>S/D</v>
      </c>
      <c r="I810" s="16" t="str">
        <f t="shared" ca="1" si="26"/>
        <v>S/D</v>
      </c>
      <c r="J810" s="6">
        <f>IF(A810="","",SUMIFS(Movimientos!$K:$K,Movimientos!$H:$H,A810))</f>
        <v>0</v>
      </c>
      <c r="K810" s="14" t="str">
        <f t="shared" ca="1" si="27"/>
        <v>OK</v>
      </c>
    </row>
    <row r="811" spans="1:11">
      <c r="A811" s="18" t="s">
        <v>2872</v>
      </c>
      <c r="B811" s="3" t="str">
        <f>IFERROR(INDEX(Movimientos!$C$5:$C$2001,MATCH(A811&amp;"ENTRADA",Movimientos!$R$5:$R$2001,0)),"-")</f>
        <v>-</v>
      </c>
      <c r="C811" s="3" t="str">
        <f>IFERROR(INDEX(Movimientos!$D$5:$D$2001,MATCH(A811&amp;"ENTRADA",Movimientos!$R$5:$R$2001,0)),"-")</f>
        <v>-</v>
      </c>
      <c r="D811" s="3" t="str">
        <f>IFERROR(INDEX(Movimientos!$E$5:$E$2001,MATCH(A811&amp;"ENTRADA",Movimientos!$R$5:$R$2001,0)),"-")</f>
        <v>-</v>
      </c>
      <c r="E811" s="3" t="str">
        <f>IFERROR(INDEX(Movimientos!$F$5:$F$2001,MATCH(A811&amp;"ENTRADA",Movimientos!$R$5:$R$2001,0)),"-")</f>
        <v>-</v>
      </c>
      <c r="F811" s="3" t="str">
        <f>IFERROR(INDEX(Movimientos!$G$5:$G$2001,MATCH(A811&amp;"ENTRADA",Movimientos!$R$5:$R$2001,0)),"-")</f>
        <v>-</v>
      </c>
      <c r="G811" s="3" t="str">
        <f>IFERROR(INDEX(Movimientos!$L$5:$L$2001,MATCH(A811&amp;"ENTRADA",Movimientos!$R$5:$R$2001,0)),"-")</f>
        <v>-</v>
      </c>
      <c r="H811" s="19" t="str">
        <f>IFERROR(IF(INDEX(Movimientos!$M$5:$M$2001,MATCH(A811&amp;"ENTRADA",Movimientos!$R$5:$R$2001,0))=0,"S/D",INDEX(Movimientos!$M$5:$M$2001,MATCH(A811&amp;"ENTRADA",Movimientos!$R$5:$R$2001,0))),"S/D")</f>
        <v>S/D</v>
      </c>
      <c r="I811" s="16" t="str">
        <f t="shared" ca="1" si="26"/>
        <v>S/D</v>
      </c>
      <c r="J811" s="6">
        <f>IF(A811="","",SUMIFS(Movimientos!$K:$K,Movimientos!$H:$H,A811))</f>
        <v>0</v>
      </c>
      <c r="K811" s="14" t="str">
        <f t="shared" ca="1" si="27"/>
        <v>OK</v>
      </c>
    </row>
    <row r="812" spans="1:11">
      <c r="A812" s="18" t="s">
        <v>2873</v>
      </c>
      <c r="B812" s="3" t="str">
        <f>IFERROR(INDEX(Movimientos!$C$5:$C$2001,MATCH(A812&amp;"ENTRADA",Movimientos!$R$5:$R$2001,0)),"-")</f>
        <v>-</v>
      </c>
      <c r="C812" s="3" t="str">
        <f>IFERROR(INDEX(Movimientos!$D$5:$D$2001,MATCH(A812&amp;"ENTRADA",Movimientos!$R$5:$R$2001,0)),"-")</f>
        <v>-</v>
      </c>
      <c r="D812" s="3" t="str">
        <f>IFERROR(INDEX(Movimientos!$E$5:$E$2001,MATCH(A812&amp;"ENTRADA",Movimientos!$R$5:$R$2001,0)),"-")</f>
        <v>-</v>
      </c>
      <c r="E812" s="3" t="str">
        <f>IFERROR(INDEX(Movimientos!$F$5:$F$2001,MATCH(A812&amp;"ENTRADA",Movimientos!$R$5:$R$2001,0)),"-")</f>
        <v>-</v>
      </c>
      <c r="F812" s="3" t="str">
        <f>IFERROR(INDEX(Movimientos!$G$5:$G$2001,MATCH(A812&amp;"ENTRADA",Movimientos!$R$5:$R$2001,0)),"-")</f>
        <v>-</v>
      </c>
      <c r="G812" s="3" t="str">
        <f>IFERROR(INDEX(Movimientos!$L$5:$L$2001,MATCH(A812&amp;"ENTRADA",Movimientos!$R$5:$R$2001,0)),"-")</f>
        <v>-</v>
      </c>
      <c r="H812" s="19" t="str">
        <f>IFERROR(IF(INDEX(Movimientos!$M$5:$M$2001,MATCH(A812&amp;"ENTRADA",Movimientos!$R$5:$R$2001,0))=0,"S/D",INDEX(Movimientos!$M$5:$M$2001,MATCH(A812&amp;"ENTRADA",Movimientos!$R$5:$R$2001,0))),"S/D")</f>
        <v>S/D</v>
      </c>
      <c r="I812" s="16" t="str">
        <f t="shared" ca="1" si="26"/>
        <v>S/D</v>
      </c>
      <c r="J812" s="6">
        <f>IF(A812="","",SUMIFS(Movimientos!$K:$K,Movimientos!$H:$H,A812))</f>
        <v>0</v>
      </c>
      <c r="K812" s="14" t="str">
        <f t="shared" ca="1" si="27"/>
        <v>OK</v>
      </c>
    </row>
    <row r="813" spans="1:11">
      <c r="A813" s="18" t="s">
        <v>2874</v>
      </c>
      <c r="B813" s="3" t="str">
        <f>IFERROR(INDEX(Movimientos!$C$5:$C$2001,MATCH(A813&amp;"ENTRADA",Movimientos!$R$5:$R$2001,0)),"-")</f>
        <v>-</v>
      </c>
      <c r="C813" s="3" t="str">
        <f>IFERROR(INDEX(Movimientos!$D$5:$D$2001,MATCH(A813&amp;"ENTRADA",Movimientos!$R$5:$R$2001,0)),"-")</f>
        <v>-</v>
      </c>
      <c r="D813" s="3" t="str">
        <f>IFERROR(INDEX(Movimientos!$E$5:$E$2001,MATCH(A813&amp;"ENTRADA",Movimientos!$R$5:$R$2001,0)),"-")</f>
        <v>-</v>
      </c>
      <c r="E813" s="3" t="str">
        <f>IFERROR(INDEX(Movimientos!$F$5:$F$2001,MATCH(A813&amp;"ENTRADA",Movimientos!$R$5:$R$2001,0)),"-")</f>
        <v>-</v>
      </c>
      <c r="F813" s="3" t="str">
        <f>IFERROR(INDEX(Movimientos!$G$5:$G$2001,MATCH(A813&amp;"ENTRADA",Movimientos!$R$5:$R$2001,0)),"-")</f>
        <v>-</v>
      </c>
      <c r="G813" s="3" t="str">
        <f>IFERROR(INDEX(Movimientos!$L$5:$L$2001,MATCH(A813&amp;"ENTRADA",Movimientos!$R$5:$R$2001,0)),"-")</f>
        <v>-</v>
      </c>
      <c r="H813" s="19" t="str">
        <f>IFERROR(IF(INDEX(Movimientos!$M$5:$M$2001,MATCH(A813&amp;"ENTRADA",Movimientos!$R$5:$R$2001,0))=0,"S/D",INDEX(Movimientos!$M$5:$M$2001,MATCH(A813&amp;"ENTRADA",Movimientos!$R$5:$R$2001,0))),"S/D")</f>
        <v>S/D</v>
      </c>
      <c r="I813" s="16" t="str">
        <f t="shared" ca="1" si="26"/>
        <v>S/D</v>
      </c>
      <c r="J813" s="6">
        <f>IF(A813="","",SUMIFS(Movimientos!$K:$K,Movimientos!$H:$H,A813))</f>
        <v>0</v>
      </c>
      <c r="K813" s="14" t="str">
        <f t="shared" ca="1" si="27"/>
        <v>OK</v>
      </c>
    </row>
    <row r="814" spans="1:11">
      <c r="A814" s="18" t="s">
        <v>2875</v>
      </c>
      <c r="B814" s="3" t="str">
        <f>IFERROR(INDEX(Movimientos!$C$5:$C$2001,MATCH(A814&amp;"ENTRADA",Movimientos!$R$5:$R$2001,0)),"-")</f>
        <v>-</v>
      </c>
      <c r="C814" s="3" t="str">
        <f>IFERROR(INDEX(Movimientos!$D$5:$D$2001,MATCH(A814&amp;"ENTRADA",Movimientos!$R$5:$R$2001,0)),"-")</f>
        <v>-</v>
      </c>
      <c r="D814" s="3" t="str">
        <f>IFERROR(INDEX(Movimientos!$E$5:$E$2001,MATCH(A814&amp;"ENTRADA",Movimientos!$R$5:$R$2001,0)),"-")</f>
        <v>-</v>
      </c>
      <c r="E814" s="3" t="str">
        <f>IFERROR(INDEX(Movimientos!$F$5:$F$2001,MATCH(A814&amp;"ENTRADA",Movimientos!$R$5:$R$2001,0)),"-")</f>
        <v>-</v>
      </c>
      <c r="F814" s="3" t="str">
        <f>IFERROR(INDEX(Movimientos!$G$5:$G$2001,MATCH(A814&amp;"ENTRADA",Movimientos!$R$5:$R$2001,0)),"-")</f>
        <v>-</v>
      </c>
      <c r="G814" s="3" t="str">
        <f>IFERROR(INDEX(Movimientos!$L$5:$L$2001,MATCH(A814&amp;"ENTRADA",Movimientos!$R$5:$R$2001,0)),"-")</f>
        <v>-</v>
      </c>
      <c r="H814" s="19" t="str">
        <f>IFERROR(IF(INDEX(Movimientos!$M$5:$M$2001,MATCH(A814&amp;"ENTRADA",Movimientos!$R$5:$R$2001,0))=0,"S/D",INDEX(Movimientos!$M$5:$M$2001,MATCH(A814&amp;"ENTRADA",Movimientos!$R$5:$R$2001,0))),"S/D")</f>
        <v>S/D</v>
      </c>
      <c r="I814" s="16" t="str">
        <f t="shared" ca="1" si="26"/>
        <v>S/D</v>
      </c>
      <c r="J814" s="6">
        <f>IF(A814="","",SUMIFS(Movimientos!$K:$K,Movimientos!$H:$H,A814))</f>
        <v>0</v>
      </c>
      <c r="K814" s="14" t="str">
        <f t="shared" ca="1" si="27"/>
        <v>OK</v>
      </c>
    </row>
    <row r="815" spans="1:11">
      <c r="A815" s="18" t="s">
        <v>2876</v>
      </c>
      <c r="B815" s="3" t="str">
        <f>IFERROR(INDEX(Movimientos!$C$5:$C$2001,MATCH(A815&amp;"ENTRADA",Movimientos!$R$5:$R$2001,0)),"-")</f>
        <v>-</v>
      </c>
      <c r="C815" s="3" t="str">
        <f>IFERROR(INDEX(Movimientos!$D$5:$D$2001,MATCH(A815&amp;"ENTRADA",Movimientos!$R$5:$R$2001,0)),"-")</f>
        <v>-</v>
      </c>
      <c r="D815" s="3" t="str">
        <f>IFERROR(INDEX(Movimientos!$E$5:$E$2001,MATCH(A815&amp;"ENTRADA",Movimientos!$R$5:$R$2001,0)),"-")</f>
        <v>-</v>
      </c>
      <c r="E815" s="3" t="str">
        <f>IFERROR(INDEX(Movimientos!$F$5:$F$2001,MATCH(A815&amp;"ENTRADA",Movimientos!$R$5:$R$2001,0)),"-")</f>
        <v>-</v>
      </c>
      <c r="F815" s="3" t="str">
        <f>IFERROR(INDEX(Movimientos!$G$5:$G$2001,MATCH(A815&amp;"ENTRADA",Movimientos!$R$5:$R$2001,0)),"-")</f>
        <v>-</v>
      </c>
      <c r="G815" s="3" t="str">
        <f>IFERROR(INDEX(Movimientos!$L$5:$L$2001,MATCH(A815&amp;"ENTRADA",Movimientos!$R$5:$R$2001,0)),"-")</f>
        <v>-</v>
      </c>
      <c r="H815" s="19" t="str">
        <f>IFERROR(IF(INDEX(Movimientos!$M$5:$M$2001,MATCH(A815&amp;"ENTRADA",Movimientos!$R$5:$R$2001,0))=0,"S/D",INDEX(Movimientos!$M$5:$M$2001,MATCH(A815&amp;"ENTRADA",Movimientos!$R$5:$R$2001,0))),"S/D")</f>
        <v>S/D</v>
      </c>
      <c r="I815" s="16" t="str">
        <f t="shared" ca="1" si="26"/>
        <v>S/D</v>
      </c>
      <c r="J815" s="6">
        <f>IF(A815="","",SUMIFS(Movimientos!$K:$K,Movimientos!$H:$H,A815))</f>
        <v>0</v>
      </c>
      <c r="K815" s="14" t="str">
        <f t="shared" ca="1" si="27"/>
        <v>OK</v>
      </c>
    </row>
    <row r="816" spans="1:11">
      <c r="A816" s="18" t="s">
        <v>2877</v>
      </c>
      <c r="B816" s="3" t="str">
        <f>IFERROR(INDEX(Movimientos!$C$5:$C$2001,MATCH(A816&amp;"ENTRADA",Movimientos!$R$5:$R$2001,0)),"-")</f>
        <v>-</v>
      </c>
      <c r="C816" s="3" t="str">
        <f>IFERROR(INDEX(Movimientos!$D$5:$D$2001,MATCH(A816&amp;"ENTRADA",Movimientos!$R$5:$R$2001,0)),"-")</f>
        <v>-</v>
      </c>
      <c r="D816" s="3" t="str">
        <f>IFERROR(INDEX(Movimientos!$E$5:$E$2001,MATCH(A816&amp;"ENTRADA",Movimientos!$R$5:$R$2001,0)),"-")</f>
        <v>-</v>
      </c>
      <c r="E816" s="3" t="str">
        <f>IFERROR(INDEX(Movimientos!$F$5:$F$2001,MATCH(A816&amp;"ENTRADA",Movimientos!$R$5:$R$2001,0)),"-")</f>
        <v>-</v>
      </c>
      <c r="F816" s="3" t="str">
        <f>IFERROR(INDEX(Movimientos!$G$5:$G$2001,MATCH(A816&amp;"ENTRADA",Movimientos!$R$5:$R$2001,0)),"-")</f>
        <v>-</v>
      </c>
      <c r="G816" s="3" t="str">
        <f>IFERROR(INDEX(Movimientos!$L$5:$L$2001,MATCH(A816&amp;"ENTRADA",Movimientos!$R$5:$R$2001,0)),"-")</f>
        <v>-</v>
      </c>
      <c r="H816" s="19" t="str">
        <f>IFERROR(IF(INDEX(Movimientos!$M$5:$M$2001,MATCH(A816&amp;"ENTRADA",Movimientos!$R$5:$R$2001,0))=0,"S/D",INDEX(Movimientos!$M$5:$M$2001,MATCH(A816&amp;"ENTRADA",Movimientos!$R$5:$R$2001,0))),"S/D")</f>
        <v>S/D</v>
      </c>
      <c r="I816" s="16" t="str">
        <f t="shared" ca="1" si="26"/>
        <v>S/D</v>
      </c>
      <c r="J816" s="6">
        <f>IF(A816="","",SUMIFS(Movimientos!$K:$K,Movimientos!$H:$H,A816))</f>
        <v>0</v>
      </c>
      <c r="K816" s="14" t="str">
        <f t="shared" ca="1" si="27"/>
        <v>OK</v>
      </c>
    </row>
    <row r="817" spans="1:11">
      <c r="A817" s="18" t="s">
        <v>2878</v>
      </c>
      <c r="B817" s="3" t="str">
        <f>IFERROR(INDEX(Movimientos!$C$5:$C$2001,MATCH(A817&amp;"ENTRADA",Movimientos!$R$5:$R$2001,0)),"-")</f>
        <v>-</v>
      </c>
      <c r="C817" s="3" t="str">
        <f>IFERROR(INDEX(Movimientos!$D$5:$D$2001,MATCH(A817&amp;"ENTRADA",Movimientos!$R$5:$R$2001,0)),"-")</f>
        <v>-</v>
      </c>
      <c r="D817" s="3" t="str">
        <f>IFERROR(INDEX(Movimientos!$E$5:$E$2001,MATCH(A817&amp;"ENTRADA",Movimientos!$R$5:$R$2001,0)),"-")</f>
        <v>-</v>
      </c>
      <c r="E817" s="3" t="str">
        <f>IFERROR(INDEX(Movimientos!$F$5:$F$2001,MATCH(A817&amp;"ENTRADA",Movimientos!$R$5:$R$2001,0)),"-")</f>
        <v>-</v>
      </c>
      <c r="F817" s="3" t="str">
        <f>IFERROR(INDEX(Movimientos!$G$5:$G$2001,MATCH(A817&amp;"ENTRADA",Movimientos!$R$5:$R$2001,0)),"-")</f>
        <v>-</v>
      </c>
      <c r="G817" s="3" t="str">
        <f>IFERROR(INDEX(Movimientos!$L$5:$L$2001,MATCH(A817&amp;"ENTRADA",Movimientos!$R$5:$R$2001,0)),"-")</f>
        <v>-</v>
      </c>
      <c r="H817" s="19" t="str">
        <f>IFERROR(IF(INDEX(Movimientos!$M$5:$M$2001,MATCH(A817&amp;"ENTRADA",Movimientos!$R$5:$R$2001,0))=0,"S/D",INDEX(Movimientos!$M$5:$M$2001,MATCH(A817&amp;"ENTRADA",Movimientos!$R$5:$R$2001,0))),"S/D")</f>
        <v>S/D</v>
      </c>
      <c r="I817" s="16" t="str">
        <f t="shared" ca="1" si="26"/>
        <v>S/D</v>
      </c>
      <c r="J817" s="6">
        <f>IF(A817="","",SUMIFS(Movimientos!$K:$K,Movimientos!$H:$H,A817))</f>
        <v>0</v>
      </c>
      <c r="K817" s="14" t="str">
        <f t="shared" ca="1" si="27"/>
        <v>OK</v>
      </c>
    </row>
    <row r="818" spans="1:11">
      <c r="A818" s="18" t="s">
        <v>2879</v>
      </c>
      <c r="B818" s="3" t="str">
        <f>IFERROR(INDEX(Movimientos!$C$5:$C$2001,MATCH(A818&amp;"ENTRADA",Movimientos!$R$5:$R$2001,0)),"-")</f>
        <v>-</v>
      </c>
      <c r="C818" s="3" t="str">
        <f>IFERROR(INDEX(Movimientos!$D$5:$D$2001,MATCH(A818&amp;"ENTRADA",Movimientos!$R$5:$R$2001,0)),"-")</f>
        <v>-</v>
      </c>
      <c r="D818" s="3" t="str">
        <f>IFERROR(INDEX(Movimientos!$E$5:$E$2001,MATCH(A818&amp;"ENTRADA",Movimientos!$R$5:$R$2001,0)),"-")</f>
        <v>-</v>
      </c>
      <c r="E818" s="3" t="str">
        <f>IFERROR(INDEX(Movimientos!$F$5:$F$2001,MATCH(A818&amp;"ENTRADA",Movimientos!$R$5:$R$2001,0)),"-")</f>
        <v>-</v>
      </c>
      <c r="F818" s="3" t="str">
        <f>IFERROR(INDEX(Movimientos!$G$5:$G$2001,MATCH(A818&amp;"ENTRADA",Movimientos!$R$5:$R$2001,0)),"-")</f>
        <v>-</v>
      </c>
      <c r="G818" s="3" t="str">
        <f>IFERROR(INDEX(Movimientos!$L$5:$L$2001,MATCH(A818&amp;"ENTRADA",Movimientos!$R$5:$R$2001,0)),"-")</f>
        <v>-</v>
      </c>
      <c r="H818" s="19" t="str">
        <f>IFERROR(IF(INDEX(Movimientos!$M$5:$M$2001,MATCH(A818&amp;"ENTRADA",Movimientos!$R$5:$R$2001,0))=0,"S/D",INDEX(Movimientos!$M$5:$M$2001,MATCH(A818&amp;"ENTRADA",Movimientos!$R$5:$R$2001,0))),"S/D")</f>
        <v>S/D</v>
      </c>
      <c r="I818" s="16" t="str">
        <f t="shared" ca="1" si="26"/>
        <v>S/D</v>
      </c>
      <c r="J818" s="6">
        <f>IF(A818="","",SUMIFS(Movimientos!$K:$K,Movimientos!$H:$H,A818))</f>
        <v>0</v>
      </c>
      <c r="K818" s="14" t="str">
        <f t="shared" ca="1" si="27"/>
        <v>OK</v>
      </c>
    </row>
    <row r="819" spans="1:11">
      <c r="A819" s="18" t="s">
        <v>2880</v>
      </c>
      <c r="B819" s="3" t="str">
        <f>IFERROR(INDEX(Movimientos!$C$5:$C$2001,MATCH(A819&amp;"ENTRADA",Movimientos!$R$5:$R$2001,0)),"-")</f>
        <v>-</v>
      </c>
      <c r="C819" s="3" t="str">
        <f>IFERROR(INDEX(Movimientos!$D$5:$D$2001,MATCH(A819&amp;"ENTRADA",Movimientos!$R$5:$R$2001,0)),"-")</f>
        <v>-</v>
      </c>
      <c r="D819" s="3" t="str">
        <f>IFERROR(INDEX(Movimientos!$E$5:$E$2001,MATCH(A819&amp;"ENTRADA",Movimientos!$R$5:$R$2001,0)),"-")</f>
        <v>-</v>
      </c>
      <c r="E819" s="3" t="str">
        <f>IFERROR(INDEX(Movimientos!$F$5:$F$2001,MATCH(A819&amp;"ENTRADA",Movimientos!$R$5:$R$2001,0)),"-")</f>
        <v>-</v>
      </c>
      <c r="F819" s="3" t="str">
        <f>IFERROR(INDEX(Movimientos!$G$5:$G$2001,MATCH(A819&amp;"ENTRADA",Movimientos!$R$5:$R$2001,0)),"-")</f>
        <v>-</v>
      </c>
      <c r="G819" s="3" t="str">
        <f>IFERROR(INDEX(Movimientos!$L$5:$L$2001,MATCH(A819&amp;"ENTRADA",Movimientos!$R$5:$R$2001,0)),"-")</f>
        <v>-</v>
      </c>
      <c r="H819" s="19" t="str">
        <f>IFERROR(IF(INDEX(Movimientos!$M$5:$M$2001,MATCH(A819&amp;"ENTRADA",Movimientos!$R$5:$R$2001,0))=0,"S/D",INDEX(Movimientos!$M$5:$M$2001,MATCH(A819&amp;"ENTRADA",Movimientos!$R$5:$R$2001,0))),"S/D")</f>
        <v>S/D</v>
      </c>
      <c r="I819" s="16" t="str">
        <f t="shared" ca="1" si="26"/>
        <v>S/D</v>
      </c>
      <c r="J819" s="6">
        <f>IF(A819="","",SUMIFS(Movimientos!$K:$K,Movimientos!$H:$H,A819))</f>
        <v>0</v>
      </c>
      <c r="K819" s="14" t="str">
        <f t="shared" ca="1" si="27"/>
        <v>OK</v>
      </c>
    </row>
    <row r="820" spans="1:11">
      <c r="A820" s="18" t="s">
        <v>2881</v>
      </c>
      <c r="B820" s="3" t="str">
        <f>IFERROR(INDEX(Movimientos!$C$5:$C$2001,MATCH(A820&amp;"ENTRADA",Movimientos!$R$5:$R$2001,0)),"-")</f>
        <v>-</v>
      </c>
      <c r="C820" s="3" t="str">
        <f>IFERROR(INDEX(Movimientos!$D$5:$D$2001,MATCH(A820&amp;"ENTRADA",Movimientos!$R$5:$R$2001,0)),"-")</f>
        <v>-</v>
      </c>
      <c r="D820" s="3" t="str">
        <f>IFERROR(INDEX(Movimientos!$E$5:$E$2001,MATCH(A820&amp;"ENTRADA",Movimientos!$R$5:$R$2001,0)),"-")</f>
        <v>-</v>
      </c>
      <c r="E820" s="3" t="str">
        <f>IFERROR(INDEX(Movimientos!$F$5:$F$2001,MATCH(A820&amp;"ENTRADA",Movimientos!$R$5:$R$2001,0)),"-")</f>
        <v>-</v>
      </c>
      <c r="F820" s="3" t="str">
        <f>IFERROR(INDEX(Movimientos!$G$5:$G$2001,MATCH(A820&amp;"ENTRADA",Movimientos!$R$5:$R$2001,0)),"-")</f>
        <v>-</v>
      </c>
      <c r="G820" s="3" t="str">
        <f>IFERROR(INDEX(Movimientos!$L$5:$L$2001,MATCH(A820&amp;"ENTRADA",Movimientos!$R$5:$R$2001,0)),"-")</f>
        <v>-</v>
      </c>
      <c r="H820" s="19" t="str">
        <f>IFERROR(IF(INDEX(Movimientos!$M$5:$M$2001,MATCH(A820&amp;"ENTRADA",Movimientos!$R$5:$R$2001,0))=0,"S/D",INDEX(Movimientos!$M$5:$M$2001,MATCH(A820&amp;"ENTRADA",Movimientos!$R$5:$R$2001,0))),"S/D")</f>
        <v>S/D</v>
      </c>
      <c r="I820" s="16" t="str">
        <f t="shared" ca="1" si="26"/>
        <v>S/D</v>
      </c>
      <c r="J820" s="6">
        <f>IF(A820="","",SUMIFS(Movimientos!$K:$K,Movimientos!$H:$H,A820))</f>
        <v>0</v>
      </c>
      <c r="K820" s="14" t="str">
        <f t="shared" ca="1" si="27"/>
        <v>OK</v>
      </c>
    </row>
    <row r="821" spans="1:11">
      <c r="A821" s="18" t="s">
        <v>2882</v>
      </c>
      <c r="B821" s="3" t="str">
        <f>IFERROR(INDEX(Movimientos!$C$5:$C$2001,MATCH(A821&amp;"ENTRADA",Movimientos!$R$5:$R$2001,0)),"-")</f>
        <v>-</v>
      </c>
      <c r="C821" s="3" t="str">
        <f>IFERROR(INDEX(Movimientos!$D$5:$D$2001,MATCH(A821&amp;"ENTRADA",Movimientos!$R$5:$R$2001,0)),"-")</f>
        <v>-</v>
      </c>
      <c r="D821" s="3" t="str">
        <f>IFERROR(INDEX(Movimientos!$E$5:$E$2001,MATCH(A821&amp;"ENTRADA",Movimientos!$R$5:$R$2001,0)),"-")</f>
        <v>-</v>
      </c>
      <c r="E821" s="3" t="str">
        <f>IFERROR(INDEX(Movimientos!$F$5:$F$2001,MATCH(A821&amp;"ENTRADA",Movimientos!$R$5:$R$2001,0)),"-")</f>
        <v>-</v>
      </c>
      <c r="F821" s="3" t="str">
        <f>IFERROR(INDEX(Movimientos!$G$5:$G$2001,MATCH(A821&amp;"ENTRADA",Movimientos!$R$5:$R$2001,0)),"-")</f>
        <v>-</v>
      </c>
      <c r="G821" s="3" t="str">
        <f>IFERROR(INDEX(Movimientos!$L$5:$L$2001,MATCH(A821&amp;"ENTRADA",Movimientos!$R$5:$R$2001,0)),"-")</f>
        <v>-</v>
      </c>
      <c r="H821" s="19" t="str">
        <f>IFERROR(IF(INDEX(Movimientos!$M$5:$M$2001,MATCH(A821&amp;"ENTRADA",Movimientos!$R$5:$R$2001,0))=0,"S/D",INDEX(Movimientos!$M$5:$M$2001,MATCH(A821&amp;"ENTRADA",Movimientos!$R$5:$R$2001,0))),"S/D")</f>
        <v>S/D</v>
      </c>
      <c r="I821" s="16" t="str">
        <f t="shared" ca="1" si="26"/>
        <v>S/D</v>
      </c>
      <c r="J821" s="6">
        <f>IF(A821="","",SUMIFS(Movimientos!$K:$K,Movimientos!$H:$H,A821))</f>
        <v>0</v>
      </c>
      <c r="K821" s="14" t="str">
        <f t="shared" ca="1" si="27"/>
        <v>OK</v>
      </c>
    </row>
    <row r="822" spans="1:11">
      <c r="A822" s="18" t="s">
        <v>2883</v>
      </c>
      <c r="B822" s="3" t="str">
        <f>IFERROR(INDEX(Movimientos!$C$5:$C$2001,MATCH(A822&amp;"ENTRADA",Movimientos!$R$5:$R$2001,0)),"-")</f>
        <v>-</v>
      </c>
      <c r="C822" s="3" t="str">
        <f>IFERROR(INDEX(Movimientos!$D$5:$D$2001,MATCH(A822&amp;"ENTRADA",Movimientos!$R$5:$R$2001,0)),"-")</f>
        <v>-</v>
      </c>
      <c r="D822" s="3" t="str">
        <f>IFERROR(INDEX(Movimientos!$E$5:$E$2001,MATCH(A822&amp;"ENTRADA",Movimientos!$R$5:$R$2001,0)),"-")</f>
        <v>-</v>
      </c>
      <c r="E822" s="3" t="str">
        <f>IFERROR(INDEX(Movimientos!$F$5:$F$2001,MATCH(A822&amp;"ENTRADA",Movimientos!$R$5:$R$2001,0)),"-")</f>
        <v>-</v>
      </c>
      <c r="F822" s="3" t="str">
        <f>IFERROR(INDEX(Movimientos!$G$5:$G$2001,MATCH(A822&amp;"ENTRADA",Movimientos!$R$5:$R$2001,0)),"-")</f>
        <v>-</v>
      </c>
      <c r="G822" s="3" t="str">
        <f>IFERROR(INDEX(Movimientos!$L$5:$L$2001,MATCH(A822&amp;"ENTRADA",Movimientos!$R$5:$R$2001,0)),"-")</f>
        <v>-</v>
      </c>
      <c r="H822" s="19" t="str">
        <f>IFERROR(IF(INDEX(Movimientos!$M$5:$M$2001,MATCH(A822&amp;"ENTRADA",Movimientos!$R$5:$R$2001,0))=0,"S/D",INDEX(Movimientos!$M$5:$M$2001,MATCH(A822&amp;"ENTRADA",Movimientos!$R$5:$R$2001,0))),"S/D")</f>
        <v>S/D</v>
      </c>
      <c r="I822" s="16" t="str">
        <f t="shared" ca="1" si="26"/>
        <v>S/D</v>
      </c>
      <c r="J822" s="6">
        <f>IF(A822="","",SUMIFS(Movimientos!$K:$K,Movimientos!$H:$H,A822))</f>
        <v>0</v>
      </c>
      <c r="K822" s="14" t="str">
        <f t="shared" ca="1" si="27"/>
        <v>OK</v>
      </c>
    </row>
    <row r="823" spans="1:11">
      <c r="A823" s="18" t="s">
        <v>2884</v>
      </c>
      <c r="B823" s="3" t="str">
        <f>IFERROR(INDEX(Movimientos!$C$5:$C$2001,MATCH(A823&amp;"ENTRADA",Movimientos!$R$5:$R$2001,0)),"-")</f>
        <v>-</v>
      </c>
      <c r="C823" s="3" t="str">
        <f>IFERROR(INDEX(Movimientos!$D$5:$D$2001,MATCH(A823&amp;"ENTRADA",Movimientos!$R$5:$R$2001,0)),"-")</f>
        <v>-</v>
      </c>
      <c r="D823" s="3" t="str">
        <f>IFERROR(INDEX(Movimientos!$E$5:$E$2001,MATCH(A823&amp;"ENTRADA",Movimientos!$R$5:$R$2001,0)),"-")</f>
        <v>-</v>
      </c>
      <c r="E823" s="3" t="str">
        <f>IFERROR(INDEX(Movimientos!$F$5:$F$2001,MATCH(A823&amp;"ENTRADA",Movimientos!$R$5:$R$2001,0)),"-")</f>
        <v>-</v>
      </c>
      <c r="F823" s="3" t="str">
        <f>IFERROR(INDEX(Movimientos!$G$5:$G$2001,MATCH(A823&amp;"ENTRADA",Movimientos!$R$5:$R$2001,0)),"-")</f>
        <v>-</v>
      </c>
      <c r="G823" s="3" t="str">
        <f>IFERROR(INDEX(Movimientos!$L$5:$L$2001,MATCH(A823&amp;"ENTRADA",Movimientos!$R$5:$R$2001,0)),"-")</f>
        <v>-</v>
      </c>
      <c r="H823" s="19" t="str">
        <f>IFERROR(IF(INDEX(Movimientos!$M$5:$M$2001,MATCH(A823&amp;"ENTRADA",Movimientos!$R$5:$R$2001,0))=0,"S/D",INDEX(Movimientos!$M$5:$M$2001,MATCH(A823&amp;"ENTRADA",Movimientos!$R$5:$R$2001,0))),"S/D")</f>
        <v>S/D</v>
      </c>
      <c r="I823" s="16" t="str">
        <f t="shared" ca="1" si="26"/>
        <v>S/D</v>
      </c>
      <c r="J823" s="6">
        <f>IF(A823="","",SUMIFS(Movimientos!$K:$K,Movimientos!$H:$H,A823))</f>
        <v>0</v>
      </c>
      <c r="K823" s="14" t="str">
        <f t="shared" ca="1" si="27"/>
        <v>OK</v>
      </c>
    </row>
    <row r="824" spans="1:11">
      <c r="A824" s="18" t="s">
        <v>2885</v>
      </c>
      <c r="B824" s="3" t="str">
        <f>IFERROR(INDEX(Movimientos!$C$5:$C$2001,MATCH(A824&amp;"ENTRADA",Movimientos!$R$5:$R$2001,0)),"-")</f>
        <v>-</v>
      </c>
      <c r="C824" s="3" t="str">
        <f>IFERROR(INDEX(Movimientos!$D$5:$D$2001,MATCH(A824&amp;"ENTRADA",Movimientos!$R$5:$R$2001,0)),"-")</f>
        <v>-</v>
      </c>
      <c r="D824" s="3" t="str">
        <f>IFERROR(INDEX(Movimientos!$E$5:$E$2001,MATCH(A824&amp;"ENTRADA",Movimientos!$R$5:$R$2001,0)),"-")</f>
        <v>-</v>
      </c>
      <c r="E824" s="3" t="str">
        <f>IFERROR(INDEX(Movimientos!$F$5:$F$2001,MATCH(A824&amp;"ENTRADA",Movimientos!$R$5:$R$2001,0)),"-")</f>
        <v>-</v>
      </c>
      <c r="F824" s="3" t="str">
        <f>IFERROR(INDEX(Movimientos!$G$5:$G$2001,MATCH(A824&amp;"ENTRADA",Movimientos!$R$5:$R$2001,0)),"-")</f>
        <v>-</v>
      </c>
      <c r="G824" s="3" t="str">
        <f>IFERROR(INDEX(Movimientos!$L$5:$L$2001,MATCH(A824&amp;"ENTRADA",Movimientos!$R$5:$R$2001,0)),"-")</f>
        <v>-</v>
      </c>
      <c r="H824" s="19" t="str">
        <f>IFERROR(IF(INDEX(Movimientos!$M$5:$M$2001,MATCH(A824&amp;"ENTRADA",Movimientos!$R$5:$R$2001,0))=0,"S/D",INDEX(Movimientos!$M$5:$M$2001,MATCH(A824&amp;"ENTRADA",Movimientos!$R$5:$R$2001,0))),"S/D")</f>
        <v>S/D</v>
      </c>
      <c r="I824" s="16" t="str">
        <f t="shared" ca="1" si="26"/>
        <v>S/D</v>
      </c>
      <c r="J824" s="6">
        <f>IF(A824="","",SUMIFS(Movimientos!$K:$K,Movimientos!$H:$H,A824))</f>
        <v>0</v>
      </c>
      <c r="K824" s="14" t="str">
        <f t="shared" ca="1" si="27"/>
        <v>OK</v>
      </c>
    </row>
    <row r="825" spans="1:11">
      <c r="A825" s="18" t="s">
        <v>2886</v>
      </c>
      <c r="B825" s="3" t="str">
        <f>IFERROR(INDEX(Movimientos!$C$5:$C$2001,MATCH(A825&amp;"ENTRADA",Movimientos!$R$5:$R$2001,0)),"-")</f>
        <v>-</v>
      </c>
      <c r="C825" s="3" t="str">
        <f>IFERROR(INDEX(Movimientos!$D$5:$D$2001,MATCH(A825&amp;"ENTRADA",Movimientos!$R$5:$R$2001,0)),"-")</f>
        <v>-</v>
      </c>
      <c r="D825" s="3" t="str">
        <f>IFERROR(INDEX(Movimientos!$E$5:$E$2001,MATCH(A825&amp;"ENTRADA",Movimientos!$R$5:$R$2001,0)),"-")</f>
        <v>-</v>
      </c>
      <c r="E825" s="3" t="str">
        <f>IFERROR(INDEX(Movimientos!$F$5:$F$2001,MATCH(A825&amp;"ENTRADA",Movimientos!$R$5:$R$2001,0)),"-")</f>
        <v>-</v>
      </c>
      <c r="F825" s="3" t="str">
        <f>IFERROR(INDEX(Movimientos!$G$5:$G$2001,MATCH(A825&amp;"ENTRADA",Movimientos!$R$5:$R$2001,0)),"-")</f>
        <v>-</v>
      </c>
      <c r="G825" s="3" t="str">
        <f>IFERROR(INDEX(Movimientos!$L$5:$L$2001,MATCH(A825&amp;"ENTRADA",Movimientos!$R$5:$R$2001,0)),"-")</f>
        <v>-</v>
      </c>
      <c r="H825" s="19" t="str">
        <f>IFERROR(IF(INDEX(Movimientos!$M$5:$M$2001,MATCH(A825&amp;"ENTRADA",Movimientos!$R$5:$R$2001,0))=0,"S/D",INDEX(Movimientos!$M$5:$M$2001,MATCH(A825&amp;"ENTRADA",Movimientos!$R$5:$R$2001,0))),"S/D")</f>
        <v>S/D</v>
      </c>
      <c r="I825" s="16" t="str">
        <f t="shared" ca="1" si="26"/>
        <v>S/D</v>
      </c>
      <c r="J825" s="6">
        <f>IF(A825="","",SUMIFS(Movimientos!$K:$K,Movimientos!$H:$H,A825))</f>
        <v>0</v>
      </c>
      <c r="K825" s="14" t="str">
        <f t="shared" ca="1" si="27"/>
        <v>OK</v>
      </c>
    </row>
    <row r="826" spans="1:11">
      <c r="A826" s="18" t="s">
        <v>2887</v>
      </c>
      <c r="B826" s="3" t="str">
        <f>IFERROR(INDEX(Movimientos!$C$5:$C$2001,MATCH(A826&amp;"ENTRADA",Movimientos!$R$5:$R$2001,0)),"-")</f>
        <v>-</v>
      </c>
      <c r="C826" s="3" t="str">
        <f>IFERROR(INDEX(Movimientos!$D$5:$D$2001,MATCH(A826&amp;"ENTRADA",Movimientos!$R$5:$R$2001,0)),"-")</f>
        <v>-</v>
      </c>
      <c r="D826" s="3" t="str">
        <f>IFERROR(INDEX(Movimientos!$E$5:$E$2001,MATCH(A826&amp;"ENTRADA",Movimientos!$R$5:$R$2001,0)),"-")</f>
        <v>-</v>
      </c>
      <c r="E826" s="3" t="str">
        <f>IFERROR(INDEX(Movimientos!$F$5:$F$2001,MATCH(A826&amp;"ENTRADA",Movimientos!$R$5:$R$2001,0)),"-")</f>
        <v>-</v>
      </c>
      <c r="F826" s="3" t="str">
        <f>IFERROR(INDEX(Movimientos!$G$5:$G$2001,MATCH(A826&amp;"ENTRADA",Movimientos!$R$5:$R$2001,0)),"-")</f>
        <v>-</v>
      </c>
      <c r="G826" s="3" t="str">
        <f>IFERROR(INDEX(Movimientos!$L$5:$L$2001,MATCH(A826&amp;"ENTRADA",Movimientos!$R$5:$R$2001,0)),"-")</f>
        <v>-</v>
      </c>
      <c r="H826" s="19" t="str">
        <f>IFERROR(IF(INDEX(Movimientos!$M$5:$M$2001,MATCH(A826&amp;"ENTRADA",Movimientos!$R$5:$R$2001,0))=0,"S/D",INDEX(Movimientos!$M$5:$M$2001,MATCH(A826&amp;"ENTRADA",Movimientos!$R$5:$R$2001,0))),"S/D")</f>
        <v>S/D</v>
      </c>
      <c r="I826" s="16" t="str">
        <f t="shared" ca="1" si="26"/>
        <v>S/D</v>
      </c>
      <c r="J826" s="6">
        <f>IF(A826="","",SUMIFS(Movimientos!$K:$K,Movimientos!$H:$H,A826))</f>
        <v>0</v>
      </c>
      <c r="K826" s="14" t="str">
        <f t="shared" ca="1" si="27"/>
        <v>OK</v>
      </c>
    </row>
    <row r="827" spans="1:11">
      <c r="A827" s="18" t="s">
        <v>2888</v>
      </c>
      <c r="B827" s="3" t="str">
        <f>IFERROR(INDEX(Movimientos!$C$5:$C$2001,MATCH(A827&amp;"ENTRADA",Movimientos!$R$5:$R$2001,0)),"-")</f>
        <v>-</v>
      </c>
      <c r="C827" s="3" t="str">
        <f>IFERROR(INDEX(Movimientos!$D$5:$D$2001,MATCH(A827&amp;"ENTRADA",Movimientos!$R$5:$R$2001,0)),"-")</f>
        <v>-</v>
      </c>
      <c r="D827" s="3" t="str">
        <f>IFERROR(INDEX(Movimientos!$E$5:$E$2001,MATCH(A827&amp;"ENTRADA",Movimientos!$R$5:$R$2001,0)),"-")</f>
        <v>-</v>
      </c>
      <c r="E827" s="3" t="str">
        <f>IFERROR(INDEX(Movimientos!$F$5:$F$2001,MATCH(A827&amp;"ENTRADA",Movimientos!$R$5:$R$2001,0)),"-")</f>
        <v>-</v>
      </c>
      <c r="F827" s="3" t="str">
        <f>IFERROR(INDEX(Movimientos!$G$5:$G$2001,MATCH(A827&amp;"ENTRADA",Movimientos!$R$5:$R$2001,0)),"-")</f>
        <v>-</v>
      </c>
      <c r="G827" s="3" t="str">
        <f>IFERROR(INDEX(Movimientos!$L$5:$L$2001,MATCH(A827&amp;"ENTRADA",Movimientos!$R$5:$R$2001,0)),"-")</f>
        <v>-</v>
      </c>
      <c r="H827" s="19" t="str">
        <f>IFERROR(IF(INDEX(Movimientos!$M$5:$M$2001,MATCH(A827&amp;"ENTRADA",Movimientos!$R$5:$R$2001,0))=0,"S/D",INDEX(Movimientos!$M$5:$M$2001,MATCH(A827&amp;"ENTRADA",Movimientos!$R$5:$R$2001,0))),"S/D")</f>
        <v>S/D</v>
      </c>
      <c r="I827" s="16" t="str">
        <f t="shared" ca="1" si="26"/>
        <v>S/D</v>
      </c>
      <c r="J827" s="6">
        <f>IF(A827="","",SUMIFS(Movimientos!$K:$K,Movimientos!$H:$H,A827))</f>
        <v>0</v>
      </c>
      <c r="K827" s="14" t="str">
        <f t="shared" ca="1" si="27"/>
        <v>OK</v>
      </c>
    </row>
    <row r="828" spans="1:11">
      <c r="A828" s="18" t="s">
        <v>2889</v>
      </c>
      <c r="B828" s="3" t="str">
        <f>IFERROR(INDEX(Movimientos!$C$5:$C$2001,MATCH(A828&amp;"ENTRADA",Movimientos!$R$5:$R$2001,0)),"-")</f>
        <v>-</v>
      </c>
      <c r="C828" s="3" t="str">
        <f>IFERROR(INDEX(Movimientos!$D$5:$D$2001,MATCH(A828&amp;"ENTRADA",Movimientos!$R$5:$R$2001,0)),"-")</f>
        <v>-</v>
      </c>
      <c r="D828" s="3" t="str">
        <f>IFERROR(INDEX(Movimientos!$E$5:$E$2001,MATCH(A828&amp;"ENTRADA",Movimientos!$R$5:$R$2001,0)),"-")</f>
        <v>-</v>
      </c>
      <c r="E828" s="3" t="str">
        <f>IFERROR(INDEX(Movimientos!$F$5:$F$2001,MATCH(A828&amp;"ENTRADA",Movimientos!$R$5:$R$2001,0)),"-")</f>
        <v>-</v>
      </c>
      <c r="F828" s="3" t="str">
        <f>IFERROR(INDEX(Movimientos!$G$5:$G$2001,MATCH(A828&amp;"ENTRADA",Movimientos!$R$5:$R$2001,0)),"-")</f>
        <v>-</v>
      </c>
      <c r="G828" s="3" t="str">
        <f>IFERROR(INDEX(Movimientos!$L$5:$L$2001,MATCH(A828&amp;"ENTRADA",Movimientos!$R$5:$R$2001,0)),"-")</f>
        <v>-</v>
      </c>
      <c r="H828" s="19" t="str">
        <f>IFERROR(IF(INDEX(Movimientos!$M$5:$M$2001,MATCH(A828&amp;"ENTRADA",Movimientos!$R$5:$R$2001,0))=0,"S/D",INDEX(Movimientos!$M$5:$M$2001,MATCH(A828&amp;"ENTRADA",Movimientos!$R$5:$R$2001,0))),"S/D")</f>
        <v>S/D</v>
      </c>
      <c r="I828" s="16" t="str">
        <f t="shared" ca="1" si="26"/>
        <v>S/D</v>
      </c>
      <c r="J828" s="6">
        <f>IF(A828="","",SUMIFS(Movimientos!$K:$K,Movimientos!$H:$H,A828))</f>
        <v>0</v>
      </c>
      <c r="K828" s="14" t="str">
        <f t="shared" ca="1" si="27"/>
        <v>OK</v>
      </c>
    </row>
    <row r="829" spans="1:11">
      <c r="A829" s="18" t="s">
        <v>2890</v>
      </c>
      <c r="B829" s="3" t="str">
        <f>IFERROR(INDEX(Movimientos!$C$5:$C$2001,MATCH(A829&amp;"ENTRADA",Movimientos!$R$5:$R$2001,0)),"-")</f>
        <v>-</v>
      </c>
      <c r="C829" s="3" t="str">
        <f>IFERROR(INDEX(Movimientos!$D$5:$D$2001,MATCH(A829&amp;"ENTRADA",Movimientos!$R$5:$R$2001,0)),"-")</f>
        <v>-</v>
      </c>
      <c r="D829" s="3" t="str">
        <f>IFERROR(INDEX(Movimientos!$E$5:$E$2001,MATCH(A829&amp;"ENTRADA",Movimientos!$R$5:$R$2001,0)),"-")</f>
        <v>-</v>
      </c>
      <c r="E829" s="3" t="str">
        <f>IFERROR(INDEX(Movimientos!$F$5:$F$2001,MATCH(A829&amp;"ENTRADA",Movimientos!$R$5:$R$2001,0)),"-")</f>
        <v>-</v>
      </c>
      <c r="F829" s="3" t="str">
        <f>IFERROR(INDEX(Movimientos!$G$5:$G$2001,MATCH(A829&amp;"ENTRADA",Movimientos!$R$5:$R$2001,0)),"-")</f>
        <v>-</v>
      </c>
      <c r="G829" s="3" t="str">
        <f>IFERROR(INDEX(Movimientos!$L$5:$L$2001,MATCH(A829&amp;"ENTRADA",Movimientos!$R$5:$R$2001,0)),"-")</f>
        <v>-</v>
      </c>
      <c r="H829" s="19" t="str">
        <f>IFERROR(IF(INDEX(Movimientos!$M$5:$M$2001,MATCH(A829&amp;"ENTRADA",Movimientos!$R$5:$R$2001,0))=0,"S/D",INDEX(Movimientos!$M$5:$M$2001,MATCH(A829&amp;"ENTRADA",Movimientos!$R$5:$R$2001,0))),"S/D")</f>
        <v>S/D</v>
      </c>
      <c r="I829" s="16" t="str">
        <f t="shared" ca="1" si="26"/>
        <v>S/D</v>
      </c>
      <c r="J829" s="6">
        <f>IF(A829="","",SUMIFS(Movimientos!$K:$K,Movimientos!$H:$H,A829))</f>
        <v>0</v>
      </c>
      <c r="K829" s="14" t="str">
        <f t="shared" ca="1" si="27"/>
        <v>OK</v>
      </c>
    </row>
    <row r="830" spans="1:11">
      <c r="A830" s="18" t="s">
        <v>2891</v>
      </c>
      <c r="B830" s="3" t="str">
        <f>IFERROR(INDEX(Movimientos!$C$5:$C$2001,MATCH(A830&amp;"ENTRADA",Movimientos!$R$5:$R$2001,0)),"-")</f>
        <v>-</v>
      </c>
      <c r="C830" s="3" t="str">
        <f>IFERROR(INDEX(Movimientos!$D$5:$D$2001,MATCH(A830&amp;"ENTRADA",Movimientos!$R$5:$R$2001,0)),"-")</f>
        <v>-</v>
      </c>
      <c r="D830" s="3" t="str">
        <f>IFERROR(INDEX(Movimientos!$E$5:$E$2001,MATCH(A830&amp;"ENTRADA",Movimientos!$R$5:$R$2001,0)),"-")</f>
        <v>-</v>
      </c>
      <c r="E830" s="3" t="str">
        <f>IFERROR(INDEX(Movimientos!$F$5:$F$2001,MATCH(A830&amp;"ENTRADA",Movimientos!$R$5:$R$2001,0)),"-")</f>
        <v>-</v>
      </c>
      <c r="F830" s="3" t="str">
        <f>IFERROR(INDEX(Movimientos!$G$5:$G$2001,MATCH(A830&amp;"ENTRADA",Movimientos!$R$5:$R$2001,0)),"-")</f>
        <v>-</v>
      </c>
      <c r="G830" s="3" t="str">
        <f>IFERROR(INDEX(Movimientos!$L$5:$L$2001,MATCH(A830&amp;"ENTRADA",Movimientos!$R$5:$R$2001,0)),"-")</f>
        <v>-</v>
      </c>
      <c r="H830" s="19" t="str">
        <f>IFERROR(IF(INDEX(Movimientos!$M$5:$M$2001,MATCH(A830&amp;"ENTRADA",Movimientos!$R$5:$R$2001,0))=0,"S/D",INDEX(Movimientos!$M$5:$M$2001,MATCH(A830&amp;"ENTRADA",Movimientos!$R$5:$R$2001,0))),"S/D")</f>
        <v>S/D</v>
      </c>
      <c r="I830" s="16" t="str">
        <f t="shared" ca="1" si="26"/>
        <v>S/D</v>
      </c>
      <c r="J830" s="6">
        <f>IF(A830="","",SUMIFS(Movimientos!$K:$K,Movimientos!$H:$H,A830))</f>
        <v>0</v>
      </c>
      <c r="K830" s="14" t="str">
        <f t="shared" ca="1" si="27"/>
        <v>OK</v>
      </c>
    </row>
    <row r="831" spans="1:11">
      <c r="A831" s="18" t="s">
        <v>2892</v>
      </c>
      <c r="B831" s="3" t="str">
        <f>IFERROR(INDEX(Movimientos!$C$5:$C$2001,MATCH(A831&amp;"ENTRADA",Movimientos!$R$5:$R$2001,0)),"-")</f>
        <v>-</v>
      </c>
      <c r="C831" s="3" t="str">
        <f>IFERROR(INDEX(Movimientos!$D$5:$D$2001,MATCH(A831&amp;"ENTRADA",Movimientos!$R$5:$R$2001,0)),"-")</f>
        <v>-</v>
      </c>
      <c r="D831" s="3" t="str">
        <f>IFERROR(INDEX(Movimientos!$E$5:$E$2001,MATCH(A831&amp;"ENTRADA",Movimientos!$R$5:$R$2001,0)),"-")</f>
        <v>-</v>
      </c>
      <c r="E831" s="3" t="str">
        <f>IFERROR(INDEX(Movimientos!$F$5:$F$2001,MATCH(A831&amp;"ENTRADA",Movimientos!$R$5:$R$2001,0)),"-")</f>
        <v>-</v>
      </c>
      <c r="F831" s="3" t="str">
        <f>IFERROR(INDEX(Movimientos!$G$5:$G$2001,MATCH(A831&amp;"ENTRADA",Movimientos!$R$5:$R$2001,0)),"-")</f>
        <v>-</v>
      </c>
      <c r="G831" s="3" t="str">
        <f>IFERROR(INDEX(Movimientos!$L$5:$L$2001,MATCH(A831&amp;"ENTRADA",Movimientos!$R$5:$R$2001,0)),"-")</f>
        <v>-</v>
      </c>
      <c r="H831" s="19" t="str">
        <f>IFERROR(IF(INDEX(Movimientos!$M$5:$M$2001,MATCH(A831&amp;"ENTRADA",Movimientos!$R$5:$R$2001,0))=0,"S/D",INDEX(Movimientos!$M$5:$M$2001,MATCH(A831&amp;"ENTRADA",Movimientos!$R$5:$R$2001,0))),"S/D")</f>
        <v>S/D</v>
      </c>
      <c r="I831" s="16" t="str">
        <f t="shared" ca="1" si="26"/>
        <v>S/D</v>
      </c>
      <c r="J831" s="6">
        <f>IF(A831="","",SUMIFS(Movimientos!$K:$K,Movimientos!$H:$H,A831))</f>
        <v>0</v>
      </c>
      <c r="K831" s="14" t="str">
        <f t="shared" ca="1" si="27"/>
        <v>OK</v>
      </c>
    </row>
    <row r="832" spans="1:11">
      <c r="A832" s="18" t="s">
        <v>2893</v>
      </c>
      <c r="B832" s="3" t="str">
        <f>IFERROR(INDEX(Movimientos!$C$5:$C$2001,MATCH(A832&amp;"ENTRADA",Movimientos!$R$5:$R$2001,0)),"-")</f>
        <v>-</v>
      </c>
      <c r="C832" s="3" t="str">
        <f>IFERROR(INDEX(Movimientos!$D$5:$D$2001,MATCH(A832&amp;"ENTRADA",Movimientos!$R$5:$R$2001,0)),"-")</f>
        <v>-</v>
      </c>
      <c r="D832" s="3" t="str">
        <f>IFERROR(INDEX(Movimientos!$E$5:$E$2001,MATCH(A832&amp;"ENTRADA",Movimientos!$R$5:$R$2001,0)),"-")</f>
        <v>-</v>
      </c>
      <c r="E832" s="3" t="str">
        <f>IFERROR(INDEX(Movimientos!$F$5:$F$2001,MATCH(A832&amp;"ENTRADA",Movimientos!$R$5:$R$2001,0)),"-")</f>
        <v>-</v>
      </c>
      <c r="F832" s="3" t="str">
        <f>IFERROR(INDEX(Movimientos!$G$5:$G$2001,MATCH(A832&amp;"ENTRADA",Movimientos!$R$5:$R$2001,0)),"-")</f>
        <v>-</v>
      </c>
      <c r="G832" s="3" t="str">
        <f>IFERROR(INDEX(Movimientos!$L$5:$L$2001,MATCH(A832&amp;"ENTRADA",Movimientos!$R$5:$R$2001,0)),"-")</f>
        <v>-</v>
      </c>
      <c r="H832" s="19" t="str">
        <f>IFERROR(IF(INDEX(Movimientos!$M$5:$M$2001,MATCH(A832&amp;"ENTRADA",Movimientos!$R$5:$R$2001,0))=0,"S/D",INDEX(Movimientos!$M$5:$M$2001,MATCH(A832&amp;"ENTRADA",Movimientos!$R$5:$R$2001,0))),"S/D")</f>
        <v>S/D</v>
      </c>
      <c r="I832" s="16" t="str">
        <f t="shared" ca="1" si="26"/>
        <v>S/D</v>
      </c>
      <c r="J832" s="6">
        <f>IF(A832="","",SUMIFS(Movimientos!$K:$K,Movimientos!$H:$H,A832))</f>
        <v>0</v>
      </c>
      <c r="K832" s="14" t="str">
        <f t="shared" ca="1" si="27"/>
        <v>OK</v>
      </c>
    </row>
    <row r="833" spans="1:11">
      <c r="A833" s="18" t="s">
        <v>2894</v>
      </c>
      <c r="B833" s="3" t="str">
        <f>IFERROR(INDEX(Movimientos!$C$5:$C$2001,MATCH(A833&amp;"ENTRADA",Movimientos!$R$5:$R$2001,0)),"-")</f>
        <v>-</v>
      </c>
      <c r="C833" s="3" t="str">
        <f>IFERROR(INDEX(Movimientos!$D$5:$D$2001,MATCH(A833&amp;"ENTRADA",Movimientos!$R$5:$R$2001,0)),"-")</f>
        <v>-</v>
      </c>
      <c r="D833" s="3" t="str">
        <f>IFERROR(INDEX(Movimientos!$E$5:$E$2001,MATCH(A833&amp;"ENTRADA",Movimientos!$R$5:$R$2001,0)),"-")</f>
        <v>-</v>
      </c>
      <c r="E833" s="3" t="str">
        <f>IFERROR(INDEX(Movimientos!$F$5:$F$2001,MATCH(A833&amp;"ENTRADA",Movimientos!$R$5:$R$2001,0)),"-")</f>
        <v>-</v>
      </c>
      <c r="F833" s="3" t="str">
        <f>IFERROR(INDEX(Movimientos!$G$5:$G$2001,MATCH(A833&amp;"ENTRADA",Movimientos!$R$5:$R$2001,0)),"-")</f>
        <v>-</v>
      </c>
      <c r="G833" s="3" t="str">
        <f>IFERROR(INDEX(Movimientos!$L$5:$L$2001,MATCH(A833&amp;"ENTRADA",Movimientos!$R$5:$R$2001,0)),"-")</f>
        <v>-</v>
      </c>
      <c r="H833" s="19" t="str">
        <f>IFERROR(IF(INDEX(Movimientos!$M$5:$M$2001,MATCH(A833&amp;"ENTRADA",Movimientos!$R$5:$R$2001,0))=0,"S/D",INDEX(Movimientos!$M$5:$M$2001,MATCH(A833&amp;"ENTRADA",Movimientos!$R$5:$R$2001,0))),"S/D")</f>
        <v>S/D</v>
      </c>
      <c r="I833" s="16" t="str">
        <f t="shared" ca="1" si="26"/>
        <v>S/D</v>
      </c>
      <c r="J833" s="6">
        <f>IF(A833="","",SUMIFS(Movimientos!$K:$K,Movimientos!$H:$H,A833))</f>
        <v>0</v>
      </c>
      <c r="K833" s="14" t="str">
        <f t="shared" ca="1" si="27"/>
        <v>OK</v>
      </c>
    </row>
    <row r="834" spans="1:11">
      <c r="A834" s="18" t="s">
        <v>2895</v>
      </c>
      <c r="B834" s="3" t="str">
        <f>IFERROR(INDEX(Movimientos!$C$5:$C$2001,MATCH(A834&amp;"ENTRADA",Movimientos!$R$5:$R$2001,0)),"-")</f>
        <v>-</v>
      </c>
      <c r="C834" s="3" t="str">
        <f>IFERROR(INDEX(Movimientos!$D$5:$D$2001,MATCH(A834&amp;"ENTRADA",Movimientos!$R$5:$R$2001,0)),"-")</f>
        <v>-</v>
      </c>
      <c r="D834" s="3" t="str">
        <f>IFERROR(INDEX(Movimientos!$E$5:$E$2001,MATCH(A834&amp;"ENTRADA",Movimientos!$R$5:$R$2001,0)),"-")</f>
        <v>-</v>
      </c>
      <c r="E834" s="3" t="str">
        <f>IFERROR(INDEX(Movimientos!$F$5:$F$2001,MATCH(A834&amp;"ENTRADA",Movimientos!$R$5:$R$2001,0)),"-")</f>
        <v>-</v>
      </c>
      <c r="F834" s="3" t="str">
        <f>IFERROR(INDEX(Movimientos!$G$5:$G$2001,MATCH(A834&amp;"ENTRADA",Movimientos!$R$5:$R$2001,0)),"-")</f>
        <v>-</v>
      </c>
      <c r="G834" s="3" t="str">
        <f>IFERROR(INDEX(Movimientos!$L$5:$L$2001,MATCH(A834&amp;"ENTRADA",Movimientos!$R$5:$R$2001,0)),"-")</f>
        <v>-</v>
      </c>
      <c r="H834" s="19" t="str">
        <f>IFERROR(IF(INDEX(Movimientos!$M$5:$M$2001,MATCH(A834&amp;"ENTRADA",Movimientos!$R$5:$R$2001,0))=0,"S/D",INDEX(Movimientos!$M$5:$M$2001,MATCH(A834&amp;"ENTRADA",Movimientos!$R$5:$R$2001,0))),"S/D")</f>
        <v>S/D</v>
      </c>
      <c r="I834" s="16" t="str">
        <f t="shared" ca="1" si="26"/>
        <v>S/D</v>
      </c>
      <c r="J834" s="6">
        <f>IF(A834="","",SUMIFS(Movimientos!$K:$K,Movimientos!$H:$H,A834))</f>
        <v>0</v>
      </c>
      <c r="K834" s="14" t="str">
        <f t="shared" ca="1" si="27"/>
        <v>OK</v>
      </c>
    </row>
    <row r="835" spans="1:11">
      <c r="A835" s="18" t="s">
        <v>2896</v>
      </c>
      <c r="B835" s="3" t="str">
        <f>IFERROR(INDEX(Movimientos!$C$5:$C$2001,MATCH(A835&amp;"ENTRADA",Movimientos!$R$5:$R$2001,0)),"-")</f>
        <v>-</v>
      </c>
      <c r="C835" s="3" t="str">
        <f>IFERROR(INDEX(Movimientos!$D$5:$D$2001,MATCH(A835&amp;"ENTRADA",Movimientos!$R$5:$R$2001,0)),"-")</f>
        <v>-</v>
      </c>
      <c r="D835" s="3" t="str">
        <f>IFERROR(INDEX(Movimientos!$E$5:$E$2001,MATCH(A835&amp;"ENTRADA",Movimientos!$R$5:$R$2001,0)),"-")</f>
        <v>-</v>
      </c>
      <c r="E835" s="3" t="str">
        <f>IFERROR(INDEX(Movimientos!$F$5:$F$2001,MATCH(A835&amp;"ENTRADA",Movimientos!$R$5:$R$2001,0)),"-")</f>
        <v>-</v>
      </c>
      <c r="F835" s="3" t="str">
        <f>IFERROR(INDEX(Movimientos!$G$5:$G$2001,MATCH(A835&amp;"ENTRADA",Movimientos!$R$5:$R$2001,0)),"-")</f>
        <v>-</v>
      </c>
      <c r="G835" s="3" t="str">
        <f>IFERROR(INDEX(Movimientos!$L$5:$L$2001,MATCH(A835&amp;"ENTRADA",Movimientos!$R$5:$R$2001,0)),"-")</f>
        <v>-</v>
      </c>
      <c r="H835" s="19" t="str">
        <f>IFERROR(IF(INDEX(Movimientos!$M$5:$M$2001,MATCH(A835&amp;"ENTRADA",Movimientos!$R$5:$R$2001,0))=0,"S/D",INDEX(Movimientos!$M$5:$M$2001,MATCH(A835&amp;"ENTRADA",Movimientos!$R$5:$R$2001,0))),"S/D")</f>
        <v>S/D</v>
      </c>
      <c r="I835" s="16" t="str">
        <f t="shared" ca="1" si="26"/>
        <v>S/D</v>
      </c>
      <c r="J835" s="6">
        <f>IF(A835="","",SUMIFS(Movimientos!$K:$K,Movimientos!$H:$H,A835))</f>
        <v>0</v>
      </c>
      <c r="K835" s="14" t="str">
        <f t="shared" ca="1" si="27"/>
        <v>OK</v>
      </c>
    </row>
    <row r="836" spans="1:11">
      <c r="A836" s="18" t="s">
        <v>2897</v>
      </c>
      <c r="B836" s="3" t="str">
        <f>IFERROR(INDEX(Movimientos!$C$5:$C$2001,MATCH(A836&amp;"ENTRADA",Movimientos!$R$5:$R$2001,0)),"-")</f>
        <v>-</v>
      </c>
      <c r="C836" s="3" t="str">
        <f>IFERROR(INDEX(Movimientos!$D$5:$D$2001,MATCH(A836&amp;"ENTRADA",Movimientos!$R$5:$R$2001,0)),"-")</f>
        <v>-</v>
      </c>
      <c r="D836" s="3" t="str">
        <f>IFERROR(INDEX(Movimientos!$E$5:$E$2001,MATCH(A836&amp;"ENTRADA",Movimientos!$R$5:$R$2001,0)),"-")</f>
        <v>-</v>
      </c>
      <c r="E836" s="3" t="str">
        <f>IFERROR(INDEX(Movimientos!$F$5:$F$2001,MATCH(A836&amp;"ENTRADA",Movimientos!$R$5:$R$2001,0)),"-")</f>
        <v>-</v>
      </c>
      <c r="F836" s="3" t="str">
        <f>IFERROR(INDEX(Movimientos!$G$5:$G$2001,MATCH(A836&amp;"ENTRADA",Movimientos!$R$5:$R$2001,0)),"-")</f>
        <v>-</v>
      </c>
      <c r="G836" s="3" t="str">
        <f>IFERROR(INDEX(Movimientos!$L$5:$L$2001,MATCH(A836&amp;"ENTRADA",Movimientos!$R$5:$R$2001,0)),"-")</f>
        <v>-</v>
      </c>
      <c r="H836" s="19" t="str">
        <f>IFERROR(IF(INDEX(Movimientos!$M$5:$M$2001,MATCH(A836&amp;"ENTRADA",Movimientos!$R$5:$R$2001,0))=0,"S/D",INDEX(Movimientos!$M$5:$M$2001,MATCH(A836&amp;"ENTRADA",Movimientos!$R$5:$R$2001,0))),"S/D")</f>
        <v>S/D</v>
      </c>
      <c r="I836" s="16" t="str">
        <f t="shared" ca="1" si="26"/>
        <v>S/D</v>
      </c>
      <c r="J836" s="6">
        <f>IF(A836="","",SUMIFS(Movimientos!$K:$K,Movimientos!$H:$H,A836))</f>
        <v>0</v>
      </c>
      <c r="K836" s="14" t="str">
        <f t="shared" ca="1" si="27"/>
        <v>OK</v>
      </c>
    </row>
    <row r="837" spans="1:11">
      <c r="A837" s="18" t="s">
        <v>2898</v>
      </c>
      <c r="B837" s="3" t="str">
        <f>IFERROR(INDEX(Movimientos!$C$5:$C$2001,MATCH(A837&amp;"ENTRADA",Movimientos!$R$5:$R$2001,0)),"-")</f>
        <v>-</v>
      </c>
      <c r="C837" s="3" t="str">
        <f>IFERROR(INDEX(Movimientos!$D$5:$D$2001,MATCH(A837&amp;"ENTRADA",Movimientos!$R$5:$R$2001,0)),"-")</f>
        <v>-</v>
      </c>
      <c r="D837" s="3" t="str">
        <f>IFERROR(INDEX(Movimientos!$E$5:$E$2001,MATCH(A837&amp;"ENTRADA",Movimientos!$R$5:$R$2001,0)),"-")</f>
        <v>-</v>
      </c>
      <c r="E837" s="3" t="str">
        <f>IFERROR(INDEX(Movimientos!$F$5:$F$2001,MATCH(A837&amp;"ENTRADA",Movimientos!$R$5:$R$2001,0)),"-")</f>
        <v>-</v>
      </c>
      <c r="F837" s="3" t="str">
        <f>IFERROR(INDEX(Movimientos!$G$5:$G$2001,MATCH(A837&amp;"ENTRADA",Movimientos!$R$5:$R$2001,0)),"-")</f>
        <v>-</v>
      </c>
      <c r="G837" s="3" t="str">
        <f>IFERROR(INDEX(Movimientos!$L$5:$L$2001,MATCH(A837&amp;"ENTRADA",Movimientos!$R$5:$R$2001,0)),"-")</f>
        <v>-</v>
      </c>
      <c r="H837" s="19" t="str">
        <f>IFERROR(IF(INDEX(Movimientos!$M$5:$M$2001,MATCH(A837&amp;"ENTRADA",Movimientos!$R$5:$R$2001,0))=0,"S/D",INDEX(Movimientos!$M$5:$M$2001,MATCH(A837&amp;"ENTRADA",Movimientos!$R$5:$R$2001,0))),"S/D")</f>
        <v>S/D</v>
      </c>
      <c r="I837" s="16" t="str">
        <f t="shared" ca="1" si="26"/>
        <v>S/D</v>
      </c>
      <c r="J837" s="6">
        <f>IF(A837="","",SUMIFS(Movimientos!$K:$K,Movimientos!$H:$H,A837))</f>
        <v>0</v>
      </c>
      <c r="K837" s="14" t="str">
        <f t="shared" ca="1" si="27"/>
        <v>OK</v>
      </c>
    </row>
    <row r="838" spans="1:11">
      <c r="A838" s="18" t="s">
        <v>2899</v>
      </c>
      <c r="B838" s="3" t="str">
        <f>IFERROR(INDEX(Movimientos!$C$5:$C$2001,MATCH(A838&amp;"ENTRADA",Movimientos!$R$5:$R$2001,0)),"-")</f>
        <v>-</v>
      </c>
      <c r="C838" s="3" t="str">
        <f>IFERROR(INDEX(Movimientos!$D$5:$D$2001,MATCH(A838&amp;"ENTRADA",Movimientos!$R$5:$R$2001,0)),"-")</f>
        <v>-</v>
      </c>
      <c r="D838" s="3" t="str">
        <f>IFERROR(INDEX(Movimientos!$E$5:$E$2001,MATCH(A838&amp;"ENTRADA",Movimientos!$R$5:$R$2001,0)),"-")</f>
        <v>-</v>
      </c>
      <c r="E838" s="3" t="str">
        <f>IFERROR(INDEX(Movimientos!$F$5:$F$2001,MATCH(A838&amp;"ENTRADA",Movimientos!$R$5:$R$2001,0)),"-")</f>
        <v>-</v>
      </c>
      <c r="F838" s="3" t="str">
        <f>IFERROR(INDEX(Movimientos!$G$5:$G$2001,MATCH(A838&amp;"ENTRADA",Movimientos!$R$5:$R$2001,0)),"-")</f>
        <v>-</v>
      </c>
      <c r="G838" s="3" t="str">
        <f>IFERROR(INDEX(Movimientos!$L$5:$L$2001,MATCH(A838&amp;"ENTRADA",Movimientos!$R$5:$R$2001,0)),"-")</f>
        <v>-</v>
      </c>
      <c r="H838" s="19" t="str">
        <f>IFERROR(IF(INDEX(Movimientos!$M$5:$M$2001,MATCH(A838&amp;"ENTRADA",Movimientos!$R$5:$R$2001,0))=0,"S/D",INDEX(Movimientos!$M$5:$M$2001,MATCH(A838&amp;"ENTRADA",Movimientos!$R$5:$R$2001,0))),"S/D")</f>
        <v>S/D</v>
      </c>
      <c r="I838" s="16" t="str">
        <f t="shared" ca="1" si="26"/>
        <v>S/D</v>
      </c>
      <c r="J838" s="6">
        <f>IF(A838="","",SUMIFS(Movimientos!$K:$K,Movimientos!$H:$H,A838))</f>
        <v>0</v>
      </c>
      <c r="K838" s="14" t="str">
        <f t="shared" ca="1" si="27"/>
        <v>OK</v>
      </c>
    </row>
    <row r="839" spans="1:11">
      <c r="A839" s="18" t="s">
        <v>2900</v>
      </c>
      <c r="B839" s="3" t="str">
        <f>IFERROR(INDEX(Movimientos!$C$5:$C$2001,MATCH(A839&amp;"ENTRADA",Movimientos!$R$5:$R$2001,0)),"-")</f>
        <v>-</v>
      </c>
      <c r="C839" s="3" t="str">
        <f>IFERROR(INDEX(Movimientos!$D$5:$D$2001,MATCH(A839&amp;"ENTRADA",Movimientos!$R$5:$R$2001,0)),"-")</f>
        <v>-</v>
      </c>
      <c r="D839" s="3" t="str">
        <f>IFERROR(INDEX(Movimientos!$E$5:$E$2001,MATCH(A839&amp;"ENTRADA",Movimientos!$R$5:$R$2001,0)),"-")</f>
        <v>-</v>
      </c>
      <c r="E839" s="3" t="str">
        <f>IFERROR(INDEX(Movimientos!$F$5:$F$2001,MATCH(A839&amp;"ENTRADA",Movimientos!$R$5:$R$2001,0)),"-")</f>
        <v>-</v>
      </c>
      <c r="F839" s="3" t="str">
        <f>IFERROR(INDEX(Movimientos!$G$5:$G$2001,MATCH(A839&amp;"ENTRADA",Movimientos!$R$5:$R$2001,0)),"-")</f>
        <v>-</v>
      </c>
      <c r="G839" s="3" t="str">
        <f>IFERROR(INDEX(Movimientos!$L$5:$L$2001,MATCH(A839&amp;"ENTRADA",Movimientos!$R$5:$R$2001,0)),"-")</f>
        <v>-</v>
      </c>
      <c r="H839" s="19" t="str">
        <f>IFERROR(IF(INDEX(Movimientos!$M$5:$M$2001,MATCH(A839&amp;"ENTRADA",Movimientos!$R$5:$R$2001,0))=0,"S/D",INDEX(Movimientos!$M$5:$M$2001,MATCH(A839&amp;"ENTRADA",Movimientos!$R$5:$R$2001,0))),"S/D")</f>
        <v>S/D</v>
      </c>
      <c r="I839" s="16" t="str">
        <f t="shared" ca="1" si="26"/>
        <v>S/D</v>
      </c>
      <c r="J839" s="6">
        <f>IF(A839="","",SUMIFS(Movimientos!$K:$K,Movimientos!$H:$H,A839))</f>
        <v>0</v>
      </c>
      <c r="K839" s="14" t="str">
        <f t="shared" ca="1" si="27"/>
        <v>OK</v>
      </c>
    </row>
    <row r="840" spans="1:11">
      <c r="A840" s="18" t="s">
        <v>2901</v>
      </c>
      <c r="B840" s="3" t="str">
        <f>IFERROR(INDEX(Movimientos!$C$5:$C$2001,MATCH(A840&amp;"ENTRADA",Movimientos!$R$5:$R$2001,0)),"-")</f>
        <v>-</v>
      </c>
      <c r="C840" s="3" t="str">
        <f>IFERROR(INDEX(Movimientos!$D$5:$D$2001,MATCH(A840&amp;"ENTRADA",Movimientos!$R$5:$R$2001,0)),"-")</f>
        <v>-</v>
      </c>
      <c r="D840" s="3" t="str">
        <f>IFERROR(INDEX(Movimientos!$E$5:$E$2001,MATCH(A840&amp;"ENTRADA",Movimientos!$R$5:$R$2001,0)),"-")</f>
        <v>-</v>
      </c>
      <c r="E840" s="3" t="str">
        <f>IFERROR(INDEX(Movimientos!$F$5:$F$2001,MATCH(A840&amp;"ENTRADA",Movimientos!$R$5:$R$2001,0)),"-")</f>
        <v>-</v>
      </c>
      <c r="F840" s="3" t="str">
        <f>IFERROR(INDEX(Movimientos!$G$5:$G$2001,MATCH(A840&amp;"ENTRADA",Movimientos!$R$5:$R$2001,0)),"-")</f>
        <v>-</v>
      </c>
      <c r="G840" s="3" t="str">
        <f>IFERROR(INDEX(Movimientos!$L$5:$L$2001,MATCH(A840&amp;"ENTRADA",Movimientos!$R$5:$R$2001,0)),"-")</f>
        <v>-</v>
      </c>
      <c r="H840" s="19" t="str">
        <f>IFERROR(IF(INDEX(Movimientos!$M$5:$M$2001,MATCH(A840&amp;"ENTRADA",Movimientos!$R$5:$R$2001,0))=0,"S/D",INDEX(Movimientos!$M$5:$M$2001,MATCH(A840&amp;"ENTRADA",Movimientos!$R$5:$R$2001,0))),"S/D")</f>
        <v>S/D</v>
      </c>
      <c r="I840" s="16" t="str">
        <f t="shared" ca="1" si="26"/>
        <v>S/D</v>
      </c>
      <c r="J840" s="6">
        <f>IF(A840="","",SUMIFS(Movimientos!$K:$K,Movimientos!$H:$H,A840))</f>
        <v>0</v>
      </c>
      <c r="K840" s="14" t="str">
        <f t="shared" ca="1" si="27"/>
        <v>OK</v>
      </c>
    </row>
    <row r="841" spans="1:11">
      <c r="A841" s="18" t="s">
        <v>2902</v>
      </c>
      <c r="B841" s="3" t="str">
        <f>IFERROR(INDEX(Movimientos!$C$5:$C$2001,MATCH(A841&amp;"ENTRADA",Movimientos!$R$5:$R$2001,0)),"-")</f>
        <v>-</v>
      </c>
      <c r="C841" s="3" t="str">
        <f>IFERROR(INDEX(Movimientos!$D$5:$D$2001,MATCH(A841&amp;"ENTRADA",Movimientos!$R$5:$R$2001,0)),"-")</f>
        <v>-</v>
      </c>
      <c r="D841" s="3" t="str">
        <f>IFERROR(INDEX(Movimientos!$E$5:$E$2001,MATCH(A841&amp;"ENTRADA",Movimientos!$R$5:$R$2001,0)),"-")</f>
        <v>-</v>
      </c>
      <c r="E841" s="3" t="str">
        <f>IFERROR(INDEX(Movimientos!$F$5:$F$2001,MATCH(A841&amp;"ENTRADA",Movimientos!$R$5:$R$2001,0)),"-")</f>
        <v>-</v>
      </c>
      <c r="F841" s="3" t="str">
        <f>IFERROR(INDEX(Movimientos!$G$5:$G$2001,MATCH(A841&amp;"ENTRADA",Movimientos!$R$5:$R$2001,0)),"-")</f>
        <v>-</v>
      </c>
      <c r="G841" s="3" t="str">
        <f>IFERROR(INDEX(Movimientos!$L$5:$L$2001,MATCH(A841&amp;"ENTRADA",Movimientos!$R$5:$R$2001,0)),"-")</f>
        <v>-</v>
      </c>
      <c r="H841" s="19" t="str">
        <f>IFERROR(IF(INDEX(Movimientos!$M$5:$M$2001,MATCH(A841&amp;"ENTRADA",Movimientos!$R$5:$R$2001,0))=0,"S/D",INDEX(Movimientos!$M$5:$M$2001,MATCH(A841&amp;"ENTRADA",Movimientos!$R$5:$R$2001,0))),"S/D")</f>
        <v>S/D</v>
      </c>
      <c r="I841" s="16" t="str">
        <f t="shared" ca="1" si="26"/>
        <v>S/D</v>
      </c>
      <c r="J841" s="6">
        <f>IF(A841="","",SUMIFS(Movimientos!$K:$K,Movimientos!$H:$H,A841))</f>
        <v>0</v>
      </c>
      <c r="K841" s="14" t="str">
        <f t="shared" ca="1" si="27"/>
        <v>OK</v>
      </c>
    </row>
    <row r="842" spans="1:11">
      <c r="A842" s="18" t="s">
        <v>2903</v>
      </c>
      <c r="B842" s="3" t="str">
        <f>IFERROR(INDEX(Movimientos!$C$5:$C$2001,MATCH(A842&amp;"ENTRADA",Movimientos!$R$5:$R$2001,0)),"-")</f>
        <v>-</v>
      </c>
      <c r="C842" s="3" t="str">
        <f>IFERROR(INDEX(Movimientos!$D$5:$D$2001,MATCH(A842&amp;"ENTRADA",Movimientos!$R$5:$R$2001,0)),"-")</f>
        <v>-</v>
      </c>
      <c r="D842" s="3" t="str">
        <f>IFERROR(INDEX(Movimientos!$E$5:$E$2001,MATCH(A842&amp;"ENTRADA",Movimientos!$R$5:$R$2001,0)),"-")</f>
        <v>-</v>
      </c>
      <c r="E842" s="3" t="str">
        <f>IFERROR(INDEX(Movimientos!$F$5:$F$2001,MATCH(A842&amp;"ENTRADA",Movimientos!$R$5:$R$2001,0)),"-")</f>
        <v>-</v>
      </c>
      <c r="F842" s="3" t="str">
        <f>IFERROR(INDEX(Movimientos!$G$5:$G$2001,MATCH(A842&amp;"ENTRADA",Movimientos!$R$5:$R$2001,0)),"-")</f>
        <v>-</v>
      </c>
      <c r="G842" s="3" t="str">
        <f>IFERROR(INDEX(Movimientos!$L$5:$L$2001,MATCH(A842&amp;"ENTRADA",Movimientos!$R$5:$R$2001,0)),"-")</f>
        <v>-</v>
      </c>
      <c r="H842" s="19" t="str">
        <f>IFERROR(IF(INDEX(Movimientos!$M$5:$M$2001,MATCH(A842&amp;"ENTRADA",Movimientos!$R$5:$R$2001,0))=0,"S/D",INDEX(Movimientos!$M$5:$M$2001,MATCH(A842&amp;"ENTRADA",Movimientos!$R$5:$R$2001,0))),"S/D")</f>
        <v>S/D</v>
      </c>
      <c r="I842" s="16" t="str">
        <f t="shared" ca="1" si="26"/>
        <v>S/D</v>
      </c>
      <c r="J842" s="6">
        <f>IF(A842="","",SUMIFS(Movimientos!$K:$K,Movimientos!$H:$H,A842))</f>
        <v>0</v>
      </c>
      <c r="K842" s="14" t="str">
        <f t="shared" ca="1" si="27"/>
        <v>OK</v>
      </c>
    </row>
    <row r="843" spans="1:11">
      <c r="A843" s="18" t="s">
        <v>2904</v>
      </c>
      <c r="B843" s="3" t="str">
        <f>IFERROR(INDEX(Movimientos!$C$5:$C$2001,MATCH(A843&amp;"ENTRADA",Movimientos!$R$5:$R$2001,0)),"-")</f>
        <v>-</v>
      </c>
      <c r="C843" s="3" t="str">
        <f>IFERROR(INDEX(Movimientos!$D$5:$D$2001,MATCH(A843&amp;"ENTRADA",Movimientos!$R$5:$R$2001,0)),"-")</f>
        <v>-</v>
      </c>
      <c r="D843" s="3" t="str">
        <f>IFERROR(INDEX(Movimientos!$E$5:$E$2001,MATCH(A843&amp;"ENTRADA",Movimientos!$R$5:$R$2001,0)),"-")</f>
        <v>-</v>
      </c>
      <c r="E843" s="3" t="str">
        <f>IFERROR(INDEX(Movimientos!$F$5:$F$2001,MATCH(A843&amp;"ENTRADA",Movimientos!$R$5:$R$2001,0)),"-")</f>
        <v>-</v>
      </c>
      <c r="F843" s="3" t="str">
        <f>IFERROR(INDEX(Movimientos!$G$5:$G$2001,MATCH(A843&amp;"ENTRADA",Movimientos!$R$5:$R$2001,0)),"-")</f>
        <v>-</v>
      </c>
      <c r="G843" s="3" t="str">
        <f>IFERROR(INDEX(Movimientos!$L$5:$L$2001,MATCH(A843&amp;"ENTRADA",Movimientos!$R$5:$R$2001,0)),"-")</f>
        <v>-</v>
      </c>
      <c r="H843" s="19" t="str">
        <f>IFERROR(IF(INDEX(Movimientos!$M$5:$M$2001,MATCH(A843&amp;"ENTRADA",Movimientos!$R$5:$R$2001,0))=0,"S/D",INDEX(Movimientos!$M$5:$M$2001,MATCH(A843&amp;"ENTRADA",Movimientos!$R$5:$R$2001,0))),"S/D")</f>
        <v>S/D</v>
      </c>
      <c r="I843" s="16" t="str">
        <f t="shared" ref="I843:I906" ca="1" si="28">IF(OR(A843="",H843="S/D"),"S/D",H843-TODAY())</f>
        <v>S/D</v>
      </c>
      <c r="J843" s="6">
        <f>IF(A843="","",SUMIFS(Movimientos!$K:$K,Movimientos!$H:$H,A843))</f>
        <v>0</v>
      </c>
      <c r="K843" s="14" t="str">
        <f t="shared" ref="K843:K906" ca="1" si="29">IF(A843="","",IF(H843="S/D","OK",IF(H843&lt;TODAY(),"VENCIDO",IF(J843&lt;=0,"SIN STOCK",IF(I843&gt;=180,"OK","PRÓXIMO A VENCER")))))</f>
        <v>OK</v>
      </c>
    </row>
    <row r="844" spans="1:11">
      <c r="A844" s="18" t="s">
        <v>2905</v>
      </c>
      <c r="B844" s="3" t="str">
        <f>IFERROR(INDEX(Movimientos!$C$5:$C$2001,MATCH(A844&amp;"ENTRADA",Movimientos!$R$5:$R$2001,0)),"-")</f>
        <v>-</v>
      </c>
      <c r="C844" s="3" t="str">
        <f>IFERROR(INDEX(Movimientos!$D$5:$D$2001,MATCH(A844&amp;"ENTRADA",Movimientos!$R$5:$R$2001,0)),"-")</f>
        <v>-</v>
      </c>
      <c r="D844" s="3" t="str">
        <f>IFERROR(INDEX(Movimientos!$E$5:$E$2001,MATCH(A844&amp;"ENTRADA",Movimientos!$R$5:$R$2001,0)),"-")</f>
        <v>-</v>
      </c>
      <c r="E844" s="3" t="str">
        <f>IFERROR(INDEX(Movimientos!$F$5:$F$2001,MATCH(A844&amp;"ENTRADA",Movimientos!$R$5:$R$2001,0)),"-")</f>
        <v>-</v>
      </c>
      <c r="F844" s="3" t="str">
        <f>IFERROR(INDEX(Movimientos!$G$5:$G$2001,MATCH(A844&amp;"ENTRADA",Movimientos!$R$5:$R$2001,0)),"-")</f>
        <v>-</v>
      </c>
      <c r="G844" s="3" t="str">
        <f>IFERROR(INDEX(Movimientos!$L$5:$L$2001,MATCH(A844&amp;"ENTRADA",Movimientos!$R$5:$R$2001,0)),"-")</f>
        <v>-</v>
      </c>
      <c r="H844" s="19" t="str">
        <f>IFERROR(IF(INDEX(Movimientos!$M$5:$M$2001,MATCH(A844&amp;"ENTRADA",Movimientos!$R$5:$R$2001,0))=0,"S/D",INDEX(Movimientos!$M$5:$M$2001,MATCH(A844&amp;"ENTRADA",Movimientos!$R$5:$R$2001,0))),"S/D")</f>
        <v>S/D</v>
      </c>
      <c r="I844" s="16" t="str">
        <f t="shared" ca="1" si="28"/>
        <v>S/D</v>
      </c>
      <c r="J844" s="6">
        <f>IF(A844="","",SUMIFS(Movimientos!$K:$K,Movimientos!$H:$H,A844))</f>
        <v>0</v>
      </c>
      <c r="K844" s="14" t="str">
        <f t="shared" ca="1" si="29"/>
        <v>OK</v>
      </c>
    </row>
    <row r="845" spans="1:11">
      <c r="A845" s="18" t="s">
        <v>2906</v>
      </c>
      <c r="B845" s="3" t="str">
        <f>IFERROR(INDEX(Movimientos!$C$5:$C$2001,MATCH(A845&amp;"ENTRADA",Movimientos!$R$5:$R$2001,0)),"-")</f>
        <v>-</v>
      </c>
      <c r="C845" s="3" t="str">
        <f>IFERROR(INDEX(Movimientos!$D$5:$D$2001,MATCH(A845&amp;"ENTRADA",Movimientos!$R$5:$R$2001,0)),"-")</f>
        <v>-</v>
      </c>
      <c r="D845" s="3" t="str">
        <f>IFERROR(INDEX(Movimientos!$E$5:$E$2001,MATCH(A845&amp;"ENTRADA",Movimientos!$R$5:$R$2001,0)),"-")</f>
        <v>-</v>
      </c>
      <c r="E845" s="3" t="str">
        <f>IFERROR(INDEX(Movimientos!$F$5:$F$2001,MATCH(A845&amp;"ENTRADA",Movimientos!$R$5:$R$2001,0)),"-")</f>
        <v>-</v>
      </c>
      <c r="F845" s="3" t="str">
        <f>IFERROR(INDEX(Movimientos!$G$5:$G$2001,MATCH(A845&amp;"ENTRADA",Movimientos!$R$5:$R$2001,0)),"-")</f>
        <v>-</v>
      </c>
      <c r="G845" s="3" t="str">
        <f>IFERROR(INDEX(Movimientos!$L$5:$L$2001,MATCH(A845&amp;"ENTRADA",Movimientos!$R$5:$R$2001,0)),"-")</f>
        <v>-</v>
      </c>
      <c r="H845" s="19" t="str">
        <f>IFERROR(IF(INDEX(Movimientos!$M$5:$M$2001,MATCH(A845&amp;"ENTRADA",Movimientos!$R$5:$R$2001,0))=0,"S/D",INDEX(Movimientos!$M$5:$M$2001,MATCH(A845&amp;"ENTRADA",Movimientos!$R$5:$R$2001,0))),"S/D")</f>
        <v>S/D</v>
      </c>
      <c r="I845" s="16" t="str">
        <f t="shared" ca="1" si="28"/>
        <v>S/D</v>
      </c>
      <c r="J845" s="6">
        <f>IF(A845="","",SUMIFS(Movimientos!$K:$K,Movimientos!$H:$H,A845))</f>
        <v>0</v>
      </c>
      <c r="K845" s="14" t="str">
        <f t="shared" ca="1" si="29"/>
        <v>OK</v>
      </c>
    </row>
    <row r="846" spans="1:11">
      <c r="A846" s="18" t="s">
        <v>2907</v>
      </c>
      <c r="B846" s="3" t="str">
        <f>IFERROR(INDEX(Movimientos!$C$5:$C$2001,MATCH(A846&amp;"ENTRADA",Movimientos!$R$5:$R$2001,0)),"-")</f>
        <v>-</v>
      </c>
      <c r="C846" s="3" t="str">
        <f>IFERROR(INDEX(Movimientos!$D$5:$D$2001,MATCH(A846&amp;"ENTRADA",Movimientos!$R$5:$R$2001,0)),"-")</f>
        <v>-</v>
      </c>
      <c r="D846" s="3" t="str">
        <f>IFERROR(INDEX(Movimientos!$E$5:$E$2001,MATCH(A846&amp;"ENTRADA",Movimientos!$R$5:$R$2001,0)),"-")</f>
        <v>-</v>
      </c>
      <c r="E846" s="3" t="str">
        <f>IFERROR(INDEX(Movimientos!$F$5:$F$2001,MATCH(A846&amp;"ENTRADA",Movimientos!$R$5:$R$2001,0)),"-")</f>
        <v>-</v>
      </c>
      <c r="F846" s="3" t="str">
        <f>IFERROR(INDEX(Movimientos!$G$5:$G$2001,MATCH(A846&amp;"ENTRADA",Movimientos!$R$5:$R$2001,0)),"-")</f>
        <v>-</v>
      </c>
      <c r="G846" s="3" t="str">
        <f>IFERROR(INDEX(Movimientos!$L$5:$L$2001,MATCH(A846&amp;"ENTRADA",Movimientos!$R$5:$R$2001,0)),"-")</f>
        <v>-</v>
      </c>
      <c r="H846" s="19" t="str">
        <f>IFERROR(IF(INDEX(Movimientos!$M$5:$M$2001,MATCH(A846&amp;"ENTRADA",Movimientos!$R$5:$R$2001,0))=0,"S/D",INDEX(Movimientos!$M$5:$M$2001,MATCH(A846&amp;"ENTRADA",Movimientos!$R$5:$R$2001,0))),"S/D")</f>
        <v>S/D</v>
      </c>
      <c r="I846" s="16" t="str">
        <f t="shared" ca="1" si="28"/>
        <v>S/D</v>
      </c>
      <c r="J846" s="6">
        <f>IF(A846="","",SUMIFS(Movimientos!$K:$K,Movimientos!$H:$H,A846))</f>
        <v>0</v>
      </c>
      <c r="K846" s="14" t="str">
        <f t="shared" ca="1" si="29"/>
        <v>OK</v>
      </c>
    </row>
    <row r="847" spans="1:11">
      <c r="A847" s="18" t="s">
        <v>2908</v>
      </c>
      <c r="B847" s="3" t="str">
        <f>IFERROR(INDEX(Movimientos!$C$5:$C$2001,MATCH(A847&amp;"ENTRADA",Movimientos!$R$5:$R$2001,0)),"-")</f>
        <v>-</v>
      </c>
      <c r="C847" s="3" t="str">
        <f>IFERROR(INDEX(Movimientos!$D$5:$D$2001,MATCH(A847&amp;"ENTRADA",Movimientos!$R$5:$R$2001,0)),"-")</f>
        <v>-</v>
      </c>
      <c r="D847" s="3" t="str">
        <f>IFERROR(INDEX(Movimientos!$E$5:$E$2001,MATCH(A847&amp;"ENTRADA",Movimientos!$R$5:$R$2001,0)),"-")</f>
        <v>-</v>
      </c>
      <c r="E847" s="3" t="str">
        <f>IFERROR(INDEX(Movimientos!$F$5:$F$2001,MATCH(A847&amp;"ENTRADA",Movimientos!$R$5:$R$2001,0)),"-")</f>
        <v>-</v>
      </c>
      <c r="F847" s="3" t="str">
        <f>IFERROR(INDEX(Movimientos!$G$5:$G$2001,MATCH(A847&amp;"ENTRADA",Movimientos!$R$5:$R$2001,0)),"-")</f>
        <v>-</v>
      </c>
      <c r="G847" s="3" t="str">
        <f>IFERROR(INDEX(Movimientos!$L$5:$L$2001,MATCH(A847&amp;"ENTRADA",Movimientos!$R$5:$R$2001,0)),"-")</f>
        <v>-</v>
      </c>
      <c r="H847" s="19" t="str">
        <f>IFERROR(IF(INDEX(Movimientos!$M$5:$M$2001,MATCH(A847&amp;"ENTRADA",Movimientos!$R$5:$R$2001,0))=0,"S/D",INDEX(Movimientos!$M$5:$M$2001,MATCH(A847&amp;"ENTRADA",Movimientos!$R$5:$R$2001,0))),"S/D")</f>
        <v>S/D</v>
      </c>
      <c r="I847" s="16" t="str">
        <f t="shared" ca="1" si="28"/>
        <v>S/D</v>
      </c>
      <c r="J847" s="6">
        <f>IF(A847="","",SUMIFS(Movimientos!$K:$K,Movimientos!$H:$H,A847))</f>
        <v>0</v>
      </c>
      <c r="K847" s="14" t="str">
        <f t="shared" ca="1" si="29"/>
        <v>OK</v>
      </c>
    </row>
    <row r="848" spans="1:11">
      <c r="A848" s="18" t="s">
        <v>2909</v>
      </c>
      <c r="B848" s="3" t="str">
        <f>IFERROR(INDEX(Movimientos!$C$5:$C$2001,MATCH(A848&amp;"ENTRADA",Movimientos!$R$5:$R$2001,0)),"-")</f>
        <v>-</v>
      </c>
      <c r="C848" s="3" t="str">
        <f>IFERROR(INDEX(Movimientos!$D$5:$D$2001,MATCH(A848&amp;"ENTRADA",Movimientos!$R$5:$R$2001,0)),"-")</f>
        <v>-</v>
      </c>
      <c r="D848" s="3" t="str">
        <f>IFERROR(INDEX(Movimientos!$E$5:$E$2001,MATCH(A848&amp;"ENTRADA",Movimientos!$R$5:$R$2001,0)),"-")</f>
        <v>-</v>
      </c>
      <c r="E848" s="3" t="str">
        <f>IFERROR(INDEX(Movimientos!$F$5:$F$2001,MATCH(A848&amp;"ENTRADA",Movimientos!$R$5:$R$2001,0)),"-")</f>
        <v>-</v>
      </c>
      <c r="F848" s="3" t="str">
        <f>IFERROR(INDEX(Movimientos!$G$5:$G$2001,MATCH(A848&amp;"ENTRADA",Movimientos!$R$5:$R$2001,0)),"-")</f>
        <v>-</v>
      </c>
      <c r="G848" s="3" t="str">
        <f>IFERROR(INDEX(Movimientos!$L$5:$L$2001,MATCH(A848&amp;"ENTRADA",Movimientos!$R$5:$R$2001,0)),"-")</f>
        <v>-</v>
      </c>
      <c r="H848" s="19" t="str">
        <f>IFERROR(IF(INDEX(Movimientos!$M$5:$M$2001,MATCH(A848&amp;"ENTRADA",Movimientos!$R$5:$R$2001,0))=0,"S/D",INDEX(Movimientos!$M$5:$M$2001,MATCH(A848&amp;"ENTRADA",Movimientos!$R$5:$R$2001,0))),"S/D")</f>
        <v>S/D</v>
      </c>
      <c r="I848" s="16" t="str">
        <f t="shared" ca="1" si="28"/>
        <v>S/D</v>
      </c>
      <c r="J848" s="6">
        <f>IF(A848="","",SUMIFS(Movimientos!$K:$K,Movimientos!$H:$H,A848))</f>
        <v>0</v>
      </c>
      <c r="K848" s="14" t="str">
        <f t="shared" ca="1" si="29"/>
        <v>OK</v>
      </c>
    </row>
    <row r="849" spans="1:11">
      <c r="A849" s="18" t="s">
        <v>2910</v>
      </c>
      <c r="B849" s="3" t="str">
        <f>IFERROR(INDEX(Movimientos!$C$5:$C$2001,MATCH(A849&amp;"ENTRADA",Movimientos!$R$5:$R$2001,0)),"-")</f>
        <v>-</v>
      </c>
      <c r="C849" s="3" t="str">
        <f>IFERROR(INDEX(Movimientos!$D$5:$D$2001,MATCH(A849&amp;"ENTRADA",Movimientos!$R$5:$R$2001,0)),"-")</f>
        <v>-</v>
      </c>
      <c r="D849" s="3" t="str">
        <f>IFERROR(INDEX(Movimientos!$E$5:$E$2001,MATCH(A849&amp;"ENTRADA",Movimientos!$R$5:$R$2001,0)),"-")</f>
        <v>-</v>
      </c>
      <c r="E849" s="3" t="str">
        <f>IFERROR(INDEX(Movimientos!$F$5:$F$2001,MATCH(A849&amp;"ENTRADA",Movimientos!$R$5:$R$2001,0)),"-")</f>
        <v>-</v>
      </c>
      <c r="F849" s="3" t="str">
        <f>IFERROR(INDEX(Movimientos!$G$5:$G$2001,MATCH(A849&amp;"ENTRADA",Movimientos!$R$5:$R$2001,0)),"-")</f>
        <v>-</v>
      </c>
      <c r="G849" s="3" t="str">
        <f>IFERROR(INDEX(Movimientos!$L$5:$L$2001,MATCH(A849&amp;"ENTRADA",Movimientos!$R$5:$R$2001,0)),"-")</f>
        <v>-</v>
      </c>
      <c r="H849" s="19" t="str">
        <f>IFERROR(IF(INDEX(Movimientos!$M$5:$M$2001,MATCH(A849&amp;"ENTRADA",Movimientos!$R$5:$R$2001,0))=0,"S/D",INDEX(Movimientos!$M$5:$M$2001,MATCH(A849&amp;"ENTRADA",Movimientos!$R$5:$R$2001,0))),"S/D")</f>
        <v>S/D</v>
      </c>
      <c r="I849" s="16" t="str">
        <f t="shared" ca="1" si="28"/>
        <v>S/D</v>
      </c>
      <c r="J849" s="6">
        <f>IF(A849="","",SUMIFS(Movimientos!$K:$K,Movimientos!$H:$H,A849))</f>
        <v>0</v>
      </c>
      <c r="K849" s="14" t="str">
        <f t="shared" ca="1" si="29"/>
        <v>OK</v>
      </c>
    </row>
    <row r="850" spans="1:11">
      <c r="A850" s="18" t="s">
        <v>2911</v>
      </c>
      <c r="B850" s="3" t="str">
        <f>IFERROR(INDEX(Movimientos!$C$5:$C$2001,MATCH(A850&amp;"ENTRADA",Movimientos!$R$5:$R$2001,0)),"-")</f>
        <v>-</v>
      </c>
      <c r="C850" s="3" t="str">
        <f>IFERROR(INDEX(Movimientos!$D$5:$D$2001,MATCH(A850&amp;"ENTRADA",Movimientos!$R$5:$R$2001,0)),"-")</f>
        <v>-</v>
      </c>
      <c r="D850" s="3" t="str">
        <f>IFERROR(INDEX(Movimientos!$E$5:$E$2001,MATCH(A850&amp;"ENTRADA",Movimientos!$R$5:$R$2001,0)),"-")</f>
        <v>-</v>
      </c>
      <c r="E850" s="3" t="str">
        <f>IFERROR(INDEX(Movimientos!$F$5:$F$2001,MATCH(A850&amp;"ENTRADA",Movimientos!$R$5:$R$2001,0)),"-")</f>
        <v>-</v>
      </c>
      <c r="F850" s="3" t="str">
        <f>IFERROR(INDEX(Movimientos!$G$5:$G$2001,MATCH(A850&amp;"ENTRADA",Movimientos!$R$5:$R$2001,0)),"-")</f>
        <v>-</v>
      </c>
      <c r="G850" s="3" t="str">
        <f>IFERROR(INDEX(Movimientos!$L$5:$L$2001,MATCH(A850&amp;"ENTRADA",Movimientos!$R$5:$R$2001,0)),"-")</f>
        <v>-</v>
      </c>
      <c r="H850" s="19" t="str">
        <f>IFERROR(IF(INDEX(Movimientos!$M$5:$M$2001,MATCH(A850&amp;"ENTRADA",Movimientos!$R$5:$R$2001,0))=0,"S/D",INDEX(Movimientos!$M$5:$M$2001,MATCH(A850&amp;"ENTRADA",Movimientos!$R$5:$R$2001,0))),"S/D")</f>
        <v>S/D</v>
      </c>
      <c r="I850" s="16" t="str">
        <f t="shared" ca="1" si="28"/>
        <v>S/D</v>
      </c>
      <c r="J850" s="6">
        <f>IF(A850="","",SUMIFS(Movimientos!$K:$K,Movimientos!$H:$H,A850))</f>
        <v>0</v>
      </c>
      <c r="K850" s="14" t="str">
        <f t="shared" ca="1" si="29"/>
        <v>OK</v>
      </c>
    </row>
    <row r="851" spans="1:11">
      <c r="A851" s="18" t="s">
        <v>2912</v>
      </c>
      <c r="B851" s="3" t="str">
        <f>IFERROR(INDEX(Movimientos!$C$5:$C$2001,MATCH(A851&amp;"ENTRADA",Movimientos!$R$5:$R$2001,0)),"-")</f>
        <v>-</v>
      </c>
      <c r="C851" s="3" t="str">
        <f>IFERROR(INDEX(Movimientos!$D$5:$D$2001,MATCH(A851&amp;"ENTRADA",Movimientos!$R$5:$R$2001,0)),"-")</f>
        <v>-</v>
      </c>
      <c r="D851" s="3" t="str">
        <f>IFERROR(INDEX(Movimientos!$E$5:$E$2001,MATCH(A851&amp;"ENTRADA",Movimientos!$R$5:$R$2001,0)),"-")</f>
        <v>-</v>
      </c>
      <c r="E851" s="3" t="str">
        <f>IFERROR(INDEX(Movimientos!$F$5:$F$2001,MATCH(A851&amp;"ENTRADA",Movimientos!$R$5:$R$2001,0)),"-")</f>
        <v>-</v>
      </c>
      <c r="F851" s="3" t="str">
        <f>IFERROR(INDEX(Movimientos!$G$5:$G$2001,MATCH(A851&amp;"ENTRADA",Movimientos!$R$5:$R$2001,0)),"-")</f>
        <v>-</v>
      </c>
      <c r="G851" s="3" t="str">
        <f>IFERROR(INDEX(Movimientos!$L$5:$L$2001,MATCH(A851&amp;"ENTRADA",Movimientos!$R$5:$R$2001,0)),"-")</f>
        <v>-</v>
      </c>
      <c r="H851" s="19" t="str">
        <f>IFERROR(IF(INDEX(Movimientos!$M$5:$M$2001,MATCH(A851&amp;"ENTRADA",Movimientos!$R$5:$R$2001,0))=0,"S/D",INDEX(Movimientos!$M$5:$M$2001,MATCH(A851&amp;"ENTRADA",Movimientos!$R$5:$R$2001,0))),"S/D")</f>
        <v>S/D</v>
      </c>
      <c r="I851" s="16" t="str">
        <f t="shared" ca="1" si="28"/>
        <v>S/D</v>
      </c>
      <c r="J851" s="6">
        <f>IF(A851="","",SUMIFS(Movimientos!$K:$K,Movimientos!$H:$H,A851))</f>
        <v>0</v>
      </c>
      <c r="K851" s="14" t="str">
        <f t="shared" ca="1" si="29"/>
        <v>OK</v>
      </c>
    </row>
    <row r="852" spans="1:11">
      <c r="A852" s="18" t="s">
        <v>2913</v>
      </c>
      <c r="B852" s="3" t="str">
        <f>IFERROR(INDEX(Movimientos!$C$5:$C$2001,MATCH(A852&amp;"ENTRADA",Movimientos!$R$5:$R$2001,0)),"-")</f>
        <v>-</v>
      </c>
      <c r="C852" s="3" t="str">
        <f>IFERROR(INDEX(Movimientos!$D$5:$D$2001,MATCH(A852&amp;"ENTRADA",Movimientos!$R$5:$R$2001,0)),"-")</f>
        <v>-</v>
      </c>
      <c r="D852" s="3" t="str">
        <f>IFERROR(INDEX(Movimientos!$E$5:$E$2001,MATCH(A852&amp;"ENTRADA",Movimientos!$R$5:$R$2001,0)),"-")</f>
        <v>-</v>
      </c>
      <c r="E852" s="3" t="str">
        <f>IFERROR(INDEX(Movimientos!$F$5:$F$2001,MATCH(A852&amp;"ENTRADA",Movimientos!$R$5:$R$2001,0)),"-")</f>
        <v>-</v>
      </c>
      <c r="F852" s="3" t="str">
        <f>IFERROR(INDEX(Movimientos!$G$5:$G$2001,MATCH(A852&amp;"ENTRADA",Movimientos!$R$5:$R$2001,0)),"-")</f>
        <v>-</v>
      </c>
      <c r="G852" s="3" t="str">
        <f>IFERROR(INDEX(Movimientos!$L$5:$L$2001,MATCH(A852&amp;"ENTRADA",Movimientos!$R$5:$R$2001,0)),"-")</f>
        <v>-</v>
      </c>
      <c r="H852" s="19" t="str">
        <f>IFERROR(IF(INDEX(Movimientos!$M$5:$M$2001,MATCH(A852&amp;"ENTRADA",Movimientos!$R$5:$R$2001,0))=0,"S/D",INDEX(Movimientos!$M$5:$M$2001,MATCH(A852&amp;"ENTRADA",Movimientos!$R$5:$R$2001,0))),"S/D")</f>
        <v>S/D</v>
      </c>
      <c r="I852" s="16" t="str">
        <f t="shared" ca="1" si="28"/>
        <v>S/D</v>
      </c>
      <c r="J852" s="6">
        <f>IF(A852="","",SUMIFS(Movimientos!$K:$K,Movimientos!$H:$H,A852))</f>
        <v>0</v>
      </c>
      <c r="K852" s="14" t="str">
        <f t="shared" ca="1" si="29"/>
        <v>OK</v>
      </c>
    </row>
    <row r="853" spans="1:11">
      <c r="A853" s="18" t="s">
        <v>2914</v>
      </c>
      <c r="B853" s="3" t="str">
        <f>IFERROR(INDEX(Movimientos!$C$5:$C$2001,MATCH(A853&amp;"ENTRADA",Movimientos!$R$5:$R$2001,0)),"-")</f>
        <v>-</v>
      </c>
      <c r="C853" s="3" t="str">
        <f>IFERROR(INDEX(Movimientos!$D$5:$D$2001,MATCH(A853&amp;"ENTRADA",Movimientos!$R$5:$R$2001,0)),"-")</f>
        <v>-</v>
      </c>
      <c r="D853" s="3" t="str">
        <f>IFERROR(INDEX(Movimientos!$E$5:$E$2001,MATCH(A853&amp;"ENTRADA",Movimientos!$R$5:$R$2001,0)),"-")</f>
        <v>-</v>
      </c>
      <c r="E853" s="3" t="str">
        <f>IFERROR(INDEX(Movimientos!$F$5:$F$2001,MATCH(A853&amp;"ENTRADA",Movimientos!$R$5:$R$2001,0)),"-")</f>
        <v>-</v>
      </c>
      <c r="F853" s="3" t="str">
        <f>IFERROR(INDEX(Movimientos!$G$5:$G$2001,MATCH(A853&amp;"ENTRADA",Movimientos!$R$5:$R$2001,0)),"-")</f>
        <v>-</v>
      </c>
      <c r="G853" s="3" t="str">
        <f>IFERROR(INDEX(Movimientos!$L$5:$L$2001,MATCH(A853&amp;"ENTRADA",Movimientos!$R$5:$R$2001,0)),"-")</f>
        <v>-</v>
      </c>
      <c r="H853" s="19" t="str">
        <f>IFERROR(IF(INDEX(Movimientos!$M$5:$M$2001,MATCH(A853&amp;"ENTRADA",Movimientos!$R$5:$R$2001,0))=0,"S/D",INDEX(Movimientos!$M$5:$M$2001,MATCH(A853&amp;"ENTRADA",Movimientos!$R$5:$R$2001,0))),"S/D")</f>
        <v>S/D</v>
      </c>
      <c r="I853" s="16" t="str">
        <f t="shared" ca="1" si="28"/>
        <v>S/D</v>
      </c>
      <c r="J853" s="6">
        <f>IF(A853="","",SUMIFS(Movimientos!$K:$K,Movimientos!$H:$H,A853))</f>
        <v>0</v>
      </c>
      <c r="K853" s="14" t="str">
        <f t="shared" ca="1" si="29"/>
        <v>OK</v>
      </c>
    </row>
    <row r="854" spans="1:11">
      <c r="A854" s="18" t="s">
        <v>2915</v>
      </c>
      <c r="B854" s="3" t="str">
        <f>IFERROR(INDEX(Movimientos!$C$5:$C$2001,MATCH(A854&amp;"ENTRADA",Movimientos!$R$5:$R$2001,0)),"-")</f>
        <v>-</v>
      </c>
      <c r="C854" s="3" t="str">
        <f>IFERROR(INDEX(Movimientos!$D$5:$D$2001,MATCH(A854&amp;"ENTRADA",Movimientos!$R$5:$R$2001,0)),"-")</f>
        <v>-</v>
      </c>
      <c r="D854" s="3" t="str">
        <f>IFERROR(INDEX(Movimientos!$E$5:$E$2001,MATCH(A854&amp;"ENTRADA",Movimientos!$R$5:$R$2001,0)),"-")</f>
        <v>-</v>
      </c>
      <c r="E854" s="3" t="str">
        <f>IFERROR(INDEX(Movimientos!$F$5:$F$2001,MATCH(A854&amp;"ENTRADA",Movimientos!$R$5:$R$2001,0)),"-")</f>
        <v>-</v>
      </c>
      <c r="F854" s="3" t="str">
        <f>IFERROR(INDEX(Movimientos!$G$5:$G$2001,MATCH(A854&amp;"ENTRADA",Movimientos!$R$5:$R$2001,0)),"-")</f>
        <v>-</v>
      </c>
      <c r="G854" s="3" t="str">
        <f>IFERROR(INDEX(Movimientos!$L$5:$L$2001,MATCH(A854&amp;"ENTRADA",Movimientos!$R$5:$R$2001,0)),"-")</f>
        <v>-</v>
      </c>
      <c r="H854" s="19" t="str">
        <f>IFERROR(IF(INDEX(Movimientos!$M$5:$M$2001,MATCH(A854&amp;"ENTRADA",Movimientos!$R$5:$R$2001,0))=0,"S/D",INDEX(Movimientos!$M$5:$M$2001,MATCH(A854&amp;"ENTRADA",Movimientos!$R$5:$R$2001,0))),"S/D")</f>
        <v>S/D</v>
      </c>
      <c r="I854" s="16" t="str">
        <f t="shared" ca="1" si="28"/>
        <v>S/D</v>
      </c>
      <c r="J854" s="6">
        <f>IF(A854="","",SUMIFS(Movimientos!$K:$K,Movimientos!$H:$H,A854))</f>
        <v>0</v>
      </c>
      <c r="K854" s="14" t="str">
        <f t="shared" ca="1" si="29"/>
        <v>OK</v>
      </c>
    </row>
    <row r="855" spans="1:11">
      <c r="A855" s="18" t="s">
        <v>2916</v>
      </c>
      <c r="B855" s="3" t="str">
        <f>IFERROR(INDEX(Movimientos!$C$5:$C$2001,MATCH(A855&amp;"ENTRADA",Movimientos!$R$5:$R$2001,0)),"-")</f>
        <v>-</v>
      </c>
      <c r="C855" s="3" t="str">
        <f>IFERROR(INDEX(Movimientos!$D$5:$D$2001,MATCH(A855&amp;"ENTRADA",Movimientos!$R$5:$R$2001,0)),"-")</f>
        <v>-</v>
      </c>
      <c r="D855" s="3" t="str">
        <f>IFERROR(INDEX(Movimientos!$E$5:$E$2001,MATCH(A855&amp;"ENTRADA",Movimientos!$R$5:$R$2001,0)),"-")</f>
        <v>-</v>
      </c>
      <c r="E855" s="3" t="str">
        <f>IFERROR(INDEX(Movimientos!$F$5:$F$2001,MATCH(A855&amp;"ENTRADA",Movimientos!$R$5:$R$2001,0)),"-")</f>
        <v>-</v>
      </c>
      <c r="F855" s="3" t="str">
        <f>IFERROR(INDEX(Movimientos!$G$5:$G$2001,MATCH(A855&amp;"ENTRADA",Movimientos!$R$5:$R$2001,0)),"-")</f>
        <v>-</v>
      </c>
      <c r="G855" s="3" t="str">
        <f>IFERROR(INDEX(Movimientos!$L$5:$L$2001,MATCH(A855&amp;"ENTRADA",Movimientos!$R$5:$R$2001,0)),"-")</f>
        <v>-</v>
      </c>
      <c r="H855" s="19" t="str">
        <f>IFERROR(IF(INDEX(Movimientos!$M$5:$M$2001,MATCH(A855&amp;"ENTRADA",Movimientos!$R$5:$R$2001,0))=0,"S/D",INDEX(Movimientos!$M$5:$M$2001,MATCH(A855&amp;"ENTRADA",Movimientos!$R$5:$R$2001,0))),"S/D")</f>
        <v>S/D</v>
      </c>
      <c r="I855" s="16" t="str">
        <f t="shared" ca="1" si="28"/>
        <v>S/D</v>
      </c>
      <c r="J855" s="6">
        <f>IF(A855="","",SUMIFS(Movimientos!$K:$K,Movimientos!$H:$H,A855))</f>
        <v>0</v>
      </c>
      <c r="K855" s="14" t="str">
        <f t="shared" ca="1" si="29"/>
        <v>OK</v>
      </c>
    </row>
    <row r="856" spans="1:11">
      <c r="A856" s="18" t="s">
        <v>2917</v>
      </c>
      <c r="B856" s="3" t="str">
        <f>IFERROR(INDEX(Movimientos!$C$5:$C$2001,MATCH(A856&amp;"ENTRADA",Movimientos!$R$5:$R$2001,0)),"-")</f>
        <v>-</v>
      </c>
      <c r="C856" s="3" t="str">
        <f>IFERROR(INDEX(Movimientos!$D$5:$D$2001,MATCH(A856&amp;"ENTRADA",Movimientos!$R$5:$R$2001,0)),"-")</f>
        <v>-</v>
      </c>
      <c r="D856" s="3" t="str">
        <f>IFERROR(INDEX(Movimientos!$E$5:$E$2001,MATCH(A856&amp;"ENTRADA",Movimientos!$R$5:$R$2001,0)),"-")</f>
        <v>-</v>
      </c>
      <c r="E856" s="3" t="str">
        <f>IFERROR(INDEX(Movimientos!$F$5:$F$2001,MATCH(A856&amp;"ENTRADA",Movimientos!$R$5:$R$2001,0)),"-")</f>
        <v>-</v>
      </c>
      <c r="F856" s="3" t="str">
        <f>IFERROR(INDEX(Movimientos!$G$5:$G$2001,MATCH(A856&amp;"ENTRADA",Movimientos!$R$5:$R$2001,0)),"-")</f>
        <v>-</v>
      </c>
      <c r="G856" s="3" t="str">
        <f>IFERROR(INDEX(Movimientos!$L$5:$L$2001,MATCH(A856&amp;"ENTRADA",Movimientos!$R$5:$R$2001,0)),"-")</f>
        <v>-</v>
      </c>
      <c r="H856" s="19" t="str">
        <f>IFERROR(IF(INDEX(Movimientos!$M$5:$M$2001,MATCH(A856&amp;"ENTRADA",Movimientos!$R$5:$R$2001,0))=0,"S/D",INDEX(Movimientos!$M$5:$M$2001,MATCH(A856&amp;"ENTRADA",Movimientos!$R$5:$R$2001,0))),"S/D")</f>
        <v>S/D</v>
      </c>
      <c r="I856" s="16" t="str">
        <f t="shared" ca="1" si="28"/>
        <v>S/D</v>
      </c>
      <c r="J856" s="6">
        <f>IF(A856="","",SUMIFS(Movimientos!$K:$K,Movimientos!$H:$H,A856))</f>
        <v>0</v>
      </c>
      <c r="K856" s="14" t="str">
        <f t="shared" ca="1" si="29"/>
        <v>OK</v>
      </c>
    </row>
    <row r="857" spans="1:11">
      <c r="A857" s="18" t="s">
        <v>2918</v>
      </c>
      <c r="B857" s="3" t="str">
        <f>IFERROR(INDEX(Movimientos!$C$5:$C$2001,MATCH(A857&amp;"ENTRADA",Movimientos!$R$5:$R$2001,0)),"-")</f>
        <v>-</v>
      </c>
      <c r="C857" s="3" t="str">
        <f>IFERROR(INDEX(Movimientos!$D$5:$D$2001,MATCH(A857&amp;"ENTRADA",Movimientos!$R$5:$R$2001,0)),"-")</f>
        <v>-</v>
      </c>
      <c r="D857" s="3" t="str">
        <f>IFERROR(INDEX(Movimientos!$E$5:$E$2001,MATCH(A857&amp;"ENTRADA",Movimientos!$R$5:$R$2001,0)),"-")</f>
        <v>-</v>
      </c>
      <c r="E857" s="3" t="str">
        <f>IFERROR(INDEX(Movimientos!$F$5:$F$2001,MATCH(A857&amp;"ENTRADA",Movimientos!$R$5:$R$2001,0)),"-")</f>
        <v>-</v>
      </c>
      <c r="F857" s="3" t="str">
        <f>IFERROR(INDEX(Movimientos!$G$5:$G$2001,MATCH(A857&amp;"ENTRADA",Movimientos!$R$5:$R$2001,0)),"-")</f>
        <v>-</v>
      </c>
      <c r="G857" s="3" t="str">
        <f>IFERROR(INDEX(Movimientos!$L$5:$L$2001,MATCH(A857&amp;"ENTRADA",Movimientos!$R$5:$R$2001,0)),"-")</f>
        <v>-</v>
      </c>
      <c r="H857" s="19" t="str">
        <f>IFERROR(IF(INDEX(Movimientos!$M$5:$M$2001,MATCH(A857&amp;"ENTRADA",Movimientos!$R$5:$R$2001,0))=0,"S/D",INDEX(Movimientos!$M$5:$M$2001,MATCH(A857&amp;"ENTRADA",Movimientos!$R$5:$R$2001,0))),"S/D")</f>
        <v>S/D</v>
      </c>
      <c r="I857" s="16" t="str">
        <f t="shared" ca="1" si="28"/>
        <v>S/D</v>
      </c>
      <c r="J857" s="6">
        <f>IF(A857="","",SUMIFS(Movimientos!$K:$K,Movimientos!$H:$H,A857))</f>
        <v>0</v>
      </c>
      <c r="K857" s="14" t="str">
        <f t="shared" ca="1" si="29"/>
        <v>OK</v>
      </c>
    </row>
    <row r="858" spans="1:11">
      <c r="A858" s="18" t="s">
        <v>2919</v>
      </c>
      <c r="B858" s="3" t="str">
        <f>IFERROR(INDEX(Movimientos!$C$5:$C$2001,MATCH(A858&amp;"ENTRADA",Movimientos!$R$5:$R$2001,0)),"-")</f>
        <v>-</v>
      </c>
      <c r="C858" s="3" t="str">
        <f>IFERROR(INDEX(Movimientos!$D$5:$D$2001,MATCH(A858&amp;"ENTRADA",Movimientos!$R$5:$R$2001,0)),"-")</f>
        <v>-</v>
      </c>
      <c r="D858" s="3" t="str">
        <f>IFERROR(INDEX(Movimientos!$E$5:$E$2001,MATCH(A858&amp;"ENTRADA",Movimientos!$R$5:$R$2001,0)),"-")</f>
        <v>-</v>
      </c>
      <c r="E858" s="3" t="str">
        <f>IFERROR(INDEX(Movimientos!$F$5:$F$2001,MATCH(A858&amp;"ENTRADA",Movimientos!$R$5:$R$2001,0)),"-")</f>
        <v>-</v>
      </c>
      <c r="F858" s="3" t="str">
        <f>IFERROR(INDEX(Movimientos!$G$5:$G$2001,MATCH(A858&amp;"ENTRADA",Movimientos!$R$5:$R$2001,0)),"-")</f>
        <v>-</v>
      </c>
      <c r="G858" s="3" t="str">
        <f>IFERROR(INDEX(Movimientos!$L$5:$L$2001,MATCH(A858&amp;"ENTRADA",Movimientos!$R$5:$R$2001,0)),"-")</f>
        <v>-</v>
      </c>
      <c r="H858" s="19" t="str">
        <f>IFERROR(IF(INDEX(Movimientos!$M$5:$M$2001,MATCH(A858&amp;"ENTRADA",Movimientos!$R$5:$R$2001,0))=0,"S/D",INDEX(Movimientos!$M$5:$M$2001,MATCH(A858&amp;"ENTRADA",Movimientos!$R$5:$R$2001,0))),"S/D")</f>
        <v>S/D</v>
      </c>
      <c r="I858" s="16" t="str">
        <f t="shared" ca="1" si="28"/>
        <v>S/D</v>
      </c>
      <c r="J858" s="6">
        <f>IF(A858="","",SUMIFS(Movimientos!$K:$K,Movimientos!$H:$H,A858))</f>
        <v>0</v>
      </c>
      <c r="K858" s="14" t="str">
        <f t="shared" ca="1" si="29"/>
        <v>OK</v>
      </c>
    </row>
    <row r="859" spans="1:11">
      <c r="A859" s="18" t="s">
        <v>2920</v>
      </c>
      <c r="B859" s="3" t="str">
        <f>IFERROR(INDEX(Movimientos!$C$5:$C$2001,MATCH(A859&amp;"ENTRADA",Movimientos!$R$5:$R$2001,0)),"-")</f>
        <v>-</v>
      </c>
      <c r="C859" s="3" t="str">
        <f>IFERROR(INDEX(Movimientos!$D$5:$D$2001,MATCH(A859&amp;"ENTRADA",Movimientos!$R$5:$R$2001,0)),"-")</f>
        <v>-</v>
      </c>
      <c r="D859" s="3" t="str">
        <f>IFERROR(INDEX(Movimientos!$E$5:$E$2001,MATCH(A859&amp;"ENTRADA",Movimientos!$R$5:$R$2001,0)),"-")</f>
        <v>-</v>
      </c>
      <c r="E859" s="3" t="str">
        <f>IFERROR(INDEX(Movimientos!$F$5:$F$2001,MATCH(A859&amp;"ENTRADA",Movimientos!$R$5:$R$2001,0)),"-")</f>
        <v>-</v>
      </c>
      <c r="F859" s="3" t="str">
        <f>IFERROR(INDEX(Movimientos!$G$5:$G$2001,MATCH(A859&amp;"ENTRADA",Movimientos!$R$5:$R$2001,0)),"-")</f>
        <v>-</v>
      </c>
      <c r="G859" s="3" t="str">
        <f>IFERROR(INDEX(Movimientos!$L$5:$L$2001,MATCH(A859&amp;"ENTRADA",Movimientos!$R$5:$R$2001,0)),"-")</f>
        <v>-</v>
      </c>
      <c r="H859" s="19" t="str">
        <f>IFERROR(IF(INDEX(Movimientos!$M$5:$M$2001,MATCH(A859&amp;"ENTRADA",Movimientos!$R$5:$R$2001,0))=0,"S/D",INDEX(Movimientos!$M$5:$M$2001,MATCH(A859&amp;"ENTRADA",Movimientos!$R$5:$R$2001,0))),"S/D")</f>
        <v>S/D</v>
      </c>
      <c r="I859" s="16" t="str">
        <f t="shared" ca="1" si="28"/>
        <v>S/D</v>
      </c>
      <c r="J859" s="6">
        <f>IF(A859="","",SUMIFS(Movimientos!$K:$K,Movimientos!$H:$H,A859))</f>
        <v>0</v>
      </c>
      <c r="K859" s="14" t="str">
        <f t="shared" ca="1" si="29"/>
        <v>OK</v>
      </c>
    </row>
    <row r="860" spans="1:11">
      <c r="A860" s="18" t="s">
        <v>2921</v>
      </c>
      <c r="B860" s="3" t="str">
        <f>IFERROR(INDEX(Movimientos!$C$5:$C$2001,MATCH(A860&amp;"ENTRADA",Movimientos!$R$5:$R$2001,0)),"-")</f>
        <v>-</v>
      </c>
      <c r="C860" s="3" t="str">
        <f>IFERROR(INDEX(Movimientos!$D$5:$D$2001,MATCH(A860&amp;"ENTRADA",Movimientos!$R$5:$R$2001,0)),"-")</f>
        <v>-</v>
      </c>
      <c r="D860" s="3" t="str">
        <f>IFERROR(INDEX(Movimientos!$E$5:$E$2001,MATCH(A860&amp;"ENTRADA",Movimientos!$R$5:$R$2001,0)),"-")</f>
        <v>-</v>
      </c>
      <c r="E860" s="3" t="str">
        <f>IFERROR(INDEX(Movimientos!$F$5:$F$2001,MATCH(A860&amp;"ENTRADA",Movimientos!$R$5:$R$2001,0)),"-")</f>
        <v>-</v>
      </c>
      <c r="F860" s="3" t="str">
        <f>IFERROR(INDEX(Movimientos!$G$5:$G$2001,MATCH(A860&amp;"ENTRADA",Movimientos!$R$5:$R$2001,0)),"-")</f>
        <v>-</v>
      </c>
      <c r="G860" s="3" t="str">
        <f>IFERROR(INDEX(Movimientos!$L$5:$L$2001,MATCH(A860&amp;"ENTRADA",Movimientos!$R$5:$R$2001,0)),"-")</f>
        <v>-</v>
      </c>
      <c r="H860" s="19" t="str">
        <f>IFERROR(IF(INDEX(Movimientos!$M$5:$M$2001,MATCH(A860&amp;"ENTRADA",Movimientos!$R$5:$R$2001,0))=0,"S/D",INDEX(Movimientos!$M$5:$M$2001,MATCH(A860&amp;"ENTRADA",Movimientos!$R$5:$R$2001,0))),"S/D")</f>
        <v>S/D</v>
      </c>
      <c r="I860" s="16" t="str">
        <f t="shared" ca="1" si="28"/>
        <v>S/D</v>
      </c>
      <c r="J860" s="6">
        <f>IF(A860="","",SUMIFS(Movimientos!$K:$K,Movimientos!$H:$H,A860))</f>
        <v>0</v>
      </c>
      <c r="K860" s="14" t="str">
        <f t="shared" ca="1" si="29"/>
        <v>OK</v>
      </c>
    </row>
    <row r="861" spans="1:11">
      <c r="A861" s="18" t="s">
        <v>2922</v>
      </c>
      <c r="B861" s="3" t="str">
        <f>IFERROR(INDEX(Movimientos!$C$5:$C$2001,MATCH(A861&amp;"ENTRADA",Movimientos!$R$5:$R$2001,0)),"-")</f>
        <v>-</v>
      </c>
      <c r="C861" s="3" t="str">
        <f>IFERROR(INDEX(Movimientos!$D$5:$D$2001,MATCH(A861&amp;"ENTRADA",Movimientos!$R$5:$R$2001,0)),"-")</f>
        <v>-</v>
      </c>
      <c r="D861" s="3" t="str">
        <f>IFERROR(INDEX(Movimientos!$E$5:$E$2001,MATCH(A861&amp;"ENTRADA",Movimientos!$R$5:$R$2001,0)),"-")</f>
        <v>-</v>
      </c>
      <c r="E861" s="3" t="str">
        <f>IFERROR(INDEX(Movimientos!$F$5:$F$2001,MATCH(A861&amp;"ENTRADA",Movimientos!$R$5:$R$2001,0)),"-")</f>
        <v>-</v>
      </c>
      <c r="F861" s="3" t="str">
        <f>IFERROR(INDEX(Movimientos!$G$5:$G$2001,MATCH(A861&amp;"ENTRADA",Movimientos!$R$5:$R$2001,0)),"-")</f>
        <v>-</v>
      </c>
      <c r="G861" s="3" t="str">
        <f>IFERROR(INDEX(Movimientos!$L$5:$L$2001,MATCH(A861&amp;"ENTRADA",Movimientos!$R$5:$R$2001,0)),"-")</f>
        <v>-</v>
      </c>
      <c r="H861" s="19" t="str">
        <f>IFERROR(IF(INDEX(Movimientos!$M$5:$M$2001,MATCH(A861&amp;"ENTRADA",Movimientos!$R$5:$R$2001,0))=0,"S/D",INDEX(Movimientos!$M$5:$M$2001,MATCH(A861&amp;"ENTRADA",Movimientos!$R$5:$R$2001,0))),"S/D")</f>
        <v>S/D</v>
      </c>
      <c r="I861" s="16" t="str">
        <f t="shared" ca="1" si="28"/>
        <v>S/D</v>
      </c>
      <c r="J861" s="6">
        <f>IF(A861="","",SUMIFS(Movimientos!$K:$K,Movimientos!$H:$H,A861))</f>
        <v>0</v>
      </c>
      <c r="K861" s="14" t="str">
        <f t="shared" ca="1" si="29"/>
        <v>OK</v>
      </c>
    </row>
    <row r="862" spans="1:11">
      <c r="A862" s="18" t="s">
        <v>2923</v>
      </c>
      <c r="B862" s="3" t="str">
        <f>IFERROR(INDEX(Movimientos!$C$5:$C$2001,MATCH(A862&amp;"ENTRADA",Movimientos!$R$5:$R$2001,0)),"-")</f>
        <v>-</v>
      </c>
      <c r="C862" s="3" t="str">
        <f>IFERROR(INDEX(Movimientos!$D$5:$D$2001,MATCH(A862&amp;"ENTRADA",Movimientos!$R$5:$R$2001,0)),"-")</f>
        <v>-</v>
      </c>
      <c r="D862" s="3" t="str">
        <f>IFERROR(INDEX(Movimientos!$E$5:$E$2001,MATCH(A862&amp;"ENTRADA",Movimientos!$R$5:$R$2001,0)),"-")</f>
        <v>-</v>
      </c>
      <c r="E862" s="3" t="str">
        <f>IFERROR(INDEX(Movimientos!$F$5:$F$2001,MATCH(A862&amp;"ENTRADA",Movimientos!$R$5:$R$2001,0)),"-")</f>
        <v>-</v>
      </c>
      <c r="F862" s="3" t="str">
        <f>IFERROR(INDEX(Movimientos!$G$5:$G$2001,MATCH(A862&amp;"ENTRADA",Movimientos!$R$5:$R$2001,0)),"-")</f>
        <v>-</v>
      </c>
      <c r="G862" s="3" t="str">
        <f>IFERROR(INDEX(Movimientos!$L$5:$L$2001,MATCH(A862&amp;"ENTRADA",Movimientos!$R$5:$R$2001,0)),"-")</f>
        <v>-</v>
      </c>
      <c r="H862" s="19" t="str">
        <f>IFERROR(IF(INDEX(Movimientos!$M$5:$M$2001,MATCH(A862&amp;"ENTRADA",Movimientos!$R$5:$R$2001,0))=0,"S/D",INDEX(Movimientos!$M$5:$M$2001,MATCH(A862&amp;"ENTRADA",Movimientos!$R$5:$R$2001,0))),"S/D")</f>
        <v>S/D</v>
      </c>
      <c r="I862" s="16" t="str">
        <f t="shared" ca="1" si="28"/>
        <v>S/D</v>
      </c>
      <c r="J862" s="6">
        <f>IF(A862="","",SUMIFS(Movimientos!$K:$K,Movimientos!$H:$H,A862))</f>
        <v>0</v>
      </c>
      <c r="K862" s="14" t="str">
        <f t="shared" ca="1" si="29"/>
        <v>OK</v>
      </c>
    </row>
    <row r="863" spans="1:11">
      <c r="A863" s="18" t="s">
        <v>2924</v>
      </c>
      <c r="B863" s="3" t="str">
        <f>IFERROR(INDEX(Movimientos!$C$5:$C$2001,MATCH(A863&amp;"ENTRADA",Movimientos!$R$5:$R$2001,0)),"-")</f>
        <v>-</v>
      </c>
      <c r="C863" s="3" t="str">
        <f>IFERROR(INDEX(Movimientos!$D$5:$D$2001,MATCH(A863&amp;"ENTRADA",Movimientos!$R$5:$R$2001,0)),"-")</f>
        <v>-</v>
      </c>
      <c r="D863" s="3" t="str">
        <f>IFERROR(INDEX(Movimientos!$E$5:$E$2001,MATCH(A863&amp;"ENTRADA",Movimientos!$R$5:$R$2001,0)),"-")</f>
        <v>-</v>
      </c>
      <c r="E863" s="3" t="str">
        <f>IFERROR(INDEX(Movimientos!$F$5:$F$2001,MATCH(A863&amp;"ENTRADA",Movimientos!$R$5:$R$2001,0)),"-")</f>
        <v>-</v>
      </c>
      <c r="F863" s="3" t="str">
        <f>IFERROR(INDEX(Movimientos!$G$5:$G$2001,MATCH(A863&amp;"ENTRADA",Movimientos!$R$5:$R$2001,0)),"-")</f>
        <v>-</v>
      </c>
      <c r="G863" s="3" t="str">
        <f>IFERROR(INDEX(Movimientos!$L$5:$L$2001,MATCH(A863&amp;"ENTRADA",Movimientos!$R$5:$R$2001,0)),"-")</f>
        <v>-</v>
      </c>
      <c r="H863" s="19" t="str">
        <f>IFERROR(IF(INDEX(Movimientos!$M$5:$M$2001,MATCH(A863&amp;"ENTRADA",Movimientos!$R$5:$R$2001,0))=0,"S/D",INDEX(Movimientos!$M$5:$M$2001,MATCH(A863&amp;"ENTRADA",Movimientos!$R$5:$R$2001,0))),"S/D")</f>
        <v>S/D</v>
      </c>
      <c r="I863" s="16" t="str">
        <f t="shared" ca="1" si="28"/>
        <v>S/D</v>
      </c>
      <c r="J863" s="6">
        <f>IF(A863="","",SUMIFS(Movimientos!$K:$K,Movimientos!$H:$H,A863))</f>
        <v>0</v>
      </c>
      <c r="K863" s="14" t="str">
        <f t="shared" ca="1" si="29"/>
        <v>OK</v>
      </c>
    </row>
    <row r="864" spans="1:11">
      <c r="A864" s="18" t="s">
        <v>2925</v>
      </c>
      <c r="B864" s="3" t="str">
        <f>IFERROR(INDEX(Movimientos!$C$5:$C$2001,MATCH(A864&amp;"ENTRADA",Movimientos!$R$5:$R$2001,0)),"-")</f>
        <v>-</v>
      </c>
      <c r="C864" s="3" t="str">
        <f>IFERROR(INDEX(Movimientos!$D$5:$D$2001,MATCH(A864&amp;"ENTRADA",Movimientos!$R$5:$R$2001,0)),"-")</f>
        <v>-</v>
      </c>
      <c r="D864" s="3" t="str">
        <f>IFERROR(INDEX(Movimientos!$E$5:$E$2001,MATCH(A864&amp;"ENTRADA",Movimientos!$R$5:$R$2001,0)),"-")</f>
        <v>-</v>
      </c>
      <c r="E864" s="3" t="str">
        <f>IFERROR(INDEX(Movimientos!$F$5:$F$2001,MATCH(A864&amp;"ENTRADA",Movimientos!$R$5:$R$2001,0)),"-")</f>
        <v>-</v>
      </c>
      <c r="F864" s="3" t="str">
        <f>IFERROR(INDEX(Movimientos!$G$5:$G$2001,MATCH(A864&amp;"ENTRADA",Movimientos!$R$5:$R$2001,0)),"-")</f>
        <v>-</v>
      </c>
      <c r="G864" s="3" t="str">
        <f>IFERROR(INDEX(Movimientos!$L$5:$L$2001,MATCH(A864&amp;"ENTRADA",Movimientos!$R$5:$R$2001,0)),"-")</f>
        <v>-</v>
      </c>
      <c r="H864" s="19" t="str">
        <f>IFERROR(IF(INDEX(Movimientos!$M$5:$M$2001,MATCH(A864&amp;"ENTRADA",Movimientos!$R$5:$R$2001,0))=0,"S/D",INDEX(Movimientos!$M$5:$M$2001,MATCH(A864&amp;"ENTRADA",Movimientos!$R$5:$R$2001,0))),"S/D")</f>
        <v>S/D</v>
      </c>
      <c r="I864" s="16" t="str">
        <f t="shared" ca="1" si="28"/>
        <v>S/D</v>
      </c>
      <c r="J864" s="6">
        <f>IF(A864="","",SUMIFS(Movimientos!$K:$K,Movimientos!$H:$H,A864))</f>
        <v>0</v>
      </c>
      <c r="K864" s="14" t="str">
        <f t="shared" ca="1" si="29"/>
        <v>OK</v>
      </c>
    </row>
    <row r="865" spans="1:11">
      <c r="A865" s="18" t="s">
        <v>2926</v>
      </c>
      <c r="B865" s="3" t="str">
        <f>IFERROR(INDEX(Movimientos!$C$5:$C$2001,MATCH(A865&amp;"ENTRADA",Movimientos!$R$5:$R$2001,0)),"-")</f>
        <v>-</v>
      </c>
      <c r="C865" s="3" t="str">
        <f>IFERROR(INDEX(Movimientos!$D$5:$D$2001,MATCH(A865&amp;"ENTRADA",Movimientos!$R$5:$R$2001,0)),"-")</f>
        <v>-</v>
      </c>
      <c r="D865" s="3" t="str">
        <f>IFERROR(INDEX(Movimientos!$E$5:$E$2001,MATCH(A865&amp;"ENTRADA",Movimientos!$R$5:$R$2001,0)),"-")</f>
        <v>-</v>
      </c>
      <c r="E865" s="3" t="str">
        <f>IFERROR(INDEX(Movimientos!$F$5:$F$2001,MATCH(A865&amp;"ENTRADA",Movimientos!$R$5:$R$2001,0)),"-")</f>
        <v>-</v>
      </c>
      <c r="F865" s="3" t="str">
        <f>IFERROR(INDEX(Movimientos!$G$5:$G$2001,MATCH(A865&amp;"ENTRADA",Movimientos!$R$5:$R$2001,0)),"-")</f>
        <v>-</v>
      </c>
      <c r="G865" s="3" t="str">
        <f>IFERROR(INDEX(Movimientos!$L$5:$L$2001,MATCH(A865&amp;"ENTRADA",Movimientos!$R$5:$R$2001,0)),"-")</f>
        <v>-</v>
      </c>
      <c r="H865" s="19" t="str">
        <f>IFERROR(IF(INDEX(Movimientos!$M$5:$M$2001,MATCH(A865&amp;"ENTRADA",Movimientos!$R$5:$R$2001,0))=0,"S/D",INDEX(Movimientos!$M$5:$M$2001,MATCH(A865&amp;"ENTRADA",Movimientos!$R$5:$R$2001,0))),"S/D")</f>
        <v>S/D</v>
      </c>
      <c r="I865" s="16" t="str">
        <f t="shared" ca="1" si="28"/>
        <v>S/D</v>
      </c>
      <c r="J865" s="6">
        <f>IF(A865="","",SUMIFS(Movimientos!$K:$K,Movimientos!$H:$H,A865))</f>
        <v>0</v>
      </c>
      <c r="K865" s="14" t="str">
        <f t="shared" ca="1" si="29"/>
        <v>OK</v>
      </c>
    </row>
    <row r="866" spans="1:11">
      <c r="A866" s="18" t="s">
        <v>2927</v>
      </c>
      <c r="B866" s="3" t="str">
        <f>IFERROR(INDEX(Movimientos!$C$5:$C$2001,MATCH(A866&amp;"ENTRADA",Movimientos!$R$5:$R$2001,0)),"-")</f>
        <v>-</v>
      </c>
      <c r="C866" s="3" t="str">
        <f>IFERROR(INDEX(Movimientos!$D$5:$D$2001,MATCH(A866&amp;"ENTRADA",Movimientos!$R$5:$R$2001,0)),"-")</f>
        <v>-</v>
      </c>
      <c r="D866" s="3" t="str">
        <f>IFERROR(INDEX(Movimientos!$E$5:$E$2001,MATCH(A866&amp;"ENTRADA",Movimientos!$R$5:$R$2001,0)),"-")</f>
        <v>-</v>
      </c>
      <c r="E866" s="3" t="str">
        <f>IFERROR(INDEX(Movimientos!$F$5:$F$2001,MATCH(A866&amp;"ENTRADA",Movimientos!$R$5:$R$2001,0)),"-")</f>
        <v>-</v>
      </c>
      <c r="F866" s="3" t="str">
        <f>IFERROR(INDEX(Movimientos!$G$5:$G$2001,MATCH(A866&amp;"ENTRADA",Movimientos!$R$5:$R$2001,0)),"-")</f>
        <v>-</v>
      </c>
      <c r="G866" s="3" t="str">
        <f>IFERROR(INDEX(Movimientos!$L$5:$L$2001,MATCH(A866&amp;"ENTRADA",Movimientos!$R$5:$R$2001,0)),"-")</f>
        <v>-</v>
      </c>
      <c r="H866" s="19" t="str">
        <f>IFERROR(IF(INDEX(Movimientos!$M$5:$M$2001,MATCH(A866&amp;"ENTRADA",Movimientos!$R$5:$R$2001,0))=0,"S/D",INDEX(Movimientos!$M$5:$M$2001,MATCH(A866&amp;"ENTRADA",Movimientos!$R$5:$R$2001,0))),"S/D")</f>
        <v>S/D</v>
      </c>
      <c r="I866" s="16" t="str">
        <f t="shared" ca="1" si="28"/>
        <v>S/D</v>
      </c>
      <c r="J866" s="6">
        <f>IF(A866="","",SUMIFS(Movimientos!$K:$K,Movimientos!$H:$H,A866))</f>
        <v>0</v>
      </c>
      <c r="K866" s="14" t="str">
        <f t="shared" ca="1" si="29"/>
        <v>OK</v>
      </c>
    </row>
    <row r="867" spans="1:11">
      <c r="A867" s="18" t="s">
        <v>2928</v>
      </c>
      <c r="B867" s="3" t="str">
        <f>IFERROR(INDEX(Movimientos!$C$5:$C$2001,MATCH(A867&amp;"ENTRADA",Movimientos!$R$5:$R$2001,0)),"-")</f>
        <v>-</v>
      </c>
      <c r="C867" s="3" t="str">
        <f>IFERROR(INDEX(Movimientos!$D$5:$D$2001,MATCH(A867&amp;"ENTRADA",Movimientos!$R$5:$R$2001,0)),"-")</f>
        <v>-</v>
      </c>
      <c r="D867" s="3" t="str">
        <f>IFERROR(INDEX(Movimientos!$E$5:$E$2001,MATCH(A867&amp;"ENTRADA",Movimientos!$R$5:$R$2001,0)),"-")</f>
        <v>-</v>
      </c>
      <c r="E867" s="3" t="str">
        <f>IFERROR(INDEX(Movimientos!$F$5:$F$2001,MATCH(A867&amp;"ENTRADA",Movimientos!$R$5:$R$2001,0)),"-")</f>
        <v>-</v>
      </c>
      <c r="F867" s="3" t="str">
        <f>IFERROR(INDEX(Movimientos!$G$5:$G$2001,MATCH(A867&amp;"ENTRADA",Movimientos!$R$5:$R$2001,0)),"-")</f>
        <v>-</v>
      </c>
      <c r="G867" s="3" t="str">
        <f>IFERROR(INDEX(Movimientos!$L$5:$L$2001,MATCH(A867&amp;"ENTRADA",Movimientos!$R$5:$R$2001,0)),"-")</f>
        <v>-</v>
      </c>
      <c r="H867" s="19" t="str">
        <f>IFERROR(IF(INDEX(Movimientos!$M$5:$M$2001,MATCH(A867&amp;"ENTRADA",Movimientos!$R$5:$R$2001,0))=0,"S/D",INDEX(Movimientos!$M$5:$M$2001,MATCH(A867&amp;"ENTRADA",Movimientos!$R$5:$R$2001,0))),"S/D")</f>
        <v>S/D</v>
      </c>
      <c r="I867" s="16" t="str">
        <f t="shared" ca="1" si="28"/>
        <v>S/D</v>
      </c>
      <c r="J867" s="6">
        <f>IF(A867="","",SUMIFS(Movimientos!$K:$K,Movimientos!$H:$H,A867))</f>
        <v>0</v>
      </c>
      <c r="K867" s="14" t="str">
        <f t="shared" ca="1" si="29"/>
        <v>OK</v>
      </c>
    </row>
    <row r="868" spans="1:11">
      <c r="A868" s="18" t="s">
        <v>2929</v>
      </c>
      <c r="B868" s="3" t="str">
        <f>IFERROR(INDEX(Movimientos!$C$5:$C$2001,MATCH(A868&amp;"ENTRADA",Movimientos!$R$5:$R$2001,0)),"-")</f>
        <v>-</v>
      </c>
      <c r="C868" s="3" t="str">
        <f>IFERROR(INDEX(Movimientos!$D$5:$D$2001,MATCH(A868&amp;"ENTRADA",Movimientos!$R$5:$R$2001,0)),"-")</f>
        <v>-</v>
      </c>
      <c r="D868" s="3" t="str">
        <f>IFERROR(INDEX(Movimientos!$E$5:$E$2001,MATCH(A868&amp;"ENTRADA",Movimientos!$R$5:$R$2001,0)),"-")</f>
        <v>-</v>
      </c>
      <c r="E868" s="3" t="str">
        <f>IFERROR(INDEX(Movimientos!$F$5:$F$2001,MATCH(A868&amp;"ENTRADA",Movimientos!$R$5:$R$2001,0)),"-")</f>
        <v>-</v>
      </c>
      <c r="F868" s="3" t="str">
        <f>IFERROR(INDEX(Movimientos!$G$5:$G$2001,MATCH(A868&amp;"ENTRADA",Movimientos!$R$5:$R$2001,0)),"-")</f>
        <v>-</v>
      </c>
      <c r="G868" s="3" t="str">
        <f>IFERROR(INDEX(Movimientos!$L$5:$L$2001,MATCH(A868&amp;"ENTRADA",Movimientos!$R$5:$R$2001,0)),"-")</f>
        <v>-</v>
      </c>
      <c r="H868" s="19" t="str">
        <f>IFERROR(IF(INDEX(Movimientos!$M$5:$M$2001,MATCH(A868&amp;"ENTRADA",Movimientos!$R$5:$R$2001,0))=0,"S/D",INDEX(Movimientos!$M$5:$M$2001,MATCH(A868&amp;"ENTRADA",Movimientos!$R$5:$R$2001,0))),"S/D")</f>
        <v>S/D</v>
      </c>
      <c r="I868" s="16" t="str">
        <f t="shared" ca="1" si="28"/>
        <v>S/D</v>
      </c>
      <c r="J868" s="6">
        <f>IF(A868="","",SUMIFS(Movimientos!$K:$K,Movimientos!$H:$H,A868))</f>
        <v>0</v>
      </c>
      <c r="K868" s="14" t="str">
        <f t="shared" ca="1" si="29"/>
        <v>OK</v>
      </c>
    </row>
    <row r="869" spans="1:11">
      <c r="A869" s="18" t="s">
        <v>2930</v>
      </c>
      <c r="B869" s="3" t="str">
        <f>IFERROR(INDEX(Movimientos!$C$5:$C$2001,MATCH(A869&amp;"ENTRADA",Movimientos!$R$5:$R$2001,0)),"-")</f>
        <v>-</v>
      </c>
      <c r="C869" s="3" t="str">
        <f>IFERROR(INDEX(Movimientos!$D$5:$D$2001,MATCH(A869&amp;"ENTRADA",Movimientos!$R$5:$R$2001,0)),"-")</f>
        <v>-</v>
      </c>
      <c r="D869" s="3" t="str">
        <f>IFERROR(INDEX(Movimientos!$E$5:$E$2001,MATCH(A869&amp;"ENTRADA",Movimientos!$R$5:$R$2001,0)),"-")</f>
        <v>-</v>
      </c>
      <c r="E869" s="3" t="str">
        <f>IFERROR(INDEX(Movimientos!$F$5:$F$2001,MATCH(A869&amp;"ENTRADA",Movimientos!$R$5:$R$2001,0)),"-")</f>
        <v>-</v>
      </c>
      <c r="F869" s="3" t="str">
        <f>IFERROR(INDEX(Movimientos!$G$5:$G$2001,MATCH(A869&amp;"ENTRADA",Movimientos!$R$5:$R$2001,0)),"-")</f>
        <v>-</v>
      </c>
      <c r="G869" s="3" t="str">
        <f>IFERROR(INDEX(Movimientos!$L$5:$L$2001,MATCH(A869&amp;"ENTRADA",Movimientos!$R$5:$R$2001,0)),"-")</f>
        <v>-</v>
      </c>
      <c r="H869" s="19" t="str">
        <f>IFERROR(IF(INDEX(Movimientos!$M$5:$M$2001,MATCH(A869&amp;"ENTRADA",Movimientos!$R$5:$R$2001,0))=0,"S/D",INDEX(Movimientos!$M$5:$M$2001,MATCH(A869&amp;"ENTRADA",Movimientos!$R$5:$R$2001,0))),"S/D")</f>
        <v>S/D</v>
      </c>
      <c r="I869" s="16" t="str">
        <f t="shared" ca="1" si="28"/>
        <v>S/D</v>
      </c>
      <c r="J869" s="6">
        <f>IF(A869="","",SUMIFS(Movimientos!$K:$K,Movimientos!$H:$H,A869))</f>
        <v>0</v>
      </c>
      <c r="K869" s="14" t="str">
        <f t="shared" ca="1" si="29"/>
        <v>OK</v>
      </c>
    </row>
    <row r="870" spans="1:11">
      <c r="A870" s="18" t="s">
        <v>2931</v>
      </c>
      <c r="B870" s="3" t="str">
        <f>IFERROR(INDEX(Movimientos!$C$5:$C$2001,MATCH(A870&amp;"ENTRADA",Movimientos!$R$5:$R$2001,0)),"-")</f>
        <v>-</v>
      </c>
      <c r="C870" s="3" t="str">
        <f>IFERROR(INDEX(Movimientos!$D$5:$D$2001,MATCH(A870&amp;"ENTRADA",Movimientos!$R$5:$R$2001,0)),"-")</f>
        <v>-</v>
      </c>
      <c r="D870" s="3" t="str">
        <f>IFERROR(INDEX(Movimientos!$E$5:$E$2001,MATCH(A870&amp;"ENTRADA",Movimientos!$R$5:$R$2001,0)),"-")</f>
        <v>-</v>
      </c>
      <c r="E870" s="3" t="str">
        <f>IFERROR(INDEX(Movimientos!$F$5:$F$2001,MATCH(A870&amp;"ENTRADA",Movimientos!$R$5:$R$2001,0)),"-")</f>
        <v>-</v>
      </c>
      <c r="F870" s="3" t="str">
        <f>IFERROR(INDEX(Movimientos!$G$5:$G$2001,MATCH(A870&amp;"ENTRADA",Movimientos!$R$5:$R$2001,0)),"-")</f>
        <v>-</v>
      </c>
      <c r="G870" s="3" t="str">
        <f>IFERROR(INDEX(Movimientos!$L$5:$L$2001,MATCH(A870&amp;"ENTRADA",Movimientos!$R$5:$R$2001,0)),"-")</f>
        <v>-</v>
      </c>
      <c r="H870" s="19" t="str">
        <f>IFERROR(IF(INDEX(Movimientos!$M$5:$M$2001,MATCH(A870&amp;"ENTRADA",Movimientos!$R$5:$R$2001,0))=0,"S/D",INDEX(Movimientos!$M$5:$M$2001,MATCH(A870&amp;"ENTRADA",Movimientos!$R$5:$R$2001,0))),"S/D")</f>
        <v>S/D</v>
      </c>
      <c r="I870" s="16" t="str">
        <f t="shared" ca="1" si="28"/>
        <v>S/D</v>
      </c>
      <c r="J870" s="6">
        <f>IF(A870="","",SUMIFS(Movimientos!$K:$K,Movimientos!$H:$H,A870))</f>
        <v>0</v>
      </c>
      <c r="K870" s="14" t="str">
        <f t="shared" ca="1" si="29"/>
        <v>OK</v>
      </c>
    </row>
    <row r="871" spans="1:11">
      <c r="A871" s="18" t="s">
        <v>2932</v>
      </c>
      <c r="B871" s="3" t="str">
        <f>IFERROR(INDEX(Movimientos!$C$5:$C$2001,MATCH(A871&amp;"ENTRADA",Movimientos!$R$5:$R$2001,0)),"-")</f>
        <v>-</v>
      </c>
      <c r="C871" s="3" t="str">
        <f>IFERROR(INDEX(Movimientos!$D$5:$D$2001,MATCH(A871&amp;"ENTRADA",Movimientos!$R$5:$R$2001,0)),"-")</f>
        <v>-</v>
      </c>
      <c r="D871" s="3" t="str">
        <f>IFERROR(INDEX(Movimientos!$E$5:$E$2001,MATCH(A871&amp;"ENTRADA",Movimientos!$R$5:$R$2001,0)),"-")</f>
        <v>-</v>
      </c>
      <c r="E871" s="3" t="str">
        <f>IFERROR(INDEX(Movimientos!$F$5:$F$2001,MATCH(A871&amp;"ENTRADA",Movimientos!$R$5:$R$2001,0)),"-")</f>
        <v>-</v>
      </c>
      <c r="F871" s="3" t="str">
        <f>IFERROR(INDEX(Movimientos!$G$5:$G$2001,MATCH(A871&amp;"ENTRADA",Movimientos!$R$5:$R$2001,0)),"-")</f>
        <v>-</v>
      </c>
      <c r="G871" s="3" t="str">
        <f>IFERROR(INDEX(Movimientos!$L$5:$L$2001,MATCH(A871&amp;"ENTRADA",Movimientos!$R$5:$R$2001,0)),"-")</f>
        <v>-</v>
      </c>
      <c r="H871" s="19" t="str">
        <f>IFERROR(IF(INDEX(Movimientos!$M$5:$M$2001,MATCH(A871&amp;"ENTRADA",Movimientos!$R$5:$R$2001,0))=0,"S/D",INDEX(Movimientos!$M$5:$M$2001,MATCH(A871&amp;"ENTRADA",Movimientos!$R$5:$R$2001,0))),"S/D")</f>
        <v>S/D</v>
      </c>
      <c r="I871" s="16" t="str">
        <f t="shared" ca="1" si="28"/>
        <v>S/D</v>
      </c>
      <c r="J871" s="6">
        <f>IF(A871="","",SUMIFS(Movimientos!$K:$K,Movimientos!$H:$H,A871))</f>
        <v>0</v>
      </c>
      <c r="K871" s="14" t="str">
        <f t="shared" ca="1" si="29"/>
        <v>OK</v>
      </c>
    </row>
    <row r="872" spans="1:11">
      <c r="A872" s="18" t="s">
        <v>2933</v>
      </c>
      <c r="B872" s="3" t="str">
        <f>IFERROR(INDEX(Movimientos!$C$5:$C$2001,MATCH(A872&amp;"ENTRADA",Movimientos!$R$5:$R$2001,0)),"-")</f>
        <v>-</v>
      </c>
      <c r="C872" s="3" t="str">
        <f>IFERROR(INDEX(Movimientos!$D$5:$D$2001,MATCH(A872&amp;"ENTRADA",Movimientos!$R$5:$R$2001,0)),"-")</f>
        <v>-</v>
      </c>
      <c r="D872" s="3" t="str">
        <f>IFERROR(INDEX(Movimientos!$E$5:$E$2001,MATCH(A872&amp;"ENTRADA",Movimientos!$R$5:$R$2001,0)),"-")</f>
        <v>-</v>
      </c>
      <c r="E872" s="3" t="str">
        <f>IFERROR(INDEX(Movimientos!$F$5:$F$2001,MATCH(A872&amp;"ENTRADA",Movimientos!$R$5:$R$2001,0)),"-")</f>
        <v>-</v>
      </c>
      <c r="F872" s="3" t="str">
        <f>IFERROR(INDEX(Movimientos!$G$5:$G$2001,MATCH(A872&amp;"ENTRADA",Movimientos!$R$5:$R$2001,0)),"-")</f>
        <v>-</v>
      </c>
      <c r="G872" s="3" t="str">
        <f>IFERROR(INDEX(Movimientos!$L$5:$L$2001,MATCH(A872&amp;"ENTRADA",Movimientos!$R$5:$R$2001,0)),"-")</f>
        <v>-</v>
      </c>
      <c r="H872" s="19" t="str">
        <f>IFERROR(IF(INDEX(Movimientos!$M$5:$M$2001,MATCH(A872&amp;"ENTRADA",Movimientos!$R$5:$R$2001,0))=0,"S/D",INDEX(Movimientos!$M$5:$M$2001,MATCH(A872&amp;"ENTRADA",Movimientos!$R$5:$R$2001,0))),"S/D")</f>
        <v>S/D</v>
      </c>
      <c r="I872" s="16" t="str">
        <f t="shared" ca="1" si="28"/>
        <v>S/D</v>
      </c>
      <c r="J872" s="6">
        <f>IF(A872="","",SUMIFS(Movimientos!$K:$K,Movimientos!$H:$H,A872))</f>
        <v>0</v>
      </c>
      <c r="K872" s="14" t="str">
        <f t="shared" ca="1" si="29"/>
        <v>OK</v>
      </c>
    </row>
    <row r="873" spans="1:11">
      <c r="A873" s="18" t="s">
        <v>2934</v>
      </c>
      <c r="B873" s="3" t="str">
        <f>IFERROR(INDEX(Movimientos!$C$5:$C$2001,MATCH(A873&amp;"ENTRADA",Movimientos!$R$5:$R$2001,0)),"-")</f>
        <v>-</v>
      </c>
      <c r="C873" s="3" t="str">
        <f>IFERROR(INDEX(Movimientos!$D$5:$D$2001,MATCH(A873&amp;"ENTRADA",Movimientos!$R$5:$R$2001,0)),"-")</f>
        <v>-</v>
      </c>
      <c r="D873" s="3" t="str">
        <f>IFERROR(INDEX(Movimientos!$E$5:$E$2001,MATCH(A873&amp;"ENTRADA",Movimientos!$R$5:$R$2001,0)),"-")</f>
        <v>-</v>
      </c>
      <c r="E873" s="3" t="str">
        <f>IFERROR(INDEX(Movimientos!$F$5:$F$2001,MATCH(A873&amp;"ENTRADA",Movimientos!$R$5:$R$2001,0)),"-")</f>
        <v>-</v>
      </c>
      <c r="F873" s="3" t="str">
        <f>IFERROR(INDEX(Movimientos!$G$5:$G$2001,MATCH(A873&amp;"ENTRADA",Movimientos!$R$5:$R$2001,0)),"-")</f>
        <v>-</v>
      </c>
      <c r="G873" s="3" t="str">
        <f>IFERROR(INDEX(Movimientos!$L$5:$L$2001,MATCH(A873&amp;"ENTRADA",Movimientos!$R$5:$R$2001,0)),"-")</f>
        <v>-</v>
      </c>
      <c r="H873" s="19" t="str">
        <f>IFERROR(IF(INDEX(Movimientos!$M$5:$M$2001,MATCH(A873&amp;"ENTRADA",Movimientos!$R$5:$R$2001,0))=0,"S/D",INDEX(Movimientos!$M$5:$M$2001,MATCH(A873&amp;"ENTRADA",Movimientos!$R$5:$R$2001,0))),"S/D")</f>
        <v>S/D</v>
      </c>
      <c r="I873" s="16" t="str">
        <f t="shared" ca="1" si="28"/>
        <v>S/D</v>
      </c>
      <c r="J873" s="6">
        <f>IF(A873="","",SUMIFS(Movimientos!$K:$K,Movimientos!$H:$H,A873))</f>
        <v>0</v>
      </c>
      <c r="K873" s="14" t="str">
        <f t="shared" ca="1" si="29"/>
        <v>OK</v>
      </c>
    </row>
    <row r="874" spans="1:11">
      <c r="A874" s="18" t="s">
        <v>2935</v>
      </c>
      <c r="B874" s="3" t="str">
        <f>IFERROR(INDEX(Movimientos!$C$5:$C$2001,MATCH(A874&amp;"ENTRADA",Movimientos!$R$5:$R$2001,0)),"-")</f>
        <v>-</v>
      </c>
      <c r="C874" s="3" t="str">
        <f>IFERROR(INDEX(Movimientos!$D$5:$D$2001,MATCH(A874&amp;"ENTRADA",Movimientos!$R$5:$R$2001,0)),"-")</f>
        <v>-</v>
      </c>
      <c r="D874" s="3" t="str">
        <f>IFERROR(INDEX(Movimientos!$E$5:$E$2001,MATCH(A874&amp;"ENTRADA",Movimientos!$R$5:$R$2001,0)),"-")</f>
        <v>-</v>
      </c>
      <c r="E874" s="3" t="str">
        <f>IFERROR(INDEX(Movimientos!$F$5:$F$2001,MATCH(A874&amp;"ENTRADA",Movimientos!$R$5:$R$2001,0)),"-")</f>
        <v>-</v>
      </c>
      <c r="F874" s="3" t="str">
        <f>IFERROR(INDEX(Movimientos!$G$5:$G$2001,MATCH(A874&amp;"ENTRADA",Movimientos!$R$5:$R$2001,0)),"-")</f>
        <v>-</v>
      </c>
      <c r="G874" s="3" t="str">
        <f>IFERROR(INDEX(Movimientos!$L$5:$L$2001,MATCH(A874&amp;"ENTRADA",Movimientos!$R$5:$R$2001,0)),"-")</f>
        <v>-</v>
      </c>
      <c r="H874" s="19" t="str">
        <f>IFERROR(IF(INDEX(Movimientos!$M$5:$M$2001,MATCH(A874&amp;"ENTRADA",Movimientos!$R$5:$R$2001,0))=0,"S/D",INDEX(Movimientos!$M$5:$M$2001,MATCH(A874&amp;"ENTRADA",Movimientos!$R$5:$R$2001,0))),"S/D")</f>
        <v>S/D</v>
      </c>
      <c r="I874" s="16" t="str">
        <f t="shared" ca="1" si="28"/>
        <v>S/D</v>
      </c>
      <c r="J874" s="6">
        <f>IF(A874="","",SUMIFS(Movimientos!$K:$K,Movimientos!$H:$H,A874))</f>
        <v>0</v>
      </c>
      <c r="K874" s="14" t="str">
        <f t="shared" ca="1" si="29"/>
        <v>OK</v>
      </c>
    </row>
    <row r="875" spans="1:11">
      <c r="A875" s="18" t="s">
        <v>2936</v>
      </c>
      <c r="B875" s="3" t="str">
        <f>IFERROR(INDEX(Movimientos!$C$5:$C$2001,MATCH(A875&amp;"ENTRADA",Movimientos!$R$5:$R$2001,0)),"-")</f>
        <v>-</v>
      </c>
      <c r="C875" s="3" t="str">
        <f>IFERROR(INDEX(Movimientos!$D$5:$D$2001,MATCH(A875&amp;"ENTRADA",Movimientos!$R$5:$R$2001,0)),"-")</f>
        <v>-</v>
      </c>
      <c r="D875" s="3" t="str">
        <f>IFERROR(INDEX(Movimientos!$E$5:$E$2001,MATCH(A875&amp;"ENTRADA",Movimientos!$R$5:$R$2001,0)),"-")</f>
        <v>-</v>
      </c>
      <c r="E875" s="3" t="str">
        <f>IFERROR(INDEX(Movimientos!$F$5:$F$2001,MATCH(A875&amp;"ENTRADA",Movimientos!$R$5:$R$2001,0)),"-")</f>
        <v>-</v>
      </c>
      <c r="F875" s="3" t="str">
        <f>IFERROR(INDEX(Movimientos!$G$5:$G$2001,MATCH(A875&amp;"ENTRADA",Movimientos!$R$5:$R$2001,0)),"-")</f>
        <v>-</v>
      </c>
      <c r="G875" s="3" t="str">
        <f>IFERROR(INDEX(Movimientos!$L$5:$L$2001,MATCH(A875&amp;"ENTRADA",Movimientos!$R$5:$R$2001,0)),"-")</f>
        <v>-</v>
      </c>
      <c r="H875" s="19" t="str">
        <f>IFERROR(IF(INDEX(Movimientos!$M$5:$M$2001,MATCH(A875&amp;"ENTRADA",Movimientos!$R$5:$R$2001,0))=0,"S/D",INDEX(Movimientos!$M$5:$M$2001,MATCH(A875&amp;"ENTRADA",Movimientos!$R$5:$R$2001,0))),"S/D")</f>
        <v>S/D</v>
      </c>
      <c r="I875" s="16" t="str">
        <f t="shared" ca="1" si="28"/>
        <v>S/D</v>
      </c>
      <c r="J875" s="6">
        <f>IF(A875="","",SUMIFS(Movimientos!$K:$K,Movimientos!$H:$H,A875))</f>
        <v>0</v>
      </c>
      <c r="K875" s="14" t="str">
        <f t="shared" ca="1" si="29"/>
        <v>OK</v>
      </c>
    </row>
    <row r="876" spans="1:11">
      <c r="A876" s="18" t="s">
        <v>2937</v>
      </c>
      <c r="B876" s="3" t="str">
        <f>IFERROR(INDEX(Movimientos!$C$5:$C$2001,MATCH(A876&amp;"ENTRADA",Movimientos!$R$5:$R$2001,0)),"-")</f>
        <v>-</v>
      </c>
      <c r="C876" s="3" t="str">
        <f>IFERROR(INDEX(Movimientos!$D$5:$D$2001,MATCH(A876&amp;"ENTRADA",Movimientos!$R$5:$R$2001,0)),"-")</f>
        <v>-</v>
      </c>
      <c r="D876" s="3" t="str">
        <f>IFERROR(INDEX(Movimientos!$E$5:$E$2001,MATCH(A876&amp;"ENTRADA",Movimientos!$R$5:$R$2001,0)),"-")</f>
        <v>-</v>
      </c>
      <c r="E876" s="3" t="str">
        <f>IFERROR(INDEX(Movimientos!$F$5:$F$2001,MATCH(A876&amp;"ENTRADA",Movimientos!$R$5:$R$2001,0)),"-")</f>
        <v>-</v>
      </c>
      <c r="F876" s="3" t="str">
        <f>IFERROR(INDEX(Movimientos!$G$5:$G$2001,MATCH(A876&amp;"ENTRADA",Movimientos!$R$5:$R$2001,0)),"-")</f>
        <v>-</v>
      </c>
      <c r="G876" s="3" t="str">
        <f>IFERROR(INDEX(Movimientos!$L$5:$L$2001,MATCH(A876&amp;"ENTRADA",Movimientos!$R$5:$R$2001,0)),"-")</f>
        <v>-</v>
      </c>
      <c r="H876" s="19" t="str">
        <f>IFERROR(IF(INDEX(Movimientos!$M$5:$M$2001,MATCH(A876&amp;"ENTRADA",Movimientos!$R$5:$R$2001,0))=0,"S/D",INDEX(Movimientos!$M$5:$M$2001,MATCH(A876&amp;"ENTRADA",Movimientos!$R$5:$R$2001,0))),"S/D")</f>
        <v>S/D</v>
      </c>
      <c r="I876" s="16" t="str">
        <f t="shared" ca="1" si="28"/>
        <v>S/D</v>
      </c>
      <c r="J876" s="6">
        <f>IF(A876="","",SUMIFS(Movimientos!$K:$K,Movimientos!$H:$H,A876))</f>
        <v>0</v>
      </c>
      <c r="K876" s="14" t="str">
        <f t="shared" ca="1" si="29"/>
        <v>OK</v>
      </c>
    </row>
    <row r="877" spans="1:11">
      <c r="A877" s="18" t="s">
        <v>2938</v>
      </c>
      <c r="B877" s="3" t="str">
        <f>IFERROR(INDEX(Movimientos!$C$5:$C$2001,MATCH(A877&amp;"ENTRADA",Movimientos!$R$5:$R$2001,0)),"-")</f>
        <v>-</v>
      </c>
      <c r="C877" s="3" t="str">
        <f>IFERROR(INDEX(Movimientos!$D$5:$D$2001,MATCH(A877&amp;"ENTRADA",Movimientos!$R$5:$R$2001,0)),"-")</f>
        <v>-</v>
      </c>
      <c r="D877" s="3" t="str">
        <f>IFERROR(INDEX(Movimientos!$E$5:$E$2001,MATCH(A877&amp;"ENTRADA",Movimientos!$R$5:$R$2001,0)),"-")</f>
        <v>-</v>
      </c>
      <c r="E877" s="3" t="str">
        <f>IFERROR(INDEX(Movimientos!$F$5:$F$2001,MATCH(A877&amp;"ENTRADA",Movimientos!$R$5:$R$2001,0)),"-")</f>
        <v>-</v>
      </c>
      <c r="F877" s="3" t="str">
        <f>IFERROR(INDEX(Movimientos!$G$5:$G$2001,MATCH(A877&amp;"ENTRADA",Movimientos!$R$5:$R$2001,0)),"-")</f>
        <v>-</v>
      </c>
      <c r="G877" s="3" t="str">
        <f>IFERROR(INDEX(Movimientos!$L$5:$L$2001,MATCH(A877&amp;"ENTRADA",Movimientos!$R$5:$R$2001,0)),"-")</f>
        <v>-</v>
      </c>
      <c r="H877" s="19" t="str">
        <f>IFERROR(IF(INDEX(Movimientos!$M$5:$M$2001,MATCH(A877&amp;"ENTRADA",Movimientos!$R$5:$R$2001,0))=0,"S/D",INDEX(Movimientos!$M$5:$M$2001,MATCH(A877&amp;"ENTRADA",Movimientos!$R$5:$R$2001,0))),"S/D")</f>
        <v>S/D</v>
      </c>
      <c r="I877" s="16" t="str">
        <f t="shared" ca="1" si="28"/>
        <v>S/D</v>
      </c>
      <c r="J877" s="6">
        <f>IF(A877="","",SUMIFS(Movimientos!$K:$K,Movimientos!$H:$H,A877))</f>
        <v>0</v>
      </c>
      <c r="K877" s="14" t="str">
        <f t="shared" ca="1" si="29"/>
        <v>OK</v>
      </c>
    </row>
    <row r="878" spans="1:11">
      <c r="A878" s="18" t="s">
        <v>2939</v>
      </c>
      <c r="B878" s="3" t="str">
        <f>IFERROR(INDEX(Movimientos!$C$5:$C$2001,MATCH(A878&amp;"ENTRADA",Movimientos!$R$5:$R$2001,0)),"-")</f>
        <v>-</v>
      </c>
      <c r="C878" s="3" t="str">
        <f>IFERROR(INDEX(Movimientos!$D$5:$D$2001,MATCH(A878&amp;"ENTRADA",Movimientos!$R$5:$R$2001,0)),"-")</f>
        <v>-</v>
      </c>
      <c r="D878" s="3" t="str">
        <f>IFERROR(INDEX(Movimientos!$E$5:$E$2001,MATCH(A878&amp;"ENTRADA",Movimientos!$R$5:$R$2001,0)),"-")</f>
        <v>-</v>
      </c>
      <c r="E878" s="3" t="str">
        <f>IFERROR(INDEX(Movimientos!$F$5:$F$2001,MATCH(A878&amp;"ENTRADA",Movimientos!$R$5:$R$2001,0)),"-")</f>
        <v>-</v>
      </c>
      <c r="F878" s="3" t="str">
        <f>IFERROR(INDEX(Movimientos!$G$5:$G$2001,MATCH(A878&amp;"ENTRADA",Movimientos!$R$5:$R$2001,0)),"-")</f>
        <v>-</v>
      </c>
      <c r="G878" s="3" t="str">
        <f>IFERROR(INDEX(Movimientos!$L$5:$L$2001,MATCH(A878&amp;"ENTRADA",Movimientos!$R$5:$R$2001,0)),"-")</f>
        <v>-</v>
      </c>
      <c r="H878" s="19" t="str">
        <f>IFERROR(IF(INDEX(Movimientos!$M$5:$M$2001,MATCH(A878&amp;"ENTRADA",Movimientos!$R$5:$R$2001,0))=0,"S/D",INDEX(Movimientos!$M$5:$M$2001,MATCH(A878&amp;"ENTRADA",Movimientos!$R$5:$R$2001,0))),"S/D")</f>
        <v>S/D</v>
      </c>
      <c r="I878" s="16" t="str">
        <f t="shared" ca="1" si="28"/>
        <v>S/D</v>
      </c>
      <c r="J878" s="6">
        <f>IF(A878="","",SUMIFS(Movimientos!$K:$K,Movimientos!$H:$H,A878))</f>
        <v>0</v>
      </c>
      <c r="K878" s="14" t="str">
        <f t="shared" ca="1" si="29"/>
        <v>OK</v>
      </c>
    </row>
    <row r="879" spans="1:11">
      <c r="A879" s="18" t="s">
        <v>2940</v>
      </c>
      <c r="B879" s="3" t="str">
        <f>IFERROR(INDEX(Movimientos!$C$5:$C$2001,MATCH(A879&amp;"ENTRADA",Movimientos!$R$5:$R$2001,0)),"-")</f>
        <v>-</v>
      </c>
      <c r="C879" s="3" t="str">
        <f>IFERROR(INDEX(Movimientos!$D$5:$D$2001,MATCH(A879&amp;"ENTRADA",Movimientos!$R$5:$R$2001,0)),"-")</f>
        <v>-</v>
      </c>
      <c r="D879" s="3" t="str">
        <f>IFERROR(INDEX(Movimientos!$E$5:$E$2001,MATCH(A879&amp;"ENTRADA",Movimientos!$R$5:$R$2001,0)),"-")</f>
        <v>-</v>
      </c>
      <c r="E879" s="3" t="str">
        <f>IFERROR(INDEX(Movimientos!$F$5:$F$2001,MATCH(A879&amp;"ENTRADA",Movimientos!$R$5:$R$2001,0)),"-")</f>
        <v>-</v>
      </c>
      <c r="F879" s="3" t="str">
        <f>IFERROR(INDEX(Movimientos!$G$5:$G$2001,MATCH(A879&amp;"ENTRADA",Movimientos!$R$5:$R$2001,0)),"-")</f>
        <v>-</v>
      </c>
      <c r="G879" s="3" t="str">
        <f>IFERROR(INDEX(Movimientos!$L$5:$L$2001,MATCH(A879&amp;"ENTRADA",Movimientos!$R$5:$R$2001,0)),"-")</f>
        <v>-</v>
      </c>
      <c r="H879" s="19" t="str">
        <f>IFERROR(IF(INDEX(Movimientos!$M$5:$M$2001,MATCH(A879&amp;"ENTRADA",Movimientos!$R$5:$R$2001,0))=0,"S/D",INDEX(Movimientos!$M$5:$M$2001,MATCH(A879&amp;"ENTRADA",Movimientos!$R$5:$R$2001,0))),"S/D")</f>
        <v>S/D</v>
      </c>
      <c r="I879" s="16" t="str">
        <f t="shared" ca="1" si="28"/>
        <v>S/D</v>
      </c>
      <c r="J879" s="6">
        <f>IF(A879="","",SUMIFS(Movimientos!$K:$K,Movimientos!$H:$H,A879))</f>
        <v>0</v>
      </c>
      <c r="K879" s="14" t="str">
        <f t="shared" ca="1" si="29"/>
        <v>OK</v>
      </c>
    </row>
    <row r="880" spans="1:11">
      <c r="A880" s="18" t="s">
        <v>2941</v>
      </c>
      <c r="B880" s="3" t="str">
        <f>IFERROR(INDEX(Movimientos!$C$5:$C$2001,MATCH(A880&amp;"ENTRADA",Movimientos!$R$5:$R$2001,0)),"-")</f>
        <v>-</v>
      </c>
      <c r="C880" s="3" t="str">
        <f>IFERROR(INDEX(Movimientos!$D$5:$D$2001,MATCH(A880&amp;"ENTRADA",Movimientos!$R$5:$R$2001,0)),"-")</f>
        <v>-</v>
      </c>
      <c r="D880" s="3" t="str">
        <f>IFERROR(INDEX(Movimientos!$E$5:$E$2001,MATCH(A880&amp;"ENTRADA",Movimientos!$R$5:$R$2001,0)),"-")</f>
        <v>-</v>
      </c>
      <c r="E880" s="3" t="str">
        <f>IFERROR(INDEX(Movimientos!$F$5:$F$2001,MATCH(A880&amp;"ENTRADA",Movimientos!$R$5:$R$2001,0)),"-")</f>
        <v>-</v>
      </c>
      <c r="F880" s="3" t="str">
        <f>IFERROR(INDEX(Movimientos!$G$5:$G$2001,MATCH(A880&amp;"ENTRADA",Movimientos!$R$5:$R$2001,0)),"-")</f>
        <v>-</v>
      </c>
      <c r="G880" s="3" t="str">
        <f>IFERROR(INDEX(Movimientos!$L$5:$L$2001,MATCH(A880&amp;"ENTRADA",Movimientos!$R$5:$R$2001,0)),"-")</f>
        <v>-</v>
      </c>
      <c r="H880" s="19" t="str">
        <f>IFERROR(IF(INDEX(Movimientos!$M$5:$M$2001,MATCH(A880&amp;"ENTRADA",Movimientos!$R$5:$R$2001,0))=0,"S/D",INDEX(Movimientos!$M$5:$M$2001,MATCH(A880&amp;"ENTRADA",Movimientos!$R$5:$R$2001,0))),"S/D")</f>
        <v>S/D</v>
      </c>
      <c r="I880" s="16" t="str">
        <f t="shared" ca="1" si="28"/>
        <v>S/D</v>
      </c>
      <c r="J880" s="6">
        <f>IF(A880="","",SUMIFS(Movimientos!$K:$K,Movimientos!$H:$H,A880))</f>
        <v>0</v>
      </c>
      <c r="K880" s="14" t="str">
        <f t="shared" ca="1" si="29"/>
        <v>OK</v>
      </c>
    </row>
    <row r="881" spans="1:11">
      <c r="A881" s="18" t="s">
        <v>2942</v>
      </c>
      <c r="B881" s="3" t="str">
        <f>IFERROR(INDEX(Movimientos!$C$5:$C$2001,MATCH(A881&amp;"ENTRADA",Movimientos!$R$5:$R$2001,0)),"-")</f>
        <v>-</v>
      </c>
      <c r="C881" s="3" t="str">
        <f>IFERROR(INDEX(Movimientos!$D$5:$D$2001,MATCH(A881&amp;"ENTRADA",Movimientos!$R$5:$R$2001,0)),"-")</f>
        <v>-</v>
      </c>
      <c r="D881" s="3" t="str">
        <f>IFERROR(INDEX(Movimientos!$E$5:$E$2001,MATCH(A881&amp;"ENTRADA",Movimientos!$R$5:$R$2001,0)),"-")</f>
        <v>-</v>
      </c>
      <c r="E881" s="3" t="str">
        <f>IFERROR(INDEX(Movimientos!$F$5:$F$2001,MATCH(A881&amp;"ENTRADA",Movimientos!$R$5:$R$2001,0)),"-")</f>
        <v>-</v>
      </c>
      <c r="F881" s="3" t="str">
        <f>IFERROR(INDEX(Movimientos!$G$5:$G$2001,MATCH(A881&amp;"ENTRADA",Movimientos!$R$5:$R$2001,0)),"-")</f>
        <v>-</v>
      </c>
      <c r="G881" s="3" t="str">
        <f>IFERROR(INDEX(Movimientos!$L$5:$L$2001,MATCH(A881&amp;"ENTRADA",Movimientos!$R$5:$R$2001,0)),"-")</f>
        <v>-</v>
      </c>
      <c r="H881" s="19" t="str">
        <f>IFERROR(IF(INDEX(Movimientos!$M$5:$M$2001,MATCH(A881&amp;"ENTRADA",Movimientos!$R$5:$R$2001,0))=0,"S/D",INDEX(Movimientos!$M$5:$M$2001,MATCH(A881&amp;"ENTRADA",Movimientos!$R$5:$R$2001,0))),"S/D")</f>
        <v>S/D</v>
      </c>
      <c r="I881" s="16" t="str">
        <f t="shared" ca="1" si="28"/>
        <v>S/D</v>
      </c>
      <c r="J881" s="6">
        <f>IF(A881="","",SUMIFS(Movimientos!$K:$K,Movimientos!$H:$H,A881))</f>
        <v>0</v>
      </c>
      <c r="K881" s="14" t="str">
        <f t="shared" ca="1" si="29"/>
        <v>OK</v>
      </c>
    </row>
    <row r="882" spans="1:11">
      <c r="A882" s="18" t="s">
        <v>2943</v>
      </c>
      <c r="B882" s="3" t="str">
        <f>IFERROR(INDEX(Movimientos!$C$5:$C$2001,MATCH(A882&amp;"ENTRADA",Movimientos!$R$5:$R$2001,0)),"-")</f>
        <v>-</v>
      </c>
      <c r="C882" s="3" t="str">
        <f>IFERROR(INDEX(Movimientos!$D$5:$D$2001,MATCH(A882&amp;"ENTRADA",Movimientos!$R$5:$R$2001,0)),"-")</f>
        <v>-</v>
      </c>
      <c r="D882" s="3" t="str">
        <f>IFERROR(INDEX(Movimientos!$E$5:$E$2001,MATCH(A882&amp;"ENTRADA",Movimientos!$R$5:$R$2001,0)),"-")</f>
        <v>-</v>
      </c>
      <c r="E882" s="3" t="str">
        <f>IFERROR(INDEX(Movimientos!$F$5:$F$2001,MATCH(A882&amp;"ENTRADA",Movimientos!$R$5:$R$2001,0)),"-")</f>
        <v>-</v>
      </c>
      <c r="F882" s="3" t="str">
        <f>IFERROR(INDEX(Movimientos!$G$5:$G$2001,MATCH(A882&amp;"ENTRADA",Movimientos!$R$5:$R$2001,0)),"-")</f>
        <v>-</v>
      </c>
      <c r="G882" s="3" t="str">
        <f>IFERROR(INDEX(Movimientos!$L$5:$L$2001,MATCH(A882&amp;"ENTRADA",Movimientos!$R$5:$R$2001,0)),"-")</f>
        <v>-</v>
      </c>
      <c r="H882" s="19" t="str">
        <f>IFERROR(IF(INDEX(Movimientos!$M$5:$M$2001,MATCH(A882&amp;"ENTRADA",Movimientos!$R$5:$R$2001,0))=0,"S/D",INDEX(Movimientos!$M$5:$M$2001,MATCH(A882&amp;"ENTRADA",Movimientos!$R$5:$R$2001,0))),"S/D")</f>
        <v>S/D</v>
      </c>
      <c r="I882" s="16" t="str">
        <f t="shared" ca="1" si="28"/>
        <v>S/D</v>
      </c>
      <c r="J882" s="6">
        <f>IF(A882="","",SUMIFS(Movimientos!$K:$K,Movimientos!$H:$H,A882))</f>
        <v>0</v>
      </c>
      <c r="K882" s="14" t="str">
        <f t="shared" ca="1" si="29"/>
        <v>OK</v>
      </c>
    </row>
    <row r="883" spans="1:11">
      <c r="A883" s="18" t="s">
        <v>2944</v>
      </c>
      <c r="B883" s="3" t="str">
        <f>IFERROR(INDEX(Movimientos!$C$5:$C$2001,MATCH(A883&amp;"ENTRADA",Movimientos!$R$5:$R$2001,0)),"-")</f>
        <v>-</v>
      </c>
      <c r="C883" s="3" t="str">
        <f>IFERROR(INDEX(Movimientos!$D$5:$D$2001,MATCH(A883&amp;"ENTRADA",Movimientos!$R$5:$R$2001,0)),"-")</f>
        <v>-</v>
      </c>
      <c r="D883" s="3" t="str">
        <f>IFERROR(INDEX(Movimientos!$E$5:$E$2001,MATCH(A883&amp;"ENTRADA",Movimientos!$R$5:$R$2001,0)),"-")</f>
        <v>-</v>
      </c>
      <c r="E883" s="3" t="str">
        <f>IFERROR(INDEX(Movimientos!$F$5:$F$2001,MATCH(A883&amp;"ENTRADA",Movimientos!$R$5:$R$2001,0)),"-")</f>
        <v>-</v>
      </c>
      <c r="F883" s="3" t="str">
        <f>IFERROR(INDEX(Movimientos!$G$5:$G$2001,MATCH(A883&amp;"ENTRADA",Movimientos!$R$5:$R$2001,0)),"-")</f>
        <v>-</v>
      </c>
      <c r="G883" s="3" t="str">
        <f>IFERROR(INDEX(Movimientos!$L$5:$L$2001,MATCH(A883&amp;"ENTRADA",Movimientos!$R$5:$R$2001,0)),"-")</f>
        <v>-</v>
      </c>
      <c r="H883" s="19" t="str">
        <f>IFERROR(IF(INDEX(Movimientos!$M$5:$M$2001,MATCH(A883&amp;"ENTRADA",Movimientos!$R$5:$R$2001,0))=0,"S/D",INDEX(Movimientos!$M$5:$M$2001,MATCH(A883&amp;"ENTRADA",Movimientos!$R$5:$R$2001,0))),"S/D")</f>
        <v>S/D</v>
      </c>
      <c r="I883" s="16" t="str">
        <f t="shared" ca="1" si="28"/>
        <v>S/D</v>
      </c>
      <c r="J883" s="6">
        <f>IF(A883="","",SUMIFS(Movimientos!$K:$K,Movimientos!$H:$H,A883))</f>
        <v>0</v>
      </c>
      <c r="K883" s="14" t="str">
        <f t="shared" ca="1" si="29"/>
        <v>OK</v>
      </c>
    </row>
    <row r="884" spans="1:11">
      <c r="A884" s="18" t="s">
        <v>2945</v>
      </c>
      <c r="B884" s="3" t="str">
        <f>IFERROR(INDEX(Movimientos!$C$5:$C$2001,MATCH(A884&amp;"ENTRADA",Movimientos!$R$5:$R$2001,0)),"-")</f>
        <v>-</v>
      </c>
      <c r="C884" s="3" t="str">
        <f>IFERROR(INDEX(Movimientos!$D$5:$D$2001,MATCH(A884&amp;"ENTRADA",Movimientos!$R$5:$R$2001,0)),"-")</f>
        <v>-</v>
      </c>
      <c r="D884" s="3" t="str">
        <f>IFERROR(INDEX(Movimientos!$E$5:$E$2001,MATCH(A884&amp;"ENTRADA",Movimientos!$R$5:$R$2001,0)),"-")</f>
        <v>-</v>
      </c>
      <c r="E884" s="3" t="str">
        <f>IFERROR(INDEX(Movimientos!$F$5:$F$2001,MATCH(A884&amp;"ENTRADA",Movimientos!$R$5:$R$2001,0)),"-")</f>
        <v>-</v>
      </c>
      <c r="F884" s="3" t="str">
        <f>IFERROR(INDEX(Movimientos!$G$5:$G$2001,MATCH(A884&amp;"ENTRADA",Movimientos!$R$5:$R$2001,0)),"-")</f>
        <v>-</v>
      </c>
      <c r="G884" s="3" t="str">
        <f>IFERROR(INDEX(Movimientos!$L$5:$L$2001,MATCH(A884&amp;"ENTRADA",Movimientos!$R$5:$R$2001,0)),"-")</f>
        <v>-</v>
      </c>
      <c r="H884" s="19" t="str">
        <f>IFERROR(IF(INDEX(Movimientos!$M$5:$M$2001,MATCH(A884&amp;"ENTRADA",Movimientos!$R$5:$R$2001,0))=0,"S/D",INDEX(Movimientos!$M$5:$M$2001,MATCH(A884&amp;"ENTRADA",Movimientos!$R$5:$R$2001,0))),"S/D")</f>
        <v>S/D</v>
      </c>
      <c r="I884" s="16" t="str">
        <f t="shared" ca="1" si="28"/>
        <v>S/D</v>
      </c>
      <c r="J884" s="6">
        <f>IF(A884="","",SUMIFS(Movimientos!$K:$K,Movimientos!$H:$H,A884))</f>
        <v>0</v>
      </c>
      <c r="K884" s="14" t="str">
        <f t="shared" ca="1" si="29"/>
        <v>OK</v>
      </c>
    </row>
    <row r="885" spans="1:11">
      <c r="A885" s="18" t="s">
        <v>2946</v>
      </c>
      <c r="B885" s="3" t="str">
        <f>IFERROR(INDEX(Movimientos!$C$5:$C$2001,MATCH(A885&amp;"ENTRADA",Movimientos!$R$5:$R$2001,0)),"-")</f>
        <v>-</v>
      </c>
      <c r="C885" s="3" t="str">
        <f>IFERROR(INDEX(Movimientos!$D$5:$D$2001,MATCH(A885&amp;"ENTRADA",Movimientos!$R$5:$R$2001,0)),"-")</f>
        <v>-</v>
      </c>
      <c r="D885" s="3" t="str">
        <f>IFERROR(INDEX(Movimientos!$E$5:$E$2001,MATCH(A885&amp;"ENTRADA",Movimientos!$R$5:$R$2001,0)),"-")</f>
        <v>-</v>
      </c>
      <c r="E885" s="3" t="str">
        <f>IFERROR(INDEX(Movimientos!$F$5:$F$2001,MATCH(A885&amp;"ENTRADA",Movimientos!$R$5:$R$2001,0)),"-")</f>
        <v>-</v>
      </c>
      <c r="F885" s="3" t="str">
        <f>IFERROR(INDEX(Movimientos!$G$5:$G$2001,MATCH(A885&amp;"ENTRADA",Movimientos!$R$5:$R$2001,0)),"-")</f>
        <v>-</v>
      </c>
      <c r="G885" s="3" t="str">
        <f>IFERROR(INDEX(Movimientos!$L$5:$L$2001,MATCH(A885&amp;"ENTRADA",Movimientos!$R$5:$R$2001,0)),"-")</f>
        <v>-</v>
      </c>
      <c r="H885" s="19" t="str">
        <f>IFERROR(IF(INDEX(Movimientos!$M$5:$M$2001,MATCH(A885&amp;"ENTRADA",Movimientos!$R$5:$R$2001,0))=0,"S/D",INDEX(Movimientos!$M$5:$M$2001,MATCH(A885&amp;"ENTRADA",Movimientos!$R$5:$R$2001,0))),"S/D")</f>
        <v>S/D</v>
      </c>
      <c r="I885" s="16" t="str">
        <f t="shared" ca="1" si="28"/>
        <v>S/D</v>
      </c>
      <c r="J885" s="6">
        <f>IF(A885="","",SUMIFS(Movimientos!$K:$K,Movimientos!$H:$H,A885))</f>
        <v>0</v>
      </c>
      <c r="K885" s="14" t="str">
        <f t="shared" ca="1" si="29"/>
        <v>OK</v>
      </c>
    </row>
    <row r="886" spans="1:11">
      <c r="A886" s="18" t="s">
        <v>2947</v>
      </c>
      <c r="B886" s="3" t="str">
        <f>IFERROR(INDEX(Movimientos!$C$5:$C$2001,MATCH(A886&amp;"ENTRADA",Movimientos!$R$5:$R$2001,0)),"-")</f>
        <v>-</v>
      </c>
      <c r="C886" s="3" t="str">
        <f>IFERROR(INDEX(Movimientos!$D$5:$D$2001,MATCH(A886&amp;"ENTRADA",Movimientos!$R$5:$R$2001,0)),"-")</f>
        <v>-</v>
      </c>
      <c r="D886" s="3" t="str">
        <f>IFERROR(INDEX(Movimientos!$E$5:$E$2001,MATCH(A886&amp;"ENTRADA",Movimientos!$R$5:$R$2001,0)),"-")</f>
        <v>-</v>
      </c>
      <c r="E886" s="3" t="str">
        <f>IFERROR(INDEX(Movimientos!$F$5:$F$2001,MATCH(A886&amp;"ENTRADA",Movimientos!$R$5:$R$2001,0)),"-")</f>
        <v>-</v>
      </c>
      <c r="F886" s="3" t="str">
        <f>IFERROR(INDEX(Movimientos!$G$5:$G$2001,MATCH(A886&amp;"ENTRADA",Movimientos!$R$5:$R$2001,0)),"-")</f>
        <v>-</v>
      </c>
      <c r="G886" s="3" t="str">
        <f>IFERROR(INDEX(Movimientos!$L$5:$L$2001,MATCH(A886&amp;"ENTRADA",Movimientos!$R$5:$R$2001,0)),"-")</f>
        <v>-</v>
      </c>
      <c r="H886" s="19" t="str">
        <f>IFERROR(IF(INDEX(Movimientos!$M$5:$M$2001,MATCH(A886&amp;"ENTRADA",Movimientos!$R$5:$R$2001,0))=0,"S/D",INDEX(Movimientos!$M$5:$M$2001,MATCH(A886&amp;"ENTRADA",Movimientos!$R$5:$R$2001,0))),"S/D")</f>
        <v>S/D</v>
      </c>
      <c r="I886" s="16" t="str">
        <f t="shared" ca="1" si="28"/>
        <v>S/D</v>
      </c>
      <c r="J886" s="6">
        <f>IF(A886="","",SUMIFS(Movimientos!$K:$K,Movimientos!$H:$H,A886))</f>
        <v>0</v>
      </c>
      <c r="K886" s="14" t="str">
        <f t="shared" ca="1" si="29"/>
        <v>OK</v>
      </c>
    </row>
    <row r="887" spans="1:11">
      <c r="A887" s="18" t="s">
        <v>2948</v>
      </c>
      <c r="B887" s="3" t="str">
        <f>IFERROR(INDEX(Movimientos!$C$5:$C$2001,MATCH(A887&amp;"ENTRADA",Movimientos!$R$5:$R$2001,0)),"-")</f>
        <v>-</v>
      </c>
      <c r="C887" s="3" t="str">
        <f>IFERROR(INDEX(Movimientos!$D$5:$D$2001,MATCH(A887&amp;"ENTRADA",Movimientos!$R$5:$R$2001,0)),"-")</f>
        <v>-</v>
      </c>
      <c r="D887" s="3" t="str">
        <f>IFERROR(INDEX(Movimientos!$E$5:$E$2001,MATCH(A887&amp;"ENTRADA",Movimientos!$R$5:$R$2001,0)),"-")</f>
        <v>-</v>
      </c>
      <c r="E887" s="3" t="str">
        <f>IFERROR(INDEX(Movimientos!$F$5:$F$2001,MATCH(A887&amp;"ENTRADA",Movimientos!$R$5:$R$2001,0)),"-")</f>
        <v>-</v>
      </c>
      <c r="F887" s="3" t="str">
        <f>IFERROR(INDEX(Movimientos!$G$5:$G$2001,MATCH(A887&amp;"ENTRADA",Movimientos!$R$5:$R$2001,0)),"-")</f>
        <v>-</v>
      </c>
      <c r="G887" s="3" t="str">
        <f>IFERROR(INDEX(Movimientos!$L$5:$L$2001,MATCH(A887&amp;"ENTRADA",Movimientos!$R$5:$R$2001,0)),"-")</f>
        <v>-</v>
      </c>
      <c r="H887" s="19" t="str">
        <f>IFERROR(IF(INDEX(Movimientos!$M$5:$M$2001,MATCH(A887&amp;"ENTRADA",Movimientos!$R$5:$R$2001,0))=0,"S/D",INDEX(Movimientos!$M$5:$M$2001,MATCH(A887&amp;"ENTRADA",Movimientos!$R$5:$R$2001,0))),"S/D")</f>
        <v>S/D</v>
      </c>
      <c r="I887" s="16" t="str">
        <f t="shared" ca="1" si="28"/>
        <v>S/D</v>
      </c>
      <c r="J887" s="6">
        <f>IF(A887="","",SUMIFS(Movimientos!$K:$K,Movimientos!$H:$H,A887))</f>
        <v>0</v>
      </c>
      <c r="K887" s="14" t="str">
        <f t="shared" ca="1" si="29"/>
        <v>OK</v>
      </c>
    </row>
    <row r="888" spans="1:11">
      <c r="A888" s="18" t="s">
        <v>2949</v>
      </c>
      <c r="B888" s="3" t="str">
        <f>IFERROR(INDEX(Movimientos!$C$5:$C$2001,MATCH(A888&amp;"ENTRADA",Movimientos!$R$5:$R$2001,0)),"-")</f>
        <v>-</v>
      </c>
      <c r="C888" s="3" t="str">
        <f>IFERROR(INDEX(Movimientos!$D$5:$D$2001,MATCH(A888&amp;"ENTRADA",Movimientos!$R$5:$R$2001,0)),"-")</f>
        <v>-</v>
      </c>
      <c r="D888" s="3" t="str">
        <f>IFERROR(INDEX(Movimientos!$E$5:$E$2001,MATCH(A888&amp;"ENTRADA",Movimientos!$R$5:$R$2001,0)),"-")</f>
        <v>-</v>
      </c>
      <c r="E888" s="3" t="str">
        <f>IFERROR(INDEX(Movimientos!$F$5:$F$2001,MATCH(A888&amp;"ENTRADA",Movimientos!$R$5:$R$2001,0)),"-")</f>
        <v>-</v>
      </c>
      <c r="F888" s="3" t="str">
        <f>IFERROR(INDEX(Movimientos!$G$5:$G$2001,MATCH(A888&amp;"ENTRADA",Movimientos!$R$5:$R$2001,0)),"-")</f>
        <v>-</v>
      </c>
      <c r="G888" s="3" t="str">
        <f>IFERROR(INDEX(Movimientos!$L$5:$L$2001,MATCH(A888&amp;"ENTRADA",Movimientos!$R$5:$R$2001,0)),"-")</f>
        <v>-</v>
      </c>
      <c r="H888" s="19" t="str">
        <f>IFERROR(IF(INDEX(Movimientos!$M$5:$M$2001,MATCH(A888&amp;"ENTRADA",Movimientos!$R$5:$R$2001,0))=0,"S/D",INDEX(Movimientos!$M$5:$M$2001,MATCH(A888&amp;"ENTRADA",Movimientos!$R$5:$R$2001,0))),"S/D")</f>
        <v>S/D</v>
      </c>
      <c r="I888" s="16" t="str">
        <f t="shared" ca="1" si="28"/>
        <v>S/D</v>
      </c>
      <c r="J888" s="6">
        <f>IF(A888="","",SUMIFS(Movimientos!$K:$K,Movimientos!$H:$H,A888))</f>
        <v>0</v>
      </c>
      <c r="K888" s="14" t="str">
        <f t="shared" ca="1" si="29"/>
        <v>OK</v>
      </c>
    </row>
    <row r="889" spans="1:11">
      <c r="A889" s="18" t="s">
        <v>2950</v>
      </c>
      <c r="B889" s="3" t="str">
        <f>IFERROR(INDEX(Movimientos!$C$5:$C$2001,MATCH(A889&amp;"ENTRADA",Movimientos!$R$5:$R$2001,0)),"-")</f>
        <v>-</v>
      </c>
      <c r="C889" s="3" t="str">
        <f>IFERROR(INDEX(Movimientos!$D$5:$D$2001,MATCH(A889&amp;"ENTRADA",Movimientos!$R$5:$R$2001,0)),"-")</f>
        <v>-</v>
      </c>
      <c r="D889" s="3" t="str">
        <f>IFERROR(INDEX(Movimientos!$E$5:$E$2001,MATCH(A889&amp;"ENTRADA",Movimientos!$R$5:$R$2001,0)),"-")</f>
        <v>-</v>
      </c>
      <c r="E889" s="3" t="str">
        <f>IFERROR(INDEX(Movimientos!$F$5:$F$2001,MATCH(A889&amp;"ENTRADA",Movimientos!$R$5:$R$2001,0)),"-")</f>
        <v>-</v>
      </c>
      <c r="F889" s="3" t="str">
        <f>IFERROR(INDEX(Movimientos!$G$5:$G$2001,MATCH(A889&amp;"ENTRADA",Movimientos!$R$5:$R$2001,0)),"-")</f>
        <v>-</v>
      </c>
      <c r="G889" s="3" t="str">
        <f>IFERROR(INDEX(Movimientos!$L$5:$L$2001,MATCH(A889&amp;"ENTRADA",Movimientos!$R$5:$R$2001,0)),"-")</f>
        <v>-</v>
      </c>
      <c r="H889" s="19" t="str">
        <f>IFERROR(IF(INDEX(Movimientos!$M$5:$M$2001,MATCH(A889&amp;"ENTRADA",Movimientos!$R$5:$R$2001,0))=0,"S/D",INDEX(Movimientos!$M$5:$M$2001,MATCH(A889&amp;"ENTRADA",Movimientos!$R$5:$R$2001,0))),"S/D")</f>
        <v>S/D</v>
      </c>
      <c r="I889" s="16" t="str">
        <f t="shared" ca="1" si="28"/>
        <v>S/D</v>
      </c>
      <c r="J889" s="6">
        <f>IF(A889="","",SUMIFS(Movimientos!$K:$K,Movimientos!$H:$H,A889))</f>
        <v>0</v>
      </c>
      <c r="K889" s="14" t="str">
        <f t="shared" ca="1" si="29"/>
        <v>OK</v>
      </c>
    </row>
    <row r="890" spans="1:11">
      <c r="A890" s="18" t="s">
        <v>2951</v>
      </c>
      <c r="B890" s="3" t="str">
        <f>IFERROR(INDEX(Movimientos!$C$5:$C$2001,MATCH(A890&amp;"ENTRADA",Movimientos!$R$5:$R$2001,0)),"-")</f>
        <v>-</v>
      </c>
      <c r="C890" s="3" t="str">
        <f>IFERROR(INDEX(Movimientos!$D$5:$D$2001,MATCH(A890&amp;"ENTRADA",Movimientos!$R$5:$R$2001,0)),"-")</f>
        <v>-</v>
      </c>
      <c r="D890" s="3" t="str">
        <f>IFERROR(INDEX(Movimientos!$E$5:$E$2001,MATCH(A890&amp;"ENTRADA",Movimientos!$R$5:$R$2001,0)),"-")</f>
        <v>-</v>
      </c>
      <c r="E890" s="3" t="str">
        <f>IFERROR(INDEX(Movimientos!$F$5:$F$2001,MATCH(A890&amp;"ENTRADA",Movimientos!$R$5:$R$2001,0)),"-")</f>
        <v>-</v>
      </c>
      <c r="F890" s="3" t="str">
        <f>IFERROR(INDEX(Movimientos!$G$5:$G$2001,MATCH(A890&amp;"ENTRADA",Movimientos!$R$5:$R$2001,0)),"-")</f>
        <v>-</v>
      </c>
      <c r="G890" s="3" t="str">
        <f>IFERROR(INDEX(Movimientos!$L$5:$L$2001,MATCH(A890&amp;"ENTRADA",Movimientos!$R$5:$R$2001,0)),"-")</f>
        <v>-</v>
      </c>
      <c r="H890" s="19" t="str">
        <f>IFERROR(IF(INDEX(Movimientos!$M$5:$M$2001,MATCH(A890&amp;"ENTRADA",Movimientos!$R$5:$R$2001,0))=0,"S/D",INDEX(Movimientos!$M$5:$M$2001,MATCH(A890&amp;"ENTRADA",Movimientos!$R$5:$R$2001,0))),"S/D")</f>
        <v>S/D</v>
      </c>
      <c r="I890" s="16" t="str">
        <f t="shared" ca="1" si="28"/>
        <v>S/D</v>
      </c>
      <c r="J890" s="6">
        <f>IF(A890="","",SUMIFS(Movimientos!$K:$K,Movimientos!$H:$H,A890))</f>
        <v>0</v>
      </c>
      <c r="K890" s="14" t="str">
        <f t="shared" ca="1" si="29"/>
        <v>OK</v>
      </c>
    </row>
    <row r="891" spans="1:11">
      <c r="A891" s="18" t="s">
        <v>2952</v>
      </c>
      <c r="B891" s="3" t="str">
        <f>IFERROR(INDEX(Movimientos!$C$5:$C$2001,MATCH(A891&amp;"ENTRADA",Movimientos!$R$5:$R$2001,0)),"-")</f>
        <v>-</v>
      </c>
      <c r="C891" s="3" t="str">
        <f>IFERROR(INDEX(Movimientos!$D$5:$D$2001,MATCH(A891&amp;"ENTRADA",Movimientos!$R$5:$R$2001,0)),"-")</f>
        <v>-</v>
      </c>
      <c r="D891" s="3" t="str">
        <f>IFERROR(INDEX(Movimientos!$E$5:$E$2001,MATCH(A891&amp;"ENTRADA",Movimientos!$R$5:$R$2001,0)),"-")</f>
        <v>-</v>
      </c>
      <c r="E891" s="3" t="str">
        <f>IFERROR(INDEX(Movimientos!$F$5:$F$2001,MATCH(A891&amp;"ENTRADA",Movimientos!$R$5:$R$2001,0)),"-")</f>
        <v>-</v>
      </c>
      <c r="F891" s="3" t="str">
        <f>IFERROR(INDEX(Movimientos!$G$5:$G$2001,MATCH(A891&amp;"ENTRADA",Movimientos!$R$5:$R$2001,0)),"-")</f>
        <v>-</v>
      </c>
      <c r="G891" s="3" t="str">
        <f>IFERROR(INDEX(Movimientos!$L$5:$L$2001,MATCH(A891&amp;"ENTRADA",Movimientos!$R$5:$R$2001,0)),"-")</f>
        <v>-</v>
      </c>
      <c r="H891" s="19" t="str">
        <f>IFERROR(IF(INDEX(Movimientos!$M$5:$M$2001,MATCH(A891&amp;"ENTRADA",Movimientos!$R$5:$R$2001,0))=0,"S/D",INDEX(Movimientos!$M$5:$M$2001,MATCH(A891&amp;"ENTRADA",Movimientos!$R$5:$R$2001,0))),"S/D")</f>
        <v>S/D</v>
      </c>
      <c r="I891" s="16" t="str">
        <f t="shared" ca="1" si="28"/>
        <v>S/D</v>
      </c>
      <c r="J891" s="6">
        <f>IF(A891="","",SUMIFS(Movimientos!$K:$K,Movimientos!$H:$H,A891))</f>
        <v>0</v>
      </c>
      <c r="K891" s="14" t="str">
        <f t="shared" ca="1" si="29"/>
        <v>OK</v>
      </c>
    </row>
    <row r="892" spans="1:11">
      <c r="A892" s="18" t="s">
        <v>2953</v>
      </c>
      <c r="B892" s="3" t="str">
        <f>IFERROR(INDEX(Movimientos!$C$5:$C$2001,MATCH(A892&amp;"ENTRADA",Movimientos!$R$5:$R$2001,0)),"-")</f>
        <v>-</v>
      </c>
      <c r="C892" s="3" t="str">
        <f>IFERROR(INDEX(Movimientos!$D$5:$D$2001,MATCH(A892&amp;"ENTRADA",Movimientos!$R$5:$R$2001,0)),"-")</f>
        <v>-</v>
      </c>
      <c r="D892" s="3" t="str">
        <f>IFERROR(INDEX(Movimientos!$E$5:$E$2001,MATCH(A892&amp;"ENTRADA",Movimientos!$R$5:$R$2001,0)),"-")</f>
        <v>-</v>
      </c>
      <c r="E892" s="3" t="str">
        <f>IFERROR(INDEX(Movimientos!$F$5:$F$2001,MATCH(A892&amp;"ENTRADA",Movimientos!$R$5:$R$2001,0)),"-")</f>
        <v>-</v>
      </c>
      <c r="F892" s="3" t="str">
        <f>IFERROR(INDEX(Movimientos!$G$5:$G$2001,MATCH(A892&amp;"ENTRADA",Movimientos!$R$5:$R$2001,0)),"-")</f>
        <v>-</v>
      </c>
      <c r="G892" s="3" t="str">
        <f>IFERROR(INDEX(Movimientos!$L$5:$L$2001,MATCH(A892&amp;"ENTRADA",Movimientos!$R$5:$R$2001,0)),"-")</f>
        <v>-</v>
      </c>
      <c r="H892" s="19" t="str">
        <f>IFERROR(IF(INDEX(Movimientos!$M$5:$M$2001,MATCH(A892&amp;"ENTRADA",Movimientos!$R$5:$R$2001,0))=0,"S/D",INDEX(Movimientos!$M$5:$M$2001,MATCH(A892&amp;"ENTRADA",Movimientos!$R$5:$R$2001,0))),"S/D")</f>
        <v>S/D</v>
      </c>
      <c r="I892" s="16" t="str">
        <f t="shared" ca="1" si="28"/>
        <v>S/D</v>
      </c>
      <c r="J892" s="6">
        <f>IF(A892="","",SUMIFS(Movimientos!$K:$K,Movimientos!$H:$H,A892))</f>
        <v>0</v>
      </c>
      <c r="K892" s="14" t="str">
        <f t="shared" ca="1" si="29"/>
        <v>OK</v>
      </c>
    </row>
    <row r="893" spans="1:11">
      <c r="A893" s="18" t="s">
        <v>2954</v>
      </c>
      <c r="B893" s="3" t="str">
        <f>IFERROR(INDEX(Movimientos!$C$5:$C$2001,MATCH(A893&amp;"ENTRADA",Movimientos!$R$5:$R$2001,0)),"-")</f>
        <v>-</v>
      </c>
      <c r="C893" s="3" t="str">
        <f>IFERROR(INDEX(Movimientos!$D$5:$D$2001,MATCH(A893&amp;"ENTRADA",Movimientos!$R$5:$R$2001,0)),"-")</f>
        <v>-</v>
      </c>
      <c r="D893" s="3" t="str">
        <f>IFERROR(INDEX(Movimientos!$E$5:$E$2001,MATCH(A893&amp;"ENTRADA",Movimientos!$R$5:$R$2001,0)),"-")</f>
        <v>-</v>
      </c>
      <c r="E893" s="3" t="str">
        <f>IFERROR(INDEX(Movimientos!$F$5:$F$2001,MATCH(A893&amp;"ENTRADA",Movimientos!$R$5:$R$2001,0)),"-")</f>
        <v>-</v>
      </c>
      <c r="F893" s="3" t="str">
        <f>IFERROR(INDEX(Movimientos!$G$5:$G$2001,MATCH(A893&amp;"ENTRADA",Movimientos!$R$5:$R$2001,0)),"-")</f>
        <v>-</v>
      </c>
      <c r="G893" s="3" t="str">
        <f>IFERROR(INDEX(Movimientos!$L$5:$L$2001,MATCH(A893&amp;"ENTRADA",Movimientos!$R$5:$R$2001,0)),"-")</f>
        <v>-</v>
      </c>
      <c r="H893" s="19" t="str">
        <f>IFERROR(IF(INDEX(Movimientos!$M$5:$M$2001,MATCH(A893&amp;"ENTRADA",Movimientos!$R$5:$R$2001,0))=0,"S/D",INDEX(Movimientos!$M$5:$M$2001,MATCH(A893&amp;"ENTRADA",Movimientos!$R$5:$R$2001,0))),"S/D")</f>
        <v>S/D</v>
      </c>
      <c r="I893" s="16" t="str">
        <f t="shared" ca="1" si="28"/>
        <v>S/D</v>
      </c>
      <c r="J893" s="6">
        <f>IF(A893="","",SUMIFS(Movimientos!$K:$K,Movimientos!$H:$H,A893))</f>
        <v>0</v>
      </c>
      <c r="K893" s="14" t="str">
        <f t="shared" ca="1" si="29"/>
        <v>OK</v>
      </c>
    </row>
    <row r="894" spans="1:11">
      <c r="A894" s="18" t="s">
        <v>2955</v>
      </c>
      <c r="B894" s="3" t="str">
        <f>IFERROR(INDEX(Movimientos!$C$5:$C$2001,MATCH(A894&amp;"ENTRADA",Movimientos!$R$5:$R$2001,0)),"-")</f>
        <v>-</v>
      </c>
      <c r="C894" s="3" t="str">
        <f>IFERROR(INDEX(Movimientos!$D$5:$D$2001,MATCH(A894&amp;"ENTRADA",Movimientos!$R$5:$R$2001,0)),"-")</f>
        <v>-</v>
      </c>
      <c r="D894" s="3" t="str">
        <f>IFERROR(INDEX(Movimientos!$E$5:$E$2001,MATCH(A894&amp;"ENTRADA",Movimientos!$R$5:$R$2001,0)),"-")</f>
        <v>-</v>
      </c>
      <c r="E894" s="3" t="str">
        <f>IFERROR(INDEX(Movimientos!$F$5:$F$2001,MATCH(A894&amp;"ENTRADA",Movimientos!$R$5:$R$2001,0)),"-")</f>
        <v>-</v>
      </c>
      <c r="F894" s="3" t="str">
        <f>IFERROR(INDEX(Movimientos!$G$5:$G$2001,MATCH(A894&amp;"ENTRADA",Movimientos!$R$5:$R$2001,0)),"-")</f>
        <v>-</v>
      </c>
      <c r="G894" s="3" t="str">
        <f>IFERROR(INDEX(Movimientos!$L$5:$L$2001,MATCH(A894&amp;"ENTRADA",Movimientos!$R$5:$R$2001,0)),"-")</f>
        <v>-</v>
      </c>
      <c r="H894" s="19" t="str">
        <f>IFERROR(IF(INDEX(Movimientos!$M$5:$M$2001,MATCH(A894&amp;"ENTRADA",Movimientos!$R$5:$R$2001,0))=0,"S/D",INDEX(Movimientos!$M$5:$M$2001,MATCH(A894&amp;"ENTRADA",Movimientos!$R$5:$R$2001,0))),"S/D")</f>
        <v>S/D</v>
      </c>
      <c r="I894" s="16" t="str">
        <f t="shared" ca="1" si="28"/>
        <v>S/D</v>
      </c>
      <c r="J894" s="6">
        <f>IF(A894="","",SUMIFS(Movimientos!$K:$K,Movimientos!$H:$H,A894))</f>
        <v>0</v>
      </c>
      <c r="K894" s="14" t="str">
        <f t="shared" ca="1" si="29"/>
        <v>OK</v>
      </c>
    </row>
    <row r="895" spans="1:11">
      <c r="A895" s="18" t="s">
        <v>2956</v>
      </c>
      <c r="B895" s="3" t="str">
        <f>IFERROR(INDEX(Movimientos!$C$5:$C$2001,MATCH(A895&amp;"ENTRADA",Movimientos!$R$5:$R$2001,0)),"-")</f>
        <v>-</v>
      </c>
      <c r="C895" s="3" t="str">
        <f>IFERROR(INDEX(Movimientos!$D$5:$D$2001,MATCH(A895&amp;"ENTRADA",Movimientos!$R$5:$R$2001,0)),"-")</f>
        <v>-</v>
      </c>
      <c r="D895" s="3" t="str">
        <f>IFERROR(INDEX(Movimientos!$E$5:$E$2001,MATCH(A895&amp;"ENTRADA",Movimientos!$R$5:$R$2001,0)),"-")</f>
        <v>-</v>
      </c>
      <c r="E895" s="3" t="str">
        <f>IFERROR(INDEX(Movimientos!$F$5:$F$2001,MATCH(A895&amp;"ENTRADA",Movimientos!$R$5:$R$2001,0)),"-")</f>
        <v>-</v>
      </c>
      <c r="F895" s="3" t="str">
        <f>IFERROR(INDEX(Movimientos!$G$5:$G$2001,MATCH(A895&amp;"ENTRADA",Movimientos!$R$5:$R$2001,0)),"-")</f>
        <v>-</v>
      </c>
      <c r="G895" s="3" t="str">
        <f>IFERROR(INDEX(Movimientos!$L$5:$L$2001,MATCH(A895&amp;"ENTRADA",Movimientos!$R$5:$R$2001,0)),"-")</f>
        <v>-</v>
      </c>
      <c r="H895" s="19" t="str">
        <f>IFERROR(IF(INDEX(Movimientos!$M$5:$M$2001,MATCH(A895&amp;"ENTRADA",Movimientos!$R$5:$R$2001,0))=0,"S/D",INDEX(Movimientos!$M$5:$M$2001,MATCH(A895&amp;"ENTRADA",Movimientos!$R$5:$R$2001,0))),"S/D")</f>
        <v>S/D</v>
      </c>
      <c r="I895" s="16" t="str">
        <f t="shared" ca="1" si="28"/>
        <v>S/D</v>
      </c>
      <c r="J895" s="6">
        <f>IF(A895="","",SUMIFS(Movimientos!$K:$K,Movimientos!$H:$H,A895))</f>
        <v>0</v>
      </c>
      <c r="K895" s="14" t="str">
        <f t="shared" ca="1" si="29"/>
        <v>OK</v>
      </c>
    </row>
    <row r="896" spans="1:11">
      <c r="A896" s="18" t="s">
        <v>2957</v>
      </c>
      <c r="B896" s="3" t="str">
        <f>IFERROR(INDEX(Movimientos!$C$5:$C$2001,MATCH(A896&amp;"ENTRADA",Movimientos!$R$5:$R$2001,0)),"-")</f>
        <v>-</v>
      </c>
      <c r="C896" s="3" t="str">
        <f>IFERROR(INDEX(Movimientos!$D$5:$D$2001,MATCH(A896&amp;"ENTRADA",Movimientos!$R$5:$R$2001,0)),"-")</f>
        <v>-</v>
      </c>
      <c r="D896" s="3" t="str">
        <f>IFERROR(INDEX(Movimientos!$E$5:$E$2001,MATCH(A896&amp;"ENTRADA",Movimientos!$R$5:$R$2001,0)),"-")</f>
        <v>-</v>
      </c>
      <c r="E896" s="3" t="str">
        <f>IFERROR(INDEX(Movimientos!$F$5:$F$2001,MATCH(A896&amp;"ENTRADA",Movimientos!$R$5:$R$2001,0)),"-")</f>
        <v>-</v>
      </c>
      <c r="F896" s="3" t="str">
        <f>IFERROR(INDEX(Movimientos!$G$5:$G$2001,MATCH(A896&amp;"ENTRADA",Movimientos!$R$5:$R$2001,0)),"-")</f>
        <v>-</v>
      </c>
      <c r="G896" s="3" t="str">
        <f>IFERROR(INDEX(Movimientos!$L$5:$L$2001,MATCH(A896&amp;"ENTRADA",Movimientos!$R$5:$R$2001,0)),"-")</f>
        <v>-</v>
      </c>
      <c r="H896" s="19" t="str">
        <f>IFERROR(IF(INDEX(Movimientos!$M$5:$M$2001,MATCH(A896&amp;"ENTRADA",Movimientos!$R$5:$R$2001,0))=0,"S/D",INDEX(Movimientos!$M$5:$M$2001,MATCH(A896&amp;"ENTRADA",Movimientos!$R$5:$R$2001,0))),"S/D")</f>
        <v>S/D</v>
      </c>
      <c r="I896" s="16" t="str">
        <f t="shared" ca="1" si="28"/>
        <v>S/D</v>
      </c>
      <c r="J896" s="6">
        <f>IF(A896="","",SUMIFS(Movimientos!$K:$K,Movimientos!$H:$H,A896))</f>
        <v>0</v>
      </c>
      <c r="K896" s="14" t="str">
        <f t="shared" ca="1" si="29"/>
        <v>OK</v>
      </c>
    </row>
    <row r="897" spans="1:11">
      <c r="A897" s="18" t="s">
        <v>2958</v>
      </c>
      <c r="B897" s="3" t="str">
        <f>IFERROR(INDEX(Movimientos!$C$5:$C$2001,MATCH(A897&amp;"ENTRADA",Movimientos!$R$5:$R$2001,0)),"-")</f>
        <v>-</v>
      </c>
      <c r="C897" s="3" t="str">
        <f>IFERROR(INDEX(Movimientos!$D$5:$D$2001,MATCH(A897&amp;"ENTRADA",Movimientos!$R$5:$R$2001,0)),"-")</f>
        <v>-</v>
      </c>
      <c r="D897" s="3" t="str">
        <f>IFERROR(INDEX(Movimientos!$E$5:$E$2001,MATCH(A897&amp;"ENTRADA",Movimientos!$R$5:$R$2001,0)),"-")</f>
        <v>-</v>
      </c>
      <c r="E897" s="3" t="str">
        <f>IFERROR(INDEX(Movimientos!$F$5:$F$2001,MATCH(A897&amp;"ENTRADA",Movimientos!$R$5:$R$2001,0)),"-")</f>
        <v>-</v>
      </c>
      <c r="F897" s="3" t="str">
        <f>IFERROR(INDEX(Movimientos!$G$5:$G$2001,MATCH(A897&amp;"ENTRADA",Movimientos!$R$5:$R$2001,0)),"-")</f>
        <v>-</v>
      </c>
      <c r="G897" s="3" t="str">
        <f>IFERROR(INDEX(Movimientos!$L$5:$L$2001,MATCH(A897&amp;"ENTRADA",Movimientos!$R$5:$R$2001,0)),"-")</f>
        <v>-</v>
      </c>
      <c r="H897" s="19" t="str">
        <f>IFERROR(IF(INDEX(Movimientos!$M$5:$M$2001,MATCH(A897&amp;"ENTRADA",Movimientos!$R$5:$R$2001,0))=0,"S/D",INDEX(Movimientos!$M$5:$M$2001,MATCH(A897&amp;"ENTRADA",Movimientos!$R$5:$R$2001,0))),"S/D")</f>
        <v>S/D</v>
      </c>
      <c r="I897" s="16" t="str">
        <f t="shared" ca="1" si="28"/>
        <v>S/D</v>
      </c>
      <c r="J897" s="6">
        <f>IF(A897="","",SUMIFS(Movimientos!$K:$K,Movimientos!$H:$H,A897))</f>
        <v>0</v>
      </c>
      <c r="K897" s="14" t="str">
        <f t="shared" ca="1" si="29"/>
        <v>OK</v>
      </c>
    </row>
    <row r="898" spans="1:11">
      <c r="A898" s="18" t="s">
        <v>2959</v>
      </c>
      <c r="B898" s="3" t="str">
        <f>IFERROR(INDEX(Movimientos!$C$5:$C$2001,MATCH(A898&amp;"ENTRADA",Movimientos!$R$5:$R$2001,0)),"-")</f>
        <v>-</v>
      </c>
      <c r="C898" s="3" t="str">
        <f>IFERROR(INDEX(Movimientos!$D$5:$D$2001,MATCH(A898&amp;"ENTRADA",Movimientos!$R$5:$R$2001,0)),"-")</f>
        <v>-</v>
      </c>
      <c r="D898" s="3" t="str">
        <f>IFERROR(INDEX(Movimientos!$E$5:$E$2001,MATCH(A898&amp;"ENTRADA",Movimientos!$R$5:$R$2001,0)),"-")</f>
        <v>-</v>
      </c>
      <c r="E898" s="3" t="str">
        <f>IFERROR(INDEX(Movimientos!$F$5:$F$2001,MATCH(A898&amp;"ENTRADA",Movimientos!$R$5:$R$2001,0)),"-")</f>
        <v>-</v>
      </c>
      <c r="F898" s="3" t="str">
        <f>IFERROR(INDEX(Movimientos!$G$5:$G$2001,MATCH(A898&amp;"ENTRADA",Movimientos!$R$5:$R$2001,0)),"-")</f>
        <v>-</v>
      </c>
      <c r="G898" s="3" t="str">
        <f>IFERROR(INDEX(Movimientos!$L$5:$L$2001,MATCH(A898&amp;"ENTRADA",Movimientos!$R$5:$R$2001,0)),"-")</f>
        <v>-</v>
      </c>
      <c r="H898" s="19" t="str">
        <f>IFERROR(IF(INDEX(Movimientos!$M$5:$M$2001,MATCH(A898&amp;"ENTRADA",Movimientos!$R$5:$R$2001,0))=0,"S/D",INDEX(Movimientos!$M$5:$M$2001,MATCH(A898&amp;"ENTRADA",Movimientos!$R$5:$R$2001,0))),"S/D")</f>
        <v>S/D</v>
      </c>
      <c r="I898" s="16" t="str">
        <f t="shared" ca="1" si="28"/>
        <v>S/D</v>
      </c>
      <c r="J898" s="6">
        <f>IF(A898="","",SUMIFS(Movimientos!$K:$K,Movimientos!$H:$H,A898))</f>
        <v>0</v>
      </c>
      <c r="K898" s="14" t="str">
        <f t="shared" ca="1" si="29"/>
        <v>OK</v>
      </c>
    </row>
    <row r="899" spans="1:11">
      <c r="A899" s="18" t="s">
        <v>2960</v>
      </c>
      <c r="B899" s="3" t="str">
        <f>IFERROR(INDEX(Movimientos!$C$5:$C$2001,MATCH(A899&amp;"ENTRADA",Movimientos!$R$5:$R$2001,0)),"-")</f>
        <v>-</v>
      </c>
      <c r="C899" s="3" t="str">
        <f>IFERROR(INDEX(Movimientos!$D$5:$D$2001,MATCH(A899&amp;"ENTRADA",Movimientos!$R$5:$R$2001,0)),"-")</f>
        <v>-</v>
      </c>
      <c r="D899" s="3" t="str">
        <f>IFERROR(INDEX(Movimientos!$E$5:$E$2001,MATCH(A899&amp;"ENTRADA",Movimientos!$R$5:$R$2001,0)),"-")</f>
        <v>-</v>
      </c>
      <c r="E899" s="3" t="str">
        <f>IFERROR(INDEX(Movimientos!$F$5:$F$2001,MATCH(A899&amp;"ENTRADA",Movimientos!$R$5:$R$2001,0)),"-")</f>
        <v>-</v>
      </c>
      <c r="F899" s="3" t="str">
        <f>IFERROR(INDEX(Movimientos!$G$5:$G$2001,MATCH(A899&amp;"ENTRADA",Movimientos!$R$5:$R$2001,0)),"-")</f>
        <v>-</v>
      </c>
      <c r="G899" s="3" t="str">
        <f>IFERROR(INDEX(Movimientos!$L$5:$L$2001,MATCH(A899&amp;"ENTRADA",Movimientos!$R$5:$R$2001,0)),"-")</f>
        <v>-</v>
      </c>
      <c r="H899" s="19" t="str">
        <f>IFERROR(IF(INDEX(Movimientos!$M$5:$M$2001,MATCH(A899&amp;"ENTRADA",Movimientos!$R$5:$R$2001,0))=0,"S/D",INDEX(Movimientos!$M$5:$M$2001,MATCH(A899&amp;"ENTRADA",Movimientos!$R$5:$R$2001,0))),"S/D")</f>
        <v>S/D</v>
      </c>
      <c r="I899" s="16" t="str">
        <f t="shared" ca="1" si="28"/>
        <v>S/D</v>
      </c>
      <c r="J899" s="6">
        <f>IF(A899="","",SUMIFS(Movimientos!$K:$K,Movimientos!$H:$H,A899))</f>
        <v>0</v>
      </c>
      <c r="K899" s="14" t="str">
        <f t="shared" ca="1" si="29"/>
        <v>OK</v>
      </c>
    </row>
    <row r="900" spans="1:11">
      <c r="A900" s="18" t="s">
        <v>2961</v>
      </c>
      <c r="B900" s="3" t="str">
        <f>IFERROR(INDEX(Movimientos!$C$5:$C$2001,MATCH(A900&amp;"ENTRADA",Movimientos!$R$5:$R$2001,0)),"-")</f>
        <v>-</v>
      </c>
      <c r="C900" s="3" t="str">
        <f>IFERROR(INDEX(Movimientos!$D$5:$D$2001,MATCH(A900&amp;"ENTRADA",Movimientos!$R$5:$R$2001,0)),"-")</f>
        <v>-</v>
      </c>
      <c r="D900" s="3" t="str">
        <f>IFERROR(INDEX(Movimientos!$E$5:$E$2001,MATCH(A900&amp;"ENTRADA",Movimientos!$R$5:$R$2001,0)),"-")</f>
        <v>-</v>
      </c>
      <c r="E900" s="3" t="str">
        <f>IFERROR(INDEX(Movimientos!$F$5:$F$2001,MATCH(A900&amp;"ENTRADA",Movimientos!$R$5:$R$2001,0)),"-")</f>
        <v>-</v>
      </c>
      <c r="F900" s="3" t="str">
        <f>IFERROR(INDEX(Movimientos!$G$5:$G$2001,MATCH(A900&amp;"ENTRADA",Movimientos!$R$5:$R$2001,0)),"-")</f>
        <v>-</v>
      </c>
      <c r="G900" s="3" t="str">
        <f>IFERROR(INDEX(Movimientos!$L$5:$L$2001,MATCH(A900&amp;"ENTRADA",Movimientos!$R$5:$R$2001,0)),"-")</f>
        <v>-</v>
      </c>
      <c r="H900" s="19" t="str">
        <f>IFERROR(IF(INDEX(Movimientos!$M$5:$M$2001,MATCH(A900&amp;"ENTRADA",Movimientos!$R$5:$R$2001,0))=0,"S/D",INDEX(Movimientos!$M$5:$M$2001,MATCH(A900&amp;"ENTRADA",Movimientos!$R$5:$R$2001,0))),"S/D")</f>
        <v>S/D</v>
      </c>
      <c r="I900" s="16" t="str">
        <f t="shared" ca="1" si="28"/>
        <v>S/D</v>
      </c>
      <c r="J900" s="6">
        <f>IF(A900="","",SUMIFS(Movimientos!$K:$K,Movimientos!$H:$H,A900))</f>
        <v>0</v>
      </c>
      <c r="K900" s="14" t="str">
        <f t="shared" ca="1" si="29"/>
        <v>OK</v>
      </c>
    </row>
    <row r="901" spans="1:11">
      <c r="A901" s="18" t="s">
        <v>2962</v>
      </c>
      <c r="B901" s="3" t="str">
        <f>IFERROR(INDEX(Movimientos!$C$5:$C$2001,MATCH(A901&amp;"ENTRADA",Movimientos!$R$5:$R$2001,0)),"-")</f>
        <v>-</v>
      </c>
      <c r="C901" s="3" t="str">
        <f>IFERROR(INDEX(Movimientos!$D$5:$D$2001,MATCH(A901&amp;"ENTRADA",Movimientos!$R$5:$R$2001,0)),"-")</f>
        <v>-</v>
      </c>
      <c r="D901" s="3" t="str">
        <f>IFERROR(INDEX(Movimientos!$E$5:$E$2001,MATCH(A901&amp;"ENTRADA",Movimientos!$R$5:$R$2001,0)),"-")</f>
        <v>-</v>
      </c>
      <c r="E901" s="3" t="str">
        <f>IFERROR(INDEX(Movimientos!$F$5:$F$2001,MATCH(A901&amp;"ENTRADA",Movimientos!$R$5:$R$2001,0)),"-")</f>
        <v>-</v>
      </c>
      <c r="F901" s="3" t="str">
        <f>IFERROR(INDEX(Movimientos!$G$5:$G$2001,MATCH(A901&amp;"ENTRADA",Movimientos!$R$5:$R$2001,0)),"-")</f>
        <v>-</v>
      </c>
      <c r="G901" s="3" t="str">
        <f>IFERROR(INDEX(Movimientos!$L$5:$L$2001,MATCH(A901&amp;"ENTRADA",Movimientos!$R$5:$R$2001,0)),"-")</f>
        <v>-</v>
      </c>
      <c r="H901" s="19" t="str">
        <f>IFERROR(IF(INDEX(Movimientos!$M$5:$M$2001,MATCH(A901&amp;"ENTRADA",Movimientos!$R$5:$R$2001,0))=0,"S/D",INDEX(Movimientos!$M$5:$M$2001,MATCH(A901&amp;"ENTRADA",Movimientos!$R$5:$R$2001,0))),"S/D")</f>
        <v>S/D</v>
      </c>
      <c r="I901" s="16" t="str">
        <f t="shared" ca="1" si="28"/>
        <v>S/D</v>
      </c>
      <c r="J901" s="6">
        <f>IF(A901="","",SUMIFS(Movimientos!$K:$K,Movimientos!$H:$H,A901))</f>
        <v>0</v>
      </c>
      <c r="K901" s="14" t="str">
        <f t="shared" ca="1" si="29"/>
        <v>OK</v>
      </c>
    </row>
    <row r="902" spans="1:11">
      <c r="A902" s="18" t="s">
        <v>2963</v>
      </c>
      <c r="B902" s="3" t="str">
        <f>IFERROR(INDEX(Movimientos!$C$5:$C$2001,MATCH(A902&amp;"ENTRADA",Movimientos!$R$5:$R$2001,0)),"-")</f>
        <v>-</v>
      </c>
      <c r="C902" s="3" t="str">
        <f>IFERROR(INDEX(Movimientos!$D$5:$D$2001,MATCH(A902&amp;"ENTRADA",Movimientos!$R$5:$R$2001,0)),"-")</f>
        <v>-</v>
      </c>
      <c r="D902" s="3" t="str">
        <f>IFERROR(INDEX(Movimientos!$E$5:$E$2001,MATCH(A902&amp;"ENTRADA",Movimientos!$R$5:$R$2001,0)),"-")</f>
        <v>-</v>
      </c>
      <c r="E902" s="3" t="str">
        <f>IFERROR(INDEX(Movimientos!$F$5:$F$2001,MATCH(A902&amp;"ENTRADA",Movimientos!$R$5:$R$2001,0)),"-")</f>
        <v>-</v>
      </c>
      <c r="F902" s="3" t="str">
        <f>IFERROR(INDEX(Movimientos!$G$5:$G$2001,MATCH(A902&amp;"ENTRADA",Movimientos!$R$5:$R$2001,0)),"-")</f>
        <v>-</v>
      </c>
      <c r="G902" s="3" t="str">
        <f>IFERROR(INDEX(Movimientos!$L$5:$L$2001,MATCH(A902&amp;"ENTRADA",Movimientos!$R$5:$R$2001,0)),"-")</f>
        <v>-</v>
      </c>
      <c r="H902" s="19" t="str">
        <f>IFERROR(IF(INDEX(Movimientos!$M$5:$M$2001,MATCH(A902&amp;"ENTRADA",Movimientos!$R$5:$R$2001,0))=0,"S/D",INDEX(Movimientos!$M$5:$M$2001,MATCH(A902&amp;"ENTRADA",Movimientos!$R$5:$R$2001,0))),"S/D")</f>
        <v>S/D</v>
      </c>
      <c r="I902" s="16" t="str">
        <f t="shared" ca="1" si="28"/>
        <v>S/D</v>
      </c>
      <c r="J902" s="6">
        <f>IF(A902="","",SUMIFS(Movimientos!$K:$K,Movimientos!$H:$H,A902))</f>
        <v>0</v>
      </c>
      <c r="K902" s="14" t="str">
        <f t="shared" ca="1" si="29"/>
        <v>OK</v>
      </c>
    </row>
    <row r="903" spans="1:11">
      <c r="A903" s="18" t="s">
        <v>2964</v>
      </c>
      <c r="B903" s="3" t="str">
        <f>IFERROR(INDEX(Movimientos!$C$5:$C$2001,MATCH(A903&amp;"ENTRADA",Movimientos!$R$5:$R$2001,0)),"-")</f>
        <v>-</v>
      </c>
      <c r="C903" s="3" t="str">
        <f>IFERROR(INDEX(Movimientos!$D$5:$D$2001,MATCH(A903&amp;"ENTRADA",Movimientos!$R$5:$R$2001,0)),"-")</f>
        <v>-</v>
      </c>
      <c r="D903" s="3" t="str">
        <f>IFERROR(INDEX(Movimientos!$E$5:$E$2001,MATCH(A903&amp;"ENTRADA",Movimientos!$R$5:$R$2001,0)),"-")</f>
        <v>-</v>
      </c>
      <c r="E903" s="3" t="str">
        <f>IFERROR(INDEX(Movimientos!$F$5:$F$2001,MATCH(A903&amp;"ENTRADA",Movimientos!$R$5:$R$2001,0)),"-")</f>
        <v>-</v>
      </c>
      <c r="F903" s="3" t="str">
        <f>IFERROR(INDEX(Movimientos!$G$5:$G$2001,MATCH(A903&amp;"ENTRADA",Movimientos!$R$5:$R$2001,0)),"-")</f>
        <v>-</v>
      </c>
      <c r="G903" s="3" t="str">
        <f>IFERROR(INDEX(Movimientos!$L$5:$L$2001,MATCH(A903&amp;"ENTRADA",Movimientos!$R$5:$R$2001,0)),"-")</f>
        <v>-</v>
      </c>
      <c r="H903" s="19" t="str">
        <f>IFERROR(IF(INDEX(Movimientos!$M$5:$M$2001,MATCH(A903&amp;"ENTRADA",Movimientos!$R$5:$R$2001,0))=0,"S/D",INDEX(Movimientos!$M$5:$M$2001,MATCH(A903&amp;"ENTRADA",Movimientos!$R$5:$R$2001,0))),"S/D")</f>
        <v>S/D</v>
      </c>
      <c r="I903" s="16" t="str">
        <f t="shared" ca="1" si="28"/>
        <v>S/D</v>
      </c>
      <c r="J903" s="6">
        <f>IF(A903="","",SUMIFS(Movimientos!$K:$K,Movimientos!$H:$H,A903))</f>
        <v>0</v>
      </c>
      <c r="K903" s="14" t="str">
        <f t="shared" ca="1" si="29"/>
        <v>OK</v>
      </c>
    </row>
    <row r="904" spans="1:11">
      <c r="A904" s="18" t="s">
        <v>2965</v>
      </c>
      <c r="B904" s="3" t="str">
        <f>IFERROR(INDEX(Movimientos!$C$5:$C$2001,MATCH(A904&amp;"ENTRADA",Movimientos!$R$5:$R$2001,0)),"-")</f>
        <v>-</v>
      </c>
      <c r="C904" s="3" t="str">
        <f>IFERROR(INDEX(Movimientos!$D$5:$D$2001,MATCH(A904&amp;"ENTRADA",Movimientos!$R$5:$R$2001,0)),"-")</f>
        <v>-</v>
      </c>
      <c r="D904" s="3" t="str">
        <f>IFERROR(INDEX(Movimientos!$E$5:$E$2001,MATCH(A904&amp;"ENTRADA",Movimientos!$R$5:$R$2001,0)),"-")</f>
        <v>-</v>
      </c>
      <c r="E904" s="3" t="str">
        <f>IFERROR(INDEX(Movimientos!$F$5:$F$2001,MATCH(A904&amp;"ENTRADA",Movimientos!$R$5:$R$2001,0)),"-")</f>
        <v>-</v>
      </c>
      <c r="F904" s="3" t="str">
        <f>IFERROR(INDEX(Movimientos!$G$5:$G$2001,MATCH(A904&amp;"ENTRADA",Movimientos!$R$5:$R$2001,0)),"-")</f>
        <v>-</v>
      </c>
      <c r="G904" s="3" t="str">
        <f>IFERROR(INDEX(Movimientos!$L$5:$L$2001,MATCH(A904&amp;"ENTRADA",Movimientos!$R$5:$R$2001,0)),"-")</f>
        <v>-</v>
      </c>
      <c r="H904" s="19" t="str">
        <f>IFERROR(IF(INDEX(Movimientos!$M$5:$M$2001,MATCH(A904&amp;"ENTRADA",Movimientos!$R$5:$R$2001,0))=0,"S/D",INDEX(Movimientos!$M$5:$M$2001,MATCH(A904&amp;"ENTRADA",Movimientos!$R$5:$R$2001,0))),"S/D")</f>
        <v>S/D</v>
      </c>
      <c r="I904" s="16" t="str">
        <f t="shared" ca="1" si="28"/>
        <v>S/D</v>
      </c>
      <c r="J904" s="6">
        <f>IF(A904="","",SUMIFS(Movimientos!$K:$K,Movimientos!$H:$H,A904))</f>
        <v>0</v>
      </c>
      <c r="K904" s="14" t="str">
        <f t="shared" ca="1" si="29"/>
        <v>OK</v>
      </c>
    </row>
    <row r="905" spans="1:11">
      <c r="A905" s="18" t="s">
        <v>2966</v>
      </c>
      <c r="B905" s="3" t="str">
        <f>IFERROR(INDEX(Movimientos!$C$5:$C$2001,MATCH(A905&amp;"ENTRADA",Movimientos!$R$5:$R$2001,0)),"-")</f>
        <v>-</v>
      </c>
      <c r="C905" s="3" t="str">
        <f>IFERROR(INDEX(Movimientos!$D$5:$D$2001,MATCH(A905&amp;"ENTRADA",Movimientos!$R$5:$R$2001,0)),"-")</f>
        <v>-</v>
      </c>
      <c r="D905" s="3" t="str">
        <f>IFERROR(INDEX(Movimientos!$E$5:$E$2001,MATCH(A905&amp;"ENTRADA",Movimientos!$R$5:$R$2001,0)),"-")</f>
        <v>-</v>
      </c>
      <c r="E905" s="3" t="str">
        <f>IFERROR(INDEX(Movimientos!$F$5:$F$2001,MATCH(A905&amp;"ENTRADA",Movimientos!$R$5:$R$2001,0)),"-")</f>
        <v>-</v>
      </c>
      <c r="F905" s="3" t="str">
        <f>IFERROR(INDEX(Movimientos!$G$5:$G$2001,MATCH(A905&amp;"ENTRADA",Movimientos!$R$5:$R$2001,0)),"-")</f>
        <v>-</v>
      </c>
      <c r="G905" s="3" t="str">
        <f>IFERROR(INDEX(Movimientos!$L$5:$L$2001,MATCH(A905&amp;"ENTRADA",Movimientos!$R$5:$R$2001,0)),"-")</f>
        <v>-</v>
      </c>
      <c r="H905" s="19" t="str">
        <f>IFERROR(IF(INDEX(Movimientos!$M$5:$M$2001,MATCH(A905&amp;"ENTRADA",Movimientos!$R$5:$R$2001,0))=0,"S/D",INDEX(Movimientos!$M$5:$M$2001,MATCH(A905&amp;"ENTRADA",Movimientos!$R$5:$R$2001,0))),"S/D")</f>
        <v>S/D</v>
      </c>
      <c r="I905" s="16" t="str">
        <f t="shared" ca="1" si="28"/>
        <v>S/D</v>
      </c>
      <c r="J905" s="6">
        <f>IF(A905="","",SUMIFS(Movimientos!$K:$K,Movimientos!$H:$H,A905))</f>
        <v>0</v>
      </c>
      <c r="K905" s="14" t="str">
        <f t="shared" ca="1" si="29"/>
        <v>OK</v>
      </c>
    </row>
    <row r="906" spans="1:11">
      <c r="A906" s="18" t="s">
        <v>2967</v>
      </c>
      <c r="B906" s="3" t="str">
        <f>IFERROR(INDEX(Movimientos!$C$5:$C$2001,MATCH(A906&amp;"ENTRADA",Movimientos!$R$5:$R$2001,0)),"-")</f>
        <v>-</v>
      </c>
      <c r="C906" s="3" t="str">
        <f>IFERROR(INDEX(Movimientos!$D$5:$D$2001,MATCH(A906&amp;"ENTRADA",Movimientos!$R$5:$R$2001,0)),"-")</f>
        <v>-</v>
      </c>
      <c r="D906" s="3" t="str">
        <f>IFERROR(INDEX(Movimientos!$E$5:$E$2001,MATCH(A906&amp;"ENTRADA",Movimientos!$R$5:$R$2001,0)),"-")</f>
        <v>-</v>
      </c>
      <c r="E906" s="3" t="str">
        <f>IFERROR(INDEX(Movimientos!$F$5:$F$2001,MATCH(A906&amp;"ENTRADA",Movimientos!$R$5:$R$2001,0)),"-")</f>
        <v>-</v>
      </c>
      <c r="F906" s="3" t="str">
        <f>IFERROR(INDEX(Movimientos!$G$5:$G$2001,MATCH(A906&amp;"ENTRADA",Movimientos!$R$5:$R$2001,0)),"-")</f>
        <v>-</v>
      </c>
      <c r="G906" s="3" t="str">
        <f>IFERROR(INDEX(Movimientos!$L$5:$L$2001,MATCH(A906&amp;"ENTRADA",Movimientos!$R$5:$R$2001,0)),"-")</f>
        <v>-</v>
      </c>
      <c r="H906" s="19" t="str">
        <f>IFERROR(IF(INDEX(Movimientos!$M$5:$M$2001,MATCH(A906&amp;"ENTRADA",Movimientos!$R$5:$R$2001,0))=0,"S/D",INDEX(Movimientos!$M$5:$M$2001,MATCH(A906&amp;"ENTRADA",Movimientos!$R$5:$R$2001,0))),"S/D")</f>
        <v>S/D</v>
      </c>
      <c r="I906" s="16" t="str">
        <f t="shared" ca="1" si="28"/>
        <v>S/D</v>
      </c>
      <c r="J906" s="6">
        <f>IF(A906="","",SUMIFS(Movimientos!$K:$K,Movimientos!$H:$H,A906))</f>
        <v>0</v>
      </c>
      <c r="K906" s="14" t="str">
        <f t="shared" ca="1" si="29"/>
        <v>OK</v>
      </c>
    </row>
    <row r="907" spans="1:11">
      <c r="A907" s="18" t="s">
        <v>2968</v>
      </c>
      <c r="B907" s="3" t="str">
        <f>IFERROR(INDEX(Movimientos!$C$5:$C$2001,MATCH(A907&amp;"ENTRADA",Movimientos!$R$5:$R$2001,0)),"-")</f>
        <v>-</v>
      </c>
      <c r="C907" s="3" t="str">
        <f>IFERROR(INDEX(Movimientos!$D$5:$D$2001,MATCH(A907&amp;"ENTRADA",Movimientos!$R$5:$R$2001,0)),"-")</f>
        <v>-</v>
      </c>
      <c r="D907" s="3" t="str">
        <f>IFERROR(INDEX(Movimientos!$E$5:$E$2001,MATCH(A907&amp;"ENTRADA",Movimientos!$R$5:$R$2001,0)),"-")</f>
        <v>-</v>
      </c>
      <c r="E907" s="3" t="str">
        <f>IFERROR(INDEX(Movimientos!$F$5:$F$2001,MATCH(A907&amp;"ENTRADA",Movimientos!$R$5:$R$2001,0)),"-")</f>
        <v>-</v>
      </c>
      <c r="F907" s="3" t="str">
        <f>IFERROR(INDEX(Movimientos!$G$5:$G$2001,MATCH(A907&amp;"ENTRADA",Movimientos!$R$5:$R$2001,0)),"-")</f>
        <v>-</v>
      </c>
      <c r="G907" s="3" t="str">
        <f>IFERROR(INDEX(Movimientos!$L$5:$L$2001,MATCH(A907&amp;"ENTRADA",Movimientos!$R$5:$R$2001,0)),"-")</f>
        <v>-</v>
      </c>
      <c r="H907" s="19" t="str">
        <f>IFERROR(IF(INDEX(Movimientos!$M$5:$M$2001,MATCH(A907&amp;"ENTRADA",Movimientos!$R$5:$R$2001,0))=0,"S/D",INDEX(Movimientos!$M$5:$M$2001,MATCH(A907&amp;"ENTRADA",Movimientos!$R$5:$R$2001,0))),"S/D")</f>
        <v>S/D</v>
      </c>
      <c r="I907" s="16" t="str">
        <f t="shared" ref="I907:I970" ca="1" si="30">IF(OR(A907="",H907="S/D"),"S/D",H907-TODAY())</f>
        <v>S/D</v>
      </c>
      <c r="J907" s="6">
        <f>IF(A907="","",SUMIFS(Movimientos!$K:$K,Movimientos!$H:$H,A907))</f>
        <v>0</v>
      </c>
      <c r="K907" s="14" t="str">
        <f t="shared" ref="K907:K970" ca="1" si="31">IF(A907="","",IF(H907="S/D","OK",IF(H907&lt;TODAY(),"VENCIDO",IF(J907&lt;=0,"SIN STOCK",IF(I907&gt;=180,"OK","PRÓXIMO A VENCER")))))</f>
        <v>OK</v>
      </c>
    </row>
    <row r="908" spans="1:11">
      <c r="A908" s="18" t="s">
        <v>2969</v>
      </c>
      <c r="B908" s="3" t="str">
        <f>IFERROR(INDEX(Movimientos!$C$5:$C$2001,MATCH(A908&amp;"ENTRADA",Movimientos!$R$5:$R$2001,0)),"-")</f>
        <v>-</v>
      </c>
      <c r="C908" s="3" t="str">
        <f>IFERROR(INDEX(Movimientos!$D$5:$D$2001,MATCH(A908&amp;"ENTRADA",Movimientos!$R$5:$R$2001,0)),"-")</f>
        <v>-</v>
      </c>
      <c r="D908" s="3" t="str">
        <f>IFERROR(INDEX(Movimientos!$E$5:$E$2001,MATCH(A908&amp;"ENTRADA",Movimientos!$R$5:$R$2001,0)),"-")</f>
        <v>-</v>
      </c>
      <c r="E908" s="3" t="str">
        <f>IFERROR(INDEX(Movimientos!$F$5:$F$2001,MATCH(A908&amp;"ENTRADA",Movimientos!$R$5:$R$2001,0)),"-")</f>
        <v>-</v>
      </c>
      <c r="F908" s="3" t="str">
        <f>IFERROR(INDEX(Movimientos!$G$5:$G$2001,MATCH(A908&amp;"ENTRADA",Movimientos!$R$5:$R$2001,0)),"-")</f>
        <v>-</v>
      </c>
      <c r="G908" s="3" t="str">
        <f>IFERROR(INDEX(Movimientos!$L$5:$L$2001,MATCH(A908&amp;"ENTRADA",Movimientos!$R$5:$R$2001,0)),"-")</f>
        <v>-</v>
      </c>
      <c r="H908" s="19" t="str">
        <f>IFERROR(IF(INDEX(Movimientos!$M$5:$M$2001,MATCH(A908&amp;"ENTRADA",Movimientos!$R$5:$R$2001,0))=0,"S/D",INDEX(Movimientos!$M$5:$M$2001,MATCH(A908&amp;"ENTRADA",Movimientos!$R$5:$R$2001,0))),"S/D")</f>
        <v>S/D</v>
      </c>
      <c r="I908" s="16" t="str">
        <f t="shared" ca="1" si="30"/>
        <v>S/D</v>
      </c>
      <c r="J908" s="6">
        <f>IF(A908="","",SUMIFS(Movimientos!$K:$K,Movimientos!$H:$H,A908))</f>
        <v>0</v>
      </c>
      <c r="K908" s="14" t="str">
        <f t="shared" ca="1" si="31"/>
        <v>OK</v>
      </c>
    </row>
    <row r="909" spans="1:11">
      <c r="A909" s="18" t="s">
        <v>2970</v>
      </c>
      <c r="B909" s="3" t="str">
        <f>IFERROR(INDEX(Movimientos!$C$5:$C$2001,MATCH(A909&amp;"ENTRADA",Movimientos!$R$5:$R$2001,0)),"-")</f>
        <v>-</v>
      </c>
      <c r="C909" s="3" t="str">
        <f>IFERROR(INDEX(Movimientos!$D$5:$D$2001,MATCH(A909&amp;"ENTRADA",Movimientos!$R$5:$R$2001,0)),"-")</f>
        <v>-</v>
      </c>
      <c r="D909" s="3" t="str">
        <f>IFERROR(INDEX(Movimientos!$E$5:$E$2001,MATCH(A909&amp;"ENTRADA",Movimientos!$R$5:$R$2001,0)),"-")</f>
        <v>-</v>
      </c>
      <c r="E909" s="3" t="str">
        <f>IFERROR(INDEX(Movimientos!$F$5:$F$2001,MATCH(A909&amp;"ENTRADA",Movimientos!$R$5:$R$2001,0)),"-")</f>
        <v>-</v>
      </c>
      <c r="F909" s="3" t="str">
        <f>IFERROR(INDEX(Movimientos!$G$5:$G$2001,MATCH(A909&amp;"ENTRADA",Movimientos!$R$5:$R$2001,0)),"-")</f>
        <v>-</v>
      </c>
      <c r="G909" s="3" t="str">
        <f>IFERROR(INDEX(Movimientos!$L$5:$L$2001,MATCH(A909&amp;"ENTRADA",Movimientos!$R$5:$R$2001,0)),"-")</f>
        <v>-</v>
      </c>
      <c r="H909" s="19" t="str">
        <f>IFERROR(IF(INDEX(Movimientos!$M$5:$M$2001,MATCH(A909&amp;"ENTRADA",Movimientos!$R$5:$R$2001,0))=0,"S/D",INDEX(Movimientos!$M$5:$M$2001,MATCH(A909&amp;"ENTRADA",Movimientos!$R$5:$R$2001,0))),"S/D")</f>
        <v>S/D</v>
      </c>
      <c r="I909" s="16" t="str">
        <f t="shared" ca="1" si="30"/>
        <v>S/D</v>
      </c>
      <c r="J909" s="6">
        <f>IF(A909="","",SUMIFS(Movimientos!$K:$K,Movimientos!$H:$H,A909))</f>
        <v>0</v>
      </c>
      <c r="K909" s="14" t="str">
        <f t="shared" ca="1" si="31"/>
        <v>OK</v>
      </c>
    </row>
    <row r="910" spans="1:11">
      <c r="A910" s="18" t="s">
        <v>2971</v>
      </c>
      <c r="B910" s="3" t="str">
        <f>IFERROR(INDEX(Movimientos!$C$5:$C$2001,MATCH(A910&amp;"ENTRADA",Movimientos!$R$5:$R$2001,0)),"-")</f>
        <v>-</v>
      </c>
      <c r="C910" s="3" t="str">
        <f>IFERROR(INDEX(Movimientos!$D$5:$D$2001,MATCH(A910&amp;"ENTRADA",Movimientos!$R$5:$R$2001,0)),"-")</f>
        <v>-</v>
      </c>
      <c r="D910" s="3" t="str">
        <f>IFERROR(INDEX(Movimientos!$E$5:$E$2001,MATCH(A910&amp;"ENTRADA",Movimientos!$R$5:$R$2001,0)),"-")</f>
        <v>-</v>
      </c>
      <c r="E910" s="3" t="str">
        <f>IFERROR(INDEX(Movimientos!$F$5:$F$2001,MATCH(A910&amp;"ENTRADA",Movimientos!$R$5:$R$2001,0)),"-")</f>
        <v>-</v>
      </c>
      <c r="F910" s="3" t="str">
        <f>IFERROR(INDEX(Movimientos!$G$5:$G$2001,MATCH(A910&amp;"ENTRADA",Movimientos!$R$5:$R$2001,0)),"-")</f>
        <v>-</v>
      </c>
      <c r="G910" s="3" t="str">
        <f>IFERROR(INDEX(Movimientos!$L$5:$L$2001,MATCH(A910&amp;"ENTRADA",Movimientos!$R$5:$R$2001,0)),"-")</f>
        <v>-</v>
      </c>
      <c r="H910" s="19" t="str">
        <f>IFERROR(IF(INDEX(Movimientos!$M$5:$M$2001,MATCH(A910&amp;"ENTRADA",Movimientos!$R$5:$R$2001,0))=0,"S/D",INDEX(Movimientos!$M$5:$M$2001,MATCH(A910&amp;"ENTRADA",Movimientos!$R$5:$R$2001,0))),"S/D")</f>
        <v>S/D</v>
      </c>
      <c r="I910" s="16" t="str">
        <f t="shared" ca="1" si="30"/>
        <v>S/D</v>
      </c>
      <c r="J910" s="6">
        <f>IF(A910="","",SUMIFS(Movimientos!$K:$K,Movimientos!$H:$H,A910))</f>
        <v>0</v>
      </c>
      <c r="K910" s="14" t="str">
        <f t="shared" ca="1" si="31"/>
        <v>OK</v>
      </c>
    </row>
    <row r="911" spans="1:11">
      <c r="A911" s="18" t="s">
        <v>2972</v>
      </c>
      <c r="B911" s="3" t="str">
        <f>IFERROR(INDEX(Movimientos!$C$5:$C$2001,MATCH(A911&amp;"ENTRADA",Movimientos!$R$5:$R$2001,0)),"-")</f>
        <v>-</v>
      </c>
      <c r="C911" s="3" t="str">
        <f>IFERROR(INDEX(Movimientos!$D$5:$D$2001,MATCH(A911&amp;"ENTRADA",Movimientos!$R$5:$R$2001,0)),"-")</f>
        <v>-</v>
      </c>
      <c r="D911" s="3" t="str">
        <f>IFERROR(INDEX(Movimientos!$E$5:$E$2001,MATCH(A911&amp;"ENTRADA",Movimientos!$R$5:$R$2001,0)),"-")</f>
        <v>-</v>
      </c>
      <c r="E911" s="3" t="str">
        <f>IFERROR(INDEX(Movimientos!$F$5:$F$2001,MATCH(A911&amp;"ENTRADA",Movimientos!$R$5:$R$2001,0)),"-")</f>
        <v>-</v>
      </c>
      <c r="F911" s="3" t="str">
        <f>IFERROR(INDEX(Movimientos!$G$5:$G$2001,MATCH(A911&amp;"ENTRADA",Movimientos!$R$5:$R$2001,0)),"-")</f>
        <v>-</v>
      </c>
      <c r="G911" s="3" t="str">
        <f>IFERROR(INDEX(Movimientos!$L$5:$L$2001,MATCH(A911&amp;"ENTRADA",Movimientos!$R$5:$R$2001,0)),"-")</f>
        <v>-</v>
      </c>
      <c r="H911" s="19" t="str">
        <f>IFERROR(IF(INDEX(Movimientos!$M$5:$M$2001,MATCH(A911&amp;"ENTRADA",Movimientos!$R$5:$R$2001,0))=0,"S/D",INDEX(Movimientos!$M$5:$M$2001,MATCH(A911&amp;"ENTRADA",Movimientos!$R$5:$R$2001,0))),"S/D")</f>
        <v>S/D</v>
      </c>
      <c r="I911" s="16" t="str">
        <f t="shared" ca="1" si="30"/>
        <v>S/D</v>
      </c>
      <c r="J911" s="6">
        <f>IF(A911="","",SUMIFS(Movimientos!$K:$K,Movimientos!$H:$H,A911))</f>
        <v>0</v>
      </c>
      <c r="K911" s="14" t="str">
        <f t="shared" ca="1" si="31"/>
        <v>OK</v>
      </c>
    </row>
    <row r="912" spans="1:11">
      <c r="A912" s="18" t="s">
        <v>2973</v>
      </c>
      <c r="B912" s="3" t="str">
        <f>IFERROR(INDEX(Movimientos!$C$5:$C$2001,MATCH(A912&amp;"ENTRADA",Movimientos!$R$5:$R$2001,0)),"-")</f>
        <v>-</v>
      </c>
      <c r="C912" s="3" t="str">
        <f>IFERROR(INDEX(Movimientos!$D$5:$D$2001,MATCH(A912&amp;"ENTRADA",Movimientos!$R$5:$R$2001,0)),"-")</f>
        <v>-</v>
      </c>
      <c r="D912" s="3" t="str">
        <f>IFERROR(INDEX(Movimientos!$E$5:$E$2001,MATCH(A912&amp;"ENTRADA",Movimientos!$R$5:$R$2001,0)),"-")</f>
        <v>-</v>
      </c>
      <c r="E912" s="3" t="str">
        <f>IFERROR(INDEX(Movimientos!$F$5:$F$2001,MATCH(A912&amp;"ENTRADA",Movimientos!$R$5:$R$2001,0)),"-")</f>
        <v>-</v>
      </c>
      <c r="F912" s="3" t="str">
        <f>IFERROR(INDEX(Movimientos!$G$5:$G$2001,MATCH(A912&amp;"ENTRADA",Movimientos!$R$5:$R$2001,0)),"-")</f>
        <v>-</v>
      </c>
      <c r="G912" s="3" t="str">
        <f>IFERROR(INDEX(Movimientos!$L$5:$L$2001,MATCH(A912&amp;"ENTRADA",Movimientos!$R$5:$R$2001,0)),"-")</f>
        <v>-</v>
      </c>
      <c r="H912" s="19" t="str">
        <f>IFERROR(IF(INDEX(Movimientos!$M$5:$M$2001,MATCH(A912&amp;"ENTRADA",Movimientos!$R$5:$R$2001,0))=0,"S/D",INDEX(Movimientos!$M$5:$M$2001,MATCH(A912&amp;"ENTRADA",Movimientos!$R$5:$R$2001,0))),"S/D")</f>
        <v>S/D</v>
      </c>
      <c r="I912" s="16" t="str">
        <f t="shared" ca="1" si="30"/>
        <v>S/D</v>
      </c>
      <c r="J912" s="6">
        <f>IF(A912="","",SUMIFS(Movimientos!$K:$K,Movimientos!$H:$H,A912))</f>
        <v>0</v>
      </c>
      <c r="K912" s="14" t="str">
        <f t="shared" ca="1" si="31"/>
        <v>OK</v>
      </c>
    </row>
    <row r="913" spans="1:11">
      <c r="A913" s="18" t="s">
        <v>2974</v>
      </c>
      <c r="B913" s="3" t="str">
        <f>IFERROR(INDEX(Movimientos!$C$5:$C$2001,MATCH(A913&amp;"ENTRADA",Movimientos!$R$5:$R$2001,0)),"-")</f>
        <v>-</v>
      </c>
      <c r="C913" s="3" t="str">
        <f>IFERROR(INDEX(Movimientos!$D$5:$D$2001,MATCH(A913&amp;"ENTRADA",Movimientos!$R$5:$R$2001,0)),"-")</f>
        <v>-</v>
      </c>
      <c r="D913" s="3" t="str">
        <f>IFERROR(INDEX(Movimientos!$E$5:$E$2001,MATCH(A913&amp;"ENTRADA",Movimientos!$R$5:$R$2001,0)),"-")</f>
        <v>-</v>
      </c>
      <c r="E913" s="3" t="str">
        <f>IFERROR(INDEX(Movimientos!$F$5:$F$2001,MATCH(A913&amp;"ENTRADA",Movimientos!$R$5:$R$2001,0)),"-")</f>
        <v>-</v>
      </c>
      <c r="F913" s="3" t="str">
        <f>IFERROR(INDEX(Movimientos!$G$5:$G$2001,MATCH(A913&amp;"ENTRADA",Movimientos!$R$5:$R$2001,0)),"-")</f>
        <v>-</v>
      </c>
      <c r="G913" s="3" t="str">
        <f>IFERROR(INDEX(Movimientos!$L$5:$L$2001,MATCH(A913&amp;"ENTRADA",Movimientos!$R$5:$R$2001,0)),"-")</f>
        <v>-</v>
      </c>
      <c r="H913" s="19" t="str">
        <f>IFERROR(IF(INDEX(Movimientos!$M$5:$M$2001,MATCH(A913&amp;"ENTRADA",Movimientos!$R$5:$R$2001,0))=0,"S/D",INDEX(Movimientos!$M$5:$M$2001,MATCH(A913&amp;"ENTRADA",Movimientos!$R$5:$R$2001,0))),"S/D")</f>
        <v>S/D</v>
      </c>
      <c r="I913" s="16" t="str">
        <f t="shared" ca="1" si="30"/>
        <v>S/D</v>
      </c>
      <c r="J913" s="6">
        <f>IF(A913="","",SUMIFS(Movimientos!$K:$K,Movimientos!$H:$H,A913))</f>
        <v>0</v>
      </c>
      <c r="K913" s="14" t="str">
        <f t="shared" ca="1" si="31"/>
        <v>OK</v>
      </c>
    </row>
    <row r="914" spans="1:11">
      <c r="A914" s="18" t="s">
        <v>2975</v>
      </c>
      <c r="B914" s="3" t="str">
        <f>IFERROR(INDEX(Movimientos!$C$5:$C$2001,MATCH(A914&amp;"ENTRADA",Movimientos!$R$5:$R$2001,0)),"-")</f>
        <v>-</v>
      </c>
      <c r="C914" s="3" t="str">
        <f>IFERROR(INDEX(Movimientos!$D$5:$D$2001,MATCH(A914&amp;"ENTRADA",Movimientos!$R$5:$R$2001,0)),"-")</f>
        <v>-</v>
      </c>
      <c r="D914" s="3" t="str">
        <f>IFERROR(INDEX(Movimientos!$E$5:$E$2001,MATCH(A914&amp;"ENTRADA",Movimientos!$R$5:$R$2001,0)),"-")</f>
        <v>-</v>
      </c>
      <c r="E914" s="3" t="str">
        <f>IFERROR(INDEX(Movimientos!$F$5:$F$2001,MATCH(A914&amp;"ENTRADA",Movimientos!$R$5:$R$2001,0)),"-")</f>
        <v>-</v>
      </c>
      <c r="F914" s="3" t="str">
        <f>IFERROR(INDEX(Movimientos!$G$5:$G$2001,MATCH(A914&amp;"ENTRADA",Movimientos!$R$5:$R$2001,0)),"-")</f>
        <v>-</v>
      </c>
      <c r="G914" s="3" t="str">
        <f>IFERROR(INDEX(Movimientos!$L$5:$L$2001,MATCH(A914&amp;"ENTRADA",Movimientos!$R$5:$R$2001,0)),"-")</f>
        <v>-</v>
      </c>
      <c r="H914" s="19" t="str">
        <f>IFERROR(IF(INDEX(Movimientos!$M$5:$M$2001,MATCH(A914&amp;"ENTRADA",Movimientos!$R$5:$R$2001,0))=0,"S/D",INDEX(Movimientos!$M$5:$M$2001,MATCH(A914&amp;"ENTRADA",Movimientos!$R$5:$R$2001,0))),"S/D")</f>
        <v>S/D</v>
      </c>
      <c r="I914" s="16" t="str">
        <f t="shared" ca="1" si="30"/>
        <v>S/D</v>
      </c>
      <c r="J914" s="6">
        <f>IF(A914="","",SUMIFS(Movimientos!$K:$K,Movimientos!$H:$H,A914))</f>
        <v>0</v>
      </c>
      <c r="K914" s="14" t="str">
        <f t="shared" ca="1" si="31"/>
        <v>OK</v>
      </c>
    </row>
    <row r="915" spans="1:11">
      <c r="A915" s="18" t="s">
        <v>2976</v>
      </c>
      <c r="B915" s="3" t="str">
        <f>IFERROR(INDEX(Movimientos!$C$5:$C$2001,MATCH(A915&amp;"ENTRADA",Movimientos!$R$5:$R$2001,0)),"-")</f>
        <v>-</v>
      </c>
      <c r="C915" s="3" t="str">
        <f>IFERROR(INDEX(Movimientos!$D$5:$D$2001,MATCH(A915&amp;"ENTRADA",Movimientos!$R$5:$R$2001,0)),"-")</f>
        <v>-</v>
      </c>
      <c r="D915" s="3" t="str">
        <f>IFERROR(INDEX(Movimientos!$E$5:$E$2001,MATCH(A915&amp;"ENTRADA",Movimientos!$R$5:$R$2001,0)),"-")</f>
        <v>-</v>
      </c>
      <c r="E915" s="3" t="str">
        <f>IFERROR(INDEX(Movimientos!$F$5:$F$2001,MATCH(A915&amp;"ENTRADA",Movimientos!$R$5:$R$2001,0)),"-")</f>
        <v>-</v>
      </c>
      <c r="F915" s="3" t="str">
        <f>IFERROR(INDEX(Movimientos!$G$5:$G$2001,MATCH(A915&amp;"ENTRADA",Movimientos!$R$5:$R$2001,0)),"-")</f>
        <v>-</v>
      </c>
      <c r="G915" s="3" t="str">
        <f>IFERROR(INDEX(Movimientos!$L$5:$L$2001,MATCH(A915&amp;"ENTRADA",Movimientos!$R$5:$R$2001,0)),"-")</f>
        <v>-</v>
      </c>
      <c r="H915" s="19" t="str">
        <f>IFERROR(IF(INDEX(Movimientos!$M$5:$M$2001,MATCH(A915&amp;"ENTRADA",Movimientos!$R$5:$R$2001,0))=0,"S/D",INDEX(Movimientos!$M$5:$M$2001,MATCH(A915&amp;"ENTRADA",Movimientos!$R$5:$R$2001,0))),"S/D")</f>
        <v>S/D</v>
      </c>
      <c r="I915" s="16" t="str">
        <f t="shared" ca="1" si="30"/>
        <v>S/D</v>
      </c>
      <c r="J915" s="6">
        <f>IF(A915="","",SUMIFS(Movimientos!$K:$K,Movimientos!$H:$H,A915))</f>
        <v>0</v>
      </c>
      <c r="K915" s="14" t="str">
        <f t="shared" ca="1" si="31"/>
        <v>OK</v>
      </c>
    </row>
    <row r="916" spans="1:11">
      <c r="A916" s="18" t="s">
        <v>2977</v>
      </c>
      <c r="B916" s="3" t="str">
        <f>IFERROR(INDEX(Movimientos!$C$5:$C$2001,MATCH(A916&amp;"ENTRADA",Movimientos!$R$5:$R$2001,0)),"-")</f>
        <v>-</v>
      </c>
      <c r="C916" s="3" t="str">
        <f>IFERROR(INDEX(Movimientos!$D$5:$D$2001,MATCH(A916&amp;"ENTRADA",Movimientos!$R$5:$R$2001,0)),"-")</f>
        <v>-</v>
      </c>
      <c r="D916" s="3" t="str">
        <f>IFERROR(INDEX(Movimientos!$E$5:$E$2001,MATCH(A916&amp;"ENTRADA",Movimientos!$R$5:$R$2001,0)),"-")</f>
        <v>-</v>
      </c>
      <c r="E916" s="3" t="str">
        <f>IFERROR(INDEX(Movimientos!$F$5:$F$2001,MATCH(A916&amp;"ENTRADA",Movimientos!$R$5:$R$2001,0)),"-")</f>
        <v>-</v>
      </c>
      <c r="F916" s="3" t="str">
        <f>IFERROR(INDEX(Movimientos!$G$5:$G$2001,MATCH(A916&amp;"ENTRADA",Movimientos!$R$5:$R$2001,0)),"-")</f>
        <v>-</v>
      </c>
      <c r="G916" s="3" t="str">
        <f>IFERROR(INDEX(Movimientos!$L$5:$L$2001,MATCH(A916&amp;"ENTRADA",Movimientos!$R$5:$R$2001,0)),"-")</f>
        <v>-</v>
      </c>
      <c r="H916" s="19" t="str">
        <f>IFERROR(IF(INDEX(Movimientos!$M$5:$M$2001,MATCH(A916&amp;"ENTRADA",Movimientos!$R$5:$R$2001,0))=0,"S/D",INDEX(Movimientos!$M$5:$M$2001,MATCH(A916&amp;"ENTRADA",Movimientos!$R$5:$R$2001,0))),"S/D")</f>
        <v>S/D</v>
      </c>
      <c r="I916" s="16" t="str">
        <f t="shared" ca="1" si="30"/>
        <v>S/D</v>
      </c>
      <c r="J916" s="6">
        <f>IF(A916="","",SUMIFS(Movimientos!$K:$K,Movimientos!$H:$H,A916))</f>
        <v>0</v>
      </c>
      <c r="K916" s="14" t="str">
        <f t="shared" ca="1" si="31"/>
        <v>OK</v>
      </c>
    </row>
    <row r="917" spans="1:11">
      <c r="A917" s="18" t="s">
        <v>2978</v>
      </c>
      <c r="B917" s="3" t="str">
        <f>IFERROR(INDEX(Movimientos!$C$5:$C$2001,MATCH(A917&amp;"ENTRADA",Movimientos!$R$5:$R$2001,0)),"-")</f>
        <v>-</v>
      </c>
      <c r="C917" s="3" t="str">
        <f>IFERROR(INDEX(Movimientos!$D$5:$D$2001,MATCH(A917&amp;"ENTRADA",Movimientos!$R$5:$R$2001,0)),"-")</f>
        <v>-</v>
      </c>
      <c r="D917" s="3" t="str">
        <f>IFERROR(INDEX(Movimientos!$E$5:$E$2001,MATCH(A917&amp;"ENTRADA",Movimientos!$R$5:$R$2001,0)),"-")</f>
        <v>-</v>
      </c>
      <c r="E917" s="3" t="str">
        <f>IFERROR(INDEX(Movimientos!$F$5:$F$2001,MATCH(A917&amp;"ENTRADA",Movimientos!$R$5:$R$2001,0)),"-")</f>
        <v>-</v>
      </c>
      <c r="F917" s="3" t="str">
        <f>IFERROR(INDEX(Movimientos!$G$5:$G$2001,MATCH(A917&amp;"ENTRADA",Movimientos!$R$5:$R$2001,0)),"-")</f>
        <v>-</v>
      </c>
      <c r="G917" s="3" t="str">
        <f>IFERROR(INDEX(Movimientos!$L$5:$L$2001,MATCH(A917&amp;"ENTRADA",Movimientos!$R$5:$R$2001,0)),"-")</f>
        <v>-</v>
      </c>
      <c r="H917" s="19" t="str">
        <f>IFERROR(IF(INDEX(Movimientos!$M$5:$M$2001,MATCH(A917&amp;"ENTRADA",Movimientos!$R$5:$R$2001,0))=0,"S/D",INDEX(Movimientos!$M$5:$M$2001,MATCH(A917&amp;"ENTRADA",Movimientos!$R$5:$R$2001,0))),"S/D")</f>
        <v>S/D</v>
      </c>
      <c r="I917" s="16" t="str">
        <f t="shared" ca="1" si="30"/>
        <v>S/D</v>
      </c>
      <c r="J917" s="6">
        <f>IF(A917="","",SUMIFS(Movimientos!$K:$K,Movimientos!$H:$H,A917))</f>
        <v>0</v>
      </c>
      <c r="K917" s="14" t="str">
        <f t="shared" ca="1" si="31"/>
        <v>OK</v>
      </c>
    </row>
    <row r="918" spans="1:11">
      <c r="A918" s="18" t="s">
        <v>2979</v>
      </c>
      <c r="B918" s="3" t="str">
        <f>IFERROR(INDEX(Movimientos!$C$5:$C$2001,MATCH(A918&amp;"ENTRADA",Movimientos!$R$5:$R$2001,0)),"-")</f>
        <v>-</v>
      </c>
      <c r="C918" s="3" t="str">
        <f>IFERROR(INDEX(Movimientos!$D$5:$D$2001,MATCH(A918&amp;"ENTRADA",Movimientos!$R$5:$R$2001,0)),"-")</f>
        <v>-</v>
      </c>
      <c r="D918" s="3" t="str">
        <f>IFERROR(INDEX(Movimientos!$E$5:$E$2001,MATCH(A918&amp;"ENTRADA",Movimientos!$R$5:$R$2001,0)),"-")</f>
        <v>-</v>
      </c>
      <c r="E918" s="3" t="str">
        <f>IFERROR(INDEX(Movimientos!$F$5:$F$2001,MATCH(A918&amp;"ENTRADA",Movimientos!$R$5:$R$2001,0)),"-")</f>
        <v>-</v>
      </c>
      <c r="F918" s="3" t="str">
        <f>IFERROR(INDEX(Movimientos!$G$5:$G$2001,MATCH(A918&amp;"ENTRADA",Movimientos!$R$5:$R$2001,0)),"-")</f>
        <v>-</v>
      </c>
      <c r="G918" s="3" t="str">
        <f>IFERROR(INDEX(Movimientos!$L$5:$L$2001,MATCH(A918&amp;"ENTRADA",Movimientos!$R$5:$R$2001,0)),"-")</f>
        <v>-</v>
      </c>
      <c r="H918" s="19" t="str">
        <f>IFERROR(IF(INDEX(Movimientos!$M$5:$M$2001,MATCH(A918&amp;"ENTRADA",Movimientos!$R$5:$R$2001,0))=0,"S/D",INDEX(Movimientos!$M$5:$M$2001,MATCH(A918&amp;"ENTRADA",Movimientos!$R$5:$R$2001,0))),"S/D")</f>
        <v>S/D</v>
      </c>
      <c r="I918" s="16" t="str">
        <f t="shared" ca="1" si="30"/>
        <v>S/D</v>
      </c>
      <c r="J918" s="6">
        <f>IF(A918="","",SUMIFS(Movimientos!$K:$K,Movimientos!$H:$H,A918))</f>
        <v>0</v>
      </c>
      <c r="K918" s="14" t="str">
        <f t="shared" ca="1" si="31"/>
        <v>OK</v>
      </c>
    </row>
    <row r="919" spans="1:11">
      <c r="A919" s="18" t="s">
        <v>2980</v>
      </c>
      <c r="B919" s="3" t="str">
        <f>IFERROR(INDEX(Movimientos!$C$5:$C$2001,MATCH(A919&amp;"ENTRADA",Movimientos!$R$5:$R$2001,0)),"-")</f>
        <v>-</v>
      </c>
      <c r="C919" s="3" t="str">
        <f>IFERROR(INDEX(Movimientos!$D$5:$D$2001,MATCH(A919&amp;"ENTRADA",Movimientos!$R$5:$R$2001,0)),"-")</f>
        <v>-</v>
      </c>
      <c r="D919" s="3" t="str">
        <f>IFERROR(INDEX(Movimientos!$E$5:$E$2001,MATCH(A919&amp;"ENTRADA",Movimientos!$R$5:$R$2001,0)),"-")</f>
        <v>-</v>
      </c>
      <c r="E919" s="3" t="str">
        <f>IFERROR(INDEX(Movimientos!$F$5:$F$2001,MATCH(A919&amp;"ENTRADA",Movimientos!$R$5:$R$2001,0)),"-")</f>
        <v>-</v>
      </c>
      <c r="F919" s="3" t="str">
        <f>IFERROR(INDEX(Movimientos!$G$5:$G$2001,MATCH(A919&amp;"ENTRADA",Movimientos!$R$5:$R$2001,0)),"-")</f>
        <v>-</v>
      </c>
      <c r="G919" s="3" t="str">
        <f>IFERROR(INDEX(Movimientos!$L$5:$L$2001,MATCH(A919&amp;"ENTRADA",Movimientos!$R$5:$R$2001,0)),"-")</f>
        <v>-</v>
      </c>
      <c r="H919" s="19" t="str">
        <f>IFERROR(IF(INDEX(Movimientos!$M$5:$M$2001,MATCH(A919&amp;"ENTRADA",Movimientos!$R$5:$R$2001,0))=0,"S/D",INDEX(Movimientos!$M$5:$M$2001,MATCH(A919&amp;"ENTRADA",Movimientos!$R$5:$R$2001,0))),"S/D")</f>
        <v>S/D</v>
      </c>
      <c r="I919" s="16" t="str">
        <f t="shared" ca="1" si="30"/>
        <v>S/D</v>
      </c>
      <c r="J919" s="6">
        <f>IF(A919="","",SUMIFS(Movimientos!$K:$K,Movimientos!$H:$H,A919))</f>
        <v>0</v>
      </c>
      <c r="K919" s="14" t="str">
        <f t="shared" ca="1" si="31"/>
        <v>OK</v>
      </c>
    </row>
    <row r="920" spans="1:11">
      <c r="A920" s="18" t="s">
        <v>2981</v>
      </c>
      <c r="B920" s="3" t="str">
        <f>IFERROR(INDEX(Movimientos!$C$5:$C$2001,MATCH(A920&amp;"ENTRADA",Movimientos!$R$5:$R$2001,0)),"-")</f>
        <v>-</v>
      </c>
      <c r="C920" s="3" t="str">
        <f>IFERROR(INDEX(Movimientos!$D$5:$D$2001,MATCH(A920&amp;"ENTRADA",Movimientos!$R$5:$R$2001,0)),"-")</f>
        <v>-</v>
      </c>
      <c r="D920" s="3" t="str">
        <f>IFERROR(INDEX(Movimientos!$E$5:$E$2001,MATCH(A920&amp;"ENTRADA",Movimientos!$R$5:$R$2001,0)),"-")</f>
        <v>-</v>
      </c>
      <c r="E920" s="3" t="str">
        <f>IFERROR(INDEX(Movimientos!$F$5:$F$2001,MATCH(A920&amp;"ENTRADA",Movimientos!$R$5:$R$2001,0)),"-")</f>
        <v>-</v>
      </c>
      <c r="F920" s="3" t="str">
        <f>IFERROR(INDEX(Movimientos!$G$5:$G$2001,MATCH(A920&amp;"ENTRADA",Movimientos!$R$5:$R$2001,0)),"-")</f>
        <v>-</v>
      </c>
      <c r="G920" s="3" t="str">
        <f>IFERROR(INDEX(Movimientos!$L$5:$L$2001,MATCH(A920&amp;"ENTRADA",Movimientos!$R$5:$R$2001,0)),"-")</f>
        <v>-</v>
      </c>
      <c r="H920" s="19" t="str">
        <f>IFERROR(IF(INDEX(Movimientos!$M$5:$M$2001,MATCH(A920&amp;"ENTRADA",Movimientos!$R$5:$R$2001,0))=0,"S/D",INDEX(Movimientos!$M$5:$M$2001,MATCH(A920&amp;"ENTRADA",Movimientos!$R$5:$R$2001,0))),"S/D")</f>
        <v>S/D</v>
      </c>
      <c r="I920" s="16" t="str">
        <f t="shared" ca="1" si="30"/>
        <v>S/D</v>
      </c>
      <c r="J920" s="6">
        <f>IF(A920="","",SUMIFS(Movimientos!$K:$K,Movimientos!$H:$H,A920))</f>
        <v>0</v>
      </c>
      <c r="K920" s="14" t="str">
        <f t="shared" ca="1" si="31"/>
        <v>OK</v>
      </c>
    </row>
    <row r="921" spans="1:11">
      <c r="A921" s="18" t="s">
        <v>2982</v>
      </c>
      <c r="B921" s="3" t="str">
        <f>IFERROR(INDEX(Movimientos!$C$5:$C$2001,MATCH(A921&amp;"ENTRADA",Movimientos!$R$5:$R$2001,0)),"-")</f>
        <v>-</v>
      </c>
      <c r="C921" s="3" t="str">
        <f>IFERROR(INDEX(Movimientos!$D$5:$D$2001,MATCH(A921&amp;"ENTRADA",Movimientos!$R$5:$R$2001,0)),"-")</f>
        <v>-</v>
      </c>
      <c r="D921" s="3" t="str">
        <f>IFERROR(INDEX(Movimientos!$E$5:$E$2001,MATCH(A921&amp;"ENTRADA",Movimientos!$R$5:$R$2001,0)),"-")</f>
        <v>-</v>
      </c>
      <c r="E921" s="3" t="str">
        <f>IFERROR(INDEX(Movimientos!$F$5:$F$2001,MATCH(A921&amp;"ENTRADA",Movimientos!$R$5:$R$2001,0)),"-")</f>
        <v>-</v>
      </c>
      <c r="F921" s="3" t="str">
        <f>IFERROR(INDEX(Movimientos!$G$5:$G$2001,MATCH(A921&amp;"ENTRADA",Movimientos!$R$5:$R$2001,0)),"-")</f>
        <v>-</v>
      </c>
      <c r="G921" s="3" t="str">
        <f>IFERROR(INDEX(Movimientos!$L$5:$L$2001,MATCH(A921&amp;"ENTRADA",Movimientos!$R$5:$R$2001,0)),"-")</f>
        <v>-</v>
      </c>
      <c r="H921" s="19" t="str">
        <f>IFERROR(IF(INDEX(Movimientos!$M$5:$M$2001,MATCH(A921&amp;"ENTRADA",Movimientos!$R$5:$R$2001,0))=0,"S/D",INDEX(Movimientos!$M$5:$M$2001,MATCH(A921&amp;"ENTRADA",Movimientos!$R$5:$R$2001,0))),"S/D")</f>
        <v>S/D</v>
      </c>
      <c r="I921" s="16" t="str">
        <f t="shared" ca="1" si="30"/>
        <v>S/D</v>
      </c>
      <c r="J921" s="6">
        <f>IF(A921="","",SUMIFS(Movimientos!$K:$K,Movimientos!$H:$H,A921))</f>
        <v>0</v>
      </c>
      <c r="K921" s="14" t="str">
        <f t="shared" ca="1" si="31"/>
        <v>OK</v>
      </c>
    </row>
    <row r="922" spans="1:11">
      <c r="A922" s="18" t="s">
        <v>2983</v>
      </c>
      <c r="B922" s="3" t="str">
        <f>IFERROR(INDEX(Movimientos!$C$5:$C$2001,MATCH(A922&amp;"ENTRADA",Movimientos!$R$5:$R$2001,0)),"-")</f>
        <v>-</v>
      </c>
      <c r="C922" s="3" t="str">
        <f>IFERROR(INDEX(Movimientos!$D$5:$D$2001,MATCH(A922&amp;"ENTRADA",Movimientos!$R$5:$R$2001,0)),"-")</f>
        <v>-</v>
      </c>
      <c r="D922" s="3" t="str">
        <f>IFERROR(INDEX(Movimientos!$E$5:$E$2001,MATCH(A922&amp;"ENTRADA",Movimientos!$R$5:$R$2001,0)),"-")</f>
        <v>-</v>
      </c>
      <c r="E922" s="3" t="str">
        <f>IFERROR(INDEX(Movimientos!$F$5:$F$2001,MATCH(A922&amp;"ENTRADA",Movimientos!$R$5:$R$2001,0)),"-")</f>
        <v>-</v>
      </c>
      <c r="F922" s="3" t="str">
        <f>IFERROR(INDEX(Movimientos!$G$5:$G$2001,MATCH(A922&amp;"ENTRADA",Movimientos!$R$5:$R$2001,0)),"-")</f>
        <v>-</v>
      </c>
      <c r="G922" s="3" t="str">
        <f>IFERROR(INDEX(Movimientos!$L$5:$L$2001,MATCH(A922&amp;"ENTRADA",Movimientos!$R$5:$R$2001,0)),"-")</f>
        <v>-</v>
      </c>
      <c r="H922" s="19" t="str">
        <f>IFERROR(IF(INDEX(Movimientos!$M$5:$M$2001,MATCH(A922&amp;"ENTRADA",Movimientos!$R$5:$R$2001,0))=0,"S/D",INDEX(Movimientos!$M$5:$M$2001,MATCH(A922&amp;"ENTRADA",Movimientos!$R$5:$R$2001,0))),"S/D")</f>
        <v>S/D</v>
      </c>
      <c r="I922" s="16" t="str">
        <f t="shared" ca="1" si="30"/>
        <v>S/D</v>
      </c>
      <c r="J922" s="6">
        <f>IF(A922="","",SUMIFS(Movimientos!$K:$K,Movimientos!$H:$H,A922))</f>
        <v>0</v>
      </c>
      <c r="K922" s="14" t="str">
        <f t="shared" ca="1" si="31"/>
        <v>OK</v>
      </c>
    </row>
    <row r="923" spans="1:11">
      <c r="A923" s="18" t="s">
        <v>2984</v>
      </c>
      <c r="B923" s="3" t="str">
        <f>IFERROR(INDEX(Movimientos!$C$5:$C$2001,MATCH(A923&amp;"ENTRADA",Movimientos!$R$5:$R$2001,0)),"-")</f>
        <v>-</v>
      </c>
      <c r="C923" s="3" t="str">
        <f>IFERROR(INDEX(Movimientos!$D$5:$D$2001,MATCH(A923&amp;"ENTRADA",Movimientos!$R$5:$R$2001,0)),"-")</f>
        <v>-</v>
      </c>
      <c r="D923" s="3" t="str">
        <f>IFERROR(INDEX(Movimientos!$E$5:$E$2001,MATCH(A923&amp;"ENTRADA",Movimientos!$R$5:$R$2001,0)),"-")</f>
        <v>-</v>
      </c>
      <c r="E923" s="3" t="str">
        <f>IFERROR(INDEX(Movimientos!$F$5:$F$2001,MATCH(A923&amp;"ENTRADA",Movimientos!$R$5:$R$2001,0)),"-")</f>
        <v>-</v>
      </c>
      <c r="F923" s="3" t="str">
        <f>IFERROR(INDEX(Movimientos!$G$5:$G$2001,MATCH(A923&amp;"ENTRADA",Movimientos!$R$5:$R$2001,0)),"-")</f>
        <v>-</v>
      </c>
      <c r="G923" s="3" t="str">
        <f>IFERROR(INDEX(Movimientos!$L$5:$L$2001,MATCH(A923&amp;"ENTRADA",Movimientos!$R$5:$R$2001,0)),"-")</f>
        <v>-</v>
      </c>
      <c r="H923" s="19" t="str">
        <f>IFERROR(IF(INDEX(Movimientos!$M$5:$M$2001,MATCH(A923&amp;"ENTRADA",Movimientos!$R$5:$R$2001,0))=0,"S/D",INDEX(Movimientos!$M$5:$M$2001,MATCH(A923&amp;"ENTRADA",Movimientos!$R$5:$R$2001,0))),"S/D")</f>
        <v>S/D</v>
      </c>
      <c r="I923" s="16" t="str">
        <f t="shared" ca="1" si="30"/>
        <v>S/D</v>
      </c>
      <c r="J923" s="6">
        <f>IF(A923="","",SUMIFS(Movimientos!$K:$K,Movimientos!$H:$H,A923))</f>
        <v>0</v>
      </c>
      <c r="K923" s="14" t="str">
        <f t="shared" ca="1" si="31"/>
        <v>OK</v>
      </c>
    </row>
    <row r="924" spans="1:11">
      <c r="A924" s="18" t="s">
        <v>2985</v>
      </c>
      <c r="B924" s="3" t="str">
        <f>IFERROR(INDEX(Movimientos!$C$5:$C$2001,MATCH(A924&amp;"ENTRADA",Movimientos!$R$5:$R$2001,0)),"-")</f>
        <v>-</v>
      </c>
      <c r="C924" s="3" t="str">
        <f>IFERROR(INDEX(Movimientos!$D$5:$D$2001,MATCH(A924&amp;"ENTRADA",Movimientos!$R$5:$R$2001,0)),"-")</f>
        <v>-</v>
      </c>
      <c r="D924" s="3" t="str">
        <f>IFERROR(INDEX(Movimientos!$E$5:$E$2001,MATCH(A924&amp;"ENTRADA",Movimientos!$R$5:$R$2001,0)),"-")</f>
        <v>-</v>
      </c>
      <c r="E924" s="3" t="str">
        <f>IFERROR(INDEX(Movimientos!$F$5:$F$2001,MATCH(A924&amp;"ENTRADA",Movimientos!$R$5:$R$2001,0)),"-")</f>
        <v>-</v>
      </c>
      <c r="F924" s="3" t="str">
        <f>IFERROR(INDEX(Movimientos!$G$5:$G$2001,MATCH(A924&amp;"ENTRADA",Movimientos!$R$5:$R$2001,0)),"-")</f>
        <v>-</v>
      </c>
      <c r="G924" s="3" t="str">
        <f>IFERROR(INDEX(Movimientos!$L$5:$L$2001,MATCH(A924&amp;"ENTRADA",Movimientos!$R$5:$R$2001,0)),"-")</f>
        <v>-</v>
      </c>
      <c r="H924" s="19" t="str">
        <f>IFERROR(IF(INDEX(Movimientos!$M$5:$M$2001,MATCH(A924&amp;"ENTRADA",Movimientos!$R$5:$R$2001,0))=0,"S/D",INDEX(Movimientos!$M$5:$M$2001,MATCH(A924&amp;"ENTRADA",Movimientos!$R$5:$R$2001,0))),"S/D")</f>
        <v>S/D</v>
      </c>
      <c r="I924" s="16" t="str">
        <f t="shared" ca="1" si="30"/>
        <v>S/D</v>
      </c>
      <c r="J924" s="6">
        <f>IF(A924="","",SUMIFS(Movimientos!$K:$K,Movimientos!$H:$H,A924))</f>
        <v>0</v>
      </c>
      <c r="K924" s="14" t="str">
        <f t="shared" ca="1" si="31"/>
        <v>OK</v>
      </c>
    </row>
    <row r="925" spans="1:11">
      <c r="A925" s="18" t="s">
        <v>2986</v>
      </c>
      <c r="B925" s="3" t="str">
        <f>IFERROR(INDEX(Movimientos!$C$5:$C$2001,MATCH(A925&amp;"ENTRADA",Movimientos!$R$5:$R$2001,0)),"-")</f>
        <v>-</v>
      </c>
      <c r="C925" s="3" t="str">
        <f>IFERROR(INDEX(Movimientos!$D$5:$D$2001,MATCH(A925&amp;"ENTRADA",Movimientos!$R$5:$R$2001,0)),"-")</f>
        <v>-</v>
      </c>
      <c r="D925" s="3" t="str">
        <f>IFERROR(INDEX(Movimientos!$E$5:$E$2001,MATCH(A925&amp;"ENTRADA",Movimientos!$R$5:$R$2001,0)),"-")</f>
        <v>-</v>
      </c>
      <c r="E925" s="3" t="str">
        <f>IFERROR(INDEX(Movimientos!$F$5:$F$2001,MATCH(A925&amp;"ENTRADA",Movimientos!$R$5:$R$2001,0)),"-")</f>
        <v>-</v>
      </c>
      <c r="F925" s="3" t="str">
        <f>IFERROR(INDEX(Movimientos!$G$5:$G$2001,MATCH(A925&amp;"ENTRADA",Movimientos!$R$5:$R$2001,0)),"-")</f>
        <v>-</v>
      </c>
      <c r="G925" s="3" t="str">
        <f>IFERROR(INDEX(Movimientos!$L$5:$L$2001,MATCH(A925&amp;"ENTRADA",Movimientos!$R$5:$R$2001,0)),"-")</f>
        <v>-</v>
      </c>
      <c r="H925" s="19" t="str">
        <f>IFERROR(IF(INDEX(Movimientos!$M$5:$M$2001,MATCH(A925&amp;"ENTRADA",Movimientos!$R$5:$R$2001,0))=0,"S/D",INDEX(Movimientos!$M$5:$M$2001,MATCH(A925&amp;"ENTRADA",Movimientos!$R$5:$R$2001,0))),"S/D")</f>
        <v>S/D</v>
      </c>
      <c r="I925" s="16" t="str">
        <f t="shared" ca="1" si="30"/>
        <v>S/D</v>
      </c>
      <c r="J925" s="6">
        <f>IF(A925="","",SUMIFS(Movimientos!$K:$K,Movimientos!$H:$H,A925))</f>
        <v>0</v>
      </c>
      <c r="K925" s="14" t="str">
        <f t="shared" ca="1" si="31"/>
        <v>OK</v>
      </c>
    </row>
    <row r="926" spans="1:11">
      <c r="A926" s="18" t="s">
        <v>2987</v>
      </c>
      <c r="B926" s="3" t="str">
        <f>IFERROR(INDEX(Movimientos!$C$5:$C$2001,MATCH(A926&amp;"ENTRADA",Movimientos!$R$5:$R$2001,0)),"-")</f>
        <v>-</v>
      </c>
      <c r="C926" s="3" t="str">
        <f>IFERROR(INDEX(Movimientos!$D$5:$D$2001,MATCH(A926&amp;"ENTRADA",Movimientos!$R$5:$R$2001,0)),"-")</f>
        <v>-</v>
      </c>
      <c r="D926" s="3" t="str">
        <f>IFERROR(INDEX(Movimientos!$E$5:$E$2001,MATCH(A926&amp;"ENTRADA",Movimientos!$R$5:$R$2001,0)),"-")</f>
        <v>-</v>
      </c>
      <c r="E926" s="3" t="str">
        <f>IFERROR(INDEX(Movimientos!$F$5:$F$2001,MATCH(A926&amp;"ENTRADA",Movimientos!$R$5:$R$2001,0)),"-")</f>
        <v>-</v>
      </c>
      <c r="F926" s="3" t="str">
        <f>IFERROR(INDEX(Movimientos!$G$5:$G$2001,MATCH(A926&amp;"ENTRADA",Movimientos!$R$5:$R$2001,0)),"-")</f>
        <v>-</v>
      </c>
      <c r="G926" s="3" t="str">
        <f>IFERROR(INDEX(Movimientos!$L$5:$L$2001,MATCH(A926&amp;"ENTRADA",Movimientos!$R$5:$R$2001,0)),"-")</f>
        <v>-</v>
      </c>
      <c r="H926" s="19" t="str">
        <f>IFERROR(IF(INDEX(Movimientos!$M$5:$M$2001,MATCH(A926&amp;"ENTRADA",Movimientos!$R$5:$R$2001,0))=0,"S/D",INDEX(Movimientos!$M$5:$M$2001,MATCH(A926&amp;"ENTRADA",Movimientos!$R$5:$R$2001,0))),"S/D")</f>
        <v>S/D</v>
      </c>
      <c r="I926" s="16" t="str">
        <f t="shared" ca="1" si="30"/>
        <v>S/D</v>
      </c>
      <c r="J926" s="6">
        <f>IF(A926="","",SUMIFS(Movimientos!$K:$K,Movimientos!$H:$H,A926))</f>
        <v>0</v>
      </c>
      <c r="K926" s="14" t="str">
        <f t="shared" ca="1" si="31"/>
        <v>OK</v>
      </c>
    </row>
    <row r="927" spans="1:11">
      <c r="A927" s="18" t="s">
        <v>2988</v>
      </c>
      <c r="B927" s="3" t="str">
        <f>IFERROR(INDEX(Movimientos!$C$5:$C$2001,MATCH(A927&amp;"ENTRADA",Movimientos!$R$5:$R$2001,0)),"-")</f>
        <v>-</v>
      </c>
      <c r="C927" s="3" t="str">
        <f>IFERROR(INDEX(Movimientos!$D$5:$D$2001,MATCH(A927&amp;"ENTRADA",Movimientos!$R$5:$R$2001,0)),"-")</f>
        <v>-</v>
      </c>
      <c r="D927" s="3" t="str">
        <f>IFERROR(INDEX(Movimientos!$E$5:$E$2001,MATCH(A927&amp;"ENTRADA",Movimientos!$R$5:$R$2001,0)),"-")</f>
        <v>-</v>
      </c>
      <c r="E927" s="3" t="str">
        <f>IFERROR(INDEX(Movimientos!$F$5:$F$2001,MATCH(A927&amp;"ENTRADA",Movimientos!$R$5:$R$2001,0)),"-")</f>
        <v>-</v>
      </c>
      <c r="F927" s="3" t="str">
        <f>IFERROR(INDEX(Movimientos!$G$5:$G$2001,MATCH(A927&amp;"ENTRADA",Movimientos!$R$5:$R$2001,0)),"-")</f>
        <v>-</v>
      </c>
      <c r="G927" s="3" t="str">
        <f>IFERROR(INDEX(Movimientos!$L$5:$L$2001,MATCH(A927&amp;"ENTRADA",Movimientos!$R$5:$R$2001,0)),"-")</f>
        <v>-</v>
      </c>
      <c r="H927" s="19" t="str">
        <f>IFERROR(IF(INDEX(Movimientos!$M$5:$M$2001,MATCH(A927&amp;"ENTRADA",Movimientos!$R$5:$R$2001,0))=0,"S/D",INDEX(Movimientos!$M$5:$M$2001,MATCH(A927&amp;"ENTRADA",Movimientos!$R$5:$R$2001,0))),"S/D")</f>
        <v>S/D</v>
      </c>
      <c r="I927" s="16" t="str">
        <f t="shared" ca="1" si="30"/>
        <v>S/D</v>
      </c>
      <c r="J927" s="6">
        <f>IF(A927="","",SUMIFS(Movimientos!$K:$K,Movimientos!$H:$H,A927))</f>
        <v>0</v>
      </c>
      <c r="K927" s="14" t="str">
        <f t="shared" ca="1" si="31"/>
        <v>OK</v>
      </c>
    </row>
    <row r="928" spans="1:11">
      <c r="A928" s="18" t="s">
        <v>2989</v>
      </c>
      <c r="B928" s="3" t="str">
        <f>IFERROR(INDEX(Movimientos!$C$5:$C$2001,MATCH(A928&amp;"ENTRADA",Movimientos!$R$5:$R$2001,0)),"-")</f>
        <v>-</v>
      </c>
      <c r="C928" s="3" t="str">
        <f>IFERROR(INDEX(Movimientos!$D$5:$D$2001,MATCH(A928&amp;"ENTRADA",Movimientos!$R$5:$R$2001,0)),"-")</f>
        <v>-</v>
      </c>
      <c r="D928" s="3" t="str">
        <f>IFERROR(INDEX(Movimientos!$E$5:$E$2001,MATCH(A928&amp;"ENTRADA",Movimientos!$R$5:$R$2001,0)),"-")</f>
        <v>-</v>
      </c>
      <c r="E928" s="3" t="str">
        <f>IFERROR(INDEX(Movimientos!$F$5:$F$2001,MATCH(A928&amp;"ENTRADA",Movimientos!$R$5:$R$2001,0)),"-")</f>
        <v>-</v>
      </c>
      <c r="F928" s="3" t="str">
        <f>IFERROR(INDEX(Movimientos!$G$5:$G$2001,MATCH(A928&amp;"ENTRADA",Movimientos!$R$5:$R$2001,0)),"-")</f>
        <v>-</v>
      </c>
      <c r="G928" s="3" t="str">
        <f>IFERROR(INDEX(Movimientos!$L$5:$L$2001,MATCH(A928&amp;"ENTRADA",Movimientos!$R$5:$R$2001,0)),"-")</f>
        <v>-</v>
      </c>
      <c r="H928" s="19" t="str">
        <f>IFERROR(IF(INDEX(Movimientos!$M$5:$M$2001,MATCH(A928&amp;"ENTRADA",Movimientos!$R$5:$R$2001,0))=0,"S/D",INDEX(Movimientos!$M$5:$M$2001,MATCH(A928&amp;"ENTRADA",Movimientos!$R$5:$R$2001,0))),"S/D")</f>
        <v>S/D</v>
      </c>
      <c r="I928" s="16" t="str">
        <f t="shared" ca="1" si="30"/>
        <v>S/D</v>
      </c>
      <c r="J928" s="6">
        <f>IF(A928="","",SUMIFS(Movimientos!$K:$K,Movimientos!$H:$H,A928))</f>
        <v>0</v>
      </c>
      <c r="K928" s="14" t="str">
        <f t="shared" ca="1" si="31"/>
        <v>OK</v>
      </c>
    </row>
    <row r="929" spans="1:11">
      <c r="A929" s="18" t="s">
        <v>2990</v>
      </c>
      <c r="B929" s="3" t="str">
        <f>IFERROR(INDEX(Movimientos!$C$5:$C$2001,MATCH(A929&amp;"ENTRADA",Movimientos!$R$5:$R$2001,0)),"-")</f>
        <v>-</v>
      </c>
      <c r="C929" s="3" t="str">
        <f>IFERROR(INDEX(Movimientos!$D$5:$D$2001,MATCH(A929&amp;"ENTRADA",Movimientos!$R$5:$R$2001,0)),"-")</f>
        <v>-</v>
      </c>
      <c r="D929" s="3" t="str">
        <f>IFERROR(INDEX(Movimientos!$E$5:$E$2001,MATCH(A929&amp;"ENTRADA",Movimientos!$R$5:$R$2001,0)),"-")</f>
        <v>-</v>
      </c>
      <c r="E929" s="3" t="str">
        <f>IFERROR(INDEX(Movimientos!$F$5:$F$2001,MATCH(A929&amp;"ENTRADA",Movimientos!$R$5:$R$2001,0)),"-")</f>
        <v>-</v>
      </c>
      <c r="F929" s="3" t="str">
        <f>IFERROR(INDEX(Movimientos!$G$5:$G$2001,MATCH(A929&amp;"ENTRADA",Movimientos!$R$5:$R$2001,0)),"-")</f>
        <v>-</v>
      </c>
      <c r="G929" s="3" t="str">
        <f>IFERROR(INDEX(Movimientos!$L$5:$L$2001,MATCH(A929&amp;"ENTRADA",Movimientos!$R$5:$R$2001,0)),"-")</f>
        <v>-</v>
      </c>
      <c r="H929" s="19" t="str">
        <f>IFERROR(IF(INDEX(Movimientos!$M$5:$M$2001,MATCH(A929&amp;"ENTRADA",Movimientos!$R$5:$R$2001,0))=0,"S/D",INDEX(Movimientos!$M$5:$M$2001,MATCH(A929&amp;"ENTRADA",Movimientos!$R$5:$R$2001,0))),"S/D")</f>
        <v>S/D</v>
      </c>
      <c r="I929" s="16" t="str">
        <f t="shared" ca="1" si="30"/>
        <v>S/D</v>
      </c>
      <c r="J929" s="6">
        <f>IF(A929="","",SUMIFS(Movimientos!$K:$K,Movimientos!$H:$H,A929))</f>
        <v>0</v>
      </c>
      <c r="K929" s="14" t="str">
        <f t="shared" ca="1" si="31"/>
        <v>OK</v>
      </c>
    </row>
    <row r="930" spans="1:11">
      <c r="A930" s="18" t="s">
        <v>2991</v>
      </c>
      <c r="B930" s="3" t="str">
        <f>IFERROR(INDEX(Movimientos!$C$5:$C$2001,MATCH(A930&amp;"ENTRADA",Movimientos!$R$5:$R$2001,0)),"-")</f>
        <v>-</v>
      </c>
      <c r="C930" s="3" t="str">
        <f>IFERROR(INDEX(Movimientos!$D$5:$D$2001,MATCH(A930&amp;"ENTRADA",Movimientos!$R$5:$R$2001,0)),"-")</f>
        <v>-</v>
      </c>
      <c r="D930" s="3" t="str">
        <f>IFERROR(INDEX(Movimientos!$E$5:$E$2001,MATCH(A930&amp;"ENTRADA",Movimientos!$R$5:$R$2001,0)),"-")</f>
        <v>-</v>
      </c>
      <c r="E930" s="3" t="str">
        <f>IFERROR(INDEX(Movimientos!$F$5:$F$2001,MATCH(A930&amp;"ENTRADA",Movimientos!$R$5:$R$2001,0)),"-")</f>
        <v>-</v>
      </c>
      <c r="F930" s="3" t="str">
        <f>IFERROR(INDEX(Movimientos!$G$5:$G$2001,MATCH(A930&amp;"ENTRADA",Movimientos!$R$5:$R$2001,0)),"-")</f>
        <v>-</v>
      </c>
      <c r="G930" s="3" t="str">
        <f>IFERROR(INDEX(Movimientos!$L$5:$L$2001,MATCH(A930&amp;"ENTRADA",Movimientos!$R$5:$R$2001,0)),"-")</f>
        <v>-</v>
      </c>
      <c r="H930" s="19" t="str">
        <f>IFERROR(IF(INDEX(Movimientos!$M$5:$M$2001,MATCH(A930&amp;"ENTRADA",Movimientos!$R$5:$R$2001,0))=0,"S/D",INDEX(Movimientos!$M$5:$M$2001,MATCH(A930&amp;"ENTRADA",Movimientos!$R$5:$R$2001,0))),"S/D")</f>
        <v>S/D</v>
      </c>
      <c r="I930" s="16" t="str">
        <f t="shared" ca="1" si="30"/>
        <v>S/D</v>
      </c>
      <c r="J930" s="6">
        <f>IF(A930="","",SUMIFS(Movimientos!$K:$K,Movimientos!$H:$H,A930))</f>
        <v>0</v>
      </c>
      <c r="K930" s="14" t="str">
        <f t="shared" ca="1" si="31"/>
        <v>OK</v>
      </c>
    </row>
    <row r="931" spans="1:11">
      <c r="A931" s="18" t="s">
        <v>2992</v>
      </c>
      <c r="B931" s="3" t="str">
        <f>IFERROR(INDEX(Movimientos!$C$5:$C$2001,MATCH(A931&amp;"ENTRADA",Movimientos!$R$5:$R$2001,0)),"-")</f>
        <v>-</v>
      </c>
      <c r="C931" s="3" t="str">
        <f>IFERROR(INDEX(Movimientos!$D$5:$D$2001,MATCH(A931&amp;"ENTRADA",Movimientos!$R$5:$R$2001,0)),"-")</f>
        <v>-</v>
      </c>
      <c r="D931" s="3" t="str">
        <f>IFERROR(INDEX(Movimientos!$E$5:$E$2001,MATCH(A931&amp;"ENTRADA",Movimientos!$R$5:$R$2001,0)),"-")</f>
        <v>-</v>
      </c>
      <c r="E931" s="3" t="str">
        <f>IFERROR(INDEX(Movimientos!$F$5:$F$2001,MATCH(A931&amp;"ENTRADA",Movimientos!$R$5:$R$2001,0)),"-")</f>
        <v>-</v>
      </c>
      <c r="F931" s="3" t="str">
        <f>IFERROR(INDEX(Movimientos!$G$5:$G$2001,MATCH(A931&amp;"ENTRADA",Movimientos!$R$5:$R$2001,0)),"-")</f>
        <v>-</v>
      </c>
      <c r="G931" s="3" t="str">
        <f>IFERROR(INDEX(Movimientos!$L$5:$L$2001,MATCH(A931&amp;"ENTRADA",Movimientos!$R$5:$R$2001,0)),"-")</f>
        <v>-</v>
      </c>
      <c r="H931" s="19" t="str">
        <f>IFERROR(IF(INDEX(Movimientos!$M$5:$M$2001,MATCH(A931&amp;"ENTRADA",Movimientos!$R$5:$R$2001,0))=0,"S/D",INDEX(Movimientos!$M$5:$M$2001,MATCH(A931&amp;"ENTRADA",Movimientos!$R$5:$R$2001,0))),"S/D")</f>
        <v>S/D</v>
      </c>
      <c r="I931" s="16" t="str">
        <f t="shared" ca="1" si="30"/>
        <v>S/D</v>
      </c>
      <c r="J931" s="6">
        <f>IF(A931="","",SUMIFS(Movimientos!$K:$K,Movimientos!$H:$H,A931))</f>
        <v>0</v>
      </c>
      <c r="K931" s="14" t="str">
        <f t="shared" ca="1" si="31"/>
        <v>OK</v>
      </c>
    </row>
    <row r="932" spans="1:11">
      <c r="A932" s="18" t="s">
        <v>2993</v>
      </c>
      <c r="B932" s="3" t="str">
        <f>IFERROR(INDEX(Movimientos!$C$5:$C$2001,MATCH(A932&amp;"ENTRADA",Movimientos!$R$5:$R$2001,0)),"-")</f>
        <v>-</v>
      </c>
      <c r="C932" s="3" t="str">
        <f>IFERROR(INDEX(Movimientos!$D$5:$D$2001,MATCH(A932&amp;"ENTRADA",Movimientos!$R$5:$R$2001,0)),"-")</f>
        <v>-</v>
      </c>
      <c r="D932" s="3" t="str">
        <f>IFERROR(INDEX(Movimientos!$E$5:$E$2001,MATCH(A932&amp;"ENTRADA",Movimientos!$R$5:$R$2001,0)),"-")</f>
        <v>-</v>
      </c>
      <c r="E932" s="3" t="str">
        <f>IFERROR(INDEX(Movimientos!$F$5:$F$2001,MATCH(A932&amp;"ENTRADA",Movimientos!$R$5:$R$2001,0)),"-")</f>
        <v>-</v>
      </c>
      <c r="F932" s="3" t="str">
        <f>IFERROR(INDEX(Movimientos!$G$5:$G$2001,MATCH(A932&amp;"ENTRADA",Movimientos!$R$5:$R$2001,0)),"-")</f>
        <v>-</v>
      </c>
      <c r="G932" s="3" t="str">
        <f>IFERROR(INDEX(Movimientos!$L$5:$L$2001,MATCH(A932&amp;"ENTRADA",Movimientos!$R$5:$R$2001,0)),"-")</f>
        <v>-</v>
      </c>
      <c r="H932" s="19" t="str">
        <f>IFERROR(IF(INDEX(Movimientos!$M$5:$M$2001,MATCH(A932&amp;"ENTRADA",Movimientos!$R$5:$R$2001,0))=0,"S/D",INDEX(Movimientos!$M$5:$M$2001,MATCH(A932&amp;"ENTRADA",Movimientos!$R$5:$R$2001,0))),"S/D")</f>
        <v>S/D</v>
      </c>
      <c r="I932" s="16" t="str">
        <f t="shared" ca="1" si="30"/>
        <v>S/D</v>
      </c>
      <c r="J932" s="6">
        <f>IF(A932="","",SUMIFS(Movimientos!$K:$K,Movimientos!$H:$H,A932))</f>
        <v>0</v>
      </c>
      <c r="K932" s="14" t="str">
        <f t="shared" ca="1" si="31"/>
        <v>OK</v>
      </c>
    </row>
    <row r="933" spans="1:11">
      <c r="A933" s="18" t="s">
        <v>2994</v>
      </c>
      <c r="B933" s="3" t="str">
        <f>IFERROR(INDEX(Movimientos!$C$5:$C$2001,MATCH(A933&amp;"ENTRADA",Movimientos!$R$5:$R$2001,0)),"-")</f>
        <v>-</v>
      </c>
      <c r="C933" s="3" t="str">
        <f>IFERROR(INDEX(Movimientos!$D$5:$D$2001,MATCH(A933&amp;"ENTRADA",Movimientos!$R$5:$R$2001,0)),"-")</f>
        <v>-</v>
      </c>
      <c r="D933" s="3" t="str">
        <f>IFERROR(INDEX(Movimientos!$E$5:$E$2001,MATCH(A933&amp;"ENTRADA",Movimientos!$R$5:$R$2001,0)),"-")</f>
        <v>-</v>
      </c>
      <c r="E933" s="3" t="str">
        <f>IFERROR(INDEX(Movimientos!$F$5:$F$2001,MATCH(A933&amp;"ENTRADA",Movimientos!$R$5:$R$2001,0)),"-")</f>
        <v>-</v>
      </c>
      <c r="F933" s="3" t="str">
        <f>IFERROR(INDEX(Movimientos!$G$5:$G$2001,MATCH(A933&amp;"ENTRADA",Movimientos!$R$5:$R$2001,0)),"-")</f>
        <v>-</v>
      </c>
      <c r="G933" s="3" t="str">
        <f>IFERROR(INDEX(Movimientos!$L$5:$L$2001,MATCH(A933&amp;"ENTRADA",Movimientos!$R$5:$R$2001,0)),"-")</f>
        <v>-</v>
      </c>
      <c r="H933" s="19" t="str">
        <f>IFERROR(IF(INDEX(Movimientos!$M$5:$M$2001,MATCH(A933&amp;"ENTRADA",Movimientos!$R$5:$R$2001,0))=0,"S/D",INDEX(Movimientos!$M$5:$M$2001,MATCH(A933&amp;"ENTRADA",Movimientos!$R$5:$R$2001,0))),"S/D")</f>
        <v>S/D</v>
      </c>
      <c r="I933" s="16" t="str">
        <f t="shared" ca="1" si="30"/>
        <v>S/D</v>
      </c>
      <c r="J933" s="6">
        <f>IF(A933="","",SUMIFS(Movimientos!$K:$K,Movimientos!$H:$H,A933))</f>
        <v>0</v>
      </c>
      <c r="K933" s="14" t="str">
        <f t="shared" ca="1" si="31"/>
        <v>OK</v>
      </c>
    </row>
    <row r="934" spans="1:11">
      <c r="A934" s="18" t="s">
        <v>2995</v>
      </c>
      <c r="B934" s="3" t="str">
        <f>IFERROR(INDEX(Movimientos!$C$5:$C$2001,MATCH(A934&amp;"ENTRADA",Movimientos!$R$5:$R$2001,0)),"-")</f>
        <v>-</v>
      </c>
      <c r="C934" s="3" t="str">
        <f>IFERROR(INDEX(Movimientos!$D$5:$D$2001,MATCH(A934&amp;"ENTRADA",Movimientos!$R$5:$R$2001,0)),"-")</f>
        <v>-</v>
      </c>
      <c r="D934" s="3" t="str">
        <f>IFERROR(INDEX(Movimientos!$E$5:$E$2001,MATCH(A934&amp;"ENTRADA",Movimientos!$R$5:$R$2001,0)),"-")</f>
        <v>-</v>
      </c>
      <c r="E934" s="3" t="str">
        <f>IFERROR(INDEX(Movimientos!$F$5:$F$2001,MATCH(A934&amp;"ENTRADA",Movimientos!$R$5:$R$2001,0)),"-")</f>
        <v>-</v>
      </c>
      <c r="F934" s="3" t="str">
        <f>IFERROR(INDEX(Movimientos!$G$5:$G$2001,MATCH(A934&amp;"ENTRADA",Movimientos!$R$5:$R$2001,0)),"-")</f>
        <v>-</v>
      </c>
      <c r="G934" s="3" t="str">
        <f>IFERROR(INDEX(Movimientos!$L$5:$L$2001,MATCH(A934&amp;"ENTRADA",Movimientos!$R$5:$R$2001,0)),"-")</f>
        <v>-</v>
      </c>
      <c r="H934" s="19" t="str">
        <f>IFERROR(IF(INDEX(Movimientos!$M$5:$M$2001,MATCH(A934&amp;"ENTRADA",Movimientos!$R$5:$R$2001,0))=0,"S/D",INDEX(Movimientos!$M$5:$M$2001,MATCH(A934&amp;"ENTRADA",Movimientos!$R$5:$R$2001,0))),"S/D")</f>
        <v>S/D</v>
      </c>
      <c r="I934" s="16" t="str">
        <f t="shared" ca="1" si="30"/>
        <v>S/D</v>
      </c>
      <c r="J934" s="6">
        <f>IF(A934="","",SUMIFS(Movimientos!$K:$K,Movimientos!$H:$H,A934))</f>
        <v>0</v>
      </c>
      <c r="K934" s="14" t="str">
        <f t="shared" ca="1" si="31"/>
        <v>OK</v>
      </c>
    </row>
    <row r="935" spans="1:11">
      <c r="A935" s="18" t="s">
        <v>2996</v>
      </c>
      <c r="B935" s="3" t="str">
        <f>IFERROR(INDEX(Movimientos!$C$5:$C$2001,MATCH(A935&amp;"ENTRADA",Movimientos!$R$5:$R$2001,0)),"-")</f>
        <v>-</v>
      </c>
      <c r="C935" s="3" t="str">
        <f>IFERROR(INDEX(Movimientos!$D$5:$D$2001,MATCH(A935&amp;"ENTRADA",Movimientos!$R$5:$R$2001,0)),"-")</f>
        <v>-</v>
      </c>
      <c r="D935" s="3" t="str">
        <f>IFERROR(INDEX(Movimientos!$E$5:$E$2001,MATCH(A935&amp;"ENTRADA",Movimientos!$R$5:$R$2001,0)),"-")</f>
        <v>-</v>
      </c>
      <c r="E935" s="3" t="str">
        <f>IFERROR(INDEX(Movimientos!$F$5:$F$2001,MATCH(A935&amp;"ENTRADA",Movimientos!$R$5:$R$2001,0)),"-")</f>
        <v>-</v>
      </c>
      <c r="F935" s="3" t="str">
        <f>IFERROR(INDEX(Movimientos!$G$5:$G$2001,MATCH(A935&amp;"ENTRADA",Movimientos!$R$5:$R$2001,0)),"-")</f>
        <v>-</v>
      </c>
      <c r="G935" s="3" t="str">
        <f>IFERROR(INDEX(Movimientos!$L$5:$L$2001,MATCH(A935&amp;"ENTRADA",Movimientos!$R$5:$R$2001,0)),"-")</f>
        <v>-</v>
      </c>
      <c r="H935" s="19" t="str">
        <f>IFERROR(IF(INDEX(Movimientos!$M$5:$M$2001,MATCH(A935&amp;"ENTRADA",Movimientos!$R$5:$R$2001,0))=0,"S/D",INDEX(Movimientos!$M$5:$M$2001,MATCH(A935&amp;"ENTRADA",Movimientos!$R$5:$R$2001,0))),"S/D")</f>
        <v>S/D</v>
      </c>
      <c r="I935" s="16" t="str">
        <f t="shared" ca="1" si="30"/>
        <v>S/D</v>
      </c>
      <c r="J935" s="6">
        <f>IF(A935="","",SUMIFS(Movimientos!$K:$K,Movimientos!$H:$H,A935))</f>
        <v>0</v>
      </c>
      <c r="K935" s="14" t="str">
        <f t="shared" ca="1" si="31"/>
        <v>OK</v>
      </c>
    </row>
    <row r="936" spans="1:11">
      <c r="A936" s="18" t="s">
        <v>2997</v>
      </c>
      <c r="B936" s="3" t="str">
        <f>IFERROR(INDEX(Movimientos!$C$5:$C$2001,MATCH(A936&amp;"ENTRADA",Movimientos!$R$5:$R$2001,0)),"-")</f>
        <v>-</v>
      </c>
      <c r="C936" s="3" t="str">
        <f>IFERROR(INDEX(Movimientos!$D$5:$D$2001,MATCH(A936&amp;"ENTRADA",Movimientos!$R$5:$R$2001,0)),"-")</f>
        <v>-</v>
      </c>
      <c r="D936" s="3" t="str">
        <f>IFERROR(INDEX(Movimientos!$E$5:$E$2001,MATCH(A936&amp;"ENTRADA",Movimientos!$R$5:$R$2001,0)),"-")</f>
        <v>-</v>
      </c>
      <c r="E936" s="3" t="str">
        <f>IFERROR(INDEX(Movimientos!$F$5:$F$2001,MATCH(A936&amp;"ENTRADA",Movimientos!$R$5:$R$2001,0)),"-")</f>
        <v>-</v>
      </c>
      <c r="F936" s="3" t="str">
        <f>IFERROR(INDEX(Movimientos!$G$5:$G$2001,MATCH(A936&amp;"ENTRADA",Movimientos!$R$5:$R$2001,0)),"-")</f>
        <v>-</v>
      </c>
      <c r="G936" s="3" t="str">
        <f>IFERROR(INDEX(Movimientos!$L$5:$L$2001,MATCH(A936&amp;"ENTRADA",Movimientos!$R$5:$R$2001,0)),"-")</f>
        <v>-</v>
      </c>
      <c r="H936" s="19" t="str">
        <f>IFERROR(IF(INDEX(Movimientos!$M$5:$M$2001,MATCH(A936&amp;"ENTRADA",Movimientos!$R$5:$R$2001,0))=0,"S/D",INDEX(Movimientos!$M$5:$M$2001,MATCH(A936&amp;"ENTRADA",Movimientos!$R$5:$R$2001,0))),"S/D")</f>
        <v>S/D</v>
      </c>
      <c r="I936" s="16" t="str">
        <f t="shared" ca="1" si="30"/>
        <v>S/D</v>
      </c>
      <c r="J936" s="6">
        <f>IF(A936="","",SUMIFS(Movimientos!$K:$K,Movimientos!$H:$H,A936))</f>
        <v>0</v>
      </c>
      <c r="K936" s="14" t="str">
        <f t="shared" ca="1" si="31"/>
        <v>OK</v>
      </c>
    </row>
    <row r="937" spans="1:11">
      <c r="A937" s="18" t="s">
        <v>2998</v>
      </c>
      <c r="B937" s="3" t="str">
        <f>IFERROR(INDEX(Movimientos!$C$5:$C$2001,MATCH(A937&amp;"ENTRADA",Movimientos!$R$5:$R$2001,0)),"-")</f>
        <v>-</v>
      </c>
      <c r="C937" s="3" t="str">
        <f>IFERROR(INDEX(Movimientos!$D$5:$D$2001,MATCH(A937&amp;"ENTRADA",Movimientos!$R$5:$R$2001,0)),"-")</f>
        <v>-</v>
      </c>
      <c r="D937" s="3" t="str">
        <f>IFERROR(INDEX(Movimientos!$E$5:$E$2001,MATCH(A937&amp;"ENTRADA",Movimientos!$R$5:$R$2001,0)),"-")</f>
        <v>-</v>
      </c>
      <c r="E937" s="3" t="str">
        <f>IFERROR(INDEX(Movimientos!$F$5:$F$2001,MATCH(A937&amp;"ENTRADA",Movimientos!$R$5:$R$2001,0)),"-")</f>
        <v>-</v>
      </c>
      <c r="F937" s="3" t="str">
        <f>IFERROR(INDEX(Movimientos!$G$5:$G$2001,MATCH(A937&amp;"ENTRADA",Movimientos!$R$5:$R$2001,0)),"-")</f>
        <v>-</v>
      </c>
      <c r="G937" s="3" t="str">
        <f>IFERROR(INDEX(Movimientos!$L$5:$L$2001,MATCH(A937&amp;"ENTRADA",Movimientos!$R$5:$R$2001,0)),"-")</f>
        <v>-</v>
      </c>
      <c r="H937" s="19" t="str">
        <f>IFERROR(IF(INDEX(Movimientos!$M$5:$M$2001,MATCH(A937&amp;"ENTRADA",Movimientos!$R$5:$R$2001,0))=0,"S/D",INDEX(Movimientos!$M$5:$M$2001,MATCH(A937&amp;"ENTRADA",Movimientos!$R$5:$R$2001,0))),"S/D")</f>
        <v>S/D</v>
      </c>
      <c r="I937" s="16" t="str">
        <f t="shared" ca="1" si="30"/>
        <v>S/D</v>
      </c>
      <c r="J937" s="6">
        <f>IF(A937="","",SUMIFS(Movimientos!$K:$K,Movimientos!$H:$H,A937))</f>
        <v>0</v>
      </c>
      <c r="K937" s="14" t="str">
        <f t="shared" ca="1" si="31"/>
        <v>OK</v>
      </c>
    </row>
    <row r="938" spans="1:11">
      <c r="A938" s="18" t="s">
        <v>2999</v>
      </c>
      <c r="B938" s="3" t="str">
        <f>IFERROR(INDEX(Movimientos!$C$5:$C$2001,MATCH(A938&amp;"ENTRADA",Movimientos!$R$5:$R$2001,0)),"-")</f>
        <v>-</v>
      </c>
      <c r="C938" s="3" t="str">
        <f>IFERROR(INDEX(Movimientos!$D$5:$D$2001,MATCH(A938&amp;"ENTRADA",Movimientos!$R$5:$R$2001,0)),"-")</f>
        <v>-</v>
      </c>
      <c r="D938" s="3" t="str">
        <f>IFERROR(INDEX(Movimientos!$E$5:$E$2001,MATCH(A938&amp;"ENTRADA",Movimientos!$R$5:$R$2001,0)),"-")</f>
        <v>-</v>
      </c>
      <c r="E938" s="3" t="str">
        <f>IFERROR(INDEX(Movimientos!$F$5:$F$2001,MATCH(A938&amp;"ENTRADA",Movimientos!$R$5:$R$2001,0)),"-")</f>
        <v>-</v>
      </c>
      <c r="F938" s="3" t="str">
        <f>IFERROR(INDEX(Movimientos!$G$5:$G$2001,MATCH(A938&amp;"ENTRADA",Movimientos!$R$5:$R$2001,0)),"-")</f>
        <v>-</v>
      </c>
      <c r="G938" s="3" t="str">
        <f>IFERROR(INDEX(Movimientos!$L$5:$L$2001,MATCH(A938&amp;"ENTRADA",Movimientos!$R$5:$R$2001,0)),"-")</f>
        <v>-</v>
      </c>
      <c r="H938" s="19" t="str">
        <f>IFERROR(IF(INDEX(Movimientos!$M$5:$M$2001,MATCH(A938&amp;"ENTRADA",Movimientos!$R$5:$R$2001,0))=0,"S/D",INDEX(Movimientos!$M$5:$M$2001,MATCH(A938&amp;"ENTRADA",Movimientos!$R$5:$R$2001,0))),"S/D")</f>
        <v>S/D</v>
      </c>
      <c r="I938" s="16" t="str">
        <f t="shared" ca="1" si="30"/>
        <v>S/D</v>
      </c>
      <c r="J938" s="6">
        <f>IF(A938="","",SUMIFS(Movimientos!$K:$K,Movimientos!$H:$H,A938))</f>
        <v>0</v>
      </c>
      <c r="K938" s="14" t="str">
        <f t="shared" ca="1" si="31"/>
        <v>OK</v>
      </c>
    </row>
    <row r="939" spans="1:11">
      <c r="A939" s="18" t="s">
        <v>3000</v>
      </c>
      <c r="B939" s="3" t="str">
        <f>IFERROR(INDEX(Movimientos!$C$5:$C$2001,MATCH(A939&amp;"ENTRADA",Movimientos!$R$5:$R$2001,0)),"-")</f>
        <v>-</v>
      </c>
      <c r="C939" s="3" t="str">
        <f>IFERROR(INDEX(Movimientos!$D$5:$D$2001,MATCH(A939&amp;"ENTRADA",Movimientos!$R$5:$R$2001,0)),"-")</f>
        <v>-</v>
      </c>
      <c r="D939" s="3" t="str">
        <f>IFERROR(INDEX(Movimientos!$E$5:$E$2001,MATCH(A939&amp;"ENTRADA",Movimientos!$R$5:$R$2001,0)),"-")</f>
        <v>-</v>
      </c>
      <c r="E939" s="3" t="str">
        <f>IFERROR(INDEX(Movimientos!$F$5:$F$2001,MATCH(A939&amp;"ENTRADA",Movimientos!$R$5:$R$2001,0)),"-")</f>
        <v>-</v>
      </c>
      <c r="F939" s="3" t="str">
        <f>IFERROR(INDEX(Movimientos!$G$5:$G$2001,MATCH(A939&amp;"ENTRADA",Movimientos!$R$5:$R$2001,0)),"-")</f>
        <v>-</v>
      </c>
      <c r="G939" s="3" t="str">
        <f>IFERROR(INDEX(Movimientos!$L$5:$L$2001,MATCH(A939&amp;"ENTRADA",Movimientos!$R$5:$R$2001,0)),"-")</f>
        <v>-</v>
      </c>
      <c r="H939" s="19" t="str">
        <f>IFERROR(IF(INDEX(Movimientos!$M$5:$M$2001,MATCH(A939&amp;"ENTRADA",Movimientos!$R$5:$R$2001,0))=0,"S/D",INDEX(Movimientos!$M$5:$M$2001,MATCH(A939&amp;"ENTRADA",Movimientos!$R$5:$R$2001,0))),"S/D")</f>
        <v>S/D</v>
      </c>
      <c r="I939" s="16" t="str">
        <f t="shared" ca="1" si="30"/>
        <v>S/D</v>
      </c>
      <c r="J939" s="6">
        <f>IF(A939="","",SUMIFS(Movimientos!$K:$K,Movimientos!$H:$H,A939))</f>
        <v>0</v>
      </c>
      <c r="K939" s="14" t="str">
        <f t="shared" ca="1" si="31"/>
        <v>OK</v>
      </c>
    </row>
    <row r="940" spans="1:11">
      <c r="A940" s="18" t="s">
        <v>3001</v>
      </c>
      <c r="B940" s="3" t="str">
        <f>IFERROR(INDEX(Movimientos!$C$5:$C$2001,MATCH(A940&amp;"ENTRADA",Movimientos!$R$5:$R$2001,0)),"-")</f>
        <v>-</v>
      </c>
      <c r="C940" s="3" t="str">
        <f>IFERROR(INDEX(Movimientos!$D$5:$D$2001,MATCH(A940&amp;"ENTRADA",Movimientos!$R$5:$R$2001,0)),"-")</f>
        <v>-</v>
      </c>
      <c r="D940" s="3" t="str">
        <f>IFERROR(INDEX(Movimientos!$E$5:$E$2001,MATCH(A940&amp;"ENTRADA",Movimientos!$R$5:$R$2001,0)),"-")</f>
        <v>-</v>
      </c>
      <c r="E940" s="3" t="str">
        <f>IFERROR(INDEX(Movimientos!$F$5:$F$2001,MATCH(A940&amp;"ENTRADA",Movimientos!$R$5:$R$2001,0)),"-")</f>
        <v>-</v>
      </c>
      <c r="F940" s="3" t="str">
        <f>IFERROR(INDEX(Movimientos!$G$5:$G$2001,MATCH(A940&amp;"ENTRADA",Movimientos!$R$5:$R$2001,0)),"-")</f>
        <v>-</v>
      </c>
      <c r="G940" s="3" t="str">
        <f>IFERROR(INDEX(Movimientos!$L$5:$L$2001,MATCH(A940&amp;"ENTRADA",Movimientos!$R$5:$R$2001,0)),"-")</f>
        <v>-</v>
      </c>
      <c r="H940" s="19" t="str">
        <f>IFERROR(IF(INDEX(Movimientos!$M$5:$M$2001,MATCH(A940&amp;"ENTRADA",Movimientos!$R$5:$R$2001,0))=0,"S/D",INDEX(Movimientos!$M$5:$M$2001,MATCH(A940&amp;"ENTRADA",Movimientos!$R$5:$R$2001,0))),"S/D")</f>
        <v>S/D</v>
      </c>
      <c r="I940" s="16" t="str">
        <f t="shared" ca="1" si="30"/>
        <v>S/D</v>
      </c>
      <c r="J940" s="6">
        <f>IF(A940="","",SUMIFS(Movimientos!$K:$K,Movimientos!$H:$H,A940))</f>
        <v>0</v>
      </c>
      <c r="K940" s="14" t="str">
        <f t="shared" ca="1" si="31"/>
        <v>OK</v>
      </c>
    </row>
    <row r="941" spans="1:11">
      <c r="A941" s="18" t="s">
        <v>3002</v>
      </c>
      <c r="B941" s="3" t="str">
        <f>IFERROR(INDEX(Movimientos!$C$5:$C$2001,MATCH(A941&amp;"ENTRADA",Movimientos!$R$5:$R$2001,0)),"-")</f>
        <v>-</v>
      </c>
      <c r="C941" s="3" t="str">
        <f>IFERROR(INDEX(Movimientos!$D$5:$D$2001,MATCH(A941&amp;"ENTRADA",Movimientos!$R$5:$R$2001,0)),"-")</f>
        <v>-</v>
      </c>
      <c r="D941" s="3" t="str">
        <f>IFERROR(INDEX(Movimientos!$E$5:$E$2001,MATCH(A941&amp;"ENTRADA",Movimientos!$R$5:$R$2001,0)),"-")</f>
        <v>-</v>
      </c>
      <c r="E941" s="3" t="str">
        <f>IFERROR(INDEX(Movimientos!$F$5:$F$2001,MATCH(A941&amp;"ENTRADA",Movimientos!$R$5:$R$2001,0)),"-")</f>
        <v>-</v>
      </c>
      <c r="F941" s="3" t="str">
        <f>IFERROR(INDEX(Movimientos!$G$5:$G$2001,MATCH(A941&amp;"ENTRADA",Movimientos!$R$5:$R$2001,0)),"-")</f>
        <v>-</v>
      </c>
      <c r="G941" s="3" t="str">
        <f>IFERROR(INDEX(Movimientos!$L$5:$L$2001,MATCH(A941&amp;"ENTRADA",Movimientos!$R$5:$R$2001,0)),"-")</f>
        <v>-</v>
      </c>
      <c r="H941" s="19" t="str">
        <f>IFERROR(IF(INDEX(Movimientos!$M$5:$M$2001,MATCH(A941&amp;"ENTRADA",Movimientos!$R$5:$R$2001,0))=0,"S/D",INDEX(Movimientos!$M$5:$M$2001,MATCH(A941&amp;"ENTRADA",Movimientos!$R$5:$R$2001,0))),"S/D")</f>
        <v>S/D</v>
      </c>
      <c r="I941" s="16" t="str">
        <f t="shared" ca="1" si="30"/>
        <v>S/D</v>
      </c>
      <c r="J941" s="6">
        <f>IF(A941="","",SUMIFS(Movimientos!$K:$K,Movimientos!$H:$H,A941))</f>
        <v>0</v>
      </c>
      <c r="K941" s="14" t="str">
        <f t="shared" ca="1" si="31"/>
        <v>OK</v>
      </c>
    </row>
    <row r="942" spans="1:11">
      <c r="A942" s="18" t="s">
        <v>3003</v>
      </c>
      <c r="B942" s="3" t="str">
        <f>IFERROR(INDEX(Movimientos!$C$5:$C$2001,MATCH(A942&amp;"ENTRADA",Movimientos!$R$5:$R$2001,0)),"-")</f>
        <v>-</v>
      </c>
      <c r="C942" s="3" t="str">
        <f>IFERROR(INDEX(Movimientos!$D$5:$D$2001,MATCH(A942&amp;"ENTRADA",Movimientos!$R$5:$R$2001,0)),"-")</f>
        <v>-</v>
      </c>
      <c r="D942" s="3" t="str">
        <f>IFERROR(INDEX(Movimientos!$E$5:$E$2001,MATCH(A942&amp;"ENTRADA",Movimientos!$R$5:$R$2001,0)),"-")</f>
        <v>-</v>
      </c>
      <c r="E942" s="3" t="str">
        <f>IFERROR(INDEX(Movimientos!$F$5:$F$2001,MATCH(A942&amp;"ENTRADA",Movimientos!$R$5:$R$2001,0)),"-")</f>
        <v>-</v>
      </c>
      <c r="F942" s="3" t="str">
        <f>IFERROR(INDEX(Movimientos!$G$5:$G$2001,MATCH(A942&amp;"ENTRADA",Movimientos!$R$5:$R$2001,0)),"-")</f>
        <v>-</v>
      </c>
      <c r="G942" s="3" t="str">
        <f>IFERROR(INDEX(Movimientos!$L$5:$L$2001,MATCH(A942&amp;"ENTRADA",Movimientos!$R$5:$R$2001,0)),"-")</f>
        <v>-</v>
      </c>
      <c r="H942" s="19" t="str">
        <f>IFERROR(IF(INDEX(Movimientos!$M$5:$M$2001,MATCH(A942&amp;"ENTRADA",Movimientos!$R$5:$R$2001,0))=0,"S/D",INDEX(Movimientos!$M$5:$M$2001,MATCH(A942&amp;"ENTRADA",Movimientos!$R$5:$R$2001,0))),"S/D")</f>
        <v>S/D</v>
      </c>
      <c r="I942" s="16" t="str">
        <f t="shared" ca="1" si="30"/>
        <v>S/D</v>
      </c>
      <c r="J942" s="6">
        <f>IF(A942="","",SUMIFS(Movimientos!$K:$K,Movimientos!$H:$H,A942))</f>
        <v>0</v>
      </c>
      <c r="K942" s="14" t="str">
        <f t="shared" ca="1" si="31"/>
        <v>OK</v>
      </c>
    </row>
    <row r="943" spans="1:11">
      <c r="A943" s="18" t="s">
        <v>3004</v>
      </c>
      <c r="B943" s="3" t="str">
        <f>IFERROR(INDEX(Movimientos!$C$5:$C$2001,MATCH(A943&amp;"ENTRADA",Movimientos!$R$5:$R$2001,0)),"-")</f>
        <v>-</v>
      </c>
      <c r="C943" s="3" t="str">
        <f>IFERROR(INDEX(Movimientos!$D$5:$D$2001,MATCH(A943&amp;"ENTRADA",Movimientos!$R$5:$R$2001,0)),"-")</f>
        <v>-</v>
      </c>
      <c r="D943" s="3" t="str">
        <f>IFERROR(INDEX(Movimientos!$E$5:$E$2001,MATCH(A943&amp;"ENTRADA",Movimientos!$R$5:$R$2001,0)),"-")</f>
        <v>-</v>
      </c>
      <c r="E943" s="3" t="str">
        <f>IFERROR(INDEX(Movimientos!$F$5:$F$2001,MATCH(A943&amp;"ENTRADA",Movimientos!$R$5:$R$2001,0)),"-")</f>
        <v>-</v>
      </c>
      <c r="F943" s="3" t="str">
        <f>IFERROR(INDEX(Movimientos!$G$5:$G$2001,MATCH(A943&amp;"ENTRADA",Movimientos!$R$5:$R$2001,0)),"-")</f>
        <v>-</v>
      </c>
      <c r="G943" s="3" t="str">
        <f>IFERROR(INDEX(Movimientos!$L$5:$L$2001,MATCH(A943&amp;"ENTRADA",Movimientos!$R$5:$R$2001,0)),"-")</f>
        <v>-</v>
      </c>
      <c r="H943" s="19" t="str">
        <f>IFERROR(IF(INDEX(Movimientos!$M$5:$M$2001,MATCH(A943&amp;"ENTRADA",Movimientos!$R$5:$R$2001,0))=0,"S/D",INDEX(Movimientos!$M$5:$M$2001,MATCH(A943&amp;"ENTRADA",Movimientos!$R$5:$R$2001,0))),"S/D")</f>
        <v>S/D</v>
      </c>
      <c r="I943" s="16" t="str">
        <f t="shared" ca="1" si="30"/>
        <v>S/D</v>
      </c>
      <c r="J943" s="6">
        <f>IF(A943="","",SUMIFS(Movimientos!$K:$K,Movimientos!$H:$H,A943))</f>
        <v>0</v>
      </c>
      <c r="K943" s="14" t="str">
        <f t="shared" ca="1" si="31"/>
        <v>OK</v>
      </c>
    </row>
    <row r="944" spans="1:11">
      <c r="A944" s="18" t="s">
        <v>3005</v>
      </c>
      <c r="B944" s="3" t="str">
        <f>IFERROR(INDEX(Movimientos!$C$5:$C$2001,MATCH(A944&amp;"ENTRADA",Movimientos!$R$5:$R$2001,0)),"-")</f>
        <v>-</v>
      </c>
      <c r="C944" s="3" t="str">
        <f>IFERROR(INDEX(Movimientos!$D$5:$D$2001,MATCH(A944&amp;"ENTRADA",Movimientos!$R$5:$R$2001,0)),"-")</f>
        <v>-</v>
      </c>
      <c r="D944" s="3" t="str">
        <f>IFERROR(INDEX(Movimientos!$E$5:$E$2001,MATCH(A944&amp;"ENTRADA",Movimientos!$R$5:$R$2001,0)),"-")</f>
        <v>-</v>
      </c>
      <c r="E944" s="3" t="str">
        <f>IFERROR(INDEX(Movimientos!$F$5:$F$2001,MATCH(A944&amp;"ENTRADA",Movimientos!$R$5:$R$2001,0)),"-")</f>
        <v>-</v>
      </c>
      <c r="F944" s="3" t="str">
        <f>IFERROR(INDEX(Movimientos!$G$5:$G$2001,MATCH(A944&amp;"ENTRADA",Movimientos!$R$5:$R$2001,0)),"-")</f>
        <v>-</v>
      </c>
      <c r="G944" s="3" t="str">
        <f>IFERROR(INDEX(Movimientos!$L$5:$L$2001,MATCH(A944&amp;"ENTRADA",Movimientos!$R$5:$R$2001,0)),"-")</f>
        <v>-</v>
      </c>
      <c r="H944" s="19" t="str">
        <f>IFERROR(IF(INDEX(Movimientos!$M$5:$M$2001,MATCH(A944&amp;"ENTRADA",Movimientos!$R$5:$R$2001,0))=0,"S/D",INDEX(Movimientos!$M$5:$M$2001,MATCH(A944&amp;"ENTRADA",Movimientos!$R$5:$R$2001,0))),"S/D")</f>
        <v>S/D</v>
      </c>
      <c r="I944" s="16" t="str">
        <f t="shared" ca="1" si="30"/>
        <v>S/D</v>
      </c>
      <c r="J944" s="6">
        <f>IF(A944="","",SUMIFS(Movimientos!$K:$K,Movimientos!$H:$H,A944))</f>
        <v>0</v>
      </c>
      <c r="K944" s="14" t="str">
        <f t="shared" ca="1" si="31"/>
        <v>OK</v>
      </c>
    </row>
    <row r="945" spans="1:11">
      <c r="A945" s="18" t="s">
        <v>3006</v>
      </c>
      <c r="B945" s="3" t="str">
        <f>IFERROR(INDEX(Movimientos!$C$5:$C$2001,MATCH(A945&amp;"ENTRADA",Movimientos!$R$5:$R$2001,0)),"-")</f>
        <v>-</v>
      </c>
      <c r="C945" s="3" t="str">
        <f>IFERROR(INDEX(Movimientos!$D$5:$D$2001,MATCH(A945&amp;"ENTRADA",Movimientos!$R$5:$R$2001,0)),"-")</f>
        <v>-</v>
      </c>
      <c r="D945" s="3" t="str">
        <f>IFERROR(INDEX(Movimientos!$E$5:$E$2001,MATCH(A945&amp;"ENTRADA",Movimientos!$R$5:$R$2001,0)),"-")</f>
        <v>-</v>
      </c>
      <c r="E945" s="3" t="str">
        <f>IFERROR(INDEX(Movimientos!$F$5:$F$2001,MATCH(A945&amp;"ENTRADA",Movimientos!$R$5:$R$2001,0)),"-")</f>
        <v>-</v>
      </c>
      <c r="F945" s="3" t="str">
        <f>IFERROR(INDEX(Movimientos!$G$5:$G$2001,MATCH(A945&amp;"ENTRADA",Movimientos!$R$5:$R$2001,0)),"-")</f>
        <v>-</v>
      </c>
      <c r="G945" s="3" t="str">
        <f>IFERROR(INDEX(Movimientos!$L$5:$L$2001,MATCH(A945&amp;"ENTRADA",Movimientos!$R$5:$R$2001,0)),"-")</f>
        <v>-</v>
      </c>
      <c r="H945" s="19" t="str">
        <f>IFERROR(IF(INDEX(Movimientos!$M$5:$M$2001,MATCH(A945&amp;"ENTRADA",Movimientos!$R$5:$R$2001,0))=0,"S/D",INDEX(Movimientos!$M$5:$M$2001,MATCH(A945&amp;"ENTRADA",Movimientos!$R$5:$R$2001,0))),"S/D")</f>
        <v>S/D</v>
      </c>
      <c r="I945" s="16" t="str">
        <f t="shared" ca="1" si="30"/>
        <v>S/D</v>
      </c>
      <c r="J945" s="6">
        <f>IF(A945="","",SUMIFS(Movimientos!$K:$K,Movimientos!$H:$H,A945))</f>
        <v>0</v>
      </c>
      <c r="K945" s="14" t="str">
        <f t="shared" ca="1" si="31"/>
        <v>OK</v>
      </c>
    </row>
    <row r="946" spans="1:11">
      <c r="A946" s="18" t="s">
        <v>3007</v>
      </c>
      <c r="B946" s="3" t="str">
        <f>IFERROR(INDEX(Movimientos!$C$5:$C$2001,MATCH(A946&amp;"ENTRADA",Movimientos!$R$5:$R$2001,0)),"-")</f>
        <v>-</v>
      </c>
      <c r="C946" s="3" t="str">
        <f>IFERROR(INDEX(Movimientos!$D$5:$D$2001,MATCH(A946&amp;"ENTRADA",Movimientos!$R$5:$R$2001,0)),"-")</f>
        <v>-</v>
      </c>
      <c r="D946" s="3" t="str">
        <f>IFERROR(INDEX(Movimientos!$E$5:$E$2001,MATCH(A946&amp;"ENTRADA",Movimientos!$R$5:$R$2001,0)),"-")</f>
        <v>-</v>
      </c>
      <c r="E946" s="3" t="str">
        <f>IFERROR(INDEX(Movimientos!$F$5:$F$2001,MATCH(A946&amp;"ENTRADA",Movimientos!$R$5:$R$2001,0)),"-")</f>
        <v>-</v>
      </c>
      <c r="F946" s="3" t="str">
        <f>IFERROR(INDEX(Movimientos!$G$5:$G$2001,MATCH(A946&amp;"ENTRADA",Movimientos!$R$5:$R$2001,0)),"-")</f>
        <v>-</v>
      </c>
      <c r="G946" s="3" t="str">
        <f>IFERROR(INDEX(Movimientos!$L$5:$L$2001,MATCH(A946&amp;"ENTRADA",Movimientos!$R$5:$R$2001,0)),"-")</f>
        <v>-</v>
      </c>
      <c r="H946" s="19" t="str">
        <f>IFERROR(IF(INDEX(Movimientos!$M$5:$M$2001,MATCH(A946&amp;"ENTRADA",Movimientos!$R$5:$R$2001,0))=0,"S/D",INDEX(Movimientos!$M$5:$M$2001,MATCH(A946&amp;"ENTRADA",Movimientos!$R$5:$R$2001,0))),"S/D")</f>
        <v>S/D</v>
      </c>
      <c r="I946" s="16" t="str">
        <f t="shared" ca="1" si="30"/>
        <v>S/D</v>
      </c>
      <c r="J946" s="6">
        <f>IF(A946="","",SUMIFS(Movimientos!$K:$K,Movimientos!$H:$H,A946))</f>
        <v>0</v>
      </c>
      <c r="K946" s="14" t="str">
        <f t="shared" ca="1" si="31"/>
        <v>OK</v>
      </c>
    </row>
    <row r="947" spans="1:11">
      <c r="A947" s="18" t="s">
        <v>3008</v>
      </c>
      <c r="B947" s="3" t="str">
        <f>IFERROR(INDEX(Movimientos!$C$5:$C$2001,MATCH(A947&amp;"ENTRADA",Movimientos!$R$5:$R$2001,0)),"-")</f>
        <v>-</v>
      </c>
      <c r="C947" s="3" t="str">
        <f>IFERROR(INDEX(Movimientos!$D$5:$D$2001,MATCH(A947&amp;"ENTRADA",Movimientos!$R$5:$R$2001,0)),"-")</f>
        <v>-</v>
      </c>
      <c r="D947" s="3" t="str">
        <f>IFERROR(INDEX(Movimientos!$E$5:$E$2001,MATCH(A947&amp;"ENTRADA",Movimientos!$R$5:$R$2001,0)),"-")</f>
        <v>-</v>
      </c>
      <c r="E947" s="3" t="str">
        <f>IFERROR(INDEX(Movimientos!$F$5:$F$2001,MATCH(A947&amp;"ENTRADA",Movimientos!$R$5:$R$2001,0)),"-")</f>
        <v>-</v>
      </c>
      <c r="F947" s="3" t="str">
        <f>IFERROR(INDEX(Movimientos!$G$5:$G$2001,MATCH(A947&amp;"ENTRADA",Movimientos!$R$5:$R$2001,0)),"-")</f>
        <v>-</v>
      </c>
      <c r="G947" s="3" t="str">
        <f>IFERROR(INDEX(Movimientos!$L$5:$L$2001,MATCH(A947&amp;"ENTRADA",Movimientos!$R$5:$R$2001,0)),"-")</f>
        <v>-</v>
      </c>
      <c r="H947" s="19" t="str">
        <f>IFERROR(IF(INDEX(Movimientos!$M$5:$M$2001,MATCH(A947&amp;"ENTRADA",Movimientos!$R$5:$R$2001,0))=0,"S/D",INDEX(Movimientos!$M$5:$M$2001,MATCH(A947&amp;"ENTRADA",Movimientos!$R$5:$R$2001,0))),"S/D")</f>
        <v>S/D</v>
      </c>
      <c r="I947" s="16" t="str">
        <f t="shared" ca="1" si="30"/>
        <v>S/D</v>
      </c>
      <c r="J947" s="6">
        <f>IF(A947="","",SUMIFS(Movimientos!$K:$K,Movimientos!$H:$H,A947))</f>
        <v>0</v>
      </c>
      <c r="K947" s="14" t="str">
        <f t="shared" ca="1" si="31"/>
        <v>OK</v>
      </c>
    </row>
    <row r="948" spans="1:11">
      <c r="A948" s="18" t="s">
        <v>3009</v>
      </c>
      <c r="B948" s="3" t="str">
        <f>IFERROR(INDEX(Movimientos!$C$5:$C$2001,MATCH(A948&amp;"ENTRADA",Movimientos!$R$5:$R$2001,0)),"-")</f>
        <v>-</v>
      </c>
      <c r="C948" s="3" t="str">
        <f>IFERROR(INDEX(Movimientos!$D$5:$D$2001,MATCH(A948&amp;"ENTRADA",Movimientos!$R$5:$R$2001,0)),"-")</f>
        <v>-</v>
      </c>
      <c r="D948" s="3" t="str">
        <f>IFERROR(INDEX(Movimientos!$E$5:$E$2001,MATCH(A948&amp;"ENTRADA",Movimientos!$R$5:$R$2001,0)),"-")</f>
        <v>-</v>
      </c>
      <c r="E948" s="3" t="str">
        <f>IFERROR(INDEX(Movimientos!$F$5:$F$2001,MATCH(A948&amp;"ENTRADA",Movimientos!$R$5:$R$2001,0)),"-")</f>
        <v>-</v>
      </c>
      <c r="F948" s="3" t="str">
        <f>IFERROR(INDEX(Movimientos!$G$5:$G$2001,MATCH(A948&amp;"ENTRADA",Movimientos!$R$5:$R$2001,0)),"-")</f>
        <v>-</v>
      </c>
      <c r="G948" s="3" t="str">
        <f>IFERROR(INDEX(Movimientos!$L$5:$L$2001,MATCH(A948&amp;"ENTRADA",Movimientos!$R$5:$R$2001,0)),"-")</f>
        <v>-</v>
      </c>
      <c r="H948" s="19" t="str">
        <f>IFERROR(IF(INDEX(Movimientos!$M$5:$M$2001,MATCH(A948&amp;"ENTRADA",Movimientos!$R$5:$R$2001,0))=0,"S/D",INDEX(Movimientos!$M$5:$M$2001,MATCH(A948&amp;"ENTRADA",Movimientos!$R$5:$R$2001,0))),"S/D")</f>
        <v>S/D</v>
      </c>
      <c r="I948" s="16" t="str">
        <f t="shared" ca="1" si="30"/>
        <v>S/D</v>
      </c>
      <c r="J948" s="6">
        <f>IF(A948="","",SUMIFS(Movimientos!$K:$K,Movimientos!$H:$H,A948))</f>
        <v>0</v>
      </c>
      <c r="K948" s="14" t="str">
        <f t="shared" ca="1" si="31"/>
        <v>OK</v>
      </c>
    </row>
    <row r="949" spans="1:11">
      <c r="A949" s="18" t="s">
        <v>3010</v>
      </c>
      <c r="B949" s="3" t="str">
        <f>IFERROR(INDEX(Movimientos!$C$5:$C$2001,MATCH(A949&amp;"ENTRADA",Movimientos!$R$5:$R$2001,0)),"-")</f>
        <v>-</v>
      </c>
      <c r="C949" s="3" t="str">
        <f>IFERROR(INDEX(Movimientos!$D$5:$D$2001,MATCH(A949&amp;"ENTRADA",Movimientos!$R$5:$R$2001,0)),"-")</f>
        <v>-</v>
      </c>
      <c r="D949" s="3" t="str">
        <f>IFERROR(INDEX(Movimientos!$E$5:$E$2001,MATCH(A949&amp;"ENTRADA",Movimientos!$R$5:$R$2001,0)),"-")</f>
        <v>-</v>
      </c>
      <c r="E949" s="3" t="str">
        <f>IFERROR(INDEX(Movimientos!$F$5:$F$2001,MATCH(A949&amp;"ENTRADA",Movimientos!$R$5:$R$2001,0)),"-")</f>
        <v>-</v>
      </c>
      <c r="F949" s="3" t="str">
        <f>IFERROR(INDEX(Movimientos!$G$5:$G$2001,MATCH(A949&amp;"ENTRADA",Movimientos!$R$5:$R$2001,0)),"-")</f>
        <v>-</v>
      </c>
      <c r="G949" s="3" t="str">
        <f>IFERROR(INDEX(Movimientos!$L$5:$L$2001,MATCH(A949&amp;"ENTRADA",Movimientos!$R$5:$R$2001,0)),"-")</f>
        <v>-</v>
      </c>
      <c r="H949" s="19" t="str">
        <f>IFERROR(IF(INDEX(Movimientos!$M$5:$M$2001,MATCH(A949&amp;"ENTRADA",Movimientos!$R$5:$R$2001,0))=0,"S/D",INDEX(Movimientos!$M$5:$M$2001,MATCH(A949&amp;"ENTRADA",Movimientos!$R$5:$R$2001,0))),"S/D")</f>
        <v>S/D</v>
      </c>
      <c r="I949" s="16" t="str">
        <f t="shared" ca="1" si="30"/>
        <v>S/D</v>
      </c>
      <c r="J949" s="6">
        <f>IF(A949="","",SUMIFS(Movimientos!$K:$K,Movimientos!$H:$H,A949))</f>
        <v>0</v>
      </c>
      <c r="K949" s="14" t="str">
        <f t="shared" ca="1" si="31"/>
        <v>OK</v>
      </c>
    </row>
    <row r="950" spans="1:11">
      <c r="A950" s="18" t="s">
        <v>3011</v>
      </c>
      <c r="B950" s="3" t="str">
        <f>IFERROR(INDEX(Movimientos!$C$5:$C$2001,MATCH(A950&amp;"ENTRADA",Movimientos!$R$5:$R$2001,0)),"-")</f>
        <v>-</v>
      </c>
      <c r="C950" s="3" t="str">
        <f>IFERROR(INDEX(Movimientos!$D$5:$D$2001,MATCH(A950&amp;"ENTRADA",Movimientos!$R$5:$R$2001,0)),"-")</f>
        <v>-</v>
      </c>
      <c r="D950" s="3" t="str">
        <f>IFERROR(INDEX(Movimientos!$E$5:$E$2001,MATCH(A950&amp;"ENTRADA",Movimientos!$R$5:$R$2001,0)),"-")</f>
        <v>-</v>
      </c>
      <c r="E950" s="3" t="str">
        <f>IFERROR(INDEX(Movimientos!$F$5:$F$2001,MATCH(A950&amp;"ENTRADA",Movimientos!$R$5:$R$2001,0)),"-")</f>
        <v>-</v>
      </c>
      <c r="F950" s="3" t="str">
        <f>IFERROR(INDEX(Movimientos!$G$5:$G$2001,MATCH(A950&amp;"ENTRADA",Movimientos!$R$5:$R$2001,0)),"-")</f>
        <v>-</v>
      </c>
      <c r="G950" s="3" t="str">
        <f>IFERROR(INDEX(Movimientos!$L$5:$L$2001,MATCH(A950&amp;"ENTRADA",Movimientos!$R$5:$R$2001,0)),"-")</f>
        <v>-</v>
      </c>
      <c r="H950" s="19" t="str">
        <f>IFERROR(IF(INDEX(Movimientos!$M$5:$M$2001,MATCH(A950&amp;"ENTRADA",Movimientos!$R$5:$R$2001,0))=0,"S/D",INDEX(Movimientos!$M$5:$M$2001,MATCH(A950&amp;"ENTRADA",Movimientos!$R$5:$R$2001,0))),"S/D")</f>
        <v>S/D</v>
      </c>
      <c r="I950" s="16" t="str">
        <f t="shared" ca="1" si="30"/>
        <v>S/D</v>
      </c>
      <c r="J950" s="6">
        <f>IF(A950="","",SUMIFS(Movimientos!$K:$K,Movimientos!$H:$H,A950))</f>
        <v>0</v>
      </c>
      <c r="K950" s="14" t="str">
        <f t="shared" ca="1" si="31"/>
        <v>OK</v>
      </c>
    </row>
    <row r="951" spans="1:11">
      <c r="A951" s="18" t="s">
        <v>3012</v>
      </c>
      <c r="B951" s="3" t="str">
        <f>IFERROR(INDEX(Movimientos!$C$5:$C$2001,MATCH(A951&amp;"ENTRADA",Movimientos!$R$5:$R$2001,0)),"-")</f>
        <v>-</v>
      </c>
      <c r="C951" s="3" t="str">
        <f>IFERROR(INDEX(Movimientos!$D$5:$D$2001,MATCH(A951&amp;"ENTRADA",Movimientos!$R$5:$R$2001,0)),"-")</f>
        <v>-</v>
      </c>
      <c r="D951" s="3" t="str">
        <f>IFERROR(INDEX(Movimientos!$E$5:$E$2001,MATCH(A951&amp;"ENTRADA",Movimientos!$R$5:$R$2001,0)),"-")</f>
        <v>-</v>
      </c>
      <c r="E951" s="3" t="str">
        <f>IFERROR(INDEX(Movimientos!$F$5:$F$2001,MATCH(A951&amp;"ENTRADA",Movimientos!$R$5:$R$2001,0)),"-")</f>
        <v>-</v>
      </c>
      <c r="F951" s="3" t="str">
        <f>IFERROR(INDEX(Movimientos!$G$5:$G$2001,MATCH(A951&amp;"ENTRADA",Movimientos!$R$5:$R$2001,0)),"-")</f>
        <v>-</v>
      </c>
      <c r="G951" s="3" t="str">
        <f>IFERROR(INDEX(Movimientos!$L$5:$L$2001,MATCH(A951&amp;"ENTRADA",Movimientos!$R$5:$R$2001,0)),"-")</f>
        <v>-</v>
      </c>
      <c r="H951" s="19" t="str">
        <f>IFERROR(IF(INDEX(Movimientos!$M$5:$M$2001,MATCH(A951&amp;"ENTRADA",Movimientos!$R$5:$R$2001,0))=0,"S/D",INDEX(Movimientos!$M$5:$M$2001,MATCH(A951&amp;"ENTRADA",Movimientos!$R$5:$R$2001,0))),"S/D")</f>
        <v>S/D</v>
      </c>
      <c r="I951" s="16" t="str">
        <f t="shared" ca="1" si="30"/>
        <v>S/D</v>
      </c>
      <c r="J951" s="6">
        <f>IF(A951="","",SUMIFS(Movimientos!$K:$K,Movimientos!$H:$H,A951))</f>
        <v>0</v>
      </c>
      <c r="K951" s="14" t="str">
        <f t="shared" ca="1" si="31"/>
        <v>OK</v>
      </c>
    </row>
    <row r="952" spans="1:11">
      <c r="A952" s="18" t="s">
        <v>3013</v>
      </c>
      <c r="B952" s="3" t="str">
        <f>IFERROR(INDEX(Movimientos!$C$5:$C$2001,MATCH(A952&amp;"ENTRADA",Movimientos!$R$5:$R$2001,0)),"-")</f>
        <v>-</v>
      </c>
      <c r="C952" s="3" t="str">
        <f>IFERROR(INDEX(Movimientos!$D$5:$D$2001,MATCH(A952&amp;"ENTRADA",Movimientos!$R$5:$R$2001,0)),"-")</f>
        <v>-</v>
      </c>
      <c r="D952" s="3" t="str">
        <f>IFERROR(INDEX(Movimientos!$E$5:$E$2001,MATCH(A952&amp;"ENTRADA",Movimientos!$R$5:$R$2001,0)),"-")</f>
        <v>-</v>
      </c>
      <c r="E952" s="3" t="str">
        <f>IFERROR(INDEX(Movimientos!$F$5:$F$2001,MATCH(A952&amp;"ENTRADA",Movimientos!$R$5:$R$2001,0)),"-")</f>
        <v>-</v>
      </c>
      <c r="F952" s="3" t="str">
        <f>IFERROR(INDEX(Movimientos!$G$5:$G$2001,MATCH(A952&amp;"ENTRADA",Movimientos!$R$5:$R$2001,0)),"-")</f>
        <v>-</v>
      </c>
      <c r="G952" s="3" t="str">
        <f>IFERROR(INDEX(Movimientos!$L$5:$L$2001,MATCH(A952&amp;"ENTRADA",Movimientos!$R$5:$R$2001,0)),"-")</f>
        <v>-</v>
      </c>
      <c r="H952" s="19" t="str">
        <f>IFERROR(IF(INDEX(Movimientos!$M$5:$M$2001,MATCH(A952&amp;"ENTRADA",Movimientos!$R$5:$R$2001,0))=0,"S/D",INDEX(Movimientos!$M$5:$M$2001,MATCH(A952&amp;"ENTRADA",Movimientos!$R$5:$R$2001,0))),"S/D")</f>
        <v>S/D</v>
      </c>
      <c r="I952" s="16" t="str">
        <f t="shared" ca="1" si="30"/>
        <v>S/D</v>
      </c>
      <c r="J952" s="6">
        <f>IF(A952="","",SUMIFS(Movimientos!$K:$K,Movimientos!$H:$H,A952))</f>
        <v>0</v>
      </c>
      <c r="K952" s="14" t="str">
        <f t="shared" ca="1" si="31"/>
        <v>OK</v>
      </c>
    </row>
    <row r="953" spans="1:11">
      <c r="A953" s="18" t="s">
        <v>3014</v>
      </c>
      <c r="B953" s="3" t="str">
        <f>IFERROR(INDEX(Movimientos!$C$5:$C$2001,MATCH(A953&amp;"ENTRADA",Movimientos!$R$5:$R$2001,0)),"-")</f>
        <v>-</v>
      </c>
      <c r="C953" s="3" t="str">
        <f>IFERROR(INDEX(Movimientos!$D$5:$D$2001,MATCH(A953&amp;"ENTRADA",Movimientos!$R$5:$R$2001,0)),"-")</f>
        <v>-</v>
      </c>
      <c r="D953" s="3" t="str">
        <f>IFERROR(INDEX(Movimientos!$E$5:$E$2001,MATCH(A953&amp;"ENTRADA",Movimientos!$R$5:$R$2001,0)),"-")</f>
        <v>-</v>
      </c>
      <c r="E953" s="3" t="str">
        <f>IFERROR(INDEX(Movimientos!$F$5:$F$2001,MATCH(A953&amp;"ENTRADA",Movimientos!$R$5:$R$2001,0)),"-")</f>
        <v>-</v>
      </c>
      <c r="F953" s="3" t="str">
        <f>IFERROR(INDEX(Movimientos!$G$5:$G$2001,MATCH(A953&amp;"ENTRADA",Movimientos!$R$5:$R$2001,0)),"-")</f>
        <v>-</v>
      </c>
      <c r="G953" s="3" t="str">
        <f>IFERROR(INDEX(Movimientos!$L$5:$L$2001,MATCH(A953&amp;"ENTRADA",Movimientos!$R$5:$R$2001,0)),"-")</f>
        <v>-</v>
      </c>
      <c r="H953" s="19" t="str">
        <f>IFERROR(IF(INDEX(Movimientos!$M$5:$M$2001,MATCH(A953&amp;"ENTRADA",Movimientos!$R$5:$R$2001,0))=0,"S/D",INDEX(Movimientos!$M$5:$M$2001,MATCH(A953&amp;"ENTRADA",Movimientos!$R$5:$R$2001,0))),"S/D")</f>
        <v>S/D</v>
      </c>
      <c r="I953" s="16" t="str">
        <f t="shared" ca="1" si="30"/>
        <v>S/D</v>
      </c>
      <c r="J953" s="6">
        <f>IF(A953="","",SUMIFS(Movimientos!$K:$K,Movimientos!$H:$H,A953))</f>
        <v>0</v>
      </c>
      <c r="K953" s="14" t="str">
        <f t="shared" ca="1" si="31"/>
        <v>OK</v>
      </c>
    </row>
    <row r="954" spans="1:11">
      <c r="A954" s="18" t="s">
        <v>3015</v>
      </c>
      <c r="B954" s="3" t="str">
        <f>IFERROR(INDEX(Movimientos!$C$5:$C$2001,MATCH(A954&amp;"ENTRADA",Movimientos!$R$5:$R$2001,0)),"-")</f>
        <v>-</v>
      </c>
      <c r="C954" s="3" t="str">
        <f>IFERROR(INDEX(Movimientos!$D$5:$D$2001,MATCH(A954&amp;"ENTRADA",Movimientos!$R$5:$R$2001,0)),"-")</f>
        <v>-</v>
      </c>
      <c r="D954" s="3" t="str">
        <f>IFERROR(INDEX(Movimientos!$E$5:$E$2001,MATCH(A954&amp;"ENTRADA",Movimientos!$R$5:$R$2001,0)),"-")</f>
        <v>-</v>
      </c>
      <c r="E954" s="3" t="str">
        <f>IFERROR(INDEX(Movimientos!$F$5:$F$2001,MATCH(A954&amp;"ENTRADA",Movimientos!$R$5:$R$2001,0)),"-")</f>
        <v>-</v>
      </c>
      <c r="F954" s="3" t="str">
        <f>IFERROR(INDEX(Movimientos!$G$5:$G$2001,MATCH(A954&amp;"ENTRADA",Movimientos!$R$5:$R$2001,0)),"-")</f>
        <v>-</v>
      </c>
      <c r="G954" s="3" t="str">
        <f>IFERROR(INDEX(Movimientos!$L$5:$L$2001,MATCH(A954&amp;"ENTRADA",Movimientos!$R$5:$R$2001,0)),"-")</f>
        <v>-</v>
      </c>
      <c r="H954" s="19" t="str">
        <f>IFERROR(IF(INDEX(Movimientos!$M$5:$M$2001,MATCH(A954&amp;"ENTRADA",Movimientos!$R$5:$R$2001,0))=0,"S/D",INDEX(Movimientos!$M$5:$M$2001,MATCH(A954&amp;"ENTRADA",Movimientos!$R$5:$R$2001,0))),"S/D")</f>
        <v>S/D</v>
      </c>
      <c r="I954" s="16" t="str">
        <f t="shared" ca="1" si="30"/>
        <v>S/D</v>
      </c>
      <c r="J954" s="6">
        <f>IF(A954="","",SUMIFS(Movimientos!$K:$K,Movimientos!$H:$H,A954))</f>
        <v>0</v>
      </c>
      <c r="K954" s="14" t="str">
        <f t="shared" ca="1" si="31"/>
        <v>OK</v>
      </c>
    </row>
    <row r="955" spans="1:11">
      <c r="A955" s="18" t="s">
        <v>3016</v>
      </c>
      <c r="B955" s="3" t="str">
        <f>IFERROR(INDEX(Movimientos!$C$5:$C$2001,MATCH(A955&amp;"ENTRADA",Movimientos!$R$5:$R$2001,0)),"-")</f>
        <v>-</v>
      </c>
      <c r="C955" s="3" t="str">
        <f>IFERROR(INDEX(Movimientos!$D$5:$D$2001,MATCH(A955&amp;"ENTRADA",Movimientos!$R$5:$R$2001,0)),"-")</f>
        <v>-</v>
      </c>
      <c r="D955" s="3" t="str">
        <f>IFERROR(INDEX(Movimientos!$E$5:$E$2001,MATCH(A955&amp;"ENTRADA",Movimientos!$R$5:$R$2001,0)),"-")</f>
        <v>-</v>
      </c>
      <c r="E955" s="3" t="str">
        <f>IFERROR(INDEX(Movimientos!$F$5:$F$2001,MATCH(A955&amp;"ENTRADA",Movimientos!$R$5:$R$2001,0)),"-")</f>
        <v>-</v>
      </c>
      <c r="F955" s="3" t="str">
        <f>IFERROR(INDEX(Movimientos!$G$5:$G$2001,MATCH(A955&amp;"ENTRADA",Movimientos!$R$5:$R$2001,0)),"-")</f>
        <v>-</v>
      </c>
      <c r="G955" s="3" t="str">
        <f>IFERROR(INDEX(Movimientos!$L$5:$L$2001,MATCH(A955&amp;"ENTRADA",Movimientos!$R$5:$R$2001,0)),"-")</f>
        <v>-</v>
      </c>
      <c r="H955" s="19" t="str">
        <f>IFERROR(IF(INDEX(Movimientos!$M$5:$M$2001,MATCH(A955&amp;"ENTRADA",Movimientos!$R$5:$R$2001,0))=0,"S/D",INDEX(Movimientos!$M$5:$M$2001,MATCH(A955&amp;"ENTRADA",Movimientos!$R$5:$R$2001,0))),"S/D")</f>
        <v>S/D</v>
      </c>
      <c r="I955" s="16" t="str">
        <f t="shared" ca="1" si="30"/>
        <v>S/D</v>
      </c>
      <c r="J955" s="6">
        <f>IF(A955="","",SUMIFS(Movimientos!$K:$K,Movimientos!$H:$H,A955))</f>
        <v>0</v>
      </c>
      <c r="K955" s="14" t="str">
        <f t="shared" ca="1" si="31"/>
        <v>OK</v>
      </c>
    </row>
    <row r="956" spans="1:11">
      <c r="A956" s="18" t="s">
        <v>3017</v>
      </c>
      <c r="B956" s="3" t="str">
        <f>IFERROR(INDEX(Movimientos!$C$5:$C$2001,MATCH(A956&amp;"ENTRADA",Movimientos!$R$5:$R$2001,0)),"-")</f>
        <v>-</v>
      </c>
      <c r="C956" s="3" t="str">
        <f>IFERROR(INDEX(Movimientos!$D$5:$D$2001,MATCH(A956&amp;"ENTRADA",Movimientos!$R$5:$R$2001,0)),"-")</f>
        <v>-</v>
      </c>
      <c r="D956" s="3" t="str">
        <f>IFERROR(INDEX(Movimientos!$E$5:$E$2001,MATCH(A956&amp;"ENTRADA",Movimientos!$R$5:$R$2001,0)),"-")</f>
        <v>-</v>
      </c>
      <c r="E956" s="3" t="str">
        <f>IFERROR(INDEX(Movimientos!$F$5:$F$2001,MATCH(A956&amp;"ENTRADA",Movimientos!$R$5:$R$2001,0)),"-")</f>
        <v>-</v>
      </c>
      <c r="F956" s="3" t="str">
        <f>IFERROR(INDEX(Movimientos!$G$5:$G$2001,MATCH(A956&amp;"ENTRADA",Movimientos!$R$5:$R$2001,0)),"-")</f>
        <v>-</v>
      </c>
      <c r="G956" s="3" t="str">
        <f>IFERROR(INDEX(Movimientos!$L$5:$L$2001,MATCH(A956&amp;"ENTRADA",Movimientos!$R$5:$R$2001,0)),"-")</f>
        <v>-</v>
      </c>
      <c r="H956" s="19" t="str">
        <f>IFERROR(IF(INDEX(Movimientos!$M$5:$M$2001,MATCH(A956&amp;"ENTRADA",Movimientos!$R$5:$R$2001,0))=0,"S/D",INDEX(Movimientos!$M$5:$M$2001,MATCH(A956&amp;"ENTRADA",Movimientos!$R$5:$R$2001,0))),"S/D")</f>
        <v>S/D</v>
      </c>
      <c r="I956" s="16" t="str">
        <f t="shared" ca="1" si="30"/>
        <v>S/D</v>
      </c>
      <c r="J956" s="6">
        <f>IF(A956="","",SUMIFS(Movimientos!$K:$K,Movimientos!$H:$H,A956))</f>
        <v>0</v>
      </c>
      <c r="K956" s="14" t="str">
        <f t="shared" ca="1" si="31"/>
        <v>OK</v>
      </c>
    </row>
    <row r="957" spans="1:11">
      <c r="A957" s="18" t="s">
        <v>3018</v>
      </c>
      <c r="B957" s="3" t="str">
        <f>IFERROR(INDEX(Movimientos!$C$5:$C$2001,MATCH(A957&amp;"ENTRADA",Movimientos!$R$5:$R$2001,0)),"-")</f>
        <v>-</v>
      </c>
      <c r="C957" s="3" t="str">
        <f>IFERROR(INDEX(Movimientos!$D$5:$D$2001,MATCH(A957&amp;"ENTRADA",Movimientos!$R$5:$R$2001,0)),"-")</f>
        <v>-</v>
      </c>
      <c r="D957" s="3" t="str">
        <f>IFERROR(INDEX(Movimientos!$E$5:$E$2001,MATCH(A957&amp;"ENTRADA",Movimientos!$R$5:$R$2001,0)),"-")</f>
        <v>-</v>
      </c>
      <c r="E957" s="3" t="str">
        <f>IFERROR(INDEX(Movimientos!$F$5:$F$2001,MATCH(A957&amp;"ENTRADA",Movimientos!$R$5:$R$2001,0)),"-")</f>
        <v>-</v>
      </c>
      <c r="F957" s="3" t="str">
        <f>IFERROR(INDEX(Movimientos!$G$5:$G$2001,MATCH(A957&amp;"ENTRADA",Movimientos!$R$5:$R$2001,0)),"-")</f>
        <v>-</v>
      </c>
      <c r="G957" s="3" t="str">
        <f>IFERROR(INDEX(Movimientos!$L$5:$L$2001,MATCH(A957&amp;"ENTRADA",Movimientos!$R$5:$R$2001,0)),"-")</f>
        <v>-</v>
      </c>
      <c r="H957" s="19" t="str">
        <f>IFERROR(IF(INDEX(Movimientos!$M$5:$M$2001,MATCH(A957&amp;"ENTRADA",Movimientos!$R$5:$R$2001,0))=0,"S/D",INDEX(Movimientos!$M$5:$M$2001,MATCH(A957&amp;"ENTRADA",Movimientos!$R$5:$R$2001,0))),"S/D")</f>
        <v>S/D</v>
      </c>
      <c r="I957" s="16" t="str">
        <f t="shared" ca="1" si="30"/>
        <v>S/D</v>
      </c>
      <c r="J957" s="6">
        <f>IF(A957="","",SUMIFS(Movimientos!$K:$K,Movimientos!$H:$H,A957))</f>
        <v>0</v>
      </c>
      <c r="K957" s="14" t="str">
        <f t="shared" ca="1" si="31"/>
        <v>OK</v>
      </c>
    </row>
    <row r="958" spans="1:11">
      <c r="A958" s="18" t="s">
        <v>3019</v>
      </c>
      <c r="B958" s="3" t="str">
        <f>IFERROR(INDEX(Movimientos!$C$5:$C$2001,MATCH(A958&amp;"ENTRADA",Movimientos!$R$5:$R$2001,0)),"-")</f>
        <v>-</v>
      </c>
      <c r="C958" s="3" t="str">
        <f>IFERROR(INDEX(Movimientos!$D$5:$D$2001,MATCH(A958&amp;"ENTRADA",Movimientos!$R$5:$R$2001,0)),"-")</f>
        <v>-</v>
      </c>
      <c r="D958" s="3" t="str">
        <f>IFERROR(INDEX(Movimientos!$E$5:$E$2001,MATCH(A958&amp;"ENTRADA",Movimientos!$R$5:$R$2001,0)),"-")</f>
        <v>-</v>
      </c>
      <c r="E958" s="3" t="str">
        <f>IFERROR(INDEX(Movimientos!$F$5:$F$2001,MATCH(A958&amp;"ENTRADA",Movimientos!$R$5:$R$2001,0)),"-")</f>
        <v>-</v>
      </c>
      <c r="F958" s="3" t="str">
        <f>IFERROR(INDEX(Movimientos!$G$5:$G$2001,MATCH(A958&amp;"ENTRADA",Movimientos!$R$5:$R$2001,0)),"-")</f>
        <v>-</v>
      </c>
      <c r="G958" s="3" t="str">
        <f>IFERROR(INDEX(Movimientos!$L$5:$L$2001,MATCH(A958&amp;"ENTRADA",Movimientos!$R$5:$R$2001,0)),"-")</f>
        <v>-</v>
      </c>
      <c r="H958" s="19" t="str">
        <f>IFERROR(IF(INDEX(Movimientos!$M$5:$M$2001,MATCH(A958&amp;"ENTRADA",Movimientos!$R$5:$R$2001,0))=0,"S/D",INDEX(Movimientos!$M$5:$M$2001,MATCH(A958&amp;"ENTRADA",Movimientos!$R$5:$R$2001,0))),"S/D")</f>
        <v>S/D</v>
      </c>
      <c r="I958" s="16" t="str">
        <f t="shared" ca="1" si="30"/>
        <v>S/D</v>
      </c>
      <c r="J958" s="6">
        <f>IF(A958="","",SUMIFS(Movimientos!$K:$K,Movimientos!$H:$H,A958))</f>
        <v>0</v>
      </c>
      <c r="K958" s="14" t="str">
        <f t="shared" ca="1" si="31"/>
        <v>OK</v>
      </c>
    </row>
    <row r="959" spans="1:11">
      <c r="A959" s="18" t="s">
        <v>3020</v>
      </c>
      <c r="B959" s="3" t="str">
        <f>IFERROR(INDEX(Movimientos!$C$5:$C$2001,MATCH(A959&amp;"ENTRADA",Movimientos!$R$5:$R$2001,0)),"-")</f>
        <v>-</v>
      </c>
      <c r="C959" s="3" t="str">
        <f>IFERROR(INDEX(Movimientos!$D$5:$D$2001,MATCH(A959&amp;"ENTRADA",Movimientos!$R$5:$R$2001,0)),"-")</f>
        <v>-</v>
      </c>
      <c r="D959" s="3" t="str">
        <f>IFERROR(INDEX(Movimientos!$E$5:$E$2001,MATCH(A959&amp;"ENTRADA",Movimientos!$R$5:$R$2001,0)),"-")</f>
        <v>-</v>
      </c>
      <c r="E959" s="3" t="str">
        <f>IFERROR(INDEX(Movimientos!$F$5:$F$2001,MATCH(A959&amp;"ENTRADA",Movimientos!$R$5:$R$2001,0)),"-")</f>
        <v>-</v>
      </c>
      <c r="F959" s="3" t="str">
        <f>IFERROR(INDEX(Movimientos!$G$5:$G$2001,MATCH(A959&amp;"ENTRADA",Movimientos!$R$5:$R$2001,0)),"-")</f>
        <v>-</v>
      </c>
      <c r="G959" s="3" t="str">
        <f>IFERROR(INDEX(Movimientos!$L$5:$L$2001,MATCH(A959&amp;"ENTRADA",Movimientos!$R$5:$R$2001,0)),"-")</f>
        <v>-</v>
      </c>
      <c r="H959" s="19" t="str">
        <f>IFERROR(IF(INDEX(Movimientos!$M$5:$M$2001,MATCH(A959&amp;"ENTRADA",Movimientos!$R$5:$R$2001,0))=0,"S/D",INDEX(Movimientos!$M$5:$M$2001,MATCH(A959&amp;"ENTRADA",Movimientos!$R$5:$R$2001,0))),"S/D")</f>
        <v>S/D</v>
      </c>
      <c r="I959" s="16" t="str">
        <f t="shared" ca="1" si="30"/>
        <v>S/D</v>
      </c>
      <c r="J959" s="6">
        <f>IF(A959="","",SUMIFS(Movimientos!$K:$K,Movimientos!$H:$H,A959))</f>
        <v>0</v>
      </c>
      <c r="K959" s="14" t="str">
        <f t="shared" ca="1" si="31"/>
        <v>OK</v>
      </c>
    </row>
    <row r="960" spans="1:11">
      <c r="A960" s="18" t="s">
        <v>3021</v>
      </c>
      <c r="B960" s="3" t="str">
        <f>IFERROR(INDEX(Movimientos!$C$5:$C$2001,MATCH(A960&amp;"ENTRADA",Movimientos!$R$5:$R$2001,0)),"-")</f>
        <v>-</v>
      </c>
      <c r="C960" s="3" t="str">
        <f>IFERROR(INDEX(Movimientos!$D$5:$D$2001,MATCH(A960&amp;"ENTRADA",Movimientos!$R$5:$R$2001,0)),"-")</f>
        <v>-</v>
      </c>
      <c r="D960" s="3" t="str">
        <f>IFERROR(INDEX(Movimientos!$E$5:$E$2001,MATCH(A960&amp;"ENTRADA",Movimientos!$R$5:$R$2001,0)),"-")</f>
        <v>-</v>
      </c>
      <c r="E960" s="3" t="str">
        <f>IFERROR(INDEX(Movimientos!$F$5:$F$2001,MATCH(A960&amp;"ENTRADA",Movimientos!$R$5:$R$2001,0)),"-")</f>
        <v>-</v>
      </c>
      <c r="F960" s="3" t="str">
        <f>IFERROR(INDEX(Movimientos!$G$5:$G$2001,MATCH(A960&amp;"ENTRADA",Movimientos!$R$5:$R$2001,0)),"-")</f>
        <v>-</v>
      </c>
      <c r="G960" s="3" t="str">
        <f>IFERROR(INDEX(Movimientos!$L$5:$L$2001,MATCH(A960&amp;"ENTRADA",Movimientos!$R$5:$R$2001,0)),"-")</f>
        <v>-</v>
      </c>
      <c r="H960" s="19" t="str">
        <f>IFERROR(IF(INDEX(Movimientos!$M$5:$M$2001,MATCH(A960&amp;"ENTRADA",Movimientos!$R$5:$R$2001,0))=0,"S/D",INDEX(Movimientos!$M$5:$M$2001,MATCH(A960&amp;"ENTRADA",Movimientos!$R$5:$R$2001,0))),"S/D")</f>
        <v>S/D</v>
      </c>
      <c r="I960" s="16" t="str">
        <f t="shared" ca="1" si="30"/>
        <v>S/D</v>
      </c>
      <c r="J960" s="6">
        <f>IF(A960="","",SUMIFS(Movimientos!$K:$K,Movimientos!$H:$H,A960))</f>
        <v>0</v>
      </c>
      <c r="K960" s="14" t="str">
        <f t="shared" ca="1" si="31"/>
        <v>OK</v>
      </c>
    </row>
    <row r="961" spans="1:11">
      <c r="A961" s="18" t="s">
        <v>3022</v>
      </c>
      <c r="B961" s="3" t="str">
        <f>IFERROR(INDEX(Movimientos!$C$5:$C$2001,MATCH(A961&amp;"ENTRADA",Movimientos!$R$5:$R$2001,0)),"-")</f>
        <v>-</v>
      </c>
      <c r="C961" s="3" t="str">
        <f>IFERROR(INDEX(Movimientos!$D$5:$D$2001,MATCH(A961&amp;"ENTRADA",Movimientos!$R$5:$R$2001,0)),"-")</f>
        <v>-</v>
      </c>
      <c r="D961" s="3" t="str">
        <f>IFERROR(INDEX(Movimientos!$E$5:$E$2001,MATCH(A961&amp;"ENTRADA",Movimientos!$R$5:$R$2001,0)),"-")</f>
        <v>-</v>
      </c>
      <c r="E961" s="3" t="str">
        <f>IFERROR(INDEX(Movimientos!$F$5:$F$2001,MATCH(A961&amp;"ENTRADA",Movimientos!$R$5:$R$2001,0)),"-")</f>
        <v>-</v>
      </c>
      <c r="F961" s="3" t="str">
        <f>IFERROR(INDEX(Movimientos!$G$5:$G$2001,MATCH(A961&amp;"ENTRADA",Movimientos!$R$5:$R$2001,0)),"-")</f>
        <v>-</v>
      </c>
      <c r="G961" s="3" t="str">
        <f>IFERROR(INDEX(Movimientos!$L$5:$L$2001,MATCH(A961&amp;"ENTRADA",Movimientos!$R$5:$R$2001,0)),"-")</f>
        <v>-</v>
      </c>
      <c r="H961" s="19" t="str">
        <f>IFERROR(IF(INDEX(Movimientos!$M$5:$M$2001,MATCH(A961&amp;"ENTRADA",Movimientos!$R$5:$R$2001,0))=0,"S/D",INDEX(Movimientos!$M$5:$M$2001,MATCH(A961&amp;"ENTRADA",Movimientos!$R$5:$R$2001,0))),"S/D")</f>
        <v>S/D</v>
      </c>
      <c r="I961" s="16" t="str">
        <f t="shared" ca="1" si="30"/>
        <v>S/D</v>
      </c>
      <c r="J961" s="6">
        <f>IF(A961="","",SUMIFS(Movimientos!$K:$K,Movimientos!$H:$H,A961))</f>
        <v>0</v>
      </c>
      <c r="K961" s="14" t="str">
        <f t="shared" ca="1" si="31"/>
        <v>OK</v>
      </c>
    </row>
    <row r="962" spans="1:11">
      <c r="A962" s="18" t="s">
        <v>3023</v>
      </c>
      <c r="B962" s="3" t="str">
        <f>IFERROR(INDEX(Movimientos!$C$5:$C$2001,MATCH(A962&amp;"ENTRADA",Movimientos!$R$5:$R$2001,0)),"-")</f>
        <v>-</v>
      </c>
      <c r="C962" s="3" t="str">
        <f>IFERROR(INDEX(Movimientos!$D$5:$D$2001,MATCH(A962&amp;"ENTRADA",Movimientos!$R$5:$R$2001,0)),"-")</f>
        <v>-</v>
      </c>
      <c r="D962" s="3" t="str">
        <f>IFERROR(INDEX(Movimientos!$E$5:$E$2001,MATCH(A962&amp;"ENTRADA",Movimientos!$R$5:$R$2001,0)),"-")</f>
        <v>-</v>
      </c>
      <c r="E962" s="3" t="str">
        <f>IFERROR(INDEX(Movimientos!$F$5:$F$2001,MATCH(A962&amp;"ENTRADA",Movimientos!$R$5:$R$2001,0)),"-")</f>
        <v>-</v>
      </c>
      <c r="F962" s="3" t="str">
        <f>IFERROR(INDEX(Movimientos!$G$5:$G$2001,MATCH(A962&amp;"ENTRADA",Movimientos!$R$5:$R$2001,0)),"-")</f>
        <v>-</v>
      </c>
      <c r="G962" s="3" t="str">
        <f>IFERROR(INDEX(Movimientos!$L$5:$L$2001,MATCH(A962&amp;"ENTRADA",Movimientos!$R$5:$R$2001,0)),"-")</f>
        <v>-</v>
      </c>
      <c r="H962" s="19" t="str">
        <f>IFERROR(IF(INDEX(Movimientos!$M$5:$M$2001,MATCH(A962&amp;"ENTRADA",Movimientos!$R$5:$R$2001,0))=0,"S/D",INDEX(Movimientos!$M$5:$M$2001,MATCH(A962&amp;"ENTRADA",Movimientos!$R$5:$R$2001,0))),"S/D")</f>
        <v>S/D</v>
      </c>
      <c r="I962" s="16" t="str">
        <f t="shared" ca="1" si="30"/>
        <v>S/D</v>
      </c>
      <c r="J962" s="6">
        <f>IF(A962="","",SUMIFS(Movimientos!$K:$K,Movimientos!$H:$H,A962))</f>
        <v>0</v>
      </c>
      <c r="K962" s="14" t="str">
        <f t="shared" ca="1" si="31"/>
        <v>OK</v>
      </c>
    </row>
    <row r="963" spans="1:11">
      <c r="A963" s="18" t="s">
        <v>3024</v>
      </c>
      <c r="B963" s="3" t="str">
        <f>IFERROR(INDEX(Movimientos!$C$5:$C$2001,MATCH(A963&amp;"ENTRADA",Movimientos!$R$5:$R$2001,0)),"-")</f>
        <v>-</v>
      </c>
      <c r="C963" s="3" t="str">
        <f>IFERROR(INDEX(Movimientos!$D$5:$D$2001,MATCH(A963&amp;"ENTRADA",Movimientos!$R$5:$R$2001,0)),"-")</f>
        <v>-</v>
      </c>
      <c r="D963" s="3" t="str">
        <f>IFERROR(INDEX(Movimientos!$E$5:$E$2001,MATCH(A963&amp;"ENTRADA",Movimientos!$R$5:$R$2001,0)),"-")</f>
        <v>-</v>
      </c>
      <c r="E963" s="3" t="str">
        <f>IFERROR(INDEX(Movimientos!$F$5:$F$2001,MATCH(A963&amp;"ENTRADA",Movimientos!$R$5:$R$2001,0)),"-")</f>
        <v>-</v>
      </c>
      <c r="F963" s="3" t="str">
        <f>IFERROR(INDEX(Movimientos!$G$5:$G$2001,MATCH(A963&amp;"ENTRADA",Movimientos!$R$5:$R$2001,0)),"-")</f>
        <v>-</v>
      </c>
      <c r="G963" s="3" t="str">
        <f>IFERROR(INDEX(Movimientos!$L$5:$L$2001,MATCH(A963&amp;"ENTRADA",Movimientos!$R$5:$R$2001,0)),"-")</f>
        <v>-</v>
      </c>
      <c r="H963" s="19" t="str">
        <f>IFERROR(IF(INDEX(Movimientos!$M$5:$M$2001,MATCH(A963&amp;"ENTRADA",Movimientos!$R$5:$R$2001,0))=0,"S/D",INDEX(Movimientos!$M$5:$M$2001,MATCH(A963&amp;"ENTRADA",Movimientos!$R$5:$R$2001,0))),"S/D")</f>
        <v>S/D</v>
      </c>
      <c r="I963" s="16" t="str">
        <f t="shared" ca="1" si="30"/>
        <v>S/D</v>
      </c>
      <c r="J963" s="6">
        <f>IF(A963="","",SUMIFS(Movimientos!$K:$K,Movimientos!$H:$H,A963))</f>
        <v>0</v>
      </c>
      <c r="K963" s="14" t="str">
        <f t="shared" ca="1" si="31"/>
        <v>OK</v>
      </c>
    </row>
    <row r="964" spans="1:11">
      <c r="A964" s="18" t="s">
        <v>3025</v>
      </c>
      <c r="B964" s="3" t="str">
        <f>IFERROR(INDEX(Movimientos!$C$5:$C$2001,MATCH(A964&amp;"ENTRADA",Movimientos!$R$5:$R$2001,0)),"-")</f>
        <v>-</v>
      </c>
      <c r="C964" s="3" t="str">
        <f>IFERROR(INDEX(Movimientos!$D$5:$D$2001,MATCH(A964&amp;"ENTRADA",Movimientos!$R$5:$R$2001,0)),"-")</f>
        <v>-</v>
      </c>
      <c r="D964" s="3" t="str">
        <f>IFERROR(INDEX(Movimientos!$E$5:$E$2001,MATCH(A964&amp;"ENTRADA",Movimientos!$R$5:$R$2001,0)),"-")</f>
        <v>-</v>
      </c>
      <c r="E964" s="3" t="str">
        <f>IFERROR(INDEX(Movimientos!$F$5:$F$2001,MATCH(A964&amp;"ENTRADA",Movimientos!$R$5:$R$2001,0)),"-")</f>
        <v>-</v>
      </c>
      <c r="F964" s="3" t="str">
        <f>IFERROR(INDEX(Movimientos!$G$5:$G$2001,MATCH(A964&amp;"ENTRADA",Movimientos!$R$5:$R$2001,0)),"-")</f>
        <v>-</v>
      </c>
      <c r="G964" s="3" t="str">
        <f>IFERROR(INDEX(Movimientos!$L$5:$L$2001,MATCH(A964&amp;"ENTRADA",Movimientos!$R$5:$R$2001,0)),"-")</f>
        <v>-</v>
      </c>
      <c r="H964" s="19" t="str">
        <f>IFERROR(IF(INDEX(Movimientos!$M$5:$M$2001,MATCH(A964&amp;"ENTRADA",Movimientos!$R$5:$R$2001,0))=0,"S/D",INDEX(Movimientos!$M$5:$M$2001,MATCH(A964&amp;"ENTRADA",Movimientos!$R$5:$R$2001,0))),"S/D")</f>
        <v>S/D</v>
      </c>
      <c r="I964" s="16" t="str">
        <f t="shared" ca="1" si="30"/>
        <v>S/D</v>
      </c>
      <c r="J964" s="6">
        <f>IF(A964="","",SUMIFS(Movimientos!$K:$K,Movimientos!$H:$H,A964))</f>
        <v>0</v>
      </c>
      <c r="K964" s="14" t="str">
        <f t="shared" ca="1" si="31"/>
        <v>OK</v>
      </c>
    </row>
    <row r="965" spans="1:11">
      <c r="A965" s="18" t="s">
        <v>3026</v>
      </c>
      <c r="B965" s="3" t="str">
        <f>IFERROR(INDEX(Movimientos!$C$5:$C$2001,MATCH(A965&amp;"ENTRADA",Movimientos!$R$5:$R$2001,0)),"-")</f>
        <v>-</v>
      </c>
      <c r="C965" s="3" t="str">
        <f>IFERROR(INDEX(Movimientos!$D$5:$D$2001,MATCH(A965&amp;"ENTRADA",Movimientos!$R$5:$R$2001,0)),"-")</f>
        <v>-</v>
      </c>
      <c r="D965" s="3" t="str">
        <f>IFERROR(INDEX(Movimientos!$E$5:$E$2001,MATCH(A965&amp;"ENTRADA",Movimientos!$R$5:$R$2001,0)),"-")</f>
        <v>-</v>
      </c>
      <c r="E965" s="3" t="str">
        <f>IFERROR(INDEX(Movimientos!$F$5:$F$2001,MATCH(A965&amp;"ENTRADA",Movimientos!$R$5:$R$2001,0)),"-")</f>
        <v>-</v>
      </c>
      <c r="F965" s="3" t="str">
        <f>IFERROR(INDEX(Movimientos!$G$5:$G$2001,MATCH(A965&amp;"ENTRADA",Movimientos!$R$5:$R$2001,0)),"-")</f>
        <v>-</v>
      </c>
      <c r="G965" s="3" t="str">
        <f>IFERROR(INDEX(Movimientos!$L$5:$L$2001,MATCH(A965&amp;"ENTRADA",Movimientos!$R$5:$R$2001,0)),"-")</f>
        <v>-</v>
      </c>
      <c r="H965" s="19" t="str">
        <f>IFERROR(IF(INDEX(Movimientos!$M$5:$M$2001,MATCH(A965&amp;"ENTRADA",Movimientos!$R$5:$R$2001,0))=0,"S/D",INDEX(Movimientos!$M$5:$M$2001,MATCH(A965&amp;"ENTRADA",Movimientos!$R$5:$R$2001,0))),"S/D")</f>
        <v>S/D</v>
      </c>
      <c r="I965" s="16" t="str">
        <f t="shared" ca="1" si="30"/>
        <v>S/D</v>
      </c>
      <c r="J965" s="6">
        <f>IF(A965="","",SUMIFS(Movimientos!$K:$K,Movimientos!$H:$H,A965))</f>
        <v>0</v>
      </c>
      <c r="K965" s="14" t="str">
        <f t="shared" ca="1" si="31"/>
        <v>OK</v>
      </c>
    </row>
    <row r="966" spans="1:11">
      <c r="A966" s="18" t="s">
        <v>3027</v>
      </c>
      <c r="B966" s="3" t="str">
        <f>IFERROR(INDEX(Movimientos!$C$5:$C$2001,MATCH(A966&amp;"ENTRADA",Movimientos!$R$5:$R$2001,0)),"-")</f>
        <v>-</v>
      </c>
      <c r="C966" s="3" t="str">
        <f>IFERROR(INDEX(Movimientos!$D$5:$D$2001,MATCH(A966&amp;"ENTRADA",Movimientos!$R$5:$R$2001,0)),"-")</f>
        <v>-</v>
      </c>
      <c r="D966" s="3" t="str">
        <f>IFERROR(INDEX(Movimientos!$E$5:$E$2001,MATCH(A966&amp;"ENTRADA",Movimientos!$R$5:$R$2001,0)),"-")</f>
        <v>-</v>
      </c>
      <c r="E966" s="3" t="str">
        <f>IFERROR(INDEX(Movimientos!$F$5:$F$2001,MATCH(A966&amp;"ENTRADA",Movimientos!$R$5:$R$2001,0)),"-")</f>
        <v>-</v>
      </c>
      <c r="F966" s="3" t="str">
        <f>IFERROR(INDEX(Movimientos!$G$5:$G$2001,MATCH(A966&amp;"ENTRADA",Movimientos!$R$5:$R$2001,0)),"-")</f>
        <v>-</v>
      </c>
      <c r="G966" s="3" t="str">
        <f>IFERROR(INDEX(Movimientos!$L$5:$L$2001,MATCH(A966&amp;"ENTRADA",Movimientos!$R$5:$R$2001,0)),"-")</f>
        <v>-</v>
      </c>
      <c r="H966" s="19" t="str">
        <f>IFERROR(IF(INDEX(Movimientos!$M$5:$M$2001,MATCH(A966&amp;"ENTRADA",Movimientos!$R$5:$R$2001,0))=0,"S/D",INDEX(Movimientos!$M$5:$M$2001,MATCH(A966&amp;"ENTRADA",Movimientos!$R$5:$R$2001,0))),"S/D")</f>
        <v>S/D</v>
      </c>
      <c r="I966" s="16" t="str">
        <f t="shared" ca="1" si="30"/>
        <v>S/D</v>
      </c>
      <c r="J966" s="6">
        <f>IF(A966="","",SUMIFS(Movimientos!$K:$K,Movimientos!$H:$H,A966))</f>
        <v>0</v>
      </c>
      <c r="K966" s="14" t="str">
        <f t="shared" ca="1" si="31"/>
        <v>OK</v>
      </c>
    </row>
    <row r="967" spans="1:11">
      <c r="A967" s="18" t="s">
        <v>3028</v>
      </c>
      <c r="B967" s="3" t="str">
        <f>IFERROR(INDEX(Movimientos!$C$5:$C$2001,MATCH(A967&amp;"ENTRADA",Movimientos!$R$5:$R$2001,0)),"-")</f>
        <v>-</v>
      </c>
      <c r="C967" s="3" t="str">
        <f>IFERROR(INDEX(Movimientos!$D$5:$D$2001,MATCH(A967&amp;"ENTRADA",Movimientos!$R$5:$R$2001,0)),"-")</f>
        <v>-</v>
      </c>
      <c r="D967" s="3" t="str">
        <f>IFERROR(INDEX(Movimientos!$E$5:$E$2001,MATCH(A967&amp;"ENTRADA",Movimientos!$R$5:$R$2001,0)),"-")</f>
        <v>-</v>
      </c>
      <c r="E967" s="3" t="str">
        <f>IFERROR(INDEX(Movimientos!$F$5:$F$2001,MATCH(A967&amp;"ENTRADA",Movimientos!$R$5:$R$2001,0)),"-")</f>
        <v>-</v>
      </c>
      <c r="F967" s="3" t="str">
        <f>IFERROR(INDEX(Movimientos!$G$5:$G$2001,MATCH(A967&amp;"ENTRADA",Movimientos!$R$5:$R$2001,0)),"-")</f>
        <v>-</v>
      </c>
      <c r="G967" s="3" t="str">
        <f>IFERROR(INDEX(Movimientos!$L$5:$L$2001,MATCH(A967&amp;"ENTRADA",Movimientos!$R$5:$R$2001,0)),"-")</f>
        <v>-</v>
      </c>
      <c r="H967" s="19" t="str">
        <f>IFERROR(IF(INDEX(Movimientos!$M$5:$M$2001,MATCH(A967&amp;"ENTRADA",Movimientos!$R$5:$R$2001,0))=0,"S/D",INDEX(Movimientos!$M$5:$M$2001,MATCH(A967&amp;"ENTRADA",Movimientos!$R$5:$R$2001,0))),"S/D")</f>
        <v>S/D</v>
      </c>
      <c r="I967" s="16" t="str">
        <f t="shared" ca="1" si="30"/>
        <v>S/D</v>
      </c>
      <c r="J967" s="6">
        <f>IF(A967="","",SUMIFS(Movimientos!$K:$K,Movimientos!$H:$H,A967))</f>
        <v>0</v>
      </c>
      <c r="K967" s="14" t="str">
        <f t="shared" ca="1" si="31"/>
        <v>OK</v>
      </c>
    </row>
    <row r="968" spans="1:11">
      <c r="A968" s="18" t="s">
        <v>3029</v>
      </c>
      <c r="B968" s="3" t="str">
        <f>IFERROR(INDEX(Movimientos!$C$5:$C$2001,MATCH(A968&amp;"ENTRADA",Movimientos!$R$5:$R$2001,0)),"-")</f>
        <v>-</v>
      </c>
      <c r="C968" s="3" t="str">
        <f>IFERROR(INDEX(Movimientos!$D$5:$D$2001,MATCH(A968&amp;"ENTRADA",Movimientos!$R$5:$R$2001,0)),"-")</f>
        <v>-</v>
      </c>
      <c r="D968" s="3" t="str">
        <f>IFERROR(INDEX(Movimientos!$E$5:$E$2001,MATCH(A968&amp;"ENTRADA",Movimientos!$R$5:$R$2001,0)),"-")</f>
        <v>-</v>
      </c>
      <c r="E968" s="3" t="str">
        <f>IFERROR(INDEX(Movimientos!$F$5:$F$2001,MATCH(A968&amp;"ENTRADA",Movimientos!$R$5:$R$2001,0)),"-")</f>
        <v>-</v>
      </c>
      <c r="F968" s="3" t="str">
        <f>IFERROR(INDEX(Movimientos!$G$5:$G$2001,MATCH(A968&amp;"ENTRADA",Movimientos!$R$5:$R$2001,0)),"-")</f>
        <v>-</v>
      </c>
      <c r="G968" s="3" t="str">
        <f>IFERROR(INDEX(Movimientos!$L$5:$L$2001,MATCH(A968&amp;"ENTRADA",Movimientos!$R$5:$R$2001,0)),"-")</f>
        <v>-</v>
      </c>
      <c r="H968" s="19" t="str">
        <f>IFERROR(IF(INDEX(Movimientos!$M$5:$M$2001,MATCH(A968&amp;"ENTRADA",Movimientos!$R$5:$R$2001,0))=0,"S/D",INDEX(Movimientos!$M$5:$M$2001,MATCH(A968&amp;"ENTRADA",Movimientos!$R$5:$R$2001,0))),"S/D")</f>
        <v>S/D</v>
      </c>
      <c r="I968" s="16" t="str">
        <f t="shared" ca="1" si="30"/>
        <v>S/D</v>
      </c>
      <c r="J968" s="6">
        <f>IF(A968="","",SUMIFS(Movimientos!$K:$K,Movimientos!$H:$H,A968))</f>
        <v>0</v>
      </c>
      <c r="K968" s="14" t="str">
        <f t="shared" ca="1" si="31"/>
        <v>OK</v>
      </c>
    </row>
    <row r="969" spans="1:11">
      <c r="A969" s="18" t="s">
        <v>3030</v>
      </c>
      <c r="B969" s="3" t="str">
        <f>IFERROR(INDEX(Movimientos!$C$5:$C$2001,MATCH(A969&amp;"ENTRADA",Movimientos!$R$5:$R$2001,0)),"-")</f>
        <v>-</v>
      </c>
      <c r="C969" s="3" t="str">
        <f>IFERROR(INDEX(Movimientos!$D$5:$D$2001,MATCH(A969&amp;"ENTRADA",Movimientos!$R$5:$R$2001,0)),"-")</f>
        <v>-</v>
      </c>
      <c r="D969" s="3" t="str">
        <f>IFERROR(INDEX(Movimientos!$E$5:$E$2001,MATCH(A969&amp;"ENTRADA",Movimientos!$R$5:$R$2001,0)),"-")</f>
        <v>-</v>
      </c>
      <c r="E969" s="3" t="str">
        <f>IFERROR(INDEX(Movimientos!$F$5:$F$2001,MATCH(A969&amp;"ENTRADA",Movimientos!$R$5:$R$2001,0)),"-")</f>
        <v>-</v>
      </c>
      <c r="F969" s="3" t="str">
        <f>IFERROR(INDEX(Movimientos!$G$5:$G$2001,MATCH(A969&amp;"ENTRADA",Movimientos!$R$5:$R$2001,0)),"-")</f>
        <v>-</v>
      </c>
      <c r="G969" s="3" t="str">
        <f>IFERROR(INDEX(Movimientos!$L$5:$L$2001,MATCH(A969&amp;"ENTRADA",Movimientos!$R$5:$R$2001,0)),"-")</f>
        <v>-</v>
      </c>
      <c r="H969" s="19" t="str">
        <f>IFERROR(IF(INDEX(Movimientos!$M$5:$M$2001,MATCH(A969&amp;"ENTRADA",Movimientos!$R$5:$R$2001,0))=0,"S/D",INDEX(Movimientos!$M$5:$M$2001,MATCH(A969&amp;"ENTRADA",Movimientos!$R$5:$R$2001,0))),"S/D")</f>
        <v>S/D</v>
      </c>
      <c r="I969" s="16" t="str">
        <f t="shared" ca="1" si="30"/>
        <v>S/D</v>
      </c>
      <c r="J969" s="6">
        <f>IF(A969="","",SUMIFS(Movimientos!$K:$K,Movimientos!$H:$H,A969))</f>
        <v>0</v>
      </c>
      <c r="K969" s="14" t="str">
        <f t="shared" ca="1" si="31"/>
        <v>OK</v>
      </c>
    </row>
    <row r="970" spans="1:11">
      <c r="A970" s="18" t="s">
        <v>3031</v>
      </c>
      <c r="B970" s="3" t="str">
        <f>IFERROR(INDEX(Movimientos!$C$5:$C$2001,MATCH(A970&amp;"ENTRADA",Movimientos!$R$5:$R$2001,0)),"-")</f>
        <v>-</v>
      </c>
      <c r="C970" s="3" t="str">
        <f>IFERROR(INDEX(Movimientos!$D$5:$D$2001,MATCH(A970&amp;"ENTRADA",Movimientos!$R$5:$R$2001,0)),"-")</f>
        <v>-</v>
      </c>
      <c r="D970" s="3" t="str">
        <f>IFERROR(INDEX(Movimientos!$E$5:$E$2001,MATCH(A970&amp;"ENTRADA",Movimientos!$R$5:$R$2001,0)),"-")</f>
        <v>-</v>
      </c>
      <c r="E970" s="3" t="str">
        <f>IFERROR(INDEX(Movimientos!$F$5:$F$2001,MATCH(A970&amp;"ENTRADA",Movimientos!$R$5:$R$2001,0)),"-")</f>
        <v>-</v>
      </c>
      <c r="F970" s="3" t="str">
        <f>IFERROR(INDEX(Movimientos!$G$5:$G$2001,MATCH(A970&amp;"ENTRADA",Movimientos!$R$5:$R$2001,0)),"-")</f>
        <v>-</v>
      </c>
      <c r="G970" s="3" t="str">
        <f>IFERROR(INDEX(Movimientos!$L$5:$L$2001,MATCH(A970&amp;"ENTRADA",Movimientos!$R$5:$R$2001,0)),"-")</f>
        <v>-</v>
      </c>
      <c r="H970" s="19" t="str">
        <f>IFERROR(IF(INDEX(Movimientos!$M$5:$M$2001,MATCH(A970&amp;"ENTRADA",Movimientos!$R$5:$R$2001,0))=0,"S/D",INDEX(Movimientos!$M$5:$M$2001,MATCH(A970&amp;"ENTRADA",Movimientos!$R$5:$R$2001,0))),"S/D")</f>
        <v>S/D</v>
      </c>
      <c r="I970" s="16" t="str">
        <f t="shared" ca="1" si="30"/>
        <v>S/D</v>
      </c>
      <c r="J970" s="6">
        <f>IF(A970="","",SUMIFS(Movimientos!$K:$K,Movimientos!$H:$H,A970))</f>
        <v>0</v>
      </c>
      <c r="K970" s="14" t="str">
        <f t="shared" ca="1" si="31"/>
        <v>OK</v>
      </c>
    </row>
    <row r="971" spans="1:11">
      <c r="A971" s="18" t="s">
        <v>3032</v>
      </c>
      <c r="B971" s="3" t="str">
        <f>IFERROR(INDEX(Movimientos!$C$5:$C$2001,MATCH(A971&amp;"ENTRADA",Movimientos!$R$5:$R$2001,0)),"-")</f>
        <v>-</v>
      </c>
      <c r="C971" s="3" t="str">
        <f>IFERROR(INDEX(Movimientos!$D$5:$D$2001,MATCH(A971&amp;"ENTRADA",Movimientos!$R$5:$R$2001,0)),"-")</f>
        <v>-</v>
      </c>
      <c r="D971" s="3" t="str">
        <f>IFERROR(INDEX(Movimientos!$E$5:$E$2001,MATCH(A971&amp;"ENTRADA",Movimientos!$R$5:$R$2001,0)),"-")</f>
        <v>-</v>
      </c>
      <c r="E971" s="3" t="str">
        <f>IFERROR(INDEX(Movimientos!$F$5:$F$2001,MATCH(A971&amp;"ENTRADA",Movimientos!$R$5:$R$2001,0)),"-")</f>
        <v>-</v>
      </c>
      <c r="F971" s="3" t="str">
        <f>IFERROR(INDEX(Movimientos!$G$5:$G$2001,MATCH(A971&amp;"ENTRADA",Movimientos!$R$5:$R$2001,0)),"-")</f>
        <v>-</v>
      </c>
      <c r="G971" s="3" t="str">
        <f>IFERROR(INDEX(Movimientos!$L$5:$L$2001,MATCH(A971&amp;"ENTRADA",Movimientos!$R$5:$R$2001,0)),"-")</f>
        <v>-</v>
      </c>
      <c r="H971" s="19" t="str">
        <f>IFERROR(IF(INDEX(Movimientos!$M$5:$M$2001,MATCH(A971&amp;"ENTRADA",Movimientos!$R$5:$R$2001,0))=0,"S/D",INDEX(Movimientos!$M$5:$M$2001,MATCH(A971&amp;"ENTRADA",Movimientos!$R$5:$R$2001,0))),"S/D")</f>
        <v>S/D</v>
      </c>
      <c r="I971" s="16" t="str">
        <f t="shared" ref="I971:I1002" ca="1" si="32">IF(OR(A971="",H971="S/D"),"S/D",H971-TODAY())</f>
        <v>S/D</v>
      </c>
      <c r="J971" s="6">
        <f>IF(A971="","",SUMIFS(Movimientos!$K:$K,Movimientos!$H:$H,A971))</f>
        <v>0</v>
      </c>
      <c r="K971" s="14" t="str">
        <f t="shared" ref="K971:K1002" ca="1" si="33">IF(A971="","",IF(H971="S/D","OK",IF(H971&lt;TODAY(),"VENCIDO",IF(J971&lt;=0,"SIN STOCK",IF(I971&gt;=180,"OK","PRÓXIMO A VENCER")))))</f>
        <v>OK</v>
      </c>
    </row>
    <row r="972" spans="1:11">
      <c r="A972" s="18" t="s">
        <v>3033</v>
      </c>
      <c r="B972" s="3" t="str">
        <f>IFERROR(INDEX(Movimientos!$C$5:$C$2001,MATCH(A972&amp;"ENTRADA",Movimientos!$R$5:$R$2001,0)),"-")</f>
        <v>-</v>
      </c>
      <c r="C972" s="3" t="str">
        <f>IFERROR(INDEX(Movimientos!$D$5:$D$2001,MATCH(A972&amp;"ENTRADA",Movimientos!$R$5:$R$2001,0)),"-")</f>
        <v>-</v>
      </c>
      <c r="D972" s="3" t="str">
        <f>IFERROR(INDEX(Movimientos!$E$5:$E$2001,MATCH(A972&amp;"ENTRADA",Movimientos!$R$5:$R$2001,0)),"-")</f>
        <v>-</v>
      </c>
      <c r="E972" s="3" t="str">
        <f>IFERROR(INDEX(Movimientos!$F$5:$F$2001,MATCH(A972&amp;"ENTRADA",Movimientos!$R$5:$R$2001,0)),"-")</f>
        <v>-</v>
      </c>
      <c r="F972" s="3" t="str">
        <f>IFERROR(INDEX(Movimientos!$G$5:$G$2001,MATCH(A972&amp;"ENTRADA",Movimientos!$R$5:$R$2001,0)),"-")</f>
        <v>-</v>
      </c>
      <c r="G972" s="3" t="str">
        <f>IFERROR(INDEX(Movimientos!$L$5:$L$2001,MATCH(A972&amp;"ENTRADA",Movimientos!$R$5:$R$2001,0)),"-")</f>
        <v>-</v>
      </c>
      <c r="H972" s="19" t="str">
        <f>IFERROR(IF(INDEX(Movimientos!$M$5:$M$2001,MATCH(A972&amp;"ENTRADA",Movimientos!$R$5:$R$2001,0))=0,"S/D",INDEX(Movimientos!$M$5:$M$2001,MATCH(A972&amp;"ENTRADA",Movimientos!$R$5:$R$2001,0))),"S/D")</f>
        <v>S/D</v>
      </c>
      <c r="I972" s="16" t="str">
        <f t="shared" ca="1" si="32"/>
        <v>S/D</v>
      </c>
      <c r="J972" s="6">
        <f>IF(A972="","",SUMIFS(Movimientos!$K:$K,Movimientos!$H:$H,A972))</f>
        <v>0</v>
      </c>
      <c r="K972" s="14" t="str">
        <f t="shared" ca="1" si="33"/>
        <v>OK</v>
      </c>
    </row>
    <row r="973" spans="1:11">
      <c r="A973" s="18" t="s">
        <v>3034</v>
      </c>
      <c r="B973" s="3" t="str">
        <f>IFERROR(INDEX(Movimientos!$C$5:$C$2001,MATCH(A973&amp;"ENTRADA",Movimientos!$R$5:$R$2001,0)),"-")</f>
        <v>-</v>
      </c>
      <c r="C973" s="3" t="str">
        <f>IFERROR(INDEX(Movimientos!$D$5:$D$2001,MATCH(A973&amp;"ENTRADA",Movimientos!$R$5:$R$2001,0)),"-")</f>
        <v>-</v>
      </c>
      <c r="D973" s="3" t="str">
        <f>IFERROR(INDEX(Movimientos!$E$5:$E$2001,MATCH(A973&amp;"ENTRADA",Movimientos!$R$5:$R$2001,0)),"-")</f>
        <v>-</v>
      </c>
      <c r="E973" s="3" t="str">
        <f>IFERROR(INDEX(Movimientos!$F$5:$F$2001,MATCH(A973&amp;"ENTRADA",Movimientos!$R$5:$R$2001,0)),"-")</f>
        <v>-</v>
      </c>
      <c r="F973" s="3" t="str">
        <f>IFERROR(INDEX(Movimientos!$G$5:$G$2001,MATCH(A973&amp;"ENTRADA",Movimientos!$R$5:$R$2001,0)),"-")</f>
        <v>-</v>
      </c>
      <c r="G973" s="3" t="str">
        <f>IFERROR(INDEX(Movimientos!$L$5:$L$2001,MATCH(A973&amp;"ENTRADA",Movimientos!$R$5:$R$2001,0)),"-")</f>
        <v>-</v>
      </c>
      <c r="H973" s="19" t="str">
        <f>IFERROR(IF(INDEX(Movimientos!$M$5:$M$2001,MATCH(A973&amp;"ENTRADA",Movimientos!$R$5:$R$2001,0))=0,"S/D",INDEX(Movimientos!$M$5:$M$2001,MATCH(A973&amp;"ENTRADA",Movimientos!$R$5:$R$2001,0))),"S/D")</f>
        <v>S/D</v>
      </c>
      <c r="I973" s="16" t="str">
        <f t="shared" ca="1" si="32"/>
        <v>S/D</v>
      </c>
      <c r="J973" s="6">
        <f>IF(A973="","",SUMIFS(Movimientos!$K:$K,Movimientos!$H:$H,A973))</f>
        <v>0</v>
      </c>
      <c r="K973" s="14" t="str">
        <f t="shared" ca="1" si="33"/>
        <v>OK</v>
      </c>
    </row>
    <row r="974" spans="1:11">
      <c r="A974" s="18" t="s">
        <v>3035</v>
      </c>
      <c r="B974" s="3" t="str">
        <f>IFERROR(INDEX(Movimientos!$C$5:$C$2001,MATCH(A974&amp;"ENTRADA",Movimientos!$R$5:$R$2001,0)),"-")</f>
        <v>-</v>
      </c>
      <c r="C974" s="3" t="str">
        <f>IFERROR(INDEX(Movimientos!$D$5:$D$2001,MATCH(A974&amp;"ENTRADA",Movimientos!$R$5:$R$2001,0)),"-")</f>
        <v>-</v>
      </c>
      <c r="D974" s="3" t="str">
        <f>IFERROR(INDEX(Movimientos!$E$5:$E$2001,MATCH(A974&amp;"ENTRADA",Movimientos!$R$5:$R$2001,0)),"-")</f>
        <v>-</v>
      </c>
      <c r="E974" s="3" t="str">
        <f>IFERROR(INDEX(Movimientos!$F$5:$F$2001,MATCH(A974&amp;"ENTRADA",Movimientos!$R$5:$R$2001,0)),"-")</f>
        <v>-</v>
      </c>
      <c r="F974" s="3" t="str">
        <f>IFERROR(INDEX(Movimientos!$G$5:$G$2001,MATCH(A974&amp;"ENTRADA",Movimientos!$R$5:$R$2001,0)),"-")</f>
        <v>-</v>
      </c>
      <c r="G974" s="3" t="str">
        <f>IFERROR(INDEX(Movimientos!$L$5:$L$2001,MATCH(A974&amp;"ENTRADA",Movimientos!$R$5:$R$2001,0)),"-")</f>
        <v>-</v>
      </c>
      <c r="H974" s="19" t="str">
        <f>IFERROR(IF(INDEX(Movimientos!$M$5:$M$2001,MATCH(A974&amp;"ENTRADA",Movimientos!$R$5:$R$2001,0))=0,"S/D",INDEX(Movimientos!$M$5:$M$2001,MATCH(A974&amp;"ENTRADA",Movimientos!$R$5:$R$2001,0))),"S/D")</f>
        <v>S/D</v>
      </c>
      <c r="I974" s="16" t="str">
        <f t="shared" ca="1" si="32"/>
        <v>S/D</v>
      </c>
      <c r="J974" s="6">
        <f>IF(A974="","",SUMIFS(Movimientos!$K:$K,Movimientos!$H:$H,A974))</f>
        <v>0</v>
      </c>
      <c r="K974" s="14" t="str">
        <f t="shared" ca="1" si="33"/>
        <v>OK</v>
      </c>
    </row>
    <row r="975" spans="1:11">
      <c r="A975" s="18" t="s">
        <v>3036</v>
      </c>
      <c r="B975" s="3" t="str">
        <f>IFERROR(INDEX(Movimientos!$C$5:$C$2001,MATCH(A975&amp;"ENTRADA",Movimientos!$R$5:$R$2001,0)),"-")</f>
        <v>-</v>
      </c>
      <c r="C975" s="3" t="str">
        <f>IFERROR(INDEX(Movimientos!$D$5:$D$2001,MATCH(A975&amp;"ENTRADA",Movimientos!$R$5:$R$2001,0)),"-")</f>
        <v>-</v>
      </c>
      <c r="D975" s="3" t="str">
        <f>IFERROR(INDEX(Movimientos!$E$5:$E$2001,MATCH(A975&amp;"ENTRADA",Movimientos!$R$5:$R$2001,0)),"-")</f>
        <v>-</v>
      </c>
      <c r="E975" s="3" t="str">
        <f>IFERROR(INDEX(Movimientos!$F$5:$F$2001,MATCH(A975&amp;"ENTRADA",Movimientos!$R$5:$R$2001,0)),"-")</f>
        <v>-</v>
      </c>
      <c r="F975" s="3" t="str">
        <f>IFERROR(INDEX(Movimientos!$G$5:$G$2001,MATCH(A975&amp;"ENTRADA",Movimientos!$R$5:$R$2001,0)),"-")</f>
        <v>-</v>
      </c>
      <c r="G975" s="3" t="str">
        <f>IFERROR(INDEX(Movimientos!$L$5:$L$2001,MATCH(A975&amp;"ENTRADA",Movimientos!$R$5:$R$2001,0)),"-")</f>
        <v>-</v>
      </c>
      <c r="H975" s="19" t="str">
        <f>IFERROR(IF(INDEX(Movimientos!$M$5:$M$2001,MATCH(A975&amp;"ENTRADA",Movimientos!$R$5:$R$2001,0))=0,"S/D",INDEX(Movimientos!$M$5:$M$2001,MATCH(A975&amp;"ENTRADA",Movimientos!$R$5:$R$2001,0))),"S/D")</f>
        <v>S/D</v>
      </c>
      <c r="I975" s="16" t="str">
        <f t="shared" ca="1" si="32"/>
        <v>S/D</v>
      </c>
      <c r="J975" s="6">
        <f>IF(A975="","",SUMIFS(Movimientos!$K:$K,Movimientos!$H:$H,A975))</f>
        <v>0</v>
      </c>
      <c r="K975" s="14" t="str">
        <f t="shared" ca="1" si="33"/>
        <v>OK</v>
      </c>
    </row>
    <row r="976" spans="1:11">
      <c r="A976" s="18" t="s">
        <v>3037</v>
      </c>
      <c r="B976" s="3" t="str">
        <f>IFERROR(INDEX(Movimientos!$C$5:$C$2001,MATCH(A976&amp;"ENTRADA",Movimientos!$R$5:$R$2001,0)),"-")</f>
        <v>-</v>
      </c>
      <c r="C976" s="3" t="str">
        <f>IFERROR(INDEX(Movimientos!$D$5:$D$2001,MATCH(A976&amp;"ENTRADA",Movimientos!$R$5:$R$2001,0)),"-")</f>
        <v>-</v>
      </c>
      <c r="D976" s="3" t="str">
        <f>IFERROR(INDEX(Movimientos!$E$5:$E$2001,MATCH(A976&amp;"ENTRADA",Movimientos!$R$5:$R$2001,0)),"-")</f>
        <v>-</v>
      </c>
      <c r="E976" s="3" t="str">
        <f>IFERROR(INDEX(Movimientos!$F$5:$F$2001,MATCH(A976&amp;"ENTRADA",Movimientos!$R$5:$R$2001,0)),"-")</f>
        <v>-</v>
      </c>
      <c r="F976" s="3" t="str">
        <f>IFERROR(INDEX(Movimientos!$G$5:$G$2001,MATCH(A976&amp;"ENTRADA",Movimientos!$R$5:$R$2001,0)),"-")</f>
        <v>-</v>
      </c>
      <c r="G976" s="3" t="str">
        <f>IFERROR(INDEX(Movimientos!$L$5:$L$2001,MATCH(A976&amp;"ENTRADA",Movimientos!$R$5:$R$2001,0)),"-")</f>
        <v>-</v>
      </c>
      <c r="H976" s="19" t="str">
        <f>IFERROR(IF(INDEX(Movimientos!$M$5:$M$2001,MATCH(A976&amp;"ENTRADA",Movimientos!$R$5:$R$2001,0))=0,"S/D",INDEX(Movimientos!$M$5:$M$2001,MATCH(A976&amp;"ENTRADA",Movimientos!$R$5:$R$2001,0))),"S/D")</f>
        <v>S/D</v>
      </c>
      <c r="I976" s="16" t="str">
        <f t="shared" ca="1" si="32"/>
        <v>S/D</v>
      </c>
      <c r="J976" s="6">
        <f>IF(A976="","",SUMIFS(Movimientos!$K:$K,Movimientos!$H:$H,A976))</f>
        <v>0</v>
      </c>
      <c r="K976" s="14" t="str">
        <f t="shared" ca="1" si="33"/>
        <v>OK</v>
      </c>
    </row>
    <row r="977" spans="1:11">
      <c r="A977" s="18" t="s">
        <v>3038</v>
      </c>
      <c r="B977" s="3" t="str">
        <f>IFERROR(INDEX(Movimientos!$C$5:$C$2001,MATCH(A977&amp;"ENTRADA",Movimientos!$R$5:$R$2001,0)),"-")</f>
        <v>-</v>
      </c>
      <c r="C977" s="3" t="str">
        <f>IFERROR(INDEX(Movimientos!$D$5:$D$2001,MATCH(A977&amp;"ENTRADA",Movimientos!$R$5:$R$2001,0)),"-")</f>
        <v>-</v>
      </c>
      <c r="D977" s="3" t="str">
        <f>IFERROR(INDEX(Movimientos!$E$5:$E$2001,MATCH(A977&amp;"ENTRADA",Movimientos!$R$5:$R$2001,0)),"-")</f>
        <v>-</v>
      </c>
      <c r="E977" s="3" t="str">
        <f>IFERROR(INDEX(Movimientos!$F$5:$F$2001,MATCH(A977&amp;"ENTRADA",Movimientos!$R$5:$R$2001,0)),"-")</f>
        <v>-</v>
      </c>
      <c r="F977" s="3" t="str">
        <f>IFERROR(INDEX(Movimientos!$G$5:$G$2001,MATCH(A977&amp;"ENTRADA",Movimientos!$R$5:$R$2001,0)),"-")</f>
        <v>-</v>
      </c>
      <c r="G977" s="3" t="str">
        <f>IFERROR(INDEX(Movimientos!$L$5:$L$2001,MATCH(A977&amp;"ENTRADA",Movimientos!$R$5:$R$2001,0)),"-")</f>
        <v>-</v>
      </c>
      <c r="H977" s="19" t="str">
        <f>IFERROR(IF(INDEX(Movimientos!$M$5:$M$2001,MATCH(A977&amp;"ENTRADA",Movimientos!$R$5:$R$2001,0))=0,"S/D",INDEX(Movimientos!$M$5:$M$2001,MATCH(A977&amp;"ENTRADA",Movimientos!$R$5:$R$2001,0))),"S/D")</f>
        <v>S/D</v>
      </c>
      <c r="I977" s="16" t="str">
        <f t="shared" ca="1" si="32"/>
        <v>S/D</v>
      </c>
      <c r="J977" s="6">
        <f>IF(A977="","",SUMIFS(Movimientos!$K:$K,Movimientos!$H:$H,A977))</f>
        <v>0</v>
      </c>
      <c r="K977" s="14" t="str">
        <f t="shared" ca="1" si="33"/>
        <v>OK</v>
      </c>
    </row>
    <row r="978" spans="1:11">
      <c r="A978" s="18" t="s">
        <v>3039</v>
      </c>
      <c r="B978" s="3" t="str">
        <f>IFERROR(INDEX(Movimientos!$C$5:$C$2001,MATCH(A978&amp;"ENTRADA",Movimientos!$R$5:$R$2001,0)),"-")</f>
        <v>-</v>
      </c>
      <c r="C978" s="3" t="str">
        <f>IFERROR(INDEX(Movimientos!$D$5:$D$2001,MATCH(A978&amp;"ENTRADA",Movimientos!$R$5:$R$2001,0)),"-")</f>
        <v>-</v>
      </c>
      <c r="D978" s="3" t="str">
        <f>IFERROR(INDEX(Movimientos!$E$5:$E$2001,MATCH(A978&amp;"ENTRADA",Movimientos!$R$5:$R$2001,0)),"-")</f>
        <v>-</v>
      </c>
      <c r="E978" s="3" t="str">
        <f>IFERROR(INDEX(Movimientos!$F$5:$F$2001,MATCH(A978&amp;"ENTRADA",Movimientos!$R$5:$R$2001,0)),"-")</f>
        <v>-</v>
      </c>
      <c r="F978" s="3" t="str">
        <f>IFERROR(INDEX(Movimientos!$G$5:$G$2001,MATCH(A978&amp;"ENTRADA",Movimientos!$R$5:$R$2001,0)),"-")</f>
        <v>-</v>
      </c>
      <c r="G978" s="3" t="str">
        <f>IFERROR(INDEX(Movimientos!$L$5:$L$2001,MATCH(A978&amp;"ENTRADA",Movimientos!$R$5:$R$2001,0)),"-")</f>
        <v>-</v>
      </c>
      <c r="H978" s="19" t="str">
        <f>IFERROR(IF(INDEX(Movimientos!$M$5:$M$2001,MATCH(A978&amp;"ENTRADA",Movimientos!$R$5:$R$2001,0))=0,"S/D",INDEX(Movimientos!$M$5:$M$2001,MATCH(A978&amp;"ENTRADA",Movimientos!$R$5:$R$2001,0))),"S/D")</f>
        <v>S/D</v>
      </c>
      <c r="I978" s="16" t="str">
        <f t="shared" ca="1" si="32"/>
        <v>S/D</v>
      </c>
      <c r="J978" s="6">
        <f>IF(A978="","",SUMIFS(Movimientos!$K:$K,Movimientos!$H:$H,A978))</f>
        <v>0</v>
      </c>
      <c r="K978" s="14" t="str">
        <f t="shared" ca="1" si="33"/>
        <v>OK</v>
      </c>
    </row>
    <row r="979" spans="1:11">
      <c r="A979" s="18" t="s">
        <v>3040</v>
      </c>
      <c r="B979" s="3" t="str">
        <f>IFERROR(INDEX(Movimientos!$C$5:$C$2001,MATCH(A979&amp;"ENTRADA",Movimientos!$R$5:$R$2001,0)),"-")</f>
        <v>-</v>
      </c>
      <c r="C979" s="3" t="str">
        <f>IFERROR(INDEX(Movimientos!$D$5:$D$2001,MATCH(A979&amp;"ENTRADA",Movimientos!$R$5:$R$2001,0)),"-")</f>
        <v>-</v>
      </c>
      <c r="D979" s="3" t="str">
        <f>IFERROR(INDEX(Movimientos!$E$5:$E$2001,MATCH(A979&amp;"ENTRADA",Movimientos!$R$5:$R$2001,0)),"-")</f>
        <v>-</v>
      </c>
      <c r="E979" s="3" t="str">
        <f>IFERROR(INDEX(Movimientos!$F$5:$F$2001,MATCH(A979&amp;"ENTRADA",Movimientos!$R$5:$R$2001,0)),"-")</f>
        <v>-</v>
      </c>
      <c r="F979" s="3" t="str">
        <f>IFERROR(INDEX(Movimientos!$G$5:$G$2001,MATCH(A979&amp;"ENTRADA",Movimientos!$R$5:$R$2001,0)),"-")</f>
        <v>-</v>
      </c>
      <c r="G979" s="3" t="str">
        <f>IFERROR(INDEX(Movimientos!$L$5:$L$2001,MATCH(A979&amp;"ENTRADA",Movimientos!$R$5:$R$2001,0)),"-")</f>
        <v>-</v>
      </c>
      <c r="H979" s="19" t="str">
        <f>IFERROR(IF(INDEX(Movimientos!$M$5:$M$2001,MATCH(A979&amp;"ENTRADA",Movimientos!$R$5:$R$2001,0))=0,"S/D",INDEX(Movimientos!$M$5:$M$2001,MATCH(A979&amp;"ENTRADA",Movimientos!$R$5:$R$2001,0))),"S/D")</f>
        <v>S/D</v>
      </c>
      <c r="I979" s="16" t="str">
        <f t="shared" ca="1" si="32"/>
        <v>S/D</v>
      </c>
      <c r="J979" s="6">
        <f>IF(A979="","",SUMIFS(Movimientos!$K:$K,Movimientos!$H:$H,A979))</f>
        <v>0</v>
      </c>
      <c r="K979" s="14" t="str">
        <f t="shared" ca="1" si="33"/>
        <v>OK</v>
      </c>
    </row>
    <row r="980" spans="1:11">
      <c r="A980" s="18" t="s">
        <v>3041</v>
      </c>
      <c r="B980" s="3" t="str">
        <f>IFERROR(INDEX(Movimientos!$C$5:$C$2001,MATCH(A980&amp;"ENTRADA",Movimientos!$R$5:$R$2001,0)),"-")</f>
        <v>-</v>
      </c>
      <c r="C980" s="3" t="str">
        <f>IFERROR(INDEX(Movimientos!$D$5:$D$2001,MATCH(A980&amp;"ENTRADA",Movimientos!$R$5:$R$2001,0)),"-")</f>
        <v>-</v>
      </c>
      <c r="D980" s="3" t="str">
        <f>IFERROR(INDEX(Movimientos!$E$5:$E$2001,MATCH(A980&amp;"ENTRADA",Movimientos!$R$5:$R$2001,0)),"-")</f>
        <v>-</v>
      </c>
      <c r="E980" s="3" t="str">
        <f>IFERROR(INDEX(Movimientos!$F$5:$F$2001,MATCH(A980&amp;"ENTRADA",Movimientos!$R$5:$R$2001,0)),"-")</f>
        <v>-</v>
      </c>
      <c r="F980" s="3" t="str">
        <f>IFERROR(INDEX(Movimientos!$G$5:$G$2001,MATCH(A980&amp;"ENTRADA",Movimientos!$R$5:$R$2001,0)),"-")</f>
        <v>-</v>
      </c>
      <c r="G980" s="3" t="str">
        <f>IFERROR(INDEX(Movimientos!$L$5:$L$2001,MATCH(A980&amp;"ENTRADA",Movimientos!$R$5:$R$2001,0)),"-")</f>
        <v>-</v>
      </c>
      <c r="H980" s="19" t="str">
        <f>IFERROR(IF(INDEX(Movimientos!$M$5:$M$2001,MATCH(A980&amp;"ENTRADA",Movimientos!$R$5:$R$2001,0))=0,"S/D",INDEX(Movimientos!$M$5:$M$2001,MATCH(A980&amp;"ENTRADA",Movimientos!$R$5:$R$2001,0))),"S/D")</f>
        <v>S/D</v>
      </c>
      <c r="I980" s="16" t="str">
        <f t="shared" ca="1" si="32"/>
        <v>S/D</v>
      </c>
      <c r="J980" s="6">
        <f>IF(A980="","",SUMIFS(Movimientos!$K:$K,Movimientos!$H:$H,A980))</f>
        <v>0</v>
      </c>
      <c r="K980" s="14" t="str">
        <f t="shared" ca="1" si="33"/>
        <v>OK</v>
      </c>
    </row>
    <row r="981" spans="1:11">
      <c r="A981" s="18" t="s">
        <v>3042</v>
      </c>
      <c r="B981" s="3" t="str">
        <f>IFERROR(INDEX(Movimientos!$C$5:$C$2001,MATCH(A981&amp;"ENTRADA",Movimientos!$R$5:$R$2001,0)),"-")</f>
        <v>-</v>
      </c>
      <c r="C981" s="3" t="str">
        <f>IFERROR(INDEX(Movimientos!$D$5:$D$2001,MATCH(A981&amp;"ENTRADA",Movimientos!$R$5:$R$2001,0)),"-")</f>
        <v>-</v>
      </c>
      <c r="D981" s="3" t="str">
        <f>IFERROR(INDEX(Movimientos!$E$5:$E$2001,MATCH(A981&amp;"ENTRADA",Movimientos!$R$5:$R$2001,0)),"-")</f>
        <v>-</v>
      </c>
      <c r="E981" s="3" t="str">
        <f>IFERROR(INDEX(Movimientos!$F$5:$F$2001,MATCH(A981&amp;"ENTRADA",Movimientos!$R$5:$R$2001,0)),"-")</f>
        <v>-</v>
      </c>
      <c r="F981" s="3" t="str">
        <f>IFERROR(INDEX(Movimientos!$G$5:$G$2001,MATCH(A981&amp;"ENTRADA",Movimientos!$R$5:$R$2001,0)),"-")</f>
        <v>-</v>
      </c>
      <c r="G981" s="3" t="str">
        <f>IFERROR(INDEX(Movimientos!$L$5:$L$2001,MATCH(A981&amp;"ENTRADA",Movimientos!$R$5:$R$2001,0)),"-")</f>
        <v>-</v>
      </c>
      <c r="H981" s="19" t="str">
        <f>IFERROR(IF(INDEX(Movimientos!$M$5:$M$2001,MATCH(A981&amp;"ENTRADA",Movimientos!$R$5:$R$2001,0))=0,"S/D",INDEX(Movimientos!$M$5:$M$2001,MATCH(A981&amp;"ENTRADA",Movimientos!$R$5:$R$2001,0))),"S/D")</f>
        <v>S/D</v>
      </c>
      <c r="I981" s="16" t="str">
        <f t="shared" ca="1" si="32"/>
        <v>S/D</v>
      </c>
      <c r="J981" s="6">
        <f>IF(A981="","",SUMIFS(Movimientos!$K:$K,Movimientos!$H:$H,A981))</f>
        <v>0</v>
      </c>
      <c r="K981" s="14" t="str">
        <f t="shared" ca="1" si="33"/>
        <v>OK</v>
      </c>
    </row>
    <row r="982" spans="1:11">
      <c r="A982" s="18" t="s">
        <v>3043</v>
      </c>
      <c r="B982" s="3" t="str">
        <f>IFERROR(INDEX(Movimientos!$C$5:$C$2001,MATCH(A982&amp;"ENTRADA",Movimientos!$R$5:$R$2001,0)),"-")</f>
        <v>-</v>
      </c>
      <c r="C982" s="3" t="str">
        <f>IFERROR(INDEX(Movimientos!$D$5:$D$2001,MATCH(A982&amp;"ENTRADA",Movimientos!$R$5:$R$2001,0)),"-")</f>
        <v>-</v>
      </c>
      <c r="D982" s="3" t="str">
        <f>IFERROR(INDEX(Movimientos!$E$5:$E$2001,MATCH(A982&amp;"ENTRADA",Movimientos!$R$5:$R$2001,0)),"-")</f>
        <v>-</v>
      </c>
      <c r="E982" s="3" t="str">
        <f>IFERROR(INDEX(Movimientos!$F$5:$F$2001,MATCH(A982&amp;"ENTRADA",Movimientos!$R$5:$R$2001,0)),"-")</f>
        <v>-</v>
      </c>
      <c r="F982" s="3" t="str">
        <f>IFERROR(INDEX(Movimientos!$G$5:$G$2001,MATCH(A982&amp;"ENTRADA",Movimientos!$R$5:$R$2001,0)),"-")</f>
        <v>-</v>
      </c>
      <c r="G982" s="3" t="str">
        <f>IFERROR(INDEX(Movimientos!$L$5:$L$2001,MATCH(A982&amp;"ENTRADA",Movimientos!$R$5:$R$2001,0)),"-")</f>
        <v>-</v>
      </c>
      <c r="H982" s="19" t="str">
        <f>IFERROR(IF(INDEX(Movimientos!$M$5:$M$2001,MATCH(A982&amp;"ENTRADA",Movimientos!$R$5:$R$2001,0))=0,"S/D",INDEX(Movimientos!$M$5:$M$2001,MATCH(A982&amp;"ENTRADA",Movimientos!$R$5:$R$2001,0))),"S/D")</f>
        <v>S/D</v>
      </c>
      <c r="I982" s="16" t="str">
        <f t="shared" ca="1" si="32"/>
        <v>S/D</v>
      </c>
      <c r="J982" s="6">
        <f>IF(A982="","",SUMIFS(Movimientos!$K:$K,Movimientos!$H:$H,A982))</f>
        <v>0</v>
      </c>
      <c r="K982" s="14" t="str">
        <f t="shared" ca="1" si="33"/>
        <v>OK</v>
      </c>
    </row>
    <row r="983" spans="1:11">
      <c r="A983" s="18" t="s">
        <v>3044</v>
      </c>
      <c r="B983" s="3" t="str">
        <f>IFERROR(INDEX(Movimientos!$C$5:$C$2001,MATCH(A983&amp;"ENTRADA",Movimientos!$R$5:$R$2001,0)),"-")</f>
        <v>-</v>
      </c>
      <c r="C983" s="3" t="str">
        <f>IFERROR(INDEX(Movimientos!$D$5:$D$2001,MATCH(A983&amp;"ENTRADA",Movimientos!$R$5:$R$2001,0)),"-")</f>
        <v>-</v>
      </c>
      <c r="D983" s="3" t="str">
        <f>IFERROR(INDEX(Movimientos!$E$5:$E$2001,MATCH(A983&amp;"ENTRADA",Movimientos!$R$5:$R$2001,0)),"-")</f>
        <v>-</v>
      </c>
      <c r="E983" s="3" t="str">
        <f>IFERROR(INDEX(Movimientos!$F$5:$F$2001,MATCH(A983&amp;"ENTRADA",Movimientos!$R$5:$R$2001,0)),"-")</f>
        <v>-</v>
      </c>
      <c r="F983" s="3" t="str">
        <f>IFERROR(INDEX(Movimientos!$G$5:$G$2001,MATCH(A983&amp;"ENTRADA",Movimientos!$R$5:$R$2001,0)),"-")</f>
        <v>-</v>
      </c>
      <c r="G983" s="3" t="str">
        <f>IFERROR(INDEX(Movimientos!$L$5:$L$2001,MATCH(A983&amp;"ENTRADA",Movimientos!$R$5:$R$2001,0)),"-")</f>
        <v>-</v>
      </c>
      <c r="H983" s="19" t="str">
        <f>IFERROR(IF(INDEX(Movimientos!$M$5:$M$2001,MATCH(A983&amp;"ENTRADA",Movimientos!$R$5:$R$2001,0))=0,"S/D",INDEX(Movimientos!$M$5:$M$2001,MATCH(A983&amp;"ENTRADA",Movimientos!$R$5:$R$2001,0))),"S/D")</f>
        <v>S/D</v>
      </c>
      <c r="I983" s="16" t="str">
        <f t="shared" ca="1" si="32"/>
        <v>S/D</v>
      </c>
      <c r="J983" s="6">
        <f>IF(A983="","",SUMIFS(Movimientos!$K:$K,Movimientos!$H:$H,A983))</f>
        <v>0</v>
      </c>
      <c r="K983" s="14" t="str">
        <f t="shared" ca="1" si="33"/>
        <v>OK</v>
      </c>
    </row>
    <row r="984" spans="1:11">
      <c r="A984" s="18" t="s">
        <v>3045</v>
      </c>
      <c r="B984" s="3" t="str">
        <f>IFERROR(INDEX(Movimientos!$C$5:$C$2001,MATCH(A984&amp;"ENTRADA",Movimientos!$R$5:$R$2001,0)),"-")</f>
        <v>-</v>
      </c>
      <c r="C984" s="3" t="str">
        <f>IFERROR(INDEX(Movimientos!$D$5:$D$2001,MATCH(A984&amp;"ENTRADA",Movimientos!$R$5:$R$2001,0)),"-")</f>
        <v>-</v>
      </c>
      <c r="D984" s="3" t="str">
        <f>IFERROR(INDEX(Movimientos!$E$5:$E$2001,MATCH(A984&amp;"ENTRADA",Movimientos!$R$5:$R$2001,0)),"-")</f>
        <v>-</v>
      </c>
      <c r="E984" s="3" t="str">
        <f>IFERROR(INDEX(Movimientos!$F$5:$F$2001,MATCH(A984&amp;"ENTRADA",Movimientos!$R$5:$R$2001,0)),"-")</f>
        <v>-</v>
      </c>
      <c r="F984" s="3" t="str">
        <f>IFERROR(INDEX(Movimientos!$G$5:$G$2001,MATCH(A984&amp;"ENTRADA",Movimientos!$R$5:$R$2001,0)),"-")</f>
        <v>-</v>
      </c>
      <c r="G984" s="3" t="str">
        <f>IFERROR(INDEX(Movimientos!$L$5:$L$2001,MATCH(A984&amp;"ENTRADA",Movimientos!$R$5:$R$2001,0)),"-")</f>
        <v>-</v>
      </c>
      <c r="H984" s="19" t="str">
        <f>IFERROR(IF(INDEX(Movimientos!$M$5:$M$2001,MATCH(A984&amp;"ENTRADA",Movimientos!$R$5:$R$2001,0))=0,"S/D",INDEX(Movimientos!$M$5:$M$2001,MATCH(A984&amp;"ENTRADA",Movimientos!$R$5:$R$2001,0))),"S/D")</f>
        <v>S/D</v>
      </c>
      <c r="I984" s="16" t="str">
        <f t="shared" ca="1" si="32"/>
        <v>S/D</v>
      </c>
      <c r="J984" s="6">
        <f>IF(A984="","",SUMIFS(Movimientos!$K:$K,Movimientos!$H:$H,A984))</f>
        <v>0</v>
      </c>
      <c r="K984" s="14" t="str">
        <f t="shared" ca="1" si="33"/>
        <v>OK</v>
      </c>
    </row>
    <row r="985" spans="1:11">
      <c r="A985" s="18" t="s">
        <v>3046</v>
      </c>
      <c r="B985" s="3" t="str">
        <f>IFERROR(INDEX(Movimientos!$C$5:$C$2001,MATCH(A985&amp;"ENTRADA",Movimientos!$R$5:$R$2001,0)),"-")</f>
        <v>-</v>
      </c>
      <c r="C985" s="3" t="str">
        <f>IFERROR(INDEX(Movimientos!$D$5:$D$2001,MATCH(A985&amp;"ENTRADA",Movimientos!$R$5:$R$2001,0)),"-")</f>
        <v>-</v>
      </c>
      <c r="D985" s="3" t="str">
        <f>IFERROR(INDEX(Movimientos!$E$5:$E$2001,MATCH(A985&amp;"ENTRADA",Movimientos!$R$5:$R$2001,0)),"-")</f>
        <v>-</v>
      </c>
      <c r="E985" s="3" t="str">
        <f>IFERROR(INDEX(Movimientos!$F$5:$F$2001,MATCH(A985&amp;"ENTRADA",Movimientos!$R$5:$R$2001,0)),"-")</f>
        <v>-</v>
      </c>
      <c r="F985" s="3" t="str">
        <f>IFERROR(INDEX(Movimientos!$G$5:$G$2001,MATCH(A985&amp;"ENTRADA",Movimientos!$R$5:$R$2001,0)),"-")</f>
        <v>-</v>
      </c>
      <c r="G985" s="3" t="str">
        <f>IFERROR(INDEX(Movimientos!$L$5:$L$2001,MATCH(A985&amp;"ENTRADA",Movimientos!$R$5:$R$2001,0)),"-")</f>
        <v>-</v>
      </c>
      <c r="H985" s="19" t="str">
        <f>IFERROR(IF(INDEX(Movimientos!$M$5:$M$2001,MATCH(A985&amp;"ENTRADA",Movimientos!$R$5:$R$2001,0))=0,"S/D",INDEX(Movimientos!$M$5:$M$2001,MATCH(A985&amp;"ENTRADA",Movimientos!$R$5:$R$2001,0))),"S/D")</f>
        <v>S/D</v>
      </c>
      <c r="I985" s="16" t="str">
        <f t="shared" ca="1" si="32"/>
        <v>S/D</v>
      </c>
      <c r="J985" s="6">
        <f>IF(A985="","",SUMIFS(Movimientos!$K:$K,Movimientos!$H:$H,A985))</f>
        <v>0</v>
      </c>
      <c r="K985" s="14" t="str">
        <f t="shared" ca="1" si="33"/>
        <v>OK</v>
      </c>
    </row>
    <row r="986" spans="1:11">
      <c r="A986" s="18" t="s">
        <v>3047</v>
      </c>
      <c r="B986" s="3" t="str">
        <f>IFERROR(INDEX(Movimientos!$C$5:$C$2001,MATCH(A986&amp;"ENTRADA",Movimientos!$R$5:$R$2001,0)),"-")</f>
        <v>-</v>
      </c>
      <c r="C986" s="3" t="str">
        <f>IFERROR(INDEX(Movimientos!$D$5:$D$2001,MATCH(A986&amp;"ENTRADA",Movimientos!$R$5:$R$2001,0)),"-")</f>
        <v>-</v>
      </c>
      <c r="D986" s="3" t="str">
        <f>IFERROR(INDEX(Movimientos!$E$5:$E$2001,MATCH(A986&amp;"ENTRADA",Movimientos!$R$5:$R$2001,0)),"-")</f>
        <v>-</v>
      </c>
      <c r="E986" s="3" t="str">
        <f>IFERROR(INDEX(Movimientos!$F$5:$F$2001,MATCH(A986&amp;"ENTRADA",Movimientos!$R$5:$R$2001,0)),"-")</f>
        <v>-</v>
      </c>
      <c r="F986" s="3" t="str">
        <f>IFERROR(INDEX(Movimientos!$G$5:$G$2001,MATCH(A986&amp;"ENTRADA",Movimientos!$R$5:$R$2001,0)),"-")</f>
        <v>-</v>
      </c>
      <c r="G986" s="3" t="str">
        <f>IFERROR(INDEX(Movimientos!$L$5:$L$2001,MATCH(A986&amp;"ENTRADA",Movimientos!$R$5:$R$2001,0)),"-")</f>
        <v>-</v>
      </c>
      <c r="H986" s="19" t="str">
        <f>IFERROR(IF(INDEX(Movimientos!$M$5:$M$2001,MATCH(A986&amp;"ENTRADA",Movimientos!$R$5:$R$2001,0))=0,"S/D",INDEX(Movimientos!$M$5:$M$2001,MATCH(A986&amp;"ENTRADA",Movimientos!$R$5:$R$2001,0))),"S/D")</f>
        <v>S/D</v>
      </c>
      <c r="I986" s="16" t="str">
        <f t="shared" ca="1" si="32"/>
        <v>S/D</v>
      </c>
      <c r="J986" s="6">
        <f>IF(A986="","",SUMIFS(Movimientos!$K:$K,Movimientos!$H:$H,A986))</f>
        <v>0</v>
      </c>
      <c r="K986" s="14" t="str">
        <f t="shared" ca="1" si="33"/>
        <v>OK</v>
      </c>
    </row>
    <row r="987" spans="1:11">
      <c r="A987" s="18" t="s">
        <v>3048</v>
      </c>
      <c r="B987" s="3" t="str">
        <f>IFERROR(INDEX(Movimientos!$C$5:$C$2001,MATCH(A987&amp;"ENTRADA",Movimientos!$R$5:$R$2001,0)),"-")</f>
        <v>-</v>
      </c>
      <c r="C987" s="3" t="str">
        <f>IFERROR(INDEX(Movimientos!$D$5:$D$2001,MATCH(A987&amp;"ENTRADA",Movimientos!$R$5:$R$2001,0)),"-")</f>
        <v>-</v>
      </c>
      <c r="D987" s="3" t="str">
        <f>IFERROR(INDEX(Movimientos!$E$5:$E$2001,MATCH(A987&amp;"ENTRADA",Movimientos!$R$5:$R$2001,0)),"-")</f>
        <v>-</v>
      </c>
      <c r="E987" s="3" t="str">
        <f>IFERROR(INDEX(Movimientos!$F$5:$F$2001,MATCH(A987&amp;"ENTRADA",Movimientos!$R$5:$R$2001,0)),"-")</f>
        <v>-</v>
      </c>
      <c r="F987" s="3" t="str">
        <f>IFERROR(INDEX(Movimientos!$G$5:$G$2001,MATCH(A987&amp;"ENTRADA",Movimientos!$R$5:$R$2001,0)),"-")</f>
        <v>-</v>
      </c>
      <c r="G987" s="3" t="str">
        <f>IFERROR(INDEX(Movimientos!$L$5:$L$2001,MATCH(A987&amp;"ENTRADA",Movimientos!$R$5:$R$2001,0)),"-")</f>
        <v>-</v>
      </c>
      <c r="H987" s="19" t="str">
        <f>IFERROR(IF(INDEX(Movimientos!$M$5:$M$2001,MATCH(A987&amp;"ENTRADA",Movimientos!$R$5:$R$2001,0))=0,"S/D",INDEX(Movimientos!$M$5:$M$2001,MATCH(A987&amp;"ENTRADA",Movimientos!$R$5:$R$2001,0))),"S/D")</f>
        <v>S/D</v>
      </c>
      <c r="I987" s="16" t="str">
        <f t="shared" ca="1" si="32"/>
        <v>S/D</v>
      </c>
      <c r="J987" s="6">
        <f>IF(A987="","",SUMIFS(Movimientos!$K:$K,Movimientos!$H:$H,A987))</f>
        <v>0</v>
      </c>
      <c r="K987" s="14" t="str">
        <f t="shared" ca="1" si="33"/>
        <v>OK</v>
      </c>
    </row>
    <row r="988" spans="1:11">
      <c r="A988" s="18" t="s">
        <v>3049</v>
      </c>
      <c r="B988" s="3" t="str">
        <f>IFERROR(INDEX(Movimientos!$C$5:$C$2001,MATCH(A988&amp;"ENTRADA",Movimientos!$R$5:$R$2001,0)),"-")</f>
        <v>-</v>
      </c>
      <c r="C988" s="3" t="str">
        <f>IFERROR(INDEX(Movimientos!$D$5:$D$2001,MATCH(A988&amp;"ENTRADA",Movimientos!$R$5:$R$2001,0)),"-")</f>
        <v>-</v>
      </c>
      <c r="D988" s="3" t="str">
        <f>IFERROR(INDEX(Movimientos!$E$5:$E$2001,MATCH(A988&amp;"ENTRADA",Movimientos!$R$5:$R$2001,0)),"-")</f>
        <v>-</v>
      </c>
      <c r="E988" s="3" t="str">
        <f>IFERROR(INDEX(Movimientos!$F$5:$F$2001,MATCH(A988&amp;"ENTRADA",Movimientos!$R$5:$R$2001,0)),"-")</f>
        <v>-</v>
      </c>
      <c r="F988" s="3" t="str">
        <f>IFERROR(INDEX(Movimientos!$G$5:$G$2001,MATCH(A988&amp;"ENTRADA",Movimientos!$R$5:$R$2001,0)),"-")</f>
        <v>-</v>
      </c>
      <c r="G988" s="3" t="str">
        <f>IFERROR(INDEX(Movimientos!$L$5:$L$2001,MATCH(A988&amp;"ENTRADA",Movimientos!$R$5:$R$2001,0)),"-")</f>
        <v>-</v>
      </c>
      <c r="H988" s="19" t="str">
        <f>IFERROR(IF(INDEX(Movimientos!$M$5:$M$2001,MATCH(A988&amp;"ENTRADA",Movimientos!$R$5:$R$2001,0))=0,"S/D",INDEX(Movimientos!$M$5:$M$2001,MATCH(A988&amp;"ENTRADA",Movimientos!$R$5:$R$2001,0))),"S/D")</f>
        <v>S/D</v>
      </c>
      <c r="I988" s="16" t="str">
        <f t="shared" ca="1" si="32"/>
        <v>S/D</v>
      </c>
      <c r="J988" s="6">
        <f>IF(A988="","",SUMIFS(Movimientos!$K:$K,Movimientos!$H:$H,A988))</f>
        <v>0</v>
      </c>
      <c r="K988" s="14" t="str">
        <f t="shared" ca="1" si="33"/>
        <v>OK</v>
      </c>
    </row>
    <row r="989" spans="1:11">
      <c r="A989" s="18" t="s">
        <v>3050</v>
      </c>
      <c r="B989" s="3" t="str">
        <f>IFERROR(INDEX(Movimientos!$C$5:$C$2001,MATCH(A989&amp;"ENTRADA",Movimientos!$R$5:$R$2001,0)),"-")</f>
        <v>-</v>
      </c>
      <c r="C989" s="3" t="str">
        <f>IFERROR(INDEX(Movimientos!$D$5:$D$2001,MATCH(A989&amp;"ENTRADA",Movimientos!$R$5:$R$2001,0)),"-")</f>
        <v>-</v>
      </c>
      <c r="D989" s="3" t="str">
        <f>IFERROR(INDEX(Movimientos!$E$5:$E$2001,MATCH(A989&amp;"ENTRADA",Movimientos!$R$5:$R$2001,0)),"-")</f>
        <v>-</v>
      </c>
      <c r="E989" s="3" t="str">
        <f>IFERROR(INDEX(Movimientos!$F$5:$F$2001,MATCH(A989&amp;"ENTRADA",Movimientos!$R$5:$R$2001,0)),"-")</f>
        <v>-</v>
      </c>
      <c r="F989" s="3" t="str">
        <f>IFERROR(INDEX(Movimientos!$G$5:$G$2001,MATCH(A989&amp;"ENTRADA",Movimientos!$R$5:$R$2001,0)),"-")</f>
        <v>-</v>
      </c>
      <c r="G989" s="3" t="str">
        <f>IFERROR(INDEX(Movimientos!$L$5:$L$2001,MATCH(A989&amp;"ENTRADA",Movimientos!$R$5:$R$2001,0)),"-")</f>
        <v>-</v>
      </c>
      <c r="H989" s="19" t="str">
        <f>IFERROR(IF(INDEX(Movimientos!$M$5:$M$2001,MATCH(A989&amp;"ENTRADA",Movimientos!$R$5:$R$2001,0))=0,"S/D",INDEX(Movimientos!$M$5:$M$2001,MATCH(A989&amp;"ENTRADA",Movimientos!$R$5:$R$2001,0))),"S/D")</f>
        <v>S/D</v>
      </c>
      <c r="I989" s="16" t="str">
        <f t="shared" ca="1" si="32"/>
        <v>S/D</v>
      </c>
      <c r="J989" s="6">
        <f>IF(A989="","",SUMIFS(Movimientos!$K:$K,Movimientos!$H:$H,A989))</f>
        <v>0</v>
      </c>
      <c r="K989" s="14" t="str">
        <f t="shared" ca="1" si="33"/>
        <v>OK</v>
      </c>
    </row>
    <row r="990" spans="1:11">
      <c r="A990" s="18" t="s">
        <v>3051</v>
      </c>
      <c r="B990" s="3" t="str">
        <f>IFERROR(INDEX(Movimientos!$C$5:$C$2001,MATCH(A990&amp;"ENTRADA",Movimientos!$R$5:$R$2001,0)),"-")</f>
        <v>-</v>
      </c>
      <c r="C990" s="3" t="str">
        <f>IFERROR(INDEX(Movimientos!$D$5:$D$2001,MATCH(A990&amp;"ENTRADA",Movimientos!$R$5:$R$2001,0)),"-")</f>
        <v>-</v>
      </c>
      <c r="D990" s="3" t="str">
        <f>IFERROR(INDEX(Movimientos!$E$5:$E$2001,MATCH(A990&amp;"ENTRADA",Movimientos!$R$5:$R$2001,0)),"-")</f>
        <v>-</v>
      </c>
      <c r="E990" s="3" t="str">
        <f>IFERROR(INDEX(Movimientos!$F$5:$F$2001,MATCH(A990&amp;"ENTRADA",Movimientos!$R$5:$R$2001,0)),"-")</f>
        <v>-</v>
      </c>
      <c r="F990" s="3" t="str">
        <f>IFERROR(INDEX(Movimientos!$G$5:$G$2001,MATCH(A990&amp;"ENTRADA",Movimientos!$R$5:$R$2001,0)),"-")</f>
        <v>-</v>
      </c>
      <c r="G990" s="3" t="str">
        <f>IFERROR(INDEX(Movimientos!$L$5:$L$2001,MATCH(A990&amp;"ENTRADA",Movimientos!$R$5:$R$2001,0)),"-")</f>
        <v>-</v>
      </c>
      <c r="H990" s="19" t="str">
        <f>IFERROR(IF(INDEX(Movimientos!$M$5:$M$2001,MATCH(A990&amp;"ENTRADA",Movimientos!$R$5:$R$2001,0))=0,"S/D",INDEX(Movimientos!$M$5:$M$2001,MATCH(A990&amp;"ENTRADA",Movimientos!$R$5:$R$2001,0))),"S/D")</f>
        <v>S/D</v>
      </c>
      <c r="I990" s="16" t="str">
        <f t="shared" ca="1" si="32"/>
        <v>S/D</v>
      </c>
      <c r="J990" s="6">
        <f>IF(A990="","",SUMIFS(Movimientos!$K:$K,Movimientos!$H:$H,A990))</f>
        <v>0</v>
      </c>
      <c r="K990" s="14" t="str">
        <f t="shared" ca="1" si="33"/>
        <v>OK</v>
      </c>
    </row>
    <row r="991" spans="1:11">
      <c r="A991" s="18" t="s">
        <v>3052</v>
      </c>
      <c r="B991" s="3" t="str">
        <f>IFERROR(INDEX(Movimientos!$C$5:$C$2001,MATCH(A991&amp;"ENTRADA",Movimientos!$R$5:$R$2001,0)),"-")</f>
        <v>-</v>
      </c>
      <c r="C991" s="3" t="str">
        <f>IFERROR(INDEX(Movimientos!$D$5:$D$2001,MATCH(A991&amp;"ENTRADA",Movimientos!$R$5:$R$2001,0)),"-")</f>
        <v>-</v>
      </c>
      <c r="D991" s="3" t="str">
        <f>IFERROR(INDEX(Movimientos!$E$5:$E$2001,MATCH(A991&amp;"ENTRADA",Movimientos!$R$5:$R$2001,0)),"-")</f>
        <v>-</v>
      </c>
      <c r="E991" s="3" t="str">
        <f>IFERROR(INDEX(Movimientos!$F$5:$F$2001,MATCH(A991&amp;"ENTRADA",Movimientos!$R$5:$R$2001,0)),"-")</f>
        <v>-</v>
      </c>
      <c r="F991" s="3" t="str">
        <f>IFERROR(INDEX(Movimientos!$G$5:$G$2001,MATCH(A991&amp;"ENTRADA",Movimientos!$R$5:$R$2001,0)),"-")</f>
        <v>-</v>
      </c>
      <c r="G991" s="3" t="str">
        <f>IFERROR(INDEX(Movimientos!$L$5:$L$2001,MATCH(A991&amp;"ENTRADA",Movimientos!$R$5:$R$2001,0)),"-")</f>
        <v>-</v>
      </c>
      <c r="H991" s="19" t="str">
        <f>IFERROR(IF(INDEX(Movimientos!$M$5:$M$2001,MATCH(A991&amp;"ENTRADA",Movimientos!$R$5:$R$2001,0))=0,"S/D",INDEX(Movimientos!$M$5:$M$2001,MATCH(A991&amp;"ENTRADA",Movimientos!$R$5:$R$2001,0))),"S/D")</f>
        <v>S/D</v>
      </c>
      <c r="I991" s="16" t="str">
        <f t="shared" ca="1" si="32"/>
        <v>S/D</v>
      </c>
      <c r="J991" s="6">
        <f>IF(A991="","",SUMIFS(Movimientos!$K:$K,Movimientos!$H:$H,A991))</f>
        <v>0</v>
      </c>
      <c r="K991" s="14" t="str">
        <f t="shared" ca="1" si="33"/>
        <v>OK</v>
      </c>
    </row>
    <row r="992" spans="1:11">
      <c r="A992" s="18" t="s">
        <v>3053</v>
      </c>
      <c r="B992" s="3" t="str">
        <f>IFERROR(INDEX(Movimientos!$C$5:$C$2001,MATCH(A992&amp;"ENTRADA",Movimientos!$R$5:$R$2001,0)),"-")</f>
        <v>-</v>
      </c>
      <c r="C992" s="3" t="str">
        <f>IFERROR(INDEX(Movimientos!$D$5:$D$2001,MATCH(A992&amp;"ENTRADA",Movimientos!$R$5:$R$2001,0)),"-")</f>
        <v>-</v>
      </c>
      <c r="D992" s="3" t="str">
        <f>IFERROR(INDEX(Movimientos!$E$5:$E$2001,MATCH(A992&amp;"ENTRADA",Movimientos!$R$5:$R$2001,0)),"-")</f>
        <v>-</v>
      </c>
      <c r="E992" s="3" t="str">
        <f>IFERROR(INDEX(Movimientos!$F$5:$F$2001,MATCH(A992&amp;"ENTRADA",Movimientos!$R$5:$R$2001,0)),"-")</f>
        <v>-</v>
      </c>
      <c r="F992" s="3" t="str">
        <f>IFERROR(INDEX(Movimientos!$G$5:$G$2001,MATCH(A992&amp;"ENTRADA",Movimientos!$R$5:$R$2001,0)),"-")</f>
        <v>-</v>
      </c>
      <c r="G992" s="3" t="str">
        <f>IFERROR(INDEX(Movimientos!$L$5:$L$2001,MATCH(A992&amp;"ENTRADA",Movimientos!$R$5:$R$2001,0)),"-")</f>
        <v>-</v>
      </c>
      <c r="H992" s="19" t="str">
        <f>IFERROR(IF(INDEX(Movimientos!$M$5:$M$2001,MATCH(A992&amp;"ENTRADA",Movimientos!$R$5:$R$2001,0))=0,"S/D",INDEX(Movimientos!$M$5:$M$2001,MATCH(A992&amp;"ENTRADA",Movimientos!$R$5:$R$2001,0))),"S/D")</f>
        <v>S/D</v>
      </c>
      <c r="I992" s="16" t="str">
        <f t="shared" ca="1" si="32"/>
        <v>S/D</v>
      </c>
      <c r="J992" s="6">
        <f>IF(A992="","",SUMIFS(Movimientos!$K:$K,Movimientos!$H:$H,A992))</f>
        <v>0</v>
      </c>
      <c r="K992" s="14" t="str">
        <f t="shared" ca="1" si="33"/>
        <v>OK</v>
      </c>
    </row>
    <row r="993" spans="1:11">
      <c r="A993" s="18" t="s">
        <v>3054</v>
      </c>
      <c r="B993" s="3" t="str">
        <f>IFERROR(INDEX(Movimientos!$C$5:$C$2001,MATCH(A993&amp;"ENTRADA",Movimientos!$R$5:$R$2001,0)),"-")</f>
        <v>-</v>
      </c>
      <c r="C993" s="3" t="str">
        <f>IFERROR(INDEX(Movimientos!$D$5:$D$2001,MATCH(A993&amp;"ENTRADA",Movimientos!$R$5:$R$2001,0)),"-")</f>
        <v>-</v>
      </c>
      <c r="D993" s="3" t="str">
        <f>IFERROR(INDEX(Movimientos!$E$5:$E$2001,MATCH(A993&amp;"ENTRADA",Movimientos!$R$5:$R$2001,0)),"-")</f>
        <v>-</v>
      </c>
      <c r="E993" s="3" t="str">
        <f>IFERROR(INDEX(Movimientos!$F$5:$F$2001,MATCH(A993&amp;"ENTRADA",Movimientos!$R$5:$R$2001,0)),"-")</f>
        <v>-</v>
      </c>
      <c r="F993" s="3" t="str">
        <f>IFERROR(INDEX(Movimientos!$G$5:$G$2001,MATCH(A993&amp;"ENTRADA",Movimientos!$R$5:$R$2001,0)),"-")</f>
        <v>-</v>
      </c>
      <c r="G993" s="3" t="str">
        <f>IFERROR(INDEX(Movimientos!$L$5:$L$2001,MATCH(A993&amp;"ENTRADA",Movimientos!$R$5:$R$2001,0)),"-")</f>
        <v>-</v>
      </c>
      <c r="H993" s="19" t="str">
        <f>IFERROR(IF(INDEX(Movimientos!$M$5:$M$2001,MATCH(A993&amp;"ENTRADA",Movimientos!$R$5:$R$2001,0))=0,"S/D",INDEX(Movimientos!$M$5:$M$2001,MATCH(A993&amp;"ENTRADA",Movimientos!$R$5:$R$2001,0))),"S/D")</f>
        <v>S/D</v>
      </c>
      <c r="I993" s="16" t="str">
        <f t="shared" ca="1" si="32"/>
        <v>S/D</v>
      </c>
      <c r="J993" s="6">
        <f>IF(A993="","",SUMIFS(Movimientos!$K:$K,Movimientos!$H:$H,A993))</f>
        <v>0</v>
      </c>
      <c r="K993" s="14" t="str">
        <f t="shared" ca="1" si="33"/>
        <v>OK</v>
      </c>
    </row>
    <row r="994" spans="1:11">
      <c r="A994" s="18" t="s">
        <v>3055</v>
      </c>
      <c r="B994" s="3" t="str">
        <f>IFERROR(INDEX(Movimientos!$C$5:$C$2001,MATCH(A994&amp;"ENTRADA",Movimientos!$R$5:$R$2001,0)),"-")</f>
        <v>-</v>
      </c>
      <c r="C994" s="3" t="str">
        <f>IFERROR(INDEX(Movimientos!$D$5:$D$2001,MATCH(A994&amp;"ENTRADA",Movimientos!$R$5:$R$2001,0)),"-")</f>
        <v>-</v>
      </c>
      <c r="D994" s="3" t="str">
        <f>IFERROR(INDEX(Movimientos!$E$5:$E$2001,MATCH(A994&amp;"ENTRADA",Movimientos!$R$5:$R$2001,0)),"-")</f>
        <v>-</v>
      </c>
      <c r="E994" s="3" t="str">
        <f>IFERROR(INDEX(Movimientos!$F$5:$F$2001,MATCH(A994&amp;"ENTRADA",Movimientos!$R$5:$R$2001,0)),"-")</f>
        <v>-</v>
      </c>
      <c r="F994" s="3" t="str">
        <f>IFERROR(INDEX(Movimientos!$G$5:$G$2001,MATCH(A994&amp;"ENTRADA",Movimientos!$R$5:$R$2001,0)),"-")</f>
        <v>-</v>
      </c>
      <c r="G994" s="3" t="str">
        <f>IFERROR(INDEX(Movimientos!$L$5:$L$2001,MATCH(A994&amp;"ENTRADA",Movimientos!$R$5:$R$2001,0)),"-")</f>
        <v>-</v>
      </c>
      <c r="H994" s="19" t="str">
        <f>IFERROR(IF(INDEX(Movimientos!$M$5:$M$2001,MATCH(A994&amp;"ENTRADA",Movimientos!$R$5:$R$2001,0))=0,"S/D",INDEX(Movimientos!$M$5:$M$2001,MATCH(A994&amp;"ENTRADA",Movimientos!$R$5:$R$2001,0))),"S/D")</f>
        <v>S/D</v>
      </c>
      <c r="I994" s="16" t="str">
        <f t="shared" ca="1" si="32"/>
        <v>S/D</v>
      </c>
      <c r="J994" s="6">
        <f>IF(A994="","",SUMIFS(Movimientos!$K:$K,Movimientos!$H:$H,A994))</f>
        <v>0</v>
      </c>
      <c r="K994" s="14" t="str">
        <f t="shared" ca="1" si="33"/>
        <v>OK</v>
      </c>
    </row>
    <row r="995" spans="1:11">
      <c r="A995" s="18" t="s">
        <v>3056</v>
      </c>
      <c r="B995" s="3" t="str">
        <f>IFERROR(INDEX(Movimientos!$C$5:$C$2001,MATCH(A995&amp;"ENTRADA",Movimientos!$R$5:$R$2001,0)),"-")</f>
        <v>-</v>
      </c>
      <c r="C995" s="3" t="str">
        <f>IFERROR(INDEX(Movimientos!$D$5:$D$2001,MATCH(A995&amp;"ENTRADA",Movimientos!$R$5:$R$2001,0)),"-")</f>
        <v>-</v>
      </c>
      <c r="D995" s="3" t="str">
        <f>IFERROR(INDEX(Movimientos!$E$5:$E$2001,MATCH(A995&amp;"ENTRADA",Movimientos!$R$5:$R$2001,0)),"-")</f>
        <v>-</v>
      </c>
      <c r="E995" s="3" t="str">
        <f>IFERROR(INDEX(Movimientos!$F$5:$F$2001,MATCH(A995&amp;"ENTRADA",Movimientos!$R$5:$R$2001,0)),"-")</f>
        <v>-</v>
      </c>
      <c r="F995" s="3" t="str">
        <f>IFERROR(INDEX(Movimientos!$G$5:$G$2001,MATCH(A995&amp;"ENTRADA",Movimientos!$R$5:$R$2001,0)),"-")</f>
        <v>-</v>
      </c>
      <c r="G995" s="3" t="str">
        <f>IFERROR(INDEX(Movimientos!$L$5:$L$2001,MATCH(A995&amp;"ENTRADA",Movimientos!$R$5:$R$2001,0)),"-")</f>
        <v>-</v>
      </c>
      <c r="H995" s="19" t="str">
        <f>IFERROR(IF(INDEX(Movimientos!$M$5:$M$2001,MATCH(A995&amp;"ENTRADA",Movimientos!$R$5:$R$2001,0))=0,"S/D",INDEX(Movimientos!$M$5:$M$2001,MATCH(A995&amp;"ENTRADA",Movimientos!$R$5:$R$2001,0))),"S/D")</f>
        <v>S/D</v>
      </c>
      <c r="I995" s="16" t="str">
        <f t="shared" ca="1" si="32"/>
        <v>S/D</v>
      </c>
      <c r="J995" s="6">
        <f>IF(A995="","",SUMIFS(Movimientos!$K:$K,Movimientos!$H:$H,A995))</f>
        <v>0</v>
      </c>
      <c r="K995" s="14" t="str">
        <f t="shared" ca="1" si="33"/>
        <v>OK</v>
      </c>
    </row>
    <row r="996" spans="1:11">
      <c r="A996" s="18" t="s">
        <v>3057</v>
      </c>
      <c r="B996" s="3" t="str">
        <f>IFERROR(INDEX(Movimientos!$C$5:$C$2001,MATCH(A996&amp;"ENTRADA",Movimientos!$R$5:$R$2001,0)),"-")</f>
        <v>-</v>
      </c>
      <c r="C996" s="3" t="str">
        <f>IFERROR(INDEX(Movimientos!$D$5:$D$2001,MATCH(A996&amp;"ENTRADA",Movimientos!$R$5:$R$2001,0)),"-")</f>
        <v>-</v>
      </c>
      <c r="D996" s="3" t="str">
        <f>IFERROR(INDEX(Movimientos!$E$5:$E$2001,MATCH(A996&amp;"ENTRADA",Movimientos!$R$5:$R$2001,0)),"-")</f>
        <v>-</v>
      </c>
      <c r="E996" s="3" t="str">
        <f>IFERROR(INDEX(Movimientos!$F$5:$F$2001,MATCH(A996&amp;"ENTRADA",Movimientos!$R$5:$R$2001,0)),"-")</f>
        <v>-</v>
      </c>
      <c r="F996" s="3" t="str">
        <f>IFERROR(INDEX(Movimientos!$G$5:$G$2001,MATCH(A996&amp;"ENTRADA",Movimientos!$R$5:$R$2001,0)),"-")</f>
        <v>-</v>
      </c>
      <c r="G996" s="3" t="str">
        <f>IFERROR(INDEX(Movimientos!$L$5:$L$2001,MATCH(A996&amp;"ENTRADA",Movimientos!$R$5:$R$2001,0)),"-")</f>
        <v>-</v>
      </c>
      <c r="H996" s="19" t="str">
        <f>IFERROR(IF(INDEX(Movimientos!$M$5:$M$2001,MATCH(A996&amp;"ENTRADA",Movimientos!$R$5:$R$2001,0))=0,"S/D",INDEX(Movimientos!$M$5:$M$2001,MATCH(A996&amp;"ENTRADA",Movimientos!$R$5:$R$2001,0))),"S/D")</f>
        <v>S/D</v>
      </c>
      <c r="I996" s="16" t="str">
        <f t="shared" ca="1" si="32"/>
        <v>S/D</v>
      </c>
      <c r="J996" s="6">
        <f>IF(A996="","",SUMIFS(Movimientos!$K:$K,Movimientos!$H:$H,A996))</f>
        <v>0</v>
      </c>
      <c r="K996" s="14" t="str">
        <f t="shared" ca="1" si="33"/>
        <v>OK</v>
      </c>
    </row>
    <row r="997" spans="1:11">
      <c r="A997" s="18" t="s">
        <v>3058</v>
      </c>
      <c r="B997" s="3" t="str">
        <f>IFERROR(INDEX(Movimientos!$C$5:$C$2001,MATCH(A997&amp;"ENTRADA",Movimientos!$R$5:$R$2001,0)),"-")</f>
        <v>-</v>
      </c>
      <c r="C997" s="3" t="str">
        <f>IFERROR(INDEX(Movimientos!$D$5:$D$2001,MATCH(A997&amp;"ENTRADA",Movimientos!$R$5:$R$2001,0)),"-")</f>
        <v>-</v>
      </c>
      <c r="D997" s="3" t="str">
        <f>IFERROR(INDEX(Movimientos!$E$5:$E$2001,MATCH(A997&amp;"ENTRADA",Movimientos!$R$5:$R$2001,0)),"-")</f>
        <v>-</v>
      </c>
      <c r="E997" s="3" t="str">
        <f>IFERROR(INDEX(Movimientos!$F$5:$F$2001,MATCH(A997&amp;"ENTRADA",Movimientos!$R$5:$R$2001,0)),"-")</f>
        <v>-</v>
      </c>
      <c r="F997" s="3" t="str">
        <f>IFERROR(INDEX(Movimientos!$G$5:$G$2001,MATCH(A997&amp;"ENTRADA",Movimientos!$R$5:$R$2001,0)),"-")</f>
        <v>-</v>
      </c>
      <c r="G997" s="3" t="str">
        <f>IFERROR(INDEX(Movimientos!$L$5:$L$2001,MATCH(A997&amp;"ENTRADA",Movimientos!$R$5:$R$2001,0)),"-")</f>
        <v>-</v>
      </c>
      <c r="H997" s="19" t="str">
        <f>IFERROR(IF(INDEX(Movimientos!$M$5:$M$2001,MATCH(A997&amp;"ENTRADA",Movimientos!$R$5:$R$2001,0))=0,"S/D",INDEX(Movimientos!$M$5:$M$2001,MATCH(A997&amp;"ENTRADA",Movimientos!$R$5:$R$2001,0))),"S/D")</f>
        <v>S/D</v>
      </c>
      <c r="I997" s="16" t="str">
        <f t="shared" ca="1" si="32"/>
        <v>S/D</v>
      </c>
      <c r="J997" s="6">
        <f>IF(A997="","",SUMIFS(Movimientos!$K:$K,Movimientos!$H:$H,A997))</f>
        <v>0</v>
      </c>
      <c r="K997" s="14" t="str">
        <f t="shared" ca="1" si="33"/>
        <v>OK</v>
      </c>
    </row>
    <row r="998" spans="1:11">
      <c r="A998" s="18" t="s">
        <v>3059</v>
      </c>
      <c r="B998" s="3" t="str">
        <f>IFERROR(INDEX(Movimientos!$C$5:$C$2001,MATCH(A998&amp;"ENTRADA",Movimientos!$R$5:$R$2001,0)),"-")</f>
        <v>-</v>
      </c>
      <c r="C998" s="3" t="str">
        <f>IFERROR(INDEX(Movimientos!$D$5:$D$2001,MATCH(A998&amp;"ENTRADA",Movimientos!$R$5:$R$2001,0)),"-")</f>
        <v>-</v>
      </c>
      <c r="D998" s="3" t="str">
        <f>IFERROR(INDEX(Movimientos!$E$5:$E$2001,MATCH(A998&amp;"ENTRADA",Movimientos!$R$5:$R$2001,0)),"-")</f>
        <v>-</v>
      </c>
      <c r="E998" s="3" t="str">
        <f>IFERROR(INDEX(Movimientos!$F$5:$F$2001,MATCH(A998&amp;"ENTRADA",Movimientos!$R$5:$R$2001,0)),"-")</f>
        <v>-</v>
      </c>
      <c r="F998" s="3" t="str">
        <f>IFERROR(INDEX(Movimientos!$G$5:$G$2001,MATCH(A998&amp;"ENTRADA",Movimientos!$R$5:$R$2001,0)),"-")</f>
        <v>-</v>
      </c>
      <c r="G998" s="3" t="str">
        <f>IFERROR(INDEX(Movimientos!$L$5:$L$2001,MATCH(A998&amp;"ENTRADA",Movimientos!$R$5:$R$2001,0)),"-")</f>
        <v>-</v>
      </c>
      <c r="H998" s="19" t="str">
        <f>IFERROR(IF(INDEX(Movimientos!$M$5:$M$2001,MATCH(A998&amp;"ENTRADA",Movimientos!$R$5:$R$2001,0))=0,"S/D",INDEX(Movimientos!$M$5:$M$2001,MATCH(A998&amp;"ENTRADA",Movimientos!$R$5:$R$2001,0))),"S/D")</f>
        <v>S/D</v>
      </c>
      <c r="I998" s="16" t="str">
        <f t="shared" ca="1" si="32"/>
        <v>S/D</v>
      </c>
      <c r="J998" s="6">
        <f>IF(A998="","",SUMIFS(Movimientos!$K:$K,Movimientos!$H:$H,A998))</f>
        <v>0</v>
      </c>
      <c r="K998" s="14" t="str">
        <f t="shared" ca="1" si="33"/>
        <v>OK</v>
      </c>
    </row>
    <row r="999" spans="1:11">
      <c r="A999" s="18" t="s">
        <v>3060</v>
      </c>
      <c r="B999" s="3" t="str">
        <f>IFERROR(INDEX(Movimientos!$C$5:$C$2001,MATCH(A999&amp;"ENTRADA",Movimientos!$R$5:$R$2001,0)),"-")</f>
        <v>-</v>
      </c>
      <c r="C999" s="3" t="str">
        <f>IFERROR(INDEX(Movimientos!$D$5:$D$2001,MATCH(A999&amp;"ENTRADA",Movimientos!$R$5:$R$2001,0)),"-")</f>
        <v>-</v>
      </c>
      <c r="D999" s="3" t="str">
        <f>IFERROR(INDEX(Movimientos!$E$5:$E$2001,MATCH(A999&amp;"ENTRADA",Movimientos!$R$5:$R$2001,0)),"-")</f>
        <v>-</v>
      </c>
      <c r="E999" s="3" t="str">
        <f>IFERROR(INDEX(Movimientos!$F$5:$F$2001,MATCH(A999&amp;"ENTRADA",Movimientos!$R$5:$R$2001,0)),"-")</f>
        <v>-</v>
      </c>
      <c r="F999" s="3" t="str">
        <f>IFERROR(INDEX(Movimientos!$G$5:$G$2001,MATCH(A999&amp;"ENTRADA",Movimientos!$R$5:$R$2001,0)),"-")</f>
        <v>-</v>
      </c>
      <c r="G999" s="3" t="str">
        <f>IFERROR(INDEX(Movimientos!$L$5:$L$2001,MATCH(A999&amp;"ENTRADA",Movimientos!$R$5:$R$2001,0)),"-")</f>
        <v>-</v>
      </c>
      <c r="H999" s="19" t="str">
        <f>IFERROR(IF(INDEX(Movimientos!$M$5:$M$2001,MATCH(A999&amp;"ENTRADA",Movimientos!$R$5:$R$2001,0))=0,"S/D",INDEX(Movimientos!$M$5:$M$2001,MATCH(A999&amp;"ENTRADA",Movimientos!$R$5:$R$2001,0))),"S/D")</f>
        <v>S/D</v>
      </c>
      <c r="I999" s="16" t="str">
        <f t="shared" ca="1" si="32"/>
        <v>S/D</v>
      </c>
      <c r="J999" s="6">
        <f>IF(A999="","",SUMIFS(Movimientos!$K:$K,Movimientos!$H:$H,A999))</f>
        <v>0</v>
      </c>
      <c r="K999" s="14" t="str">
        <f t="shared" ca="1" si="33"/>
        <v>OK</v>
      </c>
    </row>
    <row r="1000" spans="1:11">
      <c r="A1000" s="18" t="s">
        <v>3061</v>
      </c>
      <c r="B1000" s="3" t="str">
        <f>IFERROR(INDEX(Movimientos!$C$5:$C$2001,MATCH(A1000&amp;"ENTRADA",Movimientos!$R$5:$R$2001,0)),"-")</f>
        <v>-</v>
      </c>
      <c r="C1000" s="3" t="str">
        <f>IFERROR(INDEX(Movimientos!$D$5:$D$2001,MATCH(A1000&amp;"ENTRADA",Movimientos!$R$5:$R$2001,0)),"-")</f>
        <v>-</v>
      </c>
      <c r="D1000" s="3" t="str">
        <f>IFERROR(INDEX(Movimientos!$E$5:$E$2001,MATCH(A1000&amp;"ENTRADA",Movimientos!$R$5:$R$2001,0)),"-")</f>
        <v>-</v>
      </c>
      <c r="E1000" s="3" t="str">
        <f>IFERROR(INDEX(Movimientos!$F$5:$F$2001,MATCH(A1000&amp;"ENTRADA",Movimientos!$R$5:$R$2001,0)),"-")</f>
        <v>-</v>
      </c>
      <c r="F1000" s="3" t="str">
        <f>IFERROR(INDEX(Movimientos!$G$5:$G$2001,MATCH(A1000&amp;"ENTRADA",Movimientos!$R$5:$R$2001,0)),"-")</f>
        <v>-</v>
      </c>
      <c r="G1000" s="3" t="str">
        <f>IFERROR(INDEX(Movimientos!$L$5:$L$2001,MATCH(A1000&amp;"ENTRADA",Movimientos!$R$5:$R$2001,0)),"-")</f>
        <v>-</v>
      </c>
      <c r="H1000" s="19" t="str">
        <f>IFERROR(IF(INDEX(Movimientos!$M$5:$M$2001,MATCH(A1000&amp;"ENTRADA",Movimientos!$R$5:$R$2001,0))=0,"S/D",INDEX(Movimientos!$M$5:$M$2001,MATCH(A1000&amp;"ENTRADA",Movimientos!$R$5:$R$2001,0))),"S/D")</f>
        <v>S/D</v>
      </c>
      <c r="I1000" s="16" t="str">
        <f t="shared" ca="1" si="32"/>
        <v>S/D</v>
      </c>
      <c r="J1000" s="6">
        <f>IF(A1000="","",SUMIFS(Movimientos!$K:$K,Movimientos!$H:$H,A1000))</f>
        <v>0</v>
      </c>
      <c r="K1000" s="14" t="str">
        <f t="shared" ca="1" si="33"/>
        <v>OK</v>
      </c>
    </row>
    <row r="1001" spans="1:11">
      <c r="A1001" s="18" t="s">
        <v>3062</v>
      </c>
      <c r="B1001" s="3" t="str">
        <f>IFERROR(INDEX(Movimientos!$C$5:$C$2001,MATCH(A1001&amp;"ENTRADA",Movimientos!$R$5:$R$2001,0)),"-")</f>
        <v>-</v>
      </c>
      <c r="C1001" s="3" t="str">
        <f>IFERROR(INDEX(Movimientos!$D$5:$D$2001,MATCH(A1001&amp;"ENTRADA",Movimientos!$R$5:$R$2001,0)),"-")</f>
        <v>-</v>
      </c>
      <c r="D1001" s="3" t="str">
        <f>IFERROR(INDEX(Movimientos!$E$5:$E$2001,MATCH(A1001&amp;"ENTRADA",Movimientos!$R$5:$R$2001,0)),"-")</f>
        <v>-</v>
      </c>
      <c r="E1001" s="3" t="str">
        <f>IFERROR(INDEX(Movimientos!$F$5:$F$2001,MATCH(A1001&amp;"ENTRADA",Movimientos!$R$5:$R$2001,0)),"-")</f>
        <v>-</v>
      </c>
      <c r="F1001" s="3" t="str">
        <f>IFERROR(INDEX(Movimientos!$G$5:$G$2001,MATCH(A1001&amp;"ENTRADA",Movimientos!$R$5:$R$2001,0)),"-")</f>
        <v>-</v>
      </c>
      <c r="G1001" s="3" t="str">
        <f>IFERROR(INDEX(Movimientos!$L$5:$L$2001,MATCH(A1001&amp;"ENTRADA",Movimientos!$R$5:$R$2001,0)),"-")</f>
        <v>-</v>
      </c>
      <c r="H1001" s="19" t="str">
        <f>IFERROR(IF(INDEX(Movimientos!$M$5:$M$2001,MATCH(A1001&amp;"ENTRADA",Movimientos!$R$5:$R$2001,0))=0,"S/D",INDEX(Movimientos!$M$5:$M$2001,MATCH(A1001&amp;"ENTRADA",Movimientos!$R$5:$R$2001,0))),"S/D")</f>
        <v>S/D</v>
      </c>
      <c r="I1001" s="16" t="str">
        <f t="shared" ca="1" si="32"/>
        <v>S/D</v>
      </c>
      <c r="J1001" s="6">
        <f>IF(A1001="","",SUMIFS(Movimientos!$K:$K,Movimientos!$H:$H,A1001))</f>
        <v>0</v>
      </c>
      <c r="K1001" s="14" t="str">
        <f t="shared" ca="1" si="33"/>
        <v>OK</v>
      </c>
    </row>
    <row r="1002" spans="1:11">
      <c r="A1002" s="18" t="s">
        <v>3063</v>
      </c>
      <c r="B1002" s="3" t="str">
        <f>IFERROR(INDEX(Movimientos!$C$5:$C$2001,MATCH(A1002&amp;"ENTRADA",Movimientos!$R$5:$R$2001,0)),"-")</f>
        <v>-</v>
      </c>
      <c r="C1002" s="3" t="str">
        <f>IFERROR(INDEX(Movimientos!$D$5:$D$2001,MATCH(A1002&amp;"ENTRADA",Movimientos!$R$5:$R$2001,0)),"-")</f>
        <v>-</v>
      </c>
      <c r="D1002" s="3" t="str">
        <f>IFERROR(INDEX(Movimientos!$E$5:$E$2001,MATCH(A1002&amp;"ENTRADA",Movimientos!$R$5:$R$2001,0)),"-")</f>
        <v>-</v>
      </c>
      <c r="E1002" s="3" t="str">
        <f>IFERROR(INDEX(Movimientos!$F$5:$F$2001,MATCH(A1002&amp;"ENTRADA",Movimientos!$R$5:$R$2001,0)),"-")</f>
        <v>-</v>
      </c>
      <c r="F1002" s="3" t="str">
        <f>IFERROR(INDEX(Movimientos!$G$5:$G$2001,MATCH(A1002&amp;"ENTRADA",Movimientos!$R$5:$R$2001,0)),"-")</f>
        <v>-</v>
      </c>
      <c r="G1002" s="3" t="str">
        <f>IFERROR(INDEX(Movimientos!$L$5:$L$2001,MATCH(A1002&amp;"ENTRADA",Movimientos!$R$5:$R$2001,0)),"-")</f>
        <v>-</v>
      </c>
      <c r="H1002" s="19" t="str">
        <f>IFERROR(IF(INDEX(Movimientos!$M$5:$M$2001,MATCH(A1002&amp;"ENTRADA",Movimientos!$R$5:$R$2001,0))=0,"S/D",INDEX(Movimientos!$M$5:$M$2001,MATCH(A1002&amp;"ENTRADA",Movimientos!$R$5:$R$2001,0))),"S/D")</f>
        <v>S/D</v>
      </c>
      <c r="I1002" s="16" t="str">
        <f t="shared" ca="1" si="32"/>
        <v>S/D</v>
      </c>
      <c r="J1002" s="6">
        <f>IF(A1002="","",SUMIFS(Movimientos!$K:$K,Movimientos!$H:$H,A1002))</f>
        <v>0</v>
      </c>
      <c r="K1002" s="14" t="str">
        <f t="shared" ca="1" si="33"/>
        <v>OK</v>
      </c>
    </row>
  </sheetData>
  <mergeCells count="1">
    <mergeCell ref="A1:H1"/>
  </mergeCells>
  <phoneticPr fontId="10" type="noConversion"/>
  <conditionalFormatting sqref="K4:K1002">
    <cfRule type="expression" dxfId="5" priority="1">
      <formula>K4="OK"</formula>
    </cfRule>
    <cfRule type="expression" dxfId="4" priority="2">
      <formula>K4="PRÓXIMO A VENCER"</formula>
    </cfRule>
    <cfRule type="expression" dxfId="3" priority="3">
      <formula>K4="SIN STOCK"</formula>
    </cfRule>
    <cfRule type="expression" dxfId="2" priority="4">
      <formula>K4="VENCIDO"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AD47"/>
  </sheetPr>
  <dimension ref="A1:H55"/>
  <sheetViews>
    <sheetView showGridLines="0" workbookViewId="0">
      <pane ySplit="3" topLeftCell="A4" activePane="bottomLeft" state="frozen"/>
      <selection pane="bottomLeft" activeCell="F11" sqref="F11"/>
    </sheetView>
  </sheetViews>
  <sheetFormatPr defaultColWidth="9.140625" defaultRowHeight="15"/>
  <cols>
    <col min="1" max="1" width="26" customWidth="1"/>
    <col min="2" max="2" width="24" customWidth="1"/>
    <col min="3" max="3" width="14" customWidth="1"/>
    <col min="4" max="4" width="16" customWidth="1"/>
    <col min="5" max="5" width="8" customWidth="1"/>
    <col min="6" max="6" width="10" customWidth="1"/>
    <col min="7" max="7" width="12" customWidth="1"/>
    <col min="8" max="8" width="18" customWidth="1"/>
  </cols>
  <sheetData>
    <row r="1" spans="1:8" ht="72">
      <c r="A1" s="1" t="s">
        <v>3064</v>
      </c>
    </row>
    <row r="2" spans="1:8">
      <c r="A2" s="2" t="s">
        <v>3065</v>
      </c>
    </row>
    <row r="3" spans="1:8" ht="25.5">
      <c r="A3" s="20" t="s">
        <v>2085</v>
      </c>
      <c r="B3" s="20" t="s">
        <v>3066</v>
      </c>
      <c r="C3" s="20" t="s">
        <v>26</v>
      </c>
      <c r="D3" s="20" t="s">
        <v>27</v>
      </c>
      <c r="E3" s="20" t="s">
        <v>33</v>
      </c>
      <c r="F3" s="20" t="s">
        <v>3067</v>
      </c>
      <c r="G3" s="20" t="s">
        <v>3068</v>
      </c>
      <c r="H3" s="20" t="s">
        <v>3069</v>
      </c>
    </row>
    <row r="4" spans="1:8">
      <c r="A4" s="8" t="s">
        <v>3070</v>
      </c>
      <c r="B4" s="4" t="str">
        <f>IF(A4="","",IFERROR(INDEX(Movimientos!$D$5:$D$2001,MATCH(A4&amp;"ENTRADA",Movimientos!$S$5:$S$2001,0)),"-"))</f>
        <v>CURRY CL</v>
      </c>
      <c r="C4" s="4" t="str">
        <f>IF(A4="","",IFERROR(INDEX(Movimientos!$E$5:$E$2001,MATCH(A4&amp;"ENTRADA",Movimientos!$S$5:$S$2001,0)),"-"))</f>
        <v>Semilla</v>
      </c>
      <c r="D4" s="4">
        <f>IF(A4="","",IFERROR(INDEX(Movimientos!$F$5:$F$2001,MATCH(A4&amp;"ENTRADA",Movimientos!$S$5:$S$2001,0)),"-"))</f>
        <v>0</v>
      </c>
      <c r="E4" s="4" t="str">
        <f>IF(A4="","",IFERROR(INDEX(Movimientos!$L$5:$L$2001,MATCH(A4&amp;"ENTRADA",Movimientos!$S$5:$S$2001,0)),"-"))</f>
        <v>kg</v>
      </c>
      <c r="F4" s="9">
        <f>IF(A4="","",COUNTIFS(Stock_por_Lote!$B:$B,A4,Stock_por_Lote!$J:$J,"&gt;0"))</f>
        <v>1</v>
      </c>
      <c r="G4" s="10">
        <f>IF(A4="","",SUMIFS(Movimientos!$K:$K,Movimientos!$C:$C,A4))</f>
        <v>3400</v>
      </c>
      <c r="H4" s="15" t="str">
        <f>IF(A4="","",IFERROR(IF(_xlfn.MINIFS(Stock_por_Lote!$H:$H,Stock_por_Lote!$B:$B,A4,Stock_por_Lote!$J:$J,"&gt;0")=0,"S/D",_xlfn.MINIFS(Stock_por_Lote!$H:$H,Stock_por_Lote!$B:$B,A4,Stock_por_Lote!$J:$J,"&gt;0")),"S/D"))</f>
        <v>S/D</v>
      </c>
    </row>
    <row r="5" spans="1:8">
      <c r="A5" s="7" t="s">
        <v>48</v>
      </c>
      <c r="B5" s="4" t="str">
        <f>IF(A5="","",IFERROR(INDEX(Movimientos!$D$5:$D$2001,MATCH(A5&amp;"ENTRADA",Movimientos!$S$5:$S$2001,0)),"-"))</f>
        <v xml:space="preserve">Clopyralid 12% + Halauxyfen methyl 0,51% </v>
      </c>
      <c r="C5" s="4" t="str">
        <f>IF(A5="","",IFERROR(INDEX(Movimientos!$E$5:$E$2001,MATCH(A5&amp;"ENTRADA",Movimientos!$S$5:$S$2001,0)),"-"))</f>
        <v>Herbicida</v>
      </c>
      <c r="D5" s="4" t="str">
        <f>IF(A5="","",IFERROR(INDEX(Movimientos!$F$5:$F$2001,MATCH(A5&amp;"ENTRADA",Movimientos!$S$5:$S$2001,0)),"-"))</f>
        <v>Postemergente</v>
      </c>
      <c r="E5" s="4" t="str">
        <f>IF(A5="","",IFERROR(INDEX(Movimientos!$L$5:$L$2001,MATCH(A5&amp;"ENTRADA",Movimientos!$S$5:$S$2001,0)),"-"))</f>
        <v>L</v>
      </c>
      <c r="F5" s="9">
        <f>IF(A5="","",COUNTIFS(Stock_por_Lote!$B:$B,A5,Stock_por_Lote!$J:$J,"&gt;0"))</f>
        <v>1</v>
      </c>
      <c r="G5" s="10">
        <f>IF(A5="","",SUMIFS(Movimientos!$K:$K,Movimientos!$C:$C,A5))</f>
        <v>700</v>
      </c>
      <c r="H5" s="15">
        <f>IF(A5="","",IFERROR(IF(_xlfn.MINIFS(Stock_por_Lote!$H:$H,Stock_por_Lote!$B:$B,A5,Stock_por_Lote!$J:$J,"&gt;0")=0,"S/D",_xlfn.MINIFS(Stock_por_Lote!$H:$H,Stock_por_Lote!$B:$B,A5,Stock_por_Lote!$J:$J,"&gt;0")),"S/D"))</f>
        <v>46710</v>
      </c>
    </row>
    <row r="6" spans="1:8">
      <c r="A6" s="8" t="s">
        <v>56</v>
      </c>
      <c r="B6" s="4" t="str">
        <f>IF(A6="","",IFERROR(INDEX(Movimientos!$D$5:$D$2001,MATCH(A6&amp;"ENTRADA",Movimientos!$S$5:$S$2001,0)),"-"))</f>
        <v>Clopyralid sal monoetanolamina 40.9%</v>
      </c>
      <c r="C6" s="4" t="str">
        <f>IF(A6="","",IFERROR(INDEX(Movimientos!$E$5:$E$2001,MATCH(A6&amp;"ENTRADA",Movimientos!$S$5:$S$2001,0)),"-"))</f>
        <v>Herbicida</v>
      </c>
      <c r="D6" s="4" t="str">
        <f>IF(A6="","",IFERROR(INDEX(Movimientos!$F$5:$F$2001,MATCH(A6&amp;"ENTRADA",Movimientos!$S$5:$S$2001,0)),"-"))</f>
        <v>Postemergente</v>
      </c>
      <c r="E6" s="4" t="str">
        <f>IF(A6="","",IFERROR(INDEX(Movimientos!$L$5:$L$2001,MATCH(A6&amp;"ENTRADA",Movimientos!$S$5:$S$2001,0)),"-"))</f>
        <v>L</v>
      </c>
      <c r="F6" s="9">
        <f>IF(A6="","",COUNTIFS(Stock_por_Lote!$B:$B,A6,Stock_por_Lote!$J:$J,"&gt;0"))</f>
        <v>1</v>
      </c>
      <c r="G6" s="10">
        <f>IF(A6="","",SUMIFS(Movimientos!$K:$K,Movimientos!$C:$C,A6))</f>
        <v>300</v>
      </c>
      <c r="H6" s="15">
        <f>IF(A6="","",IFERROR(IF(_xlfn.MINIFS(Stock_por_Lote!$H:$H,Stock_por_Lote!$B:$B,A6,Stock_por_Lote!$J:$J,"&gt;0")=0,"S/D",_xlfn.MINIFS(Stock_por_Lote!$H:$H,Stock_por_Lote!$B:$B,A6,Stock_por_Lote!$J:$J,"&gt;0")),"S/D"))</f>
        <v>46500</v>
      </c>
    </row>
    <row r="7" spans="1:8">
      <c r="A7" s="7" t="s">
        <v>59</v>
      </c>
      <c r="B7" s="4" t="str">
        <f>IF(A7="","",IFERROR(INDEX(Movimientos!$D$5:$D$2001,MATCH(A7&amp;"ENTRADA",Movimientos!$S$5:$S$2001,0)),"-"))</f>
        <v>Flumetsulam 11,35%</v>
      </c>
      <c r="C7" s="4" t="str">
        <f>IF(A7="","",IFERROR(INDEX(Movimientos!$E$5:$E$2001,MATCH(A7&amp;"ENTRADA",Movimientos!$S$5:$S$2001,0)),"-"))</f>
        <v>Herbicida</v>
      </c>
      <c r="D7" s="4" t="str">
        <f>IF(A7="","",IFERROR(INDEX(Movimientos!$F$5:$F$2001,MATCH(A7&amp;"ENTRADA",Movimientos!$S$5:$S$2001,0)),"-"))</f>
        <v>Preemergente</v>
      </c>
      <c r="E7" s="4" t="str">
        <f>IF(A7="","",IFERROR(INDEX(Movimientos!$L$5:$L$2001,MATCH(A7&amp;"ENTRADA",Movimientos!$S$5:$S$2001,0)),"-"))</f>
        <v>L</v>
      </c>
      <c r="F7" s="9">
        <f>IF(A7="","",COUNTIFS(Stock_por_Lote!$B:$B,A7,Stock_por_Lote!$J:$J,"&gt;0"))</f>
        <v>2</v>
      </c>
      <c r="G7" s="10">
        <f>IF(A7="","",SUMIFS(Movimientos!$K:$K,Movimientos!$C:$C,A7))</f>
        <v>2700</v>
      </c>
      <c r="H7" s="15">
        <f>IF(A7="","",IFERROR(IF(_xlfn.MINIFS(Stock_por_Lote!$H:$H,Stock_por_Lote!$B:$B,A7,Stock_por_Lote!$J:$J,"&gt;0")=0,"S/D",_xlfn.MINIFS(Stock_por_Lote!$H:$H,Stock_por_Lote!$B:$B,A7,Stock_por_Lote!$J:$J,"&gt;0")),"S/D"))</f>
        <v>46528</v>
      </c>
    </row>
    <row r="8" spans="1:8">
      <c r="A8" s="8" t="s">
        <v>64</v>
      </c>
      <c r="B8" s="4" t="str">
        <f>IF(A8="","",IFERROR(INDEX(Movimientos!$D$5:$D$2001,MATCH(A8&amp;"ENTRADA",Movimientos!$S$5:$S$2001,0)),"-"))</f>
        <v>Picloram 24,9%</v>
      </c>
      <c r="C8" s="4" t="str">
        <f>IF(A8="","",IFERROR(INDEX(Movimientos!$E$5:$E$2001,MATCH(A8&amp;"ENTRADA",Movimientos!$S$5:$S$2001,0)),"-"))</f>
        <v>Herbicida</v>
      </c>
      <c r="D8" s="4" t="str">
        <f>IF(A8="","",IFERROR(INDEX(Movimientos!$F$5:$F$2001,MATCH(A8&amp;"ENTRADA",Movimientos!$S$5:$S$2001,0)),"-"))</f>
        <v>Postemergente</v>
      </c>
      <c r="E8" s="4" t="str">
        <f>IF(A8="","",IFERROR(INDEX(Movimientos!$L$5:$L$2001,MATCH(A8&amp;"ENTRADA",Movimientos!$S$5:$S$2001,0)),"-"))</f>
        <v>L</v>
      </c>
      <c r="F8" s="9">
        <f>IF(A8="","",COUNTIFS(Stock_por_Lote!$B:$B,A8,Stock_por_Lote!$J:$J,"&gt;0"))</f>
        <v>1</v>
      </c>
      <c r="G8" s="10">
        <f>IF(A8="","",SUMIFS(Movimientos!$K:$K,Movimientos!$C:$C,A8))</f>
        <v>300</v>
      </c>
      <c r="H8" s="15">
        <f>IF(A8="","",IFERROR(IF(_xlfn.MINIFS(Stock_por_Lote!$H:$H,Stock_por_Lote!$B:$B,A8,Stock_por_Lote!$J:$J,"&gt;0")=0,"S/D",_xlfn.MINIFS(Stock_por_Lote!$H:$H,Stock_por_Lote!$B:$B,A8,Stock_por_Lote!$J:$J,"&gt;0")),"S/D"))</f>
        <v>46517</v>
      </c>
    </row>
    <row r="9" spans="1:8">
      <c r="A9" s="7" t="s">
        <v>67</v>
      </c>
      <c r="B9" s="4" t="str">
        <f>IF(A9="","",IFERROR(INDEX(Movimientos!$D$5:$D$2001,MATCH(A9&amp;"ENTRADA",Movimientos!$S$5:$S$2001,0)),"-"))</f>
        <v>Aminopyralid 44,4% + Metsulfuron metil 30%</v>
      </c>
      <c r="C9" s="4" t="str">
        <f>IF(A9="","",IFERROR(INDEX(Movimientos!$E$5:$E$2001,MATCH(A9&amp;"ENTRADA",Movimientos!$S$5:$S$2001,0)),"-"))</f>
        <v>Herbicida</v>
      </c>
      <c r="D9" s="4" t="str">
        <f>IF(A9="","",IFERROR(INDEX(Movimientos!$F$5:$F$2001,MATCH(A9&amp;"ENTRADA",Movimientos!$S$5:$S$2001,0)),"-"))</f>
        <v>Postemergente</v>
      </c>
      <c r="E9" s="4" t="str">
        <f>IF(A9="","",IFERROR(INDEX(Movimientos!$L$5:$L$2001,MATCH(A9&amp;"ENTRADA",Movimientos!$S$5:$S$2001,0)),"-"))</f>
        <v>Pack</v>
      </c>
      <c r="F9" s="9">
        <f>IF(A9="","",COUNTIFS(Stock_por_Lote!$B:$B,A9,Stock_por_Lote!$J:$J,"&gt;0"))</f>
        <v>1</v>
      </c>
      <c r="G9" s="10">
        <f>IF(A9="","",SUMIFS(Movimientos!$K:$K,Movimientos!$C:$C,A9))</f>
        <v>300</v>
      </c>
      <c r="H9" s="15">
        <f>IF(A9="","",IFERROR(IF(_xlfn.MINIFS(Stock_por_Lote!$H:$H,Stock_por_Lote!$B:$B,A9,Stock_por_Lote!$J:$J,"&gt;0")=0,"S/D",_xlfn.MINIFS(Stock_por_Lote!$H:$H,Stock_por_Lote!$B:$B,A9,Stock_por_Lote!$J:$J,"&gt;0")),"S/D"))</f>
        <v>46443</v>
      </c>
    </row>
    <row r="10" spans="1:8">
      <c r="A10" s="8" t="s">
        <v>71</v>
      </c>
      <c r="B10" s="4" t="str">
        <f>IF(A10="","",IFERROR(INDEX(Movimientos!$D$5:$D$2001,MATCH(A10&amp;"ENTRADA",Movimientos!$S$5:$S$2001,0)),"-"))</f>
        <v>2,4-Db-Butilo 93.1%</v>
      </c>
      <c r="C10" s="4" t="str">
        <f>IF(A10="","",IFERROR(INDEX(Movimientos!$E$5:$E$2001,MATCH(A10&amp;"ENTRADA",Movimientos!$S$5:$S$2001,0)),"-"))</f>
        <v>Herbicida</v>
      </c>
      <c r="D10" s="4" t="str">
        <f>IF(A10="","",IFERROR(INDEX(Movimientos!$F$5:$F$2001,MATCH(A10&amp;"ENTRADA",Movimientos!$S$5:$S$2001,0)),"-"))</f>
        <v>Postemergente</v>
      </c>
      <c r="E10" s="4" t="str">
        <f>IF(A10="","",IFERROR(INDEX(Movimientos!$L$5:$L$2001,MATCH(A10&amp;"ENTRADA",Movimientos!$S$5:$S$2001,0)),"-"))</f>
        <v>L</v>
      </c>
      <c r="F10" s="9">
        <f>IF(A10="","",COUNTIFS(Stock_por_Lote!$B:$B,A10,Stock_por_Lote!$J:$J,"&gt;0"))</f>
        <v>1</v>
      </c>
      <c r="G10" s="10">
        <f>IF(A10="","",SUMIFS(Movimientos!$K:$K,Movimientos!$C:$C,A10))</f>
        <v>4440</v>
      </c>
      <c r="H10" s="15">
        <f>IF(A10="","",IFERROR(IF(_xlfn.MINIFS(Stock_por_Lote!$H:$H,Stock_por_Lote!$B:$B,A10,Stock_por_Lote!$J:$J,"&gt;0")=0,"S/D",_xlfn.MINIFS(Stock_por_Lote!$H:$H,Stock_por_Lote!$B:$B,A10,Stock_por_Lote!$J:$J,"&gt;0")),"S/D"))</f>
        <v>46737</v>
      </c>
    </row>
    <row r="11" spans="1:8">
      <c r="A11" t="s">
        <v>3071</v>
      </c>
      <c r="B11" s="4" t="str">
        <f>IF(A11="","",IFERROR(INDEX(Movimientos!$D$5:$D$2001,MATCH(A11&amp;"ENTRADA",Movimientos!$S$5:$S$2001,0)),"-"))</f>
        <v>-</v>
      </c>
      <c r="C11" s="4" t="str">
        <f>IF(A11="","",IFERROR(INDEX(Movimientos!$E$5:$E$2001,MATCH(A11&amp;"ENTRADA",Movimientos!$S$5:$S$2001,0)),"-"))</f>
        <v>-</v>
      </c>
      <c r="D11" s="4" t="str">
        <f>IF(A11="","",IFERROR(INDEX(Movimientos!$F$5:$F$2001,MATCH(A11&amp;"ENTRADA",Movimientos!$S$5:$S$2001,0)),"-"))</f>
        <v>-</v>
      </c>
      <c r="E11" s="4" t="str">
        <f>IF(A11="","",IFERROR(INDEX(Movimientos!$L$5:$L$2001,MATCH(A11&amp;"ENTRADA",Movimientos!$S$5:$S$2001,0)),"-"))</f>
        <v>-</v>
      </c>
      <c r="F11" s="9">
        <f>IF(A11="","",COUNTIFS(Stock_por_Lote!$B:$B,A11,Stock_por_Lote!$J:$J,"&gt;0"))</f>
        <v>0</v>
      </c>
      <c r="G11" s="10">
        <f>IF(A11="","",SUMIFS(Movimientos!$K:$K,Movimientos!$C:$C,A11))</f>
        <v>0</v>
      </c>
      <c r="H11" s="15" t="str">
        <f>IF(A11="","",IFERROR(IF(_xlfn.MINIFS(Stock_por_Lote!$H:$H,Stock_por_Lote!$B:$B,A11,Stock_por_Lote!$J:$J,"&gt;0")=0,"S/D",_xlfn.MINIFS(Stock_por_Lote!$H:$H,Stock_por_Lote!$B:$B,A11,Stock_por_Lote!$J:$J,"&gt;0")),"S/D"))</f>
        <v>S/D</v>
      </c>
    </row>
    <row r="12" spans="1:8">
      <c r="B12" s="4" t="str">
        <f>IF(A12="","",IFERROR(INDEX(Movimientos!$D$5:$D$2001,MATCH(A12&amp;"ENTRADA",Movimientos!$S$5:$S$2001,0)),"-"))</f>
        <v/>
      </c>
      <c r="C12" s="4" t="str">
        <f>IF(A12="","",IFERROR(INDEX(Movimientos!$E$5:$E$2001,MATCH(A12&amp;"ENTRADA",Movimientos!$S$5:$S$2001,0)),"-"))</f>
        <v/>
      </c>
      <c r="D12" s="4" t="str">
        <f>IF(A12="","",IFERROR(INDEX(Movimientos!$F$5:$F$2001,MATCH(A12&amp;"ENTRADA",Movimientos!$S$5:$S$2001,0)),"-"))</f>
        <v/>
      </c>
      <c r="E12" s="4" t="str">
        <f>IF(A12="","",IFERROR(INDEX(Movimientos!$L$5:$L$2001,MATCH(A12&amp;"ENTRADA",Movimientos!$S$5:$S$2001,0)),"-"))</f>
        <v/>
      </c>
      <c r="F12" s="9" t="str">
        <f>IF(A12="","",COUNTIFS(Stock_por_Lote!$B:$B,A12,Stock_por_Lote!$J:$J,"&gt;0"))</f>
        <v/>
      </c>
      <c r="G12" s="10" t="str">
        <f>IF(A12="","",SUMIFS(Movimientos!$K:$K,Movimientos!$C:$C,A12))</f>
        <v/>
      </c>
      <c r="H12" s="15" t="str">
        <f>IF(A12="","",IFERROR(IF(_xlfn.MINIFS(Stock_por_Lote!$H:$H,Stock_por_Lote!$B:$B,A12,Stock_por_Lote!$J:$J,"&gt;0")=0,"S/D",_xlfn.MINIFS(Stock_por_Lote!$H:$H,Stock_por_Lote!$B:$B,A12,Stock_por_Lote!$J:$J,"&gt;0")),"S/D"))</f>
        <v/>
      </c>
    </row>
    <row r="13" spans="1:8">
      <c r="B13" s="4" t="str">
        <f>IF(A13="","",IFERROR(INDEX(Movimientos!$D$5:$D$2001,MATCH(A13&amp;"ENTRADA",Movimientos!$S$5:$S$2001,0)),"-"))</f>
        <v/>
      </c>
      <c r="C13" s="4" t="str">
        <f>IF(A13="","",IFERROR(INDEX(Movimientos!$E$5:$E$2001,MATCH(A13&amp;"ENTRADA",Movimientos!$S$5:$S$2001,0)),"-"))</f>
        <v/>
      </c>
      <c r="D13" s="4" t="str">
        <f>IF(A13="","",IFERROR(INDEX(Movimientos!$F$5:$F$2001,MATCH(A13&amp;"ENTRADA",Movimientos!$S$5:$S$2001,0)),"-"))</f>
        <v/>
      </c>
      <c r="E13" s="4" t="str">
        <f>IF(A13="","",IFERROR(INDEX(Movimientos!$L$5:$L$2001,MATCH(A13&amp;"ENTRADA",Movimientos!$S$5:$S$2001,0)),"-"))</f>
        <v/>
      </c>
      <c r="F13" s="9" t="str">
        <f>IF(A13="","",COUNTIFS(Stock_por_Lote!$B:$B,A13,Stock_por_Lote!$J:$J,"&gt;0"))</f>
        <v/>
      </c>
      <c r="G13" s="10" t="str">
        <f>IF(A13="","",SUMIFS(Movimientos!$K:$K,Movimientos!$C:$C,A13))</f>
        <v/>
      </c>
      <c r="H13" s="15" t="str">
        <f>IF(A13="","",IFERROR(IF(_xlfn.MINIFS(Stock_por_Lote!$H:$H,Stock_por_Lote!$B:$B,A13,Stock_por_Lote!$J:$J,"&gt;0")=0,"S/D",_xlfn.MINIFS(Stock_por_Lote!$H:$H,Stock_por_Lote!$B:$B,A13,Stock_por_Lote!$J:$J,"&gt;0")),"S/D"))</f>
        <v/>
      </c>
    </row>
    <row r="14" spans="1:8">
      <c r="B14" s="4" t="str">
        <f>IF(A14="","",IFERROR(INDEX(Movimientos!$D$5:$D$2001,MATCH(A14&amp;"ENTRADA",Movimientos!$S$5:$S$2001,0)),"-"))</f>
        <v/>
      </c>
      <c r="C14" s="4" t="str">
        <f>IF(A14="","",IFERROR(INDEX(Movimientos!$E$5:$E$2001,MATCH(A14&amp;"ENTRADA",Movimientos!$S$5:$S$2001,0)),"-"))</f>
        <v/>
      </c>
      <c r="D14" s="4" t="str">
        <f>IF(A14="","",IFERROR(INDEX(Movimientos!$F$5:$F$2001,MATCH(A14&amp;"ENTRADA",Movimientos!$S$5:$S$2001,0)),"-"))</f>
        <v/>
      </c>
      <c r="E14" s="4" t="str">
        <f>IF(A14="","",IFERROR(INDEX(Movimientos!$L$5:$L$2001,MATCH(A14&amp;"ENTRADA",Movimientos!$S$5:$S$2001,0)),"-"))</f>
        <v/>
      </c>
      <c r="F14" s="9" t="str">
        <f>IF(A14="","",COUNTIFS(Stock_por_Lote!$B:$B,A14,Stock_por_Lote!$J:$J,"&gt;0"))</f>
        <v/>
      </c>
      <c r="G14" s="10" t="str">
        <f>IF(A14="","",SUMIFS(Movimientos!$K:$K,Movimientos!$C:$C,A14))</f>
        <v/>
      </c>
      <c r="H14" s="15" t="str">
        <f>IF(A14="","",IFERROR(IF(_xlfn.MINIFS(Stock_por_Lote!$H:$H,Stock_por_Lote!$B:$B,A14,Stock_por_Lote!$J:$J,"&gt;0")=0,"S/D",_xlfn.MINIFS(Stock_por_Lote!$H:$H,Stock_por_Lote!$B:$B,A14,Stock_por_Lote!$J:$J,"&gt;0")),"S/D"))</f>
        <v/>
      </c>
    </row>
    <row r="15" spans="1:8">
      <c r="B15" s="4" t="str">
        <f>IF(A15="","",IFERROR(INDEX(Movimientos!$D$5:$D$2001,MATCH(A15&amp;"ENTRADA",Movimientos!$S$5:$S$2001,0)),"-"))</f>
        <v/>
      </c>
      <c r="C15" s="4" t="str">
        <f>IF(A15="","",IFERROR(INDEX(Movimientos!$E$5:$E$2001,MATCH(A15&amp;"ENTRADA",Movimientos!$S$5:$S$2001,0)),"-"))</f>
        <v/>
      </c>
      <c r="D15" s="4" t="str">
        <f>IF(A15="","",IFERROR(INDEX(Movimientos!$F$5:$F$2001,MATCH(A15&amp;"ENTRADA",Movimientos!$S$5:$S$2001,0)),"-"))</f>
        <v/>
      </c>
      <c r="E15" s="4" t="str">
        <f>IF(A15="","",IFERROR(INDEX(Movimientos!$L$5:$L$2001,MATCH(A15&amp;"ENTRADA",Movimientos!$S$5:$S$2001,0)),"-"))</f>
        <v/>
      </c>
      <c r="F15" s="9" t="str">
        <f>IF(A15="","",COUNTIFS(Stock_por_Lote!$B:$B,A15,Stock_por_Lote!$J:$J,"&gt;0"))</f>
        <v/>
      </c>
      <c r="G15" s="10" t="str">
        <f>IF(A15="","",SUMIFS(Movimientos!$K:$K,Movimientos!$C:$C,A15))</f>
        <v/>
      </c>
      <c r="H15" s="15" t="str">
        <f>IF(A15="","",IFERROR(IF(_xlfn.MINIFS(Stock_por_Lote!$H:$H,Stock_por_Lote!$B:$B,A15,Stock_por_Lote!$J:$J,"&gt;0")=0,"S/D",_xlfn.MINIFS(Stock_por_Lote!$H:$H,Stock_por_Lote!$B:$B,A15,Stock_por_Lote!$J:$J,"&gt;0")),"S/D"))</f>
        <v/>
      </c>
    </row>
    <row r="16" spans="1:8">
      <c r="B16" s="4" t="str">
        <f>IF(A16="","",IFERROR(INDEX(Movimientos!$D$5:$D$2001,MATCH(A16&amp;"ENTRADA",Movimientos!$S$5:$S$2001,0)),"-"))</f>
        <v/>
      </c>
      <c r="C16" s="4" t="str">
        <f>IF(A16="","",IFERROR(INDEX(Movimientos!$E$5:$E$2001,MATCH(A16&amp;"ENTRADA",Movimientos!$S$5:$S$2001,0)),"-"))</f>
        <v/>
      </c>
      <c r="D16" s="4" t="str">
        <f>IF(A16="","",IFERROR(INDEX(Movimientos!$F$5:$F$2001,MATCH(A16&amp;"ENTRADA",Movimientos!$S$5:$S$2001,0)),"-"))</f>
        <v/>
      </c>
      <c r="E16" s="4" t="str">
        <f>IF(A16="","",IFERROR(INDEX(Movimientos!$L$5:$L$2001,MATCH(A16&amp;"ENTRADA",Movimientos!$S$5:$S$2001,0)),"-"))</f>
        <v/>
      </c>
      <c r="F16" s="9" t="str">
        <f>IF(A16="","",COUNTIFS(Stock_por_Lote!$B:$B,A16,Stock_por_Lote!$J:$J,"&gt;0"))</f>
        <v/>
      </c>
      <c r="G16" s="10" t="str">
        <f>IF(A16="","",SUMIFS(Movimientos!$K:$K,Movimientos!$C:$C,A16))</f>
        <v/>
      </c>
      <c r="H16" s="15" t="str">
        <f>IF(A16="","",IFERROR(IF(_xlfn.MINIFS(Stock_por_Lote!$H:$H,Stock_por_Lote!$B:$B,A16,Stock_por_Lote!$J:$J,"&gt;0")=0,"S/D",_xlfn.MINIFS(Stock_por_Lote!$H:$H,Stock_por_Lote!$B:$B,A16,Stock_por_Lote!$J:$J,"&gt;0")),"S/D"))</f>
        <v/>
      </c>
    </row>
    <row r="17" spans="2:8">
      <c r="B17" s="4" t="str">
        <f>IF(A17="","",IFERROR(INDEX(Movimientos!$D$5:$D$2001,MATCH(A17&amp;"ENTRADA",Movimientos!$S$5:$S$2001,0)),"-"))</f>
        <v/>
      </c>
      <c r="C17" s="4" t="str">
        <f>IF(A17="","",IFERROR(INDEX(Movimientos!$E$5:$E$2001,MATCH(A17&amp;"ENTRADA",Movimientos!$S$5:$S$2001,0)),"-"))</f>
        <v/>
      </c>
      <c r="D17" s="4" t="str">
        <f>IF(A17="","",IFERROR(INDEX(Movimientos!$F$5:$F$2001,MATCH(A17&amp;"ENTRADA",Movimientos!$S$5:$S$2001,0)),"-"))</f>
        <v/>
      </c>
      <c r="E17" s="4" t="str">
        <f>IF(A17="","",IFERROR(INDEX(Movimientos!$L$5:$L$2001,MATCH(A17&amp;"ENTRADA",Movimientos!$S$5:$S$2001,0)),"-"))</f>
        <v/>
      </c>
      <c r="F17" s="9" t="str">
        <f>IF(A17="","",COUNTIFS(Stock_por_Lote!$B:$B,A17,Stock_por_Lote!$J:$J,"&gt;0"))</f>
        <v/>
      </c>
      <c r="G17" s="10" t="str">
        <f>IF(A17="","",SUMIFS(Movimientos!$K:$K,Movimientos!$C:$C,A17))</f>
        <v/>
      </c>
      <c r="H17" s="15" t="str">
        <f>IF(A17="","",IFERROR(IF(_xlfn.MINIFS(Stock_por_Lote!$H:$H,Stock_por_Lote!$B:$B,A17,Stock_por_Lote!$J:$J,"&gt;0")=0,"S/D",_xlfn.MINIFS(Stock_por_Lote!$H:$H,Stock_por_Lote!$B:$B,A17,Stock_por_Lote!$J:$J,"&gt;0")),"S/D"))</f>
        <v/>
      </c>
    </row>
    <row r="18" spans="2:8">
      <c r="B18" s="4" t="str">
        <f>IF(A18="","",IFERROR(INDEX(Movimientos!$D$5:$D$2001,MATCH(A18&amp;"ENTRADA",Movimientos!$S$5:$S$2001,0)),"-"))</f>
        <v/>
      </c>
      <c r="C18" s="4" t="str">
        <f>IF(A18="","",IFERROR(INDEX(Movimientos!$E$5:$E$2001,MATCH(A18&amp;"ENTRADA",Movimientos!$S$5:$S$2001,0)),"-"))</f>
        <v/>
      </c>
      <c r="D18" s="4" t="str">
        <f>IF(A18="","",IFERROR(INDEX(Movimientos!$F$5:$F$2001,MATCH(A18&amp;"ENTRADA",Movimientos!$S$5:$S$2001,0)),"-"))</f>
        <v/>
      </c>
      <c r="E18" s="4" t="str">
        <f>IF(A18="","",IFERROR(INDEX(Movimientos!$L$5:$L$2001,MATCH(A18&amp;"ENTRADA",Movimientos!$S$5:$S$2001,0)),"-"))</f>
        <v/>
      </c>
      <c r="F18" s="9" t="str">
        <f>IF(A18="","",COUNTIFS(Stock_por_Lote!$B:$B,A18,Stock_por_Lote!$J:$J,"&gt;0"))</f>
        <v/>
      </c>
      <c r="G18" s="10" t="str">
        <f>IF(A18="","",SUMIFS(Movimientos!$K:$K,Movimientos!$C:$C,A18))</f>
        <v/>
      </c>
      <c r="H18" s="15" t="str">
        <f>IF(A18="","",IFERROR(IF(_xlfn.MINIFS(Stock_por_Lote!$H:$H,Stock_por_Lote!$B:$B,A18,Stock_por_Lote!$J:$J,"&gt;0")=0,"S/D",_xlfn.MINIFS(Stock_por_Lote!$H:$H,Stock_por_Lote!$B:$B,A18,Stock_por_Lote!$J:$J,"&gt;0")),"S/D"))</f>
        <v/>
      </c>
    </row>
    <row r="19" spans="2:8">
      <c r="B19" s="4" t="str">
        <f>IF(A19="","",IFERROR(INDEX(Movimientos!$D$5:$D$2001,MATCH(A19&amp;"ENTRADA",Movimientos!$S$5:$S$2001,0)),"-"))</f>
        <v/>
      </c>
      <c r="C19" s="4" t="str">
        <f>IF(A19="","",IFERROR(INDEX(Movimientos!$E$5:$E$2001,MATCH(A19&amp;"ENTRADA",Movimientos!$S$5:$S$2001,0)),"-"))</f>
        <v/>
      </c>
      <c r="D19" s="4" t="str">
        <f>IF(A19="","",IFERROR(INDEX(Movimientos!$F$5:$F$2001,MATCH(A19&amp;"ENTRADA",Movimientos!$S$5:$S$2001,0)),"-"))</f>
        <v/>
      </c>
      <c r="E19" s="4" t="str">
        <f>IF(A19="","",IFERROR(INDEX(Movimientos!$L$5:$L$2001,MATCH(A19&amp;"ENTRADA",Movimientos!$S$5:$S$2001,0)),"-"))</f>
        <v/>
      </c>
      <c r="F19" s="9" t="str">
        <f>IF(A19="","",COUNTIFS(Stock_por_Lote!$B:$B,A19,Stock_por_Lote!$J:$J,"&gt;0"))</f>
        <v/>
      </c>
      <c r="G19" s="10" t="str">
        <f>IF(A19="","",SUMIFS(Movimientos!$K:$K,Movimientos!$C:$C,A19))</f>
        <v/>
      </c>
      <c r="H19" s="15" t="str">
        <f>IF(A19="","",IFERROR(IF(_xlfn.MINIFS(Stock_por_Lote!$H:$H,Stock_por_Lote!$B:$B,A19,Stock_por_Lote!$J:$J,"&gt;0")=0,"S/D",_xlfn.MINIFS(Stock_por_Lote!$H:$H,Stock_por_Lote!$B:$B,A19,Stock_por_Lote!$J:$J,"&gt;0")),"S/D"))</f>
        <v/>
      </c>
    </row>
    <row r="20" spans="2:8">
      <c r="B20" s="4" t="str">
        <f>IF(A20="","",IFERROR(INDEX(Movimientos!$D$5:$D$2001,MATCH(A20&amp;"ENTRADA",Movimientos!$S$5:$S$2001,0)),"-"))</f>
        <v/>
      </c>
      <c r="C20" s="4" t="str">
        <f>IF(A20="","",IFERROR(INDEX(Movimientos!$E$5:$E$2001,MATCH(A20&amp;"ENTRADA",Movimientos!$S$5:$S$2001,0)),"-"))</f>
        <v/>
      </c>
      <c r="D20" s="4" t="str">
        <f>IF(A20="","",IFERROR(INDEX(Movimientos!$F$5:$F$2001,MATCH(A20&amp;"ENTRADA",Movimientos!$S$5:$S$2001,0)),"-"))</f>
        <v/>
      </c>
      <c r="E20" s="4" t="str">
        <f>IF(A20="","",IFERROR(INDEX(Movimientos!$L$5:$L$2001,MATCH(A20&amp;"ENTRADA",Movimientos!$S$5:$S$2001,0)),"-"))</f>
        <v/>
      </c>
      <c r="F20" s="9" t="str">
        <f>IF(A20="","",COUNTIFS(Stock_por_Lote!$B:$B,A20,Stock_por_Lote!$J:$J,"&gt;0"))</f>
        <v/>
      </c>
      <c r="G20" s="10" t="str">
        <f>IF(A20="","",SUMIFS(Movimientos!$K:$K,Movimientos!$C:$C,A20))</f>
        <v/>
      </c>
      <c r="H20" s="15" t="str">
        <f>IF(A20="","",IFERROR(IF(_xlfn.MINIFS(Stock_por_Lote!$H:$H,Stock_por_Lote!$B:$B,A20,Stock_por_Lote!$J:$J,"&gt;0")=0,"S/D",_xlfn.MINIFS(Stock_por_Lote!$H:$H,Stock_por_Lote!$B:$B,A20,Stock_por_Lote!$J:$J,"&gt;0")),"S/D"))</f>
        <v/>
      </c>
    </row>
    <row r="21" spans="2:8">
      <c r="B21" s="4" t="str">
        <f>IF(A21="","",IFERROR(INDEX(Movimientos!$D$5:$D$2001,MATCH(A21&amp;"ENTRADA",Movimientos!$S$5:$S$2001,0)),"-"))</f>
        <v/>
      </c>
      <c r="C21" s="4" t="str">
        <f>IF(A21="","",IFERROR(INDEX(Movimientos!$E$5:$E$2001,MATCH(A21&amp;"ENTRADA",Movimientos!$S$5:$S$2001,0)),"-"))</f>
        <v/>
      </c>
      <c r="D21" s="4" t="str">
        <f>IF(A21="","",IFERROR(INDEX(Movimientos!$F$5:$F$2001,MATCH(A21&amp;"ENTRADA",Movimientos!$S$5:$S$2001,0)),"-"))</f>
        <v/>
      </c>
      <c r="E21" s="4" t="str">
        <f>IF(A21="","",IFERROR(INDEX(Movimientos!$L$5:$L$2001,MATCH(A21&amp;"ENTRADA",Movimientos!$S$5:$S$2001,0)),"-"))</f>
        <v/>
      </c>
      <c r="F21" s="9" t="str">
        <f>IF(A21="","",COUNTIFS(Stock_por_Lote!$B:$B,A21,Stock_por_Lote!$J:$J,"&gt;0"))</f>
        <v/>
      </c>
      <c r="G21" s="10" t="str">
        <f>IF(A21="","",SUMIFS(Movimientos!$K:$K,Movimientos!$C:$C,A21))</f>
        <v/>
      </c>
      <c r="H21" s="15" t="str">
        <f>IF(A21="","",IFERROR(IF(_xlfn.MINIFS(Stock_por_Lote!$H:$H,Stock_por_Lote!$B:$B,A21,Stock_por_Lote!$J:$J,"&gt;0")=0,"S/D",_xlfn.MINIFS(Stock_por_Lote!$H:$H,Stock_por_Lote!$B:$B,A21,Stock_por_Lote!$J:$J,"&gt;0")),"S/D"))</f>
        <v/>
      </c>
    </row>
    <row r="22" spans="2:8">
      <c r="B22" s="4" t="str">
        <f>IF(A22="","",IFERROR(INDEX(Movimientos!$D$5:$D$2001,MATCH(A22&amp;"ENTRADA",Movimientos!$S$5:$S$2001,0)),"-"))</f>
        <v/>
      </c>
      <c r="C22" s="4" t="str">
        <f>IF(A22="","",IFERROR(INDEX(Movimientos!$E$5:$E$2001,MATCH(A22&amp;"ENTRADA",Movimientos!$S$5:$S$2001,0)),"-"))</f>
        <v/>
      </c>
      <c r="D22" s="4" t="str">
        <f>IF(A22="","",IFERROR(INDEX(Movimientos!$F$5:$F$2001,MATCH(A22&amp;"ENTRADA",Movimientos!$S$5:$S$2001,0)),"-"))</f>
        <v/>
      </c>
      <c r="E22" s="4" t="str">
        <f>IF(A22="","",IFERROR(INDEX(Movimientos!$L$5:$L$2001,MATCH(A22&amp;"ENTRADA",Movimientos!$S$5:$S$2001,0)),"-"))</f>
        <v/>
      </c>
      <c r="F22" s="9" t="str">
        <f>IF(A22="","",COUNTIFS(Stock_por_Lote!$B:$B,A22,Stock_por_Lote!$J:$J,"&gt;0"))</f>
        <v/>
      </c>
      <c r="G22" s="10" t="str">
        <f>IF(A22="","",SUMIFS(Movimientos!$K:$K,Movimientos!$C:$C,A22))</f>
        <v/>
      </c>
      <c r="H22" s="15" t="str">
        <f>IF(A22="","",IFERROR(IF(_xlfn.MINIFS(Stock_por_Lote!$H:$H,Stock_por_Lote!$B:$B,A22,Stock_por_Lote!$J:$J,"&gt;0")=0,"S/D",_xlfn.MINIFS(Stock_por_Lote!$H:$H,Stock_por_Lote!$B:$B,A22,Stock_por_Lote!$J:$J,"&gt;0")),"S/D"))</f>
        <v/>
      </c>
    </row>
    <row r="23" spans="2:8">
      <c r="B23" s="4" t="str">
        <f>IF(A23="","",IFERROR(INDEX(Movimientos!$D$5:$D$2001,MATCH(A23&amp;"ENTRADA",Movimientos!$S$5:$S$2001,0)),"-"))</f>
        <v/>
      </c>
      <c r="C23" s="4" t="str">
        <f>IF(A23="","",IFERROR(INDEX(Movimientos!$E$5:$E$2001,MATCH(A23&amp;"ENTRADA",Movimientos!$S$5:$S$2001,0)),"-"))</f>
        <v/>
      </c>
      <c r="D23" s="4" t="str">
        <f>IF(A23="","",IFERROR(INDEX(Movimientos!$F$5:$F$2001,MATCH(A23&amp;"ENTRADA",Movimientos!$S$5:$S$2001,0)),"-"))</f>
        <v/>
      </c>
      <c r="E23" s="4" t="str">
        <f>IF(A23="","",IFERROR(INDEX(Movimientos!$L$5:$L$2001,MATCH(A23&amp;"ENTRADA",Movimientos!$S$5:$S$2001,0)),"-"))</f>
        <v/>
      </c>
      <c r="F23" s="9" t="str">
        <f>IF(A23="","",COUNTIFS(Stock_por_Lote!$B:$B,A23,Stock_por_Lote!$J:$J,"&gt;0"))</f>
        <v/>
      </c>
      <c r="G23" s="10" t="str">
        <f>IF(A23="","",SUMIFS(Movimientos!$K:$K,Movimientos!$C:$C,A23))</f>
        <v/>
      </c>
      <c r="H23" s="15" t="str">
        <f>IF(A23="","",IFERROR(IF(_xlfn.MINIFS(Stock_por_Lote!$H:$H,Stock_por_Lote!$B:$B,A23,Stock_por_Lote!$J:$J,"&gt;0")=0,"S/D",_xlfn.MINIFS(Stock_por_Lote!$H:$H,Stock_por_Lote!$B:$B,A23,Stock_por_Lote!$J:$J,"&gt;0")),"S/D"))</f>
        <v/>
      </c>
    </row>
    <row r="24" spans="2:8">
      <c r="B24" s="4" t="str">
        <f>IF(A24="","",IFERROR(INDEX(Movimientos!$D$5:$D$2001,MATCH(A24&amp;"ENTRADA",Movimientos!$S$5:$S$2001,0)),"-"))</f>
        <v/>
      </c>
      <c r="C24" s="4" t="str">
        <f>IF(A24="","",IFERROR(INDEX(Movimientos!$E$5:$E$2001,MATCH(A24&amp;"ENTRADA",Movimientos!$S$5:$S$2001,0)),"-"))</f>
        <v/>
      </c>
      <c r="D24" s="4" t="str">
        <f>IF(A24="","",IFERROR(INDEX(Movimientos!$F$5:$F$2001,MATCH(A24&amp;"ENTRADA",Movimientos!$S$5:$S$2001,0)),"-"))</f>
        <v/>
      </c>
      <c r="E24" s="4" t="str">
        <f>IF(A24="","",IFERROR(INDEX(Movimientos!$L$5:$L$2001,MATCH(A24&amp;"ENTRADA",Movimientos!$S$5:$S$2001,0)),"-"))</f>
        <v/>
      </c>
      <c r="F24" s="9" t="str">
        <f>IF(A24="","",COUNTIFS(Stock_por_Lote!$B:$B,A24,Stock_por_Lote!$J:$J,"&gt;0"))</f>
        <v/>
      </c>
      <c r="G24" s="10" t="str">
        <f>IF(A24="","",SUMIFS(Movimientos!$K:$K,Movimientos!$C:$C,A24))</f>
        <v/>
      </c>
      <c r="H24" s="15" t="str">
        <f>IF(A24="","",IFERROR(IF(_xlfn.MINIFS(Stock_por_Lote!$H:$H,Stock_por_Lote!$B:$B,A24,Stock_por_Lote!$J:$J,"&gt;0")=0,"S/D",_xlfn.MINIFS(Stock_por_Lote!$H:$H,Stock_por_Lote!$B:$B,A24,Stock_por_Lote!$J:$J,"&gt;0")),"S/D"))</f>
        <v/>
      </c>
    </row>
    <row r="25" spans="2:8">
      <c r="B25" s="4" t="str">
        <f>IF(A25="","",IFERROR(INDEX(Movimientos!$D$5:$D$2001,MATCH(A25&amp;"ENTRADA",Movimientos!$S$5:$S$2001,0)),"-"))</f>
        <v/>
      </c>
      <c r="C25" s="4" t="str">
        <f>IF(A25="","",IFERROR(INDEX(Movimientos!$E$5:$E$2001,MATCH(A25&amp;"ENTRADA",Movimientos!$S$5:$S$2001,0)),"-"))</f>
        <v/>
      </c>
      <c r="D25" s="4" t="str">
        <f>IF(A25="","",IFERROR(INDEX(Movimientos!$F$5:$F$2001,MATCH(A25&amp;"ENTRADA",Movimientos!$S$5:$S$2001,0)),"-"))</f>
        <v/>
      </c>
      <c r="E25" s="4" t="str">
        <f>IF(A25="","",IFERROR(INDEX(Movimientos!$L$5:$L$2001,MATCH(A25&amp;"ENTRADA",Movimientos!$S$5:$S$2001,0)),"-"))</f>
        <v/>
      </c>
      <c r="F25" s="9" t="str">
        <f>IF(A25="","",COUNTIFS(Stock_por_Lote!$B:$B,A25,Stock_por_Lote!$J:$J,"&gt;0"))</f>
        <v/>
      </c>
      <c r="G25" s="10" t="str">
        <f>IF(A25="","",SUMIFS(Movimientos!$K:$K,Movimientos!$C:$C,A25))</f>
        <v/>
      </c>
      <c r="H25" s="15" t="str">
        <f>IF(A25="","",IFERROR(IF(_xlfn.MINIFS(Stock_por_Lote!$H:$H,Stock_por_Lote!$B:$B,A25,Stock_por_Lote!$J:$J,"&gt;0")=0,"S/D",_xlfn.MINIFS(Stock_por_Lote!$H:$H,Stock_por_Lote!$B:$B,A25,Stock_por_Lote!$J:$J,"&gt;0")),"S/D"))</f>
        <v/>
      </c>
    </row>
    <row r="26" spans="2:8">
      <c r="B26" s="4" t="str">
        <f>IF(A26="","",IFERROR(INDEX(Movimientos!$D$5:$D$2001,MATCH(A26&amp;"ENTRADA",Movimientos!$S$5:$S$2001,0)),"-"))</f>
        <v/>
      </c>
      <c r="C26" s="4" t="str">
        <f>IF(A26="","",IFERROR(INDEX(Movimientos!$E$5:$E$2001,MATCH(A26&amp;"ENTRADA",Movimientos!$S$5:$S$2001,0)),"-"))</f>
        <v/>
      </c>
      <c r="D26" s="4" t="str">
        <f>IF(A26="","",IFERROR(INDEX(Movimientos!$F$5:$F$2001,MATCH(A26&amp;"ENTRADA",Movimientos!$S$5:$S$2001,0)),"-"))</f>
        <v/>
      </c>
      <c r="E26" s="4" t="str">
        <f>IF(A26="","",IFERROR(INDEX(Movimientos!$L$5:$L$2001,MATCH(A26&amp;"ENTRADA",Movimientos!$S$5:$S$2001,0)),"-"))</f>
        <v/>
      </c>
      <c r="F26" s="9" t="str">
        <f>IF(A26="","",COUNTIFS(Stock_por_Lote!$B:$B,A26,Stock_por_Lote!$J:$J,"&gt;0"))</f>
        <v/>
      </c>
      <c r="G26" s="10" t="str">
        <f>IF(A26="","",SUMIFS(Movimientos!$K:$K,Movimientos!$C:$C,A26))</f>
        <v/>
      </c>
      <c r="H26" s="15" t="str">
        <f>IF(A26="","",IFERROR(IF(_xlfn.MINIFS(Stock_por_Lote!$H:$H,Stock_por_Lote!$B:$B,A26,Stock_por_Lote!$J:$J,"&gt;0")=0,"S/D",_xlfn.MINIFS(Stock_por_Lote!$H:$H,Stock_por_Lote!$B:$B,A26,Stock_por_Lote!$J:$J,"&gt;0")),"S/D"))</f>
        <v/>
      </c>
    </row>
    <row r="27" spans="2:8">
      <c r="B27" s="4" t="str">
        <f>IF(A27="","",IFERROR(INDEX(Movimientos!$D$5:$D$2001,MATCH(A27&amp;"ENTRADA",Movimientos!$S$5:$S$2001,0)),"-"))</f>
        <v/>
      </c>
      <c r="C27" s="4" t="str">
        <f>IF(A27="","",IFERROR(INDEX(Movimientos!$E$5:$E$2001,MATCH(A27&amp;"ENTRADA",Movimientos!$S$5:$S$2001,0)),"-"))</f>
        <v/>
      </c>
      <c r="D27" s="4" t="str">
        <f>IF(A27="","",IFERROR(INDEX(Movimientos!$F$5:$F$2001,MATCH(A27&amp;"ENTRADA",Movimientos!$S$5:$S$2001,0)),"-"))</f>
        <v/>
      </c>
      <c r="E27" s="4" t="str">
        <f>IF(A27="","",IFERROR(INDEX(Movimientos!$L$5:$L$2001,MATCH(A27&amp;"ENTRADA",Movimientos!$S$5:$S$2001,0)),"-"))</f>
        <v/>
      </c>
      <c r="F27" s="9" t="str">
        <f>IF(A27="","",COUNTIFS(Stock_por_Lote!$B:$B,A27,Stock_por_Lote!$J:$J,"&gt;0"))</f>
        <v/>
      </c>
      <c r="G27" s="10" t="str">
        <f>IF(A27="","",SUMIFS(Movimientos!$K:$K,Movimientos!$C:$C,A27))</f>
        <v/>
      </c>
      <c r="H27" s="15" t="str">
        <f>IF(A27="","",IFERROR(IF(_xlfn.MINIFS(Stock_por_Lote!$H:$H,Stock_por_Lote!$B:$B,A27,Stock_por_Lote!$J:$J,"&gt;0")=0,"S/D",_xlfn.MINIFS(Stock_por_Lote!$H:$H,Stock_por_Lote!$B:$B,A27,Stock_por_Lote!$J:$J,"&gt;0")),"S/D"))</f>
        <v/>
      </c>
    </row>
    <row r="28" spans="2:8">
      <c r="B28" s="4" t="str">
        <f>IF(A28="","",IFERROR(INDEX(Movimientos!$D$5:$D$2001,MATCH(A28&amp;"ENTRADA",Movimientos!$S$5:$S$2001,0)),"-"))</f>
        <v/>
      </c>
      <c r="C28" s="4" t="str">
        <f>IF(A28="","",IFERROR(INDEX(Movimientos!$E$5:$E$2001,MATCH(A28&amp;"ENTRADA",Movimientos!$S$5:$S$2001,0)),"-"))</f>
        <v/>
      </c>
      <c r="D28" s="4" t="str">
        <f>IF(A28="","",IFERROR(INDEX(Movimientos!$F$5:$F$2001,MATCH(A28&amp;"ENTRADA",Movimientos!$S$5:$S$2001,0)),"-"))</f>
        <v/>
      </c>
      <c r="E28" s="4" t="str">
        <f>IF(A28="","",IFERROR(INDEX(Movimientos!$L$5:$L$2001,MATCH(A28&amp;"ENTRADA",Movimientos!$S$5:$S$2001,0)),"-"))</f>
        <v/>
      </c>
      <c r="F28" s="9" t="str">
        <f>IF(A28="","",COUNTIFS(Stock_por_Lote!$B:$B,A28,Stock_por_Lote!$J:$J,"&gt;0"))</f>
        <v/>
      </c>
      <c r="G28" s="10" t="str">
        <f>IF(A28="","",SUMIFS(Movimientos!$K:$K,Movimientos!$C:$C,A28))</f>
        <v/>
      </c>
      <c r="H28" s="15" t="str">
        <f>IF(A28="","",IFERROR(IF(_xlfn.MINIFS(Stock_por_Lote!$H:$H,Stock_por_Lote!$B:$B,A28,Stock_por_Lote!$J:$J,"&gt;0")=0,"S/D",_xlfn.MINIFS(Stock_por_Lote!$H:$H,Stock_por_Lote!$B:$B,A28,Stock_por_Lote!$J:$J,"&gt;0")),"S/D"))</f>
        <v/>
      </c>
    </row>
    <row r="29" spans="2:8">
      <c r="B29" s="4" t="str">
        <f>IF(A29="","",IFERROR(INDEX(Movimientos!$D$5:$D$2001,MATCH(A29&amp;"ENTRADA",Movimientos!$S$5:$S$2001,0)),"-"))</f>
        <v/>
      </c>
      <c r="C29" s="4" t="str">
        <f>IF(A29="","",IFERROR(INDEX(Movimientos!$E$5:$E$2001,MATCH(A29&amp;"ENTRADA",Movimientos!$S$5:$S$2001,0)),"-"))</f>
        <v/>
      </c>
      <c r="D29" s="4" t="str">
        <f>IF(A29="","",IFERROR(INDEX(Movimientos!$F$5:$F$2001,MATCH(A29&amp;"ENTRADA",Movimientos!$S$5:$S$2001,0)),"-"))</f>
        <v/>
      </c>
      <c r="E29" s="4" t="str">
        <f>IF(A29="","",IFERROR(INDEX(Movimientos!$L$5:$L$2001,MATCH(A29&amp;"ENTRADA",Movimientos!$S$5:$S$2001,0)),"-"))</f>
        <v/>
      </c>
      <c r="F29" s="9" t="str">
        <f>IF(A29="","",COUNTIFS(Stock_por_Lote!$B:$B,A29,Stock_por_Lote!$J:$J,"&gt;0"))</f>
        <v/>
      </c>
      <c r="G29" s="10" t="str">
        <f>IF(A29="","",SUMIFS(Movimientos!$K:$K,Movimientos!$C:$C,A29))</f>
        <v/>
      </c>
      <c r="H29" s="15" t="str">
        <f>IF(A29="","",IFERROR(IF(_xlfn.MINIFS(Stock_por_Lote!$H:$H,Stock_por_Lote!$B:$B,A29,Stock_por_Lote!$J:$J,"&gt;0")=0,"S/D",_xlfn.MINIFS(Stock_por_Lote!$H:$H,Stock_por_Lote!$B:$B,A29,Stock_por_Lote!$J:$J,"&gt;0")),"S/D"))</f>
        <v/>
      </c>
    </row>
    <row r="30" spans="2:8">
      <c r="B30" s="4" t="str">
        <f>IF(A30="","",IFERROR(INDEX(Movimientos!$D$5:$D$2001,MATCH(A30&amp;"ENTRADA",Movimientos!$S$5:$S$2001,0)),"-"))</f>
        <v/>
      </c>
      <c r="C30" s="4" t="str">
        <f>IF(A30="","",IFERROR(INDEX(Movimientos!$E$5:$E$2001,MATCH(A30&amp;"ENTRADA",Movimientos!$S$5:$S$2001,0)),"-"))</f>
        <v/>
      </c>
      <c r="D30" s="4" t="str">
        <f>IF(A30="","",IFERROR(INDEX(Movimientos!$F$5:$F$2001,MATCH(A30&amp;"ENTRADA",Movimientos!$S$5:$S$2001,0)),"-"))</f>
        <v/>
      </c>
      <c r="E30" s="4" t="str">
        <f>IF(A30="","",IFERROR(INDEX(Movimientos!$L$5:$L$2001,MATCH(A30&amp;"ENTRADA",Movimientos!$S$5:$S$2001,0)),"-"))</f>
        <v/>
      </c>
      <c r="F30" s="9" t="str">
        <f>IF(A30="","",COUNTIFS(Stock_por_Lote!$B:$B,A30,Stock_por_Lote!$J:$J,"&gt;0"))</f>
        <v/>
      </c>
      <c r="G30" s="10" t="str">
        <f>IF(A30="","",SUMIFS(Movimientos!$K:$K,Movimientos!$C:$C,A30))</f>
        <v/>
      </c>
      <c r="H30" s="15" t="str">
        <f>IF(A30="","",IFERROR(IF(_xlfn.MINIFS(Stock_por_Lote!$H:$H,Stock_por_Lote!$B:$B,A30,Stock_por_Lote!$J:$J,"&gt;0")=0,"S/D",_xlfn.MINIFS(Stock_por_Lote!$H:$H,Stock_por_Lote!$B:$B,A30,Stock_por_Lote!$J:$J,"&gt;0")),"S/D"))</f>
        <v/>
      </c>
    </row>
    <row r="31" spans="2:8">
      <c r="B31" s="4" t="str">
        <f>IF(A31="","",IFERROR(INDEX(Movimientos!$D$5:$D$2001,MATCH(A31&amp;"ENTRADA",Movimientos!$S$5:$S$2001,0)),"-"))</f>
        <v/>
      </c>
      <c r="C31" s="4" t="str">
        <f>IF(A31="","",IFERROR(INDEX(Movimientos!$E$5:$E$2001,MATCH(A31&amp;"ENTRADA",Movimientos!$S$5:$S$2001,0)),"-"))</f>
        <v/>
      </c>
      <c r="D31" s="4" t="str">
        <f>IF(A31="","",IFERROR(INDEX(Movimientos!$F$5:$F$2001,MATCH(A31&amp;"ENTRADA",Movimientos!$S$5:$S$2001,0)),"-"))</f>
        <v/>
      </c>
      <c r="E31" s="4" t="str">
        <f>IF(A31="","",IFERROR(INDEX(Movimientos!$L$5:$L$2001,MATCH(A31&amp;"ENTRADA",Movimientos!$S$5:$S$2001,0)),"-"))</f>
        <v/>
      </c>
      <c r="F31" s="9" t="str">
        <f>IF(A31="","",COUNTIFS(Stock_por_Lote!$B:$B,A31,Stock_por_Lote!$J:$J,"&gt;0"))</f>
        <v/>
      </c>
      <c r="G31" s="10" t="str">
        <f>IF(A31="","",SUMIFS(Movimientos!$K:$K,Movimientos!$C:$C,A31))</f>
        <v/>
      </c>
      <c r="H31" s="15" t="str">
        <f>IF(A31="","",IFERROR(IF(_xlfn.MINIFS(Stock_por_Lote!$H:$H,Stock_por_Lote!$B:$B,A31,Stock_por_Lote!$J:$J,"&gt;0")=0,"S/D",_xlfn.MINIFS(Stock_por_Lote!$H:$H,Stock_por_Lote!$B:$B,A31,Stock_por_Lote!$J:$J,"&gt;0")),"S/D"))</f>
        <v/>
      </c>
    </row>
    <row r="32" spans="2:8">
      <c r="B32" s="4" t="str">
        <f>IF(A32="","",IFERROR(INDEX(Movimientos!$D$5:$D$2001,MATCH(A32&amp;"ENTRADA",Movimientos!$S$5:$S$2001,0)),"-"))</f>
        <v/>
      </c>
      <c r="C32" s="4" t="str">
        <f>IF(A32="","",IFERROR(INDEX(Movimientos!$E$5:$E$2001,MATCH(A32&amp;"ENTRADA",Movimientos!$S$5:$S$2001,0)),"-"))</f>
        <v/>
      </c>
      <c r="D32" s="4" t="str">
        <f>IF(A32="","",IFERROR(INDEX(Movimientos!$F$5:$F$2001,MATCH(A32&amp;"ENTRADA",Movimientos!$S$5:$S$2001,0)),"-"))</f>
        <v/>
      </c>
      <c r="E32" s="4" t="str">
        <f>IF(A32="","",IFERROR(INDEX(Movimientos!$L$5:$L$2001,MATCH(A32&amp;"ENTRADA",Movimientos!$S$5:$S$2001,0)),"-"))</f>
        <v/>
      </c>
      <c r="F32" s="9" t="str">
        <f>IF(A32="","",COUNTIFS(Stock_por_Lote!$B:$B,A32,Stock_por_Lote!$J:$J,"&gt;0"))</f>
        <v/>
      </c>
      <c r="G32" s="10" t="str">
        <f>IF(A32="","",SUMIFS(Movimientos!$K:$K,Movimientos!$C:$C,A32))</f>
        <v/>
      </c>
      <c r="H32" s="15" t="str">
        <f>IF(A32="","",IFERROR(IF(_xlfn.MINIFS(Stock_por_Lote!$H:$H,Stock_por_Lote!$B:$B,A32,Stock_por_Lote!$J:$J,"&gt;0")=0,"S/D",_xlfn.MINIFS(Stock_por_Lote!$H:$H,Stock_por_Lote!$B:$B,A32,Stock_por_Lote!$J:$J,"&gt;0")),"S/D"))</f>
        <v/>
      </c>
    </row>
    <row r="33" spans="2:8">
      <c r="B33" s="4" t="str">
        <f>IF(A33="","",IFERROR(INDEX(Movimientos!$D$5:$D$2001,MATCH(A33&amp;"ENTRADA",Movimientos!$S$5:$S$2001,0)),"-"))</f>
        <v/>
      </c>
      <c r="C33" s="4" t="str">
        <f>IF(A33="","",IFERROR(INDEX(Movimientos!$E$5:$E$2001,MATCH(A33&amp;"ENTRADA",Movimientos!$S$5:$S$2001,0)),"-"))</f>
        <v/>
      </c>
      <c r="D33" s="4" t="str">
        <f>IF(A33="","",IFERROR(INDEX(Movimientos!$F$5:$F$2001,MATCH(A33&amp;"ENTRADA",Movimientos!$S$5:$S$2001,0)),"-"))</f>
        <v/>
      </c>
      <c r="E33" s="4" t="str">
        <f>IF(A33="","",IFERROR(INDEX(Movimientos!$L$5:$L$2001,MATCH(A33&amp;"ENTRADA",Movimientos!$S$5:$S$2001,0)),"-"))</f>
        <v/>
      </c>
      <c r="F33" s="9" t="str">
        <f>IF(A33="","",COUNTIFS(Stock_por_Lote!$B:$B,A33,Stock_por_Lote!$J:$J,"&gt;0"))</f>
        <v/>
      </c>
      <c r="G33" s="10" t="str">
        <f>IF(A33="","",SUMIFS(Movimientos!$K:$K,Movimientos!$C:$C,A33))</f>
        <v/>
      </c>
      <c r="H33" s="15" t="str">
        <f>IF(A33="","",IFERROR(IF(_xlfn.MINIFS(Stock_por_Lote!$H:$H,Stock_por_Lote!$B:$B,A33,Stock_por_Lote!$J:$J,"&gt;0")=0,"S/D",_xlfn.MINIFS(Stock_por_Lote!$H:$H,Stock_por_Lote!$B:$B,A33,Stock_por_Lote!$J:$J,"&gt;0")),"S/D"))</f>
        <v/>
      </c>
    </row>
    <row r="34" spans="2:8">
      <c r="B34" s="4" t="str">
        <f>IF(A34="","",IFERROR(INDEX(Movimientos!$D$5:$D$2001,MATCH(A34&amp;"ENTRADA",Movimientos!$S$5:$S$2001,0)),"-"))</f>
        <v/>
      </c>
      <c r="C34" s="4" t="str">
        <f>IF(A34="","",IFERROR(INDEX(Movimientos!$E$5:$E$2001,MATCH(A34&amp;"ENTRADA",Movimientos!$S$5:$S$2001,0)),"-"))</f>
        <v/>
      </c>
      <c r="D34" s="4" t="str">
        <f>IF(A34="","",IFERROR(INDEX(Movimientos!$F$5:$F$2001,MATCH(A34&amp;"ENTRADA",Movimientos!$S$5:$S$2001,0)),"-"))</f>
        <v/>
      </c>
      <c r="E34" s="4" t="str">
        <f>IF(A34="","",IFERROR(INDEX(Movimientos!$L$5:$L$2001,MATCH(A34&amp;"ENTRADA",Movimientos!$S$5:$S$2001,0)),"-"))</f>
        <v/>
      </c>
      <c r="F34" s="9" t="str">
        <f>IF(A34="","",COUNTIFS(Stock_por_Lote!$B:$B,A34,Stock_por_Lote!$J:$J,"&gt;0"))</f>
        <v/>
      </c>
      <c r="G34" s="10" t="str">
        <f>IF(A34="","",SUMIFS(Movimientos!$K:$K,Movimientos!$C:$C,A34))</f>
        <v/>
      </c>
      <c r="H34" s="15" t="str">
        <f>IF(A34="","",IFERROR(IF(_xlfn.MINIFS(Stock_por_Lote!$H:$H,Stock_por_Lote!$B:$B,A34,Stock_por_Lote!$J:$J,"&gt;0")=0,"S/D",_xlfn.MINIFS(Stock_por_Lote!$H:$H,Stock_por_Lote!$B:$B,A34,Stock_por_Lote!$J:$J,"&gt;0")),"S/D"))</f>
        <v/>
      </c>
    </row>
    <row r="35" spans="2:8">
      <c r="B35" s="4" t="str">
        <f>IF(A35="","",IFERROR(INDEX(Movimientos!$D$5:$D$2001,MATCH(A35&amp;"ENTRADA",Movimientos!$S$5:$S$2001,0)),"-"))</f>
        <v/>
      </c>
      <c r="C35" s="4" t="str">
        <f>IF(A35="","",IFERROR(INDEX(Movimientos!$E$5:$E$2001,MATCH(A35&amp;"ENTRADA",Movimientos!$S$5:$S$2001,0)),"-"))</f>
        <v/>
      </c>
      <c r="D35" s="4" t="str">
        <f>IF(A35="","",IFERROR(INDEX(Movimientos!$F$5:$F$2001,MATCH(A35&amp;"ENTRADA",Movimientos!$S$5:$S$2001,0)),"-"))</f>
        <v/>
      </c>
      <c r="E35" s="4" t="str">
        <f>IF(A35="","",IFERROR(INDEX(Movimientos!$L$5:$L$2001,MATCH(A35&amp;"ENTRADA",Movimientos!$S$5:$S$2001,0)),"-"))</f>
        <v/>
      </c>
      <c r="F35" s="9" t="str">
        <f>IF(A35="","",COUNTIFS(Stock_por_Lote!$B:$B,A35,Stock_por_Lote!$J:$J,"&gt;0"))</f>
        <v/>
      </c>
      <c r="G35" s="10" t="str">
        <f>IF(A35="","",SUMIFS(Movimientos!$K:$K,Movimientos!$C:$C,A35))</f>
        <v/>
      </c>
      <c r="H35" s="15" t="str">
        <f>IF(A35="","",IFERROR(IF(_xlfn.MINIFS(Stock_por_Lote!$H:$H,Stock_por_Lote!$B:$B,A35,Stock_por_Lote!$J:$J,"&gt;0")=0,"S/D",_xlfn.MINIFS(Stock_por_Lote!$H:$H,Stock_por_Lote!$B:$B,A35,Stock_por_Lote!$J:$J,"&gt;0")),"S/D"))</f>
        <v/>
      </c>
    </row>
    <row r="36" spans="2:8">
      <c r="B36" s="4" t="str">
        <f>IF(A36="","",IFERROR(INDEX(Movimientos!$D$5:$D$2001,MATCH(A36&amp;"ENTRADA",Movimientos!$S$5:$S$2001,0)),"-"))</f>
        <v/>
      </c>
      <c r="C36" s="4" t="str">
        <f>IF(A36="","",IFERROR(INDEX(Movimientos!$E$5:$E$2001,MATCH(A36&amp;"ENTRADA",Movimientos!$S$5:$S$2001,0)),"-"))</f>
        <v/>
      </c>
      <c r="D36" s="4" t="str">
        <f>IF(A36="","",IFERROR(INDEX(Movimientos!$F$5:$F$2001,MATCH(A36&amp;"ENTRADA",Movimientos!$S$5:$S$2001,0)),"-"))</f>
        <v/>
      </c>
      <c r="E36" s="4" t="str">
        <f>IF(A36="","",IFERROR(INDEX(Movimientos!$L$5:$L$2001,MATCH(A36&amp;"ENTRADA",Movimientos!$S$5:$S$2001,0)),"-"))</f>
        <v/>
      </c>
      <c r="F36" s="9" t="str">
        <f>IF(A36="","",COUNTIFS(Stock_por_Lote!$B:$B,A36,Stock_por_Lote!$J:$J,"&gt;0"))</f>
        <v/>
      </c>
      <c r="G36" s="10" t="str">
        <f>IF(A36="","",SUMIFS(Movimientos!$K:$K,Movimientos!$C:$C,A36))</f>
        <v/>
      </c>
      <c r="H36" s="15" t="str">
        <f>IF(A36="","",IFERROR(IF(_xlfn.MINIFS(Stock_por_Lote!$H:$H,Stock_por_Lote!$B:$B,A36,Stock_por_Lote!$J:$J,"&gt;0")=0,"S/D",_xlfn.MINIFS(Stock_por_Lote!$H:$H,Stock_por_Lote!$B:$B,A36,Stock_por_Lote!$J:$J,"&gt;0")),"S/D"))</f>
        <v/>
      </c>
    </row>
    <row r="37" spans="2:8">
      <c r="B37" s="4" t="str">
        <f>IF(A37="","",IFERROR(INDEX(Movimientos!$D$5:$D$2001,MATCH(A37&amp;"ENTRADA",Movimientos!$S$5:$S$2001,0)),"-"))</f>
        <v/>
      </c>
      <c r="C37" s="4" t="str">
        <f>IF(A37="","",IFERROR(INDEX(Movimientos!$E$5:$E$2001,MATCH(A37&amp;"ENTRADA",Movimientos!$S$5:$S$2001,0)),"-"))</f>
        <v/>
      </c>
      <c r="D37" s="4" t="str">
        <f>IF(A37="","",IFERROR(INDEX(Movimientos!$F$5:$F$2001,MATCH(A37&amp;"ENTRADA",Movimientos!$S$5:$S$2001,0)),"-"))</f>
        <v/>
      </c>
      <c r="E37" s="4" t="str">
        <f>IF(A37="","",IFERROR(INDEX(Movimientos!$L$5:$L$2001,MATCH(A37&amp;"ENTRADA",Movimientos!$S$5:$S$2001,0)),"-"))</f>
        <v/>
      </c>
      <c r="F37" s="9" t="str">
        <f>IF(A37="","",COUNTIFS(Stock_por_Lote!$B:$B,A37,Stock_por_Lote!$J:$J,"&gt;0"))</f>
        <v/>
      </c>
      <c r="G37" s="10" t="str">
        <f>IF(A37="","",SUMIFS(Movimientos!$K:$K,Movimientos!$C:$C,A37))</f>
        <v/>
      </c>
      <c r="H37" s="15" t="str">
        <f>IF(A37="","",IFERROR(IF(_xlfn.MINIFS(Stock_por_Lote!$H:$H,Stock_por_Lote!$B:$B,A37,Stock_por_Lote!$J:$J,"&gt;0")=0,"S/D",_xlfn.MINIFS(Stock_por_Lote!$H:$H,Stock_por_Lote!$B:$B,A37,Stock_por_Lote!$J:$J,"&gt;0")),"S/D"))</f>
        <v/>
      </c>
    </row>
    <row r="38" spans="2:8">
      <c r="B38" s="4" t="str">
        <f>IF(A38="","",IFERROR(INDEX(Movimientos!$D$5:$D$2001,MATCH(A38&amp;"ENTRADA",Movimientos!$S$5:$S$2001,0)),"-"))</f>
        <v/>
      </c>
      <c r="C38" s="4" t="str">
        <f>IF(A38="","",IFERROR(INDEX(Movimientos!$E$5:$E$2001,MATCH(A38&amp;"ENTRADA",Movimientos!$S$5:$S$2001,0)),"-"))</f>
        <v/>
      </c>
      <c r="D38" s="4" t="str">
        <f>IF(A38="","",IFERROR(INDEX(Movimientos!$F$5:$F$2001,MATCH(A38&amp;"ENTRADA",Movimientos!$S$5:$S$2001,0)),"-"))</f>
        <v/>
      </c>
      <c r="E38" s="4" t="str">
        <f>IF(A38="","",IFERROR(INDEX(Movimientos!$L$5:$L$2001,MATCH(A38&amp;"ENTRADA",Movimientos!$S$5:$S$2001,0)),"-"))</f>
        <v/>
      </c>
      <c r="F38" s="9" t="str">
        <f>IF(A38="","",COUNTIFS(Stock_por_Lote!$B:$B,A38,Stock_por_Lote!$J:$J,"&gt;0"))</f>
        <v/>
      </c>
      <c r="G38" s="10" t="str">
        <f>IF(A38="","",SUMIFS(Movimientos!$K:$K,Movimientos!$C:$C,A38))</f>
        <v/>
      </c>
      <c r="H38" s="15" t="str">
        <f>IF(A38="","",IFERROR(IF(_xlfn.MINIFS(Stock_por_Lote!$H:$H,Stock_por_Lote!$B:$B,A38,Stock_por_Lote!$J:$J,"&gt;0")=0,"S/D",_xlfn.MINIFS(Stock_por_Lote!$H:$H,Stock_por_Lote!$B:$B,A38,Stock_por_Lote!$J:$J,"&gt;0")),"S/D"))</f>
        <v/>
      </c>
    </row>
    <row r="39" spans="2:8">
      <c r="B39" s="4" t="str">
        <f>IF(A39="","",IFERROR(INDEX(Movimientos!$D$5:$D$2001,MATCH(A39&amp;"ENTRADA",Movimientos!$S$5:$S$2001,0)),"-"))</f>
        <v/>
      </c>
      <c r="C39" s="4" t="str">
        <f>IF(A39="","",IFERROR(INDEX(Movimientos!$E$5:$E$2001,MATCH(A39&amp;"ENTRADA",Movimientos!$S$5:$S$2001,0)),"-"))</f>
        <v/>
      </c>
      <c r="D39" s="4" t="str">
        <f>IF(A39="","",IFERROR(INDEX(Movimientos!$F$5:$F$2001,MATCH(A39&amp;"ENTRADA",Movimientos!$S$5:$S$2001,0)),"-"))</f>
        <v/>
      </c>
      <c r="E39" s="4" t="str">
        <f>IF(A39="","",IFERROR(INDEX(Movimientos!$L$5:$L$2001,MATCH(A39&amp;"ENTRADA",Movimientos!$S$5:$S$2001,0)),"-"))</f>
        <v/>
      </c>
      <c r="F39" s="9" t="str">
        <f>IF(A39="","",COUNTIFS(Stock_por_Lote!$B:$B,A39,Stock_por_Lote!$J:$J,"&gt;0"))</f>
        <v/>
      </c>
      <c r="G39" s="10" t="str">
        <f>IF(A39="","",SUMIFS(Movimientos!$K:$K,Movimientos!$C:$C,A39))</f>
        <v/>
      </c>
      <c r="H39" s="15" t="str">
        <f>IF(A39="","",IFERROR(IF(_xlfn.MINIFS(Stock_por_Lote!$H:$H,Stock_por_Lote!$B:$B,A39,Stock_por_Lote!$J:$J,"&gt;0")=0,"S/D",_xlfn.MINIFS(Stock_por_Lote!$H:$H,Stock_por_Lote!$B:$B,A39,Stock_por_Lote!$J:$J,"&gt;0")),"S/D"))</f>
        <v/>
      </c>
    </row>
    <row r="40" spans="2:8">
      <c r="B40" s="4" t="str">
        <f>IF(A40="","",IFERROR(INDEX(Movimientos!$D$5:$D$2001,MATCH(A40&amp;"ENTRADA",Movimientos!$S$5:$S$2001,0)),"-"))</f>
        <v/>
      </c>
      <c r="C40" s="4" t="str">
        <f>IF(A40="","",IFERROR(INDEX(Movimientos!$E$5:$E$2001,MATCH(A40&amp;"ENTRADA",Movimientos!$S$5:$S$2001,0)),"-"))</f>
        <v/>
      </c>
      <c r="D40" s="4" t="str">
        <f>IF(A40="","",IFERROR(INDEX(Movimientos!$F$5:$F$2001,MATCH(A40&amp;"ENTRADA",Movimientos!$S$5:$S$2001,0)),"-"))</f>
        <v/>
      </c>
      <c r="E40" s="4" t="str">
        <f>IF(A40="","",IFERROR(INDEX(Movimientos!$L$5:$L$2001,MATCH(A40&amp;"ENTRADA",Movimientos!$S$5:$S$2001,0)),"-"))</f>
        <v/>
      </c>
      <c r="F40" s="9" t="str">
        <f>IF(A40="","",COUNTIFS(Stock_por_Lote!$B:$B,A40,Stock_por_Lote!$J:$J,"&gt;0"))</f>
        <v/>
      </c>
      <c r="G40" s="10" t="str">
        <f>IF(A40="","",SUMIFS(Movimientos!$K:$K,Movimientos!$C:$C,A40))</f>
        <v/>
      </c>
      <c r="H40" s="15" t="str">
        <f>IF(A40="","",IFERROR(IF(_xlfn.MINIFS(Stock_por_Lote!$H:$H,Stock_por_Lote!$B:$B,A40,Stock_por_Lote!$J:$J,"&gt;0")=0,"S/D",_xlfn.MINIFS(Stock_por_Lote!$H:$H,Stock_por_Lote!$B:$B,A40,Stock_por_Lote!$J:$J,"&gt;0")),"S/D"))</f>
        <v/>
      </c>
    </row>
    <row r="41" spans="2:8">
      <c r="B41" s="4" t="str">
        <f>IF(A41="","",IFERROR(INDEX(Movimientos!$D$5:$D$2001,MATCH(A41&amp;"ENTRADA",Movimientos!$S$5:$S$2001,0)),"-"))</f>
        <v/>
      </c>
      <c r="C41" s="4" t="str">
        <f>IF(A41="","",IFERROR(INDEX(Movimientos!$E$5:$E$2001,MATCH(A41&amp;"ENTRADA",Movimientos!$S$5:$S$2001,0)),"-"))</f>
        <v/>
      </c>
      <c r="D41" s="4" t="str">
        <f>IF(A41="","",IFERROR(INDEX(Movimientos!$F$5:$F$2001,MATCH(A41&amp;"ENTRADA",Movimientos!$S$5:$S$2001,0)),"-"))</f>
        <v/>
      </c>
      <c r="E41" s="4" t="str">
        <f>IF(A41="","",IFERROR(INDEX(Movimientos!$L$5:$L$2001,MATCH(A41&amp;"ENTRADA",Movimientos!$S$5:$S$2001,0)),"-"))</f>
        <v/>
      </c>
      <c r="F41" s="9" t="str">
        <f>IF(A41="","",COUNTIFS(Stock_por_Lote!$B:$B,A41,Stock_por_Lote!$J:$J,"&gt;0"))</f>
        <v/>
      </c>
      <c r="G41" s="10" t="str">
        <f>IF(A41="","",SUMIFS(Movimientos!$K:$K,Movimientos!$C:$C,A41))</f>
        <v/>
      </c>
      <c r="H41" s="15" t="str">
        <f>IF(A41="","",IFERROR(IF(_xlfn.MINIFS(Stock_por_Lote!$H:$H,Stock_por_Lote!$B:$B,A41,Stock_por_Lote!$J:$J,"&gt;0")=0,"S/D",_xlfn.MINIFS(Stock_por_Lote!$H:$H,Stock_por_Lote!$B:$B,A41,Stock_por_Lote!$J:$J,"&gt;0")),"S/D"))</f>
        <v/>
      </c>
    </row>
    <row r="42" spans="2:8">
      <c r="B42" s="4" t="str">
        <f>IF(A42="","",IFERROR(INDEX(Movimientos!$D$5:$D$2001,MATCH(A42&amp;"ENTRADA",Movimientos!$S$5:$S$2001,0)),"-"))</f>
        <v/>
      </c>
      <c r="C42" s="4" t="str">
        <f>IF(A42="","",IFERROR(INDEX(Movimientos!$E$5:$E$2001,MATCH(A42&amp;"ENTRADA",Movimientos!$S$5:$S$2001,0)),"-"))</f>
        <v/>
      </c>
      <c r="D42" s="4" t="str">
        <f>IF(A42="","",IFERROR(INDEX(Movimientos!$F$5:$F$2001,MATCH(A42&amp;"ENTRADA",Movimientos!$S$5:$S$2001,0)),"-"))</f>
        <v/>
      </c>
      <c r="E42" s="4" t="str">
        <f>IF(A42="","",IFERROR(INDEX(Movimientos!$L$5:$L$2001,MATCH(A42&amp;"ENTRADA",Movimientos!$S$5:$S$2001,0)),"-"))</f>
        <v/>
      </c>
      <c r="F42" s="9" t="str">
        <f>IF(A42="","",COUNTIFS(Stock_por_Lote!$B:$B,A42,Stock_por_Lote!$J:$J,"&gt;0"))</f>
        <v/>
      </c>
      <c r="G42" s="10" t="str">
        <f>IF(A42="","",SUMIFS(Movimientos!$K:$K,Movimientos!$C:$C,A42))</f>
        <v/>
      </c>
      <c r="H42" s="15" t="str">
        <f>IF(A42="","",IFERROR(IF(_xlfn.MINIFS(Stock_por_Lote!$H:$H,Stock_por_Lote!$B:$B,A42,Stock_por_Lote!$J:$J,"&gt;0")=0,"S/D",_xlfn.MINIFS(Stock_por_Lote!$H:$H,Stock_por_Lote!$B:$B,A42,Stock_por_Lote!$J:$J,"&gt;0")),"S/D"))</f>
        <v/>
      </c>
    </row>
    <row r="43" spans="2:8">
      <c r="B43" s="4" t="str">
        <f>IF(A43="","",IFERROR(INDEX(Movimientos!$D$5:$D$2001,MATCH(A43&amp;"ENTRADA",Movimientos!$S$5:$S$2001,0)),"-"))</f>
        <v/>
      </c>
      <c r="C43" s="4" t="str">
        <f>IF(A43="","",IFERROR(INDEX(Movimientos!$E$5:$E$2001,MATCH(A43&amp;"ENTRADA",Movimientos!$S$5:$S$2001,0)),"-"))</f>
        <v/>
      </c>
      <c r="D43" s="4" t="str">
        <f>IF(A43="","",IFERROR(INDEX(Movimientos!$F$5:$F$2001,MATCH(A43&amp;"ENTRADA",Movimientos!$S$5:$S$2001,0)),"-"))</f>
        <v/>
      </c>
      <c r="E43" s="4" t="str">
        <f>IF(A43="","",IFERROR(INDEX(Movimientos!$L$5:$L$2001,MATCH(A43&amp;"ENTRADA",Movimientos!$S$5:$S$2001,0)),"-"))</f>
        <v/>
      </c>
      <c r="F43" s="9" t="str">
        <f>IF(A43="","",COUNTIFS(Stock_por_Lote!$B:$B,A43,Stock_por_Lote!$J:$J,"&gt;0"))</f>
        <v/>
      </c>
      <c r="G43" s="10" t="str">
        <f>IF(A43="","",SUMIFS(Movimientos!$K:$K,Movimientos!$C:$C,A43))</f>
        <v/>
      </c>
      <c r="H43" s="15" t="str">
        <f>IF(A43="","",IFERROR(IF(_xlfn.MINIFS(Stock_por_Lote!$H:$H,Stock_por_Lote!$B:$B,A43,Stock_por_Lote!$J:$J,"&gt;0")=0,"S/D",_xlfn.MINIFS(Stock_por_Lote!$H:$H,Stock_por_Lote!$B:$B,A43,Stock_por_Lote!$J:$J,"&gt;0")),"S/D"))</f>
        <v/>
      </c>
    </row>
    <row r="44" spans="2:8">
      <c r="B44" s="4" t="str">
        <f>IF(A44="","",IFERROR(INDEX(Movimientos!$D$5:$D$2001,MATCH(A44&amp;"ENTRADA",Movimientos!$S$5:$S$2001,0)),"-"))</f>
        <v/>
      </c>
      <c r="C44" s="4" t="str">
        <f>IF(A44="","",IFERROR(INDEX(Movimientos!$E$5:$E$2001,MATCH(A44&amp;"ENTRADA",Movimientos!$S$5:$S$2001,0)),"-"))</f>
        <v/>
      </c>
      <c r="D44" s="4" t="str">
        <f>IF(A44="","",IFERROR(INDEX(Movimientos!$F$5:$F$2001,MATCH(A44&amp;"ENTRADA",Movimientos!$S$5:$S$2001,0)),"-"))</f>
        <v/>
      </c>
      <c r="E44" s="4" t="str">
        <f>IF(A44="","",IFERROR(INDEX(Movimientos!$L$5:$L$2001,MATCH(A44&amp;"ENTRADA",Movimientos!$S$5:$S$2001,0)),"-"))</f>
        <v/>
      </c>
      <c r="F44" s="9" t="str">
        <f>IF(A44="","",COUNTIFS(Stock_por_Lote!$B:$B,A44,Stock_por_Lote!$J:$J,"&gt;0"))</f>
        <v/>
      </c>
      <c r="G44" s="10" t="str">
        <f>IF(A44="","",SUMIFS(Movimientos!$K:$K,Movimientos!$C:$C,A44))</f>
        <v/>
      </c>
      <c r="H44" s="15" t="str">
        <f>IF(A44="","",IFERROR(IF(_xlfn.MINIFS(Stock_por_Lote!$H:$H,Stock_por_Lote!$B:$B,A44,Stock_por_Lote!$J:$J,"&gt;0")=0,"S/D",_xlfn.MINIFS(Stock_por_Lote!$H:$H,Stock_por_Lote!$B:$B,A44,Stock_por_Lote!$J:$J,"&gt;0")),"S/D"))</f>
        <v/>
      </c>
    </row>
    <row r="45" spans="2:8">
      <c r="B45" s="4" t="str">
        <f>IF(A45="","",IFERROR(INDEX(Movimientos!$D$5:$D$2001,MATCH(A45&amp;"ENTRADA",Movimientos!$S$5:$S$2001,0)),"-"))</f>
        <v/>
      </c>
      <c r="C45" s="4" t="str">
        <f>IF(A45="","",IFERROR(INDEX(Movimientos!$E$5:$E$2001,MATCH(A45&amp;"ENTRADA",Movimientos!$S$5:$S$2001,0)),"-"))</f>
        <v/>
      </c>
      <c r="D45" s="4" t="str">
        <f>IF(A45="","",IFERROR(INDEX(Movimientos!$F$5:$F$2001,MATCH(A45&amp;"ENTRADA",Movimientos!$S$5:$S$2001,0)),"-"))</f>
        <v/>
      </c>
      <c r="E45" s="4" t="str">
        <f>IF(A45="","",IFERROR(INDEX(Movimientos!$L$5:$L$2001,MATCH(A45&amp;"ENTRADA",Movimientos!$S$5:$S$2001,0)),"-"))</f>
        <v/>
      </c>
      <c r="F45" s="9" t="str">
        <f>IF(A45="","",COUNTIFS(Stock_por_Lote!$B:$B,A45,Stock_por_Lote!$J:$J,"&gt;0"))</f>
        <v/>
      </c>
      <c r="G45" s="10" t="str">
        <f>IF(A45="","",SUMIFS(Movimientos!$K:$K,Movimientos!$C:$C,A45))</f>
        <v/>
      </c>
      <c r="H45" s="15" t="str">
        <f>IF(A45="","",IFERROR(IF(_xlfn.MINIFS(Stock_por_Lote!$H:$H,Stock_por_Lote!$B:$B,A45,Stock_por_Lote!$J:$J,"&gt;0")=0,"S/D",_xlfn.MINIFS(Stock_por_Lote!$H:$H,Stock_por_Lote!$B:$B,A45,Stock_por_Lote!$J:$J,"&gt;0")),"S/D"))</f>
        <v/>
      </c>
    </row>
    <row r="46" spans="2:8">
      <c r="B46" s="4" t="str">
        <f>IF(A46="","",IFERROR(INDEX(Movimientos!$D$5:$D$2001,MATCH(A46&amp;"ENTRADA",Movimientos!$S$5:$S$2001,0)),"-"))</f>
        <v/>
      </c>
      <c r="C46" s="4" t="str">
        <f>IF(A46="","",IFERROR(INDEX(Movimientos!$E$5:$E$2001,MATCH(A46&amp;"ENTRADA",Movimientos!$S$5:$S$2001,0)),"-"))</f>
        <v/>
      </c>
      <c r="D46" s="4" t="str">
        <f>IF(A46="","",IFERROR(INDEX(Movimientos!$F$5:$F$2001,MATCH(A46&amp;"ENTRADA",Movimientos!$S$5:$S$2001,0)),"-"))</f>
        <v/>
      </c>
      <c r="E46" s="4" t="str">
        <f>IF(A46="","",IFERROR(INDEX(Movimientos!$L$5:$L$2001,MATCH(A46&amp;"ENTRADA",Movimientos!$S$5:$S$2001,0)),"-"))</f>
        <v/>
      </c>
      <c r="F46" s="9" t="str">
        <f>IF(A46="","",COUNTIFS(Stock_por_Lote!$B:$B,A46,Stock_por_Lote!$J:$J,"&gt;0"))</f>
        <v/>
      </c>
      <c r="G46" s="10" t="str">
        <f>IF(A46="","",SUMIFS(Movimientos!$K:$K,Movimientos!$C:$C,A46))</f>
        <v/>
      </c>
      <c r="H46" s="15" t="str">
        <f>IF(A46="","",IFERROR(IF(_xlfn.MINIFS(Stock_por_Lote!$H:$H,Stock_por_Lote!$B:$B,A46,Stock_por_Lote!$J:$J,"&gt;0")=0,"S/D",_xlfn.MINIFS(Stock_por_Lote!$H:$H,Stock_por_Lote!$B:$B,A46,Stock_por_Lote!$J:$J,"&gt;0")),"S/D"))</f>
        <v/>
      </c>
    </row>
    <row r="47" spans="2:8">
      <c r="B47" s="4" t="str">
        <f>IF(A47="","",IFERROR(INDEX(Movimientos!$D$5:$D$2001,MATCH(A47&amp;"ENTRADA",Movimientos!$S$5:$S$2001,0)),"-"))</f>
        <v/>
      </c>
      <c r="C47" s="4" t="str">
        <f>IF(A47="","",IFERROR(INDEX(Movimientos!$E$5:$E$2001,MATCH(A47&amp;"ENTRADA",Movimientos!$S$5:$S$2001,0)),"-"))</f>
        <v/>
      </c>
      <c r="D47" s="4" t="str">
        <f>IF(A47="","",IFERROR(INDEX(Movimientos!$F$5:$F$2001,MATCH(A47&amp;"ENTRADA",Movimientos!$S$5:$S$2001,0)),"-"))</f>
        <v/>
      </c>
      <c r="E47" s="4" t="str">
        <f>IF(A47="","",IFERROR(INDEX(Movimientos!$L$5:$L$2001,MATCH(A47&amp;"ENTRADA",Movimientos!$S$5:$S$2001,0)),"-"))</f>
        <v/>
      </c>
      <c r="F47" s="9" t="str">
        <f>IF(A47="","",COUNTIFS(Stock_por_Lote!$B:$B,A47,Stock_por_Lote!$J:$J,"&gt;0"))</f>
        <v/>
      </c>
      <c r="G47" s="10" t="str">
        <f>IF(A47="","",SUMIFS(Movimientos!$K:$K,Movimientos!$C:$C,A47))</f>
        <v/>
      </c>
      <c r="H47" s="15" t="str">
        <f>IF(A47="","",IFERROR(IF(_xlfn.MINIFS(Stock_por_Lote!$H:$H,Stock_por_Lote!$B:$B,A47,Stock_por_Lote!$J:$J,"&gt;0")=0,"S/D",_xlfn.MINIFS(Stock_por_Lote!$H:$H,Stock_por_Lote!$B:$B,A47,Stock_por_Lote!$J:$J,"&gt;0")),"S/D"))</f>
        <v/>
      </c>
    </row>
    <row r="48" spans="2:8">
      <c r="B48" s="4" t="str">
        <f>IF(A48="","",IFERROR(INDEX(Movimientos!$D$5:$D$2001,MATCH(A48&amp;"ENTRADA",Movimientos!$S$5:$S$2001,0)),"-"))</f>
        <v/>
      </c>
      <c r="C48" s="4" t="str">
        <f>IF(A48="","",IFERROR(INDEX(Movimientos!$E$5:$E$2001,MATCH(A48&amp;"ENTRADA",Movimientos!$S$5:$S$2001,0)),"-"))</f>
        <v/>
      </c>
      <c r="D48" s="4" t="str">
        <f>IF(A48="","",IFERROR(INDEX(Movimientos!$F$5:$F$2001,MATCH(A48&amp;"ENTRADA",Movimientos!$S$5:$S$2001,0)),"-"))</f>
        <v/>
      </c>
      <c r="E48" s="4" t="str">
        <f>IF(A48="","",IFERROR(INDEX(Movimientos!$L$5:$L$2001,MATCH(A48&amp;"ENTRADA",Movimientos!$S$5:$S$2001,0)),"-"))</f>
        <v/>
      </c>
      <c r="F48" s="9" t="str">
        <f>IF(A48="","",COUNTIFS(Stock_por_Lote!$B:$B,A48,Stock_por_Lote!$J:$J,"&gt;0"))</f>
        <v/>
      </c>
      <c r="G48" s="10" t="str">
        <f>IF(A48="","",SUMIFS(Movimientos!$K:$K,Movimientos!$C:$C,A48))</f>
        <v/>
      </c>
      <c r="H48" s="15" t="str">
        <f>IF(A48="","",IFERROR(IF(_xlfn.MINIFS(Stock_por_Lote!$H:$H,Stock_por_Lote!$B:$B,A48,Stock_por_Lote!$J:$J,"&gt;0")=0,"S/D",_xlfn.MINIFS(Stock_por_Lote!$H:$H,Stock_por_Lote!$B:$B,A48,Stock_por_Lote!$J:$J,"&gt;0")),"S/D"))</f>
        <v/>
      </c>
    </row>
    <row r="49" spans="2:8">
      <c r="B49" s="4" t="str">
        <f>IF(A49="","",IFERROR(INDEX(Movimientos!$D$5:$D$2001,MATCH(A49&amp;"ENTRADA",Movimientos!$S$5:$S$2001,0)),"-"))</f>
        <v/>
      </c>
      <c r="C49" s="4" t="str">
        <f>IF(A49="","",IFERROR(INDEX(Movimientos!$E$5:$E$2001,MATCH(A49&amp;"ENTRADA",Movimientos!$S$5:$S$2001,0)),"-"))</f>
        <v/>
      </c>
      <c r="D49" s="4" t="str">
        <f>IF(A49="","",IFERROR(INDEX(Movimientos!$F$5:$F$2001,MATCH(A49&amp;"ENTRADA",Movimientos!$S$5:$S$2001,0)),"-"))</f>
        <v/>
      </c>
      <c r="E49" s="4" t="str">
        <f>IF(A49="","",IFERROR(INDEX(Movimientos!$L$5:$L$2001,MATCH(A49&amp;"ENTRADA",Movimientos!$S$5:$S$2001,0)),"-"))</f>
        <v/>
      </c>
      <c r="F49" s="9" t="str">
        <f>IF(A49="","",COUNTIFS(Stock_por_Lote!$B:$B,A49,Stock_por_Lote!$J:$J,"&gt;0"))</f>
        <v/>
      </c>
      <c r="G49" s="10" t="str">
        <f>IF(A49="","",SUMIFS(Movimientos!$K:$K,Movimientos!$C:$C,A49))</f>
        <v/>
      </c>
      <c r="H49" s="15" t="str">
        <f>IF(A49="","",IFERROR(IF(_xlfn.MINIFS(Stock_por_Lote!$H:$H,Stock_por_Lote!$B:$B,A49,Stock_por_Lote!$J:$J,"&gt;0")=0,"S/D",_xlfn.MINIFS(Stock_por_Lote!$H:$H,Stock_por_Lote!$B:$B,A49,Stock_por_Lote!$J:$J,"&gt;0")),"S/D"))</f>
        <v/>
      </c>
    </row>
    <row r="50" spans="2:8">
      <c r="B50" s="4" t="str">
        <f>IF(A50="","",IFERROR(INDEX(Movimientos!$D$5:$D$2001,MATCH(A50&amp;"ENTRADA",Movimientos!$S$5:$S$2001,0)),"-"))</f>
        <v/>
      </c>
      <c r="C50" s="4" t="str">
        <f>IF(A50="","",IFERROR(INDEX(Movimientos!$E$5:$E$2001,MATCH(A50&amp;"ENTRADA",Movimientos!$S$5:$S$2001,0)),"-"))</f>
        <v/>
      </c>
      <c r="D50" s="4" t="str">
        <f>IF(A50="","",IFERROR(INDEX(Movimientos!$F$5:$F$2001,MATCH(A50&amp;"ENTRADA",Movimientos!$S$5:$S$2001,0)),"-"))</f>
        <v/>
      </c>
      <c r="E50" s="4" t="str">
        <f>IF(A50="","",IFERROR(INDEX(Movimientos!$L$5:$L$2001,MATCH(A50&amp;"ENTRADA",Movimientos!$S$5:$S$2001,0)),"-"))</f>
        <v/>
      </c>
      <c r="F50" s="9" t="str">
        <f>IF(A50="","",COUNTIFS(Stock_por_Lote!$B:$B,A50,Stock_por_Lote!$J:$J,"&gt;0"))</f>
        <v/>
      </c>
      <c r="G50" s="10" t="str">
        <f>IF(A50="","",SUMIFS(Movimientos!$K:$K,Movimientos!$C:$C,A50))</f>
        <v/>
      </c>
      <c r="H50" s="15" t="str">
        <f>IF(A50="","",IFERROR(IF(_xlfn.MINIFS(Stock_por_Lote!$H:$H,Stock_por_Lote!$B:$B,A50,Stock_por_Lote!$J:$J,"&gt;0")=0,"S/D",_xlfn.MINIFS(Stock_por_Lote!$H:$H,Stock_por_Lote!$B:$B,A50,Stock_por_Lote!$J:$J,"&gt;0")),"S/D"))</f>
        <v/>
      </c>
    </row>
    <row r="51" spans="2:8">
      <c r="B51" s="4" t="str">
        <f>IF(A51="","",IFERROR(INDEX(Movimientos!$D$5:$D$2001,MATCH(A51&amp;"ENTRADA",Movimientos!$S$5:$S$2001,0)),"-"))</f>
        <v/>
      </c>
      <c r="C51" s="4" t="str">
        <f>IF(A51="","",IFERROR(INDEX(Movimientos!$E$5:$E$2001,MATCH(A51&amp;"ENTRADA",Movimientos!$S$5:$S$2001,0)),"-"))</f>
        <v/>
      </c>
      <c r="D51" s="4" t="str">
        <f>IF(A51="","",IFERROR(INDEX(Movimientos!$F$5:$F$2001,MATCH(A51&amp;"ENTRADA",Movimientos!$S$5:$S$2001,0)),"-"))</f>
        <v/>
      </c>
      <c r="E51" s="4" t="str">
        <f>IF(A51="","",IFERROR(INDEX(Movimientos!$L$5:$L$2001,MATCH(A51&amp;"ENTRADA",Movimientos!$S$5:$S$2001,0)),"-"))</f>
        <v/>
      </c>
      <c r="F51" s="9" t="str">
        <f>IF(A51="","",COUNTIFS(Stock_por_Lote!$B:$B,A51,Stock_por_Lote!$J:$J,"&gt;0"))</f>
        <v/>
      </c>
      <c r="G51" s="10" t="str">
        <f>IF(A51="","",SUMIFS(Movimientos!$K:$K,Movimientos!$C:$C,A51))</f>
        <v/>
      </c>
      <c r="H51" s="15" t="str">
        <f>IF(A51="","",IFERROR(IF(_xlfn.MINIFS(Stock_por_Lote!$H:$H,Stock_por_Lote!$B:$B,A51,Stock_por_Lote!$J:$J,"&gt;0")=0,"S/D",_xlfn.MINIFS(Stock_por_Lote!$H:$H,Stock_por_Lote!$B:$B,A51,Stock_por_Lote!$J:$J,"&gt;0")),"S/D"))</f>
        <v/>
      </c>
    </row>
    <row r="52" spans="2:8">
      <c r="B52" s="4" t="str">
        <f>IF(A52="","",IFERROR(INDEX(Movimientos!$D$5:$D$2001,MATCH(A52&amp;"ENTRADA",Movimientos!$S$5:$S$2001,0)),"-"))</f>
        <v/>
      </c>
      <c r="C52" s="4" t="str">
        <f>IF(A52="","",IFERROR(INDEX(Movimientos!$E$5:$E$2001,MATCH(A52&amp;"ENTRADA",Movimientos!$S$5:$S$2001,0)),"-"))</f>
        <v/>
      </c>
      <c r="D52" s="4" t="str">
        <f>IF(A52="","",IFERROR(INDEX(Movimientos!$F$5:$F$2001,MATCH(A52&amp;"ENTRADA",Movimientos!$S$5:$S$2001,0)),"-"))</f>
        <v/>
      </c>
      <c r="E52" s="4" t="str">
        <f>IF(A52="","",IFERROR(INDEX(Movimientos!$L$5:$L$2001,MATCH(A52&amp;"ENTRADA",Movimientos!$S$5:$S$2001,0)),"-"))</f>
        <v/>
      </c>
      <c r="F52" s="9" t="str">
        <f>IF(A52="","",COUNTIFS(Stock_por_Lote!$B:$B,A52,Stock_por_Lote!$J:$J,"&gt;0"))</f>
        <v/>
      </c>
      <c r="G52" s="10" t="str">
        <f>IF(A52="","",SUMIFS(Movimientos!$K:$K,Movimientos!$C:$C,A52))</f>
        <v/>
      </c>
      <c r="H52" s="15" t="str">
        <f>IF(A52="","",IFERROR(IF(_xlfn.MINIFS(Stock_por_Lote!$H:$H,Stock_por_Lote!$B:$B,A52,Stock_por_Lote!$J:$J,"&gt;0")=0,"S/D",_xlfn.MINIFS(Stock_por_Lote!$H:$H,Stock_por_Lote!$B:$B,A52,Stock_por_Lote!$J:$J,"&gt;0")),"S/D"))</f>
        <v/>
      </c>
    </row>
    <row r="53" spans="2:8">
      <c r="B53" s="4" t="str">
        <f>IF(A53="","",IFERROR(INDEX(Movimientos!$D$5:$D$2001,MATCH(A53&amp;"ENTRADA",Movimientos!$S$5:$S$2001,0)),"-"))</f>
        <v/>
      </c>
      <c r="C53" s="4" t="str">
        <f>IF(A53="","",IFERROR(INDEX(Movimientos!$E$5:$E$2001,MATCH(A53&amp;"ENTRADA",Movimientos!$S$5:$S$2001,0)),"-"))</f>
        <v/>
      </c>
      <c r="D53" s="4" t="str">
        <f>IF(A53="","",IFERROR(INDEX(Movimientos!$F$5:$F$2001,MATCH(A53&amp;"ENTRADA",Movimientos!$S$5:$S$2001,0)),"-"))</f>
        <v/>
      </c>
      <c r="E53" s="4" t="str">
        <f>IF(A53="","",IFERROR(INDEX(Movimientos!$L$5:$L$2001,MATCH(A53&amp;"ENTRADA",Movimientos!$S$5:$S$2001,0)),"-"))</f>
        <v/>
      </c>
      <c r="F53" s="9" t="str">
        <f>IF(A53="","",COUNTIFS(Stock_por_Lote!$B:$B,A53,Stock_por_Lote!$J:$J,"&gt;0"))</f>
        <v/>
      </c>
      <c r="G53" s="10" t="str">
        <f>IF(A53="","",SUMIFS(Movimientos!$K:$K,Movimientos!$C:$C,A53))</f>
        <v/>
      </c>
      <c r="H53" s="15" t="str">
        <f>IF(A53="","",IFERROR(IF(_xlfn.MINIFS(Stock_por_Lote!$H:$H,Stock_por_Lote!$B:$B,A53,Stock_por_Lote!$J:$J,"&gt;0")=0,"S/D",_xlfn.MINIFS(Stock_por_Lote!$H:$H,Stock_por_Lote!$B:$B,A53,Stock_por_Lote!$J:$J,"&gt;0")),"S/D"))</f>
        <v/>
      </c>
    </row>
    <row r="54" spans="2:8">
      <c r="F54" s="9" t="str">
        <f>IF(A54="","",COUNTIFS(Stock_por_Lote!$B:$B,A54,Stock_por_Lote!$J:$J,"&gt;0"))</f>
        <v/>
      </c>
      <c r="G54" s="10" t="str">
        <f>IF(A54="","",SUMIFS(Movimientos!$K:$K,Movimientos!$C:$C,A54))</f>
        <v/>
      </c>
      <c r="H54" s="15" t="str">
        <f>IF(A54="","",IFERROR(IF(_xlfn.MINIFS(Stock_por_Lote!$H:$H,Stock_por_Lote!$B:$B,A54,Stock_por_Lote!$J:$J,"&gt;0")=0,"S/D",_xlfn.MINIFS(Stock_por_Lote!$H:$H,Stock_por_Lote!$B:$B,A54,Stock_por_Lote!$J:$J,"&gt;0")),"S/D"))</f>
        <v/>
      </c>
    </row>
    <row r="55" spans="2:8">
      <c r="F55" s="9" t="str">
        <f>IF(A55="","",COUNTIFS(Stock_por_Lote!$B:$B,A55,Stock_por_Lote!$J:$J,"&gt;0"))</f>
        <v/>
      </c>
      <c r="G55" s="10" t="str">
        <f>IF(A55="","",SUMIFS(Movimientos!$K:$K,Movimientos!$C:$C,A55))</f>
        <v/>
      </c>
      <c r="H55" s="15" t="str">
        <f>IF(A55="","",IFERROR(IF(_xlfn.MINIFS(Stock_por_Lote!$H:$H,Stock_por_Lote!$B:$B,A55,Stock_por_Lote!$J:$J,"&gt;0")=0,"S/D",_xlfn.MINIFS(Stock_por_Lote!$H:$H,Stock_por_Lote!$B:$B,A55,Stock_por_Lote!$J:$J,"&gt;0")),"S/D"))</f>
        <v/>
      </c>
    </row>
  </sheetData>
  <conditionalFormatting sqref="A11">
    <cfRule type="expression" dxfId="1" priority="1">
      <formula>$I11="ENTRADA"</formula>
    </cfRule>
    <cfRule type="expression" dxfId="0" priority="2">
      <formula>$I11="SALIDA"</formula>
    </cfRule>
  </conditionalFormatting>
  <pageMargins left="0.75" right="0.75" top="1" bottom="1" header="0.5" footer="0.5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xr:uid="{6AC2C7AF-152F-4BC0-BF0D-9B82F824496E}">
          <x14:formula1>
            <xm:f>Listas!$A$3:$A$200</xm:f>
          </x14:formula1>
          <xm:sqref>A11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A9D18E"/>
  </sheetPr>
  <dimension ref="A1:H21"/>
  <sheetViews>
    <sheetView showGridLines="0" workbookViewId="0">
      <selection activeCell="B12" sqref="B12"/>
    </sheetView>
  </sheetViews>
  <sheetFormatPr defaultColWidth="9.140625" defaultRowHeight="15"/>
  <cols>
    <col min="1" max="1" width="22" customWidth="1"/>
    <col min="2" max="2" width="41.28515625" customWidth="1"/>
    <col min="3" max="3" width="22" customWidth="1"/>
  </cols>
  <sheetData>
    <row r="1" spans="1:8" ht="27.75" customHeight="1">
      <c r="A1" s="1" t="s">
        <v>3072</v>
      </c>
    </row>
    <row r="2" spans="1:8" ht="21.75" customHeight="1">
      <c r="A2" s="25" t="s">
        <v>2085</v>
      </c>
      <c r="B2" s="25" t="s">
        <v>3073</v>
      </c>
      <c r="C2" s="25" t="s">
        <v>26</v>
      </c>
      <c r="D2" s="25" t="s">
        <v>27</v>
      </c>
      <c r="E2" s="25" t="s">
        <v>28</v>
      </c>
      <c r="F2" s="25" t="s">
        <v>3074</v>
      </c>
      <c r="G2" s="25" t="s">
        <v>33</v>
      </c>
      <c r="H2" s="25" t="s">
        <v>3075</v>
      </c>
    </row>
    <row r="3" spans="1:8">
      <c r="A3" t="s">
        <v>41</v>
      </c>
      <c r="B3" t="s">
        <v>42</v>
      </c>
      <c r="C3" s="26" t="s">
        <v>3076</v>
      </c>
      <c r="D3" s="26" t="s">
        <v>3077</v>
      </c>
      <c r="E3" s="26" t="s">
        <v>52</v>
      </c>
      <c r="F3" s="26" t="s">
        <v>45</v>
      </c>
      <c r="G3" s="26" t="s">
        <v>53</v>
      </c>
      <c r="H3" s="11" t="s">
        <v>3078</v>
      </c>
    </row>
    <row r="4" spans="1:8">
      <c r="A4" t="s">
        <v>48</v>
      </c>
      <c r="B4" t="s">
        <v>3079</v>
      </c>
      <c r="C4" s="26" t="s">
        <v>3080</v>
      </c>
      <c r="D4" s="26" t="s">
        <v>3081</v>
      </c>
      <c r="E4" s="26" t="s">
        <v>3082</v>
      </c>
      <c r="F4" s="26" t="s">
        <v>76</v>
      </c>
      <c r="G4" s="26" t="s">
        <v>46</v>
      </c>
      <c r="H4" s="11" t="s">
        <v>3083</v>
      </c>
    </row>
    <row r="5" spans="1:8">
      <c r="A5" t="s">
        <v>56</v>
      </c>
      <c r="B5" t="s">
        <v>57</v>
      </c>
      <c r="C5" s="26" t="s">
        <v>50</v>
      </c>
      <c r="D5" s="26"/>
      <c r="E5" s="26" t="s">
        <v>3084</v>
      </c>
      <c r="G5" s="26" t="s">
        <v>3085</v>
      </c>
      <c r="H5" s="11" t="s">
        <v>77</v>
      </c>
    </row>
    <row r="6" spans="1:8">
      <c r="A6" t="s">
        <v>59</v>
      </c>
      <c r="B6" t="s">
        <v>74</v>
      </c>
      <c r="C6" s="26" t="s">
        <v>43</v>
      </c>
      <c r="D6" s="26" t="s">
        <v>3086</v>
      </c>
      <c r="E6" s="26" t="s">
        <v>3087</v>
      </c>
      <c r="G6" s="26" t="s">
        <v>3088</v>
      </c>
      <c r="H6" s="11" t="s">
        <v>3089</v>
      </c>
    </row>
    <row r="7" spans="1:8">
      <c r="A7" t="s">
        <v>64</v>
      </c>
      <c r="B7" t="s">
        <v>3090</v>
      </c>
      <c r="C7" s="26" t="s">
        <v>3091</v>
      </c>
      <c r="D7" s="26" t="s">
        <v>3092</v>
      </c>
      <c r="E7" s="26" t="s">
        <v>3093</v>
      </c>
      <c r="G7" s="26" t="s">
        <v>3094</v>
      </c>
      <c r="H7" s="11" t="s">
        <v>3095</v>
      </c>
    </row>
    <row r="8" spans="1:8">
      <c r="A8" t="s">
        <v>67</v>
      </c>
      <c r="B8" t="s">
        <v>68</v>
      </c>
      <c r="C8" s="26" t="s">
        <v>98</v>
      </c>
      <c r="D8" s="26" t="s">
        <v>3096</v>
      </c>
      <c r="E8" s="26" t="s">
        <v>3097</v>
      </c>
      <c r="G8" s="26" t="s">
        <v>3098</v>
      </c>
    </row>
    <row r="9" spans="1:8">
      <c r="A9" t="s">
        <v>71</v>
      </c>
      <c r="B9" t="s">
        <v>72</v>
      </c>
      <c r="C9" s="26" t="s">
        <v>85</v>
      </c>
      <c r="D9" s="26" t="s">
        <v>3099</v>
      </c>
      <c r="E9" s="26" t="s">
        <v>3100</v>
      </c>
      <c r="G9" s="26" t="s">
        <v>3101</v>
      </c>
    </row>
    <row r="10" spans="1:8">
      <c r="A10" t="s">
        <v>81</v>
      </c>
      <c r="B10" t="s">
        <v>82</v>
      </c>
      <c r="C10" s="26" t="s">
        <v>3102</v>
      </c>
      <c r="D10" s="26" t="s">
        <v>3103</v>
      </c>
      <c r="E10" s="26" t="s">
        <v>3104</v>
      </c>
      <c r="G10" s="11" t="s">
        <v>69</v>
      </c>
    </row>
    <row r="11" spans="1:8">
      <c r="A11" t="s">
        <v>84</v>
      </c>
      <c r="B11" t="s">
        <v>91</v>
      </c>
      <c r="D11" s="26" t="s">
        <v>61</v>
      </c>
      <c r="E11" s="26" t="s">
        <v>3105</v>
      </c>
    </row>
    <row r="12" spans="1:8">
      <c r="A12" t="s">
        <v>90</v>
      </c>
      <c r="D12" s="26" t="s">
        <v>51</v>
      </c>
      <c r="E12" s="26" t="s">
        <v>3102</v>
      </c>
    </row>
    <row r="13" spans="1:8">
      <c r="A13" t="s">
        <v>94</v>
      </c>
      <c r="B13" t="s">
        <v>95</v>
      </c>
      <c r="D13" s="26" t="s">
        <v>3106</v>
      </c>
      <c r="E13" s="11" t="s">
        <v>44</v>
      </c>
    </row>
    <row r="14" spans="1:8">
      <c r="A14" t="s">
        <v>97</v>
      </c>
      <c r="D14" s="26" t="s">
        <v>3107</v>
      </c>
    </row>
    <row r="15" spans="1:8">
      <c r="D15" s="26" t="s">
        <v>3108</v>
      </c>
    </row>
    <row r="16" spans="1:8">
      <c r="D16" s="26" t="s">
        <v>3109</v>
      </c>
    </row>
    <row r="17" spans="4:4">
      <c r="D17" s="26" t="s">
        <v>3110</v>
      </c>
    </row>
    <row r="18" spans="4:4">
      <c r="D18" s="26" t="s">
        <v>3111</v>
      </c>
    </row>
    <row r="19" spans="4:4">
      <c r="D19" s="26" t="s">
        <v>3112</v>
      </c>
    </row>
    <row r="20" spans="4:4">
      <c r="D20" s="26" t="s">
        <v>3113</v>
      </c>
    </row>
    <row r="21" spans="4:4">
      <c r="D21" s="26" t="s">
        <v>3114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C000"/>
  </sheetPr>
  <dimension ref="A1:B21"/>
  <sheetViews>
    <sheetView showGridLines="0" workbookViewId="0"/>
  </sheetViews>
  <sheetFormatPr defaultColWidth="9.140625" defaultRowHeight="15"/>
  <cols>
    <col min="1" max="1" width="30" customWidth="1"/>
    <col min="2" max="2" width="75" customWidth="1"/>
  </cols>
  <sheetData>
    <row r="1" spans="1:2" ht="27.75" customHeight="1">
      <c r="A1" s="1" t="s">
        <v>3115</v>
      </c>
    </row>
    <row r="2" spans="1:2">
      <c r="B2" t="s">
        <v>3116</v>
      </c>
    </row>
    <row r="3" spans="1:2" ht="18" customHeight="1">
      <c r="A3" s="12" t="s">
        <v>3117</v>
      </c>
      <c r="B3" s="13"/>
    </row>
    <row r="4" spans="1:2" ht="30" customHeight="1">
      <c r="A4" s="27" t="s">
        <v>3118</v>
      </c>
      <c r="B4" s="28" t="s">
        <v>3119</v>
      </c>
    </row>
    <row r="5" spans="1:2" ht="30" customHeight="1">
      <c r="A5" s="27" t="s">
        <v>3120</v>
      </c>
      <c r="B5" s="28" t="s">
        <v>3121</v>
      </c>
    </row>
    <row r="6" spans="1:2" ht="30" customHeight="1">
      <c r="A6" s="27" t="s">
        <v>3122</v>
      </c>
      <c r="B6" s="28" t="s">
        <v>3123</v>
      </c>
    </row>
    <row r="7" spans="1:2" ht="18" customHeight="1">
      <c r="A7" s="29"/>
      <c r="B7" s="29"/>
    </row>
    <row r="8" spans="1:2" ht="18" customHeight="1">
      <c r="A8" s="12" t="s">
        <v>3124</v>
      </c>
      <c r="B8" s="13"/>
    </row>
    <row r="9" spans="1:2" ht="30" customHeight="1">
      <c r="A9" s="27" t="s">
        <v>3125</v>
      </c>
      <c r="B9" s="28" t="s">
        <v>3126</v>
      </c>
    </row>
    <row r="10" spans="1:2" ht="30" customHeight="1">
      <c r="A10" s="27" t="s">
        <v>3127</v>
      </c>
      <c r="B10" s="28" t="s">
        <v>3128</v>
      </c>
    </row>
    <row r="11" spans="1:2" ht="30" customHeight="1">
      <c r="A11" s="27" t="s">
        <v>3129</v>
      </c>
      <c r="B11" s="28" t="s">
        <v>3130</v>
      </c>
    </row>
    <row r="12" spans="1:2" ht="30" customHeight="1">
      <c r="A12" s="27" t="s">
        <v>3131</v>
      </c>
      <c r="B12" s="28" t="s">
        <v>3132</v>
      </c>
    </row>
    <row r="13" spans="1:2" ht="30" customHeight="1">
      <c r="A13" s="27" t="s">
        <v>3133</v>
      </c>
      <c r="B13" s="28" t="s">
        <v>3134</v>
      </c>
    </row>
    <row r="14" spans="1:2" ht="18" customHeight="1">
      <c r="A14" s="29"/>
      <c r="B14" s="29"/>
    </row>
    <row r="15" spans="1:2" ht="18" customHeight="1">
      <c r="A15" s="12" t="s">
        <v>3135</v>
      </c>
      <c r="B15" s="13"/>
    </row>
    <row r="16" spans="1:2" ht="30" customHeight="1">
      <c r="A16" s="27" t="s">
        <v>3136</v>
      </c>
      <c r="B16" s="28" t="s">
        <v>3137</v>
      </c>
    </row>
    <row r="17" spans="1:2" ht="18" customHeight="1">
      <c r="A17" s="29"/>
      <c r="B17" s="29"/>
    </row>
    <row r="18" spans="1:2" ht="18" customHeight="1">
      <c r="A18" s="12" t="s">
        <v>3138</v>
      </c>
      <c r="B18" s="13"/>
    </row>
    <row r="19" spans="1:2" ht="30" customHeight="1">
      <c r="A19" s="27" t="s">
        <v>3139</v>
      </c>
      <c r="B19" s="28" t="s">
        <v>3140</v>
      </c>
    </row>
    <row r="20" spans="1:2" ht="30" customHeight="1">
      <c r="A20" s="27" t="s">
        <v>3141</v>
      </c>
      <c r="B20" s="28" t="s">
        <v>3142</v>
      </c>
    </row>
    <row r="21" spans="1:2" ht="30" customHeight="1">
      <c r="A21" s="27" t="s">
        <v>3143</v>
      </c>
      <c r="B21" s="28" t="s">
        <v>3144</v>
      </c>
    </row>
  </sheetData>
  <pageMargins left="0.75" right="0.75" top="1" bottom="1" header="0.5" footer="0.5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28867580-4592-47a8-a490-5f1990c83971" xsi:nil="true"/>
    <lcf76f155ced4ddcb4097134ff3c332f xmlns="6f4b1271-3e48-4fa4-9395-5da21e2ace23">
      <Terms xmlns="http://schemas.microsoft.com/office/infopath/2007/PartnerControls"/>
    </lcf76f155ced4ddcb4097134ff3c332f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711D466C73CDF643807BA842554885B1" ma:contentTypeVersion="16" ma:contentTypeDescription="Crear nuevo documento." ma:contentTypeScope="" ma:versionID="8e1c5aa86496f51e6901b2b089969625">
  <xsd:schema xmlns:xsd="http://www.w3.org/2001/XMLSchema" xmlns:xs="http://www.w3.org/2001/XMLSchema" xmlns:p="http://schemas.microsoft.com/office/2006/metadata/properties" xmlns:ns2="6f4b1271-3e48-4fa4-9395-5da21e2ace23" xmlns:ns3="28867580-4592-47a8-a490-5f1990c83971" targetNamespace="http://schemas.microsoft.com/office/2006/metadata/properties" ma:root="true" ma:fieldsID="8574df20a81ac730ef1e2c2435c9ef30" ns2:_="" ns3:_="">
    <xsd:import namespace="6f4b1271-3e48-4fa4-9395-5da21e2ace23"/>
    <xsd:import namespace="28867580-4592-47a8-a490-5f1990c8397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MediaServiceLocation" minOccurs="0"/>
                <xsd:element ref="ns2:MediaServiceSearchProperties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f4b1271-3e48-4fa4-9395-5da21e2ace23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1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n" ma:readOnly="false" ma:fieldId="{5cf76f15-5ced-4ddc-b409-7134ff3c332f}" ma:taxonomyMulti="true" ma:sspId="aabc8f33-ee36-423c-af3d-fc7009dd3b76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2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Location" ma:index="21" nillable="true" ma:displayName="Location" ma:indexed="true" ma:internalName="MediaServiceLocation" ma:readOnly="true">
      <xsd:simpleType>
        <xsd:restriction base="dms:Text"/>
      </xsd:simpleType>
    </xsd:element>
    <xsd:element name="MediaServiceSearchProperties" ma:index="22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BillingMetadata" ma:index="23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8867580-4592-47a8-a490-5f1990c83971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17fb74ee-af40-4cc9-bfa0-1d1e117c2076}" ma:internalName="TaxCatchAll" ma:showField="CatchAllData" ma:web="28867580-4592-47a8-a490-5f1990c83971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8" nillable="true" ma:displayName="Compartido con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9" nillable="true" ma:displayName="Detalles de uso compartido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729620E-34FA-47C5-A97A-8372DD9A4CBE}"/>
</file>

<file path=customXml/itemProps2.xml><?xml version="1.0" encoding="utf-8"?>
<ds:datastoreItem xmlns:ds="http://schemas.openxmlformats.org/officeDocument/2006/customXml" ds:itemID="{FF06CDD4-6CD8-41B6-81B7-B8F8F77245D9}"/>
</file>

<file path=customXml/itemProps3.xml><?xml version="1.0" encoding="utf-8"?>
<ds:datastoreItem xmlns:ds="http://schemas.openxmlformats.org/officeDocument/2006/customXml" ds:itemID="{7294339B-35B7-4743-B34B-97DDAED0EEF0}"/>
</file>

<file path=customXml/itemProps4.xml><?xml version="1.0" encoding="utf-8"?>
<ds:datastoreItem xmlns:ds="http://schemas.openxmlformats.org/officeDocument/2006/customXml" ds:itemID="{9F7B3009-C52E-4D66-81EE-EDC55AE40F6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/>
  <cp:revision/>
  <dcterms:created xsi:type="dcterms:W3CDTF">2026-04-02T12:24:04Z</dcterms:created>
  <dcterms:modified xsi:type="dcterms:W3CDTF">2026-04-06T15:02:24Z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0x010100711D466C73CDF643807BA842554885B1</vt:lpwstr>
  </property>
  <property fmtid="{D5CDD505-2E9C-101B-9397-08002B2CF9AE}" pid="3" name="MediaServiceImageTags">
    <vt:lpwstr/>
  </property>
</Properties>
</file>