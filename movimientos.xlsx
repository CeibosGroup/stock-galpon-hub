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B09AF88-F45E-4DAC-B1C0-8A4D45DF5D7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G55" i="3" l="1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<sst xmlns="http://schemas.openxmlformats.org/spreadsheetml/2006/main" count="6377" uniqueCount="3265">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</sst>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297" workbookViewId="0">
      <selection activeCell="B12001" sqref="B12001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2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 t="shared" si="0"/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 t="shared" si="0"/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 t="shared" si="0"/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 t="shared" si="0"/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 t="shared" si="0"/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 t="shared" si="0"/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 t="shared" si="0"/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 t="shared" si="0"/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 t="shared" si="0"/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 t="shared" si="0"/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 t="shared" si="0"/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 t="shared" si="0"/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 t="shared" si="0"/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 t="shared" si="0"/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534</v>
      </c>
      <c r="B296" s="48">
        <v>46197</v>
      </c>
      <c r="C296" s="48" t="s">
        <v>281</v>
      </c>
      <c r="D296" t="s">
        <v>282</v>
      </c>
      <c r="E296" t="s">
        <v>283</v>
      </c>
      <c r="F296" t="s">
        <v>284</v>
      </c>
      <c r="G296" t="s">
        <v>82</v>
      </c>
      <c r="H296" s="20" t="s">
        <v>495</v>
      </c>
      <c r="I296" t="s">
        <v>64</v>
      </c>
      <c r="J296" s="30">
        <v>260</v>
      </c>
      <c r="K296" s="22">
        <f t="shared" si="0"/>
        <v>-260</v>
      </c>
      <c r="L296" t="s">
        <v>36</v>
      </c>
      <c r="N296">
        <v>65117</v>
      </c>
      <c r="O296" t="s">
        <v>380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535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 t="shared" si="0"/>
        <v>-580</v>
      </c>
      <c r="L297" t="s">
        <v>36</v>
      </c>
      <c r="N297">
        <v>65117</v>
      </c>
      <c r="O297" t="s">
        <v>380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536</v>
      </c>
      <c r="B298" s="48">
        <v>46197</v>
      </c>
      <c r="C298" s="35" t="s">
        <v>49</v>
      </c>
      <c r="D298" s="35" t="s">
        <v>278</v>
      </c>
      <c r="E298" s="35" t="s">
        <v>33</v>
      </c>
      <c r="F298" s="35" t="s">
        <v>34</v>
      </c>
      <c r="G298" s="35" t="s">
        <v>35</v>
      </c>
      <c r="H298" s="20" t="s">
        <v>279</v>
      </c>
      <c r="I298" s="35" t="s">
        <v>64</v>
      </c>
      <c r="J298" s="37">
        <v>80</v>
      </c>
      <c r="K298" s="22">
        <f t="shared" si="0"/>
        <v>-80</v>
      </c>
      <c r="L298" s="35" t="s">
        <v>36</v>
      </c>
      <c r="M298" s="35"/>
      <c r="N298">
        <v>65117</v>
      </c>
      <c r="O298" t="s">
        <v>380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537</v>
      </c>
      <c r="B299" s="48">
        <v>46197</v>
      </c>
      <c r="C299" t="s">
        <v>128</v>
      </c>
      <c r="D299" t="s">
        <v>129</v>
      </c>
      <c r="E299" t="s">
        <v>130</v>
      </c>
      <c r="G299" t="s">
        <v>131</v>
      </c>
      <c r="H299" s="20" t="s">
        <v>219</v>
      </c>
      <c r="I299" t="s">
        <v>64</v>
      </c>
      <c r="J299" s="30">
        <v>120</v>
      </c>
      <c r="K299" s="22">
        <f t="shared" si="0"/>
        <v>-120</v>
      </c>
      <c r="L299" t="s">
        <v>36</v>
      </c>
      <c r="N299">
        <v>65117</v>
      </c>
      <c r="O299" t="s">
        <v>380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538</v>
      </c>
      <c r="B300" s="48">
        <v>46197</v>
      </c>
      <c r="C300" t="s">
        <v>135</v>
      </c>
      <c r="D300" t="s">
        <v>136</v>
      </c>
      <c r="E300" t="s">
        <v>130</v>
      </c>
      <c r="G300" t="s">
        <v>131</v>
      </c>
      <c r="H300" s="20" t="s">
        <v>209</v>
      </c>
      <c r="I300" t="s">
        <v>64</v>
      </c>
      <c r="J300" s="52">
        <v>15</v>
      </c>
      <c r="K300" s="22">
        <f t="shared" si="0"/>
        <v>-15</v>
      </c>
      <c r="L300" t="s">
        <v>36</v>
      </c>
      <c r="N300">
        <v>65117</v>
      </c>
      <c r="O300" t="s">
        <v>380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539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 t="shared" si="0"/>
        <v>-12</v>
      </c>
      <c r="L301" t="s">
        <v>55</v>
      </c>
      <c r="N301">
        <v>65117</v>
      </c>
      <c r="O301" t="s">
        <v>380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540</v>
      </c>
      <c r="B302" s="48">
        <v>46197</v>
      </c>
      <c r="C302" t="s">
        <v>489</v>
      </c>
      <c r="D302" t="s">
        <v>490</v>
      </c>
      <c r="E302" t="s">
        <v>491</v>
      </c>
      <c r="G302" t="s">
        <v>35</v>
      </c>
      <c r="H302" s="20" t="s">
        <v>493</v>
      </c>
      <c r="I302" t="s">
        <v>64</v>
      </c>
      <c r="J302" s="30">
        <v>460</v>
      </c>
      <c r="K302" s="22">
        <f t="shared" si="0"/>
        <v>-460</v>
      </c>
      <c r="L302" t="s">
        <v>36</v>
      </c>
      <c r="N302">
        <v>65118</v>
      </c>
      <c r="O302" t="s">
        <v>211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541</v>
      </c>
      <c r="B303" s="48">
        <v>46198</v>
      </c>
      <c r="C303" t="s">
        <v>281</v>
      </c>
      <c r="D303" t="s">
        <v>282</v>
      </c>
      <c r="E303" t="s">
        <v>283</v>
      </c>
      <c r="F303" t="s">
        <v>284</v>
      </c>
      <c r="G303" t="s">
        <v>82</v>
      </c>
      <c r="H303" s="20" t="s">
        <v>495</v>
      </c>
      <c r="I303" t="s">
        <v>64</v>
      </c>
      <c r="J303" s="30">
        <v>540</v>
      </c>
      <c r="K303" s="22">
        <f t="shared" si="0"/>
        <v>-540</v>
      </c>
      <c r="L303" t="s">
        <v>36</v>
      </c>
      <c r="N303">
        <v>65119</v>
      </c>
      <c r="O303" t="s">
        <v>380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542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 t="shared" si="0"/>
        <v>-7</v>
      </c>
      <c r="L304" t="s">
        <v>55</v>
      </c>
      <c r="N304">
        <v>65119</v>
      </c>
      <c r="O304" t="s">
        <v>380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543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 t="shared" si="0"/>
        <v>-25</v>
      </c>
      <c r="L305" t="s">
        <v>36</v>
      </c>
      <c r="N305">
        <v>65119</v>
      </c>
      <c r="O305" t="s">
        <v>380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544</v>
      </c>
      <c r="B306" s="48">
        <v>46198</v>
      </c>
      <c r="C306" t="s">
        <v>128</v>
      </c>
      <c r="D306" t="s">
        <v>129</v>
      </c>
      <c r="E306" t="s">
        <v>130</v>
      </c>
      <c r="G306" t="s">
        <v>131</v>
      </c>
      <c r="H306" s="20" t="s">
        <v>219</v>
      </c>
      <c r="I306" t="s">
        <v>64</v>
      </c>
      <c r="J306" s="30">
        <v>40</v>
      </c>
      <c r="K306" s="22">
        <f t="shared" si="0"/>
        <v>-40</v>
      </c>
      <c r="L306" t="s">
        <v>36</v>
      </c>
      <c r="N306">
        <v>65119</v>
      </c>
      <c r="O306" t="s">
        <v>380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545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 t="shared" si="0"/>
        <v>-31</v>
      </c>
      <c r="L307" t="s">
        <v>55</v>
      </c>
      <c r="N307">
        <v>65122</v>
      </c>
      <c r="O307" t="s">
        <v>385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546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201</v>
      </c>
      <c r="I308" t="s">
        <v>64</v>
      </c>
      <c r="J308" s="30">
        <v>160</v>
      </c>
      <c r="K308" s="22">
        <f t="shared" si="0"/>
        <v>-160</v>
      </c>
      <c r="L308" t="s">
        <v>36</v>
      </c>
      <c r="N308">
        <v>65122</v>
      </c>
      <c r="O308" t="s">
        <v>385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547</v>
      </c>
      <c r="B309" s="48">
        <v>46198</v>
      </c>
      <c r="C309" s="35" t="s">
        <v>281</v>
      </c>
      <c r="D309" s="35" t="s">
        <v>282</v>
      </c>
      <c r="E309" s="35" t="s">
        <v>283</v>
      </c>
      <c r="F309" s="35" t="s">
        <v>284</v>
      </c>
      <c r="G309" s="35" t="s">
        <v>82</v>
      </c>
      <c r="H309" s="20" t="s">
        <v>495</v>
      </c>
      <c r="I309" s="35" t="s">
        <v>64</v>
      </c>
      <c r="J309" s="37">
        <v>160</v>
      </c>
      <c r="K309" s="22">
        <f t="shared" si="0"/>
        <v>-160</v>
      </c>
      <c r="L309" s="35" t="s">
        <v>36</v>
      </c>
      <c r="M309" s="35"/>
      <c r="N309">
        <v>65122</v>
      </c>
      <c r="O309" t="s">
        <v>385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548</v>
      </c>
      <c r="B310" s="48">
        <v>46198</v>
      </c>
      <c r="C310" t="s">
        <v>525</v>
      </c>
      <c r="D310" t="s">
        <v>526</v>
      </c>
      <c r="E310" t="s">
        <v>491</v>
      </c>
      <c r="G310" t="s">
        <v>76</v>
      </c>
      <c r="H310" s="20" t="s">
        <v>549</v>
      </c>
      <c r="I310" t="s">
        <v>64</v>
      </c>
      <c r="J310" s="30">
        <v>30</v>
      </c>
      <c r="K310" s="22">
        <f t="shared" si="0"/>
        <v>-30</v>
      </c>
      <c r="L310" t="s">
        <v>28</v>
      </c>
      <c r="N310">
        <v>65122</v>
      </c>
      <c r="O310" t="s">
        <v>385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550</v>
      </c>
      <c r="B311" s="48">
        <v>46199</v>
      </c>
      <c r="C311" t="s">
        <v>522</v>
      </c>
      <c r="D311" t="s">
        <v>523</v>
      </c>
      <c r="E311" t="s">
        <v>514</v>
      </c>
      <c r="G311" t="s">
        <v>76</v>
      </c>
      <c r="H311" s="20" t="s">
        <v>551</v>
      </c>
      <c r="I311" t="s">
        <v>64</v>
      </c>
      <c r="J311" s="30">
        <v>70</v>
      </c>
      <c r="K311" s="22">
        <f t="shared" si="0"/>
        <v>-70</v>
      </c>
      <c r="L311" t="s">
        <v>36</v>
      </c>
      <c r="N311">
        <v>65123</v>
      </c>
      <c r="O311" t="s">
        <v>216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552</v>
      </c>
      <c r="B312" s="48">
        <v>46199</v>
      </c>
      <c r="C312" t="s">
        <v>135</v>
      </c>
      <c r="D312" t="s">
        <v>136</v>
      </c>
      <c r="E312" t="s">
        <v>130</v>
      </c>
      <c r="G312" t="s">
        <v>131</v>
      </c>
      <c r="H312" s="20" t="s">
        <v>209</v>
      </c>
      <c r="I312" t="s">
        <v>64</v>
      </c>
      <c r="J312" s="52">
        <v>1</v>
      </c>
      <c r="K312" s="22">
        <f t="shared" si="0"/>
        <v>-1</v>
      </c>
      <c r="L312" t="s">
        <v>36</v>
      </c>
      <c r="N312">
        <v>65123</v>
      </c>
      <c r="O312" t="s">
        <v>216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553</v>
      </c>
      <c r="B313" s="48">
        <v>46199</v>
      </c>
      <c r="C313" t="s">
        <v>554</v>
      </c>
      <c r="D313" t="s">
        <v>555</v>
      </c>
      <c r="E313" t="s">
        <v>24</v>
      </c>
      <c r="H313" s="20" t="str">
        <f>+T313</f>
        <v>260626-313</v>
      </c>
      <c r="I313" t="s">
        <v>27</v>
      </c>
      <c r="J313" s="30">
        <v>1700</v>
      </c>
      <c r="K313" s="22">
        <f t="shared" si="0"/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556</v>
      </c>
      <c r="B314" s="48">
        <v>46198</v>
      </c>
      <c r="C314" t="s">
        <v>532</v>
      </c>
      <c r="D314" t="s">
        <v>533</v>
      </c>
      <c r="E314" t="s">
        <v>33</v>
      </c>
      <c r="F314" t="s">
        <v>34</v>
      </c>
      <c r="G314" t="s">
        <v>35</v>
      </c>
      <c r="H314" s="20" t="s">
        <v>557</v>
      </c>
      <c r="I314" t="s">
        <v>64</v>
      </c>
      <c r="J314" s="30">
        <v>8</v>
      </c>
      <c r="K314" s="22">
        <f t="shared" si="0"/>
        <v>-8</v>
      </c>
      <c r="L314" t="s">
        <v>28</v>
      </c>
      <c r="N314">
        <v>65124</v>
      </c>
      <c r="O314" t="s">
        <v>307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558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 t="shared" si="0"/>
        <v>-50</v>
      </c>
      <c r="L315" t="s">
        <v>55</v>
      </c>
      <c r="N315">
        <v>65127</v>
      </c>
      <c r="O315" t="s">
        <v>380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559</v>
      </c>
      <c r="B316" s="48">
        <v>46204</v>
      </c>
      <c r="C316" t="s">
        <v>145</v>
      </c>
      <c r="D316" t="s">
        <v>146</v>
      </c>
      <c r="E316" t="s">
        <v>33</v>
      </c>
      <c r="F316" t="s">
        <v>34</v>
      </c>
      <c r="G316" t="s">
        <v>35</v>
      </c>
      <c r="H316" s="20" t="s">
        <v>560</v>
      </c>
      <c r="I316" t="s">
        <v>64</v>
      </c>
      <c r="J316" s="30">
        <v>810</v>
      </c>
      <c r="K316" s="22">
        <f t="shared" si="0"/>
        <v>-810</v>
      </c>
      <c r="L316" t="s">
        <v>36</v>
      </c>
      <c r="N316">
        <v>65127</v>
      </c>
      <c r="O316" t="s">
        <v>380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561</v>
      </c>
      <c r="B317" s="48">
        <v>46204</v>
      </c>
      <c r="C317" t="s">
        <v>128</v>
      </c>
      <c r="D317" t="s">
        <v>129</v>
      </c>
      <c r="E317" t="s">
        <v>130</v>
      </c>
      <c r="G317" t="s">
        <v>131</v>
      </c>
      <c r="H317" s="20" t="s">
        <v>219</v>
      </c>
      <c r="I317" t="s">
        <v>64</v>
      </c>
      <c r="J317" s="30">
        <v>110</v>
      </c>
      <c r="K317" s="22">
        <f t="shared" si="0"/>
        <v>-110</v>
      </c>
      <c r="L317" t="s">
        <v>36</v>
      </c>
      <c r="N317">
        <v>65127</v>
      </c>
      <c r="O317" t="s">
        <v>380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562</v>
      </c>
      <c r="B318" s="48">
        <v>46204</v>
      </c>
      <c r="C318" t="s">
        <v>135</v>
      </c>
      <c r="D318" t="s">
        <v>136</v>
      </c>
      <c r="E318" t="s">
        <v>130</v>
      </c>
      <c r="G318" t="s">
        <v>131</v>
      </c>
      <c r="H318" s="20" t="s">
        <v>209</v>
      </c>
      <c r="I318" t="s">
        <v>64</v>
      </c>
      <c r="J318" s="30">
        <v>15</v>
      </c>
      <c r="K318" s="22">
        <f t="shared" ref="K318:K381" si="1">IF(I318="","",IF(I318="ENTRADA",ABS(J318),-ABS(J318)))</f>
        <v>-15</v>
      </c>
      <c r="L318" t="s">
        <v>36</v>
      </c>
      <c r="N318">
        <v>65127</v>
      </c>
      <c r="O318" t="s">
        <v>380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563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 t="shared" si="1"/>
        <v>-150</v>
      </c>
      <c r="L319" t="s">
        <v>36</v>
      </c>
      <c r="N319">
        <v>65128</v>
      </c>
      <c r="O319" t="s">
        <v>211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564</v>
      </c>
      <c r="B320" s="48">
        <v>46204</v>
      </c>
      <c r="C320" s="35" t="s">
        <v>128</v>
      </c>
      <c r="D320" s="35" t="s">
        <v>129</v>
      </c>
      <c r="E320" s="35" t="s">
        <v>130</v>
      </c>
      <c r="F320" s="35"/>
      <c r="G320" s="35" t="s">
        <v>131</v>
      </c>
      <c r="H320" s="20" t="s">
        <v>219</v>
      </c>
      <c r="I320" s="35" t="s">
        <v>64</v>
      </c>
      <c r="J320" s="37">
        <v>400</v>
      </c>
      <c r="K320" s="22">
        <f t="shared" si="1"/>
        <v>-400</v>
      </c>
      <c r="L320" s="35" t="s">
        <v>36</v>
      </c>
      <c r="M320" s="35"/>
      <c r="N320">
        <v>65128</v>
      </c>
      <c r="O320" s="35" t="s">
        <v>211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565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373</v>
      </c>
      <c r="I321" t="s">
        <v>64</v>
      </c>
      <c r="J321" s="30">
        <v>300</v>
      </c>
      <c r="K321" s="22">
        <f t="shared" si="1"/>
        <v>-300</v>
      </c>
      <c r="L321" t="s">
        <v>36</v>
      </c>
      <c r="N321">
        <v>65128</v>
      </c>
      <c r="O321" t="s">
        <v>211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566</v>
      </c>
      <c r="B322" s="48">
        <v>46204</v>
      </c>
      <c r="C322" t="s">
        <v>145</v>
      </c>
      <c r="D322" t="s">
        <v>146</v>
      </c>
      <c r="E322" t="s">
        <v>33</v>
      </c>
      <c r="F322" t="s">
        <v>34</v>
      </c>
      <c r="G322" t="s">
        <v>35</v>
      </c>
      <c r="H322" s="20" t="s">
        <v>560</v>
      </c>
      <c r="I322" t="s">
        <v>64</v>
      </c>
      <c r="J322" s="30">
        <v>500</v>
      </c>
      <c r="K322" s="22">
        <f t="shared" si="1"/>
        <v>-500</v>
      </c>
      <c r="L322" t="s">
        <v>36</v>
      </c>
      <c r="N322">
        <v>65128</v>
      </c>
      <c r="O322" t="s">
        <v>211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567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 t="shared" si="1"/>
        <v>-30</v>
      </c>
      <c r="L323" t="s">
        <v>55</v>
      </c>
      <c r="N323">
        <v>65128</v>
      </c>
      <c r="O323" t="s">
        <v>211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568</v>
      </c>
      <c r="B324" s="48">
        <v>46204</v>
      </c>
      <c r="C324" t="s">
        <v>525</v>
      </c>
      <c r="D324" t="s">
        <v>526</v>
      </c>
      <c r="E324" t="s">
        <v>491</v>
      </c>
      <c r="G324" t="s">
        <v>76</v>
      </c>
      <c r="H324" s="20" t="s">
        <v>549</v>
      </c>
      <c r="I324" t="s">
        <v>64</v>
      </c>
      <c r="J324" s="30">
        <v>60</v>
      </c>
      <c r="K324" s="22">
        <f t="shared" si="1"/>
        <v>-60</v>
      </c>
      <c r="L324" t="s">
        <v>28</v>
      </c>
      <c r="N324">
        <v>65128</v>
      </c>
      <c r="O324" t="s">
        <v>211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569</v>
      </c>
      <c r="B325" s="48">
        <v>46204</v>
      </c>
      <c r="C325" t="s">
        <v>281</v>
      </c>
      <c r="D325" t="s">
        <v>282</v>
      </c>
      <c r="E325" t="s">
        <v>283</v>
      </c>
      <c r="F325" t="s">
        <v>284</v>
      </c>
      <c r="G325" t="s">
        <v>82</v>
      </c>
      <c r="H325" s="20" t="s">
        <v>495</v>
      </c>
      <c r="I325" t="s">
        <v>64</v>
      </c>
      <c r="J325" s="30">
        <v>660</v>
      </c>
      <c r="K325" s="22">
        <f t="shared" si="1"/>
        <v>-660</v>
      </c>
      <c r="L325" t="s">
        <v>36</v>
      </c>
      <c r="N325">
        <v>65129</v>
      </c>
      <c r="O325" t="s">
        <v>385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570</v>
      </c>
      <c r="B326" s="48">
        <v>46205</v>
      </c>
      <c r="C326" t="s">
        <v>489</v>
      </c>
      <c r="D326" t="s">
        <v>490</v>
      </c>
      <c r="E326" t="s">
        <v>491</v>
      </c>
      <c r="G326" t="s">
        <v>35</v>
      </c>
      <c r="H326" s="20" t="s">
        <v>493</v>
      </c>
      <c r="I326" t="s">
        <v>64</v>
      </c>
      <c r="J326" s="30">
        <v>2620</v>
      </c>
      <c r="K326" s="22">
        <f t="shared" si="1"/>
        <v>-2620</v>
      </c>
      <c r="L326" t="s">
        <v>36</v>
      </c>
      <c r="N326">
        <v>65130</v>
      </c>
      <c r="O326" t="s">
        <v>211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571</v>
      </c>
      <c r="B327" s="48">
        <v>46205</v>
      </c>
      <c r="C327" t="s">
        <v>522</v>
      </c>
      <c r="D327" t="s">
        <v>523</v>
      </c>
      <c r="E327" t="s">
        <v>514</v>
      </c>
      <c r="G327" t="s">
        <v>156</v>
      </c>
      <c r="H327" s="20" t="s">
        <v>551</v>
      </c>
      <c r="I327" t="s">
        <v>27</v>
      </c>
      <c r="J327" s="30">
        <v>500</v>
      </c>
      <c r="K327" s="22">
        <f t="shared" si="1"/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572</v>
      </c>
      <c r="B328" s="48">
        <v>46205</v>
      </c>
      <c r="C328" t="s">
        <v>573</v>
      </c>
      <c r="D328" t="s">
        <v>574</v>
      </c>
      <c r="E328" t="s">
        <v>575</v>
      </c>
      <c r="G328" t="s">
        <v>156</v>
      </c>
      <c r="H328" s="20" t="str">
        <f>+T328</f>
        <v>260702-328</v>
      </c>
      <c r="I328" t="s">
        <v>27</v>
      </c>
      <c r="J328" s="30">
        <v>500</v>
      </c>
      <c r="K328" s="22">
        <f t="shared" si="1"/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576</v>
      </c>
      <c r="B329" s="48">
        <v>46205</v>
      </c>
      <c r="C329" t="s">
        <v>577</v>
      </c>
      <c r="G329" t="s">
        <v>156</v>
      </c>
      <c r="H329" s="20" t="str">
        <f>+T329</f>
        <v>260702-329</v>
      </c>
      <c r="I329" t="s">
        <v>27</v>
      </c>
      <c r="J329" s="30">
        <v>12</v>
      </c>
      <c r="K329" s="22">
        <f t="shared" si="1"/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578</v>
      </c>
      <c r="B330" s="48">
        <v>46206</v>
      </c>
      <c r="C330" t="s">
        <v>525</v>
      </c>
      <c r="D330" t="s">
        <v>526</v>
      </c>
      <c r="E330" t="s">
        <v>491</v>
      </c>
      <c r="G330" t="s">
        <v>76</v>
      </c>
      <c r="H330" s="20" t="s">
        <v>549</v>
      </c>
      <c r="I330" t="s">
        <v>64</v>
      </c>
      <c r="J330" s="30">
        <v>60</v>
      </c>
      <c r="K330" s="22">
        <f t="shared" si="1"/>
        <v>-60</v>
      </c>
      <c r="L330" t="s">
        <v>28</v>
      </c>
      <c r="N330">
        <v>65131</v>
      </c>
      <c r="O330" t="s">
        <v>216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579</v>
      </c>
      <c r="B331" s="48">
        <v>46206</v>
      </c>
      <c r="C331" s="35" t="s">
        <v>128</v>
      </c>
      <c r="D331" s="35" t="s">
        <v>129</v>
      </c>
      <c r="E331" s="35" t="s">
        <v>130</v>
      </c>
      <c r="F331" s="35"/>
      <c r="G331" s="35" t="s">
        <v>131</v>
      </c>
      <c r="H331" s="20" t="s">
        <v>219</v>
      </c>
      <c r="I331" s="35" t="s">
        <v>64</v>
      </c>
      <c r="J331" s="37">
        <v>50</v>
      </c>
      <c r="K331" s="22">
        <f t="shared" si="1"/>
        <v>-50</v>
      </c>
      <c r="L331" s="35" t="s">
        <v>36</v>
      </c>
      <c r="M331" s="35"/>
      <c r="N331" s="35">
        <v>65131</v>
      </c>
      <c r="O331" s="35" t="s">
        <v>216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580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 t="shared" si="1"/>
        <v>-15</v>
      </c>
      <c r="L332" t="s">
        <v>55</v>
      </c>
      <c r="N332">
        <v>65131</v>
      </c>
      <c r="O332" t="s">
        <v>216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581</v>
      </c>
      <c r="B333" s="48">
        <v>46206</v>
      </c>
      <c r="C333" t="s">
        <v>135</v>
      </c>
      <c r="D333" t="s">
        <v>136</v>
      </c>
      <c r="E333" t="s">
        <v>130</v>
      </c>
      <c r="G333" t="s">
        <v>131</v>
      </c>
      <c r="H333" s="20" t="s">
        <v>209</v>
      </c>
      <c r="I333" t="s">
        <v>64</v>
      </c>
      <c r="J333" s="30">
        <v>10</v>
      </c>
      <c r="K333" s="22">
        <f t="shared" si="1"/>
        <v>-10</v>
      </c>
      <c r="L333" t="s">
        <v>36</v>
      </c>
      <c r="N333">
        <v>65131</v>
      </c>
      <c r="O333" t="s">
        <v>216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582</v>
      </c>
      <c r="B334" s="48">
        <v>46206</v>
      </c>
      <c r="C334" t="s">
        <v>145</v>
      </c>
      <c r="D334" t="s">
        <v>146</v>
      </c>
      <c r="E334" t="s">
        <v>33</v>
      </c>
      <c r="F334" t="s">
        <v>34</v>
      </c>
      <c r="G334" t="s">
        <v>35</v>
      </c>
      <c r="H334" s="20" t="s">
        <v>560</v>
      </c>
      <c r="I334" t="s">
        <v>64</v>
      </c>
      <c r="J334" s="30">
        <v>450</v>
      </c>
      <c r="K334" s="22">
        <f t="shared" si="1"/>
        <v>-450</v>
      </c>
      <c r="L334" t="s">
        <v>36</v>
      </c>
      <c r="N334">
        <v>65131</v>
      </c>
      <c r="O334" t="s">
        <v>216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583</v>
      </c>
      <c r="B335" s="48">
        <v>46206</v>
      </c>
      <c r="C335" t="s">
        <v>512</v>
      </c>
      <c r="D335" t="s">
        <v>523</v>
      </c>
      <c r="E335" t="s">
        <v>514</v>
      </c>
      <c r="G335" t="s">
        <v>116</v>
      </c>
      <c r="H335" s="20" t="s">
        <v>584</v>
      </c>
      <c r="I335" t="s">
        <v>64</v>
      </c>
      <c r="J335" s="30">
        <v>95</v>
      </c>
      <c r="K335" s="22">
        <f t="shared" si="1"/>
        <v>-95</v>
      </c>
      <c r="L335" t="s">
        <v>36</v>
      </c>
      <c r="N335">
        <v>65131</v>
      </c>
      <c r="O335" t="s">
        <v>216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585</v>
      </c>
      <c r="B336" s="48">
        <v>46209</v>
      </c>
      <c r="C336" t="s">
        <v>573</v>
      </c>
      <c r="D336" t="s">
        <v>574</v>
      </c>
      <c r="E336" t="s">
        <v>575</v>
      </c>
      <c r="G336" t="s">
        <v>156</v>
      </c>
      <c r="H336" s="20" t="s">
        <v>586</v>
      </c>
      <c r="I336" t="s">
        <v>64</v>
      </c>
      <c r="J336" s="30">
        <v>160</v>
      </c>
      <c r="K336" s="22">
        <f t="shared" si="1"/>
        <v>-160</v>
      </c>
      <c r="L336" t="s">
        <v>36</v>
      </c>
      <c r="N336">
        <v>65132</v>
      </c>
      <c r="O336" t="s">
        <v>587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588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201</v>
      </c>
      <c r="I337" t="s">
        <v>64</v>
      </c>
      <c r="J337" s="30">
        <v>160</v>
      </c>
      <c r="K337" s="22">
        <f t="shared" si="1"/>
        <v>-160</v>
      </c>
      <c r="L337" t="s">
        <v>36</v>
      </c>
      <c r="N337">
        <v>65132</v>
      </c>
      <c r="O337" t="s">
        <v>587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589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 t="shared" si="1"/>
        <v>-80</v>
      </c>
      <c r="L338" t="s">
        <v>36</v>
      </c>
      <c r="N338">
        <v>65132</v>
      </c>
      <c r="O338" t="s">
        <v>587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590</v>
      </c>
      <c r="B339" s="48">
        <v>46209</v>
      </c>
      <c r="C339" t="s">
        <v>128</v>
      </c>
      <c r="D339" t="s">
        <v>129</v>
      </c>
      <c r="E339" t="s">
        <v>130</v>
      </c>
      <c r="G339" t="s">
        <v>131</v>
      </c>
      <c r="H339" s="20" t="s">
        <v>219</v>
      </c>
      <c r="I339" t="s">
        <v>64</v>
      </c>
      <c r="J339" s="30">
        <v>40</v>
      </c>
      <c r="K339" s="22">
        <f t="shared" si="1"/>
        <v>-40</v>
      </c>
      <c r="L339" t="s">
        <v>36</v>
      </c>
      <c r="N339">
        <v>65132</v>
      </c>
      <c r="O339" t="s">
        <v>587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591</v>
      </c>
      <c r="B340" s="48">
        <v>46209</v>
      </c>
      <c r="C340" t="s">
        <v>135</v>
      </c>
      <c r="D340" t="s">
        <v>136</v>
      </c>
      <c r="E340" t="s">
        <v>130</v>
      </c>
      <c r="G340" t="s">
        <v>131</v>
      </c>
      <c r="H340" s="20" t="s">
        <v>209</v>
      </c>
      <c r="I340" t="s">
        <v>64</v>
      </c>
      <c r="J340" s="30">
        <v>8</v>
      </c>
      <c r="K340" s="22">
        <f t="shared" si="1"/>
        <v>-8</v>
      </c>
      <c r="L340" t="s">
        <v>36</v>
      </c>
      <c r="N340">
        <v>65132</v>
      </c>
      <c r="O340" t="s">
        <v>587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592</v>
      </c>
      <c r="B341" s="48">
        <v>46209</v>
      </c>
      <c r="C341" t="s">
        <v>49</v>
      </c>
      <c r="D341" t="s">
        <v>278</v>
      </c>
      <c r="E341" t="s">
        <v>33</v>
      </c>
      <c r="F341" t="s">
        <v>34</v>
      </c>
      <c r="G341" t="s">
        <v>35</v>
      </c>
      <c r="H341" s="20" t="s">
        <v>279</v>
      </c>
      <c r="I341" t="s">
        <v>64</v>
      </c>
      <c r="J341" s="30">
        <v>20</v>
      </c>
      <c r="K341" s="22">
        <f t="shared" si="1"/>
        <v>-20</v>
      </c>
      <c r="L341" t="s">
        <v>36</v>
      </c>
      <c r="N341">
        <v>65132</v>
      </c>
      <c r="O341" t="s">
        <v>587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593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 t="shared" si="1"/>
        <v>-140</v>
      </c>
      <c r="L342" s="35" t="s">
        <v>36</v>
      </c>
      <c r="M342" s="35"/>
      <c r="N342">
        <v>65132</v>
      </c>
      <c r="O342" t="s">
        <v>587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594</v>
      </c>
      <c r="B343" s="48">
        <v>46209</v>
      </c>
      <c r="C343" t="s">
        <v>522</v>
      </c>
      <c r="D343" t="s">
        <v>523</v>
      </c>
      <c r="E343" t="s">
        <v>514</v>
      </c>
      <c r="G343" t="s">
        <v>156</v>
      </c>
      <c r="H343" s="20" t="str">
        <f>+T343</f>
        <v>260706-343</v>
      </c>
      <c r="I343" t="s">
        <v>27</v>
      </c>
      <c r="J343" s="30">
        <v>1000</v>
      </c>
      <c r="K343" s="22">
        <f t="shared" si="1"/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595</v>
      </c>
      <c r="B344" s="48">
        <v>46209</v>
      </c>
      <c r="C344" t="s">
        <v>281</v>
      </c>
      <c r="D344" t="s">
        <v>282</v>
      </c>
      <c r="E344" t="s">
        <v>283</v>
      </c>
      <c r="F344" t="s">
        <v>284</v>
      </c>
      <c r="G344" t="s">
        <v>82</v>
      </c>
      <c r="H344" s="20" t="s">
        <v>495</v>
      </c>
      <c r="I344" t="s">
        <v>64</v>
      </c>
      <c r="J344" s="30">
        <v>520</v>
      </c>
      <c r="K344" s="22">
        <f t="shared" si="1"/>
        <v>-520</v>
      </c>
      <c r="L344" t="s">
        <v>36</v>
      </c>
      <c r="N344">
        <v>65133</v>
      </c>
      <c r="O344" t="s">
        <v>385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596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 t="shared" si="1"/>
        <v>-13</v>
      </c>
      <c r="L345" t="s">
        <v>55</v>
      </c>
      <c r="N345">
        <v>65133</v>
      </c>
      <c r="O345" t="s">
        <v>385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597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 t="shared" si="1"/>
        <v>-260</v>
      </c>
      <c r="L346" t="s">
        <v>36</v>
      </c>
      <c r="N346">
        <v>65135</v>
      </c>
      <c r="O346" t="s">
        <v>216</v>
      </c>
      <c r="P346">
        <v>1832</v>
      </c>
      <c r="Q346" s="43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598</v>
      </c>
      <c r="B347" s="48">
        <v>46210</v>
      </c>
      <c r="C347" t="s">
        <v>135</v>
      </c>
      <c r="D347" t="s">
        <v>136</v>
      </c>
      <c r="E347" t="s">
        <v>130</v>
      </c>
      <c r="G347" t="s">
        <v>131</v>
      </c>
      <c r="H347" s="20" t="s">
        <v>209</v>
      </c>
      <c r="I347" t="s">
        <v>64</v>
      </c>
      <c r="J347" s="30">
        <v>2</v>
      </c>
      <c r="K347" s="22">
        <f t="shared" si="1"/>
        <v>-2</v>
      </c>
      <c r="L347" t="s">
        <v>36</v>
      </c>
      <c r="N347">
        <v>65135</v>
      </c>
      <c r="O347" t="s">
        <v>216</v>
      </c>
      <c r="P347">
        <v>1832</v>
      </c>
      <c r="Q347" s="43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599</v>
      </c>
      <c r="B348" s="48">
        <v>46210</v>
      </c>
      <c r="C348" t="s">
        <v>128</v>
      </c>
      <c r="D348" t="s">
        <v>129</v>
      </c>
      <c r="E348" t="s">
        <v>130</v>
      </c>
      <c r="G348" t="s">
        <v>131</v>
      </c>
      <c r="H348" s="20" t="s">
        <v>219</v>
      </c>
      <c r="I348" t="s">
        <v>64</v>
      </c>
      <c r="J348" s="30">
        <v>10</v>
      </c>
      <c r="K348" s="22">
        <f t="shared" si="1"/>
        <v>-10</v>
      </c>
      <c r="L348" t="s">
        <v>36</v>
      </c>
      <c r="N348">
        <v>65135</v>
      </c>
      <c r="O348" t="s">
        <v>216</v>
      </c>
      <c r="P348">
        <v>1832</v>
      </c>
      <c r="Q348" s="43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600</v>
      </c>
      <c r="B349" s="48">
        <v>46210</v>
      </c>
      <c r="C349" t="s">
        <v>128</v>
      </c>
      <c r="D349" t="s">
        <v>129</v>
      </c>
      <c r="E349" t="s">
        <v>130</v>
      </c>
      <c r="G349" t="s">
        <v>131</v>
      </c>
      <c r="H349" s="20" t="s">
        <v>219</v>
      </c>
      <c r="I349" t="s">
        <v>64</v>
      </c>
      <c r="J349" s="30">
        <v>35</v>
      </c>
      <c r="K349" s="22">
        <f t="shared" si="1"/>
        <v>-35</v>
      </c>
      <c r="L349" t="s">
        <v>36</v>
      </c>
      <c r="N349">
        <v>65136</v>
      </c>
      <c r="O349" t="s">
        <v>211</v>
      </c>
      <c r="P349">
        <v>1833</v>
      </c>
      <c r="Q349" s="43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601</v>
      </c>
      <c r="B350" s="48">
        <v>46210</v>
      </c>
      <c r="C350" t="s">
        <v>135</v>
      </c>
      <c r="D350" t="s">
        <v>136</v>
      </c>
      <c r="E350" t="s">
        <v>130</v>
      </c>
      <c r="G350" t="s">
        <v>131</v>
      </c>
      <c r="H350" s="20" t="s">
        <v>209</v>
      </c>
      <c r="I350" t="s">
        <v>64</v>
      </c>
      <c r="J350" s="30">
        <v>7</v>
      </c>
      <c r="K350" s="22">
        <f t="shared" si="1"/>
        <v>-7</v>
      </c>
      <c r="L350" t="s">
        <v>36</v>
      </c>
      <c r="N350">
        <v>65136</v>
      </c>
      <c r="O350" t="s">
        <v>211</v>
      </c>
      <c r="P350">
        <v>1833</v>
      </c>
      <c r="Q350" s="43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602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373</v>
      </c>
      <c r="I351" t="s">
        <v>64</v>
      </c>
      <c r="J351" s="30">
        <v>135</v>
      </c>
      <c r="K351" s="22">
        <f t="shared" si="1"/>
        <v>-135</v>
      </c>
      <c r="L351" t="s">
        <v>36</v>
      </c>
      <c r="N351">
        <v>65136</v>
      </c>
      <c r="O351" t="s">
        <v>211</v>
      </c>
      <c r="P351">
        <v>1833</v>
      </c>
      <c r="Q351" s="43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603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373</v>
      </c>
      <c r="I352" t="s">
        <v>64</v>
      </c>
      <c r="J352" s="30">
        <v>100</v>
      </c>
      <c r="K352" s="22">
        <f t="shared" si="1"/>
        <v>-100</v>
      </c>
      <c r="L352" t="s">
        <v>36</v>
      </c>
      <c r="N352">
        <v>65137</v>
      </c>
      <c r="O352" t="s">
        <v>211</v>
      </c>
      <c r="P352">
        <v>1834</v>
      </c>
      <c r="Q352" s="43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604</v>
      </c>
      <c r="B353" s="48">
        <v>46211</v>
      </c>
      <c r="C353" s="35" t="s">
        <v>128</v>
      </c>
      <c r="D353" s="35" t="s">
        <v>129</v>
      </c>
      <c r="E353" s="35" t="s">
        <v>130</v>
      </c>
      <c r="F353" s="35"/>
      <c r="G353" s="35" t="s">
        <v>131</v>
      </c>
      <c r="H353" s="20" t="s">
        <v>219</v>
      </c>
      <c r="I353" s="35" t="s">
        <v>64</v>
      </c>
      <c r="J353" s="37">
        <v>30</v>
      </c>
      <c r="K353" s="22">
        <f t="shared" si="1"/>
        <v>-30</v>
      </c>
      <c r="L353" s="35" t="s">
        <v>36</v>
      </c>
      <c r="M353" s="35"/>
      <c r="N353">
        <v>65137</v>
      </c>
      <c r="O353" t="s">
        <v>211</v>
      </c>
      <c r="P353">
        <v>1834</v>
      </c>
      <c r="Q353" s="43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605</v>
      </c>
      <c r="B354" s="48">
        <v>46211</v>
      </c>
      <c r="C354" t="s">
        <v>135</v>
      </c>
      <c r="D354" t="s">
        <v>136</v>
      </c>
      <c r="E354" t="s">
        <v>130</v>
      </c>
      <c r="G354" t="s">
        <v>131</v>
      </c>
      <c r="H354" s="20" t="s">
        <v>209</v>
      </c>
      <c r="I354" t="s">
        <v>64</v>
      </c>
      <c r="J354" s="30">
        <v>5</v>
      </c>
      <c r="K354" s="22">
        <f t="shared" si="1"/>
        <v>-5</v>
      </c>
      <c r="L354" t="s">
        <v>36</v>
      </c>
      <c r="N354">
        <v>65137</v>
      </c>
      <c r="O354" t="s">
        <v>211</v>
      </c>
      <c r="P354">
        <v>1834</v>
      </c>
      <c r="Q354" s="43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606</v>
      </c>
      <c r="B355" s="48">
        <v>46217</v>
      </c>
      <c r="C355" t="s">
        <v>74</v>
      </c>
      <c r="D355" t="s">
        <v>75</v>
      </c>
      <c r="E355" t="s">
        <v>33</v>
      </c>
      <c r="F355" t="s">
        <v>34</v>
      </c>
      <c r="H355" s="20" t="s">
        <v>93</v>
      </c>
      <c r="I355" t="s">
        <v>64</v>
      </c>
      <c r="J355" s="30">
        <v>140</v>
      </c>
      <c r="K355" s="22">
        <f t="shared" si="1"/>
        <v>-140</v>
      </c>
      <c r="L355" t="s">
        <v>36</v>
      </c>
      <c r="N355">
        <v>65138</v>
      </c>
      <c r="O355" t="s">
        <v>216</v>
      </c>
      <c r="P355">
        <v>1835</v>
      </c>
      <c r="Q355" s="43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607</v>
      </c>
      <c r="B356" s="48">
        <v>46217</v>
      </c>
      <c r="C356" t="s">
        <v>128</v>
      </c>
      <c r="D356" t="s">
        <v>129</v>
      </c>
      <c r="E356" t="s">
        <v>130</v>
      </c>
      <c r="G356" t="s">
        <v>131</v>
      </c>
      <c r="H356" s="20" t="s">
        <v>219</v>
      </c>
      <c r="I356" t="s">
        <v>64</v>
      </c>
      <c r="J356" s="30">
        <v>25</v>
      </c>
      <c r="K356" s="22">
        <f t="shared" si="1"/>
        <v>-25</v>
      </c>
      <c r="L356" t="s">
        <v>36</v>
      </c>
      <c r="N356">
        <v>65138</v>
      </c>
      <c r="O356" t="s">
        <v>216</v>
      </c>
      <c r="P356">
        <v>1835</v>
      </c>
      <c r="Q356" s="43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608</v>
      </c>
      <c r="B357" s="48">
        <v>46217</v>
      </c>
      <c r="C357" t="s">
        <v>135</v>
      </c>
      <c r="D357" t="s">
        <v>136</v>
      </c>
      <c r="E357" t="s">
        <v>130</v>
      </c>
      <c r="G357" t="s">
        <v>131</v>
      </c>
      <c r="H357" s="20" t="s">
        <v>209</v>
      </c>
      <c r="I357" t="s">
        <v>64</v>
      </c>
      <c r="J357" s="30">
        <v>5</v>
      </c>
      <c r="K357" s="22">
        <f t="shared" si="1"/>
        <v>-5</v>
      </c>
      <c r="L357" t="s">
        <v>36</v>
      </c>
      <c r="N357">
        <v>65138</v>
      </c>
      <c r="O357" t="s">
        <v>216</v>
      </c>
      <c r="P357">
        <v>1835</v>
      </c>
      <c r="Q357" s="43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609</v>
      </c>
      <c r="B358" s="48">
        <v>46217</v>
      </c>
      <c r="C358" t="s">
        <v>489</v>
      </c>
      <c r="D358" t="s">
        <v>490</v>
      </c>
      <c r="E358" t="s">
        <v>491</v>
      </c>
      <c r="G358" t="s">
        <v>35</v>
      </c>
      <c r="H358" s="20" t="s">
        <v>493</v>
      </c>
      <c r="I358" t="s">
        <v>64</v>
      </c>
      <c r="J358" s="30">
        <v>240</v>
      </c>
      <c r="K358" s="22">
        <f t="shared" si="1"/>
        <v>-240</v>
      </c>
      <c r="L358" t="s">
        <v>36</v>
      </c>
      <c r="N358">
        <v>65138</v>
      </c>
      <c r="O358" t="s">
        <v>216</v>
      </c>
      <c r="P358">
        <v>1835</v>
      </c>
      <c r="Q358" s="43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610</v>
      </c>
      <c r="B359" s="48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201</v>
      </c>
      <c r="I359" t="s">
        <v>64</v>
      </c>
      <c r="J359" s="30">
        <v>560</v>
      </c>
      <c r="K359" s="22">
        <f t="shared" si="1"/>
        <v>-560</v>
      </c>
      <c r="L359" t="s">
        <v>36</v>
      </c>
      <c r="N359">
        <v>65134</v>
      </c>
      <c r="O359" t="s">
        <v>380</v>
      </c>
      <c r="P359">
        <v>1836</v>
      </c>
      <c r="Q359" s="43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611</v>
      </c>
      <c r="B360" s="48">
        <v>46209</v>
      </c>
      <c r="C360" t="s">
        <v>573</v>
      </c>
      <c r="D360" t="s">
        <v>574</v>
      </c>
      <c r="E360" t="s">
        <v>575</v>
      </c>
      <c r="G360" t="s">
        <v>156</v>
      </c>
      <c r="H360" s="20" t="s">
        <v>586</v>
      </c>
      <c r="I360" t="s">
        <v>64</v>
      </c>
      <c r="J360" s="30">
        <v>340</v>
      </c>
      <c r="K360" s="22">
        <f t="shared" si="1"/>
        <v>-340</v>
      </c>
      <c r="L360" t="s">
        <v>36</v>
      </c>
      <c r="N360">
        <v>65134</v>
      </c>
      <c r="O360" t="s">
        <v>380</v>
      </c>
      <c r="P360">
        <v>1836</v>
      </c>
      <c r="Q360" s="43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612</v>
      </c>
      <c r="B361" s="48">
        <v>46209</v>
      </c>
      <c r="C361" t="s">
        <v>128</v>
      </c>
      <c r="D361" t="s">
        <v>129</v>
      </c>
      <c r="E361" t="s">
        <v>130</v>
      </c>
      <c r="G361" t="s">
        <v>131</v>
      </c>
      <c r="H361" s="20" t="s">
        <v>219</v>
      </c>
      <c r="I361" t="s">
        <v>64</v>
      </c>
      <c r="J361" s="30">
        <v>90</v>
      </c>
      <c r="K361" s="22">
        <f t="shared" si="1"/>
        <v>-90</v>
      </c>
      <c r="L361" t="s">
        <v>36</v>
      </c>
      <c r="N361">
        <v>65134</v>
      </c>
      <c r="O361" t="s">
        <v>380</v>
      </c>
      <c r="P361">
        <v>1836</v>
      </c>
      <c r="Q361" s="43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613</v>
      </c>
      <c r="B362" s="48">
        <v>46209</v>
      </c>
      <c r="C362" t="s">
        <v>135</v>
      </c>
      <c r="D362" t="s">
        <v>136</v>
      </c>
      <c r="E362" t="s">
        <v>130</v>
      </c>
      <c r="G362" t="s">
        <v>131</v>
      </c>
      <c r="H362" s="20" t="s">
        <v>209</v>
      </c>
      <c r="I362" t="s">
        <v>64</v>
      </c>
      <c r="J362" s="30">
        <v>15</v>
      </c>
      <c r="K362" s="22">
        <f t="shared" si="1"/>
        <v>-15</v>
      </c>
      <c r="L362" t="s">
        <v>36</v>
      </c>
      <c r="N362">
        <v>65134</v>
      </c>
      <c r="O362" t="s">
        <v>380</v>
      </c>
      <c r="P362">
        <v>1836</v>
      </c>
      <c r="Q362" s="43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614</v>
      </c>
      <c r="B363" s="48">
        <v>46209</v>
      </c>
      <c r="C363" t="s">
        <v>577</v>
      </c>
      <c r="G363" t="s">
        <v>156</v>
      </c>
      <c r="H363" s="20" t="s">
        <v>615</v>
      </c>
      <c r="I363" t="s">
        <v>64</v>
      </c>
      <c r="J363" s="30">
        <v>10</v>
      </c>
      <c r="K363" s="22">
        <f t="shared" si="1"/>
        <v>-10</v>
      </c>
      <c r="L363" t="s">
        <v>36</v>
      </c>
      <c r="M363" s="48">
        <v>47146</v>
      </c>
      <c r="N363">
        <v>65134</v>
      </c>
      <c r="O363" t="s">
        <v>380</v>
      </c>
      <c r="P363">
        <v>1836</v>
      </c>
      <c r="Q363" s="43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616</v>
      </c>
      <c r="B364" s="48">
        <v>46209</v>
      </c>
      <c r="C364" s="35" t="s">
        <v>31</v>
      </c>
      <c r="D364" s="35" t="s">
        <v>104</v>
      </c>
      <c r="E364" s="35" t="s">
        <v>33</v>
      </c>
      <c r="F364" s="35" t="s">
        <v>34</v>
      </c>
      <c r="G364" s="35"/>
      <c r="H364" s="20" t="s">
        <v>105</v>
      </c>
      <c r="I364" s="35" t="s">
        <v>64</v>
      </c>
      <c r="J364" s="37">
        <v>235</v>
      </c>
      <c r="K364" s="22">
        <f t="shared" si="1"/>
        <v>-235</v>
      </c>
      <c r="L364" s="35" t="s">
        <v>36</v>
      </c>
      <c r="M364" s="35"/>
      <c r="N364">
        <v>65134</v>
      </c>
      <c r="O364" t="s">
        <v>380</v>
      </c>
      <c r="P364">
        <v>1836</v>
      </c>
      <c r="Q364" s="43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617</v>
      </c>
      <c r="B365" s="48">
        <v>46209</v>
      </c>
      <c r="C365" t="s">
        <v>577</v>
      </c>
      <c r="G365" t="s">
        <v>156</v>
      </c>
      <c r="H365" s="20" t="s">
        <v>615</v>
      </c>
      <c r="I365" t="s">
        <v>64</v>
      </c>
      <c r="J365" s="30">
        <v>2</v>
      </c>
      <c r="K365" s="22">
        <f t="shared" si="1"/>
        <v>-2</v>
      </c>
      <c r="L365" t="s">
        <v>36</v>
      </c>
      <c r="N365">
        <v>65132</v>
      </c>
      <c r="O365" t="s">
        <v>587</v>
      </c>
      <c r="P365">
        <v>1823</v>
      </c>
      <c r="Q365" s="43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618</v>
      </c>
      <c r="B366" s="48">
        <v>46218</v>
      </c>
      <c r="C366" t="s">
        <v>145</v>
      </c>
      <c r="D366" t="s">
        <v>146</v>
      </c>
      <c r="E366" t="s">
        <v>33</v>
      </c>
      <c r="F366" t="s">
        <v>34</v>
      </c>
      <c r="G366" t="s">
        <v>35</v>
      </c>
      <c r="H366" s="20" t="s">
        <v>560</v>
      </c>
      <c r="I366" t="s">
        <v>64</v>
      </c>
      <c r="J366" s="30">
        <v>60</v>
      </c>
      <c r="K366" s="22">
        <f t="shared" si="1"/>
        <v>-60</v>
      </c>
      <c r="L366" t="s">
        <v>36</v>
      </c>
      <c r="N366">
        <v>65139</v>
      </c>
      <c r="O366" t="s">
        <v>216</v>
      </c>
      <c r="P366">
        <v>1837</v>
      </c>
      <c r="Q366" s="43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619</v>
      </c>
      <c r="B367" s="48">
        <v>46218</v>
      </c>
      <c r="C367" t="s">
        <v>74</v>
      </c>
      <c r="D367" t="s">
        <v>59</v>
      </c>
      <c r="E367" t="s">
        <v>33</v>
      </c>
      <c r="F367" t="s">
        <v>34</v>
      </c>
      <c r="H367" s="20" t="s">
        <v>93</v>
      </c>
      <c r="I367" t="s">
        <v>64</v>
      </c>
      <c r="J367" s="30">
        <v>120</v>
      </c>
      <c r="K367" s="22">
        <f t="shared" si="1"/>
        <v>-120</v>
      </c>
      <c r="L367" t="s">
        <v>36</v>
      </c>
      <c r="N367">
        <v>65139</v>
      </c>
      <c r="O367" t="s">
        <v>216</v>
      </c>
      <c r="P367">
        <v>1837</v>
      </c>
      <c r="Q367" s="43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620</v>
      </c>
      <c r="B368" s="48">
        <v>46218</v>
      </c>
      <c r="C368" t="s">
        <v>128</v>
      </c>
      <c r="D368" t="s">
        <v>129</v>
      </c>
      <c r="E368" t="s">
        <v>130</v>
      </c>
      <c r="G368" t="s">
        <v>131</v>
      </c>
      <c r="H368" s="20" t="s">
        <v>219</v>
      </c>
      <c r="I368" t="s">
        <v>64</v>
      </c>
      <c r="J368" s="30">
        <v>60</v>
      </c>
      <c r="K368" s="22">
        <f t="shared" si="1"/>
        <v>-60</v>
      </c>
      <c r="L368" t="s">
        <v>36</v>
      </c>
      <c r="N368">
        <v>65139</v>
      </c>
      <c r="O368" t="s">
        <v>216</v>
      </c>
      <c r="P368">
        <v>1837</v>
      </c>
      <c r="Q368" s="43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621</v>
      </c>
      <c r="B369" s="48">
        <v>46218</v>
      </c>
      <c r="C369" t="s">
        <v>135</v>
      </c>
      <c r="D369" t="s">
        <v>136</v>
      </c>
      <c r="E369" t="s">
        <v>130</v>
      </c>
      <c r="G369" t="s">
        <v>131</v>
      </c>
      <c r="H369" s="20" t="s">
        <v>209</v>
      </c>
      <c r="I369" t="s">
        <v>64</v>
      </c>
      <c r="J369" s="30">
        <v>12</v>
      </c>
      <c r="K369" s="22">
        <f t="shared" si="1"/>
        <v>-12</v>
      </c>
      <c r="L369" t="s">
        <v>36</v>
      </c>
      <c r="N369">
        <v>65139</v>
      </c>
      <c r="O369" t="s">
        <v>216</v>
      </c>
      <c r="P369">
        <v>1837</v>
      </c>
      <c r="Q369" s="43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622</v>
      </c>
      <c r="B370" s="48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 t="shared" si="1"/>
        <v>-8</v>
      </c>
      <c r="L370" t="s">
        <v>55</v>
      </c>
      <c r="N370">
        <v>65139</v>
      </c>
      <c r="O370" t="s">
        <v>216</v>
      </c>
      <c r="P370">
        <v>1837</v>
      </c>
      <c r="Q370" s="43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623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624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625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626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627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628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629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630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631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632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633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634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635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636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637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638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639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640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641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642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643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644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645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646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647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648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649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650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651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652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653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654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655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656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657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658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659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660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661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662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663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664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665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666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667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668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669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670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671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672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673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674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675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676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677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678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679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680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681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682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683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684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685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686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687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688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689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690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691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692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693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694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695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696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697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698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699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700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701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702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703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704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705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706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707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708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709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710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711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712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713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714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715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716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717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718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719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720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721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722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723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724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725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726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727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728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729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730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731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732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733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734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735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736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737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738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739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740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741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742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743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744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745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746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747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748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749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750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751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752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753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754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755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756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757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758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759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760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761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762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763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764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765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766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767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768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769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770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771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772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773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774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775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776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777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778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779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780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781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782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783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784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785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786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787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788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789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790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791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792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793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794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795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796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797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798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799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800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801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802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803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804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805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806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807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808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809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810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811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812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813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814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815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816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817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818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819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820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821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822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823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824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825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826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827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828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829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830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831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832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833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834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835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836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837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838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839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840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841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842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843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844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845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846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847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848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849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850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851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852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853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854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855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856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857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858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859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860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861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862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863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864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865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866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867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868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869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870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871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872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873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874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875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876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877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878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879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880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881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882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883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884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885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886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887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888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889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890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891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892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893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894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895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896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897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898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899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900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901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902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903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904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905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906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907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908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909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910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911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912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913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914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915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916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917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918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919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920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921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922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923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924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925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926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927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928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929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930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931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932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933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934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935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936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937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938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939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940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941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942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943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944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945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946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947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948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949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950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951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952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953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954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955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956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957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958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959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960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961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962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963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964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965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966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967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968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969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970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971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972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973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974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975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976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977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978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979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980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981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982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983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984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985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986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987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988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989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990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991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992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993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994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995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996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997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998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999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1000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1001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1002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1003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1004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1005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1006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1007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1008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1009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1010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1011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1012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1013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1014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1015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1016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1017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1018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1019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1020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1021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1022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1023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1024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1025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1026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1027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1028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1029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1030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1031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1032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1033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1034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1035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1036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1037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1038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1039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1040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1041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1042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1043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1044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1045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1046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1047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1048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1049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1050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1051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1052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1053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1054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1055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1056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1057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1058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1059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1060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1061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1062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1063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1064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1065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1066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1067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1068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1069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1070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1071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1072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1073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1074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1075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1076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1077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1078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1079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1080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1081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1082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1083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1084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1085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1086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1087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1088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1089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1090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1091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1092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1093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1094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1095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1096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1097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1098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1099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1100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1101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1102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1103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1104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1105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1106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1107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1108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1109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1110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1111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1112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1113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1114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1115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1116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1117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1118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1119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1120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1121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1122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1123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1124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1125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1126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1127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1128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1129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1130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1131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1132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1133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1134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1135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1136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1137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1138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1139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1140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1141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1142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1143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1144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1145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1146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1147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1148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1149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1150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1151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1152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1153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1154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1155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1156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1157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1158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1159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1160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1161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1162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1163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1164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1165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1166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1167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1168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1169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1170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1171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1172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1173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1174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1175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1176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1177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1178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1179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1180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1181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1182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1183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1184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1185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1186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1187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1188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1189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1190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1191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1192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1193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1194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1195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1196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1197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1198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1199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1200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1201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1202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1203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1204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1205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1206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1207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1208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1209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1210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1211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1212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1213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1214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1215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1216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1217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1218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1219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1220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1221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1222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1223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1224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1225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1226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1227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1228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1229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1230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1231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1232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1233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1234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1235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1236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1237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1238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1239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1240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1241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1242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1243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1244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1245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1246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1247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1248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1249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1250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1251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1252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1253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1254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1255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1256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1257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1258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1259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1260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1261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1262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1263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1264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1265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1266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1267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1268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1269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1270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1271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1272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1273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1274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1275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1276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1277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1278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1279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1280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1281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1282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1283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1284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1285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1286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1287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1288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1289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1290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1291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1292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1293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1294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1295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1296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1297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1298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1299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1300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1301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1302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1303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1304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1305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1306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1307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1308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1309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1310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1311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1312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1313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1314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1315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1316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1317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1318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1319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1320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1321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1322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1323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1324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1325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1326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1327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1328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1329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1330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1331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1332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1333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1334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1335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1336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1337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1338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1339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1340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1341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1342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1343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1344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1345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1346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1347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1348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1349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1350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1351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1352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1353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1354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1355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1356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1357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1358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1359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1360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1361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1362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1363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1364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1365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1366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1367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1368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1369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1370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1371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1372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1373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1374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1375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1376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1377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1378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1379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1380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1381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1382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1383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1384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1385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1386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1387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1388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1389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1390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1391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1392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1393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1394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1395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1396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1397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1398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1399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1400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1401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1402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1403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1404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1405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1406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1407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1408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1409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1410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1411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1412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1413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1414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1415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1416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1417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1418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1419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1420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1421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1422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1423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1424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1425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1426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1427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1428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1429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1430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1431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1432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1433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1434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1435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1436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1437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1438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1439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1440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1441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1442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1443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1444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1445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1446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1447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1448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1449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1450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1451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1452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1453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1454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1455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1456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1457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1458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1459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1460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1461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1462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1463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1464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1465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1466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1467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1468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1469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1470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1471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1472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1473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1474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1475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1476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1477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1478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1479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1480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1481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1482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1483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1484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1485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1486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1487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1488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1489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1490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1491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1492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1493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1494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1495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1496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1497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1498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1499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1500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1501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1502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1503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1504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1505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1506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1507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1508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1509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1510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1511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1512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1513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1514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1515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1516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1517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1518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1519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1520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1521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1522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1523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1524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1525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1526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1527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1528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1529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1530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1531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1532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1533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1534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1535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1536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1537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1538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1539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1540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1541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1542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1543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1544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1545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1546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1547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1548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1549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1550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1551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1552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1553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1554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1555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1556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1557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1558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1559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1560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1561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1562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1563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1564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1565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1566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1567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1568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1569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1570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1571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1572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1573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1574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1575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1576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1577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1578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1579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1580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1581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1582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1583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1584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1585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1586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1587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1588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1589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1590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1591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1592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1593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1594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1595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1596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1597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1598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1599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1600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1601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1602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1603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1604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1605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1606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1607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1608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1609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1610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1611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1612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1613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1614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1615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1616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1617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1618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1619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1620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1621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1622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1623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1624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1625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1626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1627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1628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1629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1630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1631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1632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1633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1634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1635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1636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1637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1638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1639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1640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1641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1642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1643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1644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1645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1646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1647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1648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1649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1650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1651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1652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1653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1654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1655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1656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1657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1658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1659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1660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1661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1662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1663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1664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1665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1666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1667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1668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1669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1670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1671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1672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1673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1674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1675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1676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1677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1678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1679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1680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1681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1682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1683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1684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1685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1686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1687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1688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1689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1690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1691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1692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1693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1694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1695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1696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1697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1698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1699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1700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1701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1702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1703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1704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1705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1706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1707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1708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1709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1710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1711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1712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1713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1714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1715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1716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1717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1718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1719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1720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1721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1722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1723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1724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1725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1726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1727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1728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1729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1730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1731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1732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1733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1734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1735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1736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1737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1738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1739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1740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1741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1742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1743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1744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1745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1746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1747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1748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1749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1750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1751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1752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1753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1754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1755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1756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1757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1758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1759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1760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1761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1762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1763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1764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1765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1766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1767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1768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1769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1770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1771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1772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1773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1774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1775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1776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1777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1778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1779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1780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1781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1782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1783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1784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1785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1786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1787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1788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1789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1790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1791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1792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1793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1794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1795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1796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1797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1798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1799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1800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1801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1802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1803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1804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1805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1806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1807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1808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1809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1810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1811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1812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1813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1814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1815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1816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1817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1818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1819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1820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1821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1822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1823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1824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1825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1826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1827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1828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1829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1830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1831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1832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1833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1834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1835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1836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1837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1838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1839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1840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1841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1842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1843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1844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1845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1846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1847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1848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1849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1850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1851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1852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1853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1854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1855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1856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1857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1858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1859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1860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1861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1862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1863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1864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1865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1866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1867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1868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1869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1870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1871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1872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1873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1874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1875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1876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1877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1878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1879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1880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1881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1882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1883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1884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1885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1886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1887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1888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1889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1890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1891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1892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1893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1894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1895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1896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1897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1898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1899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1900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1901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1902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1903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1904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1905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1906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1907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1908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1909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1910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1911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1912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1913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1914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1915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1916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1917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1918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1919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1920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1921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1922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1923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1924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1925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1926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1927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1928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1929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1930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1931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1932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1933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1934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1935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1936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1937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1938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1939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1940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1941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1942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1943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1944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1945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1946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1947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1948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1949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1950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1951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1952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1953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1954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1955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1956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1957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1958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1959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1960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1961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1962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1963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1964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1965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1966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1967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1968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1969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1970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1971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1972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1973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1974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1975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1976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1977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1978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1979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1980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1981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1982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1983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1984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1985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1986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1987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1988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1989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1990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1991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1992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1993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1994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1995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1996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1997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1998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1999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2000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2001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2002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2003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2004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2005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2006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2007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2008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2009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2010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2011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2012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2013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2014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2015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2016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2017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2018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2019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2020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2021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2022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2023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2024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2025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2026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2027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2028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2029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2030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2031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2032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2033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2034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2035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2036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2037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2038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2039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2040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2041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2042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2043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2044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2045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2046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2047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2048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2049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2050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2051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2052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2053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2054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2055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2056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2057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2058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2059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2060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2061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2062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2063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2064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2065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2066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2067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2068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2069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2070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2071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2072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2073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2074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2075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2076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2077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2078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2079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2080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2081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2082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2083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2084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2085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2086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2087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2088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2089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2090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2091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2092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2093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2094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2095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2096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2097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2098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2099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2100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2101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2102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2103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2104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2105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2106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2107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2108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2109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2110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2111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2112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2113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2114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2115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2116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2117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2118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2119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2120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2121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2122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2123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2124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2125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2126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2127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2128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2129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2130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2131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2132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2133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2134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2135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2136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2137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2138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2139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2140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2141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2142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2143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2144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2145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2146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2147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2148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2149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2150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2151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2152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2153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2154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2155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2156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2157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2158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2159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2160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2161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2162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2163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2164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2165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2166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2167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2168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2169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2170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2171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2172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2173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2174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2175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2176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2177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2178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2179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2180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2181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2182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2183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2184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2185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2186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2187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2188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2189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2190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2191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2192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2193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2194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2195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2196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2197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2198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2199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2200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2201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2202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2203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2204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2205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2206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2207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2208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2209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2210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2211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2212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2213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2214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2215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2216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2217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2218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2219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2220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2221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2222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2223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2224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2225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2226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2227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2228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2229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2230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2231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2232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2233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2234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2235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2236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2237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2238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2239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2240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2241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2242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2243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2244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2245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2246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2247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2248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2249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2250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2251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2252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B219:J1995 L219:P498 Q3:Q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" activePane="bottomLeft" state="frozen"/>
      <selection pane="bottomLeft" activeCell="B54" sqref="B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2253</v>
      </c>
      <c r="B1" s="23" t="s">
        <v>2254</v>
      </c>
      <c r="C1" s="23" t="s">
        <v>2255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2256</v>
      </c>
      <c r="I1" s="18" t="s">
        <v>2257</v>
      </c>
      <c r="J1" s="18" t="s">
        <v>2258</v>
      </c>
      <c r="K1" s="18" t="s">
        <v>2259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491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281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309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2260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542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298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224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518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506</v>
      </c>
      <c r="J11" s="5">
        <f>IF(A11="","",SUMIFS(Movimientos!$K:$K,Movimientos!$H:$H,A11))</f>
        <v>10920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290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178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473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534</v>
      </c>
      <c r="J18" s="5">
        <f>IF(A18="","",SUMIFS(Movimientos!$K:$K,Movimientos!$H:$H,A18))</f>
        <v>12610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442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594</v>
      </c>
      <c r="J20" s="5">
        <f>IF(A20="","",SUMIFS(Movimientos!$K:$K,Movimientos!$H:$H,A20))</f>
        <v>2850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442</v>
      </c>
      <c r="J21" s="5">
        <f>IF(A21="","",SUMIFS(Movimientos!$K:$K,Movimientos!$H:$H,A21))</f>
        <v>873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169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560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200</v>
      </c>
      <c r="J23" s="5">
        <f>IF(A23="","",SUMIFS(Movimientos!$K:$K,Movimientos!$H:$H,A23))</f>
        <v>180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-45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2261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1355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582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2262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21340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415</v>
      </c>
      <c r="J50" s="5">
        <f>IF(A50="","",SUMIFS(Movimientos!$K:$K,Movimientos!$H:$H,A50))</f>
        <v>-20</v>
      </c>
      <c r="K50" s="13" t="str">
        <f t="shared" ca="1" si="1"/>
        <v>SIN STOCK</v>
      </c>
    </row>
    <row r="51" spans="1:11">
      <c r="A51" s="16" t="s">
        <v>551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257</v>
      </c>
      <c r="J51" s="5">
        <f>IF(A51="","",SUMIFS(Movimientos!$K:$K,Movimientos!$H:$H,A51))</f>
        <v>1930</v>
      </c>
      <c r="K51" s="13" t="str">
        <f t="shared" ca="1" si="1"/>
        <v>OK</v>
      </c>
    </row>
    <row r="52" spans="1:11">
      <c r="A52" s="16" t="s">
        <v>549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879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2263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>
        <f>IFERROR(INDEX(Movimientos!$F$2:$F$1995,MATCH(A53&amp;"ENTRADA",Movimientos!$R$2:$R$1995,0)),"-")</f>
        <v>0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557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3</v>
      </c>
      <c r="K54" s="13" t="str">
        <f t="shared" ca="1" si="1"/>
        <v>OK</v>
      </c>
    </row>
    <row r="55" spans="1:11">
      <c r="A55" s="16" t="s">
        <v>584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350</v>
      </c>
      <c r="J55" s="5">
        <f>IF(A55="","",SUMIFS(Movimientos!$K:$K,Movimientos!$H:$H,A55))</f>
        <v>2905</v>
      </c>
      <c r="K55" s="13" t="str">
        <f t="shared" ca="1" si="1"/>
        <v>OK</v>
      </c>
    </row>
    <row r="56" spans="1:11">
      <c r="A56" s="16" t="s">
        <v>2264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365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2265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2266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2267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2268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2269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2270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2271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2272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2273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2274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2275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2276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2277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2278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2279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2280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2281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2282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2283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2284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2285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2286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2287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2288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2289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2290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2291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2292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2293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2294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2295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2296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2297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2298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2299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2300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2301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2302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2303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2304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2305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2306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2307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2308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2309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2310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2311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2312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2313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2314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2315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2316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2317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2318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2319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2320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2321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2322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2323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2324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2325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2326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2327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2328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2329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2330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2331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2332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2333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2334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2335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2336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2337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2338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2339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2340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2341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2342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2343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2344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2345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2346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2347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2348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2349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2350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2351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2352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2353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2354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2355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2356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2357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2358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2359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2360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2361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2362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2363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2364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2365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2366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2367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2368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2369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2370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2371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2372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2373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2374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2375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2376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2377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2378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2379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2380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2381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2382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2383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2384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2385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2386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2387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2388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2389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2390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2391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2392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2393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2394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2395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2396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2397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2398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2399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2400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2401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2402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2403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2404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2405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2406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2407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2408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2409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2410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2411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2412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2413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2414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2415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2416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2417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2418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2419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2420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2421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2422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2423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2424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2425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2426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2427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2428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2429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2430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2431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2432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2433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2434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2435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2436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2437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2438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2439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2440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2441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2442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2443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2444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2445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2446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2447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2448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2449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2450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2451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2452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2453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2454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2455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2456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2457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2458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2459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2460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2461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2462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2463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2464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2465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2466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2467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2468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2469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2470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2471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2472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2473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2474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2475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2476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2477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2478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2479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2480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2481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2482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2483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2484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2485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2486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2487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2488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2489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2490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2491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2492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2493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2494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2495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2496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2497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2498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2499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2500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2501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2502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2503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2504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2505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2506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2507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2508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2509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2510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2511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2512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2513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2514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2515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2516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2517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2518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2519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2520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2521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2522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2523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2524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2525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2526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2527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2528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2529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2530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2531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2532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2533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2534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2535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2536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2537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2538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2539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2540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2541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2542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2543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2544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2545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2546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2547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2548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2549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2550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2551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2552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2553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2554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2555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2556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2557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2558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2559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2560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2561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2562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2563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2564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2565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2566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2567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2568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2569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2570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2571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2572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2573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2574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2575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2576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2577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2578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2579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2580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2581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2582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2583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2584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2585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2586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2587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2588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2589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2590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2591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2592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2593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2594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2595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2596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2597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2598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2599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2600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2601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2602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2603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2604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2605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2606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2607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2608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2609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2610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2611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2612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2613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2614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2615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2616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2617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2618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2619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2620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2621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2622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2623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2624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2625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2626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2627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2628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2629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2630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2631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2632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2633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2634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2635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2636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2637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2638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2639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2640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2641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2642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2643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2644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2645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2646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2647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2648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2649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2650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2651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2652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2653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2654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2655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2656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2657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2658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2659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2660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2661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2662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2663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2664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2665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2666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2667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2668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2669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2670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2671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2672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2673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2674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2675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2676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2677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2678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2679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2680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2681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2682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2683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2684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2685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2686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2687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2688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2689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2690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2691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2692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2693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2694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2695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2696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2697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2698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2699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2700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2701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2702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2703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2704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2705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2706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2707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2708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2709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2710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2711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2712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2713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2714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2715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2716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2717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2718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2719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2720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2721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2722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2723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2724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2725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2726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2727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2728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2729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2730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2731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2732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2733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2734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2735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2736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2737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2738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2739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2740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2741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2742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2743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2744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2745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2746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2747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2748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2749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2750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2751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2752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2753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2754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2755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2756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2757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2758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2759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2760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2761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2762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2763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2764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2765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2766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2767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2768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2769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2770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2771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2772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2773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2774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2775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2776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2777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2778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2779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2780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2781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2782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2783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2784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2785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2786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2787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2788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2789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2790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2791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2792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2793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2794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2795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2796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2797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2798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2799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2800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2801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2802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2803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2804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2805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2806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2807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2808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2809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2810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2811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2812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2813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2814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2815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2816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2817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2818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2819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2820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2821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2822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2823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2824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2825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2826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2827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2828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2829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2830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2831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2832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2833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2834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2835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2836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2837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2838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2839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2840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2841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2842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2843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2844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2845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2846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2847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2848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2849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2850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2851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2852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2853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2854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2855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2856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2857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2858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2859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2860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2861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2862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2863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2864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2865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2866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2867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2868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2869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2870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2871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2872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2873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2874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2875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2876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2877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2878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2879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2880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2881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2882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2883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2884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2885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2886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2887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2888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2889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2890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2891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2892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2893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2894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2895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2896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2897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2898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2899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2900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2901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2902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2903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2904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2905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2906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2907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2908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2909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2910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2911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2912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2913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2914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2915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2916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2917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2918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2919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2920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2921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2922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2923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2924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2925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2926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2927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2928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2929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2930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2931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2932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2933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2934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2935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2936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2937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2938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2939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2940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2941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2942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2943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2944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2945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2946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2947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2948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2949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2950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2951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2952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2953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2954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2955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2956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2957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2958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2959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2960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2961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2962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2963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2964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2965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2966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2967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2968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2969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2970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2971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2972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2973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2974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2975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2976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2977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2978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2979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2980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2981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2982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2983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2984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2985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2986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2987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2988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2989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2990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2991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2992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2993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2994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2995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2996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2997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2998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2999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3000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3001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3002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3003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3004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3005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3006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3007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3008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3009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3010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3011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3012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3013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3014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3015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3016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3017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3018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3019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3020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3021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3022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3023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3024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3025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3026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3027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3028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3029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3030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3031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3032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3033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3034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3035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3036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3037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3038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3039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3040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3041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3042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3043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3044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3045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3046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3047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3048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3049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3050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3051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3052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3053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3054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3055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3056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3057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3058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3059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3060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3061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3062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3063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3064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3065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3066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3067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3068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3069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3070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3071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3072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3073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3074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3075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3076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3077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3078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3079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3080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3081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3082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3083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3084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3085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3086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3087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3088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3089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3090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3091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3092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3093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3094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3095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3096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3097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3098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3099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3100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3101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3102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3103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3104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3105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3106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3107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3108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3109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3110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3111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3112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3113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3114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3115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3116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3117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3118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3119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3120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3121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3122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3123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3124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3125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3126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3127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3128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3129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3130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3131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3132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3133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3134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3135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3136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3137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3138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3139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3140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3141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3142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3143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3144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3145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3146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3147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3148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3149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3150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3151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3152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3153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3154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3155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3156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3157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3158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3159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3160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3161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3162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3163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3164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3165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3166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3167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3168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3169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3170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3171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3172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3173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3174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3175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3176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3177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3178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3179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3180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3181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3182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3183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3184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3185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3186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3187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3188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3189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3190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3191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3192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3193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3194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3195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3196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3197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3198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3199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3200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3201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3202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3203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3204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2" activePane="bottomLeft" state="frozen"/>
      <selection pane="bottomLeft" activeCell="A7" sqref="A7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2254</v>
      </c>
      <c r="B1" s="18" t="s">
        <v>3205</v>
      </c>
      <c r="C1" s="18" t="s">
        <v>4</v>
      </c>
      <c r="D1" s="18" t="s">
        <v>5</v>
      </c>
      <c r="E1" s="18" t="s">
        <v>11</v>
      </c>
      <c r="F1" s="18" t="s">
        <v>3206</v>
      </c>
      <c r="G1" s="18" t="s">
        <v>3207</v>
      </c>
      <c r="H1" s="18" t="s">
        <v>3208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10920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38780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12610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3530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873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180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525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265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>
        <f>IF(A39="","",IFERROR(INDEX(Movimientos!$F$2:$F$1995,MATCH(A39&amp;"ENTRADA",Movimientos!$S$2:$S$1995,0)),"-"))</f>
        <v>0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281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-20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297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302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423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>
        <f>IF(A45="","",IFERROR(INDEX(Movimientos!$F$2:$F$1995,MATCH(A45&amp;"ENTRADA",Movimientos!$S$2:$S$1995,0)),"-"))</f>
        <v>0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426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>
        <f>IF(A46="","",IFERROR(INDEX(Movimientos!$F$2:$F$1995,MATCH(A46&amp;"ENTRADA",Movimientos!$S$2:$S$1995,0)),"-"))</f>
        <v>0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154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489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21340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489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21340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512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2905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522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2930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>
      <c r="A52" t="s">
        <v>532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1</v>
      </c>
      <c r="G52" s="9">
        <f>IF(A52="","",SUMIFS(Movimientos!$K:$K,Movimientos!$C:$C,A52))</f>
        <v>3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554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>
        <f>IF(A53="","",IFERROR(INDEX(Movimientos!$F$2:$F$1995,MATCH(A53&amp;"ENTRADA",Movimientos!$S$2:$S$1995,0)),"-"))</f>
        <v>0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573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577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525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3"/>
  <sheetViews>
    <sheetView showGridLines="0" topLeftCell="B1" workbookViewId="0">
      <selection activeCell="J13" sqref="J13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2254</v>
      </c>
      <c r="B1" s="23" t="s">
        <v>3209</v>
      </c>
      <c r="C1" s="23" t="s">
        <v>4</v>
      </c>
      <c r="D1" s="23" t="s">
        <v>5</v>
      </c>
      <c r="E1" s="23" t="s">
        <v>6</v>
      </c>
      <c r="F1" s="23" t="s">
        <v>3210</v>
      </c>
      <c r="G1" s="23" t="s">
        <v>11</v>
      </c>
      <c r="H1" s="23" t="s">
        <v>3211</v>
      </c>
    </row>
    <row r="2" spans="1:8">
      <c r="A2" t="s">
        <v>22</v>
      </c>
      <c r="B2" t="s">
        <v>23</v>
      </c>
      <c r="C2" s="24" t="s">
        <v>3212</v>
      </c>
      <c r="D2" s="24" t="s">
        <v>3213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3214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3215</v>
      </c>
      <c r="E4" s="24" t="s">
        <v>76</v>
      </c>
      <c r="G4" s="24" t="s">
        <v>3216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3217</v>
      </c>
      <c r="E5" s="10" t="s">
        <v>26</v>
      </c>
      <c r="G5" s="24" t="s">
        <v>3218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3219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3220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3221</v>
      </c>
      <c r="E9" s="24" t="s">
        <v>156</v>
      </c>
      <c r="G9" s="10" t="s">
        <v>3222</v>
      </c>
      <c r="H9" t="s">
        <v>309</v>
      </c>
    </row>
    <row r="10" spans="1:8">
      <c r="A10" t="s">
        <v>69</v>
      </c>
      <c r="B10" t="s">
        <v>70</v>
      </c>
      <c r="C10" s="24" t="s">
        <v>575</v>
      </c>
      <c r="D10" s="24" t="s">
        <v>3223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3224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  <c r="H12" t="s">
        <v>587</v>
      </c>
    </row>
    <row r="13" spans="1:8">
      <c r="A13" t="s">
        <v>89</v>
      </c>
      <c r="B13" t="s">
        <v>90</v>
      </c>
      <c r="C13" s="24"/>
      <c r="D13" s="24" t="s">
        <v>3225</v>
      </c>
      <c r="E13" t="s">
        <v>3226</v>
      </c>
    </row>
    <row r="14" spans="1:8">
      <c r="A14" t="s">
        <v>111</v>
      </c>
      <c r="B14" t="s">
        <v>112</v>
      </c>
      <c r="C14" s="24"/>
      <c r="D14" s="24" t="s">
        <v>3227</v>
      </c>
      <c r="E14" t="s">
        <v>3228</v>
      </c>
    </row>
    <row r="15" spans="1:8">
      <c r="A15" t="s">
        <v>107</v>
      </c>
      <c r="B15" t="s">
        <v>108</v>
      </c>
      <c r="C15" s="24"/>
      <c r="D15" s="24" t="s">
        <v>3229</v>
      </c>
      <c r="E15" t="s">
        <v>257</v>
      </c>
    </row>
    <row r="16" spans="1:8">
      <c r="A16" t="s">
        <v>114</v>
      </c>
      <c r="B16" t="s">
        <v>115</v>
      </c>
      <c r="D16" s="24" t="s">
        <v>3230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3231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3232</v>
      </c>
    </row>
    <row r="29" spans="1:4">
      <c r="A29" t="s">
        <v>184</v>
      </c>
      <c r="B29" t="s">
        <v>185</v>
      </c>
      <c r="D29" t="s">
        <v>3233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3234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  <row r="51" spans="1:2">
      <c r="A51" t="s">
        <v>554</v>
      </c>
      <c r="B51" t="s">
        <v>555</v>
      </c>
    </row>
    <row r="52" spans="1:2">
      <c r="A52" t="s">
        <v>573</v>
      </c>
      <c r="B52" t="s">
        <v>574</v>
      </c>
    </row>
    <row r="53" spans="1:2">
      <c r="A53" t="s">
        <v>577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3235</v>
      </c>
    </row>
    <row r="2" spans="1:2">
      <c r="B2" t="s">
        <v>3236</v>
      </c>
    </row>
    <row r="3" spans="1:2" ht="18" customHeight="1">
      <c r="A3" s="11" t="s">
        <v>3237</v>
      </c>
      <c r="B3" s="12"/>
    </row>
    <row r="4" spans="1:2" ht="30" customHeight="1">
      <c r="A4" s="25" t="s">
        <v>3238</v>
      </c>
      <c r="B4" s="26" t="s">
        <v>3239</v>
      </c>
    </row>
    <row r="5" spans="1:2" ht="30" customHeight="1">
      <c r="A5" s="25" t="s">
        <v>3240</v>
      </c>
      <c r="B5" s="26" t="s">
        <v>3241</v>
      </c>
    </row>
    <row r="6" spans="1:2" ht="30" customHeight="1">
      <c r="A6" s="25" t="s">
        <v>3242</v>
      </c>
      <c r="B6" s="26" t="s">
        <v>3243</v>
      </c>
    </row>
    <row r="7" spans="1:2" ht="18" customHeight="1">
      <c r="A7" s="27"/>
      <c r="B7" s="27"/>
    </row>
    <row r="8" spans="1:2" ht="18" customHeight="1">
      <c r="A8" s="11" t="s">
        <v>3244</v>
      </c>
      <c r="B8" s="12"/>
    </row>
    <row r="9" spans="1:2" ht="30" customHeight="1">
      <c r="A9" s="25" t="s">
        <v>3245</v>
      </c>
      <c r="B9" s="26" t="s">
        <v>3246</v>
      </c>
    </row>
    <row r="10" spans="1:2" ht="30" customHeight="1">
      <c r="A10" s="25" t="s">
        <v>3247</v>
      </c>
      <c r="B10" s="26" t="s">
        <v>3248</v>
      </c>
    </row>
    <row r="11" spans="1:2" ht="30" customHeight="1">
      <c r="A11" s="25" t="s">
        <v>3249</v>
      </c>
      <c r="B11" s="26" t="s">
        <v>3250</v>
      </c>
    </row>
    <row r="12" spans="1:2" ht="30" customHeight="1">
      <c r="A12" s="25" t="s">
        <v>3251</v>
      </c>
      <c r="B12" s="26" t="s">
        <v>3252</v>
      </c>
    </row>
    <row r="13" spans="1:2" ht="30" customHeight="1">
      <c r="A13" s="25" t="s">
        <v>3253</v>
      </c>
      <c r="B13" s="26" t="s">
        <v>3254</v>
      </c>
    </row>
    <row r="14" spans="1:2" ht="18" customHeight="1">
      <c r="A14" s="27"/>
      <c r="B14" s="27"/>
    </row>
    <row r="15" spans="1:2" ht="18" customHeight="1">
      <c r="A15" s="11" t="s">
        <v>3255</v>
      </c>
      <c r="B15" s="12"/>
    </row>
    <row r="16" spans="1:2" ht="30" customHeight="1">
      <c r="A16" s="25" t="s">
        <v>3256</v>
      </c>
      <c r="B16" s="26" t="s">
        <v>3257</v>
      </c>
    </row>
    <row r="17" spans="1:2" ht="18" customHeight="1">
      <c r="A17" s="27"/>
      <c r="B17" s="27"/>
    </row>
    <row r="18" spans="1:2" ht="18" customHeight="1">
      <c r="A18" s="11" t="s">
        <v>3258</v>
      </c>
      <c r="B18" s="12"/>
    </row>
    <row r="19" spans="1:2" ht="30" customHeight="1">
      <c r="A19" s="25" t="s">
        <v>3259</v>
      </c>
      <c r="B19" s="26" t="s">
        <v>3260</v>
      </c>
    </row>
    <row r="20" spans="1:2" ht="30" customHeight="1">
      <c r="A20" s="25" t="s">
        <v>3261</v>
      </c>
      <c r="B20" s="26" t="s">
        <v>3262</v>
      </c>
    </row>
    <row r="21" spans="1:2" ht="30" customHeight="1">
      <c r="A21" s="25" t="s">
        <v>3263</v>
      </c>
      <c r="B21" s="26" t="s">
        <v>3264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2026-07-16T12:30:48Z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