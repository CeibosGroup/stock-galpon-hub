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A96AEDE-376B-4942-AE4E-943EA901675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H373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G55" i="3" l="1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<sst xmlns="http://schemas.openxmlformats.org/spreadsheetml/2006/main" count="6542" uniqueCount="3269">
  <si>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</si>
  <si>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</si>
  <si>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</si>
  <si>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</si>
  <si>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</si>
  <si>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</si>
  <si>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</si>
  <si>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</si>
  <si>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</si>
  <si>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</si>
  <si>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</si>
  <si>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</si>
  <si>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</si>
  <si>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</si>
  <si>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</si>
  <si>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</si>
  <si>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</si>
  <si>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</si>
  <si>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</si>
  <si>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</si>
  <si>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</si>
  <si>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</si>
  <si>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</si>
  <si>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</si>
  <si>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</si>
  <si>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</si>
  <si>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</si>
  <si>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</si>
  <si>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</si>
  <si>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</si>
  <si>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</si>
  <si>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</si>
  <si>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</si>
  <si>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</si>
  <si>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</si>
  <si>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</si>
  <si>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</si>
  <si>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</si>
  <si>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</si>
  <si>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</si>
  <si>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</si>
  <si>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</si>
  <si>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</si>
  <si>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</si>
  <si>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</si>
  <si>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</si>
  <si>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</si>
  <si>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</si>
  <si>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</si>
  <si>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</si>
  <si>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</si>
  <si>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</si>
  <si>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</si>
  <si>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</si>
  <si>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</si>
  <si>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</si>
  <si>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</si>
  <si>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</si>
  <si>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</si>
  <si>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</si>
  <si>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</si>
  <si>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</si>
  <si>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</si>
  <si>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</si>
  <si>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</si>
  <si>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</si>
  <si>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</si>
  <si>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</si>
  <si>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</si>
  <si>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</si>
  <si>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</si>
  <si>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</si>
  <si>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</si>
  <si>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</si>
  <si>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</si>
  <si>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</si>
  <si>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</si>
  <si>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</si>
  <si>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</si>
  <si>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</si>
  <si>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</si>
  <si>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</si>
  <si>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</si>
  <si>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</si>
  <si>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</si>
  <si>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</si>
  <si>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</si>
  <si>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</si>
  <si>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</si>
  <si>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</si>
  <si>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</si>
  <si>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</si>
  <si>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</si>
  <si>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</si>
  <si>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</si>
  <si>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</si>
  <si>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</si>
  <si>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</si>
  <si>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</si>
  <si>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</si>
  <si>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</si>
  <si>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</si>
  <si>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</si>
  <si>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</si>
  <si>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</si>
  <si>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</si>
  <si>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</si>
  <si>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</si>
  <si>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</si>
  <si>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</si>
  <si>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</si>
  <si>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</si>
  <si>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</si>
  <si>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</si>
  <si>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</si>
  <si>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</si>
  <si>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</si>
  <si>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</si>
  <si>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</si>
  <si>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</si>
  <si>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</si>
  <si>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</si>
  <si>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</si>
  <si>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</si>
  <si>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</si>
  <si>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</si>
  <si>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</si>
  <si>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</si>
  <si>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</si>
  <si>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</si>
  <si>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</si>
  <si>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</si>
  <si>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</si>
  <si>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</si>
  <si>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</si>
  <si>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</si>
  <si>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</si>
  <si>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</si>
  <si>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</si>
  <si>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</si>
  <si>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</si>
  <si>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</si>
  <si>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</si>
  <si>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</si>
  <si>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</si>
  <si>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</si>
  <si>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</si>
  <si>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</si>
  <si>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</si>
  <si>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</si>
  <si>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</si>
  <si>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</si>
  <si>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</si>
  <si>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</si>
  <si>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</si>
  <si>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</si>
  <si>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</si>
  <si>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</si>
  <si>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</si>
  <si>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</si>
  <si>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</si>
  <si>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</si>
  <si>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</si>
  <si>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</si>
  <si>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</si>
  <si>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</si>
  <si>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</si>
  <si>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</si>
  <si>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</si>
  <si>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</si>
  <si>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</si>
  <si>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</si>
  <si>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</si>
  <si>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</si>
  <si>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</si>
  <si>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</si>
  <si>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</si>
  <si>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</si>
  <si>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</si>
  <si>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</si>
  <si>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</si>
  <si>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</si>
  <si>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</si>
  <si>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</si>
  <si>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</si>
  <si>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</si>
  <si>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</si>
  <si>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</si>
  <si>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</si>
  <si>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</si>
  <si>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</si>
  <si>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</si>
  <si>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</si>
  <si>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</si>
  <si>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</si>
  <si>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</si>
  <si>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</si>
  <si>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</si>
  <si>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</si>
  <si>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</si>
  <si>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</si>
  <si>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</si>
  <si>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</si>
  <si>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</si>
  <si>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</si>
  <si>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</si>
  <si>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</si>
  <si>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</si>
  <si>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</si>
  <si>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</si>
  <si>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</si>
  <si>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</si>
  <si>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</si>
  <si>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</si>
  <si>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</si>
  <si>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</si>
  <si>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</si>
  <si>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</si>
  <si>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</si>
  <si>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</si>
  <si>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</si>
  <si>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</si>
  <si>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</si>
  <si>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</si>
  <si>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</si>
  <si>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</si>
  <si>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</si>
  <si>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</si>
  <si>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</si>
  <si>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</si>
  <si>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</si>
  <si>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</si>
  <si>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</si>
  <si>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</si>
  <si>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</si>
  <si>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</si>
  <si>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</si>
  <si>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</si>
  <si>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</si>
  <si>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</si>
  <si>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</si>
  <si>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</si>
  <si>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</si>
  <si>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</si>
  <si>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</si>
  <si>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</si>
  <si>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</si>
  <si>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</si>
  <si>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</si>
  <si>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</si>
  <si>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</si>
  <si>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</si>
  <si>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</si>
  <si>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</si>
  <si>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</si>
  <si>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</si>
  <si>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</si>
  <si>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</si>
  <si>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</si>
  <si>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</si>
  <si>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</si>
  <si>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</si>
  <si>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</si>
  <si>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</si>
  <si>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</si>
  <si>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</si>
  <si>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</si>
  <si>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</si>
  <si>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</si>
  <si>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</si>
  <si>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</si>
  <si>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</si>
  <si>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</si>
  <si>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</si>
  <si>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</si>
  <si>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</si>
  <si>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</si>
  <si>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</si>
  <si>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</si>
  <si>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</si>
  <si>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</si>
  <si>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</si>
  <si>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</si>
  <si>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</si>
  <si>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</si>
  <si>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</si>
  <si>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</si>
  <si>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</si>
  <si>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</si>
  <si>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</si>
  <si>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</si>
  <si>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</si>
  <si>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</si>
  <si>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</si>
  <si>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</si>
  <si>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</si>
  <si>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</si>
  <si>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</si>
  <si>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</si>
  <si>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</si>
  <si>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</si>
  <si>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</si>
  <si>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</si>
  <si>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</si>
  <si>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</si>
  <si>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</si>
  <si>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</si>
  <si>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</si>
  <si>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</si>
  <si>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</si>
  <si>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</si>
  <si>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</si>
  <si>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</si>
  <si>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</si>
  <si>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</si>
  <si>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</si>
  <si>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</si>
  <si>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</si>
  <si>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</si>
  <si>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</si>
  <si>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</si>
  <si>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</si>
  <si>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</si>
  <si>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</si>
  <si>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</si>
  <si>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</si>
  <si>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</si>
  <si>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</si>
  <si>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</si>
  <si>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</si>
  <si>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</si>
  <si>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</si>
  <si>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</si>
  <si>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</si>
  <si>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</si>
  <si>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</si>
  <si>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</si>
  <si>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</si>
  <si>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</si>
  <si>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</si>
  <si>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</si>
  <si>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</si>
  <si>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</si>
  <si>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</si>
  <si>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</si>
  <si>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</si>
  <si>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</si>
  <si>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</si>
  <si>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</si>
  <si>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</si>
  <si>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</si>
  <si>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</si>
  <si>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</si>
  <si>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</si>
  <si>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</si>
  <si>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</si>
  <si>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</si>
  <si>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</si>
  <si>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</si>
  <si>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</si>
  <si>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</si>
  <si>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</si>
  <si>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</si>
  <si>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</si>
  <si>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</si>
  <si>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</si>
  <si>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</si>
  <si>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</si>
  <si>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</si>
  <si>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</si>
  <si>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</si>
  <si>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</si>
  <si>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</si>
  <si>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</si>
  <si>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</si>
  <si>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</si>
  <si>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</si>
  <si>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</si>
  <si>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</si>
  <si>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</si>
  <si>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</si>
  <si>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</si>
  <si>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</si>
  <si>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</si>
  <si>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</si>
  <si>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</si>
  <si>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</si>
  <si>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</si>
  <si>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</si>
  <si>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</si>
  <si>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</si>
  <si>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</si>
  <si>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</si>
  <si>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</si>
  <si>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</si>
  <si>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</si>
  <si>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</si>
  <si>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</si>
  <si>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</si>
  <si>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</si>
  <si>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</si>
  <si>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</si>
  <si>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</si>
  <si>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</si>
  <si>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</si>
  <si>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</si>
  <si>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</si>
  <si>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</si>
  <si>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</si>
  <si>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</si>
  <si>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</si>
  <si>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</si>
  <si>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</si>
  <si>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</si>
  <si>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</si>
  <si>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</si>
  <si>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</si>
  <si>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</si>
  <si>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</si>
  <si>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</si>
  <si>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</si>
  <si>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</si>
  <si>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</si>
  <si>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</si>
  <si>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</si>
  <si>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</si>
  <si>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</si>
  <si>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</si>
  <si>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</si>
  <si>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</si>
  <si>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</si>
  <si>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</si>
  <si>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</si>
  <si>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</si>
  <si>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</si>
  <si>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</si>
  <si>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</si>
  <si>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</si>
  <si>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</si>
  <si>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</si>
  <si>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</si>
  <si>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</si>
  <si>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</si>
  <si>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</si>
  <si>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</si>
  <si>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</si>
  <si>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</si>
  <si>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</si>
  <si>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</si>
  <si>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</si>
  <si>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</si>
  <si>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</si>
  <si>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</si>
  <si>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</si>
  <si>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</si>
  <si>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</si>
  <si>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</si>
  <si>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</si>
  <si>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</si>
  <si>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</si>
  <si>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</si>
  <si>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</si>
  <si>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</si>
  <si>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</si>
  <si>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</si>
  <si>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</si>
  <si>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</si>
  <si>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</si>
  <si>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</si>
  <si>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</si>
  <si>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</si>
  <si>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</si>
  <si>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</si>
  <si>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</si>
  <si>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</si>
  <si>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</si>
  <si>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</si>
  <si>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</si>
  <si>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</si>
  <si>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</si>
  <si>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</si>
  <si>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</si>
  <si>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</si>
  <si>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</si>
  <si>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</si>
  <si>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</si>
  <si>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</si>
  <si>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</si>
  <si>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</si>
  <si>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</si>
  <si>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</si>
  <si>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</si>
  <si>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</si>
  <si>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</si>
  <si>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</si>
  <si>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</si>
  <si>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</si>
  <si>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</si>
  <si>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</si>
  <si>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</si>
  <si>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</si>
  <si>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</si>
  <si>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</si>
  <si>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</si>
  <si>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</si>
  <si>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</si>
  <si>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</si>
  <si>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</si>
  <si>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</si>
  <si>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</si>
  <si>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</si>
  <si>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</si>
  <si>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</si>
  <si>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</si>
  <si>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</si>
  <si>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</si>
  <si>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</si>
  <si>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</si>
  <si>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</si>
  <si>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</si>
  <si>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</si>
  <si>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</si>
  <si>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</si>
  <si>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</si>
  <si>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</si>
  <si>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</si>
  <si>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</si>
  <si>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</si>
  <si>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</si>
  <si>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</si>
  <si>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</si>
  <si>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</si>
  <si>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</si>
  <si>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</si>
  <si>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</si>
  <si>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</si>
  <si>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</si>
  <si>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</si>
  <si>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</si>
  <si>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</si>
  <si>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</si>
  <si>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</si>
  <si>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</si>
  <si>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</si>
  <si>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</si>
  <si>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</si>
  <si>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</si>
  <si>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</si>
  <si>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</si>
  <si>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</si>
  <si>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</si>
  <si>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</si>
  <si>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</si>
  <si>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</si>
  <si>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</si>
  <si>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</si>
  <si>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</si>
  <si>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</si>
  <si>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</si>
  <si>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</si>
  <si>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</si>
  <si>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</si>
  <si>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</si>
  <si>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</si>
  <si>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</si>
  <si>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</si>
  <si>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</si>
  <si>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</si>
  <si>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</si>
  <si>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</si>
  <si>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</si>
  <si>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</si>
  <si>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</si>
  <si>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</si>
  <si>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</si>
  <si>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</si>
  <si>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</si>
  <si>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</si>
  <si>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</si>
  <si>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</si>
  <si>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</si>
  <si>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</si>
  <si>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</si>
  <si>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</si>
  <si>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</si>
  <si>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</si>
  <si>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</si>
  <si>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</si>
  <si>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</si>
  <si>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</si>
  <si>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</si>
  <si>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</si>
  <si>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</si>
  <si>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</si>
  <si>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</si>
  <si>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</si>
  <si>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</si>
  <si>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</si>
  <si>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</si>
  <si>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</si>
  <si>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</si>
  <si>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</si>
  <si>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</si>
  <si>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</si>
  <si>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</si>
  <si>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</si>
  <si>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</si>
  <si>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</si>
  <si>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</si>
  <si>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</si>
  <si>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</si>
  <si>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</si>
  <si>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</si>
  <si>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</si>
  <si>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</si>
  <si>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</si>
  <si>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</si>
  <si>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</si>
  <si>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</si>
  <si>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</si>
  <si>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</si>
  <si>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</si>
  <si>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</si>
  <si>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</si>
  <si>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</si>
  <si>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</si>
  <si>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</si>
  <si>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</si>
  <si>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</si>
  <si>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DK 69-62 TRE</t>
  </si>
  <si>
    <t xml:space="preserve">semilla comprada maíz </t>
  </si>
  <si>
    <t>Maíz</t>
  </si>
  <si>
    <t>bolsa</t>
  </si>
  <si>
    <t>MOV-374</t>
  </si>
  <si>
    <t>DK 72-10 RR2C5</t>
  </si>
  <si>
    <t>MOV-375</t>
  </si>
  <si>
    <t>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</si>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</sst>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G318" sqref="G318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2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 t="s">
        <v>127</v>
      </c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4" t="s">
        <v>130</v>
      </c>
      <c r="E30" t="s">
        <v>131</v>
      </c>
      <c r="F30" s="34"/>
      <c r="G30" t="s">
        <v>132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3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3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3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3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3">
        <v>46127</v>
      </c>
      <c r="C35" s="34" t="s">
        <v>146</v>
      </c>
      <c r="D35" s="4" t="s">
        <v>147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3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3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4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3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3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3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4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3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3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3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3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3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3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3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3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3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3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3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3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3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3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3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3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3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3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3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3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3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3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3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3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3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3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3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3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3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3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3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3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3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3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202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3">
        <v>46141</v>
      </c>
      <c r="C110" s="34" t="s">
        <v>129</v>
      </c>
      <c r="D110" s="34" t="s">
        <v>130</v>
      </c>
      <c r="E110" s="34" t="s">
        <v>131</v>
      </c>
      <c r="F110" s="34"/>
      <c r="G110" s="34" t="s">
        <v>132</v>
      </c>
      <c r="H110" s="20" t="s">
        <v>220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3">
        <v>46141</v>
      </c>
      <c r="C111" s="34" t="s">
        <v>136</v>
      </c>
      <c r="D111" s="34" t="s">
        <v>137</v>
      </c>
      <c r="E111" s="34" t="s">
        <v>131</v>
      </c>
      <c r="F111" s="34"/>
      <c r="G111" s="34" t="s">
        <v>132</v>
      </c>
      <c r="H111" s="20" t="s">
        <v>210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3">
        <v>46141</v>
      </c>
      <c r="C112" s="34" t="s">
        <v>155</v>
      </c>
      <c r="D112" s="34" t="s">
        <v>156</v>
      </c>
      <c r="E112" s="34" t="s">
        <v>24</v>
      </c>
      <c r="F112" s="34" t="s">
        <v>25</v>
      </c>
      <c r="G112" s="34" t="s">
        <v>157</v>
      </c>
      <c r="H112" s="20" t="s">
        <v>294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296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5">
        <v>46141</v>
      </c>
      <c r="C114" s="34" t="s">
        <v>298</v>
      </c>
      <c r="D114" s="34" t="s">
        <v>299</v>
      </c>
      <c r="E114" s="34" t="s">
        <v>24</v>
      </c>
      <c r="F114" s="34" t="s">
        <v>164</v>
      </c>
      <c r="G114" s="34" t="s">
        <v>300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301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3">
        <v>46141</v>
      </c>
      <c r="C115" s="34" t="s">
        <v>303</v>
      </c>
      <c r="D115" s="34" t="s">
        <v>304</v>
      </c>
      <c r="E115" s="34" t="s">
        <v>24</v>
      </c>
      <c r="F115" s="34" t="s">
        <v>187</v>
      </c>
      <c r="G115" s="34" t="s">
        <v>300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301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277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151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5">
        <v>46146</v>
      </c>
      <c r="C117" s="34" t="s">
        <v>177</v>
      </c>
      <c r="D117" s="34" t="s">
        <v>178</v>
      </c>
      <c r="E117" s="34" t="s">
        <v>24</v>
      </c>
      <c r="F117" s="34" t="s">
        <v>164</v>
      </c>
      <c r="G117" s="34" t="s">
        <v>179</v>
      </c>
      <c r="H117" s="20" t="s">
        <v>307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308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5">
        <v>46146</v>
      </c>
      <c r="C118" s="34" t="s">
        <v>177</v>
      </c>
      <c r="D118" s="34" t="s">
        <v>178</v>
      </c>
      <c r="E118" s="34" t="s">
        <v>24</v>
      </c>
      <c r="F118" s="34" t="s">
        <v>164</v>
      </c>
      <c r="G118" s="34" t="s">
        <v>179</v>
      </c>
      <c r="H118" s="20" t="s">
        <v>307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310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3">
        <v>46146</v>
      </c>
      <c r="C119" s="34" t="s">
        <v>255</v>
      </c>
      <c r="D119" s="34" t="s">
        <v>256</v>
      </c>
      <c r="E119" s="34" t="s">
        <v>24</v>
      </c>
      <c r="F119" s="34" t="s">
        <v>257</v>
      </c>
      <c r="G119" s="34" t="s">
        <v>258</v>
      </c>
      <c r="H119" s="20" t="s">
        <v>312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308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3">
        <v>46146</v>
      </c>
      <c r="C120" s="34" t="s">
        <v>171</v>
      </c>
      <c r="D120" s="34" t="s">
        <v>172</v>
      </c>
      <c r="E120" s="34" t="s">
        <v>24</v>
      </c>
      <c r="F120" s="34" t="s">
        <v>173</v>
      </c>
      <c r="G120" s="34" t="s">
        <v>165</v>
      </c>
      <c r="H120" s="20" t="s">
        <v>314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308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5">
        <v>46146</v>
      </c>
      <c r="C121" s="34" t="s">
        <v>163</v>
      </c>
      <c r="D121" s="34" t="s">
        <v>163</v>
      </c>
      <c r="E121" s="34" t="s">
        <v>24</v>
      </c>
      <c r="F121" s="34" t="s">
        <v>164</v>
      </c>
      <c r="G121" s="34" t="s">
        <v>165</v>
      </c>
      <c r="H121" s="20" t="s">
        <v>316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310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3">
        <v>46146</v>
      </c>
      <c r="C122" s="34" t="s">
        <v>185</v>
      </c>
      <c r="D122" s="34" t="s">
        <v>186</v>
      </c>
      <c r="E122" s="34" t="s">
        <v>24</v>
      </c>
      <c r="F122" s="34" t="s">
        <v>187</v>
      </c>
      <c r="G122" s="34" t="s">
        <v>179</v>
      </c>
      <c r="H122" s="20" t="s">
        <v>318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308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3">
        <v>46146</v>
      </c>
      <c r="C123" s="34" t="s">
        <v>189</v>
      </c>
      <c r="D123" s="34" t="s">
        <v>190</v>
      </c>
      <c r="E123" s="34" t="s">
        <v>24</v>
      </c>
      <c r="F123" s="34" t="s">
        <v>191</v>
      </c>
      <c r="G123" s="34" t="s">
        <v>179</v>
      </c>
      <c r="H123" s="20" t="s">
        <v>320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308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3">
        <v>46146</v>
      </c>
      <c r="C124" s="34" t="s">
        <v>260</v>
      </c>
      <c r="D124" s="34" t="s">
        <v>261</v>
      </c>
      <c r="E124" s="34" t="s">
        <v>24</v>
      </c>
      <c r="F124" s="34" t="s">
        <v>183</v>
      </c>
      <c r="G124" s="34" t="s">
        <v>258</v>
      </c>
      <c r="H124" s="20" t="s">
        <v>322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308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3">
        <v>46146</v>
      </c>
      <c r="C125" s="34" t="s">
        <v>193</v>
      </c>
      <c r="D125" s="34" t="s">
        <v>193</v>
      </c>
      <c r="E125" s="34" t="s">
        <v>24</v>
      </c>
      <c r="F125" s="34" t="s">
        <v>194</v>
      </c>
      <c r="G125" s="34" t="s">
        <v>179</v>
      </c>
      <c r="H125" s="20" t="s">
        <v>324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308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3">
        <v>46146</v>
      </c>
      <c r="C126" s="34" t="s">
        <v>227</v>
      </c>
      <c r="D126" s="34" t="s">
        <v>228</v>
      </c>
      <c r="E126" s="34" t="s">
        <v>24</v>
      </c>
      <c r="F126" s="34" t="s">
        <v>25</v>
      </c>
      <c r="G126" s="34" t="s">
        <v>26</v>
      </c>
      <c r="H126" s="20" t="s">
        <v>326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308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3">
        <v>46146</v>
      </c>
      <c r="C127" s="34" t="s">
        <v>230</v>
      </c>
      <c r="D127" s="34" t="s">
        <v>230</v>
      </c>
      <c r="E127" s="34" t="s">
        <v>24</v>
      </c>
      <c r="F127" s="34" t="s">
        <v>25</v>
      </c>
      <c r="G127" s="34" t="s">
        <v>26</v>
      </c>
      <c r="H127" s="20" t="s">
        <v>328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308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277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330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150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151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212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202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212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212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277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151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217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202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217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217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3">
        <v>46146</v>
      </c>
      <c r="C138" s="34" t="s">
        <v>129</v>
      </c>
      <c r="D138" s="34" t="s">
        <v>130</v>
      </c>
      <c r="E138" s="34" t="s">
        <v>131</v>
      </c>
      <c r="F138" s="34"/>
      <c r="G138" s="34" t="s">
        <v>132</v>
      </c>
      <c r="H138" s="20" t="s">
        <v>220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217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3">
        <v>46154</v>
      </c>
      <c r="C139" s="34" t="s">
        <v>171</v>
      </c>
      <c r="D139" s="34" t="s">
        <v>172</v>
      </c>
      <c r="E139" s="34" t="s">
        <v>24</v>
      </c>
      <c r="F139" s="34" t="s">
        <v>173</v>
      </c>
      <c r="G139" s="34" t="s">
        <v>165</v>
      </c>
      <c r="H139" s="20" t="s">
        <v>314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310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3">
        <v>46154</v>
      </c>
      <c r="C140" s="34" t="s">
        <v>185</v>
      </c>
      <c r="D140" s="34" t="s">
        <v>186</v>
      </c>
      <c r="E140" s="34" t="s">
        <v>24</v>
      </c>
      <c r="F140" s="34" t="s">
        <v>187</v>
      </c>
      <c r="G140" s="34" t="s">
        <v>179</v>
      </c>
      <c r="H140" s="20" t="s">
        <v>318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310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3">
        <v>46154</v>
      </c>
      <c r="C141" s="34" t="s">
        <v>155</v>
      </c>
      <c r="D141" s="34" t="s">
        <v>156</v>
      </c>
      <c r="E141" s="34" t="s">
        <v>24</v>
      </c>
      <c r="F141" s="34" t="s">
        <v>25</v>
      </c>
      <c r="G141" s="34" t="s">
        <v>157</v>
      </c>
      <c r="H141" s="20" t="s">
        <v>294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330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3">
        <v>46154</v>
      </c>
      <c r="C142" s="34" t="s">
        <v>159</v>
      </c>
      <c r="D142" s="34" t="s">
        <v>160</v>
      </c>
      <c r="E142" s="34" t="s">
        <v>24</v>
      </c>
      <c r="F142" s="34" t="s">
        <v>25</v>
      </c>
      <c r="G142" s="34" t="s">
        <v>157</v>
      </c>
      <c r="H142" s="20" t="s">
        <v>238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330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3">
        <v>46154</v>
      </c>
      <c r="C143" s="34" t="s">
        <v>167</v>
      </c>
      <c r="D143" s="34" t="s">
        <v>168</v>
      </c>
      <c r="E143" s="34" t="s">
        <v>24</v>
      </c>
      <c r="F143" s="34" t="s">
        <v>169</v>
      </c>
      <c r="G143" s="34" t="s">
        <v>165</v>
      </c>
      <c r="H143" s="20" t="s">
        <v>346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212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3">
        <v>46154</v>
      </c>
      <c r="C144" s="34" t="s">
        <v>263</v>
      </c>
      <c r="D144" s="34" t="s">
        <v>264</v>
      </c>
      <c r="E144" s="34" t="s">
        <v>24</v>
      </c>
      <c r="F144" s="34" t="s">
        <v>169</v>
      </c>
      <c r="G144" s="34" t="s">
        <v>258</v>
      </c>
      <c r="H144" s="20" t="s">
        <v>348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212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3">
        <v>46154</v>
      </c>
      <c r="C145" s="34" t="s">
        <v>181</v>
      </c>
      <c r="D145" s="34" t="s">
        <v>182</v>
      </c>
      <c r="E145" s="34" t="s">
        <v>24</v>
      </c>
      <c r="F145" s="34" t="s">
        <v>183</v>
      </c>
      <c r="G145" s="34" t="s">
        <v>179</v>
      </c>
      <c r="H145" s="20" t="s">
        <v>350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212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3">
        <v>46154</v>
      </c>
      <c r="C146" s="34" t="s">
        <v>230</v>
      </c>
      <c r="D146" s="34" t="s">
        <v>230</v>
      </c>
      <c r="E146" s="34" t="s">
        <v>24</v>
      </c>
      <c r="F146" s="34" t="s">
        <v>25</v>
      </c>
      <c r="G146" s="34" t="s">
        <v>26</v>
      </c>
      <c r="H146" s="20" t="s">
        <v>328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212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150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151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3">
        <v>46154</v>
      </c>
      <c r="C148" s="34" t="s">
        <v>155</v>
      </c>
      <c r="D148" s="34" t="s">
        <v>156</v>
      </c>
      <c r="E148" s="34" t="s">
        <v>24</v>
      </c>
      <c r="F148" s="34" t="s">
        <v>25</v>
      </c>
      <c r="G148" s="34" t="s">
        <v>157</v>
      </c>
      <c r="H148" s="20" t="s">
        <v>294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151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212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217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3">
        <v>46155</v>
      </c>
      <c r="C151" s="34" t="s">
        <v>129</v>
      </c>
      <c r="D151" s="34" t="s">
        <v>130</v>
      </c>
      <c r="E151" s="34" t="s">
        <v>131</v>
      </c>
      <c r="F151" s="34"/>
      <c r="G151" s="34" t="s">
        <v>132</v>
      </c>
      <c r="H151" s="20" t="s">
        <v>220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217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202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217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3">
        <v>46155</v>
      </c>
      <c r="C153" s="34" t="s">
        <v>136</v>
      </c>
      <c r="D153" s="34" t="s">
        <v>137</v>
      </c>
      <c r="E153" s="34" t="s">
        <v>131</v>
      </c>
      <c r="F153" s="34"/>
      <c r="G153" s="34" t="s">
        <v>132</v>
      </c>
      <c r="H153" s="20" t="s">
        <v>210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217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217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3">
        <v>46155</v>
      </c>
      <c r="C155" s="34" t="s">
        <v>255</v>
      </c>
      <c r="D155" s="34" t="s">
        <v>256</v>
      </c>
      <c r="E155" s="34" t="s">
        <v>24</v>
      </c>
      <c r="F155" s="34" t="s">
        <v>257</v>
      </c>
      <c r="G155" s="34" t="s">
        <v>258</v>
      </c>
      <c r="H155" s="20" t="s">
        <v>312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217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3">
        <v>46155</v>
      </c>
      <c r="C156" s="34" t="s">
        <v>185</v>
      </c>
      <c r="D156" s="34" t="s">
        <v>186</v>
      </c>
      <c r="E156" s="34" t="s">
        <v>24</v>
      </c>
      <c r="F156" s="34" t="s">
        <v>187</v>
      </c>
      <c r="G156" s="34" t="s">
        <v>179</v>
      </c>
      <c r="H156" s="20" t="s">
        <v>318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217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5">
        <v>46155</v>
      </c>
      <c r="C157" s="34" t="s">
        <v>177</v>
      </c>
      <c r="D157" s="34" t="s">
        <v>178</v>
      </c>
      <c r="E157" s="34" t="s">
        <v>24</v>
      </c>
      <c r="F157" s="34" t="s">
        <v>164</v>
      </c>
      <c r="G157" s="34" t="s">
        <v>179</v>
      </c>
      <c r="H157" s="20" t="s">
        <v>307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217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5">
        <v>46155</v>
      </c>
      <c r="C158" s="34" t="s">
        <v>298</v>
      </c>
      <c r="D158" s="34" t="s">
        <v>299</v>
      </c>
      <c r="E158" s="34" t="s">
        <v>24</v>
      </c>
      <c r="F158" s="34" t="s">
        <v>164</v>
      </c>
      <c r="G158" s="34" t="s">
        <v>300</v>
      </c>
      <c r="H158" s="20" t="s">
        <v>364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217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3">
        <v>46155</v>
      </c>
      <c r="C159" s="34" t="s">
        <v>155</v>
      </c>
      <c r="D159" s="34" t="s">
        <v>156</v>
      </c>
      <c r="E159" s="34" t="s">
        <v>24</v>
      </c>
      <c r="F159" s="34" t="s">
        <v>25</v>
      </c>
      <c r="G159" s="34" t="s">
        <v>157</v>
      </c>
      <c r="H159" s="20" t="s">
        <v>366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212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3">
        <v>46155</v>
      </c>
      <c r="C160" s="34" t="s">
        <v>155</v>
      </c>
      <c r="D160" s="34" t="s">
        <v>156</v>
      </c>
      <c r="E160" s="34" t="s">
        <v>24</v>
      </c>
      <c r="F160" s="34" t="s">
        <v>25</v>
      </c>
      <c r="G160" s="34" t="s">
        <v>175</v>
      </c>
      <c r="H160" s="20" t="s">
        <v>366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212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3">
        <v>46155</v>
      </c>
      <c r="C161" s="34" t="s">
        <v>227</v>
      </c>
      <c r="D161" s="34" t="s">
        <v>228</v>
      </c>
      <c r="E161" s="34" t="s">
        <v>24</v>
      </c>
      <c r="F161" s="34" t="s">
        <v>25</v>
      </c>
      <c r="G161" s="34" t="s">
        <v>26</v>
      </c>
      <c r="H161" s="20" t="s">
        <v>326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212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3">
        <v>46155</v>
      </c>
      <c r="C162" s="34" t="s">
        <v>155</v>
      </c>
      <c r="D162" s="34" t="s">
        <v>156</v>
      </c>
      <c r="E162" s="34" t="s">
        <v>24</v>
      </c>
      <c r="F162" s="34" t="s">
        <v>25</v>
      </c>
      <c r="G162" s="34" t="s">
        <v>175</v>
      </c>
      <c r="H162" s="20" t="s">
        <v>366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212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3">
        <v>46155</v>
      </c>
      <c r="C163" s="34" t="s">
        <v>230</v>
      </c>
      <c r="D163" s="34" t="s">
        <v>230</v>
      </c>
      <c r="E163" s="34" t="s">
        <v>24</v>
      </c>
      <c r="F163" s="34" t="s">
        <v>25</v>
      </c>
      <c r="G163" s="34" t="s">
        <v>26</v>
      </c>
      <c r="H163" s="20" t="s">
        <v>328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212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217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202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217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374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217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217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202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217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217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3">
        <v>46156</v>
      </c>
      <c r="C170" s="34" t="s">
        <v>129</v>
      </c>
      <c r="D170" s="34" t="s">
        <v>130</v>
      </c>
      <c r="E170" s="34" t="s">
        <v>131</v>
      </c>
      <c r="F170" s="34"/>
      <c r="G170" s="34" t="s">
        <v>132</v>
      </c>
      <c r="H170" s="20" t="s">
        <v>208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217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3">
        <v>46156</v>
      </c>
      <c r="C171" s="34" t="s">
        <v>136</v>
      </c>
      <c r="D171" s="34" t="s">
        <v>137</v>
      </c>
      <c r="E171" s="34" t="s">
        <v>131</v>
      </c>
      <c r="F171" s="34"/>
      <c r="G171" s="34" t="s">
        <v>132</v>
      </c>
      <c r="H171" s="20" t="s">
        <v>210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217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381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202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381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374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384</v>
      </c>
      <c r="M174" s="34"/>
      <c r="N174" s="34">
        <v>65054</v>
      </c>
      <c r="O174" s="34" t="s">
        <v>236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386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202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386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217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202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217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212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3">
        <v>46158</v>
      </c>
      <c r="C181" s="34" t="s">
        <v>129</v>
      </c>
      <c r="D181" s="34" t="s">
        <v>130</v>
      </c>
      <c r="E181" s="34" t="s">
        <v>131</v>
      </c>
      <c r="F181" s="34"/>
      <c r="G181" s="34" t="s">
        <v>132</v>
      </c>
      <c r="H181" s="20" t="s">
        <v>208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217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217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217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 t="s">
        <v>81</v>
      </c>
      <c r="G184" s="34" t="s">
        <v>82</v>
      </c>
      <c r="H184" s="20" t="s">
        <v>150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386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3">
        <v>46158</v>
      </c>
      <c r="C185" s="34" t="s">
        <v>155</v>
      </c>
      <c r="D185" s="34" t="s">
        <v>156</v>
      </c>
      <c r="E185" s="34" t="s">
        <v>24</v>
      </c>
      <c r="F185" s="34" t="s">
        <v>25</v>
      </c>
      <c r="G185" s="34" t="s">
        <v>157</v>
      </c>
      <c r="H185" s="20" t="s">
        <v>294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386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212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374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212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236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374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236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3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381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374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381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3">
        <v>46160</v>
      </c>
      <c r="C193" s="34" t="s">
        <v>129</v>
      </c>
      <c r="D193" s="34" t="s">
        <v>130</v>
      </c>
      <c r="E193" s="34" t="s">
        <v>131</v>
      </c>
      <c r="F193" s="34"/>
      <c r="G193" s="34" t="s">
        <v>132</v>
      </c>
      <c r="H193" s="20" t="s">
        <v>208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381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3">
        <v>46160</v>
      </c>
      <c r="C194" s="34" t="s">
        <v>136</v>
      </c>
      <c r="D194" s="34" t="s">
        <v>137</v>
      </c>
      <c r="E194" s="34" t="s">
        <v>131</v>
      </c>
      <c r="F194" s="34"/>
      <c r="G194" s="34" t="s">
        <v>132</v>
      </c>
      <c r="H194" s="20" t="s">
        <v>210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381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3">
        <v>46160</v>
      </c>
      <c r="C195" s="34" t="s">
        <v>185</v>
      </c>
      <c r="D195" s="34" t="s">
        <v>186</v>
      </c>
      <c r="E195" s="34" t="s">
        <v>24</v>
      </c>
      <c r="F195" s="34" t="s">
        <v>187</v>
      </c>
      <c r="G195" s="34" t="s">
        <v>179</v>
      </c>
      <c r="H195" s="20" t="s">
        <v>318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217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3">
        <v>46160</v>
      </c>
      <c r="C196" s="34" t="s">
        <v>303</v>
      </c>
      <c r="D196" s="34" t="s">
        <v>304</v>
      </c>
      <c r="E196" s="34" t="s">
        <v>24</v>
      </c>
      <c r="F196" s="34" t="s">
        <v>187</v>
      </c>
      <c r="G196" s="34" t="s">
        <v>300</v>
      </c>
      <c r="H196" s="20" t="s">
        <v>408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217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3">
        <v>46160</v>
      </c>
      <c r="C197" s="34" t="s">
        <v>159</v>
      </c>
      <c r="D197" s="34" t="s">
        <v>160</v>
      </c>
      <c r="E197" s="34" t="s">
        <v>24</v>
      </c>
      <c r="F197" s="34" t="s">
        <v>25</v>
      </c>
      <c r="G197" s="34" t="s">
        <v>157</v>
      </c>
      <c r="H197" s="20" t="s">
        <v>238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212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3">
        <v>46160</v>
      </c>
      <c r="C198" s="34" t="s">
        <v>155</v>
      </c>
      <c r="D198" s="34" t="s">
        <v>156</v>
      </c>
      <c r="E198" s="34" t="s">
        <v>24</v>
      </c>
      <c r="F198" s="34" t="s">
        <v>25</v>
      </c>
      <c r="G198" s="34" t="s">
        <v>157</v>
      </c>
      <c r="H198" s="20" t="s">
        <v>294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212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3">
        <v>46160</v>
      </c>
      <c r="C199" s="34" t="s">
        <v>136</v>
      </c>
      <c r="D199" s="34" t="s">
        <v>137</v>
      </c>
      <c r="E199" s="34" t="s">
        <v>131</v>
      </c>
      <c r="F199" s="34"/>
      <c r="G199" s="34" t="s">
        <v>132</v>
      </c>
      <c r="H199" s="20" t="s">
        <v>210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381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381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374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381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3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3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3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3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3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3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8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8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8">
        <v>46164</v>
      </c>
      <c r="C211" s="35" t="s">
        <v>424</v>
      </c>
      <c r="D211" s="35" t="s">
        <v>425</v>
      </c>
      <c r="E211" s="35" t="s">
        <v>24</v>
      </c>
      <c r="F211" s="35" t="s">
        <v>426</v>
      </c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8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8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8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8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374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217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8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8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8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8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8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8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8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8">
        <v>46171</v>
      </c>
      <c r="C232" s="35" t="s">
        <v>129</v>
      </c>
      <c r="D232" s="35" t="s">
        <v>130</v>
      </c>
      <c r="E232" s="35" t="s">
        <v>131</v>
      </c>
      <c r="F232" s="35"/>
      <c r="G232" s="35" t="s">
        <v>132</v>
      </c>
      <c r="H232" s="20" t="s">
        <v>220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381</v>
      </c>
      <c r="P232">
        <v>1717</v>
      </c>
      <c r="Q232" s="43" t="s">
        <v>452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453</v>
      </c>
      <c r="B233" s="48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454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455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456</v>
      </c>
      <c r="B236" s="48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457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458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459</v>
      </c>
      <c r="B239" s="48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460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461</v>
      </c>
      <c r="B241" s="48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462</v>
      </c>
      <c r="B242" s="48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463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464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202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381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465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466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467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468</v>
      </c>
      <c r="B247" s="48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469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470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471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472</v>
      </c>
      <c r="B249" s="48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473</v>
      </c>
      <c r="B250" s="48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474</v>
      </c>
      <c r="B251" s="48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475</v>
      </c>
      <c r="B252" s="48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476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477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217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478</v>
      </c>
      <c r="B255" s="48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479</v>
      </c>
      <c r="B256" s="48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480</v>
      </c>
      <c r="B257" s="48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481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482</v>
      </c>
      <c r="B258" s="48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481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483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484</v>
      </c>
      <c r="B260" s="48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485</v>
      </c>
      <c r="B261" s="48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486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487</v>
      </c>
      <c r="B263" s="48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481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488</v>
      </c>
      <c r="B264" s="48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489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490</v>
      </c>
      <c r="B265" s="48">
        <v>46183</v>
      </c>
      <c r="C265" s="35" t="s">
        <v>491</v>
      </c>
      <c r="D265" s="35" t="s">
        <v>492</v>
      </c>
      <c r="E265" s="35" t="s">
        <v>493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494</v>
      </c>
      <c r="B266" s="48">
        <v>46183</v>
      </c>
      <c r="C266" t="s">
        <v>491</v>
      </c>
      <c r="D266" t="s">
        <v>492</v>
      </c>
      <c r="E266" t="s">
        <v>493</v>
      </c>
      <c r="G266" t="s">
        <v>35</v>
      </c>
      <c r="H266" s="20" t="s">
        <v>495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496</v>
      </c>
      <c r="B267" s="48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497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498</v>
      </c>
      <c r="B268" s="48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497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499</v>
      </c>
      <c r="B269" s="48">
        <v>46184</v>
      </c>
      <c r="C269" t="s">
        <v>491</v>
      </c>
      <c r="D269" t="s">
        <v>492</v>
      </c>
      <c r="E269" t="s">
        <v>493</v>
      </c>
      <c r="G269" t="s">
        <v>35</v>
      </c>
      <c r="H269" s="20" t="s">
        <v>495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500</v>
      </c>
      <c r="B270" s="48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501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502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503</v>
      </c>
      <c r="B273" s="48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504</v>
      </c>
      <c r="B274" s="48">
        <v>46188</v>
      </c>
      <c r="C274" t="s">
        <v>491</v>
      </c>
      <c r="D274" t="s">
        <v>492</v>
      </c>
      <c r="E274" t="s">
        <v>493</v>
      </c>
      <c r="G274" t="s">
        <v>35</v>
      </c>
      <c r="H274" s="20" t="s">
        <v>495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505</v>
      </c>
      <c r="B275" s="48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497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506</v>
      </c>
      <c r="B276" s="48">
        <v>46189</v>
      </c>
      <c r="C276" s="35" t="s">
        <v>129</v>
      </c>
      <c r="D276" s="35" t="s">
        <v>130</v>
      </c>
      <c r="E276" s="35" t="s">
        <v>131</v>
      </c>
      <c r="F276" s="35"/>
      <c r="G276" s="35" t="s">
        <v>132</v>
      </c>
      <c r="H276" s="20" t="s">
        <v>220</v>
      </c>
      <c r="I276" s="35" t="s">
        <v>64</v>
      </c>
      <c r="J276" s="37">
        <v>40</v>
      </c>
      <c r="K276" s="22">
        <f>IF(I276="","",IF(I276="ENTRADA",ABS(J276),-ABS(J276)))</f>
        <v>-40</v>
      </c>
      <c r="L276" s="35" t="s">
        <v>36</v>
      </c>
      <c r="M276" s="35"/>
      <c r="N276" s="35">
        <v>65108</v>
      </c>
      <c r="O276" s="35" t="s">
        <v>381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507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508</v>
      </c>
      <c r="B278" s="48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497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509</v>
      </c>
      <c r="B279" s="48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510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511</v>
      </c>
      <c r="B281" s="48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497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512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513</v>
      </c>
      <c r="B283" s="48">
        <v>46191</v>
      </c>
      <c r="C283" t="s">
        <v>514</v>
      </c>
      <c r="D283" t="s">
        <v>515</v>
      </c>
      <c r="E283" t="s">
        <v>516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517</v>
      </c>
      <c r="B284" s="48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518</v>
      </c>
      <c r="B285" s="48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519</v>
      </c>
      <c r="O285" t="s">
        <v>381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520</v>
      </c>
      <c r="B286" s="48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521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>IF(I287="","",IF(I287="ENTRADA",ABS(J287),-ABS(J287)))</f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522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523</v>
      </c>
      <c r="B289" s="48">
        <v>46196</v>
      </c>
      <c r="C289" t="s">
        <v>524</v>
      </c>
      <c r="D289" t="s">
        <v>525</v>
      </c>
      <c r="E289" t="s">
        <v>516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526</v>
      </c>
      <c r="B290" s="48">
        <v>46196</v>
      </c>
      <c r="C290" t="s">
        <v>527</v>
      </c>
      <c r="D290" t="s">
        <v>528</v>
      </c>
      <c r="E290" t="s">
        <v>493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529</v>
      </c>
      <c r="B291" s="48">
        <v>46196</v>
      </c>
      <c r="C291" t="s">
        <v>491</v>
      </c>
      <c r="D291" t="s">
        <v>492</v>
      </c>
      <c r="E291" t="s">
        <v>493</v>
      </c>
      <c r="G291" t="s">
        <v>35</v>
      </c>
      <c r="H291" s="20" t="s">
        <v>495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530</v>
      </c>
      <c r="B292" s="48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497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531</v>
      </c>
      <c r="B293" s="48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463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532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471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533</v>
      </c>
      <c r="B295" s="48">
        <v>46196</v>
      </c>
      <c r="C295" t="s">
        <v>534</v>
      </c>
      <c r="D295" t="s">
        <v>535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536</v>
      </c>
      <c r="B296" s="48">
        <v>46197</v>
      </c>
      <c r="C296" s="48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497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537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538</v>
      </c>
      <c r="B298" s="48">
        <v>46197</v>
      </c>
      <c r="C298" s="35" t="s">
        <v>49</v>
      </c>
      <c r="D298" s="35" t="s">
        <v>279</v>
      </c>
      <c r="E298" s="35" t="s">
        <v>33</v>
      </c>
      <c r="F298" s="35" t="s">
        <v>34</v>
      </c>
      <c r="G298" s="35" t="s">
        <v>35</v>
      </c>
      <c r="H298" s="20" t="s">
        <v>280</v>
      </c>
      <c r="I298" s="35" t="s">
        <v>64</v>
      </c>
      <c r="J298" s="37">
        <v>80</v>
      </c>
      <c r="K298" s="22">
        <f>IF(I298="","",IF(I298="ENTRADA",ABS(J298),-ABS(J298)))</f>
        <v>-80</v>
      </c>
      <c r="L298" s="35" t="s">
        <v>36</v>
      </c>
      <c r="M298" s="35"/>
      <c r="N298">
        <v>65117</v>
      </c>
      <c r="O298" t="s">
        <v>381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539</v>
      </c>
      <c r="B299" s="48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540</v>
      </c>
      <c r="B300" s="48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2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541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542</v>
      </c>
      <c r="B302" s="48">
        <v>46197</v>
      </c>
      <c r="C302" t="s">
        <v>491</v>
      </c>
      <c r="D302" t="s">
        <v>492</v>
      </c>
      <c r="E302" t="s">
        <v>493</v>
      </c>
      <c r="G302" t="s">
        <v>35</v>
      </c>
      <c r="H302" s="20" t="s">
        <v>495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543</v>
      </c>
      <c r="B303" s="48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497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544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545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546</v>
      </c>
      <c r="B306" s="48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547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548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549</v>
      </c>
      <c r="B309" s="48">
        <v>46198</v>
      </c>
      <c r="C309" s="35" t="s">
        <v>282</v>
      </c>
      <c r="D309" s="35" t="s">
        <v>283</v>
      </c>
      <c r="E309" s="35" t="s">
        <v>284</v>
      </c>
      <c r="F309" s="35" t="s">
        <v>285</v>
      </c>
      <c r="G309" s="35" t="s">
        <v>82</v>
      </c>
      <c r="H309" s="20" t="s">
        <v>497</v>
      </c>
      <c r="I309" s="35" t="s">
        <v>64</v>
      </c>
      <c r="J309" s="37">
        <v>160</v>
      </c>
      <c r="K309" s="22">
        <f>IF(I309="","",IF(I309="ENTRADA",ABS(J309),-ABS(J309)))</f>
        <v>-160</v>
      </c>
      <c r="L309" s="35" t="s">
        <v>36</v>
      </c>
      <c r="M309" s="35"/>
      <c r="N309">
        <v>65122</v>
      </c>
      <c r="O309" t="s">
        <v>386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550</v>
      </c>
      <c r="B310" s="48">
        <v>46198</v>
      </c>
      <c r="C310" t="s">
        <v>527</v>
      </c>
      <c r="D310" t="s">
        <v>528</v>
      </c>
      <c r="E310" t="s">
        <v>493</v>
      </c>
      <c r="G310" t="s">
        <v>76</v>
      </c>
      <c r="H310" s="20" t="s">
        <v>551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552</v>
      </c>
      <c r="B311" s="48">
        <v>46199</v>
      </c>
      <c r="C311" t="s">
        <v>524</v>
      </c>
      <c r="D311" t="s">
        <v>525</v>
      </c>
      <c r="E311" t="s">
        <v>516</v>
      </c>
      <c r="G311" t="s">
        <v>76</v>
      </c>
      <c r="H311" s="20" t="s">
        <v>553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554</v>
      </c>
      <c r="B312" s="48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2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555</v>
      </c>
      <c r="B313" s="48">
        <v>46199</v>
      </c>
      <c r="C313" t="s">
        <v>556</v>
      </c>
      <c r="D313" t="s">
        <v>557</v>
      </c>
      <c r="E313" t="s">
        <v>24</v>
      </c>
      <c r="F313" t="s">
        <v>558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559</v>
      </c>
      <c r="B314" s="48">
        <v>46198</v>
      </c>
      <c r="C314" t="s">
        <v>534</v>
      </c>
      <c r="D314" t="s">
        <v>535</v>
      </c>
      <c r="E314" t="s">
        <v>33</v>
      </c>
      <c r="F314" t="s">
        <v>34</v>
      </c>
      <c r="G314" t="s">
        <v>35</v>
      </c>
      <c r="H314" s="20" t="s">
        <v>560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561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562</v>
      </c>
      <c r="B316" s="48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563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564</v>
      </c>
      <c r="B317" s="48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565</v>
      </c>
      <c r="B318" s="48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566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567</v>
      </c>
      <c r="B320" s="48">
        <v>46204</v>
      </c>
      <c r="C320" s="35" t="s">
        <v>129</v>
      </c>
      <c r="D320" s="35" t="s">
        <v>130</v>
      </c>
      <c r="E320" s="35" t="s">
        <v>131</v>
      </c>
      <c r="F320" s="35"/>
      <c r="G320" s="35" t="s">
        <v>132</v>
      </c>
      <c r="H320" s="20" t="s">
        <v>220</v>
      </c>
      <c r="I320" s="35" t="s">
        <v>64</v>
      </c>
      <c r="J320" s="37">
        <v>400</v>
      </c>
      <c r="K320" s="22">
        <f>IF(I320="","",IF(I320="ENTRADA",ABS(J320),-ABS(J320)))</f>
        <v>-400</v>
      </c>
      <c r="L320" s="35" t="s">
        <v>36</v>
      </c>
      <c r="M320" s="35"/>
      <c r="N320">
        <v>65128</v>
      </c>
      <c r="O320" s="35" t="s">
        <v>212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568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569</v>
      </c>
      <c r="B322" s="48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563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570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571</v>
      </c>
      <c r="B324" s="48">
        <v>46204</v>
      </c>
      <c r="C324" t="s">
        <v>527</v>
      </c>
      <c r="D324" t="s">
        <v>528</v>
      </c>
      <c r="E324" t="s">
        <v>493</v>
      </c>
      <c r="G324" t="s">
        <v>76</v>
      </c>
      <c r="H324" s="20" t="s">
        <v>551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572</v>
      </c>
      <c r="B325" s="48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497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573</v>
      </c>
      <c r="B326" s="48">
        <v>46205</v>
      </c>
      <c r="C326" t="s">
        <v>491</v>
      </c>
      <c r="D326" t="s">
        <v>492</v>
      </c>
      <c r="E326" t="s">
        <v>493</v>
      </c>
      <c r="G326" t="s">
        <v>35</v>
      </c>
      <c r="H326" s="20" t="s">
        <v>495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574</v>
      </c>
      <c r="B327" s="48">
        <v>46205</v>
      </c>
      <c r="C327" t="s">
        <v>524</v>
      </c>
      <c r="D327" t="s">
        <v>525</v>
      </c>
      <c r="E327" t="s">
        <v>516</v>
      </c>
      <c r="G327" t="s">
        <v>157</v>
      </c>
      <c r="H327" s="20" t="s">
        <v>553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575</v>
      </c>
      <c r="B328" s="48">
        <v>46205</v>
      </c>
      <c r="C328" t="s">
        <v>576</v>
      </c>
      <c r="D328" t="s">
        <v>577</v>
      </c>
      <c r="E328" t="s">
        <v>578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579</v>
      </c>
      <c r="B329" s="48">
        <v>46205</v>
      </c>
      <c r="C329" t="s">
        <v>580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581</v>
      </c>
      <c r="B330" s="48">
        <v>46206</v>
      </c>
      <c r="C330" t="s">
        <v>527</v>
      </c>
      <c r="D330" t="s">
        <v>528</v>
      </c>
      <c r="E330" t="s">
        <v>493</v>
      </c>
      <c r="G330" t="s">
        <v>76</v>
      </c>
      <c r="H330" s="20" t="s">
        <v>551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582</v>
      </c>
      <c r="B331" s="48">
        <v>46206</v>
      </c>
      <c r="C331" s="35" t="s">
        <v>129</v>
      </c>
      <c r="D331" s="35" t="s">
        <v>130</v>
      </c>
      <c r="E331" s="35" t="s">
        <v>131</v>
      </c>
      <c r="F331" s="35"/>
      <c r="G331" s="35" t="s">
        <v>132</v>
      </c>
      <c r="H331" s="20" t="s">
        <v>220</v>
      </c>
      <c r="I331" s="35" t="s">
        <v>64</v>
      </c>
      <c r="J331" s="37">
        <v>50</v>
      </c>
      <c r="K331" s="22">
        <f>IF(I331="","",IF(I331="ENTRADA",ABS(J331),-ABS(J331)))</f>
        <v>-50</v>
      </c>
      <c r="L331" s="35" t="s">
        <v>36</v>
      </c>
      <c r="M331" s="35"/>
      <c r="N331" s="35">
        <v>65131</v>
      </c>
      <c r="O331" s="35" t="s">
        <v>217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583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584</v>
      </c>
      <c r="B333" s="48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585</v>
      </c>
      <c r="B334" s="48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563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586</v>
      </c>
      <c r="B335" s="48">
        <v>46206</v>
      </c>
      <c r="C335" t="s">
        <v>514</v>
      </c>
      <c r="D335" t="s">
        <v>525</v>
      </c>
      <c r="E335" t="s">
        <v>516</v>
      </c>
      <c r="G335" t="s">
        <v>116</v>
      </c>
      <c r="H335" s="20" t="s">
        <v>587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588</v>
      </c>
      <c r="B336" s="48">
        <v>46209</v>
      </c>
      <c r="C336" t="s">
        <v>576</v>
      </c>
      <c r="D336" t="s">
        <v>577</v>
      </c>
      <c r="E336" t="s">
        <v>578</v>
      </c>
      <c r="G336" t="s">
        <v>157</v>
      </c>
      <c r="H336" s="20" t="s">
        <v>589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590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591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590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592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590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593</v>
      </c>
      <c r="B339" s="48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590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594</v>
      </c>
      <c r="B340" s="48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590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595</v>
      </c>
      <c r="B341" s="48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590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596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>IF(I342="","",IF(I342="ENTRADA",ABS(J342),-ABS(J342)))</f>
        <v>-140</v>
      </c>
      <c r="L342" s="35" t="s">
        <v>36</v>
      </c>
      <c r="M342" s="35"/>
      <c r="N342">
        <v>65132</v>
      </c>
      <c r="O342" t="s">
        <v>590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597</v>
      </c>
      <c r="B343" s="48">
        <v>46209</v>
      </c>
      <c r="C343" t="s">
        <v>524</v>
      </c>
      <c r="D343" t="s">
        <v>525</v>
      </c>
      <c r="E343" t="s">
        <v>516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598</v>
      </c>
      <c r="B344" s="48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497</v>
      </c>
      <c r="I344" t="s">
        <v>64</v>
      </c>
      <c r="J344" s="30">
        <v>520</v>
      </c>
      <c r="K344" s="22">
        <f>IF(I344="","",IF(I344="ENTRADA",ABS(J344),-ABS(J344)))</f>
        <v>-520</v>
      </c>
      <c r="L344" t="s">
        <v>36</v>
      </c>
      <c r="N344">
        <v>65133</v>
      </c>
      <c r="O344" t="s">
        <v>386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599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600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3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601</v>
      </c>
      <c r="B347" s="48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3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602</v>
      </c>
      <c r="B348" s="48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3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603</v>
      </c>
      <c r="B349" s="48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3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604</v>
      </c>
      <c r="B350" s="48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3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605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3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606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3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607</v>
      </c>
      <c r="B353" s="48">
        <v>46211</v>
      </c>
      <c r="C353" s="35" t="s">
        <v>129</v>
      </c>
      <c r="D353" s="35" t="s">
        <v>130</v>
      </c>
      <c r="E353" s="35" t="s">
        <v>131</v>
      </c>
      <c r="F353" s="35"/>
      <c r="G353" s="35" t="s">
        <v>132</v>
      </c>
      <c r="H353" s="20" t="s">
        <v>220</v>
      </c>
      <c r="I353" s="35" t="s">
        <v>64</v>
      </c>
      <c r="J353" s="37">
        <v>30</v>
      </c>
      <c r="K353" s="22">
        <f>IF(I353="","",IF(I353="ENTRADA",ABS(J353),-ABS(J353)))</f>
        <v>-30</v>
      </c>
      <c r="L353" s="35" t="s">
        <v>36</v>
      </c>
      <c r="M353" s="35"/>
      <c r="N353">
        <v>65137</v>
      </c>
      <c r="O353" t="s">
        <v>212</v>
      </c>
      <c r="P353">
        <v>1834</v>
      </c>
      <c r="Q353" s="43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608</v>
      </c>
      <c r="B354" s="48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3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609</v>
      </c>
      <c r="B355" s="48">
        <v>46217</v>
      </c>
      <c r="C355" t="s">
        <v>74</v>
      </c>
      <c r="D355" t="s">
        <v>75</v>
      </c>
      <c r="E355" t="s">
        <v>33</v>
      </c>
      <c r="F355" t="s">
        <v>34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3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610</v>
      </c>
      <c r="B356" s="48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3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611</v>
      </c>
      <c r="B357" s="48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3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612</v>
      </c>
      <c r="B358" s="48">
        <v>46217</v>
      </c>
      <c r="C358" t="s">
        <v>491</v>
      </c>
      <c r="D358" t="s">
        <v>492</v>
      </c>
      <c r="E358" t="s">
        <v>493</v>
      </c>
      <c r="G358" t="s">
        <v>35</v>
      </c>
      <c r="H358" s="20" t="s">
        <v>495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3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613</v>
      </c>
      <c r="B359" s="48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3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614</v>
      </c>
      <c r="B360" s="48">
        <v>46209</v>
      </c>
      <c r="C360" t="s">
        <v>576</v>
      </c>
      <c r="D360" t="s">
        <v>577</v>
      </c>
      <c r="E360" t="s">
        <v>578</v>
      </c>
      <c r="G360" t="s">
        <v>157</v>
      </c>
      <c r="H360" s="20" t="s">
        <v>589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3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615</v>
      </c>
      <c r="B361" s="48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3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616</v>
      </c>
      <c r="B362" s="48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3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617</v>
      </c>
      <c r="B363" s="48">
        <v>46209</v>
      </c>
      <c r="C363" t="s">
        <v>580</v>
      </c>
      <c r="G363" t="s">
        <v>157</v>
      </c>
      <c r="H363" s="20" t="s">
        <v>618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8">
        <v>47146</v>
      </c>
      <c r="N363">
        <v>65134</v>
      </c>
      <c r="O363" t="s">
        <v>381</v>
      </c>
      <c r="P363">
        <v>1836</v>
      </c>
      <c r="Q363" s="43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619</v>
      </c>
      <c r="B364" s="48">
        <v>46209</v>
      </c>
      <c r="C364" s="35" t="s">
        <v>31</v>
      </c>
      <c r="D364" s="35" t="s">
        <v>104</v>
      </c>
      <c r="E364" s="35" t="s">
        <v>33</v>
      </c>
      <c r="F364" s="35" t="s">
        <v>34</v>
      </c>
      <c r="G364" s="35"/>
      <c r="H364" s="20" t="s">
        <v>105</v>
      </c>
      <c r="I364" s="35" t="s">
        <v>64</v>
      </c>
      <c r="J364" s="37">
        <v>235</v>
      </c>
      <c r="K364" s="22">
        <f>IF(I364="","",IF(I364="ENTRADA",ABS(J364),-ABS(J364)))</f>
        <v>-235</v>
      </c>
      <c r="L364" s="35" t="s">
        <v>36</v>
      </c>
      <c r="M364" s="35"/>
      <c r="N364">
        <v>65134</v>
      </c>
      <c r="O364" t="s">
        <v>381</v>
      </c>
      <c r="P364">
        <v>1836</v>
      </c>
      <c r="Q364" s="43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620</v>
      </c>
      <c r="B365" s="48">
        <v>46209</v>
      </c>
      <c r="C365" t="s">
        <v>580</v>
      </c>
      <c r="G365" t="s">
        <v>157</v>
      </c>
      <c r="H365" s="20" t="s">
        <v>618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590</v>
      </c>
      <c r="P365">
        <v>1823</v>
      </c>
      <c r="Q365" s="43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621</v>
      </c>
      <c r="B366" s="48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563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3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622</v>
      </c>
      <c r="B367" s="48">
        <v>46218</v>
      </c>
      <c r="C367" t="s">
        <v>74</v>
      </c>
      <c r="D367" t="s">
        <v>59</v>
      </c>
      <c r="E367" t="s">
        <v>33</v>
      </c>
      <c r="F367" t="s">
        <v>34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3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623</v>
      </c>
      <c r="B368" s="48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3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624</v>
      </c>
      <c r="B369" s="48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3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625</v>
      </c>
      <c r="B370" s="48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3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626</v>
      </c>
      <c r="B371" s="48">
        <v>46219</v>
      </c>
      <c r="C371" t="s">
        <v>491</v>
      </c>
      <c r="D371" t="s">
        <v>492</v>
      </c>
      <c r="E371" t="s">
        <v>493</v>
      </c>
      <c r="G371" t="s">
        <v>35</v>
      </c>
      <c r="H371" s="20" t="s">
        <v>495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3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627</v>
      </c>
      <c r="B372" s="48">
        <v>46219</v>
      </c>
      <c r="C372" t="s">
        <v>534</v>
      </c>
      <c r="D372" t="s">
        <v>535</v>
      </c>
      <c r="E372" t="s">
        <v>33</v>
      </c>
      <c r="F372" t="s">
        <v>34</v>
      </c>
      <c r="G372" t="s">
        <v>35</v>
      </c>
      <c r="H372" s="20" t="s">
        <v>560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3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628</v>
      </c>
      <c r="B373" s="48">
        <v>46190</v>
      </c>
      <c r="C373" t="s">
        <v>629</v>
      </c>
      <c r="D373" t="s">
        <v>630</v>
      </c>
      <c r="E373" t="s">
        <v>24</v>
      </c>
      <c r="F373" t="s">
        <v>631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632</v>
      </c>
      <c r="N373" s="55">
        <v>33458</v>
      </c>
      <c r="Q373" s="34"/>
      <c r="R373" s="22" t="str">
        <f>IF(H373="","",H373&amp;I373)</f>
        <v>260617-373ENTRADA</v>
      </c>
      <c r="S373" s="22" t="str">
        <f>IF(C373="","",C373&amp;I373)</f>
        <v>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633</v>
      </c>
      <c r="B374" s="48">
        <v>46190</v>
      </c>
      <c r="C374" t="s">
        <v>634</v>
      </c>
      <c r="D374" t="s">
        <v>630</v>
      </c>
      <c r="E374" t="s">
        <v>24</v>
      </c>
      <c r="F374" t="s">
        <v>631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632</v>
      </c>
      <c r="N374" s="55">
        <v>33458</v>
      </c>
      <c r="Q374" s="34"/>
      <c r="R374" s="22" t="str">
        <f>IF(H374="","",H374&amp;I374)</f>
        <v>260617-374ENTRADA</v>
      </c>
      <c r="S374" s="22" t="str">
        <f>IF(C374="","",C374&amp;I374)</f>
        <v>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635</v>
      </c>
      <c r="B375" s="48">
        <v>46190</v>
      </c>
      <c r="C375" s="35" t="s">
        <v>636</v>
      </c>
      <c r="D375" s="35" t="s">
        <v>630</v>
      </c>
      <c r="E375" s="35" t="s">
        <v>24</v>
      </c>
      <c r="F375" s="35" t="s">
        <v>631</v>
      </c>
      <c r="G375" s="35" t="s">
        <v>157</v>
      </c>
      <c r="H375" s="20" t="str">
        <f>+T375</f>
        <v>260617-375</v>
      </c>
      <c r="I375" s="35" t="s">
        <v>27</v>
      </c>
      <c r="J375" s="37">
        <v>196</v>
      </c>
      <c r="K375" s="22">
        <f>IF(I375="","",IF(I375="ENTRADA",ABS(J375),-ABS(J375)))</f>
        <v>196</v>
      </c>
      <c r="L375" s="35" t="s">
        <v>632</v>
      </c>
      <c r="M375" s="35"/>
      <c r="N375" s="47">
        <v>33458</v>
      </c>
      <c r="O375" s="35"/>
      <c r="P375" s="35"/>
      <c r="Q375" s="21"/>
      <c r="R375" s="22" t="str">
        <f>IF(H375="","",H375&amp;I375)</f>
        <v>260617-375ENTRADA</v>
      </c>
      <c r="S375" s="22" t="str">
        <f>IF(C375="","",C375&amp;I375)</f>
        <v>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637</v>
      </c>
      <c r="B376" s="48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3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638</v>
      </c>
      <c r="B377" s="48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3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639</v>
      </c>
      <c r="B378" s="48">
        <v>46227</v>
      </c>
      <c r="C378" t="s">
        <v>514</v>
      </c>
      <c r="D378" t="s">
        <v>515</v>
      </c>
      <c r="E378" t="s">
        <v>516</v>
      </c>
      <c r="G378" t="s">
        <v>116</v>
      </c>
      <c r="H378" s="20" t="s">
        <v>587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3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640</v>
      </c>
      <c r="B379" s="48">
        <v>46227</v>
      </c>
      <c r="C379" t="s">
        <v>491</v>
      </c>
      <c r="D379" t="s">
        <v>492</v>
      </c>
      <c r="E379" t="s">
        <v>493</v>
      </c>
      <c r="G379" t="s">
        <v>35</v>
      </c>
      <c r="H379" s="20" t="s">
        <v>495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3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641</v>
      </c>
      <c r="B380" s="48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8">
        <v>46813</v>
      </c>
      <c r="N380">
        <v>50210</v>
      </c>
      <c r="P380">
        <v>14931</v>
      </c>
      <c r="Q380" s="43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642</v>
      </c>
      <c r="B381" s="48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8">
        <v>46863</v>
      </c>
      <c r="N381">
        <v>50209</v>
      </c>
      <c r="P381">
        <v>14932</v>
      </c>
      <c r="Q381" s="43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643</v>
      </c>
      <c r="B382" s="48">
        <v>46230</v>
      </c>
      <c r="C382" t="s">
        <v>491</v>
      </c>
      <c r="D382" t="s">
        <v>492</v>
      </c>
      <c r="E382" t="s">
        <v>493</v>
      </c>
      <c r="G382" t="s">
        <v>35</v>
      </c>
      <c r="H382" s="20" t="s">
        <v>495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3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644</v>
      </c>
      <c r="B383" s="48">
        <v>46227</v>
      </c>
      <c r="C383" t="s">
        <v>514</v>
      </c>
      <c r="D383" t="s">
        <v>515</v>
      </c>
      <c r="E383" t="s">
        <v>516</v>
      </c>
      <c r="G383" t="s">
        <v>116</v>
      </c>
      <c r="H383" s="20" t="s">
        <v>587</v>
      </c>
      <c r="I383" t="s">
        <v>64</v>
      </c>
      <c r="J383" s="30">
        <v>300</v>
      </c>
      <c r="K383" s="22">
        <f>IF(I383="","",IF(I383="ENTRADA",ABS(J383),-ABS(J383)))</f>
        <v>-300</v>
      </c>
      <c r="L383" t="s">
        <v>36</v>
      </c>
      <c r="N383">
        <v>65143</v>
      </c>
      <c r="O383" t="s">
        <v>217</v>
      </c>
      <c r="P383">
        <v>1862</v>
      </c>
      <c r="Q383" s="43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645</v>
      </c>
      <c r="B384" s="48">
        <v>46227</v>
      </c>
      <c r="C384" t="s">
        <v>491</v>
      </c>
      <c r="D384" t="s">
        <v>492</v>
      </c>
      <c r="E384" t="s">
        <v>493</v>
      </c>
      <c r="G384" t="s">
        <v>35</v>
      </c>
      <c r="H384" s="20" t="s">
        <v>495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3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646</v>
      </c>
      <c r="B385" s="48">
        <v>46232</v>
      </c>
      <c r="C385" t="s">
        <v>514</v>
      </c>
      <c r="D385" t="s">
        <v>515</v>
      </c>
      <c r="E385" t="s">
        <v>516</v>
      </c>
      <c r="G385" t="s">
        <v>116</v>
      </c>
      <c r="H385" s="20" t="s">
        <v>587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Q385" s="34"/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647</v>
      </c>
      <c r="B386" s="48">
        <v>46232</v>
      </c>
      <c r="C386" s="35" t="s">
        <v>524</v>
      </c>
      <c r="D386" t="s">
        <v>525</v>
      </c>
      <c r="E386" s="35" t="s">
        <v>516</v>
      </c>
      <c r="F386" s="35"/>
      <c r="G386" s="35" t="s">
        <v>157</v>
      </c>
      <c r="H386" s="20" t="s">
        <v>553</v>
      </c>
      <c r="I386" s="35" t="s">
        <v>64</v>
      </c>
      <c r="J386" s="37">
        <v>360</v>
      </c>
      <c r="K386" s="22">
        <f>IF(I386="","",IF(I386="ENTRADA",ABS(J386),-ABS(J386)))</f>
        <v>-360</v>
      </c>
      <c r="L386" s="35" t="s">
        <v>36</v>
      </c>
      <c r="M386" s="35"/>
      <c r="N386" s="35">
        <v>65146</v>
      </c>
      <c r="O386" s="35"/>
      <c r="P386" s="35"/>
      <c r="Q386" s="21"/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648</v>
      </c>
      <c r="B387" s="48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Q387" s="34"/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649</v>
      </c>
      <c r="B388" s="48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Q388" s="34"/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650</v>
      </c>
      <c r="B389" s="48">
        <v>46232</v>
      </c>
      <c r="H389" s="20" t="str">
        <f>+T389</f>
        <v/>
      </c>
      <c r="J389" s="30"/>
      <c r="K389" s="22" t="str">
        <f>IF(I389="","",IF(I389="ENTRADA",ABS(J389),-ABS(J389)))</f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651</v>
      </c>
      <c r="H390" s="20" t="str">
        <f>+T390</f>
        <v/>
      </c>
      <c r="J390" s="30"/>
      <c r="K390" s="22" t="str">
        <f>IF(I390="","",IF(I390="ENTRADA",ABS(J390),-ABS(J390)))</f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H391" s="20" t="str">
        <f>+T391</f>
        <v/>
      </c>
      <c r="J391" s="30"/>
      <c r="K391" s="22" t="str">
        <f>IF(I391="","",IF(I391="ENTRADA",ABS(J391),-ABS(J391)))</f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H392" s="20" t="str">
        <f>+T392</f>
        <v/>
      </c>
      <c r="J392" s="30"/>
      <c r="K392" s="22" t="str">
        <f>IF(I392="","",IF(I392="ENTRADA",ABS(J392),-ABS(J392)))</f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H393" s="20" t="str">
        <f>+T393</f>
        <v/>
      </c>
      <c r="J393" s="30"/>
      <c r="K393" s="22" t="str">
        <f>IF(I393="","",IF(I393="ENTRADA",ABS(J393),-ABS(J393)))</f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655</v>
      </c>
      <c r="H394" s="20" t="str">
        <f>+T394</f>
        <v/>
      </c>
      <c r="J394" s="30"/>
      <c r="K394" s="22" t="str">
        <f>IF(I394="","",IF(I394="ENTRADA",ABS(J394),-ABS(J394)))</f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656</v>
      </c>
      <c r="H395" s="20" t="str">
        <f>+T395</f>
        <v/>
      </c>
      <c r="J395" s="30"/>
      <c r="K395" s="22" t="str">
        <f>IF(I395="","",IF(I395="ENTRADA",ABS(J395),-ABS(J395)))</f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657</v>
      </c>
      <c r="H396" s="20" t="str">
        <f>+T396</f>
        <v/>
      </c>
      <c r="J396" s="30"/>
      <c r="K396" s="22" t="str">
        <f>IF(I396="","",IF(I396="ENTRADA",ABS(J396),-ABS(J396)))</f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658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>IF(I397="","",IF(I397="ENTRADA",ABS(J397),-ABS(J397)))</f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659</v>
      </c>
      <c r="H398" s="20" t="str">
        <f>+T398</f>
        <v/>
      </c>
      <c r="J398" s="30"/>
      <c r="K398" s="22" t="str">
        <f>IF(I398="","",IF(I398="ENTRADA",ABS(J398),-ABS(J398)))</f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660</v>
      </c>
      <c r="H399" s="20" t="str">
        <f>+T399</f>
        <v/>
      </c>
      <c r="J399" s="30"/>
      <c r="K399" s="22" t="str">
        <f>IF(I399="","",IF(I399="ENTRADA",ABS(J399),-ABS(J399)))</f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661</v>
      </c>
      <c r="H400" s="20" t="str">
        <f>+T400</f>
        <v/>
      </c>
      <c r="J400" s="30"/>
      <c r="K400" s="22" t="str">
        <f>IF(I400="","",IF(I400="ENTRADA",ABS(J400),-ABS(J400)))</f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662</v>
      </c>
      <c r="H401" s="20" t="str">
        <f>+T401</f>
        <v/>
      </c>
      <c r="J401" s="30"/>
      <c r="K401" s="22" t="str">
        <f>IF(I401="","",IF(I401="ENTRADA",ABS(J401),-ABS(J401)))</f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663</v>
      </c>
      <c r="H402" s="20" t="str">
        <f>+T402</f>
        <v/>
      </c>
      <c r="J402" s="30"/>
      <c r="K402" s="22" t="str">
        <f>IF(I402="","",IF(I402="ENTRADA",ABS(J402),-ABS(J402)))</f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664</v>
      </c>
      <c r="H403" s="20" t="str">
        <f>+T403</f>
        <v/>
      </c>
      <c r="J403" s="30"/>
      <c r="K403" s="22" t="str">
        <f>IF(I403="","",IF(I403="ENTRADA",ABS(J403),-ABS(J403)))</f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665</v>
      </c>
      <c r="H404" s="20" t="str">
        <f>+T404</f>
        <v/>
      </c>
      <c r="J404" s="30"/>
      <c r="K404" s="22" t="str">
        <f>IF(I404="","",IF(I404="ENTRADA",ABS(J404),-ABS(J404)))</f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666</v>
      </c>
      <c r="H405" s="20" t="str">
        <f>+T405</f>
        <v/>
      </c>
      <c r="J405" s="30"/>
      <c r="K405" s="22" t="str">
        <f>IF(I405="","",IF(I405="ENTRADA",ABS(J405),-ABS(J405)))</f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667</v>
      </c>
      <c r="H406" s="20" t="str">
        <f>+T406</f>
        <v/>
      </c>
      <c r="J406" s="30"/>
      <c r="K406" s="22" t="str">
        <f>IF(I406="","",IF(I406="ENTRADA",ABS(J406),-ABS(J406)))</f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668</v>
      </c>
      <c r="H407" s="20" t="str">
        <f>+T407</f>
        <v/>
      </c>
      <c r="J407" s="30"/>
      <c r="K407" s="22" t="str">
        <f>IF(I407="","",IF(I407="ENTRADA",ABS(J407),-ABS(J407)))</f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669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>IF(I408="","",IF(I408="ENTRADA",ABS(J408),-ABS(J408)))</f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670</v>
      </c>
      <c r="H409" s="20" t="str">
        <f>+T409</f>
        <v/>
      </c>
      <c r="J409" s="30"/>
      <c r="K409" s="22" t="str">
        <f>IF(I409="","",IF(I409="ENTRADA",ABS(J409),-ABS(J409)))</f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671</v>
      </c>
      <c r="H410" s="20" t="str">
        <f>+T410</f>
        <v/>
      </c>
      <c r="J410" s="30"/>
      <c r="K410" s="22" t="str">
        <f>IF(I410="","",IF(I410="ENTRADA",ABS(J410),-ABS(J410)))</f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672</v>
      </c>
      <c r="H411" s="20" t="str">
        <f>+T411</f>
        <v/>
      </c>
      <c r="J411" s="30"/>
      <c r="K411" s="22" t="str">
        <f>IF(I411="","",IF(I411="ENTRADA",ABS(J411),-ABS(J411)))</f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673</v>
      </c>
      <c r="H412" s="20" t="str">
        <f>+T412</f>
        <v/>
      </c>
      <c r="J412" s="30"/>
      <c r="K412" s="22" t="str">
        <f>IF(I412="","",IF(I412="ENTRADA",ABS(J412),-ABS(J412)))</f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674</v>
      </c>
      <c r="H413" s="20" t="str">
        <f>+T413</f>
        <v/>
      </c>
      <c r="J413" s="30"/>
      <c r="K413" s="22" t="str">
        <f>IF(I413="","",IF(I413="ENTRADA",ABS(J413),-ABS(J413)))</f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675</v>
      </c>
      <c r="H414" s="20" t="str">
        <f>+T414</f>
        <v/>
      </c>
      <c r="J414" s="30"/>
      <c r="K414" s="22" t="str">
        <f>IF(I414="","",IF(I414="ENTRADA",ABS(J414),-ABS(J414)))</f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676</v>
      </c>
      <c r="H415" s="20" t="str">
        <f>+T415</f>
        <v/>
      </c>
      <c r="J415" s="30"/>
      <c r="K415" s="22" t="str">
        <f>IF(I415="","",IF(I415="ENTRADA",ABS(J415),-ABS(J415)))</f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677</v>
      </c>
      <c r="H416" s="20" t="str">
        <f>+T416</f>
        <v/>
      </c>
      <c r="J416" s="30"/>
      <c r="K416" s="22" t="str">
        <f>IF(I416="","",IF(I416="ENTRADA",ABS(J416),-ABS(J416)))</f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678</v>
      </c>
      <c r="H417" s="20" t="str">
        <f>+T417</f>
        <v/>
      </c>
      <c r="J417" s="30"/>
      <c r="K417" s="22" t="str">
        <f>IF(I417="","",IF(I417="ENTRADA",ABS(J417),-ABS(J417)))</f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679</v>
      </c>
      <c r="H418" s="20" t="str">
        <f>+T418</f>
        <v/>
      </c>
      <c r="J418" s="30"/>
      <c r="K418" s="22" t="str">
        <f>IF(I418="","",IF(I418="ENTRADA",ABS(J418),-ABS(J418)))</f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680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>IF(I419="","",IF(I419="ENTRADA",ABS(J419),-ABS(J419)))</f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681</v>
      </c>
      <c r="H420" s="20" t="str">
        <f>+T420</f>
        <v/>
      </c>
      <c r="J420" s="30"/>
      <c r="K420" s="22" t="str">
        <f>IF(I420="","",IF(I420="ENTRADA",ABS(J420),-ABS(J420)))</f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682</v>
      </c>
      <c r="H421" s="20" t="str">
        <f>+T421</f>
        <v/>
      </c>
      <c r="J421" s="30"/>
      <c r="K421" s="22" t="str">
        <f>IF(I421="","",IF(I421="ENTRADA",ABS(J421),-ABS(J421)))</f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683</v>
      </c>
      <c r="H422" s="20" t="str">
        <f>+T422</f>
        <v/>
      </c>
      <c r="J422" s="30"/>
      <c r="K422" s="22" t="str">
        <f>IF(I422="","",IF(I422="ENTRADA",ABS(J422),-ABS(J422)))</f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684</v>
      </c>
      <c r="H423" s="20" t="str">
        <f>+T423</f>
        <v/>
      </c>
      <c r="J423" s="30"/>
      <c r="K423" s="22" t="str">
        <f>IF(I423="","",IF(I423="ENTRADA",ABS(J423),-ABS(J423)))</f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685</v>
      </c>
      <c r="H424" s="20" t="str">
        <f>+T424</f>
        <v/>
      </c>
      <c r="J424" s="30"/>
      <c r="K424" s="22" t="str">
        <f>IF(I424="","",IF(I424="ENTRADA",ABS(J424),-ABS(J424)))</f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686</v>
      </c>
      <c r="H425" s="20" t="str">
        <f>+T425</f>
        <v/>
      </c>
      <c r="J425" s="30"/>
      <c r="K425" s="22" t="str">
        <f>IF(I425="","",IF(I425="ENTRADA",ABS(J425),-ABS(J425)))</f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687</v>
      </c>
      <c r="H426" s="20" t="str">
        <f>+T426</f>
        <v/>
      </c>
      <c r="J426" s="30"/>
      <c r="K426" s="22" t="str">
        <f>IF(I426="","",IF(I426="ENTRADA",ABS(J426),-ABS(J426)))</f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688</v>
      </c>
      <c r="H427" s="20" t="str">
        <f>+T427</f>
        <v/>
      </c>
      <c r="J427" s="30"/>
      <c r="K427" s="22" t="str">
        <f>IF(I427="","",IF(I427="ENTRADA",ABS(J427),-ABS(J427)))</f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689</v>
      </c>
      <c r="H428" s="20" t="str">
        <f>+T428</f>
        <v/>
      </c>
      <c r="J428" s="30"/>
      <c r="K428" s="22" t="str">
        <f>IF(I428="","",IF(I428="ENTRADA",ABS(J428),-ABS(J428)))</f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690</v>
      </c>
      <c r="H429" s="20" t="str">
        <f>+T429</f>
        <v/>
      </c>
      <c r="J429" s="30"/>
      <c r="K429" s="22" t="str">
        <f>IF(I429="","",IF(I429="ENTRADA",ABS(J429),-ABS(J429)))</f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691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>IF(I430="","",IF(I430="ENTRADA",ABS(J430),-ABS(J430)))</f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692</v>
      </c>
      <c r="H431" s="20" t="str">
        <f>+T431</f>
        <v/>
      </c>
      <c r="J431" s="30"/>
      <c r="K431" s="22" t="str">
        <f>IF(I431="","",IF(I431="ENTRADA",ABS(J431),-ABS(J431)))</f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693</v>
      </c>
      <c r="H432" s="20" t="str">
        <f>+T432</f>
        <v/>
      </c>
      <c r="J432" s="30"/>
      <c r="K432" s="22" t="str">
        <f>IF(I432="","",IF(I432="ENTRADA",ABS(J432),-ABS(J432)))</f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694</v>
      </c>
      <c r="H433" s="20" t="str">
        <f>+T433</f>
        <v/>
      </c>
      <c r="J433" s="30"/>
      <c r="K433" s="22" t="str">
        <f>IF(I433="","",IF(I433="ENTRADA",ABS(J433),-ABS(J433)))</f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695</v>
      </c>
      <c r="H434" s="20" t="str">
        <f>+T434</f>
        <v/>
      </c>
      <c r="J434" s="30"/>
      <c r="K434" s="22" t="str">
        <f>IF(I434="","",IF(I434="ENTRADA",ABS(J434),-ABS(J434)))</f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696</v>
      </c>
      <c r="H435" s="20" t="str">
        <f>+T435</f>
        <v/>
      </c>
      <c r="J435" s="30"/>
      <c r="K435" s="22" t="str">
        <f>IF(I435="","",IF(I435="ENTRADA",ABS(J435),-ABS(J435)))</f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697</v>
      </c>
      <c r="H436" s="20" t="str">
        <f>+T436</f>
        <v/>
      </c>
      <c r="J436" s="30"/>
      <c r="K436" s="22" t="str">
        <f>IF(I436="","",IF(I436="ENTRADA",ABS(J436),-ABS(J436)))</f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698</v>
      </c>
      <c r="H437" s="20" t="str">
        <f>+T437</f>
        <v/>
      </c>
      <c r="J437" s="30"/>
      <c r="K437" s="22" t="str">
        <f>IF(I437="","",IF(I437="ENTRADA",ABS(J437),-ABS(J437)))</f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699</v>
      </c>
      <c r="H438" s="20" t="str">
        <f>+T438</f>
        <v/>
      </c>
      <c r="J438" s="30"/>
      <c r="K438" s="22" t="str">
        <f>IF(I438="","",IF(I438="ENTRADA",ABS(J438),-ABS(J438)))</f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700</v>
      </c>
      <c r="H439" s="20" t="str">
        <f>+T439</f>
        <v/>
      </c>
      <c r="J439" s="30"/>
      <c r="K439" s="22" t="str">
        <f>IF(I439="","",IF(I439="ENTRADA",ABS(J439),-ABS(J439)))</f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701</v>
      </c>
      <c r="H440" s="20" t="str">
        <f>+T440</f>
        <v/>
      </c>
      <c r="J440" s="30"/>
      <c r="K440" s="22" t="str">
        <f>IF(I440="","",IF(I440="ENTRADA",ABS(J440),-ABS(J440)))</f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702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>IF(I441="","",IF(I441="ENTRADA",ABS(J441),-ABS(J441)))</f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703</v>
      </c>
      <c r="H442" s="20" t="str">
        <f>+T442</f>
        <v/>
      </c>
      <c r="J442" s="30"/>
      <c r="K442" s="22" t="str">
        <f>IF(I442="","",IF(I442="ENTRADA",ABS(J442),-ABS(J442)))</f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704</v>
      </c>
      <c r="H443" s="20" t="str">
        <f>+T443</f>
        <v/>
      </c>
      <c r="J443" s="30"/>
      <c r="K443" s="22" t="str">
        <f>IF(I443="","",IF(I443="ENTRADA",ABS(J443),-ABS(J443)))</f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705</v>
      </c>
      <c r="H444" s="20" t="str">
        <f>+T444</f>
        <v/>
      </c>
      <c r="J444" s="30"/>
      <c r="K444" s="22" t="str">
        <f>IF(I444="","",IF(I444="ENTRADA",ABS(J444),-ABS(J444)))</f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706</v>
      </c>
      <c r="H445" s="20" t="str">
        <f>+T445</f>
        <v/>
      </c>
      <c r="J445" s="30"/>
      <c r="K445" s="22" t="str">
        <f>IF(I445="","",IF(I445="ENTRADA",ABS(J445),-ABS(J445)))</f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707</v>
      </c>
      <c r="H446" s="20" t="str">
        <f>+T446</f>
        <v/>
      </c>
      <c r="J446" s="30"/>
      <c r="K446" s="22" t="str">
        <f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708</v>
      </c>
      <c r="H447" s="20" t="str">
        <f>+T447</f>
        <v/>
      </c>
      <c r="J447" s="30"/>
      <c r="K447" s="22" t="str">
        <f>IF(I447="","",IF(I447="ENTRADA",ABS(J447),-ABS(J447)))</f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709</v>
      </c>
      <c r="H448" s="20" t="str">
        <f>+T448</f>
        <v/>
      </c>
      <c r="J448" s="30"/>
      <c r="K448" s="22" t="str">
        <f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710</v>
      </c>
      <c r="H449" s="20" t="str">
        <f>+T449</f>
        <v/>
      </c>
      <c r="J449" s="30"/>
      <c r="K449" s="22" t="str">
        <f>IF(I449="","",IF(I449="ENTRADA",ABS(J449),-ABS(J449)))</f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711</v>
      </c>
      <c r="H450" s="20" t="str">
        <f>+T450</f>
        <v/>
      </c>
      <c r="J450" s="30"/>
      <c r="K450" s="22" t="str">
        <f>IF(I450="","",IF(I450="ENTRADA",ABS(J450),-ABS(J450)))</f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712</v>
      </c>
      <c r="H451" s="20" t="str">
        <f>+T451</f>
        <v/>
      </c>
      <c r="J451" s="30"/>
      <c r="K451" s="22" t="str">
        <f>IF(I451="","",IF(I451="ENTRADA",ABS(J451),-ABS(J451)))</f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713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>IF(I452="","",IF(I452="ENTRADA",ABS(J452),-ABS(J452)))</f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714</v>
      </c>
      <c r="H453" s="20" t="str">
        <f>+T453</f>
        <v/>
      </c>
      <c r="J453" s="30"/>
      <c r="K453" s="22" t="str">
        <f>IF(I453="","",IF(I453="ENTRADA",ABS(J453),-ABS(J453)))</f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715</v>
      </c>
      <c r="H454" s="20" t="str">
        <f>+T454</f>
        <v/>
      </c>
      <c r="J454" s="30"/>
      <c r="K454" s="22" t="str">
        <f>IF(I454="","",IF(I454="ENTRADA",ABS(J454),-ABS(J454)))</f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716</v>
      </c>
      <c r="H455" s="20" t="str">
        <f>+T455</f>
        <v/>
      </c>
      <c r="J455" s="30"/>
      <c r="K455" s="22" t="str">
        <f>IF(I455="","",IF(I455="ENTRADA",ABS(J455),-ABS(J455)))</f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717</v>
      </c>
      <c r="H456" s="20" t="str">
        <f>+T456</f>
        <v/>
      </c>
      <c r="J456" s="30"/>
      <c r="K456" s="22" t="str">
        <f>IF(I456="","",IF(I456="ENTRADA",ABS(J456),-ABS(J456)))</f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718</v>
      </c>
      <c r="H457" s="20" t="str">
        <f>+T457</f>
        <v/>
      </c>
      <c r="J457" s="30"/>
      <c r="K457" s="22" t="str">
        <f>IF(I457="","",IF(I457="ENTRADA",ABS(J457),-ABS(J457)))</f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719</v>
      </c>
      <c r="H458" s="20" t="str">
        <f>+T458</f>
        <v/>
      </c>
      <c r="J458" s="30"/>
      <c r="K458" s="22" t="str">
        <f>IF(I458="","",IF(I458="ENTRADA",ABS(J458),-ABS(J458)))</f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720</v>
      </c>
      <c r="H459" s="20" t="str">
        <f>+T459</f>
        <v/>
      </c>
      <c r="J459" s="30"/>
      <c r="K459" s="22" t="str">
        <f>IF(I459="","",IF(I459="ENTRADA",ABS(J459),-ABS(J459)))</f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721</v>
      </c>
      <c r="H460" s="20" t="str">
        <f>+T460</f>
        <v/>
      </c>
      <c r="J460" s="30"/>
      <c r="K460" s="22" t="str">
        <f>IF(I460="","",IF(I460="ENTRADA",ABS(J460),-ABS(J460)))</f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722</v>
      </c>
      <c r="H461" s="20" t="str">
        <f>+T461</f>
        <v/>
      </c>
      <c r="J461" s="30"/>
      <c r="K461" s="22" t="str">
        <f>IF(I461="","",IF(I461="ENTRADA",ABS(J461),-ABS(J461)))</f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723</v>
      </c>
      <c r="H462" s="20" t="str">
        <f>+T462</f>
        <v/>
      </c>
      <c r="J462" s="30"/>
      <c r="K462" s="22" t="str">
        <f>IF(I462="","",IF(I462="ENTRADA",ABS(J462),-ABS(J462)))</f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724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>IF(I463="","",IF(I463="ENTRADA",ABS(J463),-ABS(J463)))</f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725</v>
      </c>
      <c r="H464" s="20" t="str">
        <f>+T464</f>
        <v/>
      </c>
      <c r="J464" s="30"/>
      <c r="K464" s="22" t="str">
        <f>IF(I464="","",IF(I464="ENTRADA",ABS(J464),-ABS(J464)))</f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726</v>
      </c>
      <c r="H465" s="20" t="str">
        <f>+T465</f>
        <v/>
      </c>
      <c r="J465" s="30"/>
      <c r="K465" s="22" t="str">
        <f>IF(I465="","",IF(I465="ENTRADA",ABS(J465),-ABS(J465)))</f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727</v>
      </c>
      <c r="H466" s="20" t="str">
        <f>+T466</f>
        <v/>
      </c>
      <c r="J466" s="30"/>
      <c r="K466" s="22" t="str">
        <f>IF(I466="","",IF(I466="ENTRADA",ABS(J466),-ABS(J466)))</f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728</v>
      </c>
      <c r="H467" s="20" t="str">
        <f>+T467</f>
        <v/>
      </c>
      <c r="J467" s="30"/>
      <c r="K467" s="22" t="str">
        <f>IF(I467="","",IF(I467="ENTRADA",ABS(J467),-ABS(J467)))</f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729</v>
      </c>
      <c r="H468" s="20" t="str">
        <f>+T468</f>
        <v/>
      </c>
      <c r="J468" s="30"/>
      <c r="K468" s="22" t="str">
        <f>IF(I468="","",IF(I468="ENTRADA",ABS(J468),-ABS(J468)))</f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730</v>
      </c>
      <c r="H469" s="20" t="str">
        <f>+T469</f>
        <v/>
      </c>
      <c r="J469" s="30"/>
      <c r="K469" s="22" t="str">
        <f>IF(I469="","",IF(I469="ENTRADA",ABS(J469),-ABS(J469)))</f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731</v>
      </c>
      <c r="H470" s="20" t="str">
        <f>+T470</f>
        <v/>
      </c>
      <c r="J470" s="30"/>
      <c r="K470" s="22" t="str">
        <f>IF(I470="","",IF(I470="ENTRADA",ABS(J470),-ABS(J470)))</f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732</v>
      </c>
      <c r="H471" s="20" t="str">
        <f>+T471</f>
        <v/>
      </c>
      <c r="J471" s="30"/>
      <c r="K471" s="22" t="str">
        <f>IF(I471="","",IF(I471="ENTRADA",ABS(J471),-ABS(J471)))</f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733</v>
      </c>
      <c r="H472" s="20" t="str">
        <f>+T472</f>
        <v/>
      </c>
      <c r="J472" s="30"/>
      <c r="K472" s="22" t="str">
        <f>IF(I472="","",IF(I472="ENTRADA",ABS(J472),-ABS(J472)))</f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734</v>
      </c>
      <c r="H473" s="20" t="str">
        <f>+T473</f>
        <v/>
      </c>
      <c r="J473" s="30"/>
      <c r="K473" s="22" t="str">
        <f>IF(I473="","",IF(I473="ENTRADA",ABS(J473),-ABS(J473)))</f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735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>IF(I474="","",IF(I474="ENTRADA",ABS(J474),-ABS(J474)))</f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736</v>
      </c>
      <c r="H475" s="20" t="str">
        <f>+T475</f>
        <v/>
      </c>
      <c r="J475" s="30"/>
      <c r="K475" s="22" t="str">
        <f>IF(I475="","",IF(I475="ENTRADA",ABS(J475),-ABS(J475)))</f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737</v>
      </c>
      <c r="H476" s="20" t="str">
        <f>+T476</f>
        <v/>
      </c>
      <c r="J476" s="30"/>
      <c r="K476" s="22" t="str">
        <f>IF(I476="","",IF(I476="ENTRADA",ABS(J476),-ABS(J476)))</f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738</v>
      </c>
      <c r="H477" s="20" t="str">
        <f>+T477</f>
        <v/>
      </c>
      <c r="J477" s="30"/>
      <c r="K477" s="22" t="str">
        <f>IF(I477="","",IF(I477="ENTRADA",ABS(J477),-ABS(J477)))</f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739</v>
      </c>
      <c r="H478" s="20" t="str">
        <f>+T478</f>
        <v/>
      </c>
      <c r="J478" s="30"/>
      <c r="K478" s="22" t="str">
        <f>IF(I478="","",IF(I478="ENTRADA",ABS(J478),-ABS(J478)))</f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740</v>
      </c>
      <c r="H479" s="20" t="str">
        <f>+T479</f>
        <v/>
      </c>
      <c r="J479" s="30"/>
      <c r="K479" s="22" t="str">
        <f>IF(I479="","",IF(I479="ENTRADA",ABS(J479),-ABS(J479)))</f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741</v>
      </c>
      <c r="H480" s="20" t="str">
        <f>+T480</f>
        <v/>
      </c>
      <c r="J480" s="30"/>
      <c r="K480" s="22" t="str">
        <f>IF(I480="","",IF(I480="ENTRADA",ABS(J480),-ABS(J480)))</f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742</v>
      </c>
      <c r="H481" s="20" t="str">
        <f>+T481</f>
        <v/>
      </c>
      <c r="J481" s="30"/>
      <c r="K481" s="22" t="str">
        <f>IF(I481="","",IF(I481="ENTRADA",ABS(J481),-ABS(J481)))</f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743</v>
      </c>
      <c r="H482" s="20" t="str">
        <f>+T482</f>
        <v/>
      </c>
      <c r="J482" s="30"/>
      <c r="K482" s="22" t="str">
        <f>IF(I482="","",IF(I482="ENTRADA",ABS(J482),-ABS(J482)))</f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744</v>
      </c>
      <c r="H483" s="20" t="str">
        <f>+T483</f>
        <v/>
      </c>
      <c r="J483" s="30"/>
      <c r="K483" s="22" t="str">
        <f>IF(I483="","",IF(I483="ENTRADA",ABS(J483),-ABS(J483)))</f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745</v>
      </c>
      <c r="H484" s="20" t="str">
        <f>+T484</f>
        <v/>
      </c>
      <c r="J484" s="30"/>
      <c r="K484" s="22" t="str">
        <f>IF(I484="","",IF(I484="ENTRADA",ABS(J484),-ABS(J484)))</f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746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>IF(I485="","",IF(I485="ENTRADA",ABS(J485),-ABS(J485)))</f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747</v>
      </c>
      <c r="H486" s="20" t="str">
        <f>+T486</f>
        <v/>
      </c>
      <c r="J486" s="30"/>
      <c r="K486" s="22" t="str">
        <f>IF(I486="","",IF(I486="ENTRADA",ABS(J486),-ABS(J486)))</f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748</v>
      </c>
      <c r="H487" s="20" t="str">
        <f>+T487</f>
        <v/>
      </c>
      <c r="J487" s="30"/>
      <c r="K487" s="22" t="str">
        <f>IF(I487="","",IF(I487="ENTRADA",ABS(J487),-ABS(J487)))</f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749</v>
      </c>
      <c r="H488" s="20" t="str">
        <f>+T488</f>
        <v/>
      </c>
      <c r="J488" s="30"/>
      <c r="K488" s="22" t="str">
        <f>IF(I488="","",IF(I488="ENTRADA",ABS(J488),-ABS(J488)))</f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750</v>
      </c>
      <c r="H489" s="20" t="str">
        <f>+T489</f>
        <v/>
      </c>
      <c r="J489" s="30"/>
      <c r="K489" s="22" t="str">
        <f>IF(I489="","",IF(I489="ENTRADA",ABS(J489),-ABS(J489)))</f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751</v>
      </c>
      <c r="H490" s="20" t="str">
        <f>+T490</f>
        <v/>
      </c>
      <c r="J490" s="30"/>
      <c r="K490" s="22" t="str">
        <f>IF(I490="","",IF(I490="ENTRADA",ABS(J490),-ABS(J490)))</f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752</v>
      </c>
      <c r="H491" s="20" t="str">
        <f>+T491</f>
        <v/>
      </c>
      <c r="J491" s="30"/>
      <c r="K491" s="22" t="str">
        <f>IF(I491="","",IF(I491="ENTRADA",ABS(J491),-ABS(J491)))</f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753</v>
      </c>
      <c r="H492" s="20" t="str">
        <f>+T492</f>
        <v/>
      </c>
      <c r="J492" s="30"/>
      <c r="K492" s="22" t="str">
        <f>IF(I492="","",IF(I492="ENTRADA",ABS(J492),-ABS(J492)))</f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754</v>
      </c>
      <c r="H493" s="20" t="str">
        <f>+T493</f>
        <v/>
      </c>
      <c r="J493" s="30"/>
      <c r="K493" s="22" t="str">
        <f>IF(I493="","",IF(I493="ENTRADA",ABS(J493),-ABS(J493)))</f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755</v>
      </c>
      <c r="H494" s="20" t="str">
        <f>+T494</f>
        <v/>
      </c>
      <c r="J494" s="30"/>
      <c r="K494" s="22" t="str">
        <f>IF(I494="","",IF(I494="ENTRADA",ABS(J494),-ABS(J494)))</f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756</v>
      </c>
      <c r="H495" s="20" t="str">
        <f>+T495</f>
        <v/>
      </c>
      <c r="J495" s="30"/>
      <c r="K495" s="22" t="str">
        <f>IF(I495="","",IF(I495="ENTRADA",ABS(J495),-ABS(J495)))</f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757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>IF(I496="","",IF(I496="ENTRADA",ABS(J496),-ABS(J496)))</f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758</v>
      </c>
      <c r="H497" s="20" t="str">
        <f>+T497</f>
        <v/>
      </c>
      <c r="J497" s="30"/>
      <c r="K497" s="22" t="str">
        <f>IF(I497="","",IF(I497="ENTRADA",ABS(J497),-ABS(J497)))</f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759</v>
      </c>
      <c r="H498" s="20" t="str">
        <f>+T498</f>
        <v/>
      </c>
      <c r="J498" s="30"/>
      <c r="K498" s="22" t="str">
        <f>IF(I498="","",IF(I498="ENTRADA",ABS(J498),-ABS(J498)))</f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760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761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762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763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764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765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766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767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768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>IF(I507="","",IF(I507="ENTRADA",ABS(J507),-ABS(J507)))</f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769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770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771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772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773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774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775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776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777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778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779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>IF(I518="","",IF(I518="ENTRADA",ABS(J518),-ABS(J518)))</f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780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781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782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783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784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785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786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787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788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789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790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>IF(I529="","",IF(I529="ENTRADA",ABS(J529),-ABS(J529)))</f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791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792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793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794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795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796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797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798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799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800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801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>IF(I540="","",IF(I540="ENTRADA",ABS(J540),-ABS(J540)))</f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802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803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804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805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806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807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808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809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810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811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812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>IF(I551="","",IF(I551="ENTRADA",ABS(J551),-ABS(J551)))</f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813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814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815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816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817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818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819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820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821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822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823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>IF(I562="","",IF(I562="ENTRADA",ABS(J562),-ABS(J562)))</f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824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825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826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827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828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829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830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831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832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833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834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>IF(I573="","",IF(I573="ENTRADA",ABS(J573),-ABS(J573)))</f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835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836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837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838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839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840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841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842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843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844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845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>IF(I584="","",IF(I584="ENTRADA",ABS(J584),-ABS(J584)))</f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846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847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848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849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850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851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852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853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854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855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856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>IF(I595="","",IF(I595="ENTRADA",ABS(J595),-ABS(J595)))</f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857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858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859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860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861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862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863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864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865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866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867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>IF(I606="","",IF(I606="ENTRADA",ABS(J606),-ABS(J606)))</f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868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869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870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871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872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873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874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875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876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877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878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>IF(I617="","",IF(I617="ENTRADA",ABS(J617),-ABS(J617)))</f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879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880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881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882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883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884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885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886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887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888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889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>IF(I628="","",IF(I628="ENTRADA",ABS(J628),-ABS(J628)))</f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890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891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892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893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894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895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896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897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898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899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900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>IF(I639="","",IF(I639="ENTRADA",ABS(J639),-ABS(J639)))</f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901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902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903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904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905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906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907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908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909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910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911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>IF(I650="","",IF(I650="ENTRADA",ABS(J650),-ABS(J650)))</f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912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913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914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915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916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917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918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919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920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921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922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>IF(I661="","",IF(I661="ENTRADA",ABS(J661),-ABS(J661)))</f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923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924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925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926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927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928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929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930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931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932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933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>IF(I672="","",IF(I672="ENTRADA",ABS(J672),-ABS(J672)))</f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934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935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936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937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938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939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940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941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942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943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944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>IF(I683="","",IF(I683="ENTRADA",ABS(J683),-ABS(J683)))</f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945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946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947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948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949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950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951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952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953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954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955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>IF(I694="","",IF(I694="ENTRADA",ABS(J694),-ABS(J694)))</f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956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957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958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959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960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961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962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963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964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965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966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>IF(I705="","",IF(I705="ENTRADA",ABS(J705),-ABS(J705)))</f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967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968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969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970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971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972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973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974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975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976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977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>IF(I716="","",IF(I716="ENTRADA",ABS(J716),-ABS(J716)))</f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978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979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980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981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982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983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984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985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986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987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988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>IF(I727="","",IF(I727="ENTRADA",ABS(J727),-ABS(J727)))</f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989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990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991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992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993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994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995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996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997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998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999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>IF(I738="","",IF(I738="ENTRADA",ABS(J738),-ABS(J738)))</f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1000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1001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1002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1003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1004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1005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1006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1007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1008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1009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1010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>IF(I749="","",IF(I749="ENTRADA",ABS(J749),-ABS(J749)))</f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1011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1012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1013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1014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1015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1016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1017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1018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1019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1020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1021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>IF(I760="","",IF(I760="ENTRADA",ABS(J760),-ABS(J760)))</f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1022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1023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1024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1025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1026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1027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1028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1029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1030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1031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1032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>IF(I771="","",IF(I771="ENTRADA",ABS(J771),-ABS(J771)))</f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1033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1034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1035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1036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1037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1038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1039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1040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1041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1042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1043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>IF(I782="","",IF(I782="ENTRADA",ABS(J782),-ABS(J782)))</f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1044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1045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1046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1047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1048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1049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1050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1051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1052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1053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1054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>IF(I793="","",IF(I793="ENTRADA",ABS(J793),-ABS(J793)))</f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1055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1056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1057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1058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1059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1060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1061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1062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1063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1064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1065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>IF(I804="","",IF(I804="ENTRADA",ABS(J804),-ABS(J804)))</f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1066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1067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1068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1069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1070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1071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1072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1073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1074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1075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1076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>IF(I815="","",IF(I815="ENTRADA",ABS(J815),-ABS(J815)))</f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1077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1078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1079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1080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1081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1082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1083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1084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1085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1086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1087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>IF(I826="","",IF(I826="ENTRADA",ABS(J826),-ABS(J826)))</f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1088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1089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1090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1091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1092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1093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1094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1095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1096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1097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1098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>IF(I837="","",IF(I837="ENTRADA",ABS(J837),-ABS(J837)))</f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1099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1100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1101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1102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1103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1104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1105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1106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1107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1108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1109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>IF(I848="","",IF(I848="ENTRADA",ABS(J848),-ABS(J848)))</f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1110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1111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1112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1113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1114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1115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1116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1117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1118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1119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1120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>IF(I859="","",IF(I859="ENTRADA",ABS(J859),-ABS(J859)))</f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1121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1122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1123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1124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1125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1126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1127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1128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1129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1130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1131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>IF(I870="","",IF(I870="ENTRADA",ABS(J870),-ABS(J870)))</f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1132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1133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1134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1135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1136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1137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1138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1139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1140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1141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1142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>IF(I881="","",IF(I881="ENTRADA",ABS(J881),-ABS(J881)))</f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1143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1144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1145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1146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1147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1148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1149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1150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1151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1152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1153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>IF(I892="","",IF(I892="ENTRADA",ABS(J892),-ABS(J892)))</f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1154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1155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1156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1157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1158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1159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1160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1161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1162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1163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1164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>IF(I903="","",IF(I903="ENTRADA",ABS(J903),-ABS(J903)))</f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1165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1166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1167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1168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1169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1170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1171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1172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1173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1174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1175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>IF(I914="","",IF(I914="ENTRADA",ABS(J914),-ABS(J914)))</f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1176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1177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1178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1179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1180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1181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1182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1183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1184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1185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1186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>IF(I925="","",IF(I925="ENTRADA",ABS(J925),-ABS(J925)))</f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1187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1188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1189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1190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1191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1192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1193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1194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1195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1196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1197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>IF(I936="","",IF(I936="ENTRADA",ABS(J936),-ABS(J936)))</f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1198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1199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1200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1201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1202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1203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1204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1205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1206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1207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1208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>IF(I947="","",IF(I947="ENTRADA",ABS(J947),-ABS(J947)))</f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1209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1210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1211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1212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1213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1214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1215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1216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1217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1218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1219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1220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1221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1222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1223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1224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1225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1226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1227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1228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1229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1230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>IF(I969="","",IF(I969="ENTRADA",ABS(J969),-ABS(J969)))</f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1231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1232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1233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1234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1235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1236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1237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1238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1239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1240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1241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>IF(I980="","",IF(I980="ENTRADA",ABS(J980),-ABS(J980)))</f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1242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1243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1244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1245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1246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1247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1248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1249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1250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1251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1252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>IF(I991="","",IF(I991="ENTRADA",ABS(J991),-ABS(J991)))</f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1253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1254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1255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1256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1257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1258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1259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1260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1261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1262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1263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>IF(I1002="","",IF(I1002="ENTRADA",ABS(J1002),-ABS(J1002)))</f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1264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1265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1266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1267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1268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1269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1270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1271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1272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1273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1274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>IF(I1013="","",IF(I1013="ENTRADA",ABS(J1013),-ABS(J1013)))</f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1275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1276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1277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1278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1279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1280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1281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1282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1283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1284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1285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>IF(I1024="","",IF(I1024="ENTRADA",ABS(J1024),-ABS(J1024)))</f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1286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1287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1288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1289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1290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1291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1292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1293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1294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1295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1296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>IF(I1035="","",IF(I1035="ENTRADA",ABS(J1035),-ABS(J1035)))</f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1297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1298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1299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1300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1301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1302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1303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1304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1305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1306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1307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>IF(I1046="","",IF(I1046="ENTRADA",ABS(J1046),-ABS(J1046)))</f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1308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1309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1310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1311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1312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1313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1314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1315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1316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1317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1318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>IF(I1057="","",IF(I1057="ENTRADA",ABS(J1057),-ABS(J1057)))</f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1319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1320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1321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1322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1323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1324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1325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1326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1327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1328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1329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>IF(I1068="","",IF(I1068="ENTRADA",ABS(J1068),-ABS(J1068)))</f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1330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1331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1332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1333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1334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1335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1336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1337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1338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1339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1340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>IF(I1079="","",IF(I1079="ENTRADA",ABS(J1079),-ABS(J1079)))</f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1341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1342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1343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1344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1345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1346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1347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1348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1349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1350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1351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>IF(I1090="","",IF(I1090="ENTRADA",ABS(J1090),-ABS(J1090)))</f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1352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1353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1354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1355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1356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1357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1358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1359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1360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1361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1362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>IF(I1101="","",IF(I1101="ENTRADA",ABS(J1101),-ABS(J1101)))</f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1363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1364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1365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1366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1367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1368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1369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1370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1371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1372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1373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>IF(I1112="","",IF(I1112="ENTRADA",ABS(J1112),-ABS(J1112)))</f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1374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1375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1376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1377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1378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1379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1380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1381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1382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1383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1384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>IF(I1123="","",IF(I1123="ENTRADA",ABS(J1123),-ABS(J1123)))</f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1385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1386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1387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1388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1389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1390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1391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1392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1393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1394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1395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>IF(I1134="","",IF(I1134="ENTRADA",ABS(J1134),-ABS(J1134)))</f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1396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1397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1398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1399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1400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1401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1402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1403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1404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1405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1406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>IF(I1145="","",IF(I1145="ENTRADA",ABS(J1145),-ABS(J1145)))</f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1407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1408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1409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1410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1411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1412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1413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1414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1415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1416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1417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>IF(I1156="","",IF(I1156="ENTRADA",ABS(J1156),-ABS(J1156)))</f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1418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1419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1420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1421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1422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1423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1424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1425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1426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1427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1428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>IF(I1167="","",IF(I1167="ENTRADA",ABS(J1167),-ABS(J1167)))</f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1429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1430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1431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1432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1433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1434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1435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1436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1437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1438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1439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>IF(I1178="","",IF(I1178="ENTRADA",ABS(J1178),-ABS(J1178)))</f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1440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1441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1442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1443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1444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1445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1446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1447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1448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1449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1450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>IF(I1189="","",IF(I1189="ENTRADA",ABS(J1189),-ABS(J1189)))</f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1451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1452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1453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1454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1455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1456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1457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1458</v>
      </c>
      <c r="H1197" s="34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1459</v>
      </c>
      <c r="H1198" s="34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1460</v>
      </c>
      <c r="H1199" s="34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1461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>IF(I1200="","",IF(I1200="ENTRADA",ABS(J1200),-ABS(J1200)))</f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1462</v>
      </c>
      <c r="H1201" s="34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1463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1464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1465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1466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1467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1468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1469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1470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1471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1472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1473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1474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1475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1476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1477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1478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1479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1480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1481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1482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1483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1484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1485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1486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1487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1488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1489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1490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1491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1492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1493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1494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1495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1496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1497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1498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1499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1500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1501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1502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1503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1504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1505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1506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1507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1508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1509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1510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1511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1512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1513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1514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1515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1516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1517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1518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1519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1520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1521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1522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1523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1524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1525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1526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1527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1528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1529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1530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1531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1532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1533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1534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1535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1536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1537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1538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1539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1540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1541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1542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1543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1544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1545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1546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1547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1548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1549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1550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1551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1552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1553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1554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1555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1556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1557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1558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1559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1560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1561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1562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1563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1564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1565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1566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1567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1568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1569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1570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1571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1572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1573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1574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1575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1576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1577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1578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1579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1580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1581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1582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1583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1584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1585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1586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1587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1588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1589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1590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1591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1592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1593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1594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1595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1596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1597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1598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1599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1600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1601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1602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1603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1604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1605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1606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1607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1608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1609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1610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1611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1612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1613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1614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1615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1616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1617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1618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1619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1620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1621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1622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1623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1624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1625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1626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1627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1628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1629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1630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1631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1632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1633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1634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1635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1636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1637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1638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1639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1640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1641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1642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1643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1644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1645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1646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1647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1648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1649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1650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1651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1652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1653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1654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1655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1656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1657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1658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1659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1660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1661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1662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1663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1664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1665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1666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1667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1668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1669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1670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1671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1672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1673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1674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1675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1676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1677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1678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1679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1680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1681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1682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1683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1684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1685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1686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1687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1688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1689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1690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1691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1692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1693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1694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1695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1696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1697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1698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1699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1700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1701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1702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1703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1704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1705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1706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1707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1708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1709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1710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1711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1712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1713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1714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1715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1716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1717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1718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1719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1720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1721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1722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1723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1724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1725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1726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1727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1728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1729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1730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1731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1732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1733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1734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1735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1736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1737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1738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1739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1740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1741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1742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1743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1744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1745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1746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1747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1748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1749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1750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1751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1752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1753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1754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1755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1756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1757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1758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1759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1760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1761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1762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1763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1764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1765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1766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1767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1768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1769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1770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1771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1772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1773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1774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1775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1776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1777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1778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1779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1780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1781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1782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1783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1784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1785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1786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1787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1788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1789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1790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1791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1792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1793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1794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1795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1796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1797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1798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1799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1800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1801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1802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1803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1804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1805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1806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1807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1808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1809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1810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1811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1812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1813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1814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1815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1816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1817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1818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1819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1820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1821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1822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1823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1824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1825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1826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1827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1828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1829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1830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1831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1832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1833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1834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1835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1836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1837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1838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1839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1840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1841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1842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1843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1844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1845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1846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1847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1848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1849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1850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1851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1852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1853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1854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1855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1856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1857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1858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1859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1860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1861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1862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1863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1864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1865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1866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1867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1868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1869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1870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1871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1872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1873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1874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1875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1876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1877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1878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1879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1880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1881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1882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1883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1884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1885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1886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1887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1888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1889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1890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1891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1892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1893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1894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1895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1896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1897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1898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1899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1900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1901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1902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1903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1904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1905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1906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1907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1908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1909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1910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1911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1912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1913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1914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1915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1916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1917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1918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1919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1920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1921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1922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1923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1924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1925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1926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1927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1928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1929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1930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1931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1932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1933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1934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1935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1936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1937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1938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1939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1940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1941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1942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1943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1944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1945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1946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1947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1948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1949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1950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1951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1952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1953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1954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1955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1956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1957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1958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1959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1960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1961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1962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1963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1964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1965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1966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1967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1968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1969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1970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1971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1972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1973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1974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1975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1976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1977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1978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1979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1980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1981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1982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1983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1984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1985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1986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1987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1988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1989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1990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1991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1992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1993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1994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1995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1996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1997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1998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1999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2000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2001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2002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2003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2004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2005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2006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2007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2008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2009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2010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2011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2012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2013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2014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2015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2016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2017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2018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2019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2020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2021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2022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2023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2024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2025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2026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2027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2028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2029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2030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2031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2032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2033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2034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2035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2036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2037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2038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2039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2040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2041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2042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2043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2044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2045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2046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2047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2048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2049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2050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2051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2052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2053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2054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2055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2056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2057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2058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2059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2060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2061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2062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2063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2064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2065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2066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2067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2068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2069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2070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2071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2072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2073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2074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2075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2076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2077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2078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2079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2080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2081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2082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2083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2084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2085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2086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2087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2088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2089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2090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2091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2092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2093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2094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2095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2096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2097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2098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2099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2100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2101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2102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2103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2104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2105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2106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2107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2108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2109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2110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2111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2112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2113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2114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2115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2116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2117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2118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2119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2120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2121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2122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2123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2124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2125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2126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2127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2128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2129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2130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2131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2132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2133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2134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2135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2136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2137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2138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2139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2140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2141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2142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2143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2144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2145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2146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2147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2148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2149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2150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2151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2152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2153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2154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2155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2156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2157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2158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2159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2160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2161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2162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2163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2164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2165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2166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2167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2168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2169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2170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2171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2172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2173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2174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2175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2176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2177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2178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2179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2180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2181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2182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2183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2184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2185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2186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2187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2188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2189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2190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2191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2192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2193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2194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2195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2196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2197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2198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2199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2200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2201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2202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2203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2204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2205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2206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2207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2208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2209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2210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2211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2212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2213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2214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2215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2216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2217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2218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2219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2220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2221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2222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2223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2224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2225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2226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2227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2228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2229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2230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2231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2232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2233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2234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2235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2236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2237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2238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2239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2240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2241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2242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2243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2244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2245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2246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2247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2248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2249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2250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2251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2252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2253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2254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2255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2256</v>
      </c>
      <c r="H1995" s="42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2257</v>
      </c>
      <c r="H1996" s="42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2258</v>
      </c>
      <c r="H1997" s="42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2259</v>
      </c>
      <c r="H1998" s="42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2260</v>
      </c>
      <c r="H1999" s="42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2261</v>
      </c>
      <c r="H2000" s="42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>IF(C11996="","",UPPER(LEFT(SUBSTITUTE(C11996," ",""),3))&amp;"-"&amp;TEXT(B11996,"AAMMDD")&amp;"-1")</f>
        <v/>
      </c>
    </row>
    <row r="11997" spans="2:20">
      <c r="B11997" s="48"/>
      <c r="T11997" t="str">
        <f>IF(C11997="","",UPPER(LEFT(SUBSTITUTE(C11997," ",""),3))&amp;"-"&amp;TEXT(B11997,"AAMMDD")&amp;"-1")</f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L219:P498 Q3:Q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7" activePane="bottomLeft" state="frozen"/>
      <selection pane="bottomLeft" activeCell="B54" sqref="B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2262</v>
      </c>
      <c r="B1" s="23" t="s">
        <v>2263</v>
      </c>
      <c r="C1" s="23" t="s">
        <v>2264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2265</v>
      </c>
      <c r="I1" s="18" t="s">
        <v>2266</v>
      </c>
      <c r="J1" s="18" t="s">
        <v>2267</v>
      </c>
      <c r="K1" s="18" t="s">
        <v>2268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478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268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296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2269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529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285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211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505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493</v>
      </c>
      <c r="J11" s="5">
        <f>IF(A11="","",SUMIFS(Movimientos!$K:$K,Movimientos!$H:$H,A11))</f>
        <v>10920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277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165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460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521</v>
      </c>
      <c r="J18" s="5">
        <f>IF(A18="","",SUMIFS(Movimientos!$K:$K,Movimientos!$H:$H,A18))</f>
        <v>12610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429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581</v>
      </c>
      <c r="J20" s="5">
        <f>IF(A20="","",SUMIFS(Movimientos!$K:$K,Movimientos!$H:$H,A20))</f>
        <v>2470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429</v>
      </c>
      <c r="J21" s="5">
        <f>IF(A21="","",SUMIFS(Movimientos!$K:$K,Movimientos!$H:$H,A21))</f>
        <v>828</v>
      </c>
      <c r="K21" s="13" t="str">
        <f t="shared" ca="1" si="1"/>
        <v>OK</v>
      </c>
    </row>
    <row r="22" spans="1:11">
      <c r="A22" s="16" t="s">
        <v>469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156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187</v>
      </c>
      <c r="J23" s="5">
        <f>IF(A23="","",SUMIFS(Movimientos!$K:$K,Movimientos!$H:$H,A23))</f>
        <v>180</v>
      </c>
      <c r="K23" s="13" t="str">
        <f t="shared" ca="1" si="1"/>
        <v>OK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-58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2270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1342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569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2271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18340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402</v>
      </c>
      <c r="J50" s="5">
        <f>IF(A50="","",SUMIFS(Movimientos!$K:$K,Movimientos!$H:$H,A50))</f>
        <v>-20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244</v>
      </c>
      <c r="J51" s="5">
        <f>IF(A51="","",SUMIFS(Movimientos!$K:$K,Movimientos!$H:$H,A51))</f>
        <v>1570</v>
      </c>
      <c r="K51" s="13" t="str">
        <f t="shared" ca="1" si="1"/>
        <v>OK</v>
      </c>
    </row>
    <row r="52" spans="1:11">
      <c r="A52" s="16" t="s">
        <v>551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866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2272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337</v>
      </c>
      <c r="J55" s="5">
        <f>IF(A55="","",SUMIFS(Movimientos!$K:$K,Movimientos!$H:$H,A55))</f>
        <v>105</v>
      </c>
      <c r="K55" s="13" t="str">
        <f t="shared" ca="1" si="1"/>
        <v>OK</v>
      </c>
    </row>
    <row r="56" spans="1:11">
      <c r="A56" s="16" t="s">
        <v>2273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352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2274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2275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2276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2277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2278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2279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2280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2281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2282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2283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2284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2285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2286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2287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2288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2289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2290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2291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2292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2293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2294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2295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2296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2297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2298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2299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2300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2301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2302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2303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2304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2305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2306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2307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2308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2309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2310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2311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2312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2313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2314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2315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2316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2317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2318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2319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2320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2321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2322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2323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2324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2325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2326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2327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2328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2329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2330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2331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2332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2333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2334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2335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2336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2337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2338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2339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2340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2341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2342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2343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2344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2345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2346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2347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2348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2349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2350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2351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2352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2353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2354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2355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2356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2357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2358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2359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2360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2361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2362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2363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2364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2365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2366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2367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2368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2369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2370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2371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2372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2373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2374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2375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2376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2377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2378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2379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2380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2381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2382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2383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2384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2385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2386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2387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2388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2389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2390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2391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2392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2393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2394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2395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2396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2397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2398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2399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2400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2401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2402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2403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2404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2405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2406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2407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2408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2409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2410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2411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2412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2413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2414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2415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2416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2417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2418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2419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2420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2421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2422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2423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2424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2425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2426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2427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2428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2429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2430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2431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2432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2433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2434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2435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2436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2437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2438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2439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2440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2441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2442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2443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2444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2445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2446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2447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2448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2449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2450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2451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2452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2453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2454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2455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2456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2457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2458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2459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2460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2461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2462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2463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2464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2465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2466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2467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2468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2469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2470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2471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2472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2473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2474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2475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2476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2477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2478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2479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2480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2481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2482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2483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2484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2485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2486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2487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2488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2489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2490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2491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2492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2493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2494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2495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2496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2497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2498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2499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2500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2501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2502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2503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2504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2505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2506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2507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2508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2509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2510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2511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2512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2513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2514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2515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2516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2517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2518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2519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2520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2521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2522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2523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2524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2525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2526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2527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2528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2529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2530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2531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2532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2533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2534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2535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2536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2537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2538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2539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2540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2541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2542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2543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2544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2545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2546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2547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2548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2549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2550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2551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2552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2553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2554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2555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2556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2557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2558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2559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2560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2561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2562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2563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2564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2565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2566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2567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2568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2569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2570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2571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2572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2573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2574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2575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2576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2577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2578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2579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2580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2581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2582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2583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2584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2585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2586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2587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2588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2589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2590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2591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2592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2593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2594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2595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2596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2597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2598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2599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2600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2601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2602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2603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2604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2605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2606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2607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2608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2609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2610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2611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2612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2613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2614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2615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2616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2617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2618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2619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2620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2621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2622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2623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2624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2625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2626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2627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2628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2629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2630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2631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2632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2633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2634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2635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2636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2637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2638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2639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2640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2641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2642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2643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2644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2645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2646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2647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2648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2649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2650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2651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2652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2653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2654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2655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2656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2657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2658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2659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2660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2661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2662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2663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2664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2665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2666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2667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2668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2669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2670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2671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2672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2673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2674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2675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2676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2677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2678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2679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2680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2681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2682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2683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2684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2685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2686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2687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2688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2689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2690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2691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2692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2693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2694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2695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2696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2697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2698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2699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2700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2701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2702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2703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2704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2705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2706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2707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2708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2709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2710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2711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2712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2713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2714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2715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2716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2717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2718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2719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2720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2721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2722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2723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2724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2725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2726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2727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2728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2729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2730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2731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2732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2733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2734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2735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2736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2737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2738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2739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2740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2741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2742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2743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2744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2745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2746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2747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2748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2749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2750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2751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2752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2753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2754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2755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2756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2757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2758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2759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2760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2761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2762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2763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2764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2765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2766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2767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2768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2769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2770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2771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2772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2773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2774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2775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2776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2777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2778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2779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2780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2781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2782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2783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2784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2785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2786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2787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2788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2789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2790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2791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2792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2793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2794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2795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2796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2797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2798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2799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2800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2801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2802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2803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2804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2805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2806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2807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2808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2809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2810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2811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2812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2813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2814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2815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2816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2817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2818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2819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2820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2821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2822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2823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2824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2825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2826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2827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2828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2829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2830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2831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2832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2833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2834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2835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2836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2837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2838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2839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2840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2841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2842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2843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2844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2845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2846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2847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2848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2849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2850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2851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2852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2853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2854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2855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2856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2857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2858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2859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2860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2861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2862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2863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2864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2865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2866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2867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2868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2869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2870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2871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2872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2873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2874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2875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2876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2877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2878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2879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2880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2881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2882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2883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2884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2885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2886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2887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2888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2889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2890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2891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2892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2893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2894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2895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2896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2897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2898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2899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2900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2901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2902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2903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2904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2905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2906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2907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2908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2909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2910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2911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2912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2913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2914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2915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2916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2917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2918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2919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2920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2921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2922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2923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2924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2925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2926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2927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2928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2929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2930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2931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2932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2933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2934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2935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2936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2937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2938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2939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2940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2941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2942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2943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2944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2945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2946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2947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2948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2949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2950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2951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2952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2953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2954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2955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2956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2957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2958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2959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2960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2961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2962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2963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2964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2965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2966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2967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2968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2969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2970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2971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2972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2973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2974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2975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2976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2977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2978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2979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2980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2981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2982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2983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2984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2985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2986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2987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2988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2989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2990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2991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2992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2993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2994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2995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2996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2997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2998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2999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3000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3001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3002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3003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3004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3005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3006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3007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3008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3009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3010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3011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3012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3013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3014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3015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3016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3017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3018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3019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3020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3021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3022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3023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3024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3025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3026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3027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3028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3029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3030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3031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3032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3033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3034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3035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3036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3037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3038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3039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3040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3041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3042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3043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3044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3045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3046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3047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3048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3049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3050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3051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3052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3053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3054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3055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3056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3057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3058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3059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3060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3061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3062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3063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3064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3065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3066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3067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3068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3069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3070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3071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3072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3073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3074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3075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3076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3077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3078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3079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3080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3081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3082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3083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3084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3085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3086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3087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3088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3089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3090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3091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3092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3093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3094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3095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3096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3097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3098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3099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3100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3101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3102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3103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3104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3105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3106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3107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3108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3109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3110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3111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3112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3113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3114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3115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3116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3117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3118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3119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3120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3121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3122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3123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3124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3125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3126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3127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3128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3129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3130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3131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3132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3133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3134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3135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3136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3137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3138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3139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3140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3141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3142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3143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3144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3145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3146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3147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3148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3149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3150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3151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3152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3153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3154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3155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3156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3157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3158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3159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3160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3161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3162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3163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3164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3165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3166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3167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3168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3169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3170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3171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3172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3173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3174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3175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3176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3177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3178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3179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3180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3181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3182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3183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3184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3185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3186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3187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3188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3189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3190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3191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3192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3193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3194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3195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3196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3197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3198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3199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3200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3201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3202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3203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3204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3205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3206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3207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3208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3209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3210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3211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3212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3213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8" activePane="bottomLeft" state="frozen"/>
      <selection pane="bottomLeft" activeCell="A50" sqref="A50:XFD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2263</v>
      </c>
      <c r="B1" s="18" t="s">
        <v>3214</v>
      </c>
      <c r="C1" s="18" t="s">
        <v>4</v>
      </c>
      <c r="D1" s="18" t="s">
        <v>5</v>
      </c>
      <c r="E1" s="18" t="s">
        <v>11</v>
      </c>
      <c r="F1" s="18" t="s">
        <v>3215</v>
      </c>
      <c r="G1" s="18" t="s">
        <v>3216</v>
      </c>
      <c r="H1" s="18" t="s">
        <v>3217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10920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59180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13890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3150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828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180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-20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18340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18340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105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2570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>
      <c r="A52" t="s">
        <v>534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6"/>
  <sheetViews>
    <sheetView showGridLines="0" topLeftCell="A2" workbookViewId="0">
      <selection activeCell="G7" sqref="G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2263</v>
      </c>
      <c r="B1" s="23" t="s">
        <v>3218</v>
      </c>
      <c r="C1" s="23" t="s">
        <v>4</v>
      </c>
      <c r="D1" s="23" t="s">
        <v>5</v>
      </c>
      <c r="E1" s="23" t="s">
        <v>6</v>
      </c>
      <c r="F1" s="23" t="s">
        <v>3219</v>
      </c>
      <c r="G1" s="23" t="s">
        <v>11</v>
      </c>
      <c r="H1" s="23" t="s">
        <v>3220</v>
      </c>
    </row>
    <row r="2" spans="1:8">
      <c r="A2" t="s">
        <v>22</v>
      </c>
      <c r="B2" t="s">
        <v>23</v>
      </c>
      <c r="C2" s="24" t="s">
        <v>3221</v>
      </c>
      <c r="D2" s="24" t="s">
        <v>3222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516</v>
      </c>
      <c r="D3" s="24" t="s">
        <v>3223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3224</v>
      </c>
      <c r="E4" s="24" t="s">
        <v>76</v>
      </c>
      <c r="G4" s="24" t="s">
        <v>3225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3226</v>
      </c>
      <c r="E5" s="10" t="s">
        <v>26</v>
      </c>
      <c r="G5" s="24" t="s">
        <v>3227</v>
      </c>
      <c r="H5" s="10" t="s">
        <v>381</v>
      </c>
    </row>
    <row r="6" spans="1:8">
      <c r="A6" t="s">
        <v>49</v>
      </c>
      <c r="B6" t="s">
        <v>279</v>
      </c>
      <c r="C6" s="24" t="s">
        <v>493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632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3228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3229</v>
      </c>
      <c r="E9" s="24" t="s">
        <v>157</v>
      </c>
      <c r="G9" s="10" t="s">
        <v>3230</v>
      </c>
      <c r="H9" t="s">
        <v>310</v>
      </c>
    </row>
    <row r="10" spans="1:8">
      <c r="A10" t="s">
        <v>69</v>
      </c>
      <c r="B10" t="s">
        <v>70</v>
      </c>
      <c r="C10" s="24" t="s">
        <v>578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558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590</v>
      </c>
    </row>
    <row r="13" spans="1:8">
      <c r="A13" t="s">
        <v>89</v>
      </c>
      <c r="B13" t="s">
        <v>90</v>
      </c>
      <c r="C13" s="24"/>
      <c r="D13" s="24" t="s">
        <v>3231</v>
      </c>
      <c r="E13" t="s">
        <v>3232</v>
      </c>
    </row>
    <row r="14" spans="1:8">
      <c r="A14" t="s">
        <v>111</v>
      </c>
      <c r="B14" t="s">
        <v>112</v>
      </c>
      <c r="C14" s="24"/>
      <c r="D14" s="24" t="s">
        <v>631</v>
      </c>
      <c r="E14" t="s">
        <v>3233</v>
      </c>
    </row>
    <row r="15" spans="1:8">
      <c r="A15" t="s">
        <v>107</v>
      </c>
      <c r="B15" t="s">
        <v>108</v>
      </c>
      <c r="C15" s="24"/>
      <c r="D15" s="24" t="s">
        <v>3234</v>
      </c>
      <c r="E15" t="s">
        <v>258</v>
      </c>
    </row>
    <row r="16" spans="1:8">
      <c r="A16" t="s">
        <v>114</v>
      </c>
      <c r="B16" t="s">
        <v>115</v>
      </c>
      <c r="D16" s="24" t="s">
        <v>3235</v>
      </c>
      <c r="E16" t="s">
        <v>300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129</v>
      </c>
      <c r="B18" t="s">
        <v>130</v>
      </c>
      <c r="D18" t="s">
        <v>127</v>
      </c>
    </row>
    <row r="19" spans="1:4">
      <c r="A19" t="s">
        <v>136</v>
      </c>
      <c r="B19" t="s">
        <v>137</v>
      </c>
      <c r="D19" t="s">
        <v>164</v>
      </c>
    </row>
    <row r="20" spans="1:4">
      <c r="A20" t="s">
        <v>140</v>
      </c>
      <c r="B20" t="s">
        <v>141</v>
      </c>
      <c r="D20" t="s">
        <v>169</v>
      </c>
    </row>
    <row r="21" spans="1:4">
      <c r="A21" t="s">
        <v>146</v>
      </c>
      <c r="B21" t="s">
        <v>147</v>
      </c>
      <c r="D21" t="s">
        <v>173</v>
      </c>
    </row>
    <row r="22" spans="1:4">
      <c r="A22" t="s">
        <v>155</v>
      </c>
      <c r="B22" t="s">
        <v>156</v>
      </c>
      <c r="D22" t="s">
        <v>183</v>
      </c>
    </row>
    <row r="23" spans="1:4">
      <c r="A23" t="s">
        <v>159</v>
      </c>
      <c r="B23" t="s">
        <v>160</v>
      </c>
      <c r="D23" t="s">
        <v>187</v>
      </c>
    </row>
    <row r="24" spans="1:4">
      <c r="A24" t="s">
        <v>163</v>
      </c>
      <c r="B24" t="s">
        <v>163</v>
      </c>
      <c r="D24" t="s">
        <v>191</v>
      </c>
    </row>
    <row r="25" spans="1:4">
      <c r="A25" t="s">
        <v>167</v>
      </c>
      <c r="B25" t="s">
        <v>168</v>
      </c>
      <c r="D25" t="s">
        <v>194</v>
      </c>
    </row>
    <row r="26" spans="1:4">
      <c r="A26" t="s">
        <v>171</v>
      </c>
      <c r="B26" t="s">
        <v>172</v>
      </c>
      <c r="D26" t="s">
        <v>257</v>
      </c>
    </row>
    <row r="27" spans="1:4">
      <c r="A27" t="s">
        <v>177</v>
      </c>
      <c r="B27" t="s">
        <v>178</v>
      </c>
      <c r="D27" t="s">
        <v>285</v>
      </c>
    </row>
    <row r="28" spans="1:4">
      <c r="A28" t="s">
        <v>181</v>
      </c>
      <c r="B28" t="s">
        <v>182</v>
      </c>
      <c r="D28" t="s">
        <v>3236</v>
      </c>
    </row>
    <row r="29" spans="1:4">
      <c r="A29" t="s">
        <v>185</v>
      </c>
      <c r="B29" t="s">
        <v>186</v>
      </c>
      <c r="D29" t="s">
        <v>3237</v>
      </c>
    </row>
    <row r="30" spans="1:4">
      <c r="A30" t="s">
        <v>189</v>
      </c>
      <c r="B30" t="s">
        <v>190</v>
      </c>
    </row>
    <row r="31" spans="1:4">
      <c r="A31" t="s">
        <v>193</v>
      </c>
      <c r="B31" t="s">
        <v>193</v>
      </c>
    </row>
    <row r="32" spans="1:4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3238</v>
      </c>
      <c r="B44" t="s">
        <v>425</v>
      </c>
    </row>
    <row r="45" spans="1:2">
      <c r="A45" t="s">
        <v>428</v>
      </c>
      <c r="B45" t="s">
        <v>429</v>
      </c>
    </row>
    <row r="46" spans="1:2">
      <c r="A46" s="49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630</v>
      </c>
    </row>
    <row r="54" spans="1:2">
      <c r="A54" t="s">
        <v>634</v>
      </c>
    </row>
    <row r="55" spans="1:2">
      <c r="A55" t="s">
        <v>629</v>
      </c>
    </row>
    <row r="56" spans="1:2">
      <c r="A56" t="s">
        <v>636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3239</v>
      </c>
    </row>
    <row r="2" spans="1:2">
      <c r="B2" t="s">
        <v>3240</v>
      </c>
    </row>
    <row r="3" spans="1:2" ht="18" customHeight="1">
      <c r="A3" s="11" t="s">
        <v>3241</v>
      </c>
      <c r="B3" s="12"/>
    </row>
    <row r="4" spans="1:2" ht="30" customHeight="1">
      <c r="A4" s="25" t="s">
        <v>3242</v>
      </c>
      <c r="B4" s="26" t="s">
        <v>3243</v>
      </c>
    </row>
    <row r="5" spans="1:2" ht="30" customHeight="1">
      <c r="A5" s="25" t="s">
        <v>3244</v>
      </c>
      <c r="B5" s="26" t="s">
        <v>3245</v>
      </c>
    </row>
    <row r="6" spans="1:2" ht="30" customHeight="1">
      <c r="A6" s="25" t="s">
        <v>3246</v>
      </c>
      <c r="B6" s="26" t="s">
        <v>3247</v>
      </c>
    </row>
    <row r="7" spans="1:2" ht="18" customHeight="1">
      <c r="A7" s="27"/>
      <c r="B7" s="27"/>
    </row>
    <row r="8" spans="1:2" ht="18" customHeight="1">
      <c r="A8" s="11" t="s">
        <v>3248</v>
      </c>
      <c r="B8" s="12"/>
    </row>
    <row r="9" spans="1:2" ht="30" customHeight="1">
      <c r="A9" s="25" t="s">
        <v>3249</v>
      </c>
      <c r="B9" s="26" t="s">
        <v>3250</v>
      </c>
    </row>
    <row r="10" spans="1:2" ht="30" customHeight="1">
      <c r="A10" s="25" t="s">
        <v>3251</v>
      </c>
      <c r="B10" s="26" t="s">
        <v>3252</v>
      </c>
    </row>
    <row r="11" spans="1:2" ht="30" customHeight="1">
      <c r="A11" s="25" t="s">
        <v>3253</v>
      </c>
      <c r="B11" s="26" t="s">
        <v>3254</v>
      </c>
    </row>
    <row r="12" spans="1:2" ht="30" customHeight="1">
      <c r="A12" s="25" t="s">
        <v>3255</v>
      </c>
      <c r="B12" s="26" t="s">
        <v>3256</v>
      </c>
    </row>
    <row r="13" spans="1:2" ht="30" customHeight="1">
      <c r="A13" s="25" t="s">
        <v>3257</v>
      </c>
      <c r="B13" s="26" t="s">
        <v>3258</v>
      </c>
    </row>
    <row r="14" spans="1:2" ht="18" customHeight="1">
      <c r="A14" s="27"/>
      <c r="B14" s="27"/>
    </row>
    <row r="15" spans="1:2" ht="18" customHeight="1">
      <c r="A15" s="11" t="s">
        <v>3259</v>
      </c>
      <c r="B15" s="12"/>
    </row>
    <row r="16" spans="1:2" ht="30" customHeight="1">
      <c r="A16" s="25" t="s">
        <v>3260</v>
      </c>
      <c r="B16" s="26" t="s">
        <v>3261</v>
      </c>
    </row>
    <row r="17" spans="1:2" ht="18" customHeight="1">
      <c r="A17" s="27"/>
      <c r="B17" s="27"/>
    </row>
    <row r="18" spans="1:2" ht="18" customHeight="1">
      <c r="A18" s="11" t="s">
        <v>3262</v>
      </c>
      <c r="B18" s="12"/>
    </row>
    <row r="19" spans="1:2" ht="30" customHeight="1">
      <c r="A19" s="25" t="s">
        <v>3263</v>
      </c>
      <c r="B19" s="26" t="s">
        <v>3264</v>
      </c>
    </row>
    <row r="20" spans="1:2" ht="30" customHeight="1">
      <c r="A20" s="25" t="s">
        <v>3265</v>
      </c>
      <c r="B20" s="26" t="s">
        <v>3266</v>
      </c>
    </row>
    <row r="21" spans="1:2" ht="30" customHeight="1">
      <c r="A21" s="25" t="s">
        <v>3267</v>
      </c>
      <c r="B21" s="26" t="s">
        <v>3268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2026-07-29T18:01:45Z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